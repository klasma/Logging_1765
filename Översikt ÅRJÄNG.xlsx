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45915</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45915</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45915</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45915</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45915</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45915</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45915</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45915</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45915</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45915</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45915</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45915</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45915</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45915</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45915</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45915</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45915</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45915</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45915</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60688-2023</t>
        </is>
      </c>
      <c r="B25" s="1" t="n">
        <v>45260</v>
      </c>
      <c r="C25" s="1" t="n">
        <v>45915</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60741-2023</t>
        </is>
      </c>
      <c r="B26" s="1" t="n">
        <v>45260</v>
      </c>
      <c r="C26" s="1" t="n">
        <v>45915</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45915</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45915</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45915</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45915</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7447-2024</t>
        </is>
      </c>
      <c r="B31" s="1" t="n">
        <v>45345</v>
      </c>
      <c r="C31" s="1" t="n">
        <v>45915</v>
      </c>
      <c r="D31" t="inlineStr">
        <is>
          <t>VÄRMLANDS LÄN</t>
        </is>
      </c>
      <c r="E31" t="inlineStr">
        <is>
          <t>ÅRJÄNG</t>
        </is>
      </c>
      <c r="G31" t="n">
        <v>1.3</v>
      </c>
      <c r="H31" t="n">
        <v>1</v>
      </c>
      <c r="I31" t="n">
        <v>0</v>
      </c>
      <c r="J31" t="n">
        <v>0</v>
      </c>
      <c r="K31" t="n">
        <v>0</v>
      </c>
      <c r="L31" t="n">
        <v>0</v>
      </c>
      <c r="M31" t="n">
        <v>0</v>
      </c>
      <c r="N31" t="n">
        <v>0</v>
      </c>
      <c r="O31" t="n">
        <v>0</v>
      </c>
      <c r="P31" t="n">
        <v>0</v>
      </c>
      <c r="Q31" t="n">
        <v>1</v>
      </c>
      <c r="R31" s="2" t="inlineStr">
        <is>
          <t>Tjäder</t>
        </is>
      </c>
      <c r="S31">
        <f>HYPERLINK("https://klasma.github.io/Logging_1765/artfynd/A 7447-2024 artfynd.xlsx", "A 7447-2024")</f>
        <v/>
      </c>
      <c r="T31">
        <f>HYPERLINK("https://klasma.github.io/Logging_1765/kartor/A 7447-2024 karta.png", "A 7447-2024")</f>
        <v/>
      </c>
      <c r="V31">
        <f>HYPERLINK("https://klasma.github.io/Logging_1765/klagomål/A 7447-2024 FSC-klagomål.docx", "A 7447-2024")</f>
        <v/>
      </c>
      <c r="W31">
        <f>HYPERLINK("https://klasma.github.io/Logging_1765/klagomålsmail/A 7447-2024 FSC-klagomål mail.docx", "A 7447-2024")</f>
        <v/>
      </c>
      <c r="X31">
        <f>HYPERLINK("https://klasma.github.io/Logging_1765/tillsyn/A 7447-2024 tillsynsbegäran.docx", "A 7447-2024")</f>
        <v/>
      </c>
      <c r="Y31">
        <f>HYPERLINK("https://klasma.github.io/Logging_1765/tillsynsmail/A 7447-2024 tillsynsbegäran mail.docx", "A 7447-2024")</f>
        <v/>
      </c>
      <c r="Z31">
        <f>HYPERLINK("https://klasma.github.io/Logging_1765/fåglar/A 7447-2024 prioriterade fågelarter.docx", "A 7447-2024")</f>
        <v/>
      </c>
    </row>
    <row r="32" ht="15" customHeight="1">
      <c r="A32" t="inlineStr">
        <is>
          <t>A 53611-2023</t>
        </is>
      </c>
      <c r="B32" s="1" t="n">
        <v>45230.570625</v>
      </c>
      <c r="C32" s="1" t="n">
        <v>45915</v>
      </c>
      <c r="D32" t="inlineStr">
        <is>
          <t>VÄRMLANDS LÄN</t>
        </is>
      </c>
      <c r="E32" t="inlineStr">
        <is>
          <t>ÅRJÄNG</t>
        </is>
      </c>
      <c r="G32" t="n">
        <v>12.3</v>
      </c>
      <c r="H32" t="n">
        <v>0</v>
      </c>
      <c r="I32" t="n">
        <v>1</v>
      </c>
      <c r="J32" t="n">
        <v>0</v>
      </c>
      <c r="K32" t="n">
        <v>0</v>
      </c>
      <c r="L32" t="n">
        <v>0</v>
      </c>
      <c r="M32" t="n">
        <v>0</v>
      </c>
      <c r="N32" t="n">
        <v>0</v>
      </c>
      <c r="O32" t="n">
        <v>0</v>
      </c>
      <c r="P32" t="n">
        <v>0</v>
      </c>
      <c r="Q32" t="n">
        <v>1</v>
      </c>
      <c r="R32" s="2" t="inlineStr">
        <is>
          <t>Purpurmylia</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row>
    <row r="33" ht="15" customHeight="1">
      <c r="A33" t="inlineStr">
        <is>
          <t>A 34188-2021</t>
        </is>
      </c>
      <c r="B33" s="1" t="n">
        <v>44379</v>
      </c>
      <c r="C33" s="1" t="n">
        <v>45915</v>
      </c>
      <c r="D33" t="inlineStr">
        <is>
          <t>VÄRMLANDS LÄN</t>
        </is>
      </c>
      <c r="E33" t="inlineStr">
        <is>
          <t>ÅRJÄNG</t>
        </is>
      </c>
      <c r="G33" t="n">
        <v>5.5</v>
      </c>
      <c r="H33" t="n">
        <v>1</v>
      </c>
      <c r="I33" t="n">
        <v>0</v>
      </c>
      <c r="J33" t="n">
        <v>1</v>
      </c>
      <c r="K33" t="n">
        <v>0</v>
      </c>
      <c r="L33" t="n">
        <v>0</v>
      </c>
      <c r="M33" t="n">
        <v>0</v>
      </c>
      <c r="N33" t="n">
        <v>0</v>
      </c>
      <c r="O33" t="n">
        <v>1</v>
      </c>
      <c r="P33" t="n">
        <v>0</v>
      </c>
      <c r="Q33" t="n">
        <v>1</v>
      </c>
      <c r="R33" s="2" t="inlineStr">
        <is>
          <t>Järpe</t>
        </is>
      </c>
      <c r="S33">
        <f>HYPERLINK("https://klasma.github.io/Logging_1765/artfynd/A 34188-2021 artfynd.xlsx", "A 34188-2021")</f>
        <v/>
      </c>
      <c r="T33">
        <f>HYPERLINK("https://klasma.github.io/Logging_1765/kartor/A 34188-2021 karta.png", "A 34188-2021")</f>
        <v/>
      </c>
      <c r="V33">
        <f>HYPERLINK("https://klasma.github.io/Logging_1765/klagomål/A 34188-2021 FSC-klagomål.docx", "A 34188-2021")</f>
        <v/>
      </c>
      <c r="W33">
        <f>HYPERLINK("https://klasma.github.io/Logging_1765/klagomålsmail/A 34188-2021 FSC-klagomål mail.docx", "A 34188-2021")</f>
        <v/>
      </c>
      <c r="X33">
        <f>HYPERLINK("https://klasma.github.io/Logging_1765/tillsyn/A 34188-2021 tillsynsbegäran.docx", "A 34188-2021")</f>
        <v/>
      </c>
      <c r="Y33">
        <f>HYPERLINK("https://klasma.github.io/Logging_1765/tillsynsmail/A 34188-2021 tillsynsbegäran mail.docx", "A 34188-2021")</f>
        <v/>
      </c>
      <c r="Z33">
        <f>HYPERLINK("https://klasma.github.io/Logging_1765/fåglar/A 34188-2021 prioriterade fågelarter.docx", "A 34188-2021")</f>
        <v/>
      </c>
    </row>
    <row r="34" ht="15" customHeight="1">
      <c r="A34" t="inlineStr">
        <is>
          <t>A 45938-2022</t>
        </is>
      </c>
      <c r="B34" s="1" t="n">
        <v>44846</v>
      </c>
      <c r="C34" s="1" t="n">
        <v>45915</v>
      </c>
      <c r="D34" t="inlineStr">
        <is>
          <t>VÄRMLANDS LÄN</t>
        </is>
      </c>
      <c r="E34" t="inlineStr">
        <is>
          <t>ÅRJÄNG</t>
        </is>
      </c>
      <c r="G34" t="n">
        <v>4.4</v>
      </c>
      <c r="H34" t="n">
        <v>1</v>
      </c>
      <c r="I34" t="n">
        <v>0</v>
      </c>
      <c r="J34" t="n">
        <v>0</v>
      </c>
      <c r="K34" t="n">
        <v>1</v>
      </c>
      <c r="L34" t="n">
        <v>0</v>
      </c>
      <c r="M34" t="n">
        <v>0</v>
      </c>
      <c r="N34" t="n">
        <v>0</v>
      </c>
      <c r="O34" t="n">
        <v>1</v>
      </c>
      <c r="P34" t="n">
        <v>1</v>
      </c>
      <c r="Q34" t="n">
        <v>1</v>
      </c>
      <c r="R34" s="2" t="inlineStr">
        <is>
          <t>Knärot</t>
        </is>
      </c>
      <c r="S34">
        <f>HYPERLINK("https://klasma.github.io/Logging_1765/artfynd/A 45938-2022 artfynd.xlsx", "A 45938-2022")</f>
        <v/>
      </c>
      <c r="T34">
        <f>HYPERLINK("https://klasma.github.io/Logging_1765/kartor/A 45938-2022 karta.png", "A 45938-2022")</f>
        <v/>
      </c>
      <c r="U34">
        <f>HYPERLINK("https://klasma.github.io/Logging_1765/knärot/A 45938-2022 karta knärot.png", "A 45938-2022")</f>
        <v/>
      </c>
      <c r="V34">
        <f>HYPERLINK("https://klasma.github.io/Logging_1765/klagomål/A 45938-2022 FSC-klagomål.docx", "A 45938-2022")</f>
        <v/>
      </c>
      <c r="W34">
        <f>HYPERLINK("https://klasma.github.io/Logging_1765/klagomålsmail/A 45938-2022 FSC-klagomål mail.docx", "A 45938-2022")</f>
        <v/>
      </c>
      <c r="X34">
        <f>HYPERLINK("https://klasma.github.io/Logging_1765/tillsyn/A 45938-2022 tillsynsbegäran.docx", "A 45938-2022")</f>
        <v/>
      </c>
      <c r="Y34">
        <f>HYPERLINK("https://klasma.github.io/Logging_1765/tillsynsmail/A 45938-2022 tillsynsbegäran mail.docx", "A 45938-2022")</f>
        <v/>
      </c>
    </row>
    <row r="35" ht="15" customHeight="1">
      <c r="A35" t="inlineStr">
        <is>
          <t>A 2212-2025</t>
        </is>
      </c>
      <c r="B35" s="1" t="n">
        <v>45673</v>
      </c>
      <c r="C35" s="1" t="n">
        <v>45915</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11682-2022</t>
        </is>
      </c>
      <c r="B36" s="1" t="n">
        <v>44631</v>
      </c>
      <c r="C36" s="1" t="n">
        <v>45915</v>
      </c>
      <c r="D36" t="inlineStr">
        <is>
          <t>VÄRMLANDS LÄN</t>
        </is>
      </c>
      <c r="E36" t="inlineStr">
        <is>
          <t>ÅRJÄNG</t>
        </is>
      </c>
      <c r="G36" t="n">
        <v>19.9</v>
      </c>
      <c r="H36" t="n">
        <v>0</v>
      </c>
      <c r="I36" t="n">
        <v>0</v>
      </c>
      <c r="J36" t="n">
        <v>1</v>
      </c>
      <c r="K36" t="n">
        <v>0</v>
      </c>
      <c r="L36" t="n">
        <v>0</v>
      </c>
      <c r="M36" t="n">
        <v>0</v>
      </c>
      <c r="N36" t="n">
        <v>0</v>
      </c>
      <c r="O36" t="n">
        <v>1</v>
      </c>
      <c r="P36" t="n">
        <v>0</v>
      </c>
      <c r="Q36" t="n">
        <v>1</v>
      </c>
      <c r="R36" s="2" t="inlineStr">
        <is>
          <t>Skogsklocka</t>
        </is>
      </c>
      <c r="S36">
        <f>HYPERLINK("https://klasma.github.io/Logging_1765/artfynd/A 11682-2022 artfynd.xlsx", "A 11682-2022")</f>
        <v/>
      </c>
      <c r="T36">
        <f>HYPERLINK("https://klasma.github.io/Logging_1765/kartor/A 11682-2022 karta.png", "A 11682-2022")</f>
        <v/>
      </c>
      <c r="V36">
        <f>HYPERLINK("https://klasma.github.io/Logging_1765/klagomål/A 11682-2022 FSC-klagomål.docx", "A 11682-2022")</f>
        <v/>
      </c>
      <c r="W36">
        <f>HYPERLINK("https://klasma.github.io/Logging_1765/klagomålsmail/A 11682-2022 FSC-klagomål mail.docx", "A 11682-2022")</f>
        <v/>
      </c>
      <c r="X36">
        <f>HYPERLINK("https://klasma.github.io/Logging_1765/tillsyn/A 11682-2022 tillsynsbegäran.docx", "A 11682-2022")</f>
        <v/>
      </c>
      <c r="Y36">
        <f>HYPERLINK("https://klasma.github.io/Logging_1765/tillsynsmail/A 11682-2022 tillsynsbegäran mail.docx", "A 11682-2022")</f>
        <v/>
      </c>
    </row>
    <row r="37" ht="15" customHeight="1">
      <c r="A37" t="inlineStr">
        <is>
          <t>A 8630-2025</t>
        </is>
      </c>
      <c r="B37" s="1" t="n">
        <v>45711.70400462963</v>
      </c>
      <c r="C37" s="1" t="n">
        <v>45915</v>
      </c>
      <c r="D37" t="inlineStr">
        <is>
          <t>VÄRMLANDS LÄN</t>
        </is>
      </c>
      <c r="E37" t="inlineStr">
        <is>
          <t>ÅRJÄNG</t>
        </is>
      </c>
      <c r="G37" t="n">
        <v>3.1</v>
      </c>
      <c r="H37" t="n">
        <v>0</v>
      </c>
      <c r="I37" t="n">
        <v>1</v>
      </c>
      <c r="J37" t="n">
        <v>0</v>
      </c>
      <c r="K37" t="n">
        <v>0</v>
      </c>
      <c r="L37" t="n">
        <v>0</v>
      </c>
      <c r="M37" t="n">
        <v>0</v>
      </c>
      <c r="N37" t="n">
        <v>0</v>
      </c>
      <c r="O37" t="n">
        <v>0</v>
      </c>
      <c r="P37" t="n">
        <v>0</v>
      </c>
      <c r="Q37" t="n">
        <v>1</v>
      </c>
      <c r="R37" s="2" t="inlineStr">
        <is>
          <t>Dropptaggsvamp</t>
        </is>
      </c>
      <c r="S37">
        <f>HYPERLINK("https://klasma.github.io/Logging_1765/artfynd/A 8630-2025 artfynd.xlsx", "A 8630-2025")</f>
        <v/>
      </c>
      <c r="T37">
        <f>HYPERLINK("https://klasma.github.io/Logging_1765/kartor/A 8630-2025 karta.png", "A 8630-2025")</f>
        <v/>
      </c>
      <c r="V37">
        <f>HYPERLINK("https://klasma.github.io/Logging_1765/klagomål/A 8630-2025 FSC-klagomål.docx", "A 8630-2025")</f>
        <v/>
      </c>
      <c r="W37">
        <f>HYPERLINK("https://klasma.github.io/Logging_1765/klagomålsmail/A 8630-2025 FSC-klagomål mail.docx", "A 8630-2025")</f>
        <v/>
      </c>
      <c r="X37">
        <f>HYPERLINK("https://klasma.github.io/Logging_1765/tillsyn/A 8630-2025 tillsynsbegäran.docx", "A 8630-2025")</f>
        <v/>
      </c>
      <c r="Y37">
        <f>HYPERLINK("https://klasma.github.io/Logging_1765/tillsynsmail/A 8630-2025 tillsynsbegäran mail.docx", "A 8630-2025")</f>
        <v/>
      </c>
    </row>
    <row r="38" ht="15" customHeight="1">
      <c r="A38" t="inlineStr">
        <is>
          <t>A 14898-2025</t>
        </is>
      </c>
      <c r="B38" s="1" t="n">
        <v>45743.47967592593</v>
      </c>
      <c r="C38" s="1" t="n">
        <v>45915</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45915</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11880-2025</t>
        </is>
      </c>
      <c r="B40" s="1" t="n">
        <v>45728.4462037037</v>
      </c>
      <c r="C40" s="1" t="n">
        <v>45915</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45915</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15418-2021</t>
        </is>
      </c>
      <c r="B42" s="1" t="n">
        <v>44285</v>
      </c>
      <c r="C42" s="1" t="n">
        <v>45915</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37401-2025</t>
        </is>
      </c>
      <c r="B43" s="1" t="n">
        <v>45877</v>
      </c>
      <c r="C43" s="1" t="n">
        <v>45915</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36385-2025</t>
        </is>
      </c>
      <c r="B44" s="1" t="n">
        <v>45868</v>
      </c>
      <c r="C44" s="1" t="n">
        <v>45915</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52826-2022</t>
        </is>
      </c>
      <c r="B45" s="1" t="n">
        <v>44875.45353009259</v>
      </c>
      <c r="C45" s="1" t="n">
        <v>45915</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45915</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45915</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45915</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45915</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47642-2021</t>
        </is>
      </c>
      <c r="B50" s="1" t="n">
        <v>44448.39857638889</v>
      </c>
      <c r="C50" s="1" t="n">
        <v>45915</v>
      </c>
      <c r="D50" t="inlineStr">
        <is>
          <t>VÄRMLANDS LÄN</t>
        </is>
      </c>
      <c r="E50" t="inlineStr">
        <is>
          <t>ÅRJÄNG</t>
        </is>
      </c>
      <c r="G50" t="n">
        <v>2.3</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45915</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19776-2022</t>
        </is>
      </c>
      <c r="B52" s="1" t="n">
        <v>44694</v>
      </c>
      <c r="C52" s="1" t="n">
        <v>45915</v>
      </c>
      <c r="D52" t="inlineStr">
        <is>
          <t>VÄRMLANDS LÄN</t>
        </is>
      </c>
      <c r="E52" t="inlineStr">
        <is>
          <t>ÅRJÄNG</t>
        </is>
      </c>
      <c r="G52" t="n">
        <v>9</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45915</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11585-2022</t>
        </is>
      </c>
      <c r="B54" s="1" t="n">
        <v>44631</v>
      </c>
      <c r="C54" s="1" t="n">
        <v>45915</v>
      </c>
      <c r="D54" t="inlineStr">
        <is>
          <t>VÄRMLANDS LÄN</t>
        </is>
      </c>
      <c r="E54" t="inlineStr">
        <is>
          <t>ÅRJÄNG</t>
        </is>
      </c>
      <c r="F54" t="inlineStr">
        <is>
          <t>Bergvik skog väst AB</t>
        </is>
      </c>
      <c r="G54" t="n">
        <v>3.5</v>
      </c>
      <c r="H54" t="n">
        <v>0</v>
      </c>
      <c r="I54" t="n">
        <v>0</v>
      </c>
      <c r="J54" t="n">
        <v>0</v>
      </c>
      <c r="K54" t="n">
        <v>0</v>
      </c>
      <c r="L54" t="n">
        <v>0</v>
      </c>
      <c r="M54" t="n">
        <v>0</v>
      </c>
      <c r="N54" t="n">
        <v>0</v>
      </c>
      <c r="O54" t="n">
        <v>0</v>
      </c>
      <c r="P54" t="n">
        <v>0</v>
      </c>
      <c r="Q54" t="n">
        <v>0</v>
      </c>
      <c r="R54" s="2" t="inlineStr"/>
    </row>
    <row r="55" ht="15" customHeight="1">
      <c r="A55" t="inlineStr">
        <is>
          <t>A 43578-2021</t>
        </is>
      </c>
      <c r="B55" s="1" t="n">
        <v>44433</v>
      </c>
      <c r="C55" s="1" t="n">
        <v>45915</v>
      </c>
      <c r="D55" t="inlineStr">
        <is>
          <t>VÄRMLANDS LÄN</t>
        </is>
      </c>
      <c r="E55" t="inlineStr">
        <is>
          <t>ÅRJÄNG</t>
        </is>
      </c>
      <c r="G55" t="n">
        <v>6.3</v>
      </c>
      <c r="H55" t="n">
        <v>0</v>
      </c>
      <c r="I55" t="n">
        <v>0</v>
      </c>
      <c r="J55" t="n">
        <v>0</v>
      </c>
      <c r="K55" t="n">
        <v>0</v>
      </c>
      <c r="L55" t="n">
        <v>0</v>
      </c>
      <c r="M55" t="n">
        <v>0</v>
      </c>
      <c r="N55" t="n">
        <v>0</v>
      </c>
      <c r="O55" t="n">
        <v>0</v>
      </c>
      <c r="P55" t="n">
        <v>0</v>
      </c>
      <c r="Q55" t="n">
        <v>0</v>
      </c>
      <c r="R55" s="2" t="inlineStr"/>
    </row>
    <row r="56" ht="15" customHeight="1">
      <c r="A56" t="inlineStr">
        <is>
          <t>A 13166-2022</t>
        </is>
      </c>
      <c r="B56" s="1" t="n">
        <v>44643</v>
      </c>
      <c r="C56" s="1" t="n">
        <v>45915</v>
      </c>
      <c r="D56" t="inlineStr">
        <is>
          <t>VÄRMLANDS LÄN</t>
        </is>
      </c>
      <c r="E56" t="inlineStr">
        <is>
          <t>ÅRJÄNG</t>
        </is>
      </c>
      <c r="G56" t="n">
        <v>7.3</v>
      </c>
      <c r="H56" t="n">
        <v>0</v>
      </c>
      <c r="I56" t="n">
        <v>0</v>
      </c>
      <c r="J56" t="n">
        <v>0</v>
      </c>
      <c r="K56" t="n">
        <v>0</v>
      </c>
      <c r="L56" t="n">
        <v>0</v>
      </c>
      <c r="M56" t="n">
        <v>0</v>
      </c>
      <c r="N56" t="n">
        <v>0</v>
      </c>
      <c r="O56" t="n">
        <v>0</v>
      </c>
      <c r="P56" t="n">
        <v>0</v>
      </c>
      <c r="Q56" t="n">
        <v>0</v>
      </c>
      <c r="R56" s="2" t="inlineStr"/>
    </row>
    <row r="57" ht="15" customHeight="1">
      <c r="A57" t="inlineStr">
        <is>
          <t>A 63415-2020</t>
        </is>
      </c>
      <c r="B57" s="1" t="n">
        <v>44165</v>
      </c>
      <c r="C57" s="1" t="n">
        <v>45915</v>
      </c>
      <c r="D57" t="inlineStr">
        <is>
          <t>VÄRMLANDS LÄN</t>
        </is>
      </c>
      <c r="E57" t="inlineStr">
        <is>
          <t>ÅRJÄNG</t>
        </is>
      </c>
      <c r="G57" t="n">
        <v>4.9</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45915</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45915</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45915</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45915</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45915</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65950-2020</t>
        </is>
      </c>
      <c r="B63" s="1" t="n">
        <v>44175</v>
      </c>
      <c r="C63" s="1" t="n">
        <v>45915</v>
      </c>
      <c r="D63" t="inlineStr">
        <is>
          <t>VÄRMLANDS LÄN</t>
        </is>
      </c>
      <c r="E63" t="inlineStr">
        <is>
          <t>ÅRJÄNG</t>
        </is>
      </c>
      <c r="G63" t="n">
        <v>3</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45915</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69584-2020</t>
        </is>
      </c>
      <c r="B65" s="1" t="n">
        <v>44195</v>
      </c>
      <c r="C65" s="1" t="n">
        <v>45915</v>
      </c>
      <c r="D65" t="inlineStr">
        <is>
          <t>VÄRMLANDS LÄN</t>
        </is>
      </c>
      <c r="E65" t="inlineStr">
        <is>
          <t>ÅRJÄNG</t>
        </is>
      </c>
      <c r="G65" t="n">
        <v>0.3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45915</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11156-2021</t>
        </is>
      </c>
      <c r="B67" s="1" t="n">
        <v>44261.8591087963</v>
      </c>
      <c r="C67" s="1" t="n">
        <v>45915</v>
      </c>
      <c r="D67" t="inlineStr">
        <is>
          <t>VÄRMLANDS LÄN</t>
        </is>
      </c>
      <c r="E67" t="inlineStr">
        <is>
          <t>ÅRJÄNG</t>
        </is>
      </c>
      <c r="G67" t="n">
        <v>1.2</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45915</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61129-2021</t>
        </is>
      </c>
      <c r="B69" s="1" t="n">
        <v>44498</v>
      </c>
      <c r="C69" s="1" t="n">
        <v>45915</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45915</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45915</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45915</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45915</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45915</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45915</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45915</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45915</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45915</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45915</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45915</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45915</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45915</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45915</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45915</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45915</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45915</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45915</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45915</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45915</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45915</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45915</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45915</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45915</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45915</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45915</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45915</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45915</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45915</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45915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45915</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45915</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45915</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19947-2022</t>
        </is>
      </c>
      <c r="B106" s="1" t="n">
        <v>44697</v>
      </c>
      <c r="C106" s="1" t="n">
        <v>45915</v>
      </c>
      <c r="D106" t="inlineStr">
        <is>
          <t>VÄRMLANDS LÄN</t>
        </is>
      </c>
      <c r="E106" t="inlineStr">
        <is>
          <t>ÅRJÄNG</t>
        </is>
      </c>
      <c r="G106" t="n">
        <v>0.9</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45915</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61114-2021</t>
        </is>
      </c>
      <c r="B108" s="1" t="n">
        <v>44497</v>
      </c>
      <c r="C108" s="1" t="n">
        <v>45915</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61121-2021</t>
        </is>
      </c>
      <c r="B109" s="1" t="n">
        <v>44498</v>
      </c>
      <c r="C109" s="1" t="n">
        <v>45915</v>
      </c>
      <c r="D109" t="inlineStr">
        <is>
          <t>VÄRMLANDS LÄN</t>
        </is>
      </c>
      <c r="E109" t="inlineStr">
        <is>
          <t>ÅRJÄNG</t>
        </is>
      </c>
      <c r="G109" t="n">
        <v>0.7</v>
      </c>
      <c r="H109" t="n">
        <v>0</v>
      </c>
      <c r="I109" t="n">
        <v>0</v>
      </c>
      <c r="J109" t="n">
        <v>0</v>
      </c>
      <c r="K109" t="n">
        <v>0</v>
      </c>
      <c r="L109" t="n">
        <v>0</v>
      </c>
      <c r="M109" t="n">
        <v>0</v>
      </c>
      <c r="N109" t="n">
        <v>0</v>
      </c>
      <c r="O109" t="n">
        <v>0</v>
      </c>
      <c r="P109" t="n">
        <v>0</v>
      </c>
      <c r="Q109" t="n">
        <v>0</v>
      </c>
      <c r="R109" s="2" t="inlineStr"/>
    </row>
    <row r="110" ht="15" customHeight="1">
      <c r="A110" t="inlineStr">
        <is>
          <t>A 7485-2022</t>
        </is>
      </c>
      <c r="B110" s="1" t="n">
        <v>44607</v>
      </c>
      <c r="C110" s="1" t="n">
        <v>45915</v>
      </c>
      <c r="D110" t="inlineStr">
        <is>
          <t>VÄRMLANDS LÄN</t>
        </is>
      </c>
      <c r="E110" t="inlineStr">
        <is>
          <t>ÅRJÄNG</t>
        </is>
      </c>
      <c r="G110" t="n">
        <v>2</v>
      </c>
      <c r="H110" t="n">
        <v>0</v>
      </c>
      <c r="I110" t="n">
        <v>0</v>
      </c>
      <c r="J110" t="n">
        <v>0</v>
      </c>
      <c r="K110" t="n">
        <v>0</v>
      </c>
      <c r="L110" t="n">
        <v>0</v>
      </c>
      <c r="M110" t="n">
        <v>0</v>
      </c>
      <c r="N110" t="n">
        <v>0</v>
      </c>
      <c r="O110" t="n">
        <v>0</v>
      </c>
      <c r="P110" t="n">
        <v>0</v>
      </c>
      <c r="Q110" t="n">
        <v>0</v>
      </c>
      <c r="R110" s="2" t="inlineStr"/>
    </row>
    <row r="111" ht="15" customHeight="1">
      <c r="A111" t="inlineStr">
        <is>
          <t>A 22167-2022</t>
        </is>
      </c>
      <c r="B111" s="1" t="n">
        <v>44712</v>
      </c>
      <c r="C111" s="1" t="n">
        <v>45915</v>
      </c>
      <c r="D111" t="inlineStr">
        <is>
          <t>VÄRMLANDS LÄN</t>
        </is>
      </c>
      <c r="E111" t="inlineStr">
        <is>
          <t>ÅRJÄNG</t>
        </is>
      </c>
      <c r="G111" t="n">
        <v>1.2</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45915</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14906-2021</t>
        </is>
      </c>
      <c r="B113" s="1" t="n">
        <v>44281.37186342593</v>
      </c>
      <c r="C113" s="1" t="n">
        <v>45915</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45915</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45915</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45915</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45915</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66599-2021</t>
        </is>
      </c>
      <c r="B118" s="1" t="n">
        <v>44519</v>
      </c>
      <c r="C118" s="1" t="n">
        <v>45915</v>
      </c>
      <c r="D118" t="inlineStr">
        <is>
          <t>VÄRMLANDS LÄN</t>
        </is>
      </c>
      <c r="E118" t="inlineStr">
        <is>
          <t>ÅRJÄNG</t>
        </is>
      </c>
      <c r="G118" t="n">
        <v>0.5</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45915</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45915</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12583-2022</t>
        </is>
      </c>
      <c r="B121" s="1" t="n">
        <v>44639.41145833334</v>
      </c>
      <c r="C121" s="1" t="n">
        <v>45915</v>
      </c>
      <c r="D121" t="inlineStr">
        <is>
          <t>VÄRMLANDS LÄN</t>
        </is>
      </c>
      <c r="E121" t="inlineStr">
        <is>
          <t>ÅRJÄNG</t>
        </is>
      </c>
      <c r="G121" t="n">
        <v>1.6</v>
      </c>
      <c r="H121" t="n">
        <v>0</v>
      </c>
      <c r="I121" t="n">
        <v>0</v>
      </c>
      <c r="J121" t="n">
        <v>0</v>
      </c>
      <c r="K121" t="n">
        <v>0</v>
      </c>
      <c r="L121" t="n">
        <v>0</v>
      </c>
      <c r="M121" t="n">
        <v>0</v>
      </c>
      <c r="N121" t="n">
        <v>0</v>
      </c>
      <c r="O121" t="n">
        <v>0</v>
      </c>
      <c r="P121" t="n">
        <v>0</v>
      </c>
      <c r="Q121" t="n">
        <v>0</v>
      </c>
      <c r="R121" s="2" t="inlineStr"/>
    </row>
    <row r="122" ht="15" customHeight="1">
      <c r="A122" t="inlineStr">
        <is>
          <t>A 6524-2022</t>
        </is>
      </c>
      <c r="B122" s="1" t="n">
        <v>44601</v>
      </c>
      <c r="C122" s="1" t="n">
        <v>45915</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49896-2022</t>
        </is>
      </c>
      <c r="B123" s="1" t="n">
        <v>44864.76736111111</v>
      </c>
      <c r="C123" s="1" t="n">
        <v>45915</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1574-2022</t>
        </is>
      </c>
      <c r="B124" s="1" t="n">
        <v>44573</v>
      </c>
      <c r="C124" s="1" t="n">
        <v>45915</v>
      </c>
      <c r="D124" t="inlineStr">
        <is>
          <t>VÄRMLANDS LÄN</t>
        </is>
      </c>
      <c r="E124" t="inlineStr">
        <is>
          <t>ÅRJÄNG</t>
        </is>
      </c>
      <c r="G124" t="n">
        <v>0.4</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45915</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45915</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45915</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45915</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45915</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45915</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45915</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45915</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45915</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45915</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45915</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45915</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50664-2020</t>
        </is>
      </c>
      <c r="B137" s="1" t="n">
        <v>44105</v>
      </c>
      <c r="C137" s="1" t="n">
        <v>45915</v>
      </c>
      <c r="D137" t="inlineStr">
        <is>
          <t>VÄRMLANDS LÄN</t>
        </is>
      </c>
      <c r="E137" t="inlineStr">
        <is>
          <t>ÅRJÄNG</t>
        </is>
      </c>
      <c r="G137" t="n">
        <v>2.3</v>
      </c>
      <c r="H137" t="n">
        <v>0</v>
      </c>
      <c r="I137" t="n">
        <v>0</v>
      </c>
      <c r="J137" t="n">
        <v>0</v>
      </c>
      <c r="K137" t="n">
        <v>0</v>
      </c>
      <c r="L137" t="n">
        <v>0</v>
      </c>
      <c r="M137" t="n">
        <v>0</v>
      </c>
      <c r="N137" t="n">
        <v>0</v>
      </c>
      <c r="O137" t="n">
        <v>0</v>
      </c>
      <c r="P137" t="n">
        <v>0</v>
      </c>
      <c r="Q137" t="n">
        <v>0</v>
      </c>
      <c r="R137" s="2" t="inlineStr"/>
    </row>
    <row r="138" ht="15" customHeight="1">
      <c r="A138" t="inlineStr">
        <is>
          <t>A 48374-2020</t>
        </is>
      </c>
      <c r="B138" s="1" t="n">
        <v>44102</v>
      </c>
      <c r="C138" s="1" t="n">
        <v>45915</v>
      </c>
      <c r="D138" t="inlineStr">
        <is>
          <t>VÄRMLANDS LÄN</t>
        </is>
      </c>
      <c r="E138" t="inlineStr">
        <is>
          <t>ÅRJÄNG</t>
        </is>
      </c>
      <c r="G138" t="n">
        <v>0.7</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45915</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45915</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45915</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45915</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45915</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45915</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45915</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45915</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45915</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45915</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45915</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45915</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45915</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45915</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45915</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45915</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45915</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45915</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45915</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45915</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45915</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45915</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45915</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45915</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45915</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45915</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45915</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45915</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45915</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45915</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40829-2021</t>
        </is>
      </c>
      <c r="B169" s="1" t="n">
        <v>44421</v>
      </c>
      <c r="C169" s="1" t="n">
        <v>45915</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45915</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45915</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63205-2021</t>
        </is>
      </c>
      <c r="B172" s="1" t="n">
        <v>44507.79876157407</v>
      </c>
      <c r="C172" s="1" t="n">
        <v>45915</v>
      </c>
      <c r="D172" t="inlineStr">
        <is>
          <t>VÄRMLANDS LÄN</t>
        </is>
      </c>
      <c r="E172" t="inlineStr">
        <is>
          <t>ÅRJÄNG</t>
        </is>
      </c>
      <c r="G172" t="n">
        <v>1.8</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45915</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53722-2021</t>
        </is>
      </c>
      <c r="B174" s="1" t="n">
        <v>44469</v>
      </c>
      <c r="C174" s="1" t="n">
        <v>45915</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53747-2021</t>
        </is>
      </c>
      <c r="B175" s="1" t="n">
        <v>44469</v>
      </c>
      <c r="C175" s="1" t="n">
        <v>45915</v>
      </c>
      <c r="D175" t="inlineStr">
        <is>
          <t>VÄRMLANDS LÄN</t>
        </is>
      </c>
      <c r="E175" t="inlineStr">
        <is>
          <t>ÅRJÄNG</t>
        </is>
      </c>
      <c r="G175" t="n">
        <v>11.3</v>
      </c>
      <c r="H175" t="n">
        <v>0</v>
      </c>
      <c r="I175" t="n">
        <v>0</v>
      </c>
      <c r="J175" t="n">
        <v>0</v>
      </c>
      <c r="K175" t="n">
        <v>0</v>
      </c>
      <c r="L175" t="n">
        <v>0</v>
      </c>
      <c r="M175" t="n">
        <v>0</v>
      </c>
      <c r="N175" t="n">
        <v>0</v>
      </c>
      <c r="O175" t="n">
        <v>0</v>
      </c>
      <c r="P175" t="n">
        <v>0</v>
      </c>
      <c r="Q175" t="n">
        <v>0</v>
      </c>
      <c r="R175" s="2" t="inlineStr"/>
    </row>
    <row r="176" ht="15" customHeight="1">
      <c r="A176" t="inlineStr">
        <is>
          <t>A 62984-2021</t>
        </is>
      </c>
      <c r="B176" s="1" t="n">
        <v>44505.36910879629</v>
      </c>
      <c r="C176" s="1" t="n">
        <v>45915</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58629-2020</t>
        </is>
      </c>
      <c r="B177" s="1" t="n">
        <v>44145</v>
      </c>
      <c r="C177" s="1" t="n">
        <v>45915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45915</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60732-2020</t>
        </is>
      </c>
      <c r="B179" s="1" t="n">
        <v>44153.77171296296</v>
      </c>
      <c r="C179" s="1" t="n">
        <v>45915</v>
      </c>
      <c r="D179" t="inlineStr">
        <is>
          <t>VÄRMLANDS LÄN</t>
        </is>
      </c>
      <c r="E179" t="inlineStr">
        <is>
          <t>ÅRJÄNG</t>
        </is>
      </c>
      <c r="G179" t="n">
        <v>2</v>
      </c>
      <c r="H179" t="n">
        <v>0</v>
      </c>
      <c r="I179" t="n">
        <v>0</v>
      </c>
      <c r="J179" t="n">
        <v>0</v>
      </c>
      <c r="K179" t="n">
        <v>0</v>
      </c>
      <c r="L179" t="n">
        <v>0</v>
      </c>
      <c r="M179" t="n">
        <v>0</v>
      </c>
      <c r="N179" t="n">
        <v>0</v>
      </c>
      <c r="O179" t="n">
        <v>0</v>
      </c>
      <c r="P179" t="n">
        <v>0</v>
      </c>
      <c r="Q179" t="n">
        <v>0</v>
      </c>
      <c r="R179" s="2" t="inlineStr"/>
    </row>
    <row r="180" ht="15" customHeight="1">
      <c r="A180" t="inlineStr">
        <is>
          <t>A 72291-2021</t>
        </is>
      </c>
      <c r="B180" s="1" t="n">
        <v>44545.37615740741</v>
      </c>
      <c r="C180" s="1" t="n">
        <v>45915</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45915</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53052-2021</t>
        </is>
      </c>
      <c r="B182" s="1" t="n">
        <v>44467</v>
      </c>
      <c r="C182" s="1" t="n">
        <v>45915</v>
      </c>
      <c r="D182" t="inlineStr">
        <is>
          <t>VÄRMLANDS LÄN</t>
        </is>
      </c>
      <c r="E182" t="inlineStr">
        <is>
          <t>ÅRJÄNG</t>
        </is>
      </c>
      <c r="G182" t="n">
        <v>0.7</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45915</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45915</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45915</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45915</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45915</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45915</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45915</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45915</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45915</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45915</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45915</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5346-2022</t>
        </is>
      </c>
      <c r="B194" s="1" t="n">
        <v>44594.74583333333</v>
      </c>
      <c r="C194" s="1" t="n">
        <v>45915</v>
      </c>
      <c r="D194" t="inlineStr">
        <is>
          <t>VÄRMLANDS LÄN</t>
        </is>
      </c>
      <c r="E194" t="inlineStr">
        <is>
          <t>ÅRJÄNG</t>
        </is>
      </c>
      <c r="G194" t="n">
        <v>0.4</v>
      </c>
      <c r="H194" t="n">
        <v>0</v>
      </c>
      <c r="I194" t="n">
        <v>0</v>
      </c>
      <c r="J194" t="n">
        <v>0</v>
      </c>
      <c r="K194" t="n">
        <v>0</v>
      </c>
      <c r="L194" t="n">
        <v>0</v>
      </c>
      <c r="M194" t="n">
        <v>0</v>
      </c>
      <c r="N194" t="n">
        <v>0</v>
      </c>
      <c r="O194" t="n">
        <v>0</v>
      </c>
      <c r="P194" t="n">
        <v>0</v>
      </c>
      <c r="Q194" t="n">
        <v>0</v>
      </c>
      <c r="R194" s="2" t="inlineStr"/>
    </row>
    <row r="195" ht="15" customHeight="1">
      <c r="A195" t="inlineStr">
        <is>
          <t>A 59453-2021</t>
        </is>
      </c>
      <c r="B195" s="1" t="n">
        <v>44491</v>
      </c>
      <c r="C195" s="1" t="n">
        <v>45915</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17927-2021</t>
        </is>
      </c>
      <c r="B196" s="1" t="n">
        <v>44301</v>
      </c>
      <c r="C196" s="1" t="n">
        <v>45915</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45915</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29098-2022</t>
        </is>
      </c>
      <c r="B198" s="1" t="n">
        <v>44750</v>
      </c>
      <c r="C198" s="1" t="n">
        <v>45915</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48594-2020</t>
        </is>
      </c>
      <c r="B199" s="1" t="n">
        <v>44103</v>
      </c>
      <c r="C199" s="1" t="n">
        <v>45915</v>
      </c>
      <c r="D199" t="inlineStr">
        <is>
          <t>VÄRMLANDS LÄN</t>
        </is>
      </c>
      <c r="E199" t="inlineStr">
        <is>
          <t>ÅRJÄNG</t>
        </is>
      </c>
      <c r="G199" t="n">
        <v>1.5</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45915</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47394-2020</t>
        </is>
      </c>
      <c r="B201" s="1" t="n">
        <v>44097</v>
      </c>
      <c r="C201" s="1" t="n">
        <v>45915</v>
      </c>
      <c r="D201" t="inlineStr">
        <is>
          <t>VÄRMLANDS LÄN</t>
        </is>
      </c>
      <c r="E201" t="inlineStr">
        <is>
          <t>ÅRJÄNG</t>
        </is>
      </c>
      <c r="G201" t="n">
        <v>1.6</v>
      </c>
      <c r="H201" t="n">
        <v>0</v>
      </c>
      <c r="I201" t="n">
        <v>0</v>
      </c>
      <c r="J201" t="n">
        <v>0</v>
      </c>
      <c r="K201" t="n">
        <v>0</v>
      </c>
      <c r="L201" t="n">
        <v>0</v>
      </c>
      <c r="M201" t="n">
        <v>0</v>
      </c>
      <c r="N201" t="n">
        <v>0</v>
      </c>
      <c r="O201" t="n">
        <v>0</v>
      </c>
      <c r="P201" t="n">
        <v>0</v>
      </c>
      <c r="Q201" t="n">
        <v>0</v>
      </c>
      <c r="R201" s="2" t="inlineStr"/>
    </row>
    <row r="202" ht="15" customHeight="1">
      <c r="A202" t="inlineStr">
        <is>
          <t>A 29174-2022</t>
        </is>
      </c>
      <c r="B202" s="1" t="n">
        <v>44750</v>
      </c>
      <c r="C202" s="1" t="n">
        <v>45915</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13152-2022</t>
        </is>
      </c>
      <c r="B203" s="1" t="n">
        <v>44643</v>
      </c>
      <c r="C203" s="1" t="n">
        <v>45915</v>
      </c>
      <c r="D203" t="inlineStr">
        <is>
          <t>VÄRMLANDS LÄN</t>
        </is>
      </c>
      <c r="E203" t="inlineStr">
        <is>
          <t>ÅRJÄNG</t>
        </is>
      </c>
      <c r="G203" t="n">
        <v>4</v>
      </c>
      <c r="H203" t="n">
        <v>0</v>
      </c>
      <c r="I203" t="n">
        <v>0</v>
      </c>
      <c r="J203" t="n">
        <v>0</v>
      </c>
      <c r="K203" t="n">
        <v>0</v>
      </c>
      <c r="L203" t="n">
        <v>0</v>
      </c>
      <c r="M203" t="n">
        <v>0</v>
      </c>
      <c r="N203" t="n">
        <v>0</v>
      </c>
      <c r="O203" t="n">
        <v>0</v>
      </c>
      <c r="P203" t="n">
        <v>0</v>
      </c>
      <c r="Q203" t="n">
        <v>0</v>
      </c>
      <c r="R203" s="2" t="inlineStr"/>
    </row>
    <row r="204" ht="15" customHeight="1">
      <c r="A204" t="inlineStr">
        <is>
          <t>A 16676-2021</t>
        </is>
      </c>
      <c r="B204" s="1" t="n">
        <v>44294.5668287037</v>
      </c>
      <c r="C204" s="1" t="n">
        <v>45915</v>
      </c>
      <c r="D204" t="inlineStr">
        <is>
          <t>VÄRMLANDS LÄN</t>
        </is>
      </c>
      <c r="E204" t="inlineStr">
        <is>
          <t>ÅRJÄNG</t>
        </is>
      </c>
      <c r="G204" t="n">
        <v>4.3</v>
      </c>
      <c r="H204" t="n">
        <v>0</v>
      </c>
      <c r="I204" t="n">
        <v>0</v>
      </c>
      <c r="J204" t="n">
        <v>0</v>
      </c>
      <c r="K204" t="n">
        <v>0</v>
      </c>
      <c r="L204" t="n">
        <v>0</v>
      </c>
      <c r="M204" t="n">
        <v>0</v>
      </c>
      <c r="N204" t="n">
        <v>0</v>
      </c>
      <c r="O204" t="n">
        <v>0</v>
      </c>
      <c r="P204" t="n">
        <v>0</v>
      </c>
      <c r="Q204" t="n">
        <v>0</v>
      </c>
      <c r="R204" s="2" t="inlineStr"/>
    </row>
    <row r="205" ht="15" customHeight="1">
      <c r="A205" t="inlineStr">
        <is>
          <t>A 8408-2022</t>
        </is>
      </c>
      <c r="B205" s="1" t="n">
        <v>44610</v>
      </c>
      <c r="C205" s="1" t="n">
        <v>45915</v>
      </c>
      <c r="D205" t="inlineStr">
        <is>
          <t>VÄRMLANDS LÄN</t>
        </is>
      </c>
      <c r="E205" t="inlineStr">
        <is>
          <t>ÅRJÄNG</t>
        </is>
      </c>
      <c r="G205" t="n">
        <v>3.9</v>
      </c>
      <c r="H205" t="n">
        <v>0</v>
      </c>
      <c r="I205" t="n">
        <v>0</v>
      </c>
      <c r="J205" t="n">
        <v>0</v>
      </c>
      <c r="K205" t="n">
        <v>0</v>
      </c>
      <c r="L205" t="n">
        <v>0</v>
      </c>
      <c r="M205" t="n">
        <v>0</v>
      </c>
      <c r="N205" t="n">
        <v>0</v>
      </c>
      <c r="O205" t="n">
        <v>0</v>
      </c>
      <c r="P205" t="n">
        <v>0</v>
      </c>
      <c r="Q205" t="n">
        <v>0</v>
      </c>
      <c r="R205" s="2" t="inlineStr"/>
    </row>
    <row r="206" ht="15" customHeight="1">
      <c r="A206" t="inlineStr">
        <is>
          <t>A 41416-2021</t>
        </is>
      </c>
      <c r="B206" s="1" t="n">
        <v>44424</v>
      </c>
      <c r="C206" s="1" t="n">
        <v>45915</v>
      </c>
      <c r="D206" t="inlineStr">
        <is>
          <t>VÄRMLANDS LÄN</t>
        </is>
      </c>
      <c r="E206" t="inlineStr">
        <is>
          <t>ÅRJÄNG</t>
        </is>
      </c>
      <c r="G206" t="n">
        <v>10.4</v>
      </c>
      <c r="H206" t="n">
        <v>0</v>
      </c>
      <c r="I206" t="n">
        <v>0</v>
      </c>
      <c r="J206" t="n">
        <v>0</v>
      </c>
      <c r="K206" t="n">
        <v>0</v>
      </c>
      <c r="L206" t="n">
        <v>0</v>
      </c>
      <c r="M206" t="n">
        <v>0</v>
      </c>
      <c r="N206" t="n">
        <v>0</v>
      </c>
      <c r="O206" t="n">
        <v>0</v>
      </c>
      <c r="P206" t="n">
        <v>0</v>
      </c>
      <c r="Q206" t="n">
        <v>0</v>
      </c>
      <c r="R206" s="2" t="inlineStr"/>
    </row>
    <row r="207" ht="15" customHeight="1">
      <c r="A207" t="inlineStr">
        <is>
          <t>A 71840-2021</t>
        </is>
      </c>
      <c r="B207" s="1" t="n">
        <v>44543</v>
      </c>
      <c r="C207" s="1" t="n">
        <v>45915</v>
      </c>
      <c r="D207" t="inlineStr">
        <is>
          <t>VÄRMLANDS LÄN</t>
        </is>
      </c>
      <c r="E207" t="inlineStr">
        <is>
          <t>ÅRJÄNG</t>
        </is>
      </c>
      <c r="G207" t="n">
        <v>6.5</v>
      </c>
      <c r="H207" t="n">
        <v>0</v>
      </c>
      <c r="I207" t="n">
        <v>0</v>
      </c>
      <c r="J207" t="n">
        <v>0</v>
      </c>
      <c r="K207" t="n">
        <v>0</v>
      </c>
      <c r="L207" t="n">
        <v>0</v>
      </c>
      <c r="M207" t="n">
        <v>0</v>
      </c>
      <c r="N207" t="n">
        <v>0</v>
      </c>
      <c r="O207" t="n">
        <v>0</v>
      </c>
      <c r="P207" t="n">
        <v>0</v>
      </c>
      <c r="Q207" t="n">
        <v>0</v>
      </c>
      <c r="R207" s="2" t="inlineStr"/>
    </row>
    <row r="208" ht="15" customHeight="1">
      <c r="A208" t="inlineStr">
        <is>
          <t>A 19893-2022</t>
        </is>
      </c>
      <c r="B208" s="1" t="n">
        <v>44697</v>
      </c>
      <c r="C208" s="1" t="n">
        <v>45915</v>
      </c>
      <c r="D208" t="inlineStr">
        <is>
          <t>VÄRMLANDS LÄN</t>
        </is>
      </c>
      <c r="E208" t="inlineStr">
        <is>
          <t>ÅRJÄNG</t>
        </is>
      </c>
      <c r="G208" t="n">
        <v>2.5</v>
      </c>
      <c r="H208" t="n">
        <v>0</v>
      </c>
      <c r="I208" t="n">
        <v>0</v>
      </c>
      <c r="J208" t="n">
        <v>0</v>
      </c>
      <c r="K208" t="n">
        <v>0</v>
      </c>
      <c r="L208" t="n">
        <v>0</v>
      </c>
      <c r="M208" t="n">
        <v>0</v>
      </c>
      <c r="N208" t="n">
        <v>0</v>
      </c>
      <c r="O208" t="n">
        <v>0</v>
      </c>
      <c r="P208" t="n">
        <v>0</v>
      </c>
      <c r="Q208" t="n">
        <v>0</v>
      </c>
      <c r="R208" s="2" t="inlineStr"/>
    </row>
    <row r="209" ht="15" customHeight="1">
      <c r="A209" t="inlineStr">
        <is>
          <t>A 36087-2021</t>
        </is>
      </c>
      <c r="B209" s="1" t="n">
        <v>44389</v>
      </c>
      <c r="C209" s="1" t="n">
        <v>45915</v>
      </c>
      <c r="D209" t="inlineStr">
        <is>
          <t>VÄRMLANDS LÄN</t>
        </is>
      </c>
      <c r="E209" t="inlineStr">
        <is>
          <t>ÅRJÄNG</t>
        </is>
      </c>
      <c r="G209" t="n">
        <v>2.2</v>
      </c>
      <c r="H209" t="n">
        <v>0</v>
      </c>
      <c r="I209" t="n">
        <v>0</v>
      </c>
      <c r="J209" t="n">
        <v>0</v>
      </c>
      <c r="K209" t="n">
        <v>0</v>
      </c>
      <c r="L209" t="n">
        <v>0</v>
      </c>
      <c r="M209" t="n">
        <v>0</v>
      </c>
      <c r="N209" t="n">
        <v>0</v>
      </c>
      <c r="O209" t="n">
        <v>0</v>
      </c>
      <c r="P209" t="n">
        <v>0</v>
      </c>
      <c r="Q209" t="n">
        <v>0</v>
      </c>
      <c r="R209" s="2" t="inlineStr"/>
    </row>
    <row r="210" ht="15" customHeight="1">
      <c r="A210" t="inlineStr">
        <is>
          <t>A 10612-2022</t>
        </is>
      </c>
      <c r="B210" s="1" t="n">
        <v>44624</v>
      </c>
      <c r="C210" s="1" t="n">
        <v>45915</v>
      </c>
      <c r="D210" t="inlineStr">
        <is>
          <t>VÄRMLANDS LÄN</t>
        </is>
      </c>
      <c r="E210" t="inlineStr">
        <is>
          <t>ÅRJÄNG</t>
        </is>
      </c>
      <c r="G210" t="n">
        <v>6.8</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45915</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19244-2021</t>
        </is>
      </c>
      <c r="B212" s="1" t="n">
        <v>44309</v>
      </c>
      <c r="C212" s="1" t="n">
        <v>45915</v>
      </c>
      <c r="D212" t="inlineStr">
        <is>
          <t>VÄRMLANDS LÄN</t>
        </is>
      </c>
      <c r="E212" t="inlineStr">
        <is>
          <t>ÅRJÄNG</t>
        </is>
      </c>
      <c r="G212" t="n">
        <v>2</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45915</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72996-2021</t>
        </is>
      </c>
      <c r="B214" s="1" t="n">
        <v>44549.8596875</v>
      </c>
      <c r="C214" s="1" t="n">
        <v>45915</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4915-2022</t>
        </is>
      </c>
      <c r="B215" s="1" t="n">
        <v>44593</v>
      </c>
      <c r="C215" s="1" t="n">
        <v>45915</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27862-2021</t>
        </is>
      </c>
      <c r="B216" s="1" t="n">
        <v>44354</v>
      </c>
      <c r="C216" s="1" t="n">
        <v>45915</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43034-2021</t>
        </is>
      </c>
      <c r="B217" s="1" t="n">
        <v>44431</v>
      </c>
      <c r="C217" s="1" t="n">
        <v>45915</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60715-2021</t>
        </is>
      </c>
      <c r="B218" s="1" t="n">
        <v>44496.70440972222</v>
      </c>
      <c r="C218" s="1" t="n">
        <v>45915</v>
      </c>
      <c r="D218" t="inlineStr">
        <is>
          <t>VÄRMLANDS LÄN</t>
        </is>
      </c>
      <c r="E218" t="inlineStr">
        <is>
          <t>ÅRJÄNG</t>
        </is>
      </c>
      <c r="G218" t="n">
        <v>7.4</v>
      </c>
      <c r="H218" t="n">
        <v>0</v>
      </c>
      <c r="I218" t="n">
        <v>0</v>
      </c>
      <c r="J218" t="n">
        <v>0</v>
      </c>
      <c r="K218" t="n">
        <v>0</v>
      </c>
      <c r="L218" t="n">
        <v>0</v>
      </c>
      <c r="M218" t="n">
        <v>0</v>
      </c>
      <c r="N218" t="n">
        <v>0</v>
      </c>
      <c r="O218" t="n">
        <v>0</v>
      </c>
      <c r="P218" t="n">
        <v>0</v>
      </c>
      <c r="Q218" t="n">
        <v>0</v>
      </c>
      <c r="R218" s="2" t="inlineStr"/>
    </row>
    <row r="219" ht="15" customHeight="1">
      <c r="A219" t="inlineStr">
        <is>
          <t>A 41539-2022</t>
        </is>
      </c>
      <c r="B219" s="1" t="n">
        <v>44825</v>
      </c>
      <c r="C219" s="1" t="n">
        <v>45915</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45915</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37949-2022</t>
        </is>
      </c>
      <c r="B221" s="1" t="n">
        <v>44811.48773148148</v>
      </c>
      <c r="C221" s="1" t="n">
        <v>45915</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69024-2021</t>
        </is>
      </c>
      <c r="B222" s="1" t="n">
        <v>44530.61547453704</v>
      </c>
      <c r="C222" s="1" t="n">
        <v>45915</v>
      </c>
      <c r="D222" t="inlineStr">
        <is>
          <t>VÄRMLANDS LÄN</t>
        </is>
      </c>
      <c r="E222" t="inlineStr">
        <is>
          <t>ÅRJÄNG</t>
        </is>
      </c>
      <c r="G222" t="n">
        <v>0.3</v>
      </c>
      <c r="H222" t="n">
        <v>0</v>
      </c>
      <c r="I222" t="n">
        <v>0</v>
      </c>
      <c r="J222" t="n">
        <v>0</v>
      </c>
      <c r="K222" t="n">
        <v>0</v>
      </c>
      <c r="L222" t="n">
        <v>0</v>
      </c>
      <c r="M222" t="n">
        <v>0</v>
      </c>
      <c r="N222" t="n">
        <v>0</v>
      </c>
      <c r="O222" t="n">
        <v>0</v>
      </c>
      <c r="P222" t="n">
        <v>0</v>
      </c>
      <c r="Q222" t="n">
        <v>0</v>
      </c>
      <c r="R222" s="2" t="inlineStr"/>
    </row>
    <row r="223" ht="15" customHeight="1">
      <c r="A223" t="inlineStr">
        <is>
          <t>A 40643-2022</t>
        </is>
      </c>
      <c r="B223" s="1" t="n">
        <v>44824.32023148148</v>
      </c>
      <c r="C223" s="1" t="n">
        <v>45915</v>
      </c>
      <c r="D223" t="inlineStr">
        <is>
          <t>VÄRMLANDS LÄN</t>
        </is>
      </c>
      <c r="E223" t="inlineStr">
        <is>
          <t>ÅRJÄNG</t>
        </is>
      </c>
      <c r="G223" t="n">
        <v>0.4</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45915</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45915</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45915</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48089-2020</t>
        </is>
      </c>
      <c r="B227" s="1" t="n">
        <v>44101</v>
      </c>
      <c r="C227" s="1" t="n">
        <v>45915</v>
      </c>
      <c r="D227" t="inlineStr">
        <is>
          <t>VÄRMLANDS LÄN</t>
        </is>
      </c>
      <c r="E227" t="inlineStr">
        <is>
          <t>ÅRJÄNG</t>
        </is>
      </c>
      <c r="G227" t="n">
        <v>6.7</v>
      </c>
      <c r="H227" t="n">
        <v>0</v>
      </c>
      <c r="I227" t="n">
        <v>0</v>
      </c>
      <c r="J227" t="n">
        <v>0</v>
      </c>
      <c r="K227" t="n">
        <v>0</v>
      </c>
      <c r="L227" t="n">
        <v>0</v>
      </c>
      <c r="M227" t="n">
        <v>0</v>
      </c>
      <c r="N227" t="n">
        <v>0</v>
      </c>
      <c r="O227" t="n">
        <v>0</v>
      </c>
      <c r="P227" t="n">
        <v>0</v>
      </c>
      <c r="Q227" t="n">
        <v>0</v>
      </c>
      <c r="R227" s="2" t="inlineStr"/>
    </row>
    <row r="228" ht="15" customHeight="1">
      <c r="A228" t="inlineStr">
        <is>
          <t>A 10518-2022</t>
        </is>
      </c>
      <c r="B228" s="1" t="n">
        <v>44623.77545138889</v>
      </c>
      <c r="C228" s="1" t="n">
        <v>45915</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45915</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36532-2022</t>
        </is>
      </c>
      <c r="B230" s="1" t="n">
        <v>44804</v>
      </c>
      <c r="C230" s="1" t="n">
        <v>45915</v>
      </c>
      <c r="D230" t="inlineStr">
        <is>
          <t>VÄRMLANDS LÄN</t>
        </is>
      </c>
      <c r="E230" t="inlineStr">
        <is>
          <t>ÅRJÄNG</t>
        </is>
      </c>
      <c r="G230" t="n">
        <v>12.7</v>
      </c>
      <c r="H230" t="n">
        <v>0</v>
      </c>
      <c r="I230" t="n">
        <v>0</v>
      </c>
      <c r="J230" t="n">
        <v>0</v>
      </c>
      <c r="K230" t="n">
        <v>0</v>
      </c>
      <c r="L230" t="n">
        <v>0</v>
      </c>
      <c r="M230" t="n">
        <v>0</v>
      </c>
      <c r="N230" t="n">
        <v>0</v>
      </c>
      <c r="O230" t="n">
        <v>0</v>
      </c>
      <c r="P230" t="n">
        <v>0</v>
      </c>
      <c r="Q230" t="n">
        <v>0</v>
      </c>
      <c r="R230" s="2" t="inlineStr"/>
    </row>
    <row r="231" ht="15" customHeight="1">
      <c r="A231" t="inlineStr">
        <is>
          <t>A 6900-2021</t>
        </is>
      </c>
      <c r="B231" s="1" t="n">
        <v>44237</v>
      </c>
      <c r="C231" s="1" t="n">
        <v>45915</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6908-2021</t>
        </is>
      </c>
      <c r="B232" s="1" t="n">
        <v>44237</v>
      </c>
      <c r="C232" s="1" t="n">
        <v>45915</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46002-2020</t>
        </is>
      </c>
      <c r="B233" s="1" t="n">
        <v>44091</v>
      </c>
      <c r="C233" s="1" t="n">
        <v>45915</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48132-2020</t>
        </is>
      </c>
      <c r="B234" s="1" t="n">
        <v>44102</v>
      </c>
      <c r="C234" s="1" t="n">
        <v>45915</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74166-2021</t>
        </is>
      </c>
      <c r="B235" s="1" t="n">
        <v>44558</v>
      </c>
      <c r="C235" s="1" t="n">
        <v>45915</v>
      </c>
      <c r="D235" t="inlineStr">
        <is>
          <t>VÄRMLANDS LÄN</t>
        </is>
      </c>
      <c r="E235" t="inlineStr">
        <is>
          <t>ÅRJÄNG</t>
        </is>
      </c>
      <c r="G235" t="n">
        <v>1.4</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45915</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60713-2021</t>
        </is>
      </c>
      <c r="B237" s="1" t="n">
        <v>44496</v>
      </c>
      <c r="C237" s="1" t="n">
        <v>45915</v>
      </c>
      <c r="D237" t="inlineStr">
        <is>
          <t>VÄRMLANDS LÄN</t>
        </is>
      </c>
      <c r="E237" t="inlineStr">
        <is>
          <t>ÅRJÄNG</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73138-2021</t>
        </is>
      </c>
      <c r="B238" s="1" t="n">
        <v>44550</v>
      </c>
      <c r="C238" s="1" t="n">
        <v>45915</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74189-2021</t>
        </is>
      </c>
      <c r="B239" s="1" t="n">
        <v>44553</v>
      </c>
      <c r="C239" s="1" t="n">
        <v>45915</v>
      </c>
      <c r="D239" t="inlineStr">
        <is>
          <t>VÄRMLANDS LÄN</t>
        </is>
      </c>
      <c r="E239" t="inlineStr">
        <is>
          <t>ÅRJÄNG</t>
        </is>
      </c>
      <c r="G239" t="n">
        <v>1.9</v>
      </c>
      <c r="H239" t="n">
        <v>0</v>
      </c>
      <c r="I239" t="n">
        <v>0</v>
      </c>
      <c r="J239" t="n">
        <v>0</v>
      </c>
      <c r="K239" t="n">
        <v>0</v>
      </c>
      <c r="L239" t="n">
        <v>0</v>
      </c>
      <c r="M239" t="n">
        <v>0</v>
      </c>
      <c r="N239" t="n">
        <v>0</v>
      </c>
      <c r="O239" t="n">
        <v>0</v>
      </c>
      <c r="P239" t="n">
        <v>0</v>
      </c>
      <c r="Q239" t="n">
        <v>0</v>
      </c>
      <c r="R239" s="2" t="inlineStr"/>
    </row>
    <row r="240" ht="15" customHeight="1">
      <c r="A240" t="inlineStr">
        <is>
          <t>A 13156-2022</t>
        </is>
      </c>
      <c r="B240" s="1" t="n">
        <v>44643</v>
      </c>
      <c r="C240" s="1" t="n">
        <v>45915</v>
      </c>
      <c r="D240" t="inlineStr">
        <is>
          <t>VÄRMLANDS LÄN</t>
        </is>
      </c>
      <c r="E240" t="inlineStr">
        <is>
          <t>ÅRJÄNG</t>
        </is>
      </c>
      <c r="G240" t="n">
        <v>7.8</v>
      </c>
      <c r="H240" t="n">
        <v>0</v>
      </c>
      <c r="I240" t="n">
        <v>0</v>
      </c>
      <c r="J240" t="n">
        <v>0</v>
      </c>
      <c r="K240" t="n">
        <v>0</v>
      </c>
      <c r="L240" t="n">
        <v>0</v>
      </c>
      <c r="M240" t="n">
        <v>0</v>
      </c>
      <c r="N240" t="n">
        <v>0</v>
      </c>
      <c r="O240" t="n">
        <v>0</v>
      </c>
      <c r="P240" t="n">
        <v>0</v>
      </c>
      <c r="Q240" t="n">
        <v>0</v>
      </c>
      <c r="R240" s="2" t="inlineStr"/>
    </row>
    <row r="241" ht="15" customHeight="1">
      <c r="A241" t="inlineStr">
        <is>
          <t>A 47005-2021</t>
        </is>
      </c>
      <c r="B241" s="1" t="n">
        <v>44446</v>
      </c>
      <c r="C241" s="1" t="n">
        <v>45915</v>
      </c>
      <c r="D241" t="inlineStr">
        <is>
          <t>VÄRMLANDS LÄN</t>
        </is>
      </c>
      <c r="E241" t="inlineStr">
        <is>
          <t>ÅRJÄNG</t>
        </is>
      </c>
      <c r="G241" t="n">
        <v>6.3</v>
      </c>
      <c r="H241" t="n">
        <v>0</v>
      </c>
      <c r="I241" t="n">
        <v>0</v>
      </c>
      <c r="J241" t="n">
        <v>0</v>
      </c>
      <c r="K241" t="n">
        <v>0</v>
      </c>
      <c r="L241" t="n">
        <v>0</v>
      </c>
      <c r="M241" t="n">
        <v>0</v>
      </c>
      <c r="N241" t="n">
        <v>0</v>
      </c>
      <c r="O241" t="n">
        <v>0</v>
      </c>
      <c r="P241" t="n">
        <v>0</v>
      </c>
      <c r="Q241" t="n">
        <v>0</v>
      </c>
      <c r="R241" s="2" t="inlineStr"/>
    </row>
    <row r="242" ht="15" customHeight="1">
      <c r="A242" t="inlineStr">
        <is>
          <t>A 47033-2021</t>
        </is>
      </c>
      <c r="B242" s="1" t="n">
        <v>44446</v>
      </c>
      <c r="C242" s="1" t="n">
        <v>45915</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53235-2020</t>
        </is>
      </c>
      <c r="B243" s="1" t="n">
        <v>44123</v>
      </c>
      <c r="C243" s="1" t="n">
        <v>45915</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9407-2022</t>
        </is>
      </c>
      <c r="B244" s="1" t="n">
        <v>44616.65760416666</v>
      </c>
      <c r="C244" s="1" t="n">
        <v>45915</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8938-2022</t>
        </is>
      </c>
      <c r="B245" s="1" t="n">
        <v>44614.7222337963</v>
      </c>
      <c r="C245" s="1" t="n">
        <v>45915</v>
      </c>
      <c r="D245" t="inlineStr">
        <is>
          <t>VÄRMLANDS LÄN</t>
        </is>
      </c>
      <c r="E245" t="inlineStr">
        <is>
          <t>ÅRJÄNG</t>
        </is>
      </c>
      <c r="G245" t="n">
        <v>11.9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45915</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36016-2022</t>
        </is>
      </c>
      <c r="B247" s="1" t="n">
        <v>44802.64721064815</v>
      </c>
      <c r="C247" s="1" t="n">
        <v>45915</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57748-2020</t>
        </is>
      </c>
      <c r="B248" s="1" t="n">
        <v>44140</v>
      </c>
      <c r="C248" s="1" t="n">
        <v>45915</v>
      </c>
      <c r="D248" t="inlineStr">
        <is>
          <t>VÄRMLANDS LÄN</t>
        </is>
      </c>
      <c r="E248" t="inlineStr">
        <is>
          <t>ÅRJÄNG</t>
        </is>
      </c>
      <c r="G248" t="n">
        <v>1.4</v>
      </c>
      <c r="H248" t="n">
        <v>0</v>
      </c>
      <c r="I248" t="n">
        <v>0</v>
      </c>
      <c r="J248" t="n">
        <v>0</v>
      </c>
      <c r="K248" t="n">
        <v>0</v>
      </c>
      <c r="L248" t="n">
        <v>0</v>
      </c>
      <c r="M248" t="n">
        <v>0</v>
      </c>
      <c r="N248" t="n">
        <v>0</v>
      </c>
      <c r="O248" t="n">
        <v>0</v>
      </c>
      <c r="P248" t="n">
        <v>0</v>
      </c>
      <c r="Q248" t="n">
        <v>0</v>
      </c>
      <c r="R248" s="2" t="inlineStr"/>
    </row>
    <row r="249" ht="15" customHeight="1">
      <c r="A249" t="inlineStr">
        <is>
          <t>A 1567-2022</t>
        </is>
      </c>
      <c r="B249" s="1" t="n">
        <v>44573</v>
      </c>
      <c r="C249" s="1" t="n">
        <v>45915</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60011-2020</t>
        </is>
      </c>
      <c r="B250" s="1" t="n">
        <v>44151</v>
      </c>
      <c r="C250" s="1" t="n">
        <v>45915</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48652-2020</t>
        </is>
      </c>
      <c r="B251" s="1" t="n">
        <v>44103</v>
      </c>
      <c r="C251" s="1" t="n">
        <v>45915</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57437-2020</t>
        </is>
      </c>
      <c r="B252" s="1" t="n">
        <v>44140</v>
      </c>
      <c r="C252" s="1" t="n">
        <v>45915</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57444-2020</t>
        </is>
      </c>
      <c r="B253" s="1" t="n">
        <v>44140</v>
      </c>
      <c r="C253" s="1" t="n">
        <v>45915</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55654-2022</t>
        </is>
      </c>
      <c r="B254" s="1" t="n">
        <v>44888</v>
      </c>
      <c r="C254" s="1" t="n">
        <v>45915</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10898-2022</t>
        </is>
      </c>
      <c r="B255" s="1" t="n">
        <v>44627</v>
      </c>
      <c r="C255" s="1" t="n">
        <v>45915</v>
      </c>
      <c r="D255" t="inlineStr">
        <is>
          <t>VÄRMLANDS LÄN</t>
        </is>
      </c>
      <c r="E255" t="inlineStr">
        <is>
          <t>ÅRJÄNG</t>
        </is>
      </c>
      <c r="G255" t="n">
        <v>10.2</v>
      </c>
      <c r="H255" t="n">
        <v>0</v>
      </c>
      <c r="I255" t="n">
        <v>0</v>
      </c>
      <c r="J255" t="n">
        <v>0</v>
      </c>
      <c r="K255" t="n">
        <v>0</v>
      </c>
      <c r="L255" t="n">
        <v>0</v>
      </c>
      <c r="M255" t="n">
        <v>0</v>
      </c>
      <c r="N255" t="n">
        <v>0</v>
      </c>
      <c r="O255" t="n">
        <v>0</v>
      </c>
      <c r="P255" t="n">
        <v>0</v>
      </c>
      <c r="Q255" t="n">
        <v>0</v>
      </c>
      <c r="R255" s="2" t="inlineStr"/>
    </row>
    <row r="256" ht="15" customHeight="1">
      <c r="A256" t="inlineStr">
        <is>
          <t>A 57761-2020</t>
        </is>
      </c>
      <c r="B256" s="1" t="n">
        <v>44140</v>
      </c>
      <c r="C256" s="1" t="n">
        <v>45915</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52761-2022</t>
        </is>
      </c>
      <c r="B257" s="1" t="n">
        <v>44875.3165162037</v>
      </c>
      <c r="C257" s="1" t="n">
        <v>45915</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16400-2022</t>
        </is>
      </c>
      <c r="B258" s="1" t="n">
        <v>44671</v>
      </c>
      <c r="C258" s="1" t="n">
        <v>45915</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4400-2022</t>
        </is>
      </c>
      <c r="B259" s="1" t="n">
        <v>44588</v>
      </c>
      <c r="C259" s="1" t="n">
        <v>45915</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45915</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45915</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45915</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45915</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45915</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65979-2021</t>
        </is>
      </c>
      <c r="B265" s="1" t="n">
        <v>44517.54078703704</v>
      </c>
      <c r="C265" s="1" t="n">
        <v>45915</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14094-2021</t>
        </is>
      </c>
      <c r="B266" s="1" t="n">
        <v>44278.29547453704</v>
      </c>
      <c r="C266" s="1" t="n">
        <v>45915</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63393-2020</t>
        </is>
      </c>
      <c r="B267" s="1" t="n">
        <v>44165.51438657408</v>
      </c>
      <c r="C267" s="1" t="n">
        <v>45915</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53739-2021</t>
        </is>
      </c>
      <c r="B268" s="1" t="n">
        <v>44469</v>
      </c>
      <c r="C268" s="1" t="n">
        <v>45915</v>
      </c>
      <c r="D268" t="inlineStr">
        <is>
          <t>VÄRMLANDS LÄN</t>
        </is>
      </c>
      <c r="E268" t="inlineStr">
        <is>
          <t>ÅRJÄNG</t>
        </is>
      </c>
      <c r="G268" t="n">
        <v>15.9</v>
      </c>
      <c r="H268" t="n">
        <v>0</v>
      </c>
      <c r="I268" t="n">
        <v>0</v>
      </c>
      <c r="J268" t="n">
        <v>0</v>
      </c>
      <c r="K268" t="n">
        <v>0</v>
      </c>
      <c r="L268" t="n">
        <v>0</v>
      </c>
      <c r="M268" t="n">
        <v>0</v>
      </c>
      <c r="N268" t="n">
        <v>0</v>
      </c>
      <c r="O268" t="n">
        <v>0</v>
      </c>
      <c r="P268" t="n">
        <v>0</v>
      </c>
      <c r="Q268" t="n">
        <v>0</v>
      </c>
      <c r="R268" s="2" t="inlineStr"/>
    </row>
    <row r="269" ht="15" customHeight="1">
      <c r="A269" t="inlineStr">
        <is>
          <t>A 47035-2021</t>
        </is>
      </c>
      <c r="B269" s="1" t="n">
        <v>44446</v>
      </c>
      <c r="C269" s="1" t="n">
        <v>45915</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21701-2021</t>
        </is>
      </c>
      <c r="B270" s="1" t="n">
        <v>44322</v>
      </c>
      <c r="C270" s="1" t="n">
        <v>45915</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35015-2021</t>
        </is>
      </c>
      <c r="B271" s="1" t="n">
        <v>44383.69291666667</v>
      </c>
      <c r="C271" s="1" t="n">
        <v>45915</v>
      </c>
      <c r="D271" t="inlineStr">
        <is>
          <t>VÄRMLANDS LÄN</t>
        </is>
      </c>
      <c r="E271" t="inlineStr">
        <is>
          <t>ÅRJÄNG</t>
        </is>
      </c>
      <c r="G271" t="n">
        <v>3.9</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45915</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28925-2022</t>
        </is>
      </c>
      <c r="B273" s="1" t="n">
        <v>44749.57684027778</v>
      </c>
      <c r="C273" s="1" t="n">
        <v>45915</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8438-2022</t>
        </is>
      </c>
      <c r="B274" s="1" t="n">
        <v>44612</v>
      </c>
      <c r="C274" s="1" t="n">
        <v>45915</v>
      </c>
      <c r="D274" t="inlineStr">
        <is>
          <t>VÄRMLANDS LÄN</t>
        </is>
      </c>
      <c r="E274" t="inlineStr">
        <is>
          <t>ÅRJÄNG</t>
        </is>
      </c>
      <c r="G274" t="n">
        <v>3.4</v>
      </c>
      <c r="H274" t="n">
        <v>0</v>
      </c>
      <c r="I274" t="n">
        <v>0</v>
      </c>
      <c r="J274" t="n">
        <v>0</v>
      </c>
      <c r="K274" t="n">
        <v>0</v>
      </c>
      <c r="L274" t="n">
        <v>0</v>
      </c>
      <c r="M274" t="n">
        <v>0</v>
      </c>
      <c r="N274" t="n">
        <v>0</v>
      </c>
      <c r="O274" t="n">
        <v>0</v>
      </c>
      <c r="P274" t="n">
        <v>0</v>
      </c>
      <c r="Q274" t="n">
        <v>0</v>
      </c>
      <c r="R274" s="2" t="inlineStr"/>
    </row>
    <row r="275" ht="15" customHeight="1">
      <c r="A275" t="inlineStr">
        <is>
          <t>A 10899-2022</t>
        </is>
      </c>
      <c r="B275" s="1" t="n">
        <v>44627</v>
      </c>
      <c r="C275" s="1" t="n">
        <v>45915</v>
      </c>
      <c r="D275" t="inlineStr">
        <is>
          <t>VÄRMLANDS LÄN</t>
        </is>
      </c>
      <c r="E275" t="inlineStr">
        <is>
          <t>ÅRJÄNG</t>
        </is>
      </c>
      <c r="G275" t="n">
        <v>2.9</v>
      </c>
      <c r="H275" t="n">
        <v>0</v>
      </c>
      <c r="I275" t="n">
        <v>0</v>
      </c>
      <c r="J275" t="n">
        <v>0</v>
      </c>
      <c r="K275" t="n">
        <v>0</v>
      </c>
      <c r="L275" t="n">
        <v>0</v>
      </c>
      <c r="M275" t="n">
        <v>0</v>
      </c>
      <c r="N275" t="n">
        <v>0</v>
      </c>
      <c r="O275" t="n">
        <v>0</v>
      </c>
      <c r="P275" t="n">
        <v>0</v>
      </c>
      <c r="Q275" t="n">
        <v>0</v>
      </c>
      <c r="R275" s="2" t="inlineStr"/>
    </row>
    <row r="276" ht="15" customHeight="1">
      <c r="A276" t="inlineStr">
        <is>
          <t>A 50044-2022</t>
        </is>
      </c>
      <c r="B276" s="1" t="n">
        <v>44865</v>
      </c>
      <c r="C276" s="1" t="n">
        <v>45915</v>
      </c>
      <c r="D276" t="inlineStr">
        <is>
          <t>VÄRMLANDS LÄN</t>
        </is>
      </c>
      <c r="E276" t="inlineStr">
        <is>
          <t>ÅRJÄNG</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66334-2020</t>
        </is>
      </c>
      <c r="B277" s="1" t="n">
        <v>44174</v>
      </c>
      <c r="C277" s="1" t="n">
        <v>45915</v>
      </c>
      <c r="D277" t="inlineStr">
        <is>
          <t>VÄRMLANDS LÄN</t>
        </is>
      </c>
      <c r="E277" t="inlineStr">
        <is>
          <t>ÅRJÄNG</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50569-2021</t>
        </is>
      </c>
      <c r="B278" s="1" t="n">
        <v>44459</v>
      </c>
      <c r="C278" s="1" t="n">
        <v>45915</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39661-2022</t>
        </is>
      </c>
      <c r="B279" s="1" t="n">
        <v>44818.79202546296</v>
      </c>
      <c r="C279" s="1" t="n">
        <v>45915</v>
      </c>
      <c r="D279" t="inlineStr">
        <is>
          <t>VÄRMLANDS LÄN</t>
        </is>
      </c>
      <c r="E279" t="inlineStr">
        <is>
          <t>ÅRJÄNG</t>
        </is>
      </c>
      <c r="G279" t="n">
        <v>0.6</v>
      </c>
      <c r="H279" t="n">
        <v>0</v>
      </c>
      <c r="I279" t="n">
        <v>0</v>
      </c>
      <c r="J279" t="n">
        <v>0</v>
      </c>
      <c r="K279" t="n">
        <v>0</v>
      </c>
      <c r="L279" t="n">
        <v>0</v>
      </c>
      <c r="M279" t="n">
        <v>0</v>
      </c>
      <c r="N279" t="n">
        <v>0</v>
      </c>
      <c r="O279" t="n">
        <v>0</v>
      </c>
      <c r="P279" t="n">
        <v>0</v>
      </c>
      <c r="Q279" t="n">
        <v>0</v>
      </c>
      <c r="R279" s="2" t="inlineStr"/>
    </row>
    <row r="280" ht="15" customHeight="1">
      <c r="A280" t="inlineStr">
        <is>
          <t>A 19964-2023</t>
        </is>
      </c>
      <c r="B280" s="1" t="n">
        <v>45051</v>
      </c>
      <c r="C280" s="1" t="n">
        <v>45915</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45915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12072-2024</t>
        </is>
      </c>
      <c r="B282" s="1" t="n">
        <v>45377</v>
      </c>
      <c r="C282" s="1" t="n">
        <v>45915</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47228-2023</t>
        </is>
      </c>
      <c r="B283" s="1" t="n">
        <v>45202.3709837963</v>
      </c>
      <c r="C283" s="1" t="n">
        <v>45915</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45915</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56778-2024</t>
        </is>
      </c>
      <c r="B285" s="1" t="n">
        <v>45628</v>
      </c>
      <c r="C285" s="1" t="n">
        <v>45915</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47688-2023</t>
        </is>
      </c>
      <c r="B286" s="1" t="n">
        <v>45203</v>
      </c>
      <c r="C286" s="1" t="n">
        <v>45915</v>
      </c>
      <c r="D286" t="inlineStr">
        <is>
          <t>VÄRMLANDS LÄN</t>
        </is>
      </c>
      <c r="E286" t="inlineStr">
        <is>
          <t>ÅRJÄNG</t>
        </is>
      </c>
      <c r="F286" t="inlineStr">
        <is>
          <t>Övriga Aktiebolag</t>
        </is>
      </c>
      <c r="G286" t="n">
        <v>20.3</v>
      </c>
      <c r="H286" t="n">
        <v>0</v>
      </c>
      <c r="I286" t="n">
        <v>0</v>
      </c>
      <c r="J286" t="n">
        <v>0</v>
      </c>
      <c r="K286" t="n">
        <v>0</v>
      </c>
      <c r="L286" t="n">
        <v>0</v>
      </c>
      <c r="M286" t="n">
        <v>0</v>
      </c>
      <c r="N286" t="n">
        <v>0</v>
      </c>
      <c r="O286" t="n">
        <v>0</v>
      </c>
      <c r="P286" t="n">
        <v>0</v>
      </c>
      <c r="Q286" t="n">
        <v>0</v>
      </c>
      <c r="R286" s="2" t="inlineStr"/>
    </row>
    <row r="287" ht="15" customHeight="1">
      <c r="A287" t="inlineStr">
        <is>
          <t>A 9484-2021</t>
        </is>
      </c>
      <c r="B287" s="1" t="n">
        <v>44251</v>
      </c>
      <c r="C287" s="1" t="n">
        <v>45915</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36948-2021</t>
        </is>
      </c>
      <c r="B288" s="1" t="n">
        <v>44393.53646990741</v>
      </c>
      <c r="C288" s="1" t="n">
        <v>45915</v>
      </c>
      <c r="D288" t="inlineStr">
        <is>
          <t>VÄRMLANDS LÄN</t>
        </is>
      </c>
      <c r="E288" t="inlineStr">
        <is>
          <t>ÅRJÄNG</t>
        </is>
      </c>
      <c r="G288" t="n">
        <v>4.4</v>
      </c>
      <c r="H288" t="n">
        <v>0</v>
      </c>
      <c r="I288" t="n">
        <v>0</v>
      </c>
      <c r="J288" t="n">
        <v>0</v>
      </c>
      <c r="K288" t="n">
        <v>0</v>
      </c>
      <c r="L288" t="n">
        <v>0</v>
      </c>
      <c r="M288" t="n">
        <v>0</v>
      </c>
      <c r="N288" t="n">
        <v>0</v>
      </c>
      <c r="O288" t="n">
        <v>0</v>
      </c>
      <c r="P288" t="n">
        <v>0</v>
      </c>
      <c r="Q288" t="n">
        <v>0</v>
      </c>
      <c r="R288" s="2" t="inlineStr"/>
    </row>
    <row r="289" ht="15" customHeight="1">
      <c r="A289" t="inlineStr">
        <is>
          <t>A 4668-2025</t>
        </is>
      </c>
      <c r="B289" s="1" t="n">
        <v>45687.76229166667</v>
      </c>
      <c r="C289" s="1" t="n">
        <v>45915</v>
      </c>
      <c r="D289" t="inlineStr">
        <is>
          <t>VÄRMLANDS LÄN</t>
        </is>
      </c>
      <c r="E289" t="inlineStr">
        <is>
          <t>ÅRJÄNG</t>
        </is>
      </c>
      <c r="G289" t="n">
        <v>8.5</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45915</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16791-2025</t>
        </is>
      </c>
      <c r="B291" s="1" t="n">
        <v>45754</v>
      </c>
      <c r="C291" s="1" t="n">
        <v>45915</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11805-2024</t>
        </is>
      </c>
      <c r="B292" s="1" t="n">
        <v>45375.76523148148</v>
      </c>
      <c r="C292" s="1" t="n">
        <v>45915</v>
      </c>
      <c r="D292" t="inlineStr">
        <is>
          <t>VÄRMLANDS LÄN</t>
        </is>
      </c>
      <c r="E292" t="inlineStr">
        <is>
          <t>ÅRJÄNG</t>
        </is>
      </c>
      <c r="G292" t="n">
        <v>4.4</v>
      </c>
      <c r="H292" t="n">
        <v>0</v>
      </c>
      <c r="I292" t="n">
        <v>0</v>
      </c>
      <c r="J292" t="n">
        <v>0</v>
      </c>
      <c r="K292" t="n">
        <v>0</v>
      </c>
      <c r="L292" t="n">
        <v>0</v>
      </c>
      <c r="M292" t="n">
        <v>0</v>
      </c>
      <c r="N292" t="n">
        <v>0</v>
      </c>
      <c r="O292" t="n">
        <v>0</v>
      </c>
      <c r="P292" t="n">
        <v>0</v>
      </c>
      <c r="Q292" t="n">
        <v>0</v>
      </c>
      <c r="R292" s="2" t="inlineStr"/>
    </row>
    <row r="293" ht="15" customHeight="1">
      <c r="A293" t="inlineStr">
        <is>
          <t>A 15828-2024</t>
        </is>
      </c>
      <c r="B293" s="1" t="n">
        <v>45404</v>
      </c>
      <c r="C293" s="1" t="n">
        <v>45915</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54961-2024</t>
        </is>
      </c>
      <c r="B294" s="1" t="n">
        <v>45619.9753125</v>
      </c>
      <c r="C294" s="1" t="n">
        <v>45915</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45915</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45915</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17135-2022</t>
        </is>
      </c>
      <c r="B297" s="1" t="n">
        <v>44677</v>
      </c>
      <c r="C297" s="1" t="n">
        <v>45915</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30459-2022</t>
        </is>
      </c>
      <c r="B298" s="1" t="n">
        <v>44761</v>
      </c>
      <c r="C298" s="1" t="n">
        <v>45915</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40490-2022</t>
        </is>
      </c>
      <c r="B299" s="1" t="n">
        <v>44823.58560185185</v>
      </c>
      <c r="C299" s="1" t="n">
        <v>45915</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8831-2025</t>
        </is>
      </c>
      <c r="B300" s="1" t="n">
        <v>45712.90697916667</v>
      </c>
      <c r="C300" s="1" t="n">
        <v>45915</v>
      </c>
      <c r="D300" t="inlineStr">
        <is>
          <t>VÄRMLANDS LÄN</t>
        </is>
      </c>
      <c r="E300" t="inlineStr">
        <is>
          <t>ÅRJÄNG</t>
        </is>
      </c>
      <c r="G300" t="n">
        <v>32.9</v>
      </c>
      <c r="H300" t="n">
        <v>0</v>
      </c>
      <c r="I300" t="n">
        <v>0</v>
      </c>
      <c r="J300" t="n">
        <v>0</v>
      </c>
      <c r="K300" t="n">
        <v>0</v>
      </c>
      <c r="L300" t="n">
        <v>0</v>
      </c>
      <c r="M300" t="n">
        <v>0</v>
      </c>
      <c r="N300" t="n">
        <v>0</v>
      </c>
      <c r="O300" t="n">
        <v>0</v>
      </c>
      <c r="P300" t="n">
        <v>0</v>
      </c>
      <c r="Q300" t="n">
        <v>0</v>
      </c>
      <c r="R300" s="2" t="inlineStr"/>
    </row>
    <row r="301" ht="15" customHeight="1">
      <c r="A301" t="inlineStr">
        <is>
          <t>A 8834-2025</t>
        </is>
      </c>
      <c r="B301" s="1" t="n">
        <v>45712.921875</v>
      </c>
      <c r="C301" s="1" t="n">
        <v>45915</v>
      </c>
      <c r="D301" t="inlineStr">
        <is>
          <t>VÄRMLANDS LÄN</t>
        </is>
      </c>
      <c r="E301" t="inlineStr">
        <is>
          <t>ÅRJÄNG</t>
        </is>
      </c>
      <c r="G301" t="n">
        <v>2.2</v>
      </c>
      <c r="H301" t="n">
        <v>0</v>
      </c>
      <c r="I301" t="n">
        <v>0</v>
      </c>
      <c r="J301" t="n">
        <v>0</v>
      </c>
      <c r="K301" t="n">
        <v>0</v>
      </c>
      <c r="L301" t="n">
        <v>0</v>
      </c>
      <c r="M301" t="n">
        <v>0</v>
      </c>
      <c r="N301" t="n">
        <v>0</v>
      </c>
      <c r="O301" t="n">
        <v>0</v>
      </c>
      <c r="P301" t="n">
        <v>0</v>
      </c>
      <c r="Q301" t="n">
        <v>0</v>
      </c>
      <c r="R301" s="2" t="inlineStr"/>
    </row>
    <row r="302" ht="15" customHeight="1">
      <c r="A302" t="inlineStr">
        <is>
          <t>A 59385-2023</t>
        </is>
      </c>
      <c r="B302" s="1" t="n">
        <v>45253</v>
      </c>
      <c r="C302" s="1" t="n">
        <v>45915</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13036-2025</t>
        </is>
      </c>
      <c r="B303" s="1" t="n">
        <v>45734.57474537037</v>
      </c>
      <c r="C303" s="1" t="n">
        <v>45915</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13001-2025</t>
        </is>
      </c>
      <c r="B304" s="1" t="n">
        <v>45734.49777777777</v>
      </c>
      <c r="C304" s="1" t="n">
        <v>45915</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13002-2025</t>
        </is>
      </c>
      <c r="B305" s="1" t="n">
        <v>45734.50288194444</v>
      </c>
      <c r="C305" s="1" t="n">
        <v>45915</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5122-2025</t>
        </is>
      </c>
      <c r="B306" s="1" t="n">
        <v>45691.55863425926</v>
      </c>
      <c r="C306" s="1" t="n">
        <v>45915</v>
      </c>
      <c r="D306" t="inlineStr">
        <is>
          <t>VÄRMLANDS LÄN</t>
        </is>
      </c>
      <c r="E306" t="inlineStr">
        <is>
          <t>ÅRJÄNG</t>
        </is>
      </c>
      <c r="G306" t="n">
        <v>5.7</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45915</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45915</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45915</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45915</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51455-2020</t>
        </is>
      </c>
      <c r="B311" s="1" t="n">
        <v>44113</v>
      </c>
      <c r="C311" s="1" t="n">
        <v>45915</v>
      </c>
      <c r="D311" t="inlineStr">
        <is>
          <t>VÄRMLANDS LÄN</t>
        </is>
      </c>
      <c r="E311" t="inlineStr">
        <is>
          <t>ÅRJÄNG</t>
        </is>
      </c>
      <c r="G311" t="n">
        <v>2.4</v>
      </c>
      <c r="H311" t="n">
        <v>0</v>
      </c>
      <c r="I311" t="n">
        <v>0</v>
      </c>
      <c r="J311" t="n">
        <v>0</v>
      </c>
      <c r="K311" t="n">
        <v>0</v>
      </c>
      <c r="L311" t="n">
        <v>0</v>
      </c>
      <c r="M311" t="n">
        <v>0</v>
      </c>
      <c r="N311" t="n">
        <v>0</v>
      </c>
      <c r="O311" t="n">
        <v>0</v>
      </c>
      <c r="P311" t="n">
        <v>0</v>
      </c>
      <c r="Q311" t="n">
        <v>0</v>
      </c>
      <c r="R311" s="2" t="inlineStr"/>
    </row>
    <row r="312" ht="15" customHeight="1">
      <c r="A312" t="inlineStr">
        <is>
          <t>A 52773-2022</t>
        </is>
      </c>
      <c r="B312" s="1" t="n">
        <v>44875.35628472222</v>
      </c>
      <c r="C312" s="1" t="n">
        <v>45915</v>
      </c>
      <c r="D312" t="inlineStr">
        <is>
          <t>VÄRMLANDS LÄN</t>
        </is>
      </c>
      <c r="E312" t="inlineStr">
        <is>
          <t>ÅRJÄNG</t>
        </is>
      </c>
      <c r="G312" t="n">
        <v>4.1</v>
      </c>
      <c r="H312" t="n">
        <v>0</v>
      </c>
      <c r="I312" t="n">
        <v>0</v>
      </c>
      <c r="J312" t="n">
        <v>0</v>
      </c>
      <c r="K312" t="n">
        <v>0</v>
      </c>
      <c r="L312" t="n">
        <v>0</v>
      </c>
      <c r="M312" t="n">
        <v>0</v>
      </c>
      <c r="N312" t="n">
        <v>0</v>
      </c>
      <c r="O312" t="n">
        <v>0</v>
      </c>
      <c r="P312" t="n">
        <v>0</v>
      </c>
      <c r="Q312" t="n">
        <v>0</v>
      </c>
      <c r="R312" s="2" t="inlineStr"/>
    </row>
    <row r="313" ht="15" customHeight="1">
      <c r="A313" t="inlineStr">
        <is>
          <t>A 19511-2024</t>
        </is>
      </c>
      <c r="B313" s="1" t="n">
        <v>45429.6099537037</v>
      </c>
      <c r="C313" s="1" t="n">
        <v>45915</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19516-2024</t>
        </is>
      </c>
      <c r="B314" s="1" t="n">
        <v>45429.61491898148</v>
      </c>
      <c r="C314" s="1" t="n">
        <v>45915</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6034-2021</t>
        </is>
      </c>
      <c r="B315" s="1" t="n">
        <v>44232.33623842592</v>
      </c>
      <c r="C315" s="1" t="n">
        <v>45915</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13734-2024</t>
        </is>
      </c>
      <c r="B316" s="1" t="n">
        <v>45387</v>
      </c>
      <c r="C316" s="1" t="n">
        <v>45915</v>
      </c>
      <c r="D316" t="inlineStr">
        <is>
          <t>VÄRMLANDS LÄN</t>
        </is>
      </c>
      <c r="E316" t="inlineStr">
        <is>
          <t>ÅRJÄNG</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13824-2024</t>
        </is>
      </c>
      <c r="B317" s="1" t="n">
        <v>45391.42951388889</v>
      </c>
      <c r="C317" s="1" t="n">
        <v>45915</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74430-2021</t>
        </is>
      </c>
      <c r="B318" s="1" t="n">
        <v>44560.43342592593</v>
      </c>
      <c r="C318" s="1" t="n">
        <v>45915</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6562-2023</t>
        </is>
      </c>
      <c r="B319" s="1" t="n">
        <v>44966</v>
      </c>
      <c r="C319" s="1" t="n">
        <v>45915</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6551-2025</t>
        </is>
      </c>
      <c r="B320" s="1" t="n">
        <v>45699.71454861111</v>
      </c>
      <c r="C320" s="1" t="n">
        <v>45915</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48444-2023</t>
        </is>
      </c>
      <c r="B321" s="1" t="n">
        <v>45206.37090277778</v>
      </c>
      <c r="C321" s="1" t="n">
        <v>45915</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15148-2025</t>
        </is>
      </c>
      <c r="B322" s="1" t="n">
        <v>45744.45298611111</v>
      </c>
      <c r="C322" s="1" t="n">
        <v>45915</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935-2021</t>
        </is>
      </c>
      <c r="B323" s="1" t="n">
        <v>44207</v>
      </c>
      <c r="C323" s="1" t="n">
        <v>45915</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26880-2023</t>
        </is>
      </c>
      <c r="B324" s="1" t="n">
        <v>45093.58373842593</v>
      </c>
      <c r="C324" s="1" t="n">
        <v>45915</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13998-2024</t>
        </is>
      </c>
      <c r="B325" s="1" t="n">
        <v>45392</v>
      </c>
      <c r="C325" s="1" t="n">
        <v>45915</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15953-2025</t>
        </is>
      </c>
      <c r="B326" s="1" t="n">
        <v>45749</v>
      </c>
      <c r="C326" s="1" t="n">
        <v>45915</v>
      </c>
      <c r="D326" t="inlineStr">
        <is>
          <t>VÄRMLANDS LÄN</t>
        </is>
      </c>
      <c r="E326" t="inlineStr">
        <is>
          <t>ÅRJÄNG</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15299-2025</t>
        </is>
      </c>
      <c r="B327" s="1" t="n">
        <v>45746.42309027778</v>
      </c>
      <c r="C327" s="1" t="n">
        <v>45915</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57178-2023</t>
        </is>
      </c>
      <c r="B328" s="1" t="n">
        <v>45240</v>
      </c>
      <c r="C328" s="1" t="n">
        <v>45915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58290-2024</t>
        </is>
      </c>
      <c r="B329" s="1" t="n">
        <v>45632.5916087963</v>
      </c>
      <c r="C329" s="1" t="n">
        <v>45915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15574-2025</t>
        </is>
      </c>
      <c r="B330" s="1" t="n">
        <v>45747</v>
      </c>
      <c r="C330" s="1" t="n">
        <v>45915</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1615-2025</t>
        </is>
      </c>
      <c r="B331" s="1" t="n">
        <v>45670.60484953703</v>
      </c>
      <c r="C331" s="1" t="n">
        <v>45915</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38057-2024</t>
        </is>
      </c>
      <c r="B332" s="1" t="n">
        <v>45544.73293981481</v>
      </c>
      <c r="C332" s="1" t="n">
        <v>45915</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45827-2024</t>
        </is>
      </c>
      <c r="B333" s="1" t="n">
        <v>45579</v>
      </c>
      <c r="C333" s="1" t="n">
        <v>45915</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32778-2024</t>
        </is>
      </c>
      <c r="B334" s="1" t="n">
        <v>45516.5083912037</v>
      </c>
      <c r="C334" s="1" t="n">
        <v>45915</v>
      </c>
      <c r="D334" t="inlineStr">
        <is>
          <t>VÄRMLANDS LÄN</t>
        </is>
      </c>
      <c r="E334" t="inlineStr">
        <is>
          <t>ÅRJÄNG</t>
        </is>
      </c>
      <c r="G334" t="n">
        <v>2.8</v>
      </c>
      <c r="H334" t="n">
        <v>0</v>
      </c>
      <c r="I334" t="n">
        <v>0</v>
      </c>
      <c r="J334" t="n">
        <v>0</v>
      </c>
      <c r="K334" t="n">
        <v>0</v>
      </c>
      <c r="L334" t="n">
        <v>0</v>
      </c>
      <c r="M334" t="n">
        <v>0</v>
      </c>
      <c r="N334" t="n">
        <v>0</v>
      </c>
      <c r="O334" t="n">
        <v>0</v>
      </c>
      <c r="P334" t="n">
        <v>0</v>
      </c>
      <c r="Q334" t="n">
        <v>0</v>
      </c>
      <c r="R334" s="2" t="inlineStr"/>
    </row>
    <row r="335" ht="15" customHeight="1">
      <c r="A335" t="inlineStr">
        <is>
          <t>A 71472-2021</t>
        </is>
      </c>
      <c r="B335" s="1" t="n">
        <v>44540</v>
      </c>
      <c r="C335" s="1" t="n">
        <v>45915</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56329-2024</t>
        </is>
      </c>
      <c r="B336" s="1" t="n">
        <v>45624.79435185185</v>
      </c>
      <c r="C336" s="1" t="n">
        <v>45915</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14768-2024</t>
        </is>
      </c>
      <c r="B337" s="1" t="n">
        <v>45397</v>
      </c>
      <c r="C337" s="1" t="n">
        <v>45915</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44647-2021</t>
        </is>
      </c>
      <c r="B338" s="1" t="n">
        <v>44437.83967592593</v>
      </c>
      <c r="C338" s="1" t="n">
        <v>45915</v>
      </c>
      <c r="D338" t="inlineStr">
        <is>
          <t>VÄRMLANDS LÄN</t>
        </is>
      </c>
      <c r="E338" t="inlineStr">
        <is>
          <t>ÅRJÄNG</t>
        </is>
      </c>
      <c r="G338" t="n">
        <v>3</v>
      </c>
      <c r="H338" t="n">
        <v>0</v>
      </c>
      <c r="I338" t="n">
        <v>0</v>
      </c>
      <c r="J338" t="n">
        <v>0</v>
      </c>
      <c r="K338" t="n">
        <v>0</v>
      </c>
      <c r="L338" t="n">
        <v>0</v>
      </c>
      <c r="M338" t="n">
        <v>0</v>
      </c>
      <c r="N338" t="n">
        <v>0</v>
      </c>
      <c r="O338" t="n">
        <v>0</v>
      </c>
      <c r="P338" t="n">
        <v>0</v>
      </c>
      <c r="Q338" t="n">
        <v>0</v>
      </c>
      <c r="R338" s="2" t="inlineStr"/>
    </row>
    <row r="339" ht="15" customHeight="1">
      <c r="A339" t="inlineStr">
        <is>
          <t>A 42230-2024</t>
        </is>
      </c>
      <c r="B339" s="1" t="n">
        <v>45562</v>
      </c>
      <c r="C339" s="1" t="n">
        <v>45915</v>
      </c>
      <c r="D339" t="inlineStr">
        <is>
          <t>VÄRMLANDS LÄN</t>
        </is>
      </c>
      <c r="E339" t="inlineStr">
        <is>
          <t>ÅRJÄNG</t>
        </is>
      </c>
      <c r="G339" t="n">
        <v>8.6</v>
      </c>
      <c r="H339" t="n">
        <v>0</v>
      </c>
      <c r="I339" t="n">
        <v>0</v>
      </c>
      <c r="J339" t="n">
        <v>0</v>
      </c>
      <c r="K339" t="n">
        <v>0</v>
      </c>
      <c r="L339" t="n">
        <v>0</v>
      </c>
      <c r="M339" t="n">
        <v>0</v>
      </c>
      <c r="N339" t="n">
        <v>0</v>
      </c>
      <c r="O339" t="n">
        <v>0</v>
      </c>
      <c r="P339" t="n">
        <v>0</v>
      </c>
      <c r="Q339" t="n">
        <v>0</v>
      </c>
      <c r="R339" s="2" t="inlineStr"/>
    </row>
    <row r="340" ht="15" customHeight="1">
      <c r="A340" t="inlineStr">
        <is>
          <t>A 17426-2025</t>
        </is>
      </c>
      <c r="B340" s="1" t="n">
        <v>45757.40153935185</v>
      </c>
      <c r="C340" s="1" t="n">
        <v>45915</v>
      </c>
      <c r="D340" t="inlineStr">
        <is>
          <t>VÄRMLANDS LÄN</t>
        </is>
      </c>
      <c r="E340" t="inlineStr">
        <is>
          <t>ÅRJÄNG</t>
        </is>
      </c>
      <c r="G340" t="n">
        <v>1.6</v>
      </c>
      <c r="H340" t="n">
        <v>0</v>
      </c>
      <c r="I340" t="n">
        <v>0</v>
      </c>
      <c r="J340" t="n">
        <v>0</v>
      </c>
      <c r="K340" t="n">
        <v>0</v>
      </c>
      <c r="L340" t="n">
        <v>0</v>
      </c>
      <c r="M340" t="n">
        <v>0</v>
      </c>
      <c r="N340" t="n">
        <v>0</v>
      </c>
      <c r="O340" t="n">
        <v>0</v>
      </c>
      <c r="P340" t="n">
        <v>0</v>
      </c>
      <c r="Q340" t="n">
        <v>0</v>
      </c>
      <c r="R340" s="2" t="inlineStr"/>
    </row>
    <row r="341" ht="15" customHeight="1">
      <c r="A341" t="inlineStr">
        <is>
          <t>A 42241-2024</t>
        </is>
      </c>
      <c r="B341" s="1" t="n">
        <v>45562</v>
      </c>
      <c r="C341" s="1" t="n">
        <v>45915</v>
      </c>
      <c r="D341" t="inlineStr">
        <is>
          <t>VÄRMLANDS LÄN</t>
        </is>
      </c>
      <c r="E341" t="inlineStr">
        <is>
          <t>ÅRJÄNG</t>
        </is>
      </c>
      <c r="G341" t="n">
        <v>4</v>
      </c>
      <c r="H341" t="n">
        <v>0</v>
      </c>
      <c r="I341" t="n">
        <v>0</v>
      </c>
      <c r="J341" t="n">
        <v>0</v>
      </c>
      <c r="K341" t="n">
        <v>0</v>
      </c>
      <c r="L341" t="n">
        <v>0</v>
      </c>
      <c r="M341" t="n">
        <v>0</v>
      </c>
      <c r="N341" t="n">
        <v>0</v>
      </c>
      <c r="O341" t="n">
        <v>0</v>
      </c>
      <c r="P341" t="n">
        <v>0</v>
      </c>
      <c r="Q341" t="n">
        <v>0</v>
      </c>
      <c r="R341" s="2" t="inlineStr"/>
    </row>
    <row r="342" ht="15" customHeight="1">
      <c r="A342" t="inlineStr">
        <is>
          <t>A 7098-2024</t>
        </is>
      </c>
      <c r="B342" s="1" t="n">
        <v>45343</v>
      </c>
      <c r="C342" s="1" t="n">
        <v>45915</v>
      </c>
      <c r="D342" t="inlineStr">
        <is>
          <t>VÄRMLANDS LÄN</t>
        </is>
      </c>
      <c r="E342" t="inlineStr">
        <is>
          <t>ÅRJÄNG</t>
        </is>
      </c>
      <c r="G342" t="n">
        <v>5</v>
      </c>
      <c r="H342" t="n">
        <v>0</v>
      </c>
      <c r="I342" t="n">
        <v>0</v>
      </c>
      <c r="J342" t="n">
        <v>0</v>
      </c>
      <c r="K342" t="n">
        <v>0</v>
      </c>
      <c r="L342" t="n">
        <v>0</v>
      </c>
      <c r="M342" t="n">
        <v>0</v>
      </c>
      <c r="N342" t="n">
        <v>0</v>
      </c>
      <c r="O342" t="n">
        <v>0</v>
      </c>
      <c r="P342" t="n">
        <v>0</v>
      </c>
      <c r="Q342" t="n">
        <v>0</v>
      </c>
      <c r="R342" s="2" t="inlineStr"/>
    </row>
    <row r="343" ht="15" customHeight="1">
      <c r="A343" t="inlineStr">
        <is>
          <t>A 7100-2024</t>
        </is>
      </c>
      <c r="B343" s="1" t="n">
        <v>45343</v>
      </c>
      <c r="C343" s="1" t="n">
        <v>45915</v>
      </c>
      <c r="D343" t="inlineStr">
        <is>
          <t>VÄRMLANDS LÄN</t>
        </is>
      </c>
      <c r="E343" t="inlineStr">
        <is>
          <t>ÅRJÄNG</t>
        </is>
      </c>
      <c r="G343" t="n">
        <v>6.5</v>
      </c>
      <c r="H343" t="n">
        <v>0</v>
      </c>
      <c r="I343" t="n">
        <v>0</v>
      </c>
      <c r="J343" t="n">
        <v>0</v>
      </c>
      <c r="K343" t="n">
        <v>0</v>
      </c>
      <c r="L343" t="n">
        <v>0</v>
      </c>
      <c r="M343" t="n">
        <v>0</v>
      </c>
      <c r="N343" t="n">
        <v>0</v>
      </c>
      <c r="O343" t="n">
        <v>0</v>
      </c>
      <c r="P343" t="n">
        <v>0</v>
      </c>
      <c r="Q343" t="n">
        <v>0</v>
      </c>
      <c r="R343" s="2" t="inlineStr"/>
    </row>
    <row r="344" ht="15" customHeight="1">
      <c r="A344" t="inlineStr">
        <is>
          <t>A 45651-2024</t>
        </is>
      </c>
      <c r="B344" s="1" t="n">
        <v>45579</v>
      </c>
      <c r="C344" s="1" t="n">
        <v>45915</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70591-2021</t>
        </is>
      </c>
      <c r="B345" s="1" t="n">
        <v>44537.41471064815</v>
      </c>
      <c r="C345" s="1" t="n">
        <v>45915</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4189-2025</t>
        </is>
      </c>
      <c r="B346" s="1" t="n">
        <v>45685</v>
      </c>
      <c r="C346" s="1" t="n">
        <v>45915</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540-2024</t>
        </is>
      </c>
      <c r="B347" s="1" t="n">
        <v>45299</v>
      </c>
      <c r="C347" s="1" t="n">
        <v>45915</v>
      </c>
      <c r="D347" t="inlineStr">
        <is>
          <t>VÄRMLANDS LÄN</t>
        </is>
      </c>
      <c r="E347" t="inlineStr">
        <is>
          <t>ÅRJÄNG</t>
        </is>
      </c>
      <c r="F347" t="inlineStr">
        <is>
          <t>Kyrkan</t>
        </is>
      </c>
      <c r="G347" t="n">
        <v>7</v>
      </c>
      <c r="H347" t="n">
        <v>0</v>
      </c>
      <c r="I347" t="n">
        <v>0</v>
      </c>
      <c r="J347" t="n">
        <v>0</v>
      </c>
      <c r="K347" t="n">
        <v>0</v>
      </c>
      <c r="L347" t="n">
        <v>0</v>
      </c>
      <c r="M347" t="n">
        <v>0</v>
      </c>
      <c r="N347" t="n">
        <v>0</v>
      </c>
      <c r="O347" t="n">
        <v>0</v>
      </c>
      <c r="P347" t="n">
        <v>0</v>
      </c>
      <c r="Q347" t="n">
        <v>0</v>
      </c>
      <c r="R347" s="2" t="inlineStr"/>
    </row>
    <row r="348" ht="15" customHeight="1">
      <c r="A348" t="inlineStr">
        <is>
          <t>A 19410-2024</t>
        </is>
      </c>
      <c r="B348" s="1" t="n">
        <v>45429</v>
      </c>
      <c r="C348" s="1" t="n">
        <v>45915</v>
      </c>
      <c r="D348" t="inlineStr">
        <is>
          <t>VÄRMLANDS LÄN</t>
        </is>
      </c>
      <c r="E348" t="inlineStr">
        <is>
          <t>ÅRJÄNG</t>
        </is>
      </c>
      <c r="G348" t="n">
        <v>7.9</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45915</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23051-2024</t>
        </is>
      </c>
      <c r="B350" s="1" t="n">
        <v>45450.42902777778</v>
      </c>
      <c r="C350" s="1" t="n">
        <v>45915</v>
      </c>
      <c r="D350" t="inlineStr">
        <is>
          <t>VÄRMLANDS LÄN</t>
        </is>
      </c>
      <c r="E350" t="inlineStr">
        <is>
          <t>ÅRJÄNG</t>
        </is>
      </c>
      <c r="G350" t="n">
        <v>2.4</v>
      </c>
      <c r="H350" t="n">
        <v>0</v>
      </c>
      <c r="I350" t="n">
        <v>0</v>
      </c>
      <c r="J350" t="n">
        <v>0</v>
      </c>
      <c r="K350" t="n">
        <v>0</v>
      </c>
      <c r="L350" t="n">
        <v>0</v>
      </c>
      <c r="M350" t="n">
        <v>0</v>
      </c>
      <c r="N350" t="n">
        <v>0</v>
      </c>
      <c r="O350" t="n">
        <v>0</v>
      </c>
      <c r="P350" t="n">
        <v>0</v>
      </c>
      <c r="Q350" t="n">
        <v>0</v>
      </c>
      <c r="R350" s="2" t="inlineStr"/>
    </row>
    <row r="351" ht="15" customHeight="1">
      <c r="A351" t="inlineStr">
        <is>
          <t>A 26259-2024</t>
        </is>
      </c>
      <c r="B351" s="1" t="n">
        <v>45468</v>
      </c>
      <c r="C351" s="1" t="n">
        <v>45915</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36563-2024</t>
        </is>
      </c>
      <c r="B352" s="1" t="n">
        <v>45537</v>
      </c>
      <c r="C352" s="1" t="n">
        <v>45915</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58491-2023</t>
        </is>
      </c>
      <c r="B353" s="1" t="n">
        <v>45246</v>
      </c>
      <c r="C353" s="1" t="n">
        <v>45915</v>
      </c>
      <c r="D353" t="inlineStr">
        <is>
          <t>VÄRMLANDS LÄN</t>
        </is>
      </c>
      <c r="E353" t="inlineStr">
        <is>
          <t>ÅRJÄNG</t>
        </is>
      </c>
      <c r="G353" t="n">
        <v>11.4</v>
      </c>
      <c r="H353" t="n">
        <v>0</v>
      </c>
      <c r="I353" t="n">
        <v>0</v>
      </c>
      <c r="J353" t="n">
        <v>0</v>
      </c>
      <c r="K353" t="n">
        <v>0</v>
      </c>
      <c r="L353" t="n">
        <v>0</v>
      </c>
      <c r="M353" t="n">
        <v>0</v>
      </c>
      <c r="N353" t="n">
        <v>0</v>
      </c>
      <c r="O353" t="n">
        <v>0</v>
      </c>
      <c r="P353" t="n">
        <v>0</v>
      </c>
      <c r="Q353" t="n">
        <v>0</v>
      </c>
      <c r="R353" s="2" t="inlineStr"/>
    </row>
    <row r="354" ht="15" customHeight="1">
      <c r="A354" t="inlineStr">
        <is>
          <t>A 20747-2025</t>
        </is>
      </c>
      <c r="B354" s="1" t="n">
        <v>45776.56221064815</v>
      </c>
      <c r="C354" s="1" t="n">
        <v>45915</v>
      </c>
      <c r="D354" t="inlineStr">
        <is>
          <t>VÄRMLANDS LÄN</t>
        </is>
      </c>
      <c r="E354" t="inlineStr">
        <is>
          <t>ÅRJÄNG</t>
        </is>
      </c>
      <c r="G354" t="n">
        <v>12.2</v>
      </c>
      <c r="H354" t="n">
        <v>0</v>
      </c>
      <c r="I354" t="n">
        <v>0</v>
      </c>
      <c r="J354" t="n">
        <v>0</v>
      </c>
      <c r="K354" t="n">
        <v>0</v>
      </c>
      <c r="L354" t="n">
        <v>0</v>
      </c>
      <c r="M354" t="n">
        <v>0</v>
      </c>
      <c r="N354" t="n">
        <v>0</v>
      </c>
      <c r="O354" t="n">
        <v>0</v>
      </c>
      <c r="P354" t="n">
        <v>0</v>
      </c>
      <c r="Q354" t="n">
        <v>0</v>
      </c>
      <c r="R354" s="2" t="inlineStr"/>
    </row>
    <row r="355" ht="15" customHeight="1">
      <c r="A355" t="inlineStr">
        <is>
          <t>A 60191-2023</t>
        </is>
      </c>
      <c r="B355" s="1" t="n">
        <v>45257</v>
      </c>
      <c r="C355" s="1" t="n">
        <v>45915</v>
      </c>
      <c r="D355" t="inlineStr">
        <is>
          <t>VÄRMLANDS LÄN</t>
        </is>
      </c>
      <c r="E355" t="inlineStr">
        <is>
          <t>ÅRJÄNG</t>
        </is>
      </c>
      <c r="G355" t="n">
        <v>7.6</v>
      </c>
      <c r="H355" t="n">
        <v>0</v>
      </c>
      <c r="I355" t="n">
        <v>0</v>
      </c>
      <c r="J355" t="n">
        <v>0</v>
      </c>
      <c r="K355" t="n">
        <v>0</v>
      </c>
      <c r="L355" t="n">
        <v>0</v>
      </c>
      <c r="M355" t="n">
        <v>0</v>
      </c>
      <c r="N355" t="n">
        <v>0</v>
      </c>
      <c r="O355" t="n">
        <v>0</v>
      </c>
      <c r="P355" t="n">
        <v>0</v>
      </c>
      <c r="Q355" t="n">
        <v>0</v>
      </c>
      <c r="R355" s="2" t="inlineStr"/>
    </row>
    <row r="356" ht="15" customHeight="1">
      <c r="A356" t="inlineStr">
        <is>
          <t>A 57062-2022</t>
        </is>
      </c>
      <c r="B356" s="1" t="n">
        <v>44895.40797453704</v>
      </c>
      <c r="C356" s="1" t="n">
        <v>45915</v>
      </c>
      <c r="D356" t="inlineStr">
        <is>
          <t>VÄRMLANDS LÄN</t>
        </is>
      </c>
      <c r="E356" t="inlineStr">
        <is>
          <t>ÅRJÄNG</t>
        </is>
      </c>
      <c r="G356" t="n">
        <v>2.2</v>
      </c>
      <c r="H356" t="n">
        <v>0</v>
      </c>
      <c r="I356" t="n">
        <v>0</v>
      </c>
      <c r="J356" t="n">
        <v>0</v>
      </c>
      <c r="K356" t="n">
        <v>0</v>
      </c>
      <c r="L356" t="n">
        <v>0</v>
      </c>
      <c r="M356" t="n">
        <v>0</v>
      </c>
      <c r="N356" t="n">
        <v>0</v>
      </c>
      <c r="O356" t="n">
        <v>0</v>
      </c>
      <c r="P356" t="n">
        <v>0</v>
      </c>
      <c r="Q356" t="n">
        <v>0</v>
      </c>
      <c r="R356" s="2" t="inlineStr"/>
    </row>
    <row r="357" ht="15" customHeight="1">
      <c r="A357" t="inlineStr">
        <is>
          <t>A 24893-2024</t>
        </is>
      </c>
      <c r="B357" s="1" t="n">
        <v>45461.57194444445</v>
      </c>
      <c r="C357" s="1" t="n">
        <v>45915</v>
      </c>
      <c r="D357" t="inlineStr">
        <is>
          <t>VÄRMLANDS LÄN</t>
        </is>
      </c>
      <c r="E357" t="inlineStr">
        <is>
          <t>ÅRJÄNG</t>
        </is>
      </c>
      <c r="G357" t="n">
        <v>3.1</v>
      </c>
      <c r="H357" t="n">
        <v>0</v>
      </c>
      <c r="I357" t="n">
        <v>0</v>
      </c>
      <c r="J357" t="n">
        <v>0</v>
      </c>
      <c r="K357" t="n">
        <v>0</v>
      </c>
      <c r="L357" t="n">
        <v>0</v>
      </c>
      <c r="M357" t="n">
        <v>0</v>
      </c>
      <c r="N357" t="n">
        <v>0</v>
      </c>
      <c r="O357" t="n">
        <v>0</v>
      </c>
      <c r="P357" t="n">
        <v>0</v>
      </c>
      <c r="Q357" t="n">
        <v>0</v>
      </c>
      <c r="R357" s="2" t="inlineStr"/>
    </row>
    <row r="358" ht="15" customHeight="1">
      <c r="A358" t="inlineStr">
        <is>
          <t>A 34032-2021</t>
        </is>
      </c>
      <c r="B358" s="1" t="n">
        <v>44378</v>
      </c>
      <c r="C358" s="1" t="n">
        <v>45915</v>
      </c>
      <c r="D358" t="inlineStr">
        <is>
          <t>VÄRMLANDS LÄN</t>
        </is>
      </c>
      <c r="E358" t="inlineStr">
        <is>
          <t>ÅRJÄNG</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50537-2023</t>
        </is>
      </c>
      <c r="B359" s="1" t="n">
        <v>45217</v>
      </c>
      <c r="C359" s="1" t="n">
        <v>45915</v>
      </c>
      <c r="D359" t="inlineStr">
        <is>
          <t>VÄRMLANDS LÄN</t>
        </is>
      </c>
      <c r="E359" t="inlineStr">
        <is>
          <t>ÅRJÄNG</t>
        </is>
      </c>
      <c r="G359" t="n">
        <v>0.5</v>
      </c>
      <c r="H359" t="n">
        <v>0</v>
      </c>
      <c r="I359" t="n">
        <v>0</v>
      </c>
      <c r="J359" t="n">
        <v>0</v>
      </c>
      <c r="K359" t="n">
        <v>0</v>
      </c>
      <c r="L359" t="n">
        <v>0</v>
      </c>
      <c r="M359" t="n">
        <v>0</v>
      </c>
      <c r="N359" t="n">
        <v>0</v>
      </c>
      <c r="O359" t="n">
        <v>0</v>
      </c>
      <c r="P359" t="n">
        <v>0</v>
      </c>
      <c r="Q359" t="n">
        <v>0</v>
      </c>
      <c r="R359" s="2" t="inlineStr"/>
    </row>
    <row r="360" ht="15" customHeight="1">
      <c r="A360" t="inlineStr">
        <is>
          <t>A 43027-2021</t>
        </is>
      </c>
      <c r="B360" s="1" t="n">
        <v>44431.49119212963</v>
      </c>
      <c r="C360" s="1" t="n">
        <v>45915</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387-2021</t>
        </is>
      </c>
      <c r="B361" s="1" t="n">
        <v>44201</v>
      </c>
      <c r="C361" s="1" t="n">
        <v>45915</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4784-2023</t>
        </is>
      </c>
      <c r="B362" s="1" t="n">
        <v>44957.59476851852</v>
      </c>
      <c r="C362" s="1" t="n">
        <v>45915</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24281-2024</t>
        </is>
      </c>
      <c r="B363" s="1" t="n">
        <v>45457</v>
      </c>
      <c r="C363" s="1" t="n">
        <v>45915</v>
      </c>
      <c r="D363" t="inlineStr">
        <is>
          <t>VÄRMLANDS LÄN</t>
        </is>
      </c>
      <c r="E363" t="inlineStr">
        <is>
          <t>ÅRJÄNG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55901-2023</t>
        </is>
      </c>
      <c r="B364" s="1" t="n">
        <v>45239.86618055555</v>
      </c>
      <c r="C364" s="1" t="n">
        <v>45915</v>
      </c>
      <c r="D364" t="inlineStr">
        <is>
          <t>VÄRMLANDS LÄN</t>
        </is>
      </c>
      <c r="E364" t="inlineStr">
        <is>
          <t>ÅRJÄNG</t>
        </is>
      </c>
      <c r="G364" t="n">
        <v>1.3</v>
      </c>
      <c r="H364" t="n">
        <v>0</v>
      </c>
      <c r="I364" t="n">
        <v>0</v>
      </c>
      <c r="J364" t="n">
        <v>0</v>
      </c>
      <c r="K364" t="n">
        <v>0</v>
      </c>
      <c r="L364" t="n">
        <v>0</v>
      </c>
      <c r="M364" t="n">
        <v>0</v>
      </c>
      <c r="N364" t="n">
        <v>0</v>
      </c>
      <c r="O364" t="n">
        <v>0</v>
      </c>
      <c r="P364" t="n">
        <v>0</v>
      </c>
      <c r="Q364" t="n">
        <v>0</v>
      </c>
      <c r="R364" s="2" t="inlineStr"/>
    </row>
    <row r="365" ht="15" customHeight="1">
      <c r="A365" t="inlineStr">
        <is>
          <t>A 20975-2025</t>
        </is>
      </c>
      <c r="B365" s="1" t="n">
        <v>45777.45922453704</v>
      </c>
      <c r="C365" s="1" t="n">
        <v>45915</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21081-2023</t>
        </is>
      </c>
      <c r="B366" s="1" t="n">
        <v>45057</v>
      </c>
      <c r="C366" s="1" t="n">
        <v>45915</v>
      </c>
      <c r="D366" t="inlineStr">
        <is>
          <t>VÄRMLANDS LÄN</t>
        </is>
      </c>
      <c r="E366" t="inlineStr">
        <is>
          <t>ÅRJÄNG</t>
        </is>
      </c>
      <c r="G366" t="n">
        <v>5.1</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45915</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43029-2021</t>
        </is>
      </c>
      <c r="B368" s="1" t="n">
        <v>44431.49302083333</v>
      </c>
      <c r="C368" s="1" t="n">
        <v>45915</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69839-2021</t>
        </is>
      </c>
      <c r="B369" s="1" t="n">
        <v>44532</v>
      </c>
      <c r="C369" s="1" t="n">
        <v>45915</v>
      </c>
      <c r="D369" t="inlineStr">
        <is>
          <t>VÄRMLANDS LÄN</t>
        </is>
      </c>
      <c r="E369" t="inlineStr">
        <is>
          <t>ÅRJÄNG</t>
        </is>
      </c>
      <c r="G369" t="n">
        <v>3.1</v>
      </c>
      <c r="H369" t="n">
        <v>0</v>
      </c>
      <c r="I369" t="n">
        <v>0</v>
      </c>
      <c r="J369" t="n">
        <v>0</v>
      </c>
      <c r="K369" t="n">
        <v>0</v>
      </c>
      <c r="L369" t="n">
        <v>0</v>
      </c>
      <c r="M369" t="n">
        <v>0</v>
      </c>
      <c r="N369" t="n">
        <v>0</v>
      </c>
      <c r="O369" t="n">
        <v>0</v>
      </c>
      <c r="P369" t="n">
        <v>0</v>
      </c>
      <c r="Q369" t="n">
        <v>0</v>
      </c>
      <c r="R369" s="2" t="inlineStr"/>
    </row>
    <row r="370" ht="15" customHeight="1">
      <c r="A370" t="inlineStr">
        <is>
          <t>A 1377-2023</t>
        </is>
      </c>
      <c r="B370" s="1" t="n">
        <v>44936.67111111111</v>
      </c>
      <c r="C370" s="1" t="n">
        <v>45915</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3734-2023</t>
        </is>
      </c>
      <c r="B371" s="1" t="n">
        <v>44948</v>
      </c>
      <c r="C371" s="1" t="n">
        <v>45915</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21258-2025</t>
        </is>
      </c>
      <c r="B372" s="1" t="n">
        <v>45779.59001157407</v>
      </c>
      <c r="C372" s="1" t="n">
        <v>45915</v>
      </c>
      <c r="D372" t="inlineStr">
        <is>
          <t>VÄRMLANDS LÄN</t>
        </is>
      </c>
      <c r="E372" t="inlineStr">
        <is>
          <t>ÅRJÄNG</t>
        </is>
      </c>
      <c r="G372" t="n">
        <v>2.9</v>
      </c>
      <c r="H372" t="n">
        <v>0</v>
      </c>
      <c r="I372" t="n">
        <v>0</v>
      </c>
      <c r="J372" t="n">
        <v>0</v>
      </c>
      <c r="K372" t="n">
        <v>0</v>
      </c>
      <c r="L372" t="n">
        <v>0</v>
      </c>
      <c r="M372" t="n">
        <v>0</v>
      </c>
      <c r="N372" t="n">
        <v>0</v>
      </c>
      <c r="O372" t="n">
        <v>0</v>
      </c>
      <c r="P372" t="n">
        <v>0</v>
      </c>
      <c r="Q372" t="n">
        <v>0</v>
      </c>
      <c r="R372" s="2" t="inlineStr"/>
    </row>
    <row r="373" ht="15" customHeight="1">
      <c r="A373" t="inlineStr">
        <is>
          <t>A 11198-2025</t>
        </is>
      </c>
      <c r="B373" s="1" t="n">
        <v>45725</v>
      </c>
      <c r="C373" s="1" t="n">
        <v>45915</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34350-2023</t>
        </is>
      </c>
      <c r="B374" s="1" t="n">
        <v>45139.40969907407</v>
      </c>
      <c r="C374" s="1" t="n">
        <v>45915</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7619-2023</t>
        </is>
      </c>
      <c r="B375" s="1" t="n">
        <v>44967</v>
      </c>
      <c r="C375" s="1" t="n">
        <v>45915</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60377-2022</t>
        </is>
      </c>
      <c r="B376" s="1" t="n">
        <v>44904</v>
      </c>
      <c r="C376" s="1" t="n">
        <v>45915</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7193-2024</t>
        </is>
      </c>
      <c r="B377" s="1" t="n">
        <v>45344</v>
      </c>
      <c r="C377" s="1" t="n">
        <v>45915</v>
      </c>
      <c r="D377" t="inlineStr">
        <is>
          <t>VÄRMLANDS LÄN</t>
        </is>
      </c>
      <c r="E377" t="inlineStr">
        <is>
          <t>ÅRJÄNG</t>
        </is>
      </c>
      <c r="G377" t="n">
        <v>2</v>
      </c>
      <c r="H377" t="n">
        <v>0</v>
      </c>
      <c r="I377" t="n">
        <v>0</v>
      </c>
      <c r="J377" t="n">
        <v>0</v>
      </c>
      <c r="K377" t="n">
        <v>0</v>
      </c>
      <c r="L377" t="n">
        <v>0</v>
      </c>
      <c r="M377" t="n">
        <v>0</v>
      </c>
      <c r="N377" t="n">
        <v>0</v>
      </c>
      <c r="O377" t="n">
        <v>0</v>
      </c>
      <c r="P377" t="n">
        <v>0</v>
      </c>
      <c r="Q377" t="n">
        <v>0</v>
      </c>
      <c r="R377" s="2" t="inlineStr"/>
    </row>
    <row r="378" ht="15" customHeight="1">
      <c r="A378" t="inlineStr">
        <is>
          <t>A 1467-2025</t>
        </is>
      </c>
      <c r="B378" s="1" t="n">
        <v>45667</v>
      </c>
      <c r="C378" s="1" t="n">
        <v>45915</v>
      </c>
      <c r="D378" t="inlineStr">
        <is>
          <t>VÄRMLANDS LÄN</t>
        </is>
      </c>
      <c r="E378" t="inlineStr">
        <is>
          <t>ÅRJÄNG</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65844-2021</t>
        </is>
      </c>
      <c r="B379" s="1" t="n">
        <v>44517.36067129629</v>
      </c>
      <c r="C379" s="1" t="n">
        <v>45915</v>
      </c>
      <c r="D379" t="inlineStr">
        <is>
          <t>VÄRMLANDS LÄN</t>
        </is>
      </c>
      <c r="E379" t="inlineStr">
        <is>
          <t>ÅRJÄNG</t>
        </is>
      </c>
      <c r="G379" t="n">
        <v>4.6</v>
      </c>
      <c r="H379" t="n">
        <v>0</v>
      </c>
      <c r="I379" t="n">
        <v>0</v>
      </c>
      <c r="J379" t="n">
        <v>0</v>
      </c>
      <c r="K379" t="n">
        <v>0</v>
      </c>
      <c r="L379" t="n">
        <v>0</v>
      </c>
      <c r="M379" t="n">
        <v>0</v>
      </c>
      <c r="N379" t="n">
        <v>0</v>
      </c>
      <c r="O379" t="n">
        <v>0</v>
      </c>
      <c r="P379" t="n">
        <v>0</v>
      </c>
      <c r="Q379" t="n">
        <v>0</v>
      </c>
      <c r="R379" s="2" t="inlineStr"/>
    </row>
    <row r="380" ht="15" customHeight="1">
      <c r="A380" t="inlineStr">
        <is>
          <t>A 31793-2023</t>
        </is>
      </c>
      <c r="B380" s="1" t="n">
        <v>45118.43685185185</v>
      </c>
      <c r="C380" s="1" t="n">
        <v>45915</v>
      </c>
      <c r="D380" t="inlineStr">
        <is>
          <t>VÄRMLANDS LÄN</t>
        </is>
      </c>
      <c r="E380" t="inlineStr">
        <is>
          <t>ÅRJÄNG</t>
        </is>
      </c>
      <c r="G380" t="n">
        <v>10.9</v>
      </c>
      <c r="H380" t="n">
        <v>0</v>
      </c>
      <c r="I380" t="n">
        <v>0</v>
      </c>
      <c r="J380" t="n">
        <v>0</v>
      </c>
      <c r="K380" t="n">
        <v>0</v>
      </c>
      <c r="L380" t="n">
        <v>0</v>
      </c>
      <c r="M380" t="n">
        <v>0</v>
      </c>
      <c r="N380" t="n">
        <v>0</v>
      </c>
      <c r="O380" t="n">
        <v>0</v>
      </c>
      <c r="P380" t="n">
        <v>0</v>
      </c>
      <c r="Q380" t="n">
        <v>0</v>
      </c>
      <c r="R380" s="2" t="inlineStr"/>
    </row>
    <row r="381" ht="15" customHeight="1">
      <c r="A381" t="inlineStr">
        <is>
          <t>A 50347-2024</t>
        </is>
      </c>
      <c r="B381" s="1" t="n">
        <v>45600</v>
      </c>
      <c r="C381" s="1" t="n">
        <v>45915</v>
      </c>
      <c r="D381" t="inlineStr">
        <is>
          <t>VÄRMLANDS LÄN</t>
        </is>
      </c>
      <c r="E381" t="inlineStr">
        <is>
          <t>ÅRJÄNG</t>
        </is>
      </c>
      <c r="G381" t="n">
        <v>3</v>
      </c>
      <c r="H381" t="n">
        <v>0</v>
      </c>
      <c r="I381" t="n">
        <v>0</v>
      </c>
      <c r="J381" t="n">
        <v>0</v>
      </c>
      <c r="K381" t="n">
        <v>0</v>
      </c>
      <c r="L381" t="n">
        <v>0</v>
      </c>
      <c r="M381" t="n">
        <v>0</v>
      </c>
      <c r="N381" t="n">
        <v>0</v>
      </c>
      <c r="O381" t="n">
        <v>0</v>
      </c>
      <c r="P381" t="n">
        <v>0</v>
      </c>
      <c r="Q381" t="n">
        <v>0</v>
      </c>
      <c r="R381" s="2" t="inlineStr"/>
    </row>
    <row r="382" ht="15" customHeight="1">
      <c r="A382" t="inlineStr">
        <is>
          <t>A 12352-2021</t>
        </is>
      </c>
      <c r="B382" s="1" t="n">
        <v>44267.44386574074</v>
      </c>
      <c r="C382" s="1" t="n">
        <v>45915</v>
      </c>
      <c r="D382" t="inlineStr">
        <is>
          <t>VÄRMLANDS LÄN</t>
        </is>
      </c>
      <c r="E382" t="inlineStr">
        <is>
          <t>ÅRJÄNG</t>
        </is>
      </c>
      <c r="G382" t="n">
        <v>7.1</v>
      </c>
      <c r="H382" t="n">
        <v>0</v>
      </c>
      <c r="I382" t="n">
        <v>0</v>
      </c>
      <c r="J382" t="n">
        <v>0</v>
      </c>
      <c r="K382" t="n">
        <v>0</v>
      </c>
      <c r="L382" t="n">
        <v>0</v>
      </c>
      <c r="M382" t="n">
        <v>0</v>
      </c>
      <c r="N382" t="n">
        <v>0</v>
      </c>
      <c r="O382" t="n">
        <v>0</v>
      </c>
      <c r="P382" t="n">
        <v>0</v>
      </c>
      <c r="Q382" t="n">
        <v>0</v>
      </c>
      <c r="R382" s="2" t="inlineStr"/>
    </row>
    <row r="383" ht="15" customHeight="1">
      <c r="A383" t="inlineStr">
        <is>
          <t>A 63383-2020</t>
        </is>
      </c>
      <c r="B383" s="1" t="n">
        <v>44165.49491898148</v>
      </c>
      <c r="C383" s="1" t="n">
        <v>45915</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46315-2024</t>
        </is>
      </c>
      <c r="B384" s="1" t="n">
        <v>45581.73703703703</v>
      </c>
      <c r="C384" s="1" t="n">
        <v>45915</v>
      </c>
      <c r="D384" t="inlineStr">
        <is>
          <t>VÄRMLANDS LÄN</t>
        </is>
      </c>
      <c r="E384" t="inlineStr">
        <is>
          <t>ÅRJÄNG</t>
        </is>
      </c>
      <c r="G384" t="n">
        <v>2.1</v>
      </c>
      <c r="H384" t="n">
        <v>0</v>
      </c>
      <c r="I384" t="n">
        <v>0</v>
      </c>
      <c r="J384" t="n">
        <v>0</v>
      </c>
      <c r="K384" t="n">
        <v>0</v>
      </c>
      <c r="L384" t="n">
        <v>0</v>
      </c>
      <c r="M384" t="n">
        <v>0</v>
      </c>
      <c r="N384" t="n">
        <v>0</v>
      </c>
      <c r="O384" t="n">
        <v>0</v>
      </c>
      <c r="P384" t="n">
        <v>0</v>
      </c>
      <c r="Q384" t="n">
        <v>0</v>
      </c>
      <c r="R384" s="2" t="inlineStr"/>
    </row>
    <row r="385" ht="15" customHeight="1">
      <c r="A385" t="inlineStr">
        <is>
          <t>A 14910-2025</t>
        </is>
      </c>
      <c r="B385" s="1" t="n">
        <v>45743.52327546296</v>
      </c>
      <c r="C385" s="1" t="n">
        <v>45915</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23216-2023</t>
        </is>
      </c>
      <c r="B386" s="1" t="n">
        <v>45075</v>
      </c>
      <c r="C386" s="1" t="n">
        <v>45915</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58436-2023</t>
        </is>
      </c>
      <c r="B387" s="1" t="n">
        <v>45250</v>
      </c>
      <c r="C387" s="1" t="n">
        <v>45915</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22276-2025</t>
        </is>
      </c>
      <c r="B388" s="1" t="n">
        <v>45786.32737268518</v>
      </c>
      <c r="C388" s="1" t="n">
        <v>45915</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68687-2020</t>
        </is>
      </c>
      <c r="B389" s="1" t="n">
        <v>44187</v>
      </c>
      <c r="C389" s="1" t="n">
        <v>45915</v>
      </c>
      <c r="D389" t="inlineStr">
        <is>
          <t>VÄRMLANDS LÄN</t>
        </is>
      </c>
      <c r="E389" t="inlineStr">
        <is>
          <t>ÅRJÄNG</t>
        </is>
      </c>
      <c r="G389" t="n">
        <v>7.6</v>
      </c>
      <c r="H389" t="n">
        <v>0</v>
      </c>
      <c r="I389" t="n">
        <v>0</v>
      </c>
      <c r="J389" t="n">
        <v>0</v>
      </c>
      <c r="K389" t="n">
        <v>0</v>
      </c>
      <c r="L389" t="n">
        <v>0</v>
      </c>
      <c r="M389" t="n">
        <v>0</v>
      </c>
      <c r="N389" t="n">
        <v>0</v>
      </c>
      <c r="O389" t="n">
        <v>0</v>
      </c>
      <c r="P389" t="n">
        <v>0</v>
      </c>
      <c r="Q389" t="n">
        <v>0</v>
      </c>
      <c r="R389" s="2" t="inlineStr"/>
    </row>
    <row r="390" ht="15" customHeight="1">
      <c r="A390" t="inlineStr">
        <is>
          <t>A 74086-2021</t>
        </is>
      </c>
      <c r="B390" s="1" t="n">
        <v>44557.58112268519</v>
      </c>
      <c r="C390" s="1" t="n">
        <v>45915</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62261-2023</t>
        </is>
      </c>
      <c r="B391" s="1" t="n">
        <v>45266</v>
      </c>
      <c r="C391" s="1" t="n">
        <v>45915</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22352-2025</t>
        </is>
      </c>
      <c r="B392" s="1" t="n">
        <v>45786.45491898148</v>
      </c>
      <c r="C392" s="1" t="n">
        <v>45915</v>
      </c>
      <c r="D392" t="inlineStr">
        <is>
          <t>VÄRMLANDS LÄN</t>
        </is>
      </c>
      <c r="E392" t="inlineStr">
        <is>
          <t>ÅRJÄNG</t>
        </is>
      </c>
      <c r="G392" t="n">
        <v>5.4</v>
      </c>
      <c r="H392" t="n">
        <v>0</v>
      </c>
      <c r="I392" t="n">
        <v>0</v>
      </c>
      <c r="J392" t="n">
        <v>0</v>
      </c>
      <c r="K392" t="n">
        <v>0</v>
      </c>
      <c r="L392" t="n">
        <v>0</v>
      </c>
      <c r="M392" t="n">
        <v>0</v>
      </c>
      <c r="N392" t="n">
        <v>0</v>
      </c>
      <c r="O392" t="n">
        <v>0</v>
      </c>
      <c r="P392" t="n">
        <v>0</v>
      </c>
      <c r="Q392" t="n">
        <v>0</v>
      </c>
      <c r="R392" s="2" t="inlineStr"/>
    </row>
    <row r="393" ht="15" customHeight="1">
      <c r="A393" t="inlineStr">
        <is>
          <t>A 49641-2021</t>
        </is>
      </c>
      <c r="B393" s="1" t="n">
        <v>44455.44327546296</v>
      </c>
      <c r="C393" s="1" t="n">
        <v>45915</v>
      </c>
      <c r="D393" t="inlineStr">
        <is>
          <t>VÄRMLANDS LÄN</t>
        </is>
      </c>
      <c r="E393" t="inlineStr">
        <is>
          <t>ÅRJÄNG</t>
        </is>
      </c>
      <c r="G393" t="n">
        <v>3.2</v>
      </c>
      <c r="H393" t="n">
        <v>0</v>
      </c>
      <c r="I393" t="n">
        <v>0</v>
      </c>
      <c r="J393" t="n">
        <v>0</v>
      </c>
      <c r="K393" t="n">
        <v>0</v>
      </c>
      <c r="L393" t="n">
        <v>0</v>
      </c>
      <c r="M393" t="n">
        <v>0</v>
      </c>
      <c r="N393" t="n">
        <v>0</v>
      </c>
      <c r="O393" t="n">
        <v>0</v>
      </c>
      <c r="P393" t="n">
        <v>0</v>
      </c>
      <c r="Q393" t="n">
        <v>0</v>
      </c>
      <c r="R393" s="2" t="inlineStr"/>
    </row>
    <row r="394" ht="15" customHeight="1">
      <c r="A394" t="inlineStr">
        <is>
          <t>A 32338-2024</t>
        </is>
      </c>
      <c r="B394" s="1" t="n">
        <v>45512</v>
      </c>
      <c r="C394" s="1" t="n">
        <v>45915</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37220-2024</t>
        </is>
      </c>
      <c r="B395" s="1" t="n">
        <v>45539.84837962963</v>
      </c>
      <c r="C395" s="1" t="n">
        <v>45915</v>
      </c>
      <c r="D395" t="inlineStr">
        <is>
          <t>VÄRMLANDS LÄN</t>
        </is>
      </c>
      <c r="E395" t="inlineStr">
        <is>
          <t>ÅRJÄNG</t>
        </is>
      </c>
      <c r="G395" t="n">
        <v>3.5</v>
      </c>
      <c r="H395" t="n">
        <v>0</v>
      </c>
      <c r="I395" t="n">
        <v>0</v>
      </c>
      <c r="J395" t="n">
        <v>0</v>
      </c>
      <c r="K395" t="n">
        <v>0</v>
      </c>
      <c r="L395" t="n">
        <v>0</v>
      </c>
      <c r="M395" t="n">
        <v>0</v>
      </c>
      <c r="N395" t="n">
        <v>0</v>
      </c>
      <c r="O395" t="n">
        <v>0</v>
      </c>
      <c r="P395" t="n">
        <v>0</v>
      </c>
      <c r="Q395" t="n">
        <v>0</v>
      </c>
      <c r="R395" s="2" t="inlineStr"/>
    </row>
    <row r="396" ht="15" customHeight="1">
      <c r="A396" t="inlineStr">
        <is>
          <t>A 12006-2023</t>
        </is>
      </c>
      <c r="B396" s="1" t="n">
        <v>44995.61495370371</v>
      </c>
      <c r="C396" s="1" t="n">
        <v>45915</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5863-2023</t>
        </is>
      </c>
      <c r="B397" s="1" t="n">
        <v>44963</v>
      </c>
      <c r="C397" s="1" t="n">
        <v>45915</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63203-2021</t>
        </is>
      </c>
      <c r="B398" s="1" t="n">
        <v>44507.78568287037</v>
      </c>
      <c r="C398" s="1" t="n">
        <v>45915</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8094-2025</t>
        </is>
      </c>
      <c r="B399" s="1" t="n">
        <v>45707.68126157407</v>
      </c>
      <c r="C399" s="1" t="n">
        <v>45915</v>
      </c>
      <c r="D399" t="inlineStr">
        <is>
          <t>VÄRMLANDS LÄN</t>
        </is>
      </c>
      <c r="E399" t="inlineStr">
        <is>
          <t>ÅRJÄNG</t>
        </is>
      </c>
      <c r="G399" t="n">
        <v>12.6</v>
      </c>
      <c r="H399" t="n">
        <v>0</v>
      </c>
      <c r="I399" t="n">
        <v>0</v>
      </c>
      <c r="J399" t="n">
        <v>0</v>
      </c>
      <c r="K399" t="n">
        <v>0</v>
      </c>
      <c r="L399" t="n">
        <v>0</v>
      </c>
      <c r="M399" t="n">
        <v>0</v>
      </c>
      <c r="N399" t="n">
        <v>0</v>
      </c>
      <c r="O399" t="n">
        <v>0</v>
      </c>
      <c r="P399" t="n">
        <v>0</v>
      </c>
      <c r="Q399" t="n">
        <v>0</v>
      </c>
      <c r="R399" s="2" t="inlineStr"/>
    </row>
    <row r="400" ht="15" customHeight="1">
      <c r="A400" t="inlineStr">
        <is>
          <t>A 52803-2024</t>
        </is>
      </c>
      <c r="B400" s="1" t="n">
        <v>45610</v>
      </c>
      <c r="C400" s="1" t="n">
        <v>45915</v>
      </c>
      <c r="D400" t="inlineStr">
        <is>
          <t>VÄRMLANDS LÄN</t>
        </is>
      </c>
      <c r="E400" t="inlineStr">
        <is>
          <t>ÅRJÄNG</t>
        </is>
      </c>
      <c r="G400" t="n">
        <v>1.3</v>
      </c>
      <c r="H400" t="n">
        <v>0</v>
      </c>
      <c r="I400" t="n">
        <v>0</v>
      </c>
      <c r="J400" t="n">
        <v>0</v>
      </c>
      <c r="K400" t="n">
        <v>0</v>
      </c>
      <c r="L400" t="n">
        <v>0</v>
      </c>
      <c r="M400" t="n">
        <v>0</v>
      </c>
      <c r="N400" t="n">
        <v>0</v>
      </c>
      <c r="O400" t="n">
        <v>0</v>
      </c>
      <c r="P400" t="n">
        <v>0</v>
      </c>
      <c r="Q400" t="n">
        <v>0</v>
      </c>
      <c r="R400" s="2" t="inlineStr"/>
    </row>
    <row r="401" ht="15" customHeight="1">
      <c r="A401" t="inlineStr">
        <is>
          <t>A 6405-2024</t>
        </is>
      </c>
      <c r="B401" s="1" t="n">
        <v>45338</v>
      </c>
      <c r="C401" s="1" t="n">
        <v>45915</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13155-2024</t>
        </is>
      </c>
      <c r="B402" s="1" t="n">
        <v>45386</v>
      </c>
      <c r="C402" s="1" t="n">
        <v>45915</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13859-2023</t>
        </is>
      </c>
      <c r="B403" s="1" t="n">
        <v>45007.63384259259</v>
      </c>
      <c r="C403" s="1" t="n">
        <v>45915</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22281-2025</t>
        </is>
      </c>
      <c r="B404" s="1" t="n">
        <v>45786.33900462963</v>
      </c>
      <c r="C404" s="1" t="n">
        <v>45915</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63796-2021</t>
        </is>
      </c>
      <c r="B405" s="1" t="n">
        <v>44509</v>
      </c>
      <c r="C405" s="1" t="n">
        <v>45915</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50941-2023</t>
        </is>
      </c>
      <c r="B406" s="1" t="n">
        <v>45218</v>
      </c>
      <c r="C406" s="1" t="n">
        <v>45915</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57651-2024</t>
        </is>
      </c>
      <c r="B407" s="1" t="n">
        <v>45630</v>
      </c>
      <c r="C407" s="1" t="n">
        <v>45915</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28317-2023</t>
        </is>
      </c>
      <c r="B408" s="1" t="n">
        <v>45099</v>
      </c>
      <c r="C408" s="1" t="n">
        <v>45915</v>
      </c>
      <c r="D408" t="inlineStr">
        <is>
          <t>VÄRMLANDS LÄN</t>
        </is>
      </c>
      <c r="E408" t="inlineStr">
        <is>
          <t>ÅRJÄNG</t>
        </is>
      </c>
      <c r="G408" t="n">
        <v>10.2</v>
      </c>
      <c r="H408" t="n">
        <v>0</v>
      </c>
      <c r="I408" t="n">
        <v>0</v>
      </c>
      <c r="J408" t="n">
        <v>0</v>
      </c>
      <c r="K408" t="n">
        <v>0</v>
      </c>
      <c r="L408" t="n">
        <v>0</v>
      </c>
      <c r="M408" t="n">
        <v>0</v>
      </c>
      <c r="N408" t="n">
        <v>0</v>
      </c>
      <c r="O408" t="n">
        <v>0</v>
      </c>
      <c r="P408" t="n">
        <v>0</v>
      </c>
      <c r="Q408" t="n">
        <v>0</v>
      </c>
      <c r="R408" s="2" t="inlineStr"/>
    </row>
    <row r="409" ht="15" customHeight="1">
      <c r="A409" t="inlineStr">
        <is>
          <t>A 35133-2024</t>
        </is>
      </c>
      <c r="B409" s="1" t="n">
        <v>45529</v>
      </c>
      <c r="C409" s="1" t="n">
        <v>45915</v>
      </c>
      <c r="D409" t="inlineStr">
        <is>
          <t>VÄRMLANDS LÄN</t>
        </is>
      </c>
      <c r="E409" t="inlineStr">
        <is>
          <t>ÅRJÄNG</t>
        </is>
      </c>
      <c r="G409" t="n">
        <v>10.2</v>
      </c>
      <c r="H409" t="n">
        <v>0</v>
      </c>
      <c r="I409" t="n">
        <v>0</v>
      </c>
      <c r="J409" t="n">
        <v>0</v>
      </c>
      <c r="K409" t="n">
        <v>0</v>
      </c>
      <c r="L409" t="n">
        <v>0</v>
      </c>
      <c r="M409" t="n">
        <v>0</v>
      </c>
      <c r="N409" t="n">
        <v>0</v>
      </c>
      <c r="O409" t="n">
        <v>0</v>
      </c>
      <c r="P409" t="n">
        <v>0</v>
      </c>
      <c r="Q409" t="n">
        <v>0</v>
      </c>
      <c r="R409" s="2" t="inlineStr"/>
    </row>
    <row r="410" ht="15" customHeight="1">
      <c r="A410" t="inlineStr">
        <is>
          <t>A 4465-2022</t>
        </is>
      </c>
      <c r="B410" s="1" t="n">
        <v>44589.60690972222</v>
      </c>
      <c r="C410" s="1" t="n">
        <v>45915</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26284-2021</t>
        </is>
      </c>
      <c r="B411" s="1" t="n">
        <v>44347</v>
      </c>
      <c r="C411" s="1" t="n">
        <v>45915</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58874-2023</t>
        </is>
      </c>
      <c r="B412" s="1" t="n">
        <v>45252</v>
      </c>
      <c r="C412" s="1" t="n">
        <v>45915</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22667-2025</t>
        </is>
      </c>
      <c r="B413" s="1" t="n">
        <v>45789</v>
      </c>
      <c r="C413" s="1" t="n">
        <v>45915</v>
      </c>
      <c r="D413" t="inlineStr">
        <is>
          <t>VÄRMLANDS LÄN</t>
        </is>
      </c>
      <c r="E413" t="inlineStr">
        <is>
          <t>ÅRJÄNG</t>
        </is>
      </c>
      <c r="G413" t="n">
        <v>4.4</v>
      </c>
      <c r="H413" t="n">
        <v>0</v>
      </c>
      <c r="I413" t="n">
        <v>0</v>
      </c>
      <c r="J413" t="n">
        <v>0</v>
      </c>
      <c r="K413" t="n">
        <v>0</v>
      </c>
      <c r="L413" t="n">
        <v>0</v>
      </c>
      <c r="M413" t="n">
        <v>0</v>
      </c>
      <c r="N413" t="n">
        <v>0</v>
      </c>
      <c r="O413" t="n">
        <v>0</v>
      </c>
      <c r="P413" t="n">
        <v>0</v>
      </c>
      <c r="Q413" t="n">
        <v>0</v>
      </c>
      <c r="R413" s="2" t="inlineStr"/>
    </row>
    <row r="414" ht="15" customHeight="1">
      <c r="A414" t="inlineStr">
        <is>
          <t>A 49701-2022</t>
        </is>
      </c>
      <c r="B414" s="1" t="n">
        <v>44862.53201388889</v>
      </c>
      <c r="C414" s="1" t="n">
        <v>45915</v>
      </c>
      <c r="D414" t="inlineStr">
        <is>
          <t>VÄRMLANDS LÄN</t>
        </is>
      </c>
      <c r="E414" t="inlineStr">
        <is>
          <t>ÅRJÄNG</t>
        </is>
      </c>
      <c r="G414" t="n">
        <v>2.3</v>
      </c>
      <c r="H414" t="n">
        <v>0</v>
      </c>
      <c r="I414" t="n">
        <v>0</v>
      </c>
      <c r="J414" t="n">
        <v>0</v>
      </c>
      <c r="K414" t="n">
        <v>0</v>
      </c>
      <c r="L414" t="n">
        <v>0</v>
      </c>
      <c r="M414" t="n">
        <v>0</v>
      </c>
      <c r="N414" t="n">
        <v>0</v>
      </c>
      <c r="O414" t="n">
        <v>0</v>
      </c>
      <c r="P414" t="n">
        <v>0</v>
      </c>
      <c r="Q414" t="n">
        <v>0</v>
      </c>
      <c r="R414" s="2" t="inlineStr"/>
    </row>
    <row r="415" ht="15" customHeight="1">
      <c r="A415" t="inlineStr">
        <is>
          <t>A 58767-2024</t>
        </is>
      </c>
      <c r="B415" s="1" t="n">
        <v>45635.75033564815</v>
      </c>
      <c r="C415" s="1" t="n">
        <v>45915</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16562-2024</t>
        </is>
      </c>
      <c r="B416" s="1" t="n">
        <v>45408.45829861111</v>
      </c>
      <c r="C416" s="1" t="n">
        <v>45915</v>
      </c>
      <c r="D416" t="inlineStr">
        <is>
          <t>VÄRMLANDS LÄN</t>
        </is>
      </c>
      <c r="E416" t="inlineStr">
        <is>
          <t>ÅRJÄNG</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62357-2021</t>
        </is>
      </c>
      <c r="B417" s="1" t="n">
        <v>44503.45271990741</v>
      </c>
      <c r="C417" s="1" t="n">
        <v>45915</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60172-2023</t>
        </is>
      </c>
      <c r="B418" s="1" t="n">
        <v>45257</v>
      </c>
      <c r="C418" s="1" t="n">
        <v>45915</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29204-2023</t>
        </is>
      </c>
      <c r="B419" s="1" t="n">
        <v>45105.5669212963</v>
      </c>
      <c r="C419" s="1" t="n">
        <v>45915</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5259-2021</t>
        </is>
      </c>
      <c r="B420" s="1" t="n">
        <v>44229</v>
      </c>
      <c r="C420" s="1" t="n">
        <v>45915</v>
      </c>
      <c r="D420" t="inlineStr">
        <is>
          <t>VÄRMLANDS LÄN</t>
        </is>
      </c>
      <c r="E420" t="inlineStr">
        <is>
          <t>ÅRJÄNG</t>
        </is>
      </c>
      <c r="G420" t="n">
        <v>5.5</v>
      </c>
      <c r="H420" t="n">
        <v>0</v>
      </c>
      <c r="I420" t="n">
        <v>0</v>
      </c>
      <c r="J420" t="n">
        <v>0</v>
      </c>
      <c r="K420" t="n">
        <v>0</v>
      </c>
      <c r="L420" t="n">
        <v>0</v>
      </c>
      <c r="M420" t="n">
        <v>0</v>
      </c>
      <c r="N420" t="n">
        <v>0</v>
      </c>
      <c r="O420" t="n">
        <v>0</v>
      </c>
      <c r="P420" t="n">
        <v>0</v>
      </c>
      <c r="Q420" t="n">
        <v>0</v>
      </c>
      <c r="R420" s="2" t="inlineStr"/>
    </row>
    <row r="421" ht="15" customHeight="1">
      <c r="A421" t="inlineStr">
        <is>
          <t>A 38536-2024</t>
        </is>
      </c>
      <c r="B421" s="1" t="n">
        <v>45546.59431712963</v>
      </c>
      <c r="C421" s="1" t="n">
        <v>45915</v>
      </c>
      <c r="D421" t="inlineStr">
        <is>
          <t>VÄRMLANDS LÄN</t>
        </is>
      </c>
      <c r="E421" t="inlineStr">
        <is>
          <t>ÅRJÄNG</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27871-2021</t>
        </is>
      </c>
      <c r="B422" s="1" t="n">
        <v>44354</v>
      </c>
      <c r="C422" s="1" t="n">
        <v>45915</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26833-2024</t>
        </is>
      </c>
      <c r="B423" s="1" t="n">
        <v>45470</v>
      </c>
      <c r="C423" s="1" t="n">
        <v>45915</v>
      </c>
      <c r="D423" t="inlineStr">
        <is>
          <t>VÄRMLANDS LÄN</t>
        </is>
      </c>
      <c r="E423" t="inlineStr">
        <is>
          <t>ÅRJÄNG</t>
        </is>
      </c>
      <c r="F423" t="inlineStr">
        <is>
          <t>Kyrkan</t>
        </is>
      </c>
      <c r="G423" t="n">
        <v>7.9</v>
      </c>
      <c r="H423" t="n">
        <v>0</v>
      </c>
      <c r="I423" t="n">
        <v>0</v>
      </c>
      <c r="J423" t="n">
        <v>0</v>
      </c>
      <c r="K423" t="n">
        <v>0</v>
      </c>
      <c r="L423" t="n">
        <v>0</v>
      </c>
      <c r="M423" t="n">
        <v>0</v>
      </c>
      <c r="N423" t="n">
        <v>0</v>
      </c>
      <c r="O423" t="n">
        <v>0</v>
      </c>
      <c r="P423" t="n">
        <v>0</v>
      </c>
      <c r="Q423" t="n">
        <v>0</v>
      </c>
      <c r="R423" s="2" t="inlineStr"/>
    </row>
    <row r="424" ht="15" customHeight="1">
      <c r="A424" t="inlineStr">
        <is>
          <t>A 17015-2023</t>
        </is>
      </c>
      <c r="B424" s="1" t="n">
        <v>45030</v>
      </c>
      <c r="C424" s="1" t="n">
        <v>45915</v>
      </c>
      <c r="D424" t="inlineStr">
        <is>
          <t>VÄRMLANDS LÄN</t>
        </is>
      </c>
      <c r="E424" t="inlineStr">
        <is>
          <t>ÅRJÄNG</t>
        </is>
      </c>
      <c r="F424" t="inlineStr">
        <is>
          <t>Övriga Aktiebolag</t>
        </is>
      </c>
      <c r="G424" t="n">
        <v>13.9</v>
      </c>
      <c r="H424" t="n">
        <v>0</v>
      </c>
      <c r="I424" t="n">
        <v>0</v>
      </c>
      <c r="J424" t="n">
        <v>0</v>
      </c>
      <c r="K424" t="n">
        <v>0</v>
      </c>
      <c r="L424" t="n">
        <v>0</v>
      </c>
      <c r="M424" t="n">
        <v>0</v>
      </c>
      <c r="N424" t="n">
        <v>0</v>
      </c>
      <c r="O424" t="n">
        <v>0</v>
      </c>
      <c r="P424" t="n">
        <v>0</v>
      </c>
      <c r="Q424" t="n">
        <v>0</v>
      </c>
      <c r="R424" s="2" t="inlineStr"/>
    </row>
    <row r="425" ht="15" customHeight="1">
      <c r="A425" t="inlineStr">
        <is>
          <t>A 67134-2020</t>
        </is>
      </c>
      <c r="B425" s="1" t="n">
        <v>44179</v>
      </c>
      <c r="C425" s="1" t="n">
        <v>45915</v>
      </c>
      <c r="D425" t="inlineStr">
        <is>
          <t>VÄRMLANDS LÄN</t>
        </is>
      </c>
      <c r="E425" t="inlineStr">
        <is>
          <t>ÅRJÄNG</t>
        </is>
      </c>
      <c r="G425" t="n">
        <v>0.7</v>
      </c>
      <c r="H425" t="n">
        <v>0</v>
      </c>
      <c r="I425" t="n">
        <v>0</v>
      </c>
      <c r="J425" t="n">
        <v>0</v>
      </c>
      <c r="K425" t="n">
        <v>0</v>
      </c>
      <c r="L425" t="n">
        <v>0</v>
      </c>
      <c r="M425" t="n">
        <v>0</v>
      </c>
      <c r="N425" t="n">
        <v>0</v>
      </c>
      <c r="O425" t="n">
        <v>0</v>
      </c>
      <c r="P425" t="n">
        <v>0</v>
      </c>
      <c r="Q425" t="n">
        <v>0</v>
      </c>
      <c r="R425" s="2" t="inlineStr"/>
    </row>
    <row r="426" ht="15" customHeight="1">
      <c r="A426" t="inlineStr">
        <is>
          <t>A 23690-2024</t>
        </is>
      </c>
      <c r="B426" s="1" t="n">
        <v>45454.65612268518</v>
      </c>
      <c r="C426" s="1" t="n">
        <v>45915</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23039-2025</t>
        </is>
      </c>
      <c r="B427" s="1" t="n">
        <v>45790</v>
      </c>
      <c r="C427" s="1" t="n">
        <v>45915</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22556-2025</t>
        </is>
      </c>
      <c r="B428" s="1" t="n">
        <v>45788.93663194445</v>
      </c>
      <c r="C428" s="1" t="n">
        <v>45915</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57992-2023</t>
        </is>
      </c>
      <c r="B429" s="1" t="n">
        <v>45244</v>
      </c>
      <c r="C429" s="1" t="n">
        <v>45915</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37026-2024</t>
        </is>
      </c>
      <c r="B430" s="1" t="n">
        <v>45539</v>
      </c>
      <c r="C430" s="1" t="n">
        <v>45915</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11899-2025</t>
        </is>
      </c>
      <c r="B431" s="1" t="n">
        <v>45728</v>
      </c>
      <c r="C431" s="1" t="n">
        <v>45915</v>
      </c>
      <c r="D431" t="inlineStr">
        <is>
          <t>VÄRMLANDS LÄN</t>
        </is>
      </c>
      <c r="E431" t="inlineStr">
        <is>
          <t>ÅRJÄNG</t>
        </is>
      </c>
      <c r="G431" t="n">
        <v>3.9</v>
      </c>
      <c r="H431" t="n">
        <v>0</v>
      </c>
      <c r="I431" t="n">
        <v>0</v>
      </c>
      <c r="J431" t="n">
        <v>0</v>
      </c>
      <c r="K431" t="n">
        <v>0</v>
      </c>
      <c r="L431" t="n">
        <v>0</v>
      </c>
      <c r="M431" t="n">
        <v>0</v>
      </c>
      <c r="N431" t="n">
        <v>0</v>
      </c>
      <c r="O431" t="n">
        <v>0</v>
      </c>
      <c r="P431" t="n">
        <v>0</v>
      </c>
      <c r="Q431" t="n">
        <v>0</v>
      </c>
      <c r="R431" s="2" t="inlineStr"/>
    </row>
    <row r="432" ht="15" customHeight="1">
      <c r="A432" t="inlineStr">
        <is>
          <t>A 22635-2025</t>
        </is>
      </c>
      <c r="B432" s="1" t="n">
        <v>45789</v>
      </c>
      <c r="C432" s="1" t="n">
        <v>45915</v>
      </c>
      <c r="D432" t="inlineStr">
        <is>
          <t>VÄRMLANDS LÄN</t>
        </is>
      </c>
      <c r="E432" t="inlineStr">
        <is>
          <t>ÅRJÄNG</t>
        </is>
      </c>
      <c r="G432" t="n">
        <v>5.2</v>
      </c>
      <c r="H432" t="n">
        <v>0</v>
      </c>
      <c r="I432" t="n">
        <v>0</v>
      </c>
      <c r="J432" t="n">
        <v>0</v>
      </c>
      <c r="K432" t="n">
        <v>0</v>
      </c>
      <c r="L432" t="n">
        <v>0</v>
      </c>
      <c r="M432" t="n">
        <v>0</v>
      </c>
      <c r="N432" t="n">
        <v>0</v>
      </c>
      <c r="O432" t="n">
        <v>0</v>
      </c>
      <c r="P432" t="n">
        <v>0</v>
      </c>
      <c r="Q432" t="n">
        <v>0</v>
      </c>
      <c r="R432" s="2" t="inlineStr"/>
    </row>
    <row r="433" ht="15" customHeight="1">
      <c r="A433" t="inlineStr">
        <is>
          <t>A 22158-2021</t>
        </is>
      </c>
      <c r="B433" s="1" t="n">
        <v>44325.57944444445</v>
      </c>
      <c r="C433" s="1" t="n">
        <v>45915</v>
      </c>
      <c r="D433" t="inlineStr">
        <is>
          <t>VÄRMLANDS LÄN</t>
        </is>
      </c>
      <c r="E433" t="inlineStr">
        <is>
          <t>ÅRJÄNG</t>
        </is>
      </c>
      <c r="G433" t="n">
        <v>5</v>
      </c>
      <c r="H433" t="n">
        <v>0</v>
      </c>
      <c r="I433" t="n">
        <v>0</v>
      </c>
      <c r="J433" t="n">
        <v>0</v>
      </c>
      <c r="K433" t="n">
        <v>0</v>
      </c>
      <c r="L433" t="n">
        <v>0</v>
      </c>
      <c r="M433" t="n">
        <v>0</v>
      </c>
      <c r="N433" t="n">
        <v>0</v>
      </c>
      <c r="O433" t="n">
        <v>0</v>
      </c>
      <c r="P433" t="n">
        <v>0</v>
      </c>
      <c r="Q433" t="n">
        <v>0</v>
      </c>
      <c r="R433" s="2" t="inlineStr"/>
    </row>
    <row r="434" ht="15" customHeight="1">
      <c r="A434" t="inlineStr">
        <is>
          <t>A 30817-2021</t>
        </is>
      </c>
      <c r="B434" s="1" t="n">
        <v>44365</v>
      </c>
      <c r="C434" s="1" t="n">
        <v>45915</v>
      </c>
      <c r="D434" t="inlineStr">
        <is>
          <t>VÄRMLANDS LÄN</t>
        </is>
      </c>
      <c r="E434" t="inlineStr">
        <is>
          <t>ÅRJÄNG</t>
        </is>
      </c>
      <c r="G434" t="n">
        <v>5.6</v>
      </c>
      <c r="H434" t="n">
        <v>0</v>
      </c>
      <c r="I434" t="n">
        <v>0</v>
      </c>
      <c r="J434" t="n">
        <v>0</v>
      </c>
      <c r="K434" t="n">
        <v>0</v>
      </c>
      <c r="L434" t="n">
        <v>0</v>
      </c>
      <c r="M434" t="n">
        <v>0</v>
      </c>
      <c r="N434" t="n">
        <v>0</v>
      </c>
      <c r="O434" t="n">
        <v>0</v>
      </c>
      <c r="P434" t="n">
        <v>0</v>
      </c>
      <c r="Q434" t="n">
        <v>0</v>
      </c>
      <c r="R434" s="2" t="inlineStr"/>
    </row>
    <row r="435" ht="15" customHeight="1">
      <c r="A435" t="inlineStr">
        <is>
          <t>A 332-2021</t>
        </is>
      </c>
      <c r="B435" s="1" t="n">
        <v>44201</v>
      </c>
      <c r="C435" s="1" t="n">
        <v>45915</v>
      </c>
      <c r="D435" t="inlineStr">
        <is>
          <t>VÄRMLANDS LÄN</t>
        </is>
      </c>
      <c r="E435" t="inlineStr">
        <is>
          <t>ÅRJÄNG</t>
        </is>
      </c>
      <c r="G435" t="n">
        <v>4.1</v>
      </c>
      <c r="H435" t="n">
        <v>0</v>
      </c>
      <c r="I435" t="n">
        <v>0</v>
      </c>
      <c r="J435" t="n">
        <v>0</v>
      </c>
      <c r="K435" t="n">
        <v>0</v>
      </c>
      <c r="L435" t="n">
        <v>0</v>
      </c>
      <c r="M435" t="n">
        <v>0</v>
      </c>
      <c r="N435" t="n">
        <v>0</v>
      </c>
      <c r="O435" t="n">
        <v>0</v>
      </c>
      <c r="P435" t="n">
        <v>0</v>
      </c>
      <c r="Q435" t="n">
        <v>0</v>
      </c>
      <c r="R435" s="2" t="inlineStr"/>
    </row>
    <row r="436" ht="15" customHeight="1">
      <c r="A436" t="inlineStr">
        <is>
          <t>A 5713-2021</t>
        </is>
      </c>
      <c r="B436" s="1" t="n">
        <v>44230</v>
      </c>
      <c r="C436" s="1" t="n">
        <v>45915</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44333.89180555556</v>
      </c>
      <c r="C437" s="1" t="n">
        <v>45915</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38840-2023</t>
        </is>
      </c>
      <c r="B438" s="1" t="n">
        <v>45163.48267361111</v>
      </c>
      <c r="C438" s="1" t="n">
        <v>45915</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36195-2023</t>
        </is>
      </c>
      <c r="B439" s="1" t="n">
        <v>45149</v>
      </c>
      <c r="C439" s="1" t="n">
        <v>45915</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51269-2022</t>
        </is>
      </c>
      <c r="B440" s="1" t="n">
        <v>44868</v>
      </c>
      <c r="C440" s="1" t="n">
        <v>45915</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22727-2025</t>
        </is>
      </c>
      <c r="B441" s="1" t="n">
        <v>45789.5744212963</v>
      </c>
      <c r="C441" s="1" t="n">
        <v>45915</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62609-2023</t>
        </is>
      </c>
      <c r="B442" s="1" t="n">
        <v>45267</v>
      </c>
      <c r="C442" s="1" t="n">
        <v>45915</v>
      </c>
      <c r="D442" t="inlineStr">
        <is>
          <t>VÄRMLANDS LÄN</t>
        </is>
      </c>
      <c r="E442" t="inlineStr">
        <is>
          <t>ÅRJÄNG</t>
        </is>
      </c>
      <c r="G442" t="n">
        <v>14.4</v>
      </c>
      <c r="H442" t="n">
        <v>0</v>
      </c>
      <c r="I442" t="n">
        <v>0</v>
      </c>
      <c r="J442" t="n">
        <v>0</v>
      </c>
      <c r="K442" t="n">
        <v>0</v>
      </c>
      <c r="L442" t="n">
        <v>0</v>
      </c>
      <c r="M442" t="n">
        <v>0</v>
      </c>
      <c r="N442" t="n">
        <v>0</v>
      </c>
      <c r="O442" t="n">
        <v>0</v>
      </c>
      <c r="P442" t="n">
        <v>0</v>
      </c>
      <c r="Q442" t="n">
        <v>0</v>
      </c>
      <c r="R442" s="2" t="inlineStr"/>
    </row>
    <row r="443" ht="15" customHeight="1">
      <c r="A443" t="inlineStr">
        <is>
          <t>A 34526-2023</t>
        </is>
      </c>
      <c r="B443" s="1" t="n">
        <v>45140.41518518519</v>
      </c>
      <c r="C443" s="1" t="n">
        <v>45915</v>
      </c>
      <c r="D443" t="inlineStr">
        <is>
          <t>VÄRMLANDS LÄN</t>
        </is>
      </c>
      <c r="E443" t="inlineStr">
        <is>
          <t>ÅRJÄNG</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45915</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45635-2024</t>
        </is>
      </c>
      <c r="B445" s="1" t="n">
        <v>45579</v>
      </c>
      <c r="C445" s="1" t="n">
        <v>45915</v>
      </c>
      <c r="D445" t="inlineStr">
        <is>
          <t>VÄRMLANDS LÄN</t>
        </is>
      </c>
      <c r="E445" t="inlineStr">
        <is>
          <t>ÅRJÄNG</t>
        </is>
      </c>
      <c r="G445" t="n">
        <v>9.1</v>
      </c>
      <c r="H445" t="n">
        <v>0</v>
      </c>
      <c r="I445" t="n">
        <v>0</v>
      </c>
      <c r="J445" t="n">
        <v>0</v>
      </c>
      <c r="K445" t="n">
        <v>0</v>
      </c>
      <c r="L445" t="n">
        <v>0</v>
      </c>
      <c r="M445" t="n">
        <v>0</v>
      </c>
      <c r="N445" t="n">
        <v>0</v>
      </c>
      <c r="O445" t="n">
        <v>0</v>
      </c>
      <c r="P445" t="n">
        <v>0</v>
      </c>
      <c r="Q445" t="n">
        <v>0</v>
      </c>
      <c r="R445" s="2" t="inlineStr"/>
    </row>
    <row r="446" ht="15" customHeight="1">
      <c r="A446" t="inlineStr">
        <is>
          <t>A 43659-2024</t>
        </is>
      </c>
      <c r="B446" s="1" t="n">
        <v>45569</v>
      </c>
      <c r="C446" s="1" t="n">
        <v>45915</v>
      </c>
      <c r="D446" t="inlineStr">
        <is>
          <t>VÄRMLANDS LÄN</t>
        </is>
      </c>
      <c r="E446" t="inlineStr">
        <is>
          <t>ÅRJÄNG</t>
        </is>
      </c>
      <c r="G446" t="n">
        <v>6</v>
      </c>
      <c r="H446" t="n">
        <v>0</v>
      </c>
      <c r="I446" t="n">
        <v>0</v>
      </c>
      <c r="J446" t="n">
        <v>0</v>
      </c>
      <c r="K446" t="n">
        <v>0</v>
      </c>
      <c r="L446" t="n">
        <v>0</v>
      </c>
      <c r="M446" t="n">
        <v>0</v>
      </c>
      <c r="N446" t="n">
        <v>0</v>
      </c>
      <c r="O446" t="n">
        <v>0</v>
      </c>
      <c r="P446" t="n">
        <v>0</v>
      </c>
      <c r="Q446" t="n">
        <v>0</v>
      </c>
      <c r="R446" s="2" t="inlineStr"/>
    </row>
    <row r="447" ht="15" customHeight="1">
      <c r="A447" t="inlineStr">
        <is>
          <t>A 50339-2024</t>
        </is>
      </c>
      <c r="B447" s="1" t="n">
        <v>45600.73030092593</v>
      </c>
      <c r="C447" s="1" t="n">
        <v>45915</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54382-2024</t>
        </is>
      </c>
      <c r="B448" s="1" t="n">
        <v>45617.44510416667</v>
      </c>
      <c r="C448" s="1" t="n">
        <v>45915</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56115-2024</t>
        </is>
      </c>
      <c r="B449" s="1" t="n">
        <v>45624.45351851852</v>
      </c>
      <c r="C449" s="1" t="n">
        <v>45915</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56116-2024</t>
        </is>
      </c>
      <c r="B450" s="1" t="n">
        <v>45624.45506944445</v>
      </c>
      <c r="C450" s="1" t="n">
        <v>45915</v>
      </c>
      <c r="D450" t="inlineStr">
        <is>
          <t>VÄRMLANDS LÄN</t>
        </is>
      </c>
      <c r="E450" t="inlineStr">
        <is>
          <t>ÅRJÄNG</t>
        </is>
      </c>
      <c r="G450" t="n">
        <v>3.2</v>
      </c>
      <c r="H450" t="n">
        <v>0</v>
      </c>
      <c r="I450" t="n">
        <v>0</v>
      </c>
      <c r="J450" t="n">
        <v>0</v>
      </c>
      <c r="K450" t="n">
        <v>0</v>
      </c>
      <c r="L450" t="n">
        <v>0</v>
      </c>
      <c r="M450" t="n">
        <v>0</v>
      </c>
      <c r="N450" t="n">
        <v>0</v>
      </c>
      <c r="O450" t="n">
        <v>0</v>
      </c>
      <c r="P450" t="n">
        <v>0</v>
      </c>
      <c r="Q450" t="n">
        <v>0</v>
      </c>
      <c r="R450" s="2" t="inlineStr"/>
    </row>
    <row r="451" ht="15" customHeight="1">
      <c r="A451" t="inlineStr">
        <is>
          <t>A 8625-2022</t>
        </is>
      </c>
      <c r="B451" s="1" t="n">
        <v>44613.61064814815</v>
      </c>
      <c r="C451" s="1" t="n">
        <v>45915</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45915</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45915</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24339-2024</t>
        </is>
      </c>
      <c r="B454" s="1" t="n">
        <v>45457</v>
      </c>
      <c r="C454" s="1" t="n">
        <v>45915</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57152-2024</t>
        </is>
      </c>
      <c r="B455" s="1" t="n">
        <v>45628</v>
      </c>
      <c r="C455" s="1" t="n">
        <v>45915</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57158-2024</t>
        </is>
      </c>
      <c r="B456" s="1" t="n">
        <v>45628</v>
      </c>
      <c r="C456" s="1" t="n">
        <v>45915</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55686-2024</t>
        </is>
      </c>
      <c r="B457" s="1" t="n">
        <v>45622</v>
      </c>
      <c r="C457" s="1" t="n">
        <v>45915</v>
      </c>
      <c r="D457" t="inlineStr">
        <is>
          <t>VÄRMLANDS LÄN</t>
        </is>
      </c>
      <c r="E457" t="inlineStr">
        <is>
          <t>ÅRJÄNG</t>
        </is>
      </c>
      <c r="G457" t="n">
        <v>1.9</v>
      </c>
      <c r="H457" t="n">
        <v>0</v>
      </c>
      <c r="I457" t="n">
        <v>0</v>
      </c>
      <c r="J457" t="n">
        <v>0</v>
      </c>
      <c r="K457" t="n">
        <v>0</v>
      </c>
      <c r="L457" t="n">
        <v>0</v>
      </c>
      <c r="M457" t="n">
        <v>0</v>
      </c>
      <c r="N457" t="n">
        <v>0</v>
      </c>
      <c r="O457" t="n">
        <v>0</v>
      </c>
      <c r="P457" t="n">
        <v>0</v>
      </c>
      <c r="Q457" t="n">
        <v>0</v>
      </c>
      <c r="R457" s="2" t="inlineStr"/>
    </row>
    <row r="458" ht="15" customHeight="1">
      <c r="A458" t="inlineStr">
        <is>
          <t>A 58540-2024</t>
        </is>
      </c>
      <c r="B458" s="1" t="n">
        <v>45635</v>
      </c>
      <c r="C458" s="1" t="n">
        <v>45915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7235-2022</t>
        </is>
      </c>
      <c r="B459" s="1" t="n">
        <v>44606</v>
      </c>
      <c r="C459" s="1" t="n">
        <v>45915</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72609-2021</t>
        </is>
      </c>
      <c r="B460" s="1" t="n">
        <v>44546.50645833334</v>
      </c>
      <c r="C460" s="1" t="n">
        <v>45915</v>
      </c>
      <c r="D460" t="inlineStr">
        <is>
          <t>VÄRMLANDS LÄN</t>
        </is>
      </c>
      <c r="E460" t="inlineStr">
        <is>
          <t>ÅRJÄNG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62266-2023</t>
        </is>
      </c>
      <c r="B461" s="1" t="n">
        <v>45266</v>
      </c>
      <c r="C461" s="1" t="n">
        <v>45915</v>
      </c>
      <c r="D461" t="inlineStr">
        <is>
          <t>VÄRMLANDS LÄN</t>
        </is>
      </c>
      <c r="E461" t="inlineStr">
        <is>
          <t>ÅRJÄNG</t>
        </is>
      </c>
      <c r="G461" t="n">
        <v>10.5</v>
      </c>
      <c r="H461" t="n">
        <v>0</v>
      </c>
      <c r="I461" t="n">
        <v>0</v>
      </c>
      <c r="J461" t="n">
        <v>0</v>
      </c>
      <c r="K461" t="n">
        <v>0</v>
      </c>
      <c r="L461" t="n">
        <v>0</v>
      </c>
      <c r="M461" t="n">
        <v>0</v>
      </c>
      <c r="N461" t="n">
        <v>0</v>
      </c>
      <c r="O461" t="n">
        <v>0</v>
      </c>
      <c r="P461" t="n">
        <v>0</v>
      </c>
      <c r="Q461" t="n">
        <v>0</v>
      </c>
      <c r="R461" s="2" t="inlineStr"/>
    </row>
    <row r="462" ht="15" customHeight="1">
      <c r="A462" t="inlineStr">
        <is>
          <t>A 47028-2024</t>
        </is>
      </c>
      <c r="B462" s="1" t="n">
        <v>45586</v>
      </c>
      <c r="C462" s="1" t="n">
        <v>45915</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58141-2023</t>
        </is>
      </c>
      <c r="B463" s="1" t="n">
        <v>45245</v>
      </c>
      <c r="C463" s="1" t="n">
        <v>45915</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27138-2024</t>
        </is>
      </c>
      <c r="B464" s="1" t="n">
        <v>45471</v>
      </c>
      <c r="C464" s="1" t="n">
        <v>45915</v>
      </c>
      <c r="D464" t="inlineStr">
        <is>
          <t>VÄRMLANDS LÄN</t>
        </is>
      </c>
      <c r="E464" t="inlineStr">
        <is>
          <t>ÅRJÄNG</t>
        </is>
      </c>
      <c r="G464" t="n">
        <v>5.7</v>
      </c>
      <c r="H464" t="n">
        <v>0</v>
      </c>
      <c r="I464" t="n">
        <v>0</v>
      </c>
      <c r="J464" t="n">
        <v>0</v>
      </c>
      <c r="K464" t="n">
        <v>0</v>
      </c>
      <c r="L464" t="n">
        <v>0</v>
      </c>
      <c r="M464" t="n">
        <v>0</v>
      </c>
      <c r="N464" t="n">
        <v>0</v>
      </c>
      <c r="O464" t="n">
        <v>0</v>
      </c>
      <c r="P464" t="n">
        <v>0</v>
      </c>
      <c r="Q464" t="n">
        <v>0</v>
      </c>
      <c r="R464" s="2" t="inlineStr"/>
    </row>
    <row r="465" ht="15" customHeight="1">
      <c r="A465" t="inlineStr">
        <is>
          <t>A 33304-2021</t>
        </is>
      </c>
      <c r="B465" s="1" t="n">
        <v>44377.43040509259</v>
      </c>
      <c r="C465" s="1" t="n">
        <v>45915</v>
      </c>
      <c r="D465" t="inlineStr">
        <is>
          <t>VÄRMLANDS LÄN</t>
        </is>
      </c>
      <c r="E465" t="inlineStr">
        <is>
          <t>ÅRJÄNG</t>
        </is>
      </c>
      <c r="G465" t="n">
        <v>4.9</v>
      </c>
      <c r="H465" t="n">
        <v>0</v>
      </c>
      <c r="I465" t="n">
        <v>0</v>
      </c>
      <c r="J465" t="n">
        <v>0</v>
      </c>
      <c r="K465" t="n">
        <v>0</v>
      </c>
      <c r="L465" t="n">
        <v>0</v>
      </c>
      <c r="M465" t="n">
        <v>0</v>
      </c>
      <c r="N465" t="n">
        <v>0</v>
      </c>
      <c r="O465" t="n">
        <v>0</v>
      </c>
      <c r="P465" t="n">
        <v>0</v>
      </c>
      <c r="Q465" t="n">
        <v>0</v>
      </c>
      <c r="R465" s="2" t="inlineStr"/>
    </row>
    <row r="466" ht="15" customHeight="1">
      <c r="A466" t="inlineStr">
        <is>
          <t>A 37029-2024</t>
        </is>
      </c>
      <c r="B466" s="1" t="n">
        <v>45539.38806712963</v>
      </c>
      <c r="C466" s="1" t="n">
        <v>45915</v>
      </c>
      <c r="D466" t="inlineStr">
        <is>
          <t>VÄRMLANDS LÄN</t>
        </is>
      </c>
      <c r="E466" t="inlineStr">
        <is>
          <t>ÅRJÄNG</t>
        </is>
      </c>
      <c r="G466" t="n">
        <v>4.7</v>
      </c>
      <c r="H466" t="n">
        <v>0</v>
      </c>
      <c r="I466" t="n">
        <v>0</v>
      </c>
      <c r="J466" t="n">
        <v>0</v>
      </c>
      <c r="K466" t="n">
        <v>0</v>
      </c>
      <c r="L466" t="n">
        <v>0</v>
      </c>
      <c r="M466" t="n">
        <v>0</v>
      </c>
      <c r="N466" t="n">
        <v>0</v>
      </c>
      <c r="O466" t="n">
        <v>0</v>
      </c>
      <c r="P466" t="n">
        <v>0</v>
      </c>
      <c r="Q466" t="n">
        <v>0</v>
      </c>
      <c r="R466" s="2" t="inlineStr"/>
    </row>
    <row r="467" ht="15" customHeight="1">
      <c r="A467" t="inlineStr">
        <is>
          <t>A 16012-2024</t>
        </is>
      </c>
      <c r="B467" s="1" t="n">
        <v>45405.6524074074</v>
      </c>
      <c r="C467" s="1" t="n">
        <v>45915</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31794-2023</t>
        </is>
      </c>
      <c r="B468" s="1" t="n">
        <v>45118.43856481482</v>
      </c>
      <c r="C468" s="1" t="n">
        <v>45915</v>
      </c>
      <c r="D468" t="inlineStr">
        <is>
          <t>VÄRMLANDS LÄN</t>
        </is>
      </c>
      <c r="E468" t="inlineStr">
        <is>
          <t>ÅRJÄNG</t>
        </is>
      </c>
      <c r="G468" t="n">
        <v>2.3</v>
      </c>
      <c r="H468" t="n">
        <v>0</v>
      </c>
      <c r="I468" t="n">
        <v>0</v>
      </c>
      <c r="J468" t="n">
        <v>0</v>
      </c>
      <c r="K468" t="n">
        <v>0</v>
      </c>
      <c r="L468" t="n">
        <v>0</v>
      </c>
      <c r="M468" t="n">
        <v>0</v>
      </c>
      <c r="N468" t="n">
        <v>0</v>
      </c>
      <c r="O468" t="n">
        <v>0</v>
      </c>
      <c r="P468" t="n">
        <v>0</v>
      </c>
      <c r="Q468" t="n">
        <v>0</v>
      </c>
      <c r="R468" s="2" t="inlineStr"/>
    </row>
    <row r="469" ht="15" customHeight="1">
      <c r="A469" t="inlineStr">
        <is>
          <t>A 30693-2021</t>
        </is>
      </c>
      <c r="B469" s="1" t="n">
        <v>44365</v>
      </c>
      <c r="C469" s="1" t="n">
        <v>45915</v>
      </c>
      <c r="D469" t="inlineStr">
        <is>
          <t>VÄRMLANDS LÄN</t>
        </is>
      </c>
      <c r="E469" t="inlineStr">
        <is>
          <t>ÅRJÄNG</t>
        </is>
      </c>
      <c r="G469" t="n">
        <v>8.4</v>
      </c>
      <c r="H469" t="n">
        <v>0</v>
      </c>
      <c r="I469" t="n">
        <v>0</v>
      </c>
      <c r="J469" t="n">
        <v>0</v>
      </c>
      <c r="K469" t="n">
        <v>0</v>
      </c>
      <c r="L469" t="n">
        <v>0</v>
      </c>
      <c r="M469" t="n">
        <v>0</v>
      </c>
      <c r="N469" t="n">
        <v>0</v>
      </c>
      <c r="O469" t="n">
        <v>0</v>
      </c>
      <c r="P469" t="n">
        <v>0</v>
      </c>
      <c r="Q469" t="n">
        <v>0</v>
      </c>
      <c r="R469" s="2" t="inlineStr"/>
    </row>
    <row r="470" ht="15" customHeight="1">
      <c r="A470" t="inlineStr">
        <is>
          <t>A 57126-2024</t>
        </is>
      </c>
      <c r="B470" s="1" t="n">
        <v>45629.37579861111</v>
      </c>
      <c r="C470" s="1" t="n">
        <v>45915</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72476-2021</t>
        </is>
      </c>
      <c r="B471" s="1" t="n">
        <v>44545.86997685185</v>
      </c>
      <c r="C471" s="1" t="n">
        <v>45915</v>
      </c>
      <c r="D471" t="inlineStr">
        <is>
          <t>VÄRMLANDS LÄN</t>
        </is>
      </c>
      <c r="E471" t="inlineStr">
        <is>
          <t>ÅRJÄNG</t>
        </is>
      </c>
      <c r="G471" t="n">
        <v>1.9</v>
      </c>
      <c r="H471" t="n">
        <v>0</v>
      </c>
      <c r="I471" t="n">
        <v>0</v>
      </c>
      <c r="J471" t="n">
        <v>0</v>
      </c>
      <c r="K471" t="n">
        <v>0</v>
      </c>
      <c r="L471" t="n">
        <v>0</v>
      </c>
      <c r="M471" t="n">
        <v>0</v>
      </c>
      <c r="N471" t="n">
        <v>0</v>
      </c>
      <c r="O471" t="n">
        <v>0</v>
      </c>
      <c r="P471" t="n">
        <v>0</v>
      </c>
      <c r="Q471" t="n">
        <v>0</v>
      </c>
      <c r="R471" s="2" t="inlineStr"/>
    </row>
    <row r="472" ht="15" customHeight="1">
      <c r="A472" t="inlineStr">
        <is>
          <t>A 58270-2024</t>
        </is>
      </c>
      <c r="B472" s="1" t="n">
        <v>45632.56928240741</v>
      </c>
      <c r="C472" s="1" t="n">
        <v>45915</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39008-2023</t>
        </is>
      </c>
      <c r="B473" s="1" t="n">
        <v>45162</v>
      </c>
      <c r="C473" s="1" t="n">
        <v>45915</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19246-2024</t>
        </is>
      </c>
      <c r="B474" s="1" t="n">
        <v>45428</v>
      </c>
      <c r="C474" s="1" t="n">
        <v>45915</v>
      </c>
      <c r="D474" t="inlineStr">
        <is>
          <t>VÄRMLANDS LÄN</t>
        </is>
      </c>
      <c r="E474" t="inlineStr">
        <is>
          <t>ÅRJÄNG</t>
        </is>
      </c>
      <c r="F474" t="inlineStr">
        <is>
          <t>Bergvik skog väst AB</t>
        </is>
      </c>
      <c r="G474" t="n">
        <v>2.9</v>
      </c>
      <c r="H474" t="n">
        <v>0</v>
      </c>
      <c r="I474" t="n">
        <v>0</v>
      </c>
      <c r="J474" t="n">
        <v>0</v>
      </c>
      <c r="K474" t="n">
        <v>0</v>
      </c>
      <c r="L474" t="n">
        <v>0</v>
      </c>
      <c r="M474" t="n">
        <v>0</v>
      </c>
      <c r="N474" t="n">
        <v>0</v>
      </c>
      <c r="O474" t="n">
        <v>0</v>
      </c>
      <c r="P474" t="n">
        <v>0</v>
      </c>
      <c r="Q474" t="n">
        <v>0</v>
      </c>
      <c r="R474" s="2" t="inlineStr"/>
    </row>
    <row r="475" ht="15" customHeight="1">
      <c r="A475" t="inlineStr">
        <is>
          <t>A 1665-2023</t>
        </is>
      </c>
      <c r="B475" s="1" t="n">
        <v>44938</v>
      </c>
      <c r="C475" s="1" t="n">
        <v>45915</v>
      </c>
      <c r="D475" t="inlineStr">
        <is>
          <t>VÄRMLANDS LÄN</t>
        </is>
      </c>
      <c r="E475" t="inlineStr">
        <is>
          <t>ÅRJÄNG</t>
        </is>
      </c>
      <c r="G475" t="n">
        <v>5.1</v>
      </c>
      <c r="H475" t="n">
        <v>0</v>
      </c>
      <c r="I475" t="n">
        <v>0</v>
      </c>
      <c r="J475" t="n">
        <v>0</v>
      </c>
      <c r="K475" t="n">
        <v>0</v>
      </c>
      <c r="L475" t="n">
        <v>0</v>
      </c>
      <c r="M475" t="n">
        <v>0</v>
      </c>
      <c r="N475" t="n">
        <v>0</v>
      </c>
      <c r="O475" t="n">
        <v>0</v>
      </c>
      <c r="P475" t="n">
        <v>0</v>
      </c>
      <c r="Q475" t="n">
        <v>0</v>
      </c>
      <c r="R475" s="2" t="inlineStr"/>
    </row>
    <row r="476" ht="15" customHeight="1">
      <c r="A476" t="inlineStr">
        <is>
          <t>A 38158-2023</t>
        </is>
      </c>
      <c r="B476" s="1" t="n">
        <v>45161</v>
      </c>
      <c r="C476" s="1" t="n">
        <v>45915</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47981-2023</t>
        </is>
      </c>
      <c r="B477" s="1" t="n">
        <v>45198</v>
      </c>
      <c r="C477" s="1" t="n">
        <v>45915</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28733-2024</t>
        </is>
      </c>
      <c r="B478" s="1" t="n">
        <v>45478</v>
      </c>
      <c r="C478" s="1" t="n">
        <v>45915</v>
      </c>
      <c r="D478" t="inlineStr">
        <is>
          <t>VÄRMLANDS LÄN</t>
        </is>
      </c>
      <c r="E478" t="inlineStr">
        <is>
          <t>ÅRJÄNG</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1289-2025</t>
        </is>
      </c>
      <c r="B479" s="1" t="n">
        <v>45667.51412037037</v>
      </c>
      <c r="C479" s="1" t="n">
        <v>45915</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20463-2024</t>
        </is>
      </c>
      <c r="B480" s="1" t="n">
        <v>45435</v>
      </c>
      <c r="C480" s="1" t="n">
        <v>45915</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30993-2024</t>
        </is>
      </c>
      <c r="B481" s="1" t="n">
        <v>45499</v>
      </c>
      <c r="C481" s="1" t="n">
        <v>45915</v>
      </c>
      <c r="D481" t="inlineStr">
        <is>
          <t>VÄRMLANDS LÄN</t>
        </is>
      </c>
      <c r="E481" t="inlineStr">
        <is>
          <t>ÅRJÄNG</t>
        </is>
      </c>
      <c r="F481" t="inlineStr">
        <is>
          <t>Kyrkan</t>
        </is>
      </c>
      <c r="G481" t="n">
        <v>4.7</v>
      </c>
      <c r="H481" t="n">
        <v>0</v>
      </c>
      <c r="I481" t="n">
        <v>0</v>
      </c>
      <c r="J481" t="n">
        <v>0</v>
      </c>
      <c r="K481" t="n">
        <v>0</v>
      </c>
      <c r="L481" t="n">
        <v>0</v>
      </c>
      <c r="M481" t="n">
        <v>0</v>
      </c>
      <c r="N481" t="n">
        <v>0</v>
      </c>
      <c r="O481" t="n">
        <v>0</v>
      </c>
      <c r="P481" t="n">
        <v>0</v>
      </c>
      <c r="Q481" t="n">
        <v>0</v>
      </c>
      <c r="R481" s="2" t="inlineStr"/>
    </row>
    <row r="482" ht="15" customHeight="1">
      <c r="A482" t="inlineStr">
        <is>
          <t>A 73363-2021</t>
        </is>
      </c>
      <c r="B482" s="1" t="n">
        <v>44550</v>
      </c>
      <c r="C482" s="1" t="n">
        <v>45915</v>
      </c>
      <c r="D482" t="inlineStr">
        <is>
          <t>VÄRMLANDS LÄN</t>
        </is>
      </c>
      <c r="E482" t="inlineStr">
        <is>
          <t>ÅRJÄNG</t>
        </is>
      </c>
      <c r="G482" t="n">
        <v>11.5</v>
      </c>
      <c r="H482" t="n">
        <v>0</v>
      </c>
      <c r="I482" t="n">
        <v>0</v>
      </c>
      <c r="J482" t="n">
        <v>0</v>
      </c>
      <c r="K482" t="n">
        <v>0</v>
      </c>
      <c r="L482" t="n">
        <v>0</v>
      </c>
      <c r="M482" t="n">
        <v>0</v>
      </c>
      <c r="N482" t="n">
        <v>0</v>
      </c>
      <c r="O482" t="n">
        <v>0</v>
      </c>
      <c r="P482" t="n">
        <v>0</v>
      </c>
      <c r="Q482" t="n">
        <v>0</v>
      </c>
      <c r="R482" s="2" t="inlineStr"/>
    </row>
    <row r="483" ht="15" customHeight="1">
      <c r="A483" t="inlineStr">
        <is>
          <t>A 92-2022</t>
        </is>
      </c>
      <c r="B483" s="1" t="n">
        <v>44564</v>
      </c>
      <c r="C483" s="1" t="n">
        <v>45915</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19877-2025</t>
        </is>
      </c>
      <c r="B484" s="1" t="n">
        <v>45771.55351851852</v>
      </c>
      <c r="C484" s="1" t="n">
        <v>45915</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9489-2023</t>
        </is>
      </c>
      <c r="B485" s="1" t="n">
        <v>44981</v>
      </c>
      <c r="C485" s="1" t="n">
        <v>45915</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36642-2021</t>
        </is>
      </c>
      <c r="B486" s="1" t="n">
        <v>44392</v>
      </c>
      <c r="C486" s="1" t="n">
        <v>45915</v>
      </c>
      <c r="D486" t="inlineStr">
        <is>
          <t>VÄRMLANDS LÄN</t>
        </is>
      </c>
      <c r="E486" t="inlineStr">
        <is>
          <t>ÅRJÄNG</t>
        </is>
      </c>
      <c r="G486" t="n">
        <v>6.1</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45915</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37122-2022</t>
        </is>
      </c>
      <c r="B488" s="1" t="n">
        <v>44806</v>
      </c>
      <c r="C488" s="1" t="n">
        <v>45915</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34643-2024</t>
        </is>
      </c>
      <c r="B489" s="1" t="n">
        <v>45526</v>
      </c>
      <c r="C489" s="1" t="n">
        <v>45915</v>
      </c>
      <c r="D489" t="inlineStr">
        <is>
          <t>VÄRMLANDS LÄN</t>
        </is>
      </c>
      <c r="E489" t="inlineStr">
        <is>
          <t>ÅRJÄNG</t>
        </is>
      </c>
      <c r="G489" t="n">
        <v>3.4</v>
      </c>
      <c r="H489" t="n">
        <v>0</v>
      </c>
      <c r="I489" t="n">
        <v>0</v>
      </c>
      <c r="J489" t="n">
        <v>0</v>
      </c>
      <c r="K489" t="n">
        <v>0</v>
      </c>
      <c r="L489" t="n">
        <v>0</v>
      </c>
      <c r="M489" t="n">
        <v>0</v>
      </c>
      <c r="N489" t="n">
        <v>0</v>
      </c>
      <c r="O489" t="n">
        <v>0</v>
      </c>
      <c r="P489" t="n">
        <v>0</v>
      </c>
      <c r="Q489" t="n">
        <v>0</v>
      </c>
      <c r="R489" s="2" t="inlineStr"/>
    </row>
    <row r="490" ht="15" customHeight="1">
      <c r="A490" t="inlineStr">
        <is>
          <t>A 39525-2024</t>
        </is>
      </c>
      <c r="B490" s="1" t="n">
        <v>45551.80957175926</v>
      </c>
      <c r="C490" s="1" t="n">
        <v>45915</v>
      </c>
      <c r="D490" t="inlineStr">
        <is>
          <t>VÄRMLANDS LÄN</t>
        </is>
      </c>
      <c r="E490" t="inlineStr">
        <is>
          <t>ÅRJÄNG</t>
        </is>
      </c>
      <c r="G490" t="n">
        <v>3.2</v>
      </c>
      <c r="H490" t="n">
        <v>0</v>
      </c>
      <c r="I490" t="n">
        <v>0</v>
      </c>
      <c r="J490" t="n">
        <v>0</v>
      </c>
      <c r="K490" t="n">
        <v>0</v>
      </c>
      <c r="L490" t="n">
        <v>0</v>
      </c>
      <c r="M490" t="n">
        <v>0</v>
      </c>
      <c r="N490" t="n">
        <v>0</v>
      </c>
      <c r="O490" t="n">
        <v>0</v>
      </c>
      <c r="P490" t="n">
        <v>0</v>
      </c>
      <c r="Q490" t="n">
        <v>0</v>
      </c>
      <c r="R490" s="2" t="inlineStr"/>
    </row>
    <row r="491" ht="15" customHeight="1">
      <c r="A491" t="inlineStr">
        <is>
          <t>A 59014-2024</t>
        </is>
      </c>
      <c r="B491" s="1" t="n">
        <v>45636</v>
      </c>
      <c r="C491" s="1" t="n">
        <v>45915</v>
      </c>
      <c r="D491" t="inlineStr">
        <is>
          <t>VÄRMLANDS LÄN</t>
        </is>
      </c>
      <c r="E491" t="inlineStr">
        <is>
          <t>ÅRJÄNG</t>
        </is>
      </c>
      <c r="G491" t="n">
        <v>0.6</v>
      </c>
      <c r="H491" t="n">
        <v>0</v>
      </c>
      <c r="I491" t="n">
        <v>0</v>
      </c>
      <c r="J491" t="n">
        <v>0</v>
      </c>
      <c r="K491" t="n">
        <v>0</v>
      </c>
      <c r="L491" t="n">
        <v>0</v>
      </c>
      <c r="M491" t="n">
        <v>0</v>
      </c>
      <c r="N491" t="n">
        <v>0</v>
      </c>
      <c r="O491" t="n">
        <v>0</v>
      </c>
      <c r="P491" t="n">
        <v>0</v>
      </c>
      <c r="Q491" t="n">
        <v>0</v>
      </c>
      <c r="R491" s="2" t="inlineStr"/>
    </row>
    <row r="492" ht="15" customHeight="1">
      <c r="A492" t="inlineStr">
        <is>
          <t>A 19245-2024</t>
        </is>
      </c>
      <c r="B492" s="1" t="n">
        <v>45428</v>
      </c>
      <c r="C492" s="1" t="n">
        <v>45915</v>
      </c>
      <c r="D492" t="inlineStr">
        <is>
          <t>VÄRMLANDS LÄN</t>
        </is>
      </c>
      <c r="E492" t="inlineStr">
        <is>
          <t>ÅRJÄNG</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61154-2021</t>
        </is>
      </c>
      <c r="B493" s="1" t="n">
        <v>44497</v>
      </c>
      <c r="C493" s="1" t="n">
        <v>45915</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4606-2024</t>
        </is>
      </c>
      <c r="B494" s="1" t="n">
        <v>45328.3225</v>
      </c>
      <c r="C494" s="1" t="n">
        <v>45915</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53332-2023</t>
        </is>
      </c>
      <c r="B495" s="1" t="n">
        <v>45229</v>
      </c>
      <c r="C495" s="1" t="n">
        <v>45915</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45915</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20028-2023</t>
        </is>
      </c>
      <c r="B497" s="1" t="n">
        <v>45054.64534722222</v>
      </c>
      <c r="C497" s="1" t="n">
        <v>45915</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56644-2024</t>
        </is>
      </c>
      <c r="B498" s="1" t="n">
        <v>45625</v>
      </c>
      <c r="C498" s="1" t="n">
        <v>45915</v>
      </c>
      <c r="D498" t="inlineStr">
        <is>
          <t>VÄRMLANDS LÄN</t>
        </is>
      </c>
      <c r="E498" t="inlineStr">
        <is>
          <t>ÅRJÄNG</t>
        </is>
      </c>
      <c r="G498" t="n">
        <v>12.6</v>
      </c>
      <c r="H498" t="n">
        <v>0</v>
      </c>
      <c r="I498" t="n">
        <v>0</v>
      </c>
      <c r="J498" t="n">
        <v>0</v>
      </c>
      <c r="K498" t="n">
        <v>0</v>
      </c>
      <c r="L498" t="n">
        <v>0</v>
      </c>
      <c r="M498" t="n">
        <v>0</v>
      </c>
      <c r="N498" t="n">
        <v>0</v>
      </c>
      <c r="O498" t="n">
        <v>0</v>
      </c>
      <c r="P498" t="n">
        <v>0</v>
      </c>
      <c r="Q498" t="n">
        <v>0</v>
      </c>
      <c r="R498" s="2" t="inlineStr"/>
    </row>
    <row r="499" ht="15" customHeight="1">
      <c r="A499" t="inlineStr">
        <is>
          <t>A 40360-2024</t>
        </is>
      </c>
      <c r="B499" s="1" t="n">
        <v>45555</v>
      </c>
      <c r="C499" s="1" t="n">
        <v>45915</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45124-2024</t>
        </is>
      </c>
      <c r="B500" s="1" t="n">
        <v>45575</v>
      </c>
      <c r="C500" s="1" t="n">
        <v>45915</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5507-2024</t>
        </is>
      </c>
      <c r="B501" s="1" t="n">
        <v>45334.36188657407</v>
      </c>
      <c r="C501" s="1" t="n">
        <v>45915</v>
      </c>
      <c r="D501" t="inlineStr">
        <is>
          <t>VÄRMLANDS LÄN</t>
        </is>
      </c>
      <c r="E501" t="inlineStr">
        <is>
          <t>ÅRJÄNG</t>
        </is>
      </c>
      <c r="G501" t="n">
        <v>4.8</v>
      </c>
      <c r="H501" t="n">
        <v>0</v>
      </c>
      <c r="I501" t="n">
        <v>0</v>
      </c>
      <c r="J501" t="n">
        <v>0</v>
      </c>
      <c r="K501" t="n">
        <v>0</v>
      </c>
      <c r="L501" t="n">
        <v>0</v>
      </c>
      <c r="M501" t="n">
        <v>0</v>
      </c>
      <c r="N501" t="n">
        <v>0</v>
      </c>
      <c r="O501" t="n">
        <v>0</v>
      </c>
      <c r="P501" t="n">
        <v>0</v>
      </c>
      <c r="Q501" t="n">
        <v>0</v>
      </c>
      <c r="R501" s="2" t="inlineStr"/>
    </row>
    <row r="502" ht="15" customHeight="1">
      <c r="A502" t="inlineStr">
        <is>
          <t>A 24252-2025</t>
        </is>
      </c>
      <c r="B502" s="1" t="n">
        <v>45797.40376157407</v>
      </c>
      <c r="C502" s="1" t="n">
        <v>45915</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2969-2022</t>
        </is>
      </c>
      <c r="B503" s="1" t="n">
        <v>44581.70811342593</v>
      </c>
      <c r="C503" s="1" t="n">
        <v>45915</v>
      </c>
      <c r="D503" t="inlineStr">
        <is>
          <t>VÄRMLANDS LÄN</t>
        </is>
      </c>
      <c r="E503" t="inlineStr">
        <is>
          <t>ÅRJÄNG</t>
        </is>
      </c>
      <c r="G503" t="n">
        <v>1.6</v>
      </c>
      <c r="H503" t="n">
        <v>0</v>
      </c>
      <c r="I503" t="n">
        <v>0</v>
      </c>
      <c r="J503" t="n">
        <v>0</v>
      </c>
      <c r="K503" t="n">
        <v>0</v>
      </c>
      <c r="L503" t="n">
        <v>0</v>
      </c>
      <c r="M503" t="n">
        <v>0</v>
      </c>
      <c r="N503" t="n">
        <v>0</v>
      </c>
      <c r="O503" t="n">
        <v>0</v>
      </c>
      <c r="P503" t="n">
        <v>0</v>
      </c>
      <c r="Q503" t="n">
        <v>0</v>
      </c>
      <c r="R503" s="2" t="inlineStr"/>
    </row>
    <row r="504" ht="15" customHeight="1">
      <c r="A504" t="inlineStr">
        <is>
          <t>A 41201-2024</t>
        </is>
      </c>
      <c r="B504" s="1" t="n">
        <v>45559</v>
      </c>
      <c r="C504" s="1" t="n">
        <v>45915</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73623-2021</t>
        </is>
      </c>
      <c r="B505" s="1" t="n">
        <v>44552</v>
      </c>
      <c r="C505" s="1" t="n">
        <v>45915</v>
      </c>
      <c r="D505" t="inlineStr">
        <is>
          <t>VÄRMLANDS LÄN</t>
        </is>
      </c>
      <c r="E505" t="inlineStr">
        <is>
          <t>ÅRJÄNG</t>
        </is>
      </c>
      <c r="G505" t="n">
        <v>7.4</v>
      </c>
      <c r="H505" t="n">
        <v>0</v>
      </c>
      <c r="I505" t="n">
        <v>0</v>
      </c>
      <c r="J505" t="n">
        <v>0</v>
      </c>
      <c r="K505" t="n">
        <v>0</v>
      </c>
      <c r="L505" t="n">
        <v>0</v>
      </c>
      <c r="M505" t="n">
        <v>0</v>
      </c>
      <c r="N505" t="n">
        <v>0</v>
      </c>
      <c r="O505" t="n">
        <v>0</v>
      </c>
      <c r="P505" t="n">
        <v>0</v>
      </c>
      <c r="Q505" t="n">
        <v>0</v>
      </c>
      <c r="R505" s="2" t="inlineStr"/>
    </row>
    <row r="506" ht="15" customHeight="1">
      <c r="A506" t="inlineStr">
        <is>
          <t>A 24983-2025</t>
        </is>
      </c>
      <c r="B506" s="1" t="n">
        <v>45799.59841435185</v>
      </c>
      <c r="C506" s="1" t="n">
        <v>45915</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19313-2023</t>
        </is>
      </c>
      <c r="B507" s="1" t="n">
        <v>45049</v>
      </c>
      <c r="C507" s="1" t="n">
        <v>45915</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50918-2023</t>
        </is>
      </c>
      <c r="B508" s="1" t="n">
        <v>45218.4339699074</v>
      </c>
      <c r="C508" s="1" t="n">
        <v>45915</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74448-2021</t>
        </is>
      </c>
      <c r="B509" s="1" t="n">
        <v>44560.47202546296</v>
      </c>
      <c r="C509" s="1" t="n">
        <v>45915</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56342-2024</t>
        </is>
      </c>
      <c r="B510" s="1" t="n">
        <v>45624</v>
      </c>
      <c r="C510" s="1" t="n">
        <v>45915</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56347-2024</t>
        </is>
      </c>
      <c r="B511" s="1" t="n">
        <v>45624</v>
      </c>
      <c r="C511" s="1" t="n">
        <v>45915</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61295-2022</t>
        </is>
      </c>
      <c r="B512" s="1" t="n">
        <v>44915</v>
      </c>
      <c r="C512" s="1" t="n">
        <v>45915</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10648-2023</t>
        </is>
      </c>
      <c r="B513" s="1" t="n">
        <v>44984</v>
      </c>
      <c r="C513" s="1" t="n">
        <v>45915</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36282-2024</t>
        </is>
      </c>
      <c r="B514" s="1" t="n">
        <v>45534.5887962963</v>
      </c>
      <c r="C514" s="1" t="n">
        <v>45915</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61545-2024</t>
        </is>
      </c>
      <c r="B515" s="1" t="n">
        <v>45646.59966435185</v>
      </c>
      <c r="C515" s="1" t="n">
        <v>45915</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23945-2023</t>
        </is>
      </c>
      <c r="B516" s="1" t="n">
        <v>45075</v>
      </c>
      <c r="C516" s="1" t="n">
        <v>45915</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58435-2024</t>
        </is>
      </c>
      <c r="B517" s="1" t="n">
        <v>45634</v>
      </c>
      <c r="C517" s="1" t="n">
        <v>45915</v>
      </c>
      <c r="D517" t="inlineStr">
        <is>
          <t>VÄRMLANDS LÄN</t>
        </is>
      </c>
      <c r="E517" t="inlineStr">
        <is>
          <t>ÅRJÄNG</t>
        </is>
      </c>
      <c r="G517" t="n">
        <v>6.7</v>
      </c>
      <c r="H517" t="n">
        <v>0</v>
      </c>
      <c r="I517" t="n">
        <v>0</v>
      </c>
      <c r="J517" t="n">
        <v>0</v>
      </c>
      <c r="K517" t="n">
        <v>0</v>
      </c>
      <c r="L517" t="n">
        <v>0</v>
      </c>
      <c r="M517" t="n">
        <v>0</v>
      </c>
      <c r="N517" t="n">
        <v>0</v>
      </c>
      <c r="O517" t="n">
        <v>0</v>
      </c>
      <c r="P517" t="n">
        <v>0</v>
      </c>
      <c r="Q517" t="n">
        <v>0</v>
      </c>
      <c r="R517" s="2" t="inlineStr"/>
    </row>
    <row r="518" ht="15" customHeight="1">
      <c r="A518" t="inlineStr">
        <is>
          <t>A 32541-2023</t>
        </is>
      </c>
      <c r="B518" s="1" t="n">
        <v>45121.39616898148</v>
      </c>
      <c r="C518" s="1" t="n">
        <v>45915</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56566-2022</t>
        </is>
      </c>
      <c r="B519" s="1" t="n">
        <v>44893.50795138889</v>
      </c>
      <c r="C519" s="1" t="n">
        <v>45915</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11704-2025</t>
        </is>
      </c>
      <c r="B520" s="1" t="n">
        <v>45727.57896990741</v>
      </c>
      <c r="C520" s="1" t="n">
        <v>45915</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37347-2024</t>
        </is>
      </c>
      <c r="B521" s="1" t="n">
        <v>45540</v>
      </c>
      <c r="C521" s="1" t="n">
        <v>45915</v>
      </c>
      <c r="D521" t="inlineStr">
        <is>
          <t>VÄRMLANDS LÄN</t>
        </is>
      </c>
      <c r="E521" t="inlineStr">
        <is>
          <t>ÅRJÄNG</t>
        </is>
      </c>
      <c r="G521" t="n">
        <v>1.9</v>
      </c>
      <c r="H521" t="n">
        <v>0</v>
      </c>
      <c r="I521" t="n">
        <v>0</v>
      </c>
      <c r="J521" t="n">
        <v>0</v>
      </c>
      <c r="K521" t="n">
        <v>0</v>
      </c>
      <c r="L521" t="n">
        <v>0</v>
      </c>
      <c r="M521" t="n">
        <v>0</v>
      </c>
      <c r="N521" t="n">
        <v>0</v>
      </c>
      <c r="O521" t="n">
        <v>0</v>
      </c>
      <c r="P521" t="n">
        <v>0</v>
      </c>
      <c r="Q521" t="n">
        <v>0</v>
      </c>
      <c r="R521" s="2" t="inlineStr"/>
    </row>
    <row r="522" ht="15" customHeight="1">
      <c r="A522" t="inlineStr">
        <is>
          <t>A 15903-2022</t>
        </is>
      </c>
      <c r="B522" s="1" t="n">
        <v>44664.57841435185</v>
      </c>
      <c r="C522" s="1" t="n">
        <v>45915</v>
      </c>
      <c r="D522" t="inlineStr">
        <is>
          <t>VÄRMLANDS LÄN</t>
        </is>
      </c>
      <c r="E522" t="inlineStr">
        <is>
          <t>ÅRJÄNG</t>
        </is>
      </c>
      <c r="G522" t="n">
        <v>5</v>
      </c>
      <c r="H522" t="n">
        <v>0</v>
      </c>
      <c r="I522" t="n">
        <v>0</v>
      </c>
      <c r="J522" t="n">
        <v>0</v>
      </c>
      <c r="K522" t="n">
        <v>0</v>
      </c>
      <c r="L522" t="n">
        <v>0</v>
      </c>
      <c r="M522" t="n">
        <v>0</v>
      </c>
      <c r="N522" t="n">
        <v>0</v>
      </c>
      <c r="O522" t="n">
        <v>0</v>
      </c>
      <c r="P522" t="n">
        <v>0</v>
      </c>
      <c r="Q522" t="n">
        <v>0</v>
      </c>
      <c r="R522" s="2" t="inlineStr"/>
    </row>
    <row r="523" ht="15" customHeight="1">
      <c r="A523" t="inlineStr">
        <is>
          <t>A 34172-2024</t>
        </is>
      </c>
      <c r="B523" s="1" t="n">
        <v>45524</v>
      </c>
      <c r="C523" s="1" t="n">
        <v>45915</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37765-2023</t>
        </is>
      </c>
      <c r="B524" s="1" t="n">
        <v>45159</v>
      </c>
      <c r="C524" s="1" t="n">
        <v>45915</v>
      </c>
      <c r="D524" t="inlineStr">
        <is>
          <t>VÄRMLANDS LÄN</t>
        </is>
      </c>
      <c r="E524" t="inlineStr">
        <is>
          <t>ÅRJÄNG</t>
        </is>
      </c>
      <c r="G524" t="n">
        <v>4.6</v>
      </c>
      <c r="H524" t="n">
        <v>0</v>
      </c>
      <c r="I524" t="n">
        <v>0</v>
      </c>
      <c r="J524" t="n">
        <v>0</v>
      </c>
      <c r="K524" t="n">
        <v>0</v>
      </c>
      <c r="L524" t="n">
        <v>0</v>
      </c>
      <c r="M524" t="n">
        <v>0</v>
      </c>
      <c r="N524" t="n">
        <v>0</v>
      </c>
      <c r="O524" t="n">
        <v>0</v>
      </c>
      <c r="P524" t="n">
        <v>0</v>
      </c>
      <c r="Q524" t="n">
        <v>0</v>
      </c>
      <c r="R524" s="2" t="inlineStr"/>
    </row>
    <row r="525" ht="15" customHeight="1">
      <c r="A525" t="inlineStr">
        <is>
          <t>A 61226-2024</t>
        </is>
      </c>
      <c r="B525" s="1" t="n">
        <v>45645.66853009259</v>
      </c>
      <c r="C525" s="1" t="n">
        <v>45915</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7700-2023</t>
        </is>
      </c>
      <c r="B526" s="1" t="n">
        <v>44967</v>
      </c>
      <c r="C526" s="1" t="n">
        <v>45915</v>
      </c>
      <c r="D526" t="inlineStr">
        <is>
          <t>VÄRMLANDS LÄN</t>
        </is>
      </c>
      <c r="E526" t="inlineStr">
        <is>
          <t>ÅRJÄNG</t>
        </is>
      </c>
      <c r="F526" t="inlineStr">
        <is>
          <t>Övriga Aktiebolag</t>
        </is>
      </c>
      <c r="G526" t="n">
        <v>4.3</v>
      </c>
      <c r="H526" t="n">
        <v>0</v>
      </c>
      <c r="I526" t="n">
        <v>0</v>
      </c>
      <c r="J526" t="n">
        <v>0</v>
      </c>
      <c r="K526" t="n">
        <v>0</v>
      </c>
      <c r="L526" t="n">
        <v>0</v>
      </c>
      <c r="M526" t="n">
        <v>0</v>
      </c>
      <c r="N526" t="n">
        <v>0</v>
      </c>
      <c r="O526" t="n">
        <v>0</v>
      </c>
      <c r="P526" t="n">
        <v>0</v>
      </c>
      <c r="Q526" t="n">
        <v>0</v>
      </c>
      <c r="R526" s="2" t="inlineStr"/>
    </row>
    <row r="527" ht="15" customHeight="1">
      <c r="A527" t="inlineStr">
        <is>
          <t>A 51157-2024</t>
        </is>
      </c>
      <c r="B527" s="1" t="n">
        <v>45603</v>
      </c>
      <c r="C527" s="1" t="n">
        <v>45915</v>
      </c>
      <c r="D527" t="inlineStr">
        <is>
          <t>VÄRMLANDS LÄN</t>
        </is>
      </c>
      <c r="E527" t="inlineStr">
        <is>
          <t>ÅRJÄNG</t>
        </is>
      </c>
      <c r="G527" t="n">
        <v>6.3</v>
      </c>
      <c r="H527" t="n">
        <v>0</v>
      </c>
      <c r="I527" t="n">
        <v>0</v>
      </c>
      <c r="J527" t="n">
        <v>0</v>
      </c>
      <c r="K527" t="n">
        <v>0</v>
      </c>
      <c r="L527" t="n">
        <v>0</v>
      </c>
      <c r="M527" t="n">
        <v>0</v>
      </c>
      <c r="N527" t="n">
        <v>0</v>
      </c>
      <c r="O527" t="n">
        <v>0</v>
      </c>
      <c r="P527" t="n">
        <v>0</v>
      </c>
      <c r="Q527" t="n">
        <v>0</v>
      </c>
      <c r="R527" s="2" t="inlineStr"/>
    </row>
    <row r="528" ht="15" customHeight="1">
      <c r="A528" t="inlineStr">
        <is>
          <t>A 4798-2022</t>
        </is>
      </c>
      <c r="B528" s="1" t="n">
        <v>44592.6534375</v>
      </c>
      <c r="C528" s="1" t="n">
        <v>45915</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60020-2024</t>
        </is>
      </c>
      <c r="B529" s="1" t="n">
        <v>45642.44655092592</v>
      </c>
      <c r="C529" s="1" t="n">
        <v>45915</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37356-2024</t>
        </is>
      </c>
      <c r="B530" s="1" t="n">
        <v>45540</v>
      </c>
      <c r="C530" s="1" t="n">
        <v>45915</v>
      </c>
      <c r="D530" t="inlineStr">
        <is>
          <t>VÄRMLANDS LÄN</t>
        </is>
      </c>
      <c r="E530" t="inlineStr">
        <is>
          <t>ÅRJÄNG</t>
        </is>
      </c>
      <c r="G530" t="n">
        <v>3.4</v>
      </c>
      <c r="H530" t="n">
        <v>0</v>
      </c>
      <c r="I530" t="n">
        <v>0</v>
      </c>
      <c r="J530" t="n">
        <v>0</v>
      </c>
      <c r="K530" t="n">
        <v>0</v>
      </c>
      <c r="L530" t="n">
        <v>0</v>
      </c>
      <c r="M530" t="n">
        <v>0</v>
      </c>
      <c r="N530" t="n">
        <v>0</v>
      </c>
      <c r="O530" t="n">
        <v>0</v>
      </c>
      <c r="P530" t="n">
        <v>0</v>
      </c>
      <c r="Q530" t="n">
        <v>0</v>
      </c>
      <c r="R530" s="2" t="inlineStr"/>
    </row>
    <row r="531" ht="15" customHeight="1">
      <c r="A531" t="inlineStr">
        <is>
          <t>A 1414-2025</t>
        </is>
      </c>
      <c r="B531" s="1" t="n">
        <v>45668.32134259259</v>
      </c>
      <c r="C531" s="1" t="n">
        <v>45915</v>
      </c>
      <c r="D531" t="inlineStr">
        <is>
          <t>VÄRMLANDS LÄN</t>
        </is>
      </c>
      <c r="E531" t="inlineStr">
        <is>
          <t>ÅRJÄNG</t>
        </is>
      </c>
      <c r="G531" t="n">
        <v>3.6</v>
      </c>
      <c r="H531" t="n">
        <v>0</v>
      </c>
      <c r="I531" t="n">
        <v>0</v>
      </c>
      <c r="J531" t="n">
        <v>0</v>
      </c>
      <c r="K531" t="n">
        <v>0</v>
      </c>
      <c r="L531" t="n">
        <v>0</v>
      </c>
      <c r="M531" t="n">
        <v>0</v>
      </c>
      <c r="N531" t="n">
        <v>0</v>
      </c>
      <c r="O531" t="n">
        <v>0</v>
      </c>
      <c r="P531" t="n">
        <v>0</v>
      </c>
      <c r="Q531" t="n">
        <v>0</v>
      </c>
      <c r="R531" s="2" t="inlineStr"/>
    </row>
    <row r="532" ht="15" customHeight="1">
      <c r="A532" t="inlineStr">
        <is>
          <t>A 20674-2023</t>
        </is>
      </c>
      <c r="B532" s="1" t="n">
        <v>45058</v>
      </c>
      <c r="C532" s="1" t="n">
        <v>45915</v>
      </c>
      <c r="D532" t="inlineStr">
        <is>
          <t>VÄRMLANDS LÄN</t>
        </is>
      </c>
      <c r="E532" t="inlineStr">
        <is>
          <t>ÅRJÄNG</t>
        </is>
      </c>
      <c r="G532" t="n">
        <v>11.1</v>
      </c>
      <c r="H532" t="n">
        <v>0</v>
      </c>
      <c r="I532" t="n">
        <v>0</v>
      </c>
      <c r="J532" t="n">
        <v>0</v>
      </c>
      <c r="K532" t="n">
        <v>0</v>
      </c>
      <c r="L532" t="n">
        <v>0</v>
      </c>
      <c r="M532" t="n">
        <v>0</v>
      </c>
      <c r="N532" t="n">
        <v>0</v>
      </c>
      <c r="O532" t="n">
        <v>0</v>
      </c>
      <c r="P532" t="n">
        <v>0</v>
      </c>
      <c r="Q532" t="n">
        <v>0</v>
      </c>
      <c r="R532" s="2" t="inlineStr"/>
    </row>
    <row r="533" ht="15" customHeight="1">
      <c r="A533" t="inlineStr">
        <is>
          <t>A 39096-2023</t>
        </is>
      </c>
      <c r="B533" s="1" t="n">
        <v>45164.55570601852</v>
      </c>
      <c r="C533" s="1" t="n">
        <v>45915</v>
      </c>
      <c r="D533" t="inlineStr">
        <is>
          <t>VÄRMLANDS LÄN</t>
        </is>
      </c>
      <c r="E533" t="inlineStr">
        <is>
          <t>ÅRJÄNG</t>
        </is>
      </c>
      <c r="G533" t="n">
        <v>5.1</v>
      </c>
      <c r="H533" t="n">
        <v>0</v>
      </c>
      <c r="I533" t="n">
        <v>0</v>
      </c>
      <c r="J533" t="n">
        <v>0</v>
      </c>
      <c r="K533" t="n">
        <v>0</v>
      </c>
      <c r="L533" t="n">
        <v>0</v>
      </c>
      <c r="M533" t="n">
        <v>0</v>
      </c>
      <c r="N533" t="n">
        <v>0</v>
      </c>
      <c r="O533" t="n">
        <v>0</v>
      </c>
      <c r="P533" t="n">
        <v>0</v>
      </c>
      <c r="Q533" t="n">
        <v>0</v>
      </c>
      <c r="R533" s="2" t="inlineStr"/>
    </row>
    <row r="534" ht="15" customHeight="1">
      <c r="A534" t="inlineStr">
        <is>
          <t>A 23878-2023</t>
        </is>
      </c>
      <c r="B534" s="1" t="n">
        <v>45078</v>
      </c>
      <c r="C534" s="1" t="n">
        <v>45915</v>
      </c>
      <c r="D534" t="inlineStr">
        <is>
          <t>VÄRMLANDS LÄN</t>
        </is>
      </c>
      <c r="E534" t="inlineStr">
        <is>
          <t>ÅRJÄNG</t>
        </is>
      </c>
      <c r="G534" t="n">
        <v>2.5</v>
      </c>
      <c r="H534" t="n">
        <v>0</v>
      </c>
      <c r="I534" t="n">
        <v>0</v>
      </c>
      <c r="J534" t="n">
        <v>0</v>
      </c>
      <c r="K534" t="n">
        <v>0</v>
      </c>
      <c r="L534" t="n">
        <v>0</v>
      </c>
      <c r="M534" t="n">
        <v>0</v>
      </c>
      <c r="N534" t="n">
        <v>0</v>
      </c>
      <c r="O534" t="n">
        <v>0</v>
      </c>
      <c r="P534" t="n">
        <v>0</v>
      </c>
      <c r="Q534" t="n">
        <v>0</v>
      </c>
      <c r="R534" s="2" t="inlineStr"/>
    </row>
    <row r="535" ht="15" customHeight="1">
      <c r="A535" t="inlineStr">
        <is>
          <t>A 39178-2023</t>
        </is>
      </c>
      <c r="B535" s="1" t="n">
        <v>45166.38395833333</v>
      </c>
      <c r="C535" s="1" t="n">
        <v>45915</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5332-2025</t>
        </is>
      </c>
      <c r="B536" s="1" t="n">
        <v>45692.53978009259</v>
      </c>
      <c r="C536" s="1" t="n">
        <v>45915</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52574-2024</t>
        </is>
      </c>
      <c r="B537" s="1" t="n">
        <v>45609</v>
      </c>
      <c r="C537" s="1" t="n">
        <v>45915</v>
      </c>
      <c r="D537" t="inlineStr">
        <is>
          <t>VÄRMLANDS LÄN</t>
        </is>
      </c>
      <c r="E537" t="inlineStr">
        <is>
          <t>ÅRJÄNG</t>
        </is>
      </c>
      <c r="G537" t="n">
        <v>0.2</v>
      </c>
      <c r="H537" t="n">
        <v>0</v>
      </c>
      <c r="I537" t="n">
        <v>0</v>
      </c>
      <c r="J537" t="n">
        <v>0</v>
      </c>
      <c r="K537" t="n">
        <v>0</v>
      </c>
      <c r="L537" t="n">
        <v>0</v>
      </c>
      <c r="M537" t="n">
        <v>0</v>
      </c>
      <c r="N537" t="n">
        <v>0</v>
      </c>
      <c r="O537" t="n">
        <v>0</v>
      </c>
      <c r="P537" t="n">
        <v>0</v>
      </c>
      <c r="Q537" t="n">
        <v>0</v>
      </c>
      <c r="R537" s="2" t="inlineStr"/>
    </row>
    <row r="538" ht="15" customHeight="1">
      <c r="A538" t="inlineStr">
        <is>
          <t>A 3656-2022</t>
        </is>
      </c>
      <c r="B538" s="1" t="n">
        <v>44586</v>
      </c>
      <c r="C538" s="1" t="n">
        <v>45915</v>
      </c>
      <c r="D538" t="inlineStr">
        <is>
          <t>VÄRMLANDS LÄN</t>
        </is>
      </c>
      <c r="E538" t="inlineStr">
        <is>
          <t>ÅRJÄNG</t>
        </is>
      </c>
      <c r="G538" t="n">
        <v>11.7</v>
      </c>
      <c r="H538" t="n">
        <v>0</v>
      </c>
      <c r="I538" t="n">
        <v>0</v>
      </c>
      <c r="J538" t="n">
        <v>0</v>
      </c>
      <c r="K538" t="n">
        <v>0</v>
      </c>
      <c r="L538" t="n">
        <v>0</v>
      </c>
      <c r="M538" t="n">
        <v>0</v>
      </c>
      <c r="N538" t="n">
        <v>0</v>
      </c>
      <c r="O538" t="n">
        <v>0</v>
      </c>
      <c r="P538" t="n">
        <v>0</v>
      </c>
      <c r="Q538" t="n">
        <v>0</v>
      </c>
      <c r="R538" s="2" t="inlineStr"/>
    </row>
    <row r="539" ht="15" customHeight="1">
      <c r="A539" t="inlineStr">
        <is>
          <t>A 11392-2024</t>
        </is>
      </c>
      <c r="B539" s="1" t="n">
        <v>45372</v>
      </c>
      <c r="C539" s="1" t="n">
        <v>45915</v>
      </c>
      <c r="D539" t="inlineStr">
        <is>
          <t>VÄRMLANDS LÄN</t>
        </is>
      </c>
      <c r="E539" t="inlineStr">
        <is>
          <t>ÅRJÄNG</t>
        </is>
      </c>
      <c r="G539" t="n">
        <v>3.6</v>
      </c>
      <c r="H539" t="n">
        <v>0</v>
      </c>
      <c r="I539" t="n">
        <v>0</v>
      </c>
      <c r="J539" t="n">
        <v>0</v>
      </c>
      <c r="K539" t="n">
        <v>0</v>
      </c>
      <c r="L539" t="n">
        <v>0</v>
      </c>
      <c r="M539" t="n">
        <v>0</v>
      </c>
      <c r="N539" t="n">
        <v>0</v>
      </c>
      <c r="O539" t="n">
        <v>0</v>
      </c>
      <c r="P539" t="n">
        <v>0</v>
      </c>
      <c r="Q539" t="n">
        <v>0</v>
      </c>
      <c r="R539" s="2" t="inlineStr"/>
    </row>
    <row r="540" ht="15" customHeight="1">
      <c r="A540" t="inlineStr">
        <is>
          <t>A 39027-2024</t>
        </is>
      </c>
      <c r="B540" s="1" t="n">
        <v>45548</v>
      </c>
      <c r="C540" s="1" t="n">
        <v>45915</v>
      </c>
      <c r="D540" t="inlineStr">
        <is>
          <t>VÄRMLANDS LÄN</t>
        </is>
      </c>
      <c r="E540" t="inlineStr">
        <is>
          <t>ÅRJÄNG</t>
        </is>
      </c>
      <c r="F540" t="inlineStr">
        <is>
          <t>Kyrkan</t>
        </is>
      </c>
      <c r="G540" t="n">
        <v>3.6</v>
      </c>
      <c r="H540" t="n">
        <v>0</v>
      </c>
      <c r="I540" t="n">
        <v>0</v>
      </c>
      <c r="J540" t="n">
        <v>0</v>
      </c>
      <c r="K540" t="n">
        <v>0</v>
      </c>
      <c r="L540" t="n">
        <v>0</v>
      </c>
      <c r="M540" t="n">
        <v>0</v>
      </c>
      <c r="N540" t="n">
        <v>0</v>
      </c>
      <c r="O540" t="n">
        <v>0</v>
      </c>
      <c r="P540" t="n">
        <v>0</v>
      </c>
      <c r="Q540" t="n">
        <v>0</v>
      </c>
      <c r="R540" s="2" t="inlineStr"/>
    </row>
    <row r="541" ht="15" customHeight="1">
      <c r="A541" t="inlineStr">
        <is>
          <t>A 70461-2021</t>
        </is>
      </c>
      <c r="B541" s="1" t="n">
        <v>44536</v>
      </c>
      <c r="C541" s="1" t="n">
        <v>45915</v>
      </c>
      <c r="D541" t="inlineStr">
        <is>
          <t>VÄRMLANDS LÄN</t>
        </is>
      </c>
      <c r="E541" t="inlineStr">
        <is>
          <t>ÅRJÄNG</t>
        </is>
      </c>
      <c r="G541" t="n">
        <v>3.8</v>
      </c>
      <c r="H541" t="n">
        <v>0</v>
      </c>
      <c r="I541" t="n">
        <v>0</v>
      </c>
      <c r="J541" t="n">
        <v>0</v>
      </c>
      <c r="K541" t="n">
        <v>0</v>
      </c>
      <c r="L541" t="n">
        <v>0</v>
      </c>
      <c r="M541" t="n">
        <v>0</v>
      </c>
      <c r="N541" t="n">
        <v>0</v>
      </c>
      <c r="O541" t="n">
        <v>0</v>
      </c>
      <c r="P541" t="n">
        <v>0</v>
      </c>
      <c r="Q541" t="n">
        <v>0</v>
      </c>
      <c r="R541" s="2" t="inlineStr"/>
    </row>
    <row r="542" ht="15" customHeight="1">
      <c r="A542" t="inlineStr">
        <is>
          <t>A 38707-2023</t>
        </is>
      </c>
      <c r="B542" s="1" t="n">
        <v>45163.34018518519</v>
      </c>
      <c r="C542" s="1" t="n">
        <v>45915</v>
      </c>
      <c r="D542" t="inlineStr">
        <is>
          <t>VÄRMLANDS LÄN</t>
        </is>
      </c>
      <c r="E542" t="inlineStr">
        <is>
          <t>ÅRJÄNG</t>
        </is>
      </c>
      <c r="G542" t="n">
        <v>2.8</v>
      </c>
      <c r="H542" t="n">
        <v>0</v>
      </c>
      <c r="I542" t="n">
        <v>0</v>
      </c>
      <c r="J542" t="n">
        <v>0</v>
      </c>
      <c r="K542" t="n">
        <v>0</v>
      </c>
      <c r="L542" t="n">
        <v>0</v>
      </c>
      <c r="M542" t="n">
        <v>0</v>
      </c>
      <c r="N542" t="n">
        <v>0</v>
      </c>
      <c r="O542" t="n">
        <v>0</v>
      </c>
      <c r="P542" t="n">
        <v>0</v>
      </c>
      <c r="Q542" t="n">
        <v>0</v>
      </c>
      <c r="R542" s="2" t="inlineStr"/>
    </row>
    <row r="543" ht="15" customHeight="1">
      <c r="A543" t="inlineStr">
        <is>
          <t>A 68328-2021</t>
        </is>
      </c>
      <c r="B543" s="1" t="n">
        <v>44527.35875</v>
      </c>
      <c r="C543" s="1" t="n">
        <v>45915</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52741-2024</t>
        </is>
      </c>
      <c r="B544" s="1" t="n">
        <v>45610</v>
      </c>
      <c r="C544" s="1" t="n">
        <v>45915</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44934-2024</t>
        </is>
      </c>
      <c r="B545" s="1" t="n">
        <v>45575</v>
      </c>
      <c r="C545" s="1" t="n">
        <v>45915</v>
      </c>
      <c r="D545" t="inlineStr">
        <is>
          <t>VÄRMLANDS LÄN</t>
        </is>
      </c>
      <c r="E545" t="inlineStr">
        <is>
          <t>ÅRJÄNG</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43794-2024</t>
        </is>
      </c>
      <c r="B546" s="1" t="n">
        <v>45571.53519675926</v>
      </c>
      <c r="C546" s="1" t="n">
        <v>45915</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45643-2023</t>
        </is>
      </c>
      <c r="B547" s="1" t="n">
        <v>45194.69827546296</v>
      </c>
      <c r="C547" s="1" t="n">
        <v>45915</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33738-2021</t>
        </is>
      </c>
      <c r="B548" s="1" t="n">
        <v>44378.48505787037</v>
      </c>
      <c r="C548" s="1" t="n">
        <v>45915</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38065-2024</t>
        </is>
      </c>
      <c r="B549" s="1" t="n">
        <v>45544.8249537037</v>
      </c>
      <c r="C549" s="1" t="n">
        <v>45915</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55071-2024</t>
        </is>
      </c>
      <c r="B550" s="1" t="n">
        <v>45621.41861111111</v>
      </c>
      <c r="C550" s="1" t="n">
        <v>45915</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52579-2024</t>
        </is>
      </c>
      <c r="B551" s="1" t="n">
        <v>45609</v>
      </c>
      <c r="C551" s="1" t="n">
        <v>45915</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44556-2023</t>
        </is>
      </c>
      <c r="B552" s="1" t="n">
        <v>45189.53738425926</v>
      </c>
      <c r="C552" s="1" t="n">
        <v>45915</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9749-2024</t>
        </is>
      </c>
      <c r="B553" s="1" t="n">
        <v>45362</v>
      </c>
      <c r="C553" s="1" t="n">
        <v>45915</v>
      </c>
      <c r="D553" t="inlineStr">
        <is>
          <t>VÄRMLANDS LÄN</t>
        </is>
      </c>
      <c r="E553" t="inlineStr">
        <is>
          <t>ÅRJÄNG</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8614-2023</t>
        </is>
      </c>
      <c r="B554" s="1" t="n">
        <v>44977</v>
      </c>
      <c r="C554" s="1" t="n">
        <v>45915</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1571-2025</t>
        </is>
      </c>
      <c r="B555" s="1" t="n">
        <v>45670.55496527778</v>
      </c>
      <c r="C555" s="1" t="n">
        <v>45915</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53742-2024</t>
        </is>
      </c>
      <c r="B556" s="1" t="n">
        <v>45615.47130787037</v>
      </c>
      <c r="C556" s="1" t="n">
        <v>45915</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40458-2023</t>
        </is>
      </c>
      <c r="B557" s="1" t="n">
        <v>45170.32993055556</v>
      </c>
      <c r="C557" s="1" t="n">
        <v>45915</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56769-2024</t>
        </is>
      </c>
      <c r="B558" s="1" t="n">
        <v>45628.41550925926</v>
      </c>
      <c r="C558" s="1" t="n">
        <v>45915</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56030-2024</t>
        </is>
      </c>
      <c r="B559" s="1" t="n">
        <v>45624.31178240741</v>
      </c>
      <c r="C559" s="1" t="n">
        <v>45915</v>
      </c>
      <c r="D559" t="inlineStr">
        <is>
          <t>VÄRMLANDS LÄN</t>
        </is>
      </c>
      <c r="E559" t="inlineStr">
        <is>
          <t>ÅRJÄNG</t>
        </is>
      </c>
      <c r="G559" t="n">
        <v>2</v>
      </c>
      <c r="H559" t="n">
        <v>0</v>
      </c>
      <c r="I559" t="n">
        <v>0</v>
      </c>
      <c r="J559" t="n">
        <v>0</v>
      </c>
      <c r="K559" t="n">
        <v>0</v>
      </c>
      <c r="L559" t="n">
        <v>0</v>
      </c>
      <c r="M559" t="n">
        <v>0</v>
      </c>
      <c r="N559" t="n">
        <v>0</v>
      </c>
      <c r="O559" t="n">
        <v>0</v>
      </c>
      <c r="P559" t="n">
        <v>0</v>
      </c>
      <c r="Q559" t="n">
        <v>0</v>
      </c>
      <c r="R559" s="2" t="inlineStr"/>
    </row>
    <row r="560" ht="15" customHeight="1">
      <c r="A560" t="inlineStr">
        <is>
          <t>A 26258-2025</t>
        </is>
      </c>
      <c r="B560" s="1" t="n">
        <v>45805.58349537037</v>
      </c>
      <c r="C560" s="1" t="n">
        <v>45915</v>
      </c>
      <c r="D560" t="inlineStr">
        <is>
          <t>VÄRMLANDS LÄN</t>
        </is>
      </c>
      <c r="E560" t="inlineStr">
        <is>
          <t>ÅRJÄNG</t>
        </is>
      </c>
      <c r="G560" t="n">
        <v>2.3</v>
      </c>
      <c r="H560" t="n">
        <v>0</v>
      </c>
      <c r="I560" t="n">
        <v>0</v>
      </c>
      <c r="J560" t="n">
        <v>0</v>
      </c>
      <c r="K560" t="n">
        <v>0</v>
      </c>
      <c r="L560" t="n">
        <v>0</v>
      </c>
      <c r="M560" t="n">
        <v>0</v>
      </c>
      <c r="N560" t="n">
        <v>0</v>
      </c>
      <c r="O560" t="n">
        <v>0</v>
      </c>
      <c r="P560" t="n">
        <v>0</v>
      </c>
      <c r="Q560" t="n">
        <v>0</v>
      </c>
      <c r="R560" s="2" t="inlineStr"/>
    </row>
    <row r="561" ht="15" customHeight="1">
      <c r="A561" t="inlineStr">
        <is>
          <t>A 16010-2024</t>
        </is>
      </c>
      <c r="B561" s="1" t="n">
        <v>45405</v>
      </c>
      <c r="C561" s="1" t="n">
        <v>45915</v>
      </c>
      <c r="D561" t="inlineStr">
        <is>
          <t>VÄRMLANDS LÄN</t>
        </is>
      </c>
      <c r="E561" t="inlineStr">
        <is>
          <t>ÅRJÄNG</t>
        </is>
      </c>
      <c r="G561" t="n">
        <v>4.6</v>
      </c>
      <c r="H561" t="n">
        <v>0</v>
      </c>
      <c r="I561" t="n">
        <v>0</v>
      </c>
      <c r="J561" t="n">
        <v>0</v>
      </c>
      <c r="K561" t="n">
        <v>0</v>
      </c>
      <c r="L561" t="n">
        <v>0</v>
      </c>
      <c r="M561" t="n">
        <v>0</v>
      </c>
      <c r="N561" t="n">
        <v>0</v>
      </c>
      <c r="O561" t="n">
        <v>0</v>
      </c>
      <c r="P561" t="n">
        <v>0</v>
      </c>
      <c r="Q561" t="n">
        <v>0</v>
      </c>
      <c r="R561" s="2" t="inlineStr"/>
    </row>
    <row r="562" ht="15" customHeight="1">
      <c r="A562" t="inlineStr">
        <is>
          <t>A 5319-2025</t>
        </is>
      </c>
      <c r="B562" s="1" t="n">
        <v>45692.52384259259</v>
      </c>
      <c r="C562" s="1" t="n">
        <v>45915</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12840-2025</t>
        </is>
      </c>
      <c r="B563" s="1" t="n">
        <v>45733</v>
      </c>
      <c r="C563" s="1" t="n">
        <v>45915</v>
      </c>
      <c r="D563" t="inlineStr">
        <is>
          <t>VÄRMLANDS LÄN</t>
        </is>
      </c>
      <c r="E563" t="inlineStr">
        <is>
          <t>ÅRJÄNG</t>
        </is>
      </c>
      <c r="G563" t="n">
        <v>2.2</v>
      </c>
      <c r="H563" t="n">
        <v>0</v>
      </c>
      <c r="I563" t="n">
        <v>0</v>
      </c>
      <c r="J563" t="n">
        <v>0</v>
      </c>
      <c r="K563" t="n">
        <v>0</v>
      </c>
      <c r="L563" t="n">
        <v>0</v>
      </c>
      <c r="M563" t="n">
        <v>0</v>
      </c>
      <c r="N563" t="n">
        <v>0</v>
      </c>
      <c r="O563" t="n">
        <v>0</v>
      </c>
      <c r="P563" t="n">
        <v>0</v>
      </c>
      <c r="Q563" t="n">
        <v>0</v>
      </c>
      <c r="R563" s="2" t="inlineStr"/>
    </row>
    <row r="564" ht="15" customHeight="1">
      <c r="A564" t="inlineStr">
        <is>
          <t>A 62966-2023</t>
        </is>
      </c>
      <c r="B564" s="1" t="n">
        <v>45272.57006944445</v>
      </c>
      <c r="C564" s="1" t="n">
        <v>45915</v>
      </c>
      <c r="D564" t="inlineStr">
        <is>
          <t>VÄRMLANDS LÄN</t>
        </is>
      </c>
      <c r="E564" t="inlineStr">
        <is>
          <t>ÅRJÄNG</t>
        </is>
      </c>
      <c r="G564" t="n">
        <v>4.5</v>
      </c>
      <c r="H564" t="n">
        <v>0</v>
      </c>
      <c r="I564" t="n">
        <v>0</v>
      </c>
      <c r="J564" t="n">
        <v>0</v>
      </c>
      <c r="K564" t="n">
        <v>0</v>
      </c>
      <c r="L564" t="n">
        <v>0</v>
      </c>
      <c r="M564" t="n">
        <v>0</v>
      </c>
      <c r="N564" t="n">
        <v>0</v>
      </c>
      <c r="O564" t="n">
        <v>0</v>
      </c>
      <c r="P564" t="n">
        <v>0</v>
      </c>
      <c r="Q564" t="n">
        <v>0</v>
      </c>
      <c r="R564" s="2" t="inlineStr"/>
    </row>
    <row r="565" ht="15" customHeight="1">
      <c r="A565" t="inlineStr">
        <is>
          <t>A 4582-2025</t>
        </is>
      </c>
      <c r="B565" s="1" t="n">
        <v>45687</v>
      </c>
      <c r="C565" s="1" t="n">
        <v>45915</v>
      </c>
      <c r="D565" t="inlineStr">
        <is>
          <t>VÄRMLANDS LÄN</t>
        </is>
      </c>
      <c r="E565" t="inlineStr">
        <is>
          <t>ÅRJÄNG</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8146-2024</t>
        </is>
      </c>
      <c r="B566" s="1" t="n">
        <v>45351.57671296296</v>
      </c>
      <c r="C566" s="1" t="n">
        <v>45915</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1200-2023</t>
        </is>
      </c>
      <c r="B567" s="1" t="n">
        <v>44935</v>
      </c>
      <c r="C567" s="1" t="n">
        <v>45915</v>
      </c>
      <c r="D567" t="inlineStr">
        <is>
          <t>VÄRMLANDS LÄN</t>
        </is>
      </c>
      <c r="E567" t="inlineStr">
        <is>
          <t>ÅRJÄNG</t>
        </is>
      </c>
      <c r="G567" t="n">
        <v>1.5</v>
      </c>
      <c r="H567" t="n">
        <v>0</v>
      </c>
      <c r="I567" t="n">
        <v>0</v>
      </c>
      <c r="J567" t="n">
        <v>0</v>
      </c>
      <c r="K567" t="n">
        <v>0</v>
      </c>
      <c r="L567" t="n">
        <v>0</v>
      </c>
      <c r="M567" t="n">
        <v>0</v>
      </c>
      <c r="N567" t="n">
        <v>0</v>
      </c>
      <c r="O567" t="n">
        <v>0</v>
      </c>
      <c r="P567" t="n">
        <v>0</v>
      </c>
      <c r="Q567" t="n">
        <v>0</v>
      </c>
      <c r="R567" s="2" t="inlineStr"/>
    </row>
    <row r="568" ht="15" customHeight="1">
      <c r="A568" t="inlineStr">
        <is>
          <t>A 26758-2025</t>
        </is>
      </c>
      <c r="B568" s="1" t="n">
        <v>45807</v>
      </c>
      <c r="C568" s="1" t="n">
        <v>45915</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26728-2025</t>
        </is>
      </c>
      <c r="B569" s="1" t="n">
        <v>45810.50186342592</v>
      </c>
      <c r="C569" s="1" t="n">
        <v>45915</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44004-2023</t>
        </is>
      </c>
      <c r="B570" s="1" t="n">
        <v>45188.30134259259</v>
      </c>
      <c r="C570" s="1" t="n">
        <v>45915</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44007-2023</t>
        </is>
      </c>
      <c r="B571" s="1" t="n">
        <v>45188.31231481482</v>
      </c>
      <c r="C571" s="1" t="n">
        <v>45915</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40628-2024</t>
        </is>
      </c>
      <c r="B572" s="1" t="n">
        <v>45557.61668981481</v>
      </c>
      <c r="C572" s="1" t="n">
        <v>45915</v>
      </c>
      <c r="D572" t="inlineStr">
        <is>
          <t>VÄRMLANDS LÄN</t>
        </is>
      </c>
      <c r="E572" t="inlineStr">
        <is>
          <t>ÅRJÄNG</t>
        </is>
      </c>
      <c r="G572" t="n">
        <v>3.3</v>
      </c>
      <c r="H572" t="n">
        <v>0</v>
      </c>
      <c r="I572" t="n">
        <v>0</v>
      </c>
      <c r="J572" t="n">
        <v>0</v>
      </c>
      <c r="K572" t="n">
        <v>0</v>
      </c>
      <c r="L572" t="n">
        <v>0</v>
      </c>
      <c r="M572" t="n">
        <v>0</v>
      </c>
      <c r="N572" t="n">
        <v>0</v>
      </c>
      <c r="O572" t="n">
        <v>0</v>
      </c>
      <c r="P572" t="n">
        <v>0</v>
      </c>
      <c r="Q572" t="n">
        <v>0</v>
      </c>
      <c r="R572" s="2" t="inlineStr"/>
    </row>
    <row r="573" ht="15" customHeight="1">
      <c r="A573" t="inlineStr">
        <is>
          <t>A 5741-2025</t>
        </is>
      </c>
      <c r="B573" s="1" t="n">
        <v>45694.52100694444</v>
      </c>
      <c r="C573" s="1" t="n">
        <v>45915</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5106-2023</t>
        </is>
      </c>
      <c r="B574" s="1" t="n">
        <v>44953</v>
      </c>
      <c r="C574" s="1" t="n">
        <v>45915</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15951-2025</t>
        </is>
      </c>
      <c r="B575" s="1" t="n">
        <v>45749</v>
      </c>
      <c r="C575" s="1" t="n">
        <v>45915</v>
      </c>
      <c r="D575" t="inlineStr">
        <is>
          <t>VÄRMLANDS LÄN</t>
        </is>
      </c>
      <c r="E575" t="inlineStr">
        <is>
          <t>ÅRJÄNG</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14710-2025</t>
        </is>
      </c>
      <c r="B576" s="1" t="n">
        <v>45742.60868055555</v>
      </c>
      <c r="C576" s="1" t="n">
        <v>45915</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15248-2025</t>
        </is>
      </c>
      <c r="B577" s="1" t="n">
        <v>45744</v>
      </c>
      <c r="C577" s="1" t="n">
        <v>45915</v>
      </c>
      <c r="D577" t="inlineStr">
        <is>
          <t>VÄRMLANDS LÄN</t>
        </is>
      </c>
      <c r="E577" t="inlineStr">
        <is>
          <t>ÅRJÄNG</t>
        </is>
      </c>
      <c r="G577" t="n">
        <v>3.2</v>
      </c>
      <c r="H577" t="n">
        <v>0</v>
      </c>
      <c r="I577" t="n">
        <v>0</v>
      </c>
      <c r="J577" t="n">
        <v>0</v>
      </c>
      <c r="K577" t="n">
        <v>0</v>
      </c>
      <c r="L577" t="n">
        <v>0</v>
      </c>
      <c r="M577" t="n">
        <v>0</v>
      </c>
      <c r="N577" t="n">
        <v>0</v>
      </c>
      <c r="O577" t="n">
        <v>0</v>
      </c>
      <c r="P577" t="n">
        <v>0</v>
      </c>
      <c r="Q577" t="n">
        <v>0</v>
      </c>
      <c r="R577" s="2" t="inlineStr"/>
    </row>
    <row r="578" ht="15" customHeight="1">
      <c r="A578" t="inlineStr">
        <is>
          <t>A 24789-2024</t>
        </is>
      </c>
      <c r="B578" s="1" t="n">
        <v>45460</v>
      </c>
      <c r="C578" s="1" t="n">
        <v>45915</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283-2025</t>
        </is>
      </c>
      <c r="B579" s="1" t="n">
        <v>45656</v>
      </c>
      <c r="C579" s="1" t="n">
        <v>45915</v>
      </c>
      <c r="D579" t="inlineStr">
        <is>
          <t>VÄRMLANDS LÄN</t>
        </is>
      </c>
      <c r="E579" t="inlineStr">
        <is>
          <t>ÅRJÄNG</t>
        </is>
      </c>
      <c r="F579" t="inlineStr">
        <is>
          <t>Övriga Aktiebolag</t>
        </is>
      </c>
      <c r="G579" t="n">
        <v>3.9</v>
      </c>
      <c r="H579" t="n">
        <v>0</v>
      </c>
      <c r="I579" t="n">
        <v>0</v>
      </c>
      <c r="J579" t="n">
        <v>0</v>
      </c>
      <c r="K579" t="n">
        <v>0</v>
      </c>
      <c r="L579" t="n">
        <v>0</v>
      </c>
      <c r="M579" t="n">
        <v>0</v>
      </c>
      <c r="N579" t="n">
        <v>0</v>
      </c>
      <c r="O579" t="n">
        <v>0</v>
      </c>
      <c r="P579" t="n">
        <v>0</v>
      </c>
      <c r="Q579" t="n">
        <v>0</v>
      </c>
      <c r="R579" s="2" t="inlineStr"/>
    </row>
    <row r="580" ht="15" customHeight="1">
      <c r="A580" t="inlineStr">
        <is>
          <t>A 8818-2022</t>
        </is>
      </c>
      <c r="B580" s="1" t="n">
        <v>44614.45849537037</v>
      </c>
      <c r="C580" s="1" t="n">
        <v>45915</v>
      </c>
      <c r="D580" t="inlineStr">
        <is>
          <t>VÄRMLANDS LÄN</t>
        </is>
      </c>
      <c r="E580" t="inlineStr">
        <is>
          <t>ÅRJÄNG</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5127-2025</t>
        </is>
      </c>
      <c r="B581" s="1" t="n">
        <v>45691.56623842593</v>
      </c>
      <c r="C581" s="1" t="n">
        <v>45915</v>
      </c>
      <c r="D581" t="inlineStr">
        <is>
          <t>VÄRMLANDS LÄN</t>
        </is>
      </c>
      <c r="E581" t="inlineStr">
        <is>
          <t>ÅRJÄNG</t>
        </is>
      </c>
      <c r="G581" t="n">
        <v>5.7</v>
      </c>
      <c r="H581" t="n">
        <v>0</v>
      </c>
      <c r="I581" t="n">
        <v>0</v>
      </c>
      <c r="J581" t="n">
        <v>0</v>
      </c>
      <c r="K581" t="n">
        <v>0</v>
      </c>
      <c r="L581" t="n">
        <v>0</v>
      </c>
      <c r="M581" t="n">
        <v>0</v>
      </c>
      <c r="N581" t="n">
        <v>0</v>
      </c>
      <c r="O581" t="n">
        <v>0</v>
      </c>
      <c r="P581" t="n">
        <v>0</v>
      </c>
      <c r="Q581" t="n">
        <v>0</v>
      </c>
      <c r="R581" s="2" t="inlineStr"/>
    </row>
    <row r="582" ht="15" customHeight="1">
      <c r="A582" t="inlineStr">
        <is>
          <t>A 42233-2024</t>
        </is>
      </c>
      <c r="B582" s="1" t="n">
        <v>45562</v>
      </c>
      <c r="C582" s="1" t="n">
        <v>45915</v>
      </c>
      <c r="D582" t="inlineStr">
        <is>
          <t>VÄRMLANDS LÄN</t>
        </is>
      </c>
      <c r="E582" t="inlineStr">
        <is>
          <t>ÅRJÄNG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34181-2024</t>
        </is>
      </c>
      <c r="B583" s="1" t="n">
        <v>45524</v>
      </c>
      <c r="C583" s="1" t="n">
        <v>45915</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34184-2024</t>
        </is>
      </c>
      <c r="B584" s="1" t="n">
        <v>45524</v>
      </c>
      <c r="C584" s="1" t="n">
        <v>45915</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55432-2024</t>
        </is>
      </c>
      <c r="B585" s="1" t="n">
        <v>45622</v>
      </c>
      <c r="C585" s="1" t="n">
        <v>45915</v>
      </c>
      <c r="D585" t="inlineStr">
        <is>
          <t>VÄRMLANDS LÄN</t>
        </is>
      </c>
      <c r="E585" t="inlineStr">
        <is>
          <t>ÅRJÄNG</t>
        </is>
      </c>
      <c r="G585" t="n">
        <v>6.9</v>
      </c>
      <c r="H585" t="n">
        <v>0</v>
      </c>
      <c r="I585" t="n">
        <v>0</v>
      </c>
      <c r="J585" t="n">
        <v>0</v>
      </c>
      <c r="K585" t="n">
        <v>0</v>
      </c>
      <c r="L585" t="n">
        <v>0</v>
      </c>
      <c r="M585" t="n">
        <v>0</v>
      </c>
      <c r="N585" t="n">
        <v>0</v>
      </c>
      <c r="O585" t="n">
        <v>0</v>
      </c>
      <c r="P585" t="n">
        <v>0</v>
      </c>
      <c r="Q585" t="n">
        <v>0</v>
      </c>
      <c r="R585" s="2" t="inlineStr"/>
    </row>
    <row r="586" ht="15" customHeight="1">
      <c r="A586" t="inlineStr">
        <is>
          <t>A 24971-2025</t>
        </is>
      </c>
      <c r="B586" s="1" t="n">
        <v>45799</v>
      </c>
      <c r="C586" s="1" t="n">
        <v>45915</v>
      </c>
      <c r="D586" t="inlineStr">
        <is>
          <t>VÄRMLANDS LÄN</t>
        </is>
      </c>
      <c r="E586" t="inlineStr">
        <is>
          <t>ÅRJÄNG</t>
        </is>
      </c>
      <c r="G586" t="n">
        <v>2</v>
      </c>
      <c r="H586" t="n">
        <v>0</v>
      </c>
      <c r="I586" t="n">
        <v>0</v>
      </c>
      <c r="J586" t="n">
        <v>0</v>
      </c>
      <c r="K586" t="n">
        <v>0</v>
      </c>
      <c r="L586" t="n">
        <v>0</v>
      </c>
      <c r="M586" t="n">
        <v>0</v>
      </c>
      <c r="N586" t="n">
        <v>0</v>
      </c>
      <c r="O586" t="n">
        <v>0</v>
      </c>
      <c r="P586" t="n">
        <v>0</v>
      </c>
      <c r="Q586" t="n">
        <v>0</v>
      </c>
      <c r="R586" s="2" t="inlineStr"/>
    </row>
    <row r="587" ht="15" customHeight="1">
      <c r="A587" t="inlineStr">
        <is>
          <t>A 424-2025</t>
        </is>
      </c>
      <c r="B587" s="1" t="n">
        <v>45664</v>
      </c>
      <c r="C587" s="1" t="n">
        <v>45915</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51265-2024</t>
        </is>
      </c>
      <c r="B588" s="1" t="n">
        <v>45602</v>
      </c>
      <c r="C588" s="1" t="n">
        <v>45915</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55422-2023</t>
        </is>
      </c>
      <c r="B589" s="1" t="n">
        <v>45238.41858796297</v>
      </c>
      <c r="C589" s="1" t="n">
        <v>45915</v>
      </c>
      <c r="D589" t="inlineStr">
        <is>
          <t>VÄRMLANDS LÄN</t>
        </is>
      </c>
      <c r="E589" t="inlineStr">
        <is>
          <t>ÅRJÄNG</t>
        </is>
      </c>
      <c r="F589" t="inlineStr">
        <is>
          <t>Kyrkan</t>
        </is>
      </c>
      <c r="G589" t="n">
        <v>2.3</v>
      </c>
      <c r="H589" t="n">
        <v>0</v>
      </c>
      <c r="I589" t="n">
        <v>0</v>
      </c>
      <c r="J589" t="n">
        <v>0</v>
      </c>
      <c r="K589" t="n">
        <v>0</v>
      </c>
      <c r="L589" t="n">
        <v>0</v>
      </c>
      <c r="M589" t="n">
        <v>0</v>
      </c>
      <c r="N589" t="n">
        <v>0</v>
      </c>
      <c r="O589" t="n">
        <v>0</v>
      </c>
      <c r="P589" t="n">
        <v>0</v>
      </c>
      <c r="Q589" t="n">
        <v>0</v>
      </c>
      <c r="R589" s="2" t="inlineStr"/>
    </row>
    <row r="590" ht="15" customHeight="1">
      <c r="A590" t="inlineStr">
        <is>
          <t>A 6559-2025</t>
        </is>
      </c>
      <c r="B590" s="1" t="n">
        <v>45699.73678240741</v>
      </c>
      <c r="C590" s="1" t="n">
        <v>45915</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4865-2024</t>
        </is>
      </c>
      <c r="B591" s="1" t="n">
        <v>45329</v>
      </c>
      <c r="C591" s="1" t="n">
        <v>45915</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26783-2024</t>
        </is>
      </c>
      <c r="B592" s="1" t="n">
        <v>45470</v>
      </c>
      <c r="C592" s="1" t="n">
        <v>45915</v>
      </c>
      <c r="D592" t="inlineStr">
        <is>
          <t>VÄRMLANDS LÄN</t>
        </is>
      </c>
      <c r="E592" t="inlineStr">
        <is>
          <t>ÅRJÄNG</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18718-2023</t>
        </is>
      </c>
      <c r="B593" s="1" t="n">
        <v>45043.65459490741</v>
      </c>
      <c r="C593" s="1" t="n">
        <v>45915</v>
      </c>
      <c r="D593" t="inlineStr">
        <is>
          <t>VÄRMLANDS LÄN</t>
        </is>
      </c>
      <c r="E593" t="inlineStr">
        <is>
          <t>ÅRJÄNG</t>
        </is>
      </c>
      <c r="G593" t="n">
        <v>1.8</v>
      </c>
      <c r="H593" t="n">
        <v>0</v>
      </c>
      <c r="I593" t="n">
        <v>0</v>
      </c>
      <c r="J593" t="n">
        <v>0</v>
      </c>
      <c r="K593" t="n">
        <v>0</v>
      </c>
      <c r="L593" t="n">
        <v>0</v>
      </c>
      <c r="M593" t="n">
        <v>0</v>
      </c>
      <c r="N593" t="n">
        <v>0</v>
      </c>
      <c r="O593" t="n">
        <v>0</v>
      </c>
      <c r="P593" t="n">
        <v>0</v>
      </c>
      <c r="Q593" t="n">
        <v>0</v>
      </c>
      <c r="R593" s="2" t="inlineStr"/>
    </row>
    <row r="594" ht="15" customHeight="1">
      <c r="A594" t="inlineStr">
        <is>
          <t>A 26434-2025</t>
        </is>
      </c>
      <c r="B594" s="1" t="n">
        <v>45807.39797453704</v>
      </c>
      <c r="C594" s="1" t="n">
        <v>45915</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8601-2022</t>
        </is>
      </c>
      <c r="B595" s="1" t="n">
        <v>44613.57193287037</v>
      </c>
      <c r="C595" s="1" t="n">
        <v>45915</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8002-2025</t>
        </is>
      </c>
      <c r="B596" s="1" t="n">
        <v>45707.52704861111</v>
      </c>
      <c r="C596" s="1" t="n">
        <v>45915</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56060-2023</t>
        </is>
      </c>
      <c r="B597" s="1" t="n">
        <v>45233</v>
      </c>
      <c r="C597" s="1" t="n">
        <v>45915</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26766-2025</t>
        </is>
      </c>
      <c r="B598" s="1" t="n">
        <v>45810.56712962963</v>
      </c>
      <c r="C598" s="1" t="n">
        <v>45915</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26781-2025</t>
        </is>
      </c>
      <c r="B599" s="1" t="n">
        <v>45810.58258101852</v>
      </c>
      <c r="C599" s="1" t="n">
        <v>45915</v>
      </c>
      <c r="D599" t="inlineStr">
        <is>
          <t>VÄRMLANDS LÄN</t>
        </is>
      </c>
      <c r="E599" t="inlineStr">
        <is>
          <t>ÅRJÄNG</t>
        </is>
      </c>
      <c r="G599" t="n">
        <v>4.2</v>
      </c>
      <c r="H599" t="n">
        <v>0</v>
      </c>
      <c r="I599" t="n">
        <v>0</v>
      </c>
      <c r="J599" t="n">
        <v>0</v>
      </c>
      <c r="K599" t="n">
        <v>0</v>
      </c>
      <c r="L599" t="n">
        <v>0</v>
      </c>
      <c r="M599" t="n">
        <v>0</v>
      </c>
      <c r="N599" t="n">
        <v>0</v>
      </c>
      <c r="O599" t="n">
        <v>0</v>
      </c>
      <c r="P599" t="n">
        <v>0</v>
      </c>
      <c r="Q599" t="n">
        <v>0</v>
      </c>
      <c r="R599" s="2" t="inlineStr"/>
    </row>
    <row r="600" ht="15" customHeight="1">
      <c r="A600" t="inlineStr">
        <is>
          <t>A 4137-2025</t>
        </is>
      </c>
      <c r="B600" s="1" t="n">
        <v>45685.35232638889</v>
      </c>
      <c r="C600" s="1" t="n">
        <v>45915</v>
      </c>
      <c r="D600" t="inlineStr">
        <is>
          <t>VÄRMLANDS LÄN</t>
        </is>
      </c>
      <c r="E600" t="inlineStr">
        <is>
          <t>ÅRJÄNG</t>
        </is>
      </c>
      <c r="G600" t="n">
        <v>3.3</v>
      </c>
      <c r="H600" t="n">
        <v>0</v>
      </c>
      <c r="I600" t="n">
        <v>0</v>
      </c>
      <c r="J600" t="n">
        <v>0</v>
      </c>
      <c r="K600" t="n">
        <v>0</v>
      </c>
      <c r="L600" t="n">
        <v>0</v>
      </c>
      <c r="M600" t="n">
        <v>0</v>
      </c>
      <c r="N600" t="n">
        <v>0</v>
      </c>
      <c r="O600" t="n">
        <v>0</v>
      </c>
      <c r="P600" t="n">
        <v>0</v>
      </c>
      <c r="Q600" t="n">
        <v>0</v>
      </c>
      <c r="R600" s="2" t="inlineStr"/>
    </row>
    <row r="601" ht="15" customHeight="1">
      <c r="A601" t="inlineStr">
        <is>
          <t>A 43517-2024</t>
        </is>
      </c>
      <c r="B601" s="1" t="n">
        <v>45569.32800925926</v>
      </c>
      <c r="C601" s="1" t="n">
        <v>45915</v>
      </c>
      <c r="D601" t="inlineStr">
        <is>
          <t>VÄRMLANDS LÄN</t>
        </is>
      </c>
      <c r="E601" t="inlineStr">
        <is>
          <t>ÅRJÄNG</t>
        </is>
      </c>
      <c r="G601" t="n">
        <v>5.9</v>
      </c>
      <c r="H601" t="n">
        <v>0</v>
      </c>
      <c r="I601" t="n">
        <v>0</v>
      </c>
      <c r="J601" t="n">
        <v>0</v>
      </c>
      <c r="K601" t="n">
        <v>0</v>
      </c>
      <c r="L601" t="n">
        <v>0</v>
      </c>
      <c r="M601" t="n">
        <v>0</v>
      </c>
      <c r="N601" t="n">
        <v>0</v>
      </c>
      <c r="O601" t="n">
        <v>0</v>
      </c>
      <c r="P601" t="n">
        <v>0</v>
      </c>
      <c r="Q601" t="n">
        <v>0</v>
      </c>
      <c r="R601" s="2" t="inlineStr"/>
    </row>
    <row r="602" ht="15" customHeight="1">
      <c r="A602" t="inlineStr">
        <is>
          <t>A 15323-2025</t>
        </is>
      </c>
      <c r="B602" s="1" t="n">
        <v>45747.32385416667</v>
      </c>
      <c r="C602" s="1" t="n">
        <v>45915</v>
      </c>
      <c r="D602" t="inlineStr">
        <is>
          <t>VÄRMLANDS LÄN</t>
        </is>
      </c>
      <c r="E602" t="inlineStr">
        <is>
          <t>ÅRJÄNG</t>
        </is>
      </c>
      <c r="G602" t="n">
        <v>5.5</v>
      </c>
      <c r="H602" t="n">
        <v>0</v>
      </c>
      <c r="I602" t="n">
        <v>0</v>
      </c>
      <c r="J602" t="n">
        <v>0</v>
      </c>
      <c r="K602" t="n">
        <v>0</v>
      </c>
      <c r="L602" t="n">
        <v>0</v>
      </c>
      <c r="M602" t="n">
        <v>0</v>
      </c>
      <c r="N602" t="n">
        <v>0</v>
      </c>
      <c r="O602" t="n">
        <v>0</v>
      </c>
      <c r="P602" t="n">
        <v>0</v>
      </c>
      <c r="Q602" t="n">
        <v>0</v>
      </c>
      <c r="R602" s="2" t="inlineStr"/>
    </row>
    <row r="603" ht="15" customHeight="1">
      <c r="A603" t="inlineStr">
        <is>
          <t>A 13196-2023</t>
        </is>
      </c>
      <c r="B603" s="1" t="n">
        <v>45002</v>
      </c>
      <c r="C603" s="1" t="n">
        <v>45915</v>
      </c>
      <c r="D603" t="inlineStr">
        <is>
          <t>VÄRMLANDS LÄN</t>
        </is>
      </c>
      <c r="E603" t="inlineStr">
        <is>
          <t>ÅRJÄNG</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56655-2024</t>
        </is>
      </c>
      <c r="B604" s="1" t="n">
        <v>45625</v>
      </c>
      <c r="C604" s="1" t="n">
        <v>45915</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27240-2023</t>
        </is>
      </c>
      <c r="B605" s="1" t="n">
        <v>45096</v>
      </c>
      <c r="C605" s="1" t="n">
        <v>45915</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12137-2025</t>
        </is>
      </c>
      <c r="B606" s="1" t="n">
        <v>45729.39879629629</v>
      </c>
      <c r="C606" s="1" t="n">
        <v>45915</v>
      </c>
      <c r="D606" t="inlineStr">
        <is>
          <t>VÄRMLANDS LÄN</t>
        </is>
      </c>
      <c r="E606" t="inlineStr">
        <is>
          <t>ÅRJÄNG</t>
        </is>
      </c>
      <c r="G606" t="n">
        <v>12.6</v>
      </c>
      <c r="H606" t="n">
        <v>0</v>
      </c>
      <c r="I606" t="n">
        <v>0</v>
      </c>
      <c r="J606" t="n">
        <v>0</v>
      </c>
      <c r="K606" t="n">
        <v>0</v>
      </c>
      <c r="L606" t="n">
        <v>0</v>
      </c>
      <c r="M606" t="n">
        <v>0</v>
      </c>
      <c r="N606" t="n">
        <v>0</v>
      </c>
      <c r="O606" t="n">
        <v>0</v>
      </c>
      <c r="P606" t="n">
        <v>0</v>
      </c>
      <c r="Q606" t="n">
        <v>0</v>
      </c>
      <c r="R606" s="2" t="inlineStr"/>
    </row>
    <row r="607" ht="15" customHeight="1">
      <c r="A607" t="inlineStr">
        <is>
          <t>A 41206-2024</t>
        </is>
      </c>
      <c r="B607" s="1" t="n">
        <v>45559</v>
      </c>
      <c r="C607" s="1" t="n">
        <v>45915</v>
      </c>
      <c r="D607" t="inlineStr">
        <is>
          <t>VÄRMLANDS LÄN</t>
        </is>
      </c>
      <c r="E607" t="inlineStr">
        <is>
          <t>ÅRJÄNG</t>
        </is>
      </c>
      <c r="G607" t="n">
        <v>1.3</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45915</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8357-2025</t>
        </is>
      </c>
      <c r="B609" s="1" t="n">
        <v>45708.79896990741</v>
      </c>
      <c r="C609" s="1" t="n">
        <v>45915</v>
      </c>
      <c r="D609" t="inlineStr">
        <is>
          <t>VÄRMLANDS LÄN</t>
        </is>
      </c>
      <c r="E609" t="inlineStr">
        <is>
          <t>ÅRJÄNG</t>
        </is>
      </c>
      <c r="G609" t="n">
        <v>3.4</v>
      </c>
      <c r="H609" t="n">
        <v>0</v>
      </c>
      <c r="I609" t="n">
        <v>0</v>
      </c>
      <c r="J609" t="n">
        <v>0</v>
      </c>
      <c r="K609" t="n">
        <v>0</v>
      </c>
      <c r="L609" t="n">
        <v>0</v>
      </c>
      <c r="M609" t="n">
        <v>0</v>
      </c>
      <c r="N609" t="n">
        <v>0</v>
      </c>
      <c r="O609" t="n">
        <v>0</v>
      </c>
      <c r="P609" t="n">
        <v>0</v>
      </c>
      <c r="Q609" t="n">
        <v>0</v>
      </c>
      <c r="R609" s="2" t="inlineStr"/>
    </row>
    <row r="610" ht="15" customHeight="1">
      <c r="A610" t="inlineStr">
        <is>
          <t>A 10321-2025</t>
        </is>
      </c>
      <c r="B610" s="1" t="n">
        <v>45720</v>
      </c>
      <c r="C610" s="1" t="n">
        <v>45915</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56348-2024</t>
        </is>
      </c>
      <c r="B611" s="1" t="n">
        <v>45624</v>
      </c>
      <c r="C611" s="1" t="n">
        <v>45915</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26998-2025</t>
        </is>
      </c>
      <c r="B612" s="1" t="n">
        <v>45811</v>
      </c>
      <c r="C612" s="1" t="n">
        <v>45915</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24964-2025</t>
        </is>
      </c>
      <c r="B613" s="1" t="n">
        <v>45799</v>
      </c>
      <c r="C613" s="1" t="n">
        <v>45915</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26959-2025</t>
        </is>
      </c>
      <c r="B614" s="1" t="n">
        <v>45811.45909722222</v>
      </c>
      <c r="C614" s="1" t="n">
        <v>45915</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16613-2022</t>
        </is>
      </c>
      <c r="B615" s="1" t="n">
        <v>44672</v>
      </c>
      <c r="C615" s="1" t="n">
        <v>45915</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16295-2025</t>
        </is>
      </c>
      <c r="B616" s="1" t="n">
        <v>45750</v>
      </c>
      <c r="C616" s="1" t="n">
        <v>45915</v>
      </c>
      <c r="D616" t="inlineStr">
        <is>
          <t>VÄRMLANDS LÄN</t>
        </is>
      </c>
      <c r="E616" t="inlineStr">
        <is>
          <t>ÅRJÄNG</t>
        </is>
      </c>
      <c r="G616" t="n">
        <v>3.7</v>
      </c>
      <c r="H616" t="n">
        <v>0</v>
      </c>
      <c r="I616" t="n">
        <v>0</v>
      </c>
      <c r="J616" t="n">
        <v>0</v>
      </c>
      <c r="K616" t="n">
        <v>0</v>
      </c>
      <c r="L616" t="n">
        <v>0</v>
      </c>
      <c r="M616" t="n">
        <v>0</v>
      </c>
      <c r="N616" t="n">
        <v>0</v>
      </c>
      <c r="O616" t="n">
        <v>0</v>
      </c>
      <c r="P616" t="n">
        <v>0</v>
      </c>
      <c r="Q616" t="n">
        <v>0</v>
      </c>
      <c r="R616" s="2" t="inlineStr"/>
    </row>
    <row r="617" ht="15" customHeight="1">
      <c r="A617" t="inlineStr">
        <is>
          <t>A 34387-2023</t>
        </is>
      </c>
      <c r="B617" s="1" t="n">
        <v>45139.50744212963</v>
      </c>
      <c r="C617" s="1" t="n">
        <v>45915</v>
      </c>
      <c r="D617" t="inlineStr">
        <is>
          <t>VÄRMLANDS LÄN</t>
        </is>
      </c>
      <c r="E617" t="inlineStr">
        <is>
          <t>ÅRJÄNG</t>
        </is>
      </c>
      <c r="G617" t="n">
        <v>2.6</v>
      </c>
      <c r="H617" t="n">
        <v>0</v>
      </c>
      <c r="I617" t="n">
        <v>0</v>
      </c>
      <c r="J617" t="n">
        <v>0</v>
      </c>
      <c r="K617" t="n">
        <v>0</v>
      </c>
      <c r="L617" t="n">
        <v>0</v>
      </c>
      <c r="M617" t="n">
        <v>0</v>
      </c>
      <c r="N617" t="n">
        <v>0</v>
      </c>
      <c r="O617" t="n">
        <v>0</v>
      </c>
      <c r="P617" t="n">
        <v>0</v>
      </c>
      <c r="Q617" t="n">
        <v>0</v>
      </c>
      <c r="R617" s="2" t="inlineStr"/>
    </row>
    <row r="618" ht="15" customHeight="1">
      <c r="A618" t="inlineStr">
        <is>
          <t>A 27120-2025</t>
        </is>
      </c>
      <c r="B618" s="1" t="n">
        <v>45811.76232638889</v>
      </c>
      <c r="C618" s="1" t="n">
        <v>45915</v>
      </c>
      <c r="D618" t="inlineStr">
        <is>
          <t>VÄRMLANDS LÄN</t>
        </is>
      </c>
      <c r="E618" t="inlineStr">
        <is>
          <t>ÅRJÄNG</t>
        </is>
      </c>
      <c r="G618" t="n">
        <v>4.3</v>
      </c>
      <c r="H618" t="n">
        <v>0</v>
      </c>
      <c r="I618" t="n">
        <v>0</v>
      </c>
      <c r="J618" t="n">
        <v>0</v>
      </c>
      <c r="K618" t="n">
        <v>0</v>
      </c>
      <c r="L618" t="n">
        <v>0</v>
      </c>
      <c r="M618" t="n">
        <v>0</v>
      </c>
      <c r="N618" t="n">
        <v>0</v>
      </c>
      <c r="O618" t="n">
        <v>0</v>
      </c>
      <c r="P618" t="n">
        <v>0</v>
      </c>
      <c r="Q618" t="n">
        <v>0</v>
      </c>
      <c r="R618" s="2" t="inlineStr"/>
    </row>
    <row r="619" ht="15" customHeight="1">
      <c r="A619" t="inlineStr">
        <is>
          <t>A 27247-2025</t>
        </is>
      </c>
      <c r="B619" s="1" t="n">
        <v>45812.46612268518</v>
      </c>
      <c r="C619" s="1" t="n">
        <v>45915</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46351-2023</t>
        </is>
      </c>
      <c r="B620" s="1" t="n">
        <v>45197.42811342593</v>
      </c>
      <c r="C620" s="1" t="n">
        <v>45915</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17361-2022</t>
        </is>
      </c>
      <c r="B621" s="1" t="n">
        <v>44678.6044675926</v>
      </c>
      <c r="C621" s="1" t="n">
        <v>45915</v>
      </c>
      <c r="D621" t="inlineStr">
        <is>
          <t>VÄRMLANDS LÄN</t>
        </is>
      </c>
      <c r="E621" t="inlineStr">
        <is>
          <t>ÅRJÄNG</t>
        </is>
      </c>
      <c r="G621" t="n">
        <v>5.7</v>
      </c>
      <c r="H621" t="n">
        <v>0</v>
      </c>
      <c r="I621" t="n">
        <v>0</v>
      </c>
      <c r="J621" t="n">
        <v>0</v>
      </c>
      <c r="K621" t="n">
        <v>0</v>
      </c>
      <c r="L621" t="n">
        <v>0</v>
      </c>
      <c r="M621" t="n">
        <v>0</v>
      </c>
      <c r="N621" t="n">
        <v>0</v>
      </c>
      <c r="O621" t="n">
        <v>0</v>
      </c>
      <c r="P621" t="n">
        <v>0</v>
      </c>
      <c r="Q621" t="n">
        <v>0</v>
      </c>
      <c r="R621" s="2" t="inlineStr"/>
    </row>
    <row r="622" ht="15" customHeight="1">
      <c r="A622" t="inlineStr">
        <is>
          <t>A 57546-2024</t>
        </is>
      </c>
      <c r="B622" s="1" t="n">
        <v>45629</v>
      </c>
      <c r="C622" s="1" t="n">
        <v>45915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9427-2025</t>
        </is>
      </c>
      <c r="B623" s="1" t="n">
        <v>45715</v>
      </c>
      <c r="C623" s="1" t="n">
        <v>45915</v>
      </c>
      <c r="D623" t="inlineStr">
        <is>
          <t>VÄRMLANDS LÄN</t>
        </is>
      </c>
      <c r="E623" t="inlineStr">
        <is>
          <t>ÅRJÄNG</t>
        </is>
      </c>
      <c r="G623" t="n">
        <v>4.5</v>
      </c>
      <c r="H623" t="n">
        <v>0</v>
      </c>
      <c r="I623" t="n">
        <v>0</v>
      </c>
      <c r="J623" t="n">
        <v>0</v>
      </c>
      <c r="K623" t="n">
        <v>0</v>
      </c>
      <c r="L623" t="n">
        <v>0</v>
      </c>
      <c r="M623" t="n">
        <v>0</v>
      </c>
      <c r="N623" t="n">
        <v>0</v>
      </c>
      <c r="O623" t="n">
        <v>0</v>
      </c>
      <c r="P623" t="n">
        <v>0</v>
      </c>
      <c r="Q623" t="n">
        <v>0</v>
      </c>
      <c r="R623" s="2" t="inlineStr"/>
    </row>
    <row r="624" ht="15" customHeight="1">
      <c r="A624" t="inlineStr">
        <is>
          <t>A 57306-2023</t>
        </is>
      </c>
      <c r="B624" s="1" t="n">
        <v>45245.62431712963</v>
      </c>
      <c r="C624" s="1" t="n">
        <v>45915</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28314-2025</t>
        </is>
      </c>
      <c r="B625" s="1" t="n">
        <v>45818.62592592592</v>
      </c>
      <c r="C625" s="1" t="n">
        <v>45915</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48357-2023</t>
        </is>
      </c>
      <c r="B626" s="1" t="n">
        <v>45202</v>
      </c>
      <c r="C626" s="1" t="n">
        <v>45915</v>
      </c>
      <c r="D626" t="inlineStr">
        <is>
          <t>VÄRMLANDS LÄN</t>
        </is>
      </c>
      <c r="E626" t="inlineStr">
        <is>
          <t>ÅRJÄNG</t>
        </is>
      </c>
      <c r="G626" t="n">
        <v>2.6</v>
      </c>
      <c r="H626" t="n">
        <v>0</v>
      </c>
      <c r="I626" t="n">
        <v>0</v>
      </c>
      <c r="J626" t="n">
        <v>0</v>
      </c>
      <c r="K626" t="n">
        <v>0</v>
      </c>
      <c r="L626" t="n">
        <v>0</v>
      </c>
      <c r="M626" t="n">
        <v>0</v>
      </c>
      <c r="N626" t="n">
        <v>0</v>
      </c>
      <c r="O626" t="n">
        <v>0</v>
      </c>
      <c r="P626" t="n">
        <v>0</v>
      </c>
      <c r="Q626" t="n">
        <v>0</v>
      </c>
      <c r="R626" s="2" t="inlineStr"/>
    </row>
    <row r="627" ht="15" customHeight="1">
      <c r="A627" t="inlineStr">
        <is>
          <t>A 65773-2020</t>
        </is>
      </c>
      <c r="B627" s="1" t="n">
        <v>44174</v>
      </c>
      <c r="C627" s="1" t="n">
        <v>45915</v>
      </c>
      <c r="D627" t="inlineStr">
        <is>
          <t>VÄRMLANDS LÄN</t>
        </is>
      </c>
      <c r="E627" t="inlineStr">
        <is>
          <t>ÅRJÄNG</t>
        </is>
      </c>
      <c r="G627" t="n">
        <v>0.4</v>
      </c>
      <c r="H627" t="n">
        <v>0</v>
      </c>
      <c r="I627" t="n">
        <v>0</v>
      </c>
      <c r="J627" t="n">
        <v>0</v>
      </c>
      <c r="K627" t="n">
        <v>0</v>
      </c>
      <c r="L627" t="n">
        <v>0</v>
      </c>
      <c r="M627" t="n">
        <v>0</v>
      </c>
      <c r="N627" t="n">
        <v>0</v>
      </c>
      <c r="O627" t="n">
        <v>0</v>
      </c>
      <c r="P627" t="n">
        <v>0</v>
      </c>
      <c r="Q627" t="n">
        <v>0</v>
      </c>
      <c r="R627" s="2" t="inlineStr"/>
    </row>
    <row r="628" ht="15" customHeight="1">
      <c r="A628" t="inlineStr">
        <is>
          <t>A 65781-2020</t>
        </is>
      </c>
      <c r="B628" s="1" t="n">
        <v>44174</v>
      </c>
      <c r="C628" s="1" t="n">
        <v>45915</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39434-2023</t>
        </is>
      </c>
      <c r="B629" s="1" t="n">
        <v>45166.69690972222</v>
      </c>
      <c r="C629" s="1" t="n">
        <v>45915</v>
      </c>
      <c r="D629" t="inlineStr">
        <is>
          <t>VÄRMLANDS LÄN</t>
        </is>
      </c>
      <c r="E629" t="inlineStr">
        <is>
          <t>ÅRJÄNG</t>
        </is>
      </c>
      <c r="G629" t="n">
        <v>0.3</v>
      </c>
      <c r="H629" t="n">
        <v>0</v>
      </c>
      <c r="I629" t="n">
        <v>0</v>
      </c>
      <c r="J629" t="n">
        <v>0</v>
      </c>
      <c r="K629" t="n">
        <v>0</v>
      </c>
      <c r="L629" t="n">
        <v>0</v>
      </c>
      <c r="M629" t="n">
        <v>0</v>
      </c>
      <c r="N629" t="n">
        <v>0</v>
      </c>
      <c r="O629" t="n">
        <v>0</v>
      </c>
      <c r="P629" t="n">
        <v>0</v>
      </c>
      <c r="Q629" t="n">
        <v>0</v>
      </c>
      <c r="R629" s="2" t="inlineStr"/>
    </row>
    <row r="630" ht="15" customHeight="1">
      <c r="A630" t="inlineStr">
        <is>
          <t>A 59068-2024</t>
        </is>
      </c>
      <c r="B630" s="1" t="n">
        <v>45636.95376157408</v>
      </c>
      <c r="C630" s="1" t="n">
        <v>45915</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62720-2023</t>
        </is>
      </c>
      <c r="B631" s="1" t="n">
        <v>45271.5799537037</v>
      </c>
      <c r="C631" s="1" t="n">
        <v>45915</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236-2025</t>
        </is>
      </c>
      <c r="B632" s="1" t="n">
        <v>45653</v>
      </c>
      <c r="C632" s="1" t="n">
        <v>45915</v>
      </c>
      <c r="D632" t="inlineStr">
        <is>
          <t>VÄRMLANDS LÄN</t>
        </is>
      </c>
      <c r="E632" t="inlineStr">
        <is>
          <t>ÅRJÄNG</t>
        </is>
      </c>
      <c r="F632" t="inlineStr">
        <is>
          <t>Övriga Aktiebolag</t>
        </is>
      </c>
      <c r="G632" t="n">
        <v>3</v>
      </c>
      <c r="H632" t="n">
        <v>0</v>
      </c>
      <c r="I632" t="n">
        <v>0</v>
      </c>
      <c r="J632" t="n">
        <v>0</v>
      </c>
      <c r="K632" t="n">
        <v>0</v>
      </c>
      <c r="L632" t="n">
        <v>0</v>
      </c>
      <c r="M632" t="n">
        <v>0</v>
      </c>
      <c r="N632" t="n">
        <v>0</v>
      </c>
      <c r="O632" t="n">
        <v>0</v>
      </c>
      <c r="P632" t="n">
        <v>0</v>
      </c>
      <c r="Q632" t="n">
        <v>0</v>
      </c>
      <c r="R632" s="2" t="inlineStr"/>
    </row>
    <row r="633" ht="15" customHeight="1">
      <c r="A633" t="inlineStr">
        <is>
          <t>A 28115-2025</t>
        </is>
      </c>
      <c r="B633" s="1" t="n">
        <v>45818</v>
      </c>
      <c r="C633" s="1" t="n">
        <v>45915</v>
      </c>
      <c r="D633" t="inlineStr">
        <is>
          <t>VÄRMLANDS LÄN</t>
        </is>
      </c>
      <c r="E633" t="inlineStr">
        <is>
          <t>ÅRJÄNG</t>
        </is>
      </c>
      <c r="G633" t="n">
        <v>3</v>
      </c>
      <c r="H633" t="n">
        <v>0</v>
      </c>
      <c r="I633" t="n">
        <v>0</v>
      </c>
      <c r="J633" t="n">
        <v>0</v>
      </c>
      <c r="K633" t="n">
        <v>0</v>
      </c>
      <c r="L633" t="n">
        <v>0</v>
      </c>
      <c r="M633" t="n">
        <v>0</v>
      </c>
      <c r="N633" t="n">
        <v>0</v>
      </c>
      <c r="O633" t="n">
        <v>0</v>
      </c>
      <c r="P633" t="n">
        <v>0</v>
      </c>
      <c r="Q633" t="n">
        <v>0</v>
      </c>
      <c r="R633" s="2" t="inlineStr"/>
    </row>
    <row r="634" ht="15" customHeight="1">
      <c r="A634" t="inlineStr">
        <is>
          <t>A 1602-2025</t>
        </is>
      </c>
      <c r="B634" s="1" t="n">
        <v>45670.59069444444</v>
      </c>
      <c r="C634" s="1" t="n">
        <v>45915</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43253-2023</t>
        </is>
      </c>
      <c r="B635" s="1" t="n">
        <v>45183.49578703703</v>
      </c>
      <c r="C635" s="1" t="n">
        <v>45915</v>
      </c>
      <c r="D635" t="inlineStr">
        <is>
          <t>VÄRMLANDS LÄN</t>
        </is>
      </c>
      <c r="E635" t="inlineStr">
        <is>
          <t>ÅRJÄNG</t>
        </is>
      </c>
      <c r="G635" t="n">
        <v>5.5</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45915</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17827-2025</t>
        </is>
      </c>
      <c r="B637" s="1" t="n">
        <v>45758.57596064815</v>
      </c>
      <c r="C637" s="1" t="n">
        <v>45915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19920-2024</t>
        </is>
      </c>
      <c r="B638" s="1" t="n">
        <v>45433.58947916667</v>
      </c>
      <c r="C638" s="1" t="n">
        <v>45915</v>
      </c>
      <c r="D638" t="inlineStr">
        <is>
          <t>VÄRMLANDS LÄN</t>
        </is>
      </c>
      <c r="E638" t="inlineStr">
        <is>
          <t>ÅRJÄNG</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32095-2024</t>
        </is>
      </c>
      <c r="B639" s="1" t="n">
        <v>45511.39107638889</v>
      </c>
      <c r="C639" s="1" t="n">
        <v>45915</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3492-2024</t>
        </is>
      </c>
      <c r="B640" s="1" t="n">
        <v>45317</v>
      </c>
      <c r="C640" s="1" t="n">
        <v>45915</v>
      </c>
      <c r="D640" t="inlineStr">
        <is>
          <t>VÄRMLANDS LÄN</t>
        </is>
      </c>
      <c r="E640" t="inlineStr">
        <is>
          <t>ÅRJÄNG</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301-2025</t>
        </is>
      </c>
      <c r="B641" s="1" t="n">
        <v>45660.56</v>
      </c>
      <c r="C641" s="1" t="n">
        <v>45915</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4408-2025</t>
        </is>
      </c>
      <c r="B642" s="1" t="n">
        <v>45686</v>
      </c>
      <c r="C642" s="1" t="n">
        <v>45915</v>
      </c>
      <c r="D642" t="inlineStr">
        <is>
          <t>VÄRMLANDS LÄN</t>
        </is>
      </c>
      <c r="E642" t="inlineStr">
        <is>
          <t>ÅRJÄNG</t>
        </is>
      </c>
      <c r="G642" t="n">
        <v>2</v>
      </c>
      <c r="H642" t="n">
        <v>0</v>
      </c>
      <c r="I642" t="n">
        <v>0</v>
      </c>
      <c r="J642" t="n">
        <v>0</v>
      </c>
      <c r="K642" t="n">
        <v>0</v>
      </c>
      <c r="L642" t="n">
        <v>0</v>
      </c>
      <c r="M642" t="n">
        <v>0</v>
      </c>
      <c r="N642" t="n">
        <v>0</v>
      </c>
      <c r="O642" t="n">
        <v>0</v>
      </c>
      <c r="P642" t="n">
        <v>0</v>
      </c>
      <c r="Q642" t="n">
        <v>0</v>
      </c>
      <c r="R642" s="2" t="inlineStr"/>
    </row>
    <row r="643" ht="15" customHeight="1">
      <c r="A643" t="inlineStr">
        <is>
          <t>A 28874-2025</t>
        </is>
      </c>
      <c r="B643" s="1" t="n">
        <v>45820</v>
      </c>
      <c r="C643" s="1" t="n">
        <v>45915</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28690-2025</t>
        </is>
      </c>
      <c r="B644" s="1" t="n">
        <v>45819.73236111111</v>
      </c>
      <c r="C644" s="1" t="n">
        <v>45915</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28711-2025</t>
        </is>
      </c>
      <c r="B645" s="1" t="n">
        <v>45820.33701388889</v>
      </c>
      <c r="C645" s="1" t="n">
        <v>45915</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40349-2024</t>
        </is>
      </c>
      <c r="B646" s="1" t="n">
        <v>45555.35849537037</v>
      </c>
      <c r="C646" s="1" t="n">
        <v>45915</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28797-2025</t>
        </is>
      </c>
      <c r="B647" s="1" t="n">
        <v>45820.48179398148</v>
      </c>
      <c r="C647" s="1" t="n">
        <v>45915</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28793-2025</t>
        </is>
      </c>
      <c r="B648" s="1" t="n">
        <v>45820.47452546296</v>
      </c>
      <c r="C648" s="1" t="n">
        <v>45915</v>
      </c>
      <c r="D648" t="inlineStr">
        <is>
          <t>VÄRMLANDS LÄN</t>
        </is>
      </c>
      <c r="E648" t="inlineStr">
        <is>
          <t>ÅRJÄNG</t>
        </is>
      </c>
      <c r="G648" t="n">
        <v>2.6</v>
      </c>
      <c r="H648" t="n">
        <v>0</v>
      </c>
      <c r="I648" t="n">
        <v>0</v>
      </c>
      <c r="J648" t="n">
        <v>0</v>
      </c>
      <c r="K648" t="n">
        <v>0</v>
      </c>
      <c r="L648" t="n">
        <v>0</v>
      </c>
      <c r="M648" t="n">
        <v>0</v>
      </c>
      <c r="N648" t="n">
        <v>0</v>
      </c>
      <c r="O648" t="n">
        <v>0</v>
      </c>
      <c r="P648" t="n">
        <v>0</v>
      </c>
      <c r="Q648" t="n">
        <v>0</v>
      </c>
      <c r="R648" s="2" t="inlineStr"/>
    </row>
    <row r="649" ht="15" customHeight="1">
      <c r="A649" t="inlineStr">
        <is>
          <t>A 28790-2025</t>
        </is>
      </c>
      <c r="B649" s="1" t="n">
        <v>45820.47377314815</v>
      </c>
      <c r="C649" s="1" t="n">
        <v>45915</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28948-2025</t>
        </is>
      </c>
      <c r="B650" s="1" t="n">
        <v>45820</v>
      </c>
      <c r="C650" s="1" t="n">
        <v>45915</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28949-2025</t>
        </is>
      </c>
      <c r="B651" s="1" t="n">
        <v>45820</v>
      </c>
      <c r="C651" s="1" t="n">
        <v>45915</v>
      </c>
      <c r="D651" t="inlineStr">
        <is>
          <t>VÄRMLANDS LÄN</t>
        </is>
      </c>
      <c r="E651" t="inlineStr">
        <is>
          <t>ÅRJÄNG</t>
        </is>
      </c>
      <c r="G651" t="n">
        <v>0.3</v>
      </c>
      <c r="H651" t="n">
        <v>0</v>
      </c>
      <c r="I651" t="n">
        <v>0</v>
      </c>
      <c r="J651" t="n">
        <v>0</v>
      </c>
      <c r="K651" t="n">
        <v>0</v>
      </c>
      <c r="L651" t="n">
        <v>0</v>
      </c>
      <c r="M651" t="n">
        <v>0</v>
      </c>
      <c r="N651" t="n">
        <v>0</v>
      </c>
      <c r="O651" t="n">
        <v>0</v>
      </c>
      <c r="P651" t="n">
        <v>0</v>
      </c>
      <c r="Q651" t="n">
        <v>0</v>
      </c>
      <c r="R651" s="2" t="inlineStr"/>
    </row>
    <row r="652" ht="15" customHeight="1">
      <c r="A652" t="inlineStr">
        <is>
          <t>A 14434-2025</t>
        </is>
      </c>
      <c r="B652" s="1" t="n">
        <v>45741</v>
      </c>
      <c r="C652" s="1" t="n">
        <v>45915</v>
      </c>
      <c r="D652" t="inlineStr">
        <is>
          <t>VÄRMLANDS LÄN</t>
        </is>
      </c>
      <c r="E652" t="inlineStr">
        <is>
          <t>ÅRJÄNG</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19248-2025</t>
        </is>
      </c>
      <c r="B653" s="1" t="n">
        <v>45769.48710648148</v>
      </c>
      <c r="C653" s="1" t="n">
        <v>45915</v>
      </c>
      <c r="D653" t="inlineStr">
        <is>
          <t>VÄRMLANDS LÄN</t>
        </is>
      </c>
      <c r="E653" t="inlineStr">
        <is>
          <t>ÅRJÄNG</t>
        </is>
      </c>
      <c r="G653" t="n">
        <v>5.3</v>
      </c>
      <c r="H653" t="n">
        <v>0</v>
      </c>
      <c r="I653" t="n">
        <v>0</v>
      </c>
      <c r="J653" t="n">
        <v>0</v>
      </c>
      <c r="K653" t="n">
        <v>0</v>
      </c>
      <c r="L653" t="n">
        <v>0</v>
      </c>
      <c r="M653" t="n">
        <v>0</v>
      </c>
      <c r="N653" t="n">
        <v>0</v>
      </c>
      <c r="O653" t="n">
        <v>0</v>
      </c>
      <c r="P653" t="n">
        <v>0</v>
      </c>
      <c r="Q653" t="n">
        <v>0</v>
      </c>
      <c r="R653" s="2" t="inlineStr"/>
    </row>
    <row r="654" ht="15" customHeight="1">
      <c r="A654" t="inlineStr">
        <is>
          <t>A 6109-2025</t>
        </is>
      </c>
      <c r="B654" s="1" t="n">
        <v>45698.31012731481</v>
      </c>
      <c r="C654" s="1" t="n">
        <v>45915</v>
      </c>
      <c r="D654" t="inlineStr">
        <is>
          <t>VÄRMLANDS LÄN</t>
        </is>
      </c>
      <c r="E654" t="inlineStr">
        <is>
          <t>ÅRJÄNG</t>
        </is>
      </c>
      <c r="G654" t="n">
        <v>4.1</v>
      </c>
      <c r="H654" t="n">
        <v>0</v>
      </c>
      <c r="I654" t="n">
        <v>0</v>
      </c>
      <c r="J654" t="n">
        <v>0</v>
      </c>
      <c r="K654" t="n">
        <v>0</v>
      </c>
      <c r="L654" t="n">
        <v>0</v>
      </c>
      <c r="M654" t="n">
        <v>0</v>
      </c>
      <c r="N654" t="n">
        <v>0</v>
      </c>
      <c r="O654" t="n">
        <v>0</v>
      </c>
      <c r="P654" t="n">
        <v>0</v>
      </c>
      <c r="Q654" t="n">
        <v>0</v>
      </c>
      <c r="R654" s="2" t="inlineStr"/>
    </row>
    <row r="655" ht="15" customHeight="1">
      <c r="A655" t="inlineStr">
        <is>
          <t>A 14466-2025</t>
        </is>
      </c>
      <c r="B655" s="1" t="n">
        <v>45741.57255787037</v>
      </c>
      <c r="C655" s="1" t="n">
        <v>45915</v>
      </c>
      <c r="D655" t="inlineStr">
        <is>
          <t>VÄRMLANDS LÄN</t>
        </is>
      </c>
      <c r="E655" t="inlineStr">
        <is>
          <t>ÅRJÄNG</t>
        </is>
      </c>
      <c r="G655" t="n">
        <v>12.2</v>
      </c>
      <c r="H655" t="n">
        <v>0</v>
      </c>
      <c r="I655" t="n">
        <v>0</v>
      </c>
      <c r="J655" t="n">
        <v>0</v>
      </c>
      <c r="K655" t="n">
        <v>0</v>
      </c>
      <c r="L655" t="n">
        <v>0</v>
      </c>
      <c r="M655" t="n">
        <v>0</v>
      </c>
      <c r="N655" t="n">
        <v>0</v>
      </c>
      <c r="O655" t="n">
        <v>0</v>
      </c>
      <c r="P655" t="n">
        <v>0</v>
      </c>
      <c r="Q655" t="n">
        <v>0</v>
      </c>
      <c r="R655" s="2" t="inlineStr"/>
    </row>
    <row r="656" ht="15" customHeight="1">
      <c r="A656" t="inlineStr">
        <is>
          <t>A 28710-2025</t>
        </is>
      </c>
      <c r="B656" s="1" t="n">
        <v>45820.32953703704</v>
      </c>
      <c r="C656" s="1" t="n">
        <v>45915</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28554-2025</t>
        </is>
      </c>
      <c r="B657" s="1" t="n">
        <v>45819.53761574074</v>
      </c>
      <c r="C657" s="1" t="n">
        <v>45915</v>
      </c>
      <c r="D657" t="inlineStr">
        <is>
          <t>VÄRMLANDS LÄN</t>
        </is>
      </c>
      <c r="E657" t="inlineStr">
        <is>
          <t>ÅRJÄNG</t>
        </is>
      </c>
      <c r="G657" t="n">
        <v>1.5</v>
      </c>
      <c r="H657" t="n">
        <v>0</v>
      </c>
      <c r="I657" t="n">
        <v>0</v>
      </c>
      <c r="J657" t="n">
        <v>0</v>
      </c>
      <c r="K657" t="n">
        <v>0</v>
      </c>
      <c r="L657" t="n">
        <v>0</v>
      </c>
      <c r="M657" t="n">
        <v>0</v>
      </c>
      <c r="N657" t="n">
        <v>0</v>
      </c>
      <c r="O657" t="n">
        <v>0</v>
      </c>
      <c r="P657" t="n">
        <v>0</v>
      </c>
      <c r="Q657" t="n">
        <v>0</v>
      </c>
      <c r="R657" s="2" t="inlineStr"/>
    </row>
    <row r="658" ht="15" customHeight="1">
      <c r="A658" t="inlineStr">
        <is>
          <t>A 29136-2025</t>
        </is>
      </c>
      <c r="B658" s="1" t="n">
        <v>45821</v>
      </c>
      <c r="C658" s="1" t="n">
        <v>45915</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29138-2025</t>
        </is>
      </c>
      <c r="B659" s="1" t="n">
        <v>45821</v>
      </c>
      <c r="C659" s="1" t="n">
        <v>45915</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29146-2025</t>
        </is>
      </c>
      <c r="B660" s="1" t="n">
        <v>45821</v>
      </c>
      <c r="C660" s="1" t="n">
        <v>45915</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37191-2023</t>
        </is>
      </c>
      <c r="B661" s="1" t="n">
        <v>45154</v>
      </c>
      <c r="C661" s="1" t="n">
        <v>45915</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21443-2022</t>
        </is>
      </c>
      <c r="B662" s="1" t="n">
        <v>44706.35293981482</v>
      </c>
      <c r="C662" s="1" t="n">
        <v>45915</v>
      </c>
      <c r="D662" t="inlineStr">
        <is>
          <t>VÄRMLANDS LÄN</t>
        </is>
      </c>
      <c r="E662" t="inlineStr">
        <is>
          <t>ÅRJÄNG</t>
        </is>
      </c>
      <c r="G662" t="n">
        <v>3.5</v>
      </c>
      <c r="H662" t="n">
        <v>0</v>
      </c>
      <c r="I662" t="n">
        <v>0</v>
      </c>
      <c r="J662" t="n">
        <v>0</v>
      </c>
      <c r="K662" t="n">
        <v>0</v>
      </c>
      <c r="L662" t="n">
        <v>0</v>
      </c>
      <c r="M662" t="n">
        <v>0</v>
      </c>
      <c r="N662" t="n">
        <v>0</v>
      </c>
      <c r="O662" t="n">
        <v>0</v>
      </c>
      <c r="P662" t="n">
        <v>0</v>
      </c>
      <c r="Q662" t="n">
        <v>0</v>
      </c>
      <c r="R662" s="2" t="inlineStr"/>
    </row>
    <row r="663" ht="15" customHeight="1">
      <c r="A663" t="inlineStr">
        <is>
          <t>A 21365-2022</t>
        </is>
      </c>
      <c r="B663" s="1" t="n">
        <v>44705</v>
      </c>
      <c r="C663" s="1" t="n">
        <v>45915</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29007-2025</t>
        </is>
      </c>
      <c r="B664" s="1" t="n">
        <v>45821</v>
      </c>
      <c r="C664" s="1" t="n">
        <v>45915</v>
      </c>
      <c r="D664" t="inlineStr">
        <is>
          <t>VÄRMLANDS LÄN</t>
        </is>
      </c>
      <c r="E664" t="inlineStr">
        <is>
          <t>ÅRJÄNG</t>
        </is>
      </c>
      <c r="F664" t="inlineStr">
        <is>
          <t>Bergvik skog väst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29026-2025</t>
        </is>
      </c>
      <c r="B665" s="1" t="n">
        <v>45821</v>
      </c>
      <c r="C665" s="1" t="n">
        <v>45915</v>
      </c>
      <c r="D665" t="inlineStr">
        <is>
          <t>VÄRMLANDS LÄN</t>
        </is>
      </c>
      <c r="E665" t="inlineStr">
        <is>
          <t>ÅRJÄNG</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29082-2025</t>
        </is>
      </c>
      <c r="B666" s="1" t="n">
        <v>45821</v>
      </c>
      <c r="C666" s="1" t="n">
        <v>45915</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29166-2025</t>
        </is>
      </c>
      <c r="B667" s="1" t="n">
        <v>45821.68682870371</v>
      </c>
      <c r="C667" s="1" t="n">
        <v>45915</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48203-2023</t>
        </is>
      </c>
      <c r="B668" s="1" t="n">
        <v>45200</v>
      </c>
      <c r="C668" s="1" t="n">
        <v>45915</v>
      </c>
      <c r="D668" t="inlineStr">
        <is>
          <t>VÄRMLANDS LÄN</t>
        </is>
      </c>
      <c r="E668" t="inlineStr">
        <is>
          <t>ÅRJÄNG</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42667-2023</t>
        </is>
      </c>
      <c r="B669" s="1" t="n">
        <v>45176</v>
      </c>
      <c r="C669" s="1" t="n">
        <v>45915</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13504-2025</t>
        </is>
      </c>
      <c r="B670" s="1" t="n">
        <v>45736.46400462963</v>
      </c>
      <c r="C670" s="1" t="n">
        <v>45915</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16519-2025</t>
        </is>
      </c>
      <c r="B671" s="1" t="n">
        <v>45751</v>
      </c>
      <c r="C671" s="1" t="n">
        <v>45915</v>
      </c>
      <c r="D671" t="inlineStr">
        <is>
          <t>VÄRMLANDS LÄN</t>
        </is>
      </c>
      <c r="E671" t="inlineStr">
        <is>
          <t>ÅRJÄNG</t>
        </is>
      </c>
      <c r="G671" t="n">
        <v>6.3</v>
      </c>
      <c r="H671" t="n">
        <v>0</v>
      </c>
      <c r="I671" t="n">
        <v>0</v>
      </c>
      <c r="J671" t="n">
        <v>0</v>
      </c>
      <c r="K671" t="n">
        <v>0</v>
      </c>
      <c r="L671" t="n">
        <v>0</v>
      </c>
      <c r="M671" t="n">
        <v>0</v>
      </c>
      <c r="N671" t="n">
        <v>0</v>
      </c>
      <c r="O671" t="n">
        <v>0</v>
      </c>
      <c r="P671" t="n">
        <v>0</v>
      </c>
      <c r="Q671" t="n">
        <v>0</v>
      </c>
      <c r="R671" s="2" t="inlineStr"/>
    </row>
    <row r="672" ht="15" customHeight="1">
      <c r="A672" t="inlineStr">
        <is>
          <t>A 28992-2025</t>
        </is>
      </c>
      <c r="B672" s="1" t="n">
        <v>45821</v>
      </c>
      <c r="C672" s="1" t="n">
        <v>45915</v>
      </c>
      <c r="D672" t="inlineStr">
        <is>
          <t>VÄRMLANDS LÄN</t>
        </is>
      </c>
      <c r="E672" t="inlineStr">
        <is>
          <t>ÅRJÄNG</t>
        </is>
      </c>
      <c r="F672" t="inlineStr">
        <is>
          <t>Bergvik skog väst AB</t>
        </is>
      </c>
      <c r="G672" t="n">
        <v>2.2</v>
      </c>
      <c r="H672" t="n">
        <v>0</v>
      </c>
      <c r="I672" t="n">
        <v>0</v>
      </c>
      <c r="J672" t="n">
        <v>0</v>
      </c>
      <c r="K672" t="n">
        <v>0</v>
      </c>
      <c r="L672" t="n">
        <v>0</v>
      </c>
      <c r="M672" t="n">
        <v>0</v>
      </c>
      <c r="N672" t="n">
        <v>0</v>
      </c>
      <c r="O672" t="n">
        <v>0</v>
      </c>
      <c r="P672" t="n">
        <v>0</v>
      </c>
      <c r="Q672" t="n">
        <v>0</v>
      </c>
      <c r="R672" s="2" t="inlineStr"/>
    </row>
    <row r="673" ht="15" customHeight="1">
      <c r="A673" t="inlineStr">
        <is>
          <t>A 53468-2021</t>
        </is>
      </c>
      <c r="B673" s="1" t="n">
        <v>44468.74127314815</v>
      </c>
      <c r="C673" s="1" t="n">
        <v>45915</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29208-2025</t>
        </is>
      </c>
      <c r="B674" s="1" t="n">
        <v>45823.80380787037</v>
      </c>
      <c r="C674" s="1" t="n">
        <v>45915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53554-2023</t>
        </is>
      </c>
      <c r="B675" s="1" t="n">
        <v>45230</v>
      </c>
      <c r="C675" s="1" t="n">
        <v>45915</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55574-2023</t>
        </is>
      </c>
      <c r="B676" s="1" t="n">
        <v>45232</v>
      </c>
      <c r="C676" s="1" t="n">
        <v>45915</v>
      </c>
      <c r="D676" t="inlineStr">
        <is>
          <t>VÄRMLANDS LÄN</t>
        </is>
      </c>
      <c r="E676" t="inlineStr">
        <is>
          <t>ÅRJÄNG</t>
        </is>
      </c>
      <c r="G676" t="n">
        <v>9.1</v>
      </c>
      <c r="H676" t="n">
        <v>0</v>
      </c>
      <c r="I676" t="n">
        <v>0</v>
      </c>
      <c r="J676" t="n">
        <v>0</v>
      </c>
      <c r="K676" t="n">
        <v>0</v>
      </c>
      <c r="L676" t="n">
        <v>0</v>
      </c>
      <c r="M676" t="n">
        <v>0</v>
      </c>
      <c r="N676" t="n">
        <v>0</v>
      </c>
      <c r="O676" t="n">
        <v>0</v>
      </c>
      <c r="P676" t="n">
        <v>0</v>
      </c>
      <c r="Q676" t="n">
        <v>0</v>
      </c>
      <c r="R676" s="2" t="inlineStr"/>
    </row>
    <row r="677" ht="15" customHeight="1">
      <c r="A677" t="inlineStr">
        <is>
          <t>A 29169-2025</t>
        </is>
      </c>
      <c r="B677" s="1" t="n">
        <v>45821.69650462963</v>
      </c>
      <c r="C677" s="1" t="n">
        <v>45915</v>
      </c>
      <c r="D677" t="inlineStr">
        <is>
          <t>VÄRMLANDS LÄN</t>
        </is>
      </c>
      <c r="E677" t="inlineStr">
        <is>
          <t>ÅRJÄNG</t>
        </is>
      </c>
      <c r="G677" t="n">
        <v>3.6</v>
      </c>
      <c r="H677" t="n">
        <v>0</v>
      </c>
      <c r="I677" t="n">
        <v>0</v>
      </c>
      <c r="J677" t="n">
        <v>0</v>
      </c>
      <c r="K677" t="n">
        <v>0</v>
      </c>
      <c r="L677" t="n">
        <v>0</v>
      </c>
      <c r="M677" t="n">
        <v>0</v>
      </c>
      <c r="N677" t="n">
        <v>0</v>
      </c>
      <c r="O677" t="n">
        <v>0</v>
      </c>
      <c r="P677" t="n">
        <v>0</v>
      </c>
      <c r="Q677" t="n">
        <v>0</v>
      </c>
      <c r="R677" s="2" t="inlineStr"/>
    </row>
    <row r="678" ht="15" customHeight="1">
      <c r="A678" t="inlineStr">
        <is>
          <t>A 3729-2025</t>
        </is>
      </c>
      <c r="B678" s="1" t="n">
        <v>45681.5497800926</v>
      </c>
      <c r="C678" s="1" t="n">
        <v>45915</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60207-2023</t>
        </is>
      </c>
      <c r="B679" s="1" t="n">
        <v>45257</v>
      </c>
      <c r="C679" s="1" t="n">
        <v>45915</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29100-2025</t>
        </is>
      </c>
      <c r="B680" s="1" t="n">
        <v>45821</v>
      </c>
      <c r="C680" s="1" t="n">
        <v>45915</v>
      </c>
      <c r="D680" t="inlineStr">
        <is>
          <t>VÄRMLANDS LÄN</t>
        </is>
      </c>
      <c r="E680" t="inlineStr">
        <is>
          <t>ÅRJÄNG</t>
        </is>
      </c>
      <c r="F680" t="inlineStr">
        <is>
          <t>Bergvik skog väst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29139-2025</t>
        </is>
      </c>
      <c r="B681" s="1" t="n">
        <v>45821</v>
      </c>
      <c r="C681" s="1" t="n">
        <v>45915</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58434-2023</t>
        </is>
      </c>
      <c r="B682" s="1" t="n">
        <v>45250</v>
      </c>
      <c r="C682" s="1" t="n">
        <v>45915</v>
      </c>
      <c r="D682" t="inlineStr">
        <is>
          <t>VÄRMLANDS LÄN</t>
        </is>
      </c>
      <c r="E682" t="inlineStr">
        <is>
          <t>ÅRJÄNG</t>
        </is>
      </c>
      <c r="F682" t="inlineStr">
        <is>
          <t>Naturvårdsverket</t>
        </is>
      </c>
      <c r="G682" t="n">
        <v>3</v>
      </c>
      <c r="H682" t="n">
        <v>0</v>
      </c>
      <c r="I682" t="n">
        <v>0</v>
      </c>
      <c r="J682" t="n">
        <v>0</v>
      </c>
      <c r="K682" t="n">
        <v>0</v>
      </c>
      <c r="L682" t="n">
        <v>0</v>
      </c>
      <c r="M682" t="n">
        <v>0</v>
      </c>
      <c r="N682" t="n">
        <v>0</v>
      </c>
      <c r="O682" t="n">
        <v>0</v>
      </c>
      <c r="P682" t="n">
        <v>0</v>
      </c>
      <c r="Q682" t="n">
        <v>0</v>
      </c>
      <c r="R682" s="2" t="inlineStr"/>
    </row>
    <row r="683" ht="15" customHeight="1">
      <c r="A683" t="inlineStr">
        <is>
          <t>A 8356-2025</t>
        </is>
      </c>
      <c r="B683" s="1" t="n">
        <v>45708.79752314815</v>
      </c>
      <c r="C683" s="1" t="n">
        <v>45915</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18256-2024</t>
        </is>
      </c>
      <c r="B684" s="1" t="n">
        <v>45421.52498842592</v>
      </c>
      <c r="C684" s="1" t="n">
        <v>45915</v>
      </c>
      <c r="D684" t="inlineStr">
        <is>
          <t>VÄRMLANDS LÄN</t>
        </is>
      </c>
      <c r="E684" t="inlineStr">
        <is>
          <t>ÅRJÄNG</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30134-2025</t>
        </is>
      </c>
      <c r="B685" s="1" t="n">
        <v>45826</v>
      </c>
      <c r="C685" s="1" t="n">
        <v>45915</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29783-2025</t>
        </is>
      </c>
      <c r="B686" s="1" t="n">
        <v>45825</v>
      </c>
      <c r="C686" s="1" t="n">
        <v>45915</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29624-2025</t>
        </is>
      </c>
      <c r="B687" s="1" t="n">
        <v>45825.44246527777</v>
      </c>
      <c r="C687" s="1" t="n">
        <v>45915</v>
      </c>
      <c r="D687" t="inlineStr">
        <is>
          <t>VÄRMLANDS LÄN</t>
        </is>
      </c>
      <c r="E687" t="inlineStr">
        <is>
          <t>ÅRJÄNG</t>
        </is>
      </c>
      <c r="G687" t="n">
        <v>6.2</v>
      </c>
      <c r="H687" t="n">
        <v>0</v>
      </c>
      <c r="I687" t="n">
        <v>0</v>
      </c>
      <c r="J687" t="n">
        <v>0</v>
      </c>
      <c r="K687" t="n">
        <v>0</v>
      </c>
      <c r="L687" t="n">
        <v>0</v>
      </c>
      <c r="M687" t="n">
        <v>0</v>
      </c>
      <c r="N687" t="n">
        <v>0</v>
      </c>
      <c r="O687" t="n">
        <v>0</v>
      </c>
      <c r="P687" t="n">
        <v>0</v>
      </c>
      <c r="Q687" t="n">
        <v>0</v>
      </c>
      <c r="R687" s="2" t="inlineStr"/>
    </row>
    <row r="688" ht="15" customHeight="1">
      <c r="A688" t="inlineStr">
        <is>
          <t>A 43650-2024</t>
        </is>
      </c>
      <c r="B688" s="1" t="n">
        <v>45569.53091435185</v>
      </c>
      <c r="C688" s="1" t="n">
        <v>45915</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21513-2024</t>
        </is>
      </c>
      <c r="B689" s="1" t="n">
        <v>45441</v>
      </c>
      <c r="C689" s="1" t="n">
        <v>45915</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24477-2022</t>
        </is>
      </c>
      <c r="B690" s="1" t="n">
        <v>44726.65575231481</v>
      </c>
      <c r="C690" s="1" t="n">
        <v>45915</v>
      </c>
      <c r="D690" t="inlineStr">
        <is>
          <t>VÄRMLANDS LÄN</t>
        </is>
      </c>
      <c r="E690" t="inlineStr">
        <is>
          <t>ÅRJÄNG</t>
        </is>
      </c>
      <c r="G690" t="n">
        <v>2.2</v>
      </c>
      <c r="H690" t="n">
        <v>0</v>
      </c>
      <c r="I690" t="n">
        <v>0</v>
      </c>
      <c r="J690" t="n">
        <v>0</v>
      </c>
      <c r="K690" t="n">
        <v>0</v>
      </c>
      <c r="L690" t="n">
        <v>0</v>
      </c>
      <c r="M690" t="n">
        <v>0</v>
      </c>
      <c r="N690" t="n">
        <v>0</v>
      </c>
      <c r="O690" t="n">
        <v>0</v>
      </c>
      <c r="P690" t="n">
        <v>0</v>
      </c>
      <c r="Q690" t="n">
        <v>0</v>
      </c>
      <c r="R690" s="2" t="inlineStr"/>
    </row>
    <row r="691" ht="15" customHeight="1">
      <c r="A691" t="inlineStr">
        <is>
          <t>A 14509-2022</t>
        </is>
      </c>
      <c r="B691" s="1" t="n">
        <v>44655</v>
      </c>
      <c r="C691" s="1" t="n">
        <v>45915</v>
      </c>
      <c r="D691" t="inlineStr">
        <is>
          <t>VÄRMLANDS LÄN</t>
        </is>
      </c>
      <c r="E691" t="inlineStr">
        <is>
          <t>ÅRJÄNG</t>
        </is>
      </c>
      <c r="G691" t="n">
        <v>0.2</v>
      </c>
      <c r="H691" t="n">
        <v>0</v>
      </c>
      <c r="I691" t="n">
        <v>0</v>
      </c>
      <c r="J691" t="n">
        <v>0</v>
      </c>
      <c r="K691" t="n">
        <v>0</v>
      </c>
      <c r="L691" t="n">
        <v>0</v>
      </c>
      <c r="M691" t="n">
        <v>0</v>
      </c>
      <c r="N691" t="n">
        <v>0</v>
      </c>
      <c r="O691" t="n">
        <v>0</v>
      </c>
      <c r="P691" t="n">
        <v>0</v>
      </c>
      <c r="Q691" t="n">
        <v>0</v>
      </c>
      <c r="R691" s="2" t="inlineStr"/>
    </row>
    <row r="692" ht="15" customHeight="1">
      <c r="A692" t="inlineStr">
        <is>
          <t>A 33525-2023</t>
        </is>
      </c>
      <c r="B692" s="1" t="n">
        <v>45131.51326388889</v>
      </c>
      <c r="C692" s="1" t="n">
        <v>45915</v>
      </c>
      <c r="D692" t="inlineStr">
        <is>
          <t>VÄRMLANDS LÄN</t>
        </is>
      </c>
      <c r="E692" t="inlineStr">
        <is>
          <t>ÅRJÄNG</t>
        </is>
      </c>
      <c r="G692" t="n">
        <v>10.2</v>
      </c>
      <c r="H692" t="n">
        <v>0</v>
      </c>
      <c r="I692" t="n">
        <v>0</v>
      </c>
      <c r="J692" t="n">
        <v>0</v>
      </c>
      <c r="K692" t="n">
        <v>0</v>
      </c>
      <c r="L692" t="n">
        <v>0</v>
      </c>
      <c r="M692" t="n">
        <v>0</v>
      </c>
      <c r="N692" t="n">
        <v>0</v>
      </c>
      <c r="O692" t="n">
        <v>0</v>
      </c>
      <c r="P692" t="n">
        <v>0</v>
      </c>
      <c r="Q692" t="n">
        <v>0</v>
      </c>
      <c r="R692" s="2" t="inlineStr"/>
    </row>
    <row r="693" ht="15" customHeight="1">
      <c r="A693" t="inlineStr">
        <is>
          <t>A 46441-2023</t>
        </is>
      </c>
      <c r="B693" s="1" t="n">
        <v>45197</v>
      </c>
      <c r="C693" s="1" t="n">
        <v>45915</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59352-2022</t>
        </is>
      </c>
      <c r="B694" s="1" t="n">
        <v>44904.7077199074</v>
      </c>
      <c r="C694" s="1" t="n">
        <v>45915</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1115-2024</t>
        </is>
      </c>
      <c r="B695" s="1" t="n">
        <v>45302</v>
      </c>
      <c r="C695" s="1" t="n">
        <v>45915</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48453-2023</t>
        </is>
      </c>
      <c r="B696" s="1" t="n">
        <v>45206.4346412037</v>
      </c>
      <c r="C696" s="1" t="n">
        <v>45915</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59384-2023</t>
        </is>
      </c>
      <c r="B697" s="1" t="n">
        <v>45253</v>
      </c>
      <c r="C697" s="1" t="n">
        <v>45915</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46957-2024</t>
        </is>
      </c>
      <c r="B698" s="1" t="n">
        <v>45586</v>
      </c>
      <c r="C698" s="1" t="n">
        <v>45915</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59784-2023</t>
        </is>
      </c>
      <c r="B699" s="1" t="n">
        <v>45257</v>
      </c>
      <c r="C699" s="1" t="n">
        <v>45915</v>
      </c>
      <c r="D699" t="inlineStr">
        <is>
          <t>VÄRMLANDS LÄN</t>
        </is>
      </c>
      <c r="E699" t="inlineStr">
        <is>
          <t>ÅRJÄNG</t>
        </is>
      </c>
      <c r="G699" t="n">
        <v>3.1</v>
      </c>
      <c r="H699" t="n">
        <v>0</v>
      </c>
      <c r="I699" t="n">
        <v>0</v>
      </c>
      <c r="J699" t="n">
        <v>0</v>
      </c>
      <c r="K699" t="n">
        <v>0</v>
      </c>
      <c r="L699" t="n">
        <v>0</v>
      </c>
      <c r="M699" t="n">
        <v>0</v>
      </c>
      <c r="N699" t="n">
        <v>0</v>
      </c>
      <c r="O699" t="n">
        <v>0</v>
      </c>
      <c r="P699" t="n">
        <v>0</v>
      </c>
      <c r="Q699" t="n">
        <v>0</v>
      </c>
      <c r="R699" s="2" t="inlineStr"/>
    </row>
    <row r="700" ht="15" customHeight="1">
      <c r="A700" t="inlineStr">
        <is>
          <t>A 59801-2023</t>
        </is>
      </c>
      <c r="B700" s="1" t="n">
        <v>45254</v>
      </c>
      <c r="C700" s="1" t="n">
        <v>45915</v>
      </c>
      <c r="D700" t="inlineStr">
        <is>
          <t>VÄRMLANDS LÄN</t>
        </is>
      </c>
      <c r="E700" t="inlineStr">
        <is>
          <t>ÅRJÄNG</t>
        </is>
      </c>
      <c r="G700" t="n">
        <v>13.8</v>
      </c>
      <c r="H700" t="n">
        <v>0</v>
      </c>
      <c r="I700" t="n">
        <v>0</v>
      </c>
      <c r="J700" t="n">
        <v>0</v>
      </c>
      <c r="K700" t="n">
        <v>0</v>
      </c>
      <c r="L700" t="n">
        <v>0</v>
      </c>
      <c r="M700" t="n">
        <v>0</v>
      </c>
      <c r="N700" t="n">
        <v>0</v>
      </c>
      <c r="O700" t="n">
        <v>0</v>
      </c>
      <c r="P700" t="n">
        <v>0</v>
      </c>
      <c r="Q700" t="n">
        <v>0</v>
      </c>
      <c r="R700" s="2" t="inlineStr"/>
    </row>
    <row r="701" ht="15" customHeight="1">
      <c r="A701" t="inlineStr">
        <is>
          <t>A 27311-2022</t>
        </is>
      </c>
      <c r="B701" s="1" t="n">
        <v>44728</v>
      </c>
      <c r="C701" s="1" t="n">
        <v>45915</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15718-2023</t>
        </is>
      </c>
      <c r="B702" s="1" t="n">
        <v>45021.55432870371</v>
      </c>
      <c r="C702" s="1" t="n">
        <v>45915</v>
      </c>
      <c r="D702" t="inlineStr">
        <is>
          <t>VÄRMLANDS LÄN</t>
        </is>
      </c>
      <c r="E702" t="inlineStr">
        <is>
          <t>ÅRJÄNG</t>
        </is>
      </c>
      <c r="G702" t="n">
        <v>2.9</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45915</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48911-2024</t>
        </is>
      </c>
      <c r="B704" s="1" t="n">
        <v>45594.36512731481</v>
      </c>
      <c r="C704" s="1" t="n">
        <v>45915</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8215-2025</t>
        </is>
      </c>
      <c r="B705" s="1" t="n">
        <v>45708.44832175926</v>
      </c>
      <c r="C705" s="1" t="n">
        <v>45915</v>
      </c>
      <c r="D705" t="inlineStr">
        <is>
          <t>VÄRMLANDS LÄN</t>
        </is>
      </c>
      <c r="E705" t="inlineStr">
        <is>
          <t>ÅRJÄNG</t>
        </is>
      </c>
      <c r="G705" t="n">
        <v>1.9</v>
      </c>
      <c r="H705" t="n">
        <v>0</v>
      </c>
      <c r="I705" t="n">
        <v>0</v>
      </c>
      <c r="J705" t="n">
        <v>0</v>
      </c>
      <c r="K705" t="n">
        <v>0</v>
      </c>
      <c r="L705" t="n">
        <v>0</v>
      </c>
      <c r="M705" t="n">
        <v>0</v>
      </c>
      <c r="N705" t="n">
        <v>0</v>
      </c>
      <c r="O705" t="n">
        <v>0</v>
      </c>
      <c r="P705" t="n">
        <v>0</v>
      </c>
      <c r="Q705" t="n">
        <v>0</v>
      </c>
      <c r="R705" s="2" t="inlineStr"/>
    </row>
    <row r="706" ht="15" customHeight="1">
      <c r="A706" t="inlineStr">
        <is>
          <t>A 8230-2025</t>
        </is>
      </c>
      <c r="B706" s="1" t="n">
        <v>45708.47010416666</v>
      </c>
      <c r="C706" s="1" t="n">
        <v>45915</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40346-2024</t>
        </is>
      </c>
      <c r="B707" s="1" t="n">
        <v>45555.34840277778</v>
      </c>
      <c r="C707" s="1" t="n">
        <v>45915</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30761-2025</t>
        </is>
      </c>
      <c r="B708" s="1" t="n">
        <v>45831</v>
      </c>
      <c r="C708" s="1" t="n">
        <v>45915</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30579-2025</t>
        </is>
      </c>
      <c r="B709" s="1" t="n">
        <v>45831.41965277777</v>
      </c>
      <c r="C709" s="1" t="n">
        <v>45915</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30611-2025</t>
        </is>
      </c>
      <c r="B710" s="1" t="n">
        <v>45831.46104166667</v>
      </c>
      <c r="C710" s="1" t="n">
        <v>45915</v>
      </c>
      <c r="D710" t="inlineStr">
        <is>
          <t>VÄRMLANDS LÄN</t>
        </is>
      </c>
      <c r="E710" t="inlineStr">
        <is>
          <t>ÅRJÄNG</t>
        </is>
      </c>
      <c r="G710" t="n">
        <v>5.5</v>
      </c>
      <c r="H710" t="n">
        <v>0</v>
      </c>
      <c r="I710" t="n">
        <v>0</v>
      </c>
      <c r="J710" t="n">
        <v>0</v>
      </c>
      <c r="K710" t="n">
        <v>0</v>
      </c>
      <c r="L710" t="n">
        <v>0</v>
      </c>
      <c r="M710" t="n">
        <v>0</v>
      </c>
      <c r="N710" t="n">
        <v>0</v>
      </c>
      <c r="O710" t="n">
        <v>0</v>
      </c>
      <c r="P710" t="n">
        <v>0</v>
      </c>
      <c r="Q710" t="n">
        <v>0</v>
      </c>
      <c r="R710" s="2" t="inlineStr"/>
    </row>
    <row r="711" ht="15" customHeight="1">
      <c r="A711" t="inlineStr">
        <is>
          <t>A 49785-2024</t>
        </is>
      </c>
      <c r="B711" s="1" t="n">
        <v>45597.35758101852</v>
      </c>
      <c r="C711" s="1" t="n">
        <v>45915</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15954-2025</t>
        </is>
      </c>
      <c r="B712" s="1" t="n">
        <v>45749</v>
      </c>
      <c r="C712" s="1" t="n">
        <v>45915</v>
      </c>
      <c r="D712" t="inlineStr">
        <is>
          <t>VÄRMLANDS LÄN</t>
        </is>
      </c>
      <c r="E712" t="inlineStr">
        <is>
          <t>ÅRJÄNG</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36857-2025</t>
        </is>
      </c>
      <c r="B713" s="1" t="n">
        <v>45874.40488425926</v>
      </c>
      <c r="C713" s="1" t="n">
        <v>45915</v>
      </c>
      <c r="D713" t="inlineStr">
        <is>
          <t>VÄRMLANDS LÄN</t>
        </is>
      </c>
      <c r="E713" t="inlineStr">
        <is>
          <t>ÅRJÄNG</t>
        </is>
      </c>
      <c r="G713" t="n">
        <v>5.2</v>
      </c>
      <c r="H713" t="n">
        <v>0</v>
      </c>
      <c r="I713" t="n">
        <v>0</v>
      </c>
      <c r="J713" t="n">
        <v>0</v>
      </c>
      <c r="K713" t="n">
        <v>0</v>
      </c>
      <c r="L713" t="n">
        <v>0</v>
      </c>
      <c r="M713" t="n">
        <v>0</v>
      </c>
      <c r="N713" t="n">
        <v>0</v>
      </c>
      <c r="O713" t="n">
        <v>0</v>
      </c>
      <c r="P713" t="n">
        <v>0</v>
      </c>
      <c r="Q713" t="n">
        <v>0</v>
      </c>
      <c r="R713" s="2" t="inlineStr"/>
    </row>
    <row r="714" ht="15" customHeight="1">
      <c r="A714" t="inlineStr">
        <is>
          <t>A 36865-2025</t>
        </is>
      </c>
      <c r="B714" s="1" t="n">
        <v>45874.41655092593</v>
      </c>
      <c r="C714" s="1" t="n">
        <v>45915</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10239-2023</t>
        </is>
      </c>
      <c r="B715" s="1" t="n">
        <v>44986</v>
      </c>
      <c r="C715" s="1" t="n">
        <v>45915</v>
      </c>
      <c r="D715" t="inlineStr">
        <is>
          <t>VÄRMLANDS LÄN</t>
        </is>
      </c>
      <c r="E715" t="inlineStr">
        <is>
          <t>ÅRJÄNG</t>
        </is>
      </c>
      <c r="G715" t="n">
        <v>5.4</v>
      </c>
      <c r="H715" t="n">
        <v>0</v>
      </c>
      <c r="I715" t="n">
        <v>0</v>
      </c>
      <c r="J715" t="n">
        <v>0</v>
      </c>
      <c r="K715" t="n">
        <v>0</v>
      </c>
      <c r="L715" t="n">
        <v>0</v>
      </c>
      <c r="M715" t="n">
        <v>0</v>
      </c>
      <c r="N715" t="n">
        <v>0</v>
      </c>
      <c r="O715" t="n">
        <v>0</v>
      </c>
      <c r="P715" t="n">
        <v>0</v>
      </c>
      <c r="Q715" t="n">
        <v>0</v>
      </c>
      <c r="R715" s="2" t="inlineStr"/>
    </row>
    <row r="716" ht="15" customHeight="1">
      <c r="A716" t="inlineStr">
        <is>
          <t>A 30658-2025</t>
        </is>
      </c>
      <c r="B716" s="1" t="n">
        <v>45831.5072337963</v>
      </c>
      <c r="C716" s="1" t="n">
        <v>45915</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687-2024</t>
        </is>
      </c>
      <c r="B717" s="1" t="n">
        <v>45300.37333333334</v>
      </c>
      <c r="C717" s="1" t="n">
        <v>45915</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713-2024</t>
        </is>
      </c>
      <c r="B718" s="1" t="n">
        <v>45300.4261574074</v>
      </c>
      <c r="C718" s="1" t="n">
        <v>45915</v>
      </c>
      <c r="D718" t="inlineStr">
        <is>
          <t>VÄRMLANDS LÄN</t>
        </is>
      </c>
      <c r="E718" t="inlineStr">
        <is>
          <t>ÅRJÄNG</t>
        </is>
      </c>
      <c r="F718" t="inlineStr">
        <is>
          <t>Kyrkan</t>
        </is>
      </c>
      <c r="G718" t="n">
        <v>4.4</v>
      </c>
      <c r="H718" t="n">
        <v>0</v>
      </c>
      <c r="I718" t="n">
        <v>0</v>
      </c>
      <c r="J718" t="n">
        <v>0</v>
      </c>
      <c r="K718" t="n">
        <v>0</v>
      </c>
      <c r="L718" t="n">
        <v>0</v>
      </c>
      <c r="M718" t="n">
        <v>0</v>
      </c>
      <c r="N718" t="n">
        <v>0</v>
      </c>
      <c r="O718" t="n">
        <v>0</v>
      </c>
      <c r="P718" t="n">
        <v>0</v>
      </c>
      <c r="Q718" t="n">
        <v>0</v>
      </c>
      <c r="R718" s="2" t="inlineStr"/>
    </row>
    <row r="719" ht="15" customHeight="1">
      <c r="A719" t="inlineStr">
        <is>
          <t>A 36819-2025</t>
        </is>
      </c>
      <c r="B719" s="1" t="n">
        <v>45873.84164351852</v>
      </c>
      <c r="C719" s="1" t="n">
        <v>45915</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8835-2025</t>
        </is>
      </c>
      <c r="B720" s="1" t="n">
        <v>45712.92547453703</v>
      </c>
      <c r="C720" s="1" t="n">
        <v>45915</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62288-2023</t>
        </is>
      </c>
      <c r="B721" s="1" t="n">
        <v>45267.65707175926</v>
      </c>
      <c r="C721" s="1" t="n">
        <v>45915</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36834-2025</t>
        </is>
      </c>
      <c r="B722" s="1" t="n">
        <v>45874.35965277778</v>
      </c>
      <c r="C722" s="1" t="n">
        <v>45915</v>
      </c>
      <c r="D722" t="inlineStr">
        <is>
          <t>VÄRMLANDS LÄN</t>
        </is>
      </c>
      <c r="E722" t="inlineStr">
        <is>
          <t>ÅRJÄNG</t>
        </is>
      </c>
      <c r="G722" t="n">
        <v>2.9</v>
      </c>
      <c r="H722" t="n">
        <v>0</v>
      </c>
      <c r="I722" t="n">
        <v>0</v>
      </c>
      <c r="J722" t="n">
        <v>0</v>
      </c>
      <c r="K722" t="n">
        <v>0</v>
      </c>
      <c r="L722" t="n">
        <v>0</v>
      </c>
      <c r="M722" t="n">
        <v>0</v>
      </c>
      <c r="N722" t="n">
        <v>0</v>
      </c>
      <c r="O722" t="n">
        <v>0</v>
      </c>
      <c r="P722" t="n">
        <v>0</v>
      </c>
      <c r="Q722" t="n">
        <v>0</v>
      </c>
      <c r="R722" s="2" t="inlineStr"/>
    </row>
    <row r="723" ht="15" customHeight="1">
      <c r="A723" t="inlineStr">
        <is>
          <t>A 18389-2022</t>
        </is>
      </c>
      <c r="B723" s="1" t="n">
        <v>44685</v>
      </c>
      <c r="C723" s="1" t="n">
        <v>45915</v>
      </c>
      <c r="D723" t="inlineStr">
        <is>
          <t>VÄRMLANDS LÄN</t>
        </is>
      </c>
      <c r="E723" t="inlineStr">
        <is>
          <t>ÅRJÄNG</t>
        </is>
      </c>
      <c r="G723" t="n">
        <v>11.1</v>
      </c>
      <c r="H723" t="n">
        <v>0</v>
      </c>
      <c r="I723" t="n">
        <v>0</v>
      </c>
      <c r="J723" t="n">
        <v>0</v>
      </c>
      <c r="K723" t="n">
        <v>0</v>
      </c>
      <c r="L723" t="n">
        <v>0</v>
      </c>
      <c r="M723" t="n">
        <v>0</v>
      </c>
      <c r="N723" t="n">
        <v>0</v>
      </c>
      <c r="O723" t="n">
        <v>0</v>
      </c>
      <c r="P723" t="n">
        <v>0</v>
      </c>
      <c r="Q723" t="n">
        <v>0</v>
      </c>
      <c r="R723" s="2" t="inlineStr"/>
    </row>
    <row r="724" ht="15" customHeight="1">
      <c r="A724" t="inlineStr">
        <is>
          <t>A 31063-2025</t>
        </is>
      </c>
      <c r="B724" s="1" t="n">
        <v>45831</v>
      </c>
      <c r="C724" s="1" t="n">
        <v>45915</v>
      </c>
      <c r="D724" t="inlineStr">
        <is>
          <t>VÄRMLANDS LÄN</t>
        </is>
      </c>
      <c r="E724" t="inlineStr">
        <is>
          <t>ÅRJÄNG</t>
        </is>
      </c>
      <c r="G724" t="n">
        <v>0.6</v>
      </c>
      <c r="H724" t="n">
        <v>0</v>
      </c>
      <c r="I724" t="n">
        <v>0</v>
      </c>
      <c r="J724" t="n">
        <v>0</v>
      </c>
      <c r="K724" t="n">
        <v>0</v>
      </c>
      <c r="L724" t="n">
        <v>0</v>
      </c>
      <c r="M724" t="n">
        <v>0</v>
      </c>
      <c r="N724" t="n">
        <v>0</v>
      </c>
      <c r="O724" t="n">
        <v>0</v>
      </c>
      <c r="P724" t="n">
        <v>0</v>
      </c>
      <c r="Q724" t="n">
        <v>0</v>
      </c>
      <c r="R724" s="2" t="inlineStr"/>
    </row>
    <row r="725" ht="15" customHeight="1">
      <c r="A725" t="inlineStr">
        <is>
          <t>A 31073-2025</t>
        </is>
      </c>
      <c r="B725" s="1" t="n">
        <v>45831</v>
      </c>
      <c r="C725" s="1" t="n">
        <v>45915</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12993-2025</t>
        </is>
      </c>
      <c r="B726" s="1" t="n">
        <v>45734.48583333333</v>
      </c>
      <c r="C726" s="1" t="n">
        <v>45915</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29792-2022</t>
        </is>
      </c>
      <c r="B727" s="1" t="n">
        <v>44755.67122685185</v>
      </c>
      <c r="C727" s="1" t="n">
        <v>45915</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30604-2025</t>
        </is>
      </c>
      <c r="B728" s="1" t="n">
        <v>45831.45185185185</v>
      </c>
      <c r="C728" s="1" t="n">
        <v>45915</v>
      </c>
      <c r="D728" t="inlineStr">
        <is>
          <t>VÄRMLANDS LÄN</t>
        </is>
      </c>
      <c r="E728" t="inlineStr">
        <is>
          <t>ÅRJÄNG</t>
        </is>
      </c>
      <c r="G728" t="n">
        <v>6.5</v>
      </c>
      <c r="H728" t="n">
        <v>0</v>
      </c>
      <c r="I728" t="n">
        <v>0</v>
      </c>
      <c r="J728" t="n">
        <v>0</v>
      </c>
      <c r="K728" t="n">
        <v>0</v>
      </c>
      <c r="L728" t="n">
        <v>0</v>
      </c>
      <c r="M728" t="n">
        <v>0</v>
      </c>
      <c r="N728" t="n">
        <v>0</v>
      </c>
      <c r="O728" t="n">
        <v>0</v>
      </c>
      <c r="P728" t="n">
        <v>0</v>
      </c>
      <c r="Q728" t="n">
        <v>0</v>
      </c>
      <c r="R728" s="2" t="inlineStr"/>
    </row>
    <row r="729" ht="15" customHeight="1">
      <c r="A729" t="inlineStr">
        <is>
          <t>A 9630-2025</t>
        </is>
      </c>
      <c r="B729" s="1" t="n">
        <v>45715.71145833333</v>
      </c>
      <c r="C729" s="1" t="n">
        <v>45915</v>
      </c>
      <c r="D729" t="inlineStr">
        <is>
          <t>VÄRMLANDS LÄN</t>
        </is>
      </c>
      <c r="E729" t="inlineStr">
        <is>
          <t>ÅRJÄNG</t>
        </is>
      </c>
      <c r="G729" t="n">
        <v>0.4</v>
      </c>
      <c r="H729" t="n">
        <v>0</v>
      </c>
      <c r="I729" t="n">
        <v>0</v>
      </c>
      <c r="J729" t="n">
        <v>0</v>
      </c>
      <c r="K729" t="n">
        <v>0</v>
      </c>
      <c r="L729" t="n">
        <v>0</v>
      </c>
      <c r="M729" t="n">
        <v>0</v>
      </c>
      <c r="N729" t="n">
        <v>0</v>
      </c>
      <c r="O729" t="n">
        <v>0</v>
      </c>
      <c r="P729" t="n">
        <v>0</v>
      </c>
      <c r="Q729" t="n">
        <v>0</v>
      </c>
      <c r="R729" s="2" t="inlineStr"/>
    </row>
    <row r="730" ht="15" customHeight="1">
      <c r="A730" t="inlineStr">
        <is>
          <t>A 30346-2022</t>
        </is>
      </c>
      <c r="B730" s="1" t="n">
        <v>44760.55734953703</v>
      </c>
      <c r="C730" s="1" t="n">
        <v>45915</v>
      </c>
      <c r="D730" t="inlineStr">
        <is>
          <t>VÄRMLANDS LÄN</t>
        </is>
      </c>
      <c r="E730" t="inlineStr">
        <is>
          <t>ÅRJÄNG</t>
        </is>
      </c>
      <c r="G730" t="n">
        <v>6</v>
      </c>
      <c r="H730" t="n">
        <v>0</v>
      </c>
      <c r="I730" t="n">
        <v>0</v>
      </c>
      <c r="J730" t="n">
        <v>0</v>
      </c>
      <c r="K730" t="n">
        <v>0</v>
      </c>
      <c r="L730" t="n">
        <v>0</v>
      </c>
      <c r="M730" t="n">
        <v>0</v>
      </c>
      <c r="N730" t="n">
        <v>0</v>
      </c>
      <c r="O730" t="n">
        <v>0</v>
      </c>
      <c r="P730" t="n">
        <v>0</v>
      </c>
      <c r="Q730" t="n">
        <v>0</v>
      </c>
      <c r="R730" s="2" t="inlineStr"/>
    </row>
    <row r="731" ht="15" customHeight="1">
      <c r="A731" t="inlineStr">
        <is>
          <t>A 10126-2023</t>
        </is>
      </c>
      <c r="B731" s="1" t="n">
        <v>44980</v>
      </c>
      <c r="C731" s="1" t="n">
        <v>45915</v>
      </c>
      <c r="D731" t="inlineStr">
        <is>
          <t>VÄRMLANDS LÄN</t>
        </is>
      </c>
      <c r="E731" t="inlineStr">
        <is>
          <t>ÅRJÄNG</t>
        </is>
      </c>
      <c r="G731" t="n">
        <v>2</v>
      </c>
      <c r="H731" t="n">
        <v>0</v>
      </c>
      <c r="I731" t="n">
        <v>0</v>
      </c>
      <c r="J731" t="n">
        <v>0</v>
      </c>
      <c r="K731" t="n">
        <v>0</v>
      </c>
      <c r="L731" t="n">
        <v>0</v>
      </c>
      <c r="M731" t="n">
        <v>0</v>
      </c>
      <c r="N731" t="n">
        <v>0</v>
      </c>
      <c r="O731" t="n">
        <v>0</v>
      </c>
      <c r="P731" t="n">
        <v>0</v>
      </c>
      <c r="Q731" t="n">
        <v>0</v>
      </c>
      <c r="R731" s="2" t="inlineStr"/>
    </row>
    <row r="732" ht="15" customHeight="1">
      <c r="A732" t="inlineStr">
        <is>
          <t>A 34889-2022</t>
        </is>
      </c>
      <c r="B732" s="1" t="n">
        <v>44796</v>
      </c>
      <c r="C732" s="1" t="n">
        <v>45915</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14310-2022</t>
        </is>
      </c>
      <c r="B733" s="1" t="n">
        <v>44652</v>
      </c>
      <c r="C733" s="1" t="n">
        <v>45915</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31282-2025</t>
        </is>
      </c>
      <c r="B734" s="1" t="n">
        <v>45833</v>
      </c>
      <c r="C734" s="1" t="n">
        <v>45915</v>
      </c>
      <c r="D734" t="inlineStr">
        <is>
          <t>VÄRMLANDS LÄN</t>
        </is>
      </c>
      <c r="E734" t="inlineStr">
        <is>
          <t>ÅRJÄNG</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31710-2025</t>
        </is>
      </c>
      <c r="B735" s="1" t="n">
        <v>45834.4325462963</v>
      </c>
      <c r="C735" s="1" t="n">
        <v>45915</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14917-2024</t>
        </is>
      </c>
      <c r="B736" s="1" t="n">
        <v>45398</v>
      </c>
      <c r="C736" s="1" t="n">
        <v>45915</v>
      </c>
      <c r="D736" t="inlineStr">
        <is>
          <t>VÄRMLANDS LÄN</t>
        </is>
      </c>
      <c r="E736" t="inlineStr">
        <is>
          <t>ÅRJÄNG</t>
        </is>
      </c>
      <c r="G736" t="n">
        <v>19.9</v>
      </c>
      <c r="H736" t="n">
        <v>0</v>
      </c>
      <c r="I736" t="n">
        <v>0</v>
      </c>
      <c r="J736" t="n">
        <v>0</v>
      </c>
      <c r="K736" t="n">
        <v>0</v>
      </c>
      <c r="L736" t="n">
        <v>0</v>
      </c>
      <c r="M736" t="n">
        <v>0</v>
      </c>
      <c r="N736" t="n">
        <v>0</v>
      </c>
      <c r="O736" t="n">
        <v>0</v>
      </c>
      <c r="P736" t="n">
        <v>0</v>
      </c>
      <c r="Q736" t="n">
        <v>0</v>
      </c>
      <c r="R736" s="2" t="inlineStr"/>
    </row>
    <row r="737" ht="15" customHeight="1">
      <c r="A737" t="inlineStr">
        <is>
          <t>A 14446-2025</t>
        </is>
      </c>
      <c r="B737" s="1" t="n">
        <v>45741.53552083333</v>
      </c>
      <c r="C737" s="1" t="n">
        <v>45915</v>
      </c>
      <c r="D737" t="inlineStr">
        <is>
          <t>VÄRMLANDS LÄN</t>
        </is>
      </c>
      <c r="E737" t="inlineStr">
        <is>
          <t>ÅRJÄNG</t>
        </is>
      </c>
      <c r="G737" t="n">
        <v>4.3</v>
      </c>
      <c r="H737" t="n">
        <v>0</v>
      </c>
      <c r="I737" t="n">
        <v>0</v>
      </c>
      <c r="J737" t="n">
        <v>0</v>
      </c>
      <c r="K737" t="n">
        <v>0</v>
      </c>
      <c r="L737" t="n">
        <v>0</v>
      </c>
      <c r="M737" t="n">
        <v>0</v>
      </c>
      <c r="N737" t="n">
        <v>0</v>
      </c>
      <c r="O737" t="n">
        <v>0</v>
      </c>
      <c r="P737" t="n">
        <v>0</v>
      </c>
      <c r="Q737" t="n">
        <v>0</v>
      </c>
      <c r="R737" s="2" t="inlineStr"/>
    </row>
    <row r="738" ht="15" customHeight="1">
      <c r="A738" t="inlineStr">
        <is>
          <t>A 53793-2024</t>
        </is>
      </c>
      <c r="B738" s="1" t="n">
        <v>45615</v>
      </c>
      <c r="C738" s="1" t="n">
        <v>45915</v>
      </c>
      <c r="D738" t="inlineStr">
        <is>
          <t>VÄRMLANDS LÄN</t>
        </is>
      </c>
      <c r="E738" t="inlineStr">
        <is>
          <t>ÅRJÄNG</t>
        </is>
      </c>
      <c r="G738" t="n">
        <v>4.9</v>
      </c>
      <c r="H738" t="n">
        <v>0</v>
      </c>
      <c r="I738" t="n">
        <v>0</v>
      </c>
      <c r="J738" t="n">
        <v>0</v>
      </c>
      <c r="K738" t="n">
        <v>0</v>
      </c>
      <c r="L738" t="n">
        <v>0</v>
      </c>
      <c r="M738" t="n">
        <v>0</v>
      </c>
      <c r="N738" t="n">
        <v>0</v>
      </c>
      <c r="O738" t="n">
        <v>0</v>
      </c>
      <c r="P738" t="n">
        <v>0</v>
      </c>
      <c r="Q738" t="n">
        <v>0</v>
      </c>
      <c r="R738" s="2" t="inlineStr"/>
    </row>
    <row r="739" ht="15" customHeight="1">
      <c r="A739" t="inlineStr">
        <is>
          <t>A 8833-2025</t>
        </is>
      </c>
      <c r="B739" s="1" t="n">
        <v>45712.91263888889</v>
      </c>
      <c r="C739" s="1" t="n">
        <v>45915</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26265-2024</t>
        </is>
      </c>
      <c r="B740" s="1" t="n">
        <v>45468</v>
      </c>
      <c r="C740" s="1" t="n">
        <v>45915</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64381-2023</t>
        </is>
      </c>
      <c r="B741" s="1" t="n">
        <v>45280</v>
      </c>
      <c r="C741" s="1" t="n">
        <v>45915</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4545-2024</t>
        </is>
      </c>
      <c r="B742" s="1" t="n">
        <v>45327</v>
      </c>
      <c r="C742" s="1" t="n">
        <v>45915</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45915</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45915</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31393-2025</t>
        </is>
      </c>
      <c r="B745" s="1" t="n">
        <v>45833.46305555556</v>
      </c>
      <c r="C745" s="1" t="n">
        <v>45915</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15537-2024</t>
        </is>
      </c>
      <c r="B746" s="1" t="n">
        <v>45401</v>
      </c>
      <c r="C746" s="1" t="n">
        <v>45915</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60975-2022</t>
        </is>
      </c>
      <c r="B747" s="1" t="n">
        <v>44914</v>
      </c>
      <c r="C747" s="1" t="n">
        <v>45915</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39156-2024</t>
        </is>
      </c>
      <c r="B748" s="1" t="n">
        <v>45548.62956018518</v>
      </c>
      <c r="C748" s="1" t="n">
        <v>45915</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37071-2025</t>
        </is>
      </c>
      <c r="B749" s="1" t="n">
        <v>45875.40101851852</v>
      </c>
      <c r="C749" s="1" t="n">
        <v>45915</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37247-2025</t>
        </is>
      </c>
      <c r="B750" s="1" t="n">
        <v>45876.40268518519</v>
      </c>
      <c r="C750" s="1" t="n">
        <v>45915</v>
      </c>
      <c r="D750" t="inlineStr">
        <is>
          <t>VÄRMLANDS LÄN</t>
        </is>
      </c>
      <c r="E750" t="inlineStr">
        <is>
          <t>ÅRJÄNG</t>
        </is>
      </c>
      <c r="G750" t="n">
        <v>2.7</v>
      </c>
      <c r="H750" t="n">
        <v>0</v>
      </c>
      <c r="I750" t="n">
        <v>0</v>
      </c>
      <c r="J750" t="n">
        <v>0</v>
      </c>
      <c r="K750" t="n">
        <v>0</v>
      </c>
      <c r="L750" t="n">
        <v>0</v>
      </c>
      <c r="M750" t="n">
        <v>0</v>
      </c>
      <c r="N750" t="n">
        <v>0</v>
      </c>
      <c r="O750" t="n">
        <v>0</v>
      </c>
      <c r="P750" t="n">
        <v>0</v>
      </c>
      <c r="Q750" t="n">
        <v>0</v>
      </c>
      <c r="R750" s="2" t="inlineStr"/>
    </row>
    <row r="751" ht="15" customHeight="1">
      <c r="A751" t="inlineStr">
        <is>
          <t>A 47332-2022</t>
        </is>
      </c>
      <c r="B751" s="1" t="n">
        <v>44853</v>
      </c>
      <c r="C751" s="1" t="n">
        <v>45915</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45915</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8685-2024</t>
        </is>
      </c>
      <c r="B753" s="1" t="n">
        <v>45356</v>
      </c>
      <c r="C753" s="1" t="n">
        <v>45915</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37402-2025</t>
        </is>
      </c>
      <c r="B754" s="1" t="n">
        <v>45877</v>
      </c>
      <c r="C754" s="1" t="n">
        <v>45915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49057-2024</t>
        </is>
      </c>
      <c r="B755" s="1" t="n">
        <v>45594</v>
      </c>
      <c r="C755" s="1" t="n">
        <v>45915</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64690-2023</t>
        </is>
      </c>
      <c r="B756" s="1" t="n">
        <v>45281.63434027778</v>
      </c>
      <c r="C756" s="1" t="n">
        <v>45915</v>
      </c>
      <c r="D756" t="inlineStr">
        <is>
          <t>VÄRMLANDS LÄN</t>
        </is>
      </c>
      <c r="E756" t="inlineStr">
        <is>
          <t>ÅRJÄNG</t>
        </is>
      </c>
      <c r="G756" t="n">
        <v>2.1</v>
      </c>
      <c r="H756" t="n">
        <v>0</v>
      </c>
      <c r="I756" t="n">
        <v>0</v>
      </c>
      <c r="J756" t="n">
        <v>0</v>
      </c>
      <c r="K756" t="n">
        <v>0</v>
      </c>
      <c r="L756" t="n">
        <v>0</v>
      </c>
      <c r="M756" t="n">
        <v>0</v>
      </c>
      <c r="N756" t="n">
        <v>0</v>
      </c>
      <c r="O756" t="n">
        <v>0</v>
      </c>
      <c r="P756" t="n">
        <v>0</v>
      </c>
      <c r="Q756" t="n">
        <v>0</v>
      </c>
      <c r="R756" s="2" t="inlineStr"/>
    </row>
    <row r="757" ht="15" customHeight="1">
      <c r="A757" t="inlineStr">
        <is>
          <t>A 9489-2025</t>
        </is>
      </c>
      <c r="B757" s="1" t="n">
        <v>45715</v>
      </c>
      <c r="C757" s="1" t="n">
        <v>45915</v>
      </c>
      <c r="D757" t="inlineStr">
        <is>
          <t>VÄRMLANDS LÄN</t>
        </is>
      </c>
      <c r="E757" t="inlineStr">
        <is>
          <t>ÅRJÄNG</t>
        </is>
      </c>
      <c r="G757" t="n">
        <v>2.1</v>
      </c>
      <c r="H757" t="n">
        <v>0</v>
      </c>
      <c r="I757" t="n">
        <v>0</v>
      </c>
      <c r="J757" t="n">
        <v>0</v>
      </c>
      <c r="K757" t="n">
        <v>0</v>
      </c>
      <c r="L757" t="n">
        <v>0</v>
      </c>
      <c r="M757" t="n">
        <v>0</v>
      </c>
      <c r="N757" t="n">
        <v>0</v>
      </c>
      <c r="O757" t="n">
        <v>0</v>
      </c>
      <c r="P757" t="n">
        <v>0</v>
      </c>
      <c r="Q757" t="n">
        <v>0</v>
      </c>
      <c r="R757" s="2" t="inlineStr"/>
    </row>
    <row r="758" ht="15" customHeight="1">
      <c r="A758" t="inlineStr">
        <is>
          <t>A 7574-2024</t>
        </is>
      </c>
      <c r="B758" s="1" t="n">
        <v>45348</v>
      </c>
      <c r="C758" s="1" t="n">
        <v>45915</v>
      </c>
      <c r="D758" t="inlineStr">
        <is>
          <t>VÄRMLANDS LÄN</t>
        </is>
      </c>
      <c r="E758" t="inlineStr">
        <is>
          <t>ÅRJÄNG</t>
        </is>
      </c>
      <c r="G758" t="n">
        <v>4.6</v>
      </c>
      <c r="H758" t="n">
        <v>0</v>
      </c>
      <c r="I758" t="n">
        <v>0</v>
      </c>
      <c r="J758" t="n">
        <v>0</v>
      </c>
      <c r="K758" t="n">
        <v>0</v>
      </c>
      <c r="L758" t="n">
        <v>0</v>
      </c>
      <c r="M758" t="n">
        <v>0</v>
      </c>
      <c r="N758" t="n">
        <v>0</v>
      </c>
      <c r="O758" t="n">
        <v>0</v>
      </c>
      <c r="P758" t="n">
        <v>0</v>
      </c>
      <c r="Q758" t="n">
        <v>0</v>
      </c>
      <c r="R758" s="2" t="inlineStr"/>
    </row>
    <row r="759" ht="15" customHeight="1">
      <c r="A759" t="inlineStr">
        <is>
          <t>A 60886-2023</t>
        </is>
      </c>
      <c r="B759" s="1" t="n">
        <v>45261</v>
      </c>
      <c r="C759" s="1" t="n">
        <v>45915</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31622-2024</t>
        </is>
      </c>
      <c r="B760" s="1" t="n">
        <v>45506</v>
      </c>
      <c r="C760" s="1" t="n">
        <v>45915</v>
      </c>
      <c r="D760" t="inlineStr">
        <is>
          <t>VÄRMLANDS LÄN</t>
        </is>
      </c>
      <c r="E760" t="inlineStr">
        <is>
          <t>ÅRJÄNG</t>
        </is>
      </c>
      <c r="G760" t="n">
        <v>4</v>
      </c>
      <c r="H760" t="n">
        <v>0</v>
      </c>
      <c r="I760" t="n">
        <v>0</v>
      </c>
      <c r="J760" t="n">
        <v>0</v>
      </c>
      <c r="K760" t="n">
        <v>0</v>
      </c>
      <c r="L760" t="n">
        <v>0</v>
      </c>
      <c r="M760" t="n">
        <v>0</v>
      </c>
      <c r="N760" t="n">
        <v>0</v>
      </c>
      <c r="O760" t="n">
        <v>0</v>
      </c>
      <c r="P760" t="n">
        <v>0</v>
      </c>
      <c r="Q760" t="n">
        <v>0</v>
      </c>
      <c r="R760" s="2" t="inlineStr"/>
    </row>
    <row r="761" ht="15" customHeight="1">
      <c r="A761" t="inlineStr">
        <is>
          <t>A 24216-2024</t>
        </is>
      </c>
      <c r="B761" s="1" t="n">
        <v>45457</v>
      </c>
      <c r="C761" s="1" t="n">
        <v>45915</v>
      </c>
      <c r="D761" t="inlineStr">
        <is>
          <t>VÄRMLANDS LÄN</t>
        </is>
      </c>
      <c r="E761" t="inlineStr">
        <is>
          <t>ÅRJÄNG</t>
        </is>
      </c>
      <c r="G761" t="n">
        <v>2</v>
      </c>
      <c r="H761" t="n">
        <v>0</v>
      </c>
      <c r="I761" t="n">
        <v>0</v>
      </c>
      <c r="J761" t="n">
        <v>0</v>
      </c>
      <c r="K761" t="n">
        <v>0</v>
      </c>
      <c r="L761" t="n">
        <v>0</v>
      </c>
      <c r="M761" t="n">
        <v>0</v>
      </c>
      <c r="N761" t="n">
        <v>0</v>
      </c>
      <c r="O761" t="n">
        <v>0</v>
      </c>
      <c r="P761" t="n">
        <v>0</v>
      </c>
      <c r="Q761" t="n">
        <v>0</v>
      </c>
      <c r="R761" s="2" t="inlineStr"/>
    </row>
    <row r="762" ht="15" customHeight="1">
      <c r="A762" t="inlineStr">
        <is>
          <t>A 37419-2025</t>
        </is>
      </c>
      <c r="B762" s="1" t="n">
        <v>45877</v>
      </c>
      <c r="C762" s="1" t="n">
        <v>45915</v>
      </c>
      <c r="D762" t="inlineStr">
        <is>
          <t>VÄRMLANDS LÄN</t>
        </is>
      </c>
      <c r="E762" t="inlineStr">
        <is>
          <t>ÅRJÄNG</t>
        </is>
      </c>
      <c r="G762" t="n">
        <v>4.9</v>
      </c>
      <c r="H762" t="n">
        <v>0</v>
      </c>
      <c r="I762" t="n">
        <v>0</v>
      </c>
      <c r="J762" t="n">
        <v>0</v>
      </c>
      <c r="K762" t="n">
        <v>0</v>
      </c>
      <c r="L762" t="n">
        <v>0</v>
      </c>
      <c r="M762" t="n">
        <v>0</v>
      </c>
      <c r="N762" t="n">
        <v>0</v>
      </c>
      <c r="O762" t="n">
        <v>0</v>
      </c>
      <c r="P762" t="n">
        <v>0</v>
      </c>
      <c r="Q762" t="n">
        <v>0</v>
      </c>
      <c r="R762" s="2" t="inlineStr"/>
    </row>
    <row r="763" ht="15" customHeight="1">
      <c r="A763" t="inlineStr">
        <is>
          <t>A 19621-2025</t>
        </is>
      </c>
      <c r="B763" s="1" t="n">
        <v>45770</v>
      </c>
      <c r="C763" s="1" t="n">
        <v>45915</v>
      </c>
      <c r="D763" t="inlineStr">
        <is>
          <t>VÄRMLANDS LÄN</t>
        </is>
      </c>
      <c r="E763" t="inlineStr">
        <is>
          <t>ÅRJÄNG</t>
        </is>
      </c>
      <c r="F763" t="inlineStr">
        <is>
          <t>Övriga Aktiebolag</t>
        </is>
      </c>
      <c r="G763" t="n">
        <v>7.7</v>
      </c>
      <c r="H763" t="n">
        <v>0</v>
      </c>
      <c r="I763" t="n">
        <v>0</v>
      </c>
      <c r="J763" t="n">
        <v>0</v>
      </c>
      <c r="K763" t="n">
        <v>0</v>
      </c>
      <c r="L763" t="n">
        <v>0</v>
      </c>
      <c r="M763" t="n">
        <v>0</v>
      </c>
      <c r="N763" t="n">
        <v>0</v>
      </c>
      <c r="O763" t="n">
        <v>0</v>
      </c>
      <c r="P763" t="n">
        <v>0</v>
      </c>
      <c r="Q763" t="n">
        <v>0</v>
      </c>
      <c r="R763" s="2" t="inlineStr"/>
    </row>
    <row r="764" ht="15" customHeight="1">
      <c r="A764" t="inlineStr">
        <is>
          <t>A 48389-2021</t>
        </is>
      </c>
      <c r="B764" s="1" t="n">
        <v>44452.26943287037</v>
      </c>
      <c r="C764" s="1" t="n">
        <v>45915</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32321-2025</t>
        </is>
      </c>
      <c r="B765" s="1" t="n">
        <v>45836</v>
      </c>
      <c r="C765" s="1" t="n">
        <v>45915</v>
      </c>
      <c r="D765" t="inlineStr">
        <is>
          <t>VÄRMLANDS LÄN</t>
        </is>
      </c>
      <c r="E765" t="inlineStr">
        <is>
          <t>ÅRJÄNG</t>
        </is>
      </c>
      <c r="G765" t="n">
        <v>2.4</v>
      </c>
      <c r="H765" t="n">
        <v>0</v>
      </c>
      <c r="I765" t="n">
        <v>0</v>
      </c>
      <c r="J765" t="n">
        <v>0</v>
      </c>
      <c r="K765" t="n">
        <v>0</v>
      </c>
      <c r="L765" t="n">
        <v>0</v>
      </c>
      <c r="M765" t="n">
        <v>0</v>
      </c>
      <c r="N765" t="n">
        <v>0</v>
      </c>
      <c r="O765" t="n">
        <v>0</v>
      </c>
      <c r="P765" t="n">
        <v>0</v>
      </c>
      <c r="Q765" t="n">
        <v>0</v>
      </c>
      <c r="R765" s="2" t="inlineStr"/>
    </row>
    <row r="766" ht="15" customHeight="1">
      <c r="A766" t="inlineStr">
        <is>
          <t>A 32330-2025</t>
        </is>
      </c>
      <c r="B766" s="1" t="n">
        <v>45836.50547453704</v>
      </c>
      <c r="C766" s="1" t="n">
        <v>45915</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32324-2025</t>
        </is>
      </c>
      <c r="B767" s="1" t="n">
        <v>45836.43634259259</v>
      </c>
      <c r="C767" s="1" t="n">
        <v>45915</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45915</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9662-2024</t>
        </is>
      </c>
      <c r="B769" s="1" t="n">
        <v>45362.43423611111</v>
      </c>
      <c r="C769" s="1" t="n">
        <v>45915</v>
      </c>
      <c r="D769" t="inlineStr">
        <is>
          <t>VÄRMLANDS LÄN</t>
        </is>
      </c>
      <c r="E769" t="inlineStr">
        <is>
          <t>ÅRJÄNG</t>
        </is>
      </c>
      <c r="G769" t="n">
        <v>5.7</v>
      </c>
      <c r="H769" t="n">
        <v>0</v>
      </c>
      <c r="I769" t="n">
        <v>0</v>
      </c>
      <c r="J769" t="n">
        <v>0</v>
      </c>
      <c r="K769" t="n">
        <v>0</v>
      </c>
      <c r="L769" t="n">
        <v>0</v>
      </c>
      <c r="M769" t="n">
        <v>0</v>
      </c>
      <c r="N769" t="n">
        <v>0</v>
      </c>
      <c r="O769" t="n">
        <v>0</v>
      </c>
      <c r="P769" t="n">
        <v>0</v>
      </c>
      <c r="Q769" t="n">
        <v>0</v>
      </c>
      <c r="R769" s="2" t="inlineStr"/>
    </row>
    <row r="770" ht="15" customHeight="1">
      <c r="A770" t="inlineStr">
        <is>
          <t>A 7794-2024</t>
        </is>
      </c>
      <c r="B770" s="1" t="n">
        <v>45349</v>
      </c>
      <c r="C770" s="1" t="n">
        <v>45915</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45915</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37420-2025</t>
        </is>
      </c>
      <c r="B772" s="1" t="n">
        <v>45877</v>
      </c>
      <c r="C772" s="1" t="n">
        <v>45915</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50112-2024</t>
        </is>
      </c>
      <c r="B773" s="1" t="n">
        <v>45600</v>
      </c>
      <c r="C773" s="1" t="n">
        <v>45915</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18388-2025</t>
        </is>
      </c>
      <c r="B774" s="1" t="n">
        <v>45762</v>
      </c>
      <c r="C774" s="1" t="n">
        <v>45915</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37680-2025</t>
        </is>
      </c>
      <c r="B775" s="1" t="n">
        <v>45880.54208333333</v>
      </c>
      <c r="C775" s="1" t="n">
        <v>45915</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32326-2025</t>
        </is>
      </c>
      <c r="B776" s="1" t="n">
        <v>45836.44392361111</v>
      </c>
      <c r="C776" s="1" t="n">
        <v>45915</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56168-2024</t>
        </is>
      </c>
      <c r="B777" s="1" t="n">
        <v>45623</v>
      </c>
      <c r="C777" s="1" t="n">
        <v>45915</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1912-2024</t>
        </is>
      </c>
      <c r="B778" s="1" t="n">
        <v>45308</v>
      </c>
      <c r="C778" s="1" t="n">
        <v>45915</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38167-2022</t>
        </is>
      </c>
      <c r="B779" s="1" t="n">
        <v>44812</v>
      </c>
      <c r="C779" s="1" t="n">
        <v>45915</v>
      </c>
      <c r="D779" t="inlineStr">
        <is>
          <t>VÄRMLANDS LÄN</t>
        </is>
      </c>
      <c r="E779" t="inlineStr">
        <is>
          <t>ÅRJÄNG</t>
        </is>
      </c>
      <c r="G779" t="n">
        <v>10.5</v>
      </c>
      <c r="H779" t="n">
        <v>0</v>
      </c>
      <c r="I779" t="n">
        <v>0</v>
      </c>
      <c r="J779" t="n">
        <v>0</v>
      </c>
      <c r="K779" t="n">
        <v>0</v>
      </c>
      <c r="L779" t="n">
        <v>0</v>
      </c>
      <c r="M779" t="n">
        <v>0</v>
      </c>
      <c r="N779" t="n">
        <v>0</v>
      </c>
      <c r="O779" t="n">
        <v>0</v>
      </c>
      <c r="P779" t="n">
        <v>0</v>
      </c>
      <c r="Q779" t="n">
        <v>0</v>
      </c>
      <c r="R779" s="2" t="inlineStr"/>
    </row>
    <row r="780" ht="15" customHeight="1">
      <c r="A780" t="inlineStr">
        <is>
          <t>A 57161-2024</t>
        </is>
      </c>
      <c r="B780" s="1" t="n">
        <v>45628</v>
      </c>
      <c r="C780" s="1" t="n">
        <v>45915</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60202-2023</t>
        </is>
      </c>
      <c r="B781" s="1" t="n">
        <v>45257</v>
      </c>
      <c r="C781" s="1" t="n">
        <v>45915</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42236-2024</t>
        </is>
      </c>
      <c r="B782" s="1" t="n">
        <v>45562</v>
      </c>
      <c r="C782" s="1" t="n">
        <v>45915</v>
      </c>
      <c r="D782" t="inlineStr">
        <is>
          <t>VÄRMLANDS LÄN</t>
        </is>
      </c>
      <c r="E782" t="inlineStr">
        <is>
          <t>ÅRJÄNG</t>
        </is>
      </c>
      <c r="G782" t="n">
        <v>3</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45915</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51260-2024</t>
        </is>
      </c>
      <c r="B784" s="1" t="n">
        <v>45602</v>
      </c>
      <c r="C784" s="1" t="n">
        <v>45915</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41205-2024</t>
        </is>
      </c>
      <c r="B785" s="1" t="n">
        <v>45559</v>
      </c>
      <c r="C785" s="1" t="n">
        <v>45915</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29570-2023</t>
        </is>
      </c>
      <c r="B786" s="1" t="n">
        <v>45106.6989699074</v>
      </c>
      <c r="C786" s="1" t="n">
        <v>45915</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52382-2024</t>
        </is>
      </c>
      <c r="B787" s="1" t="n">
        <v>45608</v>
      </c>
      <c r="C787" s="1" t="n">
        <v>45915</v>
      </c>
      <c r="D787" t="inlineStr">
        <is>
          <t>VÄRMLANDS LÄN</t>
        </is>
      </c>
      <c r="E787" t="inlineStr">
        <is>
          <t>ÅRJÄNG</t>
        </is>
      </c>
      <c r="G787" t="n">
        <v>8.9</v>
      </c>
      <c r="H787" t="n">
        <v>0</v>
      </c>
      <c r="I787" t="n">
        <v>0</v>
      </c>
      <c r="J787" t="n">
        <v>0</v>
      </c>
      <c r="K787" t="n">
        <v>0</v>
      </c>
      <c r="L787" t="n">
        <v>0</v>
      </c>
      <c r="M787" t="n">
        <v>0</v>
      </c>
      <c r="N787" t="n">
        <v>0</v>
      </c>
      <c r="O787" t="n">
        <v>0</v>
      </c>
      <c r="P787" t="n">
        <v>0</v>
      </c>
      <c r="Q787" t="n">
        <v>0</v>
      </c>
      <c r="R787" s="2" t="inlineStr"/>
    </row>
    <row r="788" ht="15" customHeight="1">
      <c r="A788" t="inlineStr">
        <is>
          <t>A 46096-2021</t>
        </is>
      </c>
      <c r="B788" s="1" t="n">
        <v>44442</v>
      </c>
      <c r="C788" s="1" t="n">
        <v>45915</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32920-2025</t>
        </is>
      </c>
      <c r="B789" s="1" t="n">
        <v>45839</v>
      </c>
      <c r="C789" s="1" t="n">
        <v>45915</v>
      </c>
      <c r="D789" t="inlineStr">
        <is>
          <t>VÄRMLANDS LÄN</t>
        </is>
      </c>
      <c r="E789" t="inlineStr">
        <is>
          <t>ÅRJÄNG</t>
        </is>
      </c>
      <c r="G789" t="n">
        <v>4.8</v>
      </c>
      <c r="H789" t="n">
        <v>0</v>
      </c>
      <c r="I789" t="n">
        <v>0</v>
      </c>
      <c r="J789" t="n">
        <v>0</v>
      </c>
      <c r="K789" t="n">
        <v>0</v>
      </c>
      <c r="L789" t="n">
        <v>0</v>
      </c>
      <c r="M789" t="n">
        <v>0</v>
      </c>
      <c r="N789" t="n">
        <v>0</v>
      </c>
      <c r="O789" t="n">
        <v>0</v>
      </c>
      <c r="P789" t="n">
        <v>0</v>
      </c>
      <c r="Q789" t="n">
        <v>0</v>
      </c>
      <c r="R789" s="2" t="inlineStr"/>
    </row>
    <row r="790" ht="15" customHeight="1">
      <c r="A790" t="inlineStr">
        <is>
          <t>A 56917-2024</t>
        </is>
      </c>
      <c r="B790" s="1" t="n">
        <v>45628</v>
      </c>
      <c r="C790" s="1" t="n">
        <v>45915</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46318-2024</t>
        </is>
      </c>
      <c r="B791" s="1" t="n">
        <v>45581.75744212963</v>
      </c>
      <c r="C791" s="1" t="n">
        <v>45915</v>
      </c>
      <c r="D791" t="inlineStr">
        <is>
          <t>VÄRMLANDS LÄN</t>
        </is>
      </c>
      <c r="E791" t="inlineStr">
        <is>
          <t>ÅRJÄNG</t>
        </is>
      </c>
      <c r="G791" t="n">
        <v>2.5</v>
      </c>
      <c r="H791" t="n">
        <v>0</v>
      </c>
      <c r="I791" t="n">
        <v>0</v>
      </c>
      <c r="J791" t="n">
        <v>0</v>
      </c>
      <c r="K791" t="n">
        <v>0</v>
      </c>
      <c r="L791" t="n">
        <v>0</v>
      </c>
      <c r="M791" t="n">
        <v>0</v>
      </c>
      <c r="N791" t="n">
        <v>0</v>
      </c>
      <c r="O791" t="n">
        <v>0</v>
      </c>
      <c r="P791" t="n">
        <v>0</v>
      </c>
      <c r="Q791" t="n">
        <v>0</v>
      </c>
      <c r="R791" s="2" t="inlineStr"/>
    </row>
    <row r="792" ht="15" customHeight="1">
      <c r="A792" t="inlineStr">
        <is>
          <t>A 18796-2023</t>
        </is>
      </c>
      <c r="B792" s="1" t="n">
        <v>45044.31065972222</v>
      </c>
      <c r="C792" s="1" t="n">
        <v>45915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65849-2021</t>
        </is>
      </c>
      <c r="B793" s="1" t="n">
        <v>44517</v>
      </c>
      <c r="C793" s="1" t="n">
        <v>45915</v>
      </c>
      <c r="D793" t="inlineStr">
        <is>
          <t>VÄRMLANDS LÄN</t>
        </is>
      </c>
      <c r="E793" t="inlineStr">
        <is>
          <t>ÅRJÄNG</t>
        </is>
      </c>
      <c r="G793" t="n">
        <v>3.3</v>
      </c>
      <c r="H793" t="n">
        <v>0</v>
      </c>
      <c r="I793" t="n">
        <v>0</v>
      </c>
      <c r="J793" t="n">
        <v>0</v>
      </c>
      <c r="K793" t="n">
        <v>0</v>
      </c>
      <c r="L793" t="n">
        <v>0</v>
      </c>
      <c r="M793" t="n">
        <v>0</v>
      </c>
      <c r="N793" t="n">
        <v>0</v>
      </c>
      <c r="O793" t="n">
        <v>0</v>
      </c>
      <c r="P793" t="n">
        <v>0</v>
      </c>
      <c r="Q793" t="n">
        <v>0</v>
      </c>
      <c r="R793" s="2" t="inlineStr"/>
    </row>
    <row r="794" ht="15" customHeight="1">
      <c r="A794" t="inlineStr">
        <is>
          <t>A 53123-2024</t>
        </is>
      </c>
      <c r="B794" s="1" t="n">
        <v>45611.58819444444</v>
      </c>
      <c r="C794" s="1" t="n">
        <v>45915</v>
      </c>
      <c r="D794" t="inlineStr">
        <is>
          <t>VÄRMLANDS LÄN</t>
        </is>
      </c>
      <c r="E794" t="inlineStr">
        <is>
          <t>ÅRJÄNG</t>
        </is>
      </c>
      <c r="F794" t="inlineStr">
        <is>
          <t>Bergvik skog väst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10338-2024</t>
        </is>
      </c>
      <c r="B795" s="1" t="n">
        <v>45365.58712962963</v>
      </c>
      <c r="C795" s="1" t="n">
        <v>45915</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51895-2022</t>
        </is>
      </c>
      <c r="B796" s="1" t="n">
        <v>44872.61237268519</v>
      </c>
      <c r="C796" s="1" t="n">
        <v>45915</v>
      </c>
      <c r="D796" t="inlineStr">
        <is>
          <t>VÄRMLANDS LÄN</t>
        </is>
      </c>
      <c r="E796" t="inlineStr">
        <is>
          <t>ÅRJÄNG</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1153-2023</t>
        </is>
      </c>
      <c r="B797" s="1" t="n">
        <v>44935</v>
      </c>
      <c r="C797" s="1" t="n">
        <v>45915</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11265-2021</t>
        </is>
      </c>
      <c r="B798" s="1" t="n">
        <v>44263.44670138889</v>
      </c>
      <c r="C798" s="1" t="n">
        <v>45915</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32730-2025</t>
        </is>
      </c>
      <c r="B799" s="1" t="n">
        <v>45839.40315972222</v>
      </c>
      <c r="C799" s="1" t="n">
        <v>45915</v>
      </c>
      <c r="D799" t="inlineStr">
        <is>
          <t>VÄRMLANDS LÄN</t>
        </is>
      </c>
      <c r="E799" t="inlineStr">
        <is>
          <t>ÅRJÄNG</t>
        </is>
      </c>
      <c r="F799" t="inlineStr">
        <is>
          <t>Kyrkan</t>
        </is>
      </c>
      <c r="G799" t="n">
        <v>5.9</v>
      </c>
      <c r="H799" t="n">
        <v>0</v>
      </c>
      <c r="I799" t="n">
        <v>0</v>
      </c>
      <c r="J799" t="n">
        <v>0</v>
      </c>
      <c r="K799" t="n">
        <v>0</v>
      </c>
      <c r="L799" t="n">
        <v>0</v>
      </c>
      <c r="M799" t="n">
        <v>0</v>
      </c>
      <c r="N799" t="n">
        <v>0</v>
      </c>
      <c r="O799" t="n">
        <v>0</v>
      </c>
      <c r="P799" t="n">
        <v>0</v>
      </c>
      <c r="Q799" t="n">
        <v>0</v>
      </c>
      <c r="R799" s="2" t="inlineStr"/>
    </row>
    <row r="800" ht="15" customHeight="1">
      <c r="A800" t="inlineStr">
        <is>
          <t>A 13647-2025</t>
        </is>
      </c>
      <c r="B800" s="1" t="n">
        <v>45736.69149305556</v>
      </c>
      <c r="C800" s="1" t="n">
        <v>45915</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5256-2023</t>
        </is>
      </c>
      <c r="B801" s="1" t="n">
        <v>44959.45520833333</v>
      </c>
      <c r="C801" s="1" t="n">
        <v>45915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40447-2022</t>
        </is>
      </c>
      <c r="B802" s="1" t="n">
        <v>44823</v>
      </c>
      <c r="C802" s="1" t="n">
        <v>45915</v>
      </c>
      <c r="D802" t="inlineStr">
        <is>
          <t>VÄRMLANDS LÄN</t>
        </is>
      </c>
      <c r="E802" t="inlineStr">
        <is>
          <t>ÅRJÄNG</t>
        </is>
      </c>
      <c r="G802" t="n">
        <v>10.4</v>
      </c>
      <c r="H802" t="n">
        <v>0</v>
      </c>
      <c r="I802" t="n">
        <v>0</v>
      </c>
      <c r="J802" t="n">
        <v>0</v>
      </c>
      <c r="K802" t="n">
        <v>0</v>
      </c>
      <c r="L802" t="n">
        <v>0</v>
      </c>
      <c r="M802" t="n">
        <v>0</v>
      </c>
      <c r="N802" t="n">
        <v>0</v>
      </c>
      <c r="O802" t="n">
        <v>0</v>
      </c>
      <c r="P802" t="n">
        <v>0</v>
      </c>
      <c r="Q802" t="n">
        <v>0</v>
      </c>
      <c r="R802" s="2" t="inlineStr"/>
    </row>
    <row r="803" ht="15" customHeight="1">
      <c r="A803" t="inlineStr">
        <is>
          <t>A 57142-2024</t>
        </is>
      </c>
      <c r="B803" s="1" t="n">
        <v>45628</v>
      </c>
      <c r="C803" s="1" t="n">
        <v>45915</v>
      </c>
      <c r="D803" t="inlineStr">
        <is>
          <t>VÄRMLANDS LÄN</t>
        </is>
      </c>
      <c r="E803" t="inlineStr">
        <is>
          <t>ÅRJÄNG</t>
        </is>
      </c>
      <c r="G803" t="n">
        <v>5.4</v>
      </c>
      <c r="H803" t="n">
        <v>0</v>
      </c>
      <c r="I803" t="n">
        <v>0</v>
      </c>
      <c r="J803" t="n">
        <v>0</v>
      </c>
      <c r="K803" t="n">
        <v>0</v>
      </c>
      <c r="L803" t="n">
        <v>0</v>
      </c>
      <c r="M803" t="n">
        <v>0</v>
      </c>
      <c r="N803" t="n">
        <v>0</v>
      </c>
      <c r="O803" t="n">
        <v>0</v>
      </c>
      <c r="P803" t="n">
        <v>0</v>
      </c>
      <c r="Q803" t="n">
        <v>0</v>
      </c>
      <c r="R803" s="2" t="inlineStr"/>
    </row>
    <row r="804" ht="15" customHeight="1">
      <c r="A804" t="inlineStr">
        <is>
          <t>A 37484-2025</t>
        </is>
      </c>
      <c r="B804" s="1" t="n">
        <v>45877</v>
      </c>
      <c r="C804" s="1" t="n">
        <v>45915</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14340-2023</t>
        </is>
      </c>
      <c r="B805" s="1" t="n">
        <v>45012.36368055556</v>
      </c>
      <c r="C805" s="1" t="n">
        <v>45915</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59624-2022</t>
        </is>
      </c>
      <c r="B806" s="1" t="n">
        <v>44907.90521990741</v>
      </c>
      <c r="C806" s="1" t="n">
        <v>45915</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49795-2024</t>
        </is>
      </c>
      <c r="B807" s="1" t="n">
        <v>45597.3713425926</v>
      </c>
      <c r="C807" s="1" t="n">
        <v>45915</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24342-2024</t>
        </is>
      </c>
      <c r="B808" s="1" t="n">
        <v>45457</v>
      </c>
      <c r="C808" s="1" t="n">
        <v>45915</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2116-2025</t>
        </is>
      </c>
      <c r="B809" s="1" t="n">
        <v>45672</v>
      </c>
      <c r="C809" s="1" t="n">
        <v>45915</v>
      </c>
      <c r="D809" t="inlineStr">
        <is>
          <t>VÄRMLANDS LÄN</t>
        </is>
      </c>
      <c r="E809" t="inlineStr">
        <is>
          <t>ÅRJÄNG</t>
        </is>
      </c>
      <c r="G809" t="n">
        <v>3.8</v>
      </c>
      <c r="H809" t="n">
        <v>0</v>
      </c>
      <c r="I809" t="n">
        <v>0</v>
      </c>
      <c r="J809" t="n">
        <v>0</v>
      </c>
      <c r="K809" t="n">
        <v>0</v>
      </c>
      <c r="L809" t="n">
        <v>0</v>
      </c>
      <c r="M809" t="n">
        <v>0</v>
      </c>
      <c r="N809" t="n">
        <v>0</v>
      </c>
      <c r="O809" t="n">
        <v>0</v>
      </c>
      <c r="P809" t="n">
        <v>0</v>
      </c>
      <c r="Q809" t="n">
        <v>0</v>
      </c>
      <c r="R809" s="2" t="inlineStr"/>
    </row>
    <row r="810" ht="15" customHeight="1">
      <c r="A810" t="inlineStr">
        <is>
          <t>A 53726-2021</t>
        </is>
      </c>
      <c r="B810" s="1" t="n">
        <v>44469.51079861111</v>
      </c>
      <c r="C810" s="1" t="n">
        <v>45915</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64229-2023</t>
        </is>
      </c>
      <c r="B811" s="1" t="n">
        <v>45279</v>
      </c>
      <c r="C811" s="1" t="n">
        <v>45915</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33237-2025</t>
        </is>
      </c>
      <c r="B812" s="1" t="n">
        <v>45840</v>
      </c>
      <c r="C812" s="1" t="n">
        <v>45915</v>
      </c>
      <c r="D812" t="inlineStr">
        <is>
          <t>VÄRMLANDS LÄN</t>
        </is>
      </c>
      <c r="E812" t="inlineStr">
        <is>
          <t>ÅRJÄNG</t>
        </is>
      </c>
      <c r="G812" t="n">
        <v>5.2</v>
      </c>
      <c r="H812" t="n">
        <v>0</v>
      </c>
      <c r="I812" t="n">
        <v>0</v>
      </c>
      <c r="J812" t="n">
        <v>0</v>
      </c>
      <c r="K812" t="n">
        <v>0</v>
      </c>
      <c r="L812" t="n">
        <v>0</v>
      </c>
      <c r="M812" t="n">
        <v>0</v>
      </c>
      <c r="N812" t="n">
        <v>0</v>
      </c>
      <c r="O812" t="n">
        <v>0</v>
      </c>
      <c r="P812" t="n">
        <v>0</v>
      </c>
      <c r="Q812" t="n">
        <v>0</v>
      </c>
      <c r="R812" s="2" t="inlineStr"/>
    </row>
    <row r="813" ht="15" customHeight="1">
      <c r="A813" t="inlineStr">
        <is>
          <t>A 32924-2025</t>
        </is>
      </c>
      <c r="B813" s="1" t="n">
        <v>45839.65589120371</v>
      </c>
      <c r="C813" s="1" t="n">
        <v>45915</v>
      </c>
      <c r="D813" t="inlineStr">
        <is>
          <t>VÄRMLANDS LÄN</t>
        </is>
      </c>
      <c r="E813" t="inlineStr">
        <is>
          <t>ÅRJÄNG</t>
        </is>
      </c>
      <c r="G813" t="n">
        <v>4.5</v>
      </c>
      <c r="H813" t="n">
        <v>0</v>
      </c>
      <c r="I813" t="n">
        <v>0</v>
      </c>
      <c r="J813" t="n">
        <v>0</v>
      </c>
      <c r="K813" t="n">
        <v>0</v>
      </c>
      <c r="L813" t="n">
        <v>0</v>
      </c>
      <c r="M813" t="n">
        <v>0</v>
      </c>
      <c r="N813" t="n">
        <v>0</v>
      </c>
      <c r="O813" t="n">
        <v>0</v>
      </c>
      <c r="P813" t="n">
        <v>0</v>
      </c>
      <c r="Q813" t="n">
        <v>0</v>
      </c>
      <c r="R813" s="2" t="inlineStr"/>
    </row>
    <row r="814" ht="15" customHeight="1">
      <c r="A814" t="inlineStr">
        <is>
          <t>A 37510-2025</t>
        </is>
      </c>
      <c r="B814" s="1" t="n">
        <v>45877</v>
      </c>
      <c r="C814" s="1" t="n">
        <v>45915</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13157-2024</t>
        </is>
      </c>
      <c r="B815" s="1" t="n">
        <v>45386</v>
      </c>
      <c r="C815" s="1" t="n">
        <v>45915</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50509-2024</t>
        </is>
      </c>
      <c r="B816" s="1" t="n">
        <v>45601</v>
      </c>
      <c r="C816" s="1" t="n">
        <v>45915</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13029-2025</t>
        </is>
      </c>
      <c r="B817" s="1" t="n">
        <v>45734.5703125</v>
      </c>
      <c r="C817" s="1" t="n">
        <v>45915</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32773-2024</t>
        </is>
      </c>
      <c r="B818" s="1" t="n">
        <v>45516.49834490741</v>
      </c>
      <c r="C818" s="1" t="n">
        <v>45915</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11874-2025</t>
        </is>
      </c>
      <c r="B819" s="1" t="n">
        <v>45728.43699074074</v>
      </c>
      <c r="C819" s="1" t="n">
        <v>45915</v>
      </c>
      <c r="D819" t="inlineStr">
        <is>
          <t>VÄRMLANDS LÄN</t>
        </is>
      </c>
      <c r="E819" t="inlineStr">
        <is>
          <t>ÅRJÄNG</t>
        </is>
      </c>
      <c r="F819" t="inlineStr">
        <is>
          <t>Övriga Aktiebolag</t>
        </is>
      </c>
      <c r="G819" t="n">
        <v>3.5</v>
      </c>
      <c r="H819" t="n">
        <v>0</v>
      </c>
      <c r="I819" t="n">
        <v>0</v>
      </c>
      <c r="J819" t="n">
        <v>0</v>
      </c>
      <c r="K819" t="n">
        <v>0</v>
      </c>
      <c r="L819" t="n">
        <v>0</v>
      </c>
      <c r="M819" t="n">
        <v>0</v>
      </c>
      <c r="N819" t="n">
        <v>0</v>
      </c>
      <c r="O819" t="n">
        <v>0</v>
      </c>
      <c r="P819" t="n">
        <v>0</v>
      </c>
      <c r="Q819" t="n">
        <v>0</v>
      </c>
      <c r="R819" s="2" t="inlineStr"/>
    </row>
    <row r="820" ht="15" customHeight="1">
      <c r="A820" t="inlineStr">
        <is>
          <t>A 15949-2025</t>
        </is>
      </c>
      <c r="B820" s="1" t="n">
        <v>45749</v>
      </c>
      <c r="C820" s="1" t="n">
        <v>45915</v>
      </c>
      <c r="D820" t="inlineStr">
        <is>
          <t>VÄRMLANDS LÄN</t>
        </is>
      </c>
      <c r="E820" t="inlineStr">
        <is>
          <t>ÅRJÄNG</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8246-2025</t>
        </is>
      </c>
      <c r="B821" s="1" t="n">
        <v>45708.48710648148</v>
      </c>
      <c r="C821" s="1" t="n">
        <v>45915</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35726-2022</t>
        </is>
      </c>
      <c r="B822" s="1" t="n">
        <v>44799</v>
      </c>
      <c r="C822" s="1" t="n">
        <v>45915</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60000-2024</t>
        </is>
      </c>
      <c r="B823" s="1" t="n">
        <v>45642</v>
      </c>
      <c r="C823" s="1" t="n">
        <v>45915</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46473-2024</t>
        </is>
      </c>
      <c r="B824" s="1" t="n">
        <v>45582</v>
      </c>
      <c r="C824" s="1" t="n">
        <v>45915</v>
      </c>
      <c r="D824" t="inlineStr">
        <is>
          <t>VÄRMLANDS LÄN</t>
        </is>
      </c>
      <c r="E824" t="inlineStr">
        <is>
          <t>ÅRJÄNG</t>
        </is>
      </c>
      <c r="G824" t="n">
        <v>4</v>
      </c>
      <c r="H824" t="n">
        <v>0</v>
      </c>
      <c r="I824" t="n">
        <v>0</v>
      </c>
      <c r="J824" t="n">
        <v>0</v>
      </c>
      <c r="K824" t="n">
        <v>0</v>
      </c>
      <c r="L824" t="n">
        <v>0</v>
      </c>
      <c r="M824" t="n">
        <v>0</v>
      </c>
      <c r="N824" t="n">
        <v>0</v>
      </c>
      <c r="O824" t="n">
        <v>0</v>
      </c>
      <c r="P824" t="n">
        <v>0</v>
      </c>
      <c r="Q824" t="n">
        <v>0</v>
      </c>
      <c r="R824" s="2" t="inlineStr"/>
    </row>
    <row r="825" ht="15" customHeight="1">
      <c r="A825" t="inlineStr">
        <is>
          <t>A 61119-2024</t>
        </is>
      </c>
      <c r="B825" s="1" t="n">
        <v>45645.57</v>
      </c>
      <c r="C825" s="1" t="n">
        <v>45915</v>
      </c>
      <c r="D825" t="inlineStr">
        <is>
          <t>VÄRMLANDS LÄN</t>
        </is>
      </c>
      <c r="E825" t="inlineStr">
        <is>
          <t>ÅRJÄNG</t>
        </is>
      </c>
      <c r="G825" t="n">
        <v>2.4</v>
      </c>
      <c r="H825" t="n">
        <v>0</v>
      </c>
      <c r="I825" t="n">
        <v>0</v>
      </c>
      <c r="J825" t="n">
        <v>0</v>
      </c>
      <c r="K825" t="n">
        <v>0</v>
      </c>
      <c r="L825" t="n">
        <v>0</v>
      </c>
      <c r="M825" t="n">
        <v>0</v>
      </c>
      <c r="N825" t="n">
        <v>0</v>
      </c>
      <c r="O825" t="n">
        <v>0</v>
      </c>
      <c r="P825" t="n">
        <v>0</v>
      </c>
      <c r="Q825" t="n">
        <v>0</v>
      </c>
      <c r="R825" s="2" t="inlineStr"/>
    </row>
    <row r="826" ht="15" customHeight="1">
      <c r="A826" t="inlineStr">
        <is>
          <t>A 4088-2025</t>
        </is>
      </c>
      <c r="B826" s="1" t="n">
        <v>45684.66329861111</v>
      </c>
      <c r="C826" s="1" t="n">
        <v>45915</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28382-2022</t>
        </is>
      </c>
      <c r="B827" s="1" t="n">
        <v>44747</v>
      </c>
      <c r="C827" s="1" t="n">
        <v>45915</v>
      </c>
      <c r="D827" t="inlineStr">
        <is>
          <t>VÄRMLANDS LÄN</t>
        </is>
      </c>
      <c r="E827" t="inlineStr">
        <is>
          <t>ÅRJÄNG</t>
        </is>
      </c>
      <c r="F827" t="inlineStr">
        <is>
          <t>Naturvårdsverket</t>
        </is>
      </c>
      <c r="G827" t="n">
        <v>1</v>
      </c>
      <c r="H827" t="n">
        <v>0</v>
      </c>
      <c r="I827" t="n">
        <v>0</v>
      </c>
      <c r="J827" t="n">
        <v>0</v>
      </c>
      <c r="K827" t="n">
        <v>0</v>
      </c>
      <c r="L827" t="n">
        <v>0</v>
      </c>
      <c r="M827" t="n">
        <v>0</v>
      </c>
      <c r="N827" t="n">
        <v>0</v>
      </c>
      <c r="O827" t="n">
        <v>0</v>
      </c>
      <c r="P827" t="n">
        <v>0</v>
      </c>
      <c r="Q827" t="n">
        <v>0</v>
      </c>
      <c r="R827" s="2" t="inlineStr"/>
    </row>
    <row r="828" ht="15" customHeight="1">
      <c r="A828" t="inlineStr">
        <is>
          <t>A 28439-2022</t>
        </is>
      </c>
      <c r="B828" s="1" t="n">
        <v>44747</v>
      </c>
      <c r="C828" s="1" t="n">
        <v>45915</v>
      </c>
      <c r="D828" t="inlineStr">
        <is>
          <t>VÄRMLANDS LÄN</t>
        </is>
      </c>
      <c r="E828" t="inlineStr">
        <is>
          <t>ÅRJÄNG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11813-2025</t>
        </is>
      </c>
      <c r="B829" s="1" t="n">
        <v>45728.28122685185</v>
      </c>
      <c r="C829" s="1" t="n">
        <v>45915</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7443-2024</t>
        </is>
      </c>
      <c r="B830" s="1" t="n">
        <v>45345.72207175926</v>
      </c>
      <c r="C830" s="1" t="n">
        <v>45915</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9990-2025</t>
        </is>
      </c>
      <c r="B831" s="1" t="n">
        <v>45719</v>
      </c>
      <c r="C831" s="1" t="n">
        <v>45915</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58486-2023</t>
        </is>
      </c>
      <c r="B832" s="1" t="n">
        <v>45246</v>
      </c>
      <c r="C832" s="1" t="n">
        <v>45915</v>
      </c>
      <c r="D832" t="inlineStr">
        <is>
          <t>VÄRMLANDS LÄN</t>
        </is>
      </c>
      <c r="E832" t="inlineStr">
        <is>
          <t>ÅRJÄNG</t>
        </is>
      </c>
      <c r="G832" t="n">
        <v>8.5</v>
      </c>
      <c r="H832" t="n">
        <v>0</v>
      </c>
      <c r="I832" t="n">
        <v>0</v>
      </c>
      <c r="J832" t="n">
        <v>0</v>
      </c>
      <c r="K832" t="n">
        <v>0</v>
      </c>
      <c r="L832" t="n">
        <v>0</v>
      </c>
      <c r="M832" t="n">
        <v>0</v>
      </c>
      <c r="N832" t="n">
        <v>0</v>
      </c>
      <c r="O832" t="n">
        <v>0</v>
      </c>
      <c r="P832" t="n">
        <v>0</v>
      </c>
      <c r="Q832" t="n">
        <v>0</v>
      </c>
      <c r="R832" s="2" t="inlineStr"/>
    </row>
    <row r="833" ht="15" customHeight="1">
      <c r="A833" t="inlineStr">
        <is>
          <t>A 36587-2024</t>
        </is>
      </c>
      <c r="B833" s="1" t="n">
        <v>45537</v>
      </c>
      <c r="C833" s="1" t="n">
        <v>45915</v>
      </c>
      <c r="D833" t="inlineStr">
        <is>
          <t>VÄRMLANDS LÄN</t>
        </is>
      </c>
      <c r="E833" t="inlineStr">
        <is>
          <t>ÅRJÄNG</t>
        </is>
      </c>
      <c r="G833" t="n">
        <v>2.6</v>
      </c>
      <c r="H833" t="n">
        <v>0</v>
      </c>
      <c r="I833" t="n">
        <v>0</v>
      </c>
      <c r="J833" t="n">
        <v>0</v>
      </c>
      <c r="K833" t="n">
        <v>0</v>
      </c>
      <c r="L833" t="n">
        <v>0</v>
      </c>
      <c r="M833" t="n">
        <v>0</v>
      </c>
      <c r="N833" t="n">
        <v>0</v>
      </c>
      <c r="O833" t="n">
        <v>0</v>
      </c>
      <c r="P833" t="n">
        <v>0</v>
      </c>
      <c r="Q833" t="n">
        <v>0</v>
      </c>
      <c r="R833" s="2" t="inlineStr"/>
    </row>
    <row r="834" ht="15" customHeight="1">
      <c r="A834" t="inlineStr">
        <is>
          <t>A 9992-2025</t>
        </is>
      </c>
      <c r="B834" s="1" t="n">
        <v>45719.43708333333</v>
      </c>
      <c r="C834" s="1" t="n">
        <v>45915</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34803-2021</t>
        </is>
      </c>
      <c r="B835" s="1" t="n">
        <v>44383</v>
      </c>
      <c r="C835" s="1" t="n">
        <v>45915</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4404-2025</t>
        </is>
      </c>
      <c r="B836" s="1" t="n">
        <v>45686</v>
      </c>
      <c r="C836" s="1" t="n">
        <v>45915</v>
      </c>
      <c r="D836" t="inlineStr">
        <is>
          <t>VÄRMLANDS LÄN</t>
        </is>
      </c>
      <c r="E836" t="inlineStr">
        <is>
          <t>ÅRJÄNG</t>
        </is>
      </c>
      <c r="F836" t="inlineStr">
        <is>
          <t>Kyrkan</t>
        </is>
      </c>
      <c r="G836" t="n">
        <v>4.8</v>
      </c>
      <c r="H836" t="n">
        <v>0</v>
      </c>
      <c r="I836" t="n">
        <v>0</v>
      </c>
      <c r="J836" t="n">
        <v>0</v>
      </c>
      <c r="K836" t="n">
        <v>0</v>
      </c>
      <c r="L836" t="n">
        <v>0</v>
      </c>
      <c r="M836" t="n">
        <v>0</v>
      </c>
      <c r="N836" t="n">
        <v>0</v>
      </c>
      <c r="O836" t="n">
        <v>0</v>
      </c>
      <c r="P836" t="n">
        <v>0</v>
      </c>
      <c r="Q836" t="n">
        <v>0</v>
      </c>
      <c r="R836" s="2" t="inlineStr"/>
    </row>
    <row r="837" ht="15" customHeight="1">
      <c r="A837" t="inlineStr">
        <is>
          <t>A 23971-2023</t>
        </is>
      </c>
      <c r="B837" s="1" t="n">
        <v>45078.63996527778</v>
      </c>
      <c r="C837" s="1" t="n">
        <v>45915</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58427-2024</t>
        </is>
      </c>
      <c r="B838" s="1" t="n">
        <v>45634.89083333333</v>
      </c>
      <c r="C838" s="1" t="n">
        <v>45915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58428-2024</t>
        </is>
      </c>
      <c r="B839" s="1" t="n">
        <v>45634.90734953704</v>
      </c>
      <c r="C839" s="1" t="n">
        <v>45915</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17178-2021</t>
        </is>
      </c>
      <c r="B840" s="1" t="n">
        <v>44298.46592592593</v>
      </c>
      <c r="C840" s="1" t="n">
        <v>45915</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57708-2024</t>
        </is>
      </c>
      <c r="B841" s="1" t="n">
        <v>45630</v>
      </c>
      <c r="C841" s="1" t="n">
        <v>45915</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10180-2023</t>
        </is>
      </c>
      <c r="B842" s="1" t="n">
        <v>44986</v>
      </c>
      <c r="C842" s="1" t="n">
        <v>45915</v>
      </c>
      <c r="D842" t="inlineStr">
        <is>
          <t>VÄRMLANDS LÄN</t>
        </is>
      </c>
      <c r="E842" t="inlineStr">
        <is>
          <t>ÅRJÄNG</t>
        </is>
      </c>
      <c r="G842" t="n">
        <v>4.6</v>
      </c>
      <c r="H842" t="n">
        <v>0</v>
      </c>
      <c r="I842" t="n">
        <v>0</v>
      </c>
      <c r="J842" t="n">
        <v>0</v>
      </c>
      <c r="K842" t="n">
        <v>0</v>
      </c>
      <c r="L842" t="n">
        <v>0</v>
      </c>
      <c r="M842" t="n">
        <v>0</v>
      </c>
      <c r="N842" t="n">
        <v>0</v>
      </c>
      <c r="O842" t="n">
        <v>0</v>
      </c>
      <c r="P842" t="n">
        <v>0</v>
      </c>
      <c r="Q842" t="n">
        <v>0</v>
      </c>
      <c r="R842" s="2" t="inlineStr"/>
    </row>
    <row r="843" ht="15" customHeight="1">
      <c r="A843" t="inlineStr">
        <is>
          <t>A 69862-2021</t>
        </is>
      </c>
      <c r="B843" s="1" t="n">
        <v>44532</v>
      </c>
      <c r="C843" s="1" t="n">
        <v>45915</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29558-2024</t>
        </is>
      </c>
      <c r="B844" s="1" t="n">
        <v>45484</v>
      </c>
      <c r="C844" s="1" t="n">
        <v>45915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15547-2025</t>
        </is>
      </c>
      <c r="B845" s="1" t="n">
        <v>45747</v>
      </c>
      <c r="C845" s="1" t="n">
        <v>45915</v>
      </c>
      <c r="D845" t="inlineStr">
        <is>
          <t>VÄRMLANDS LÄN</t>
        </is>
      </c>
      <c r="E845" t="inlineStr">
        <is>
          <t>ÅRJÄNG</t>
        </is>
      </c>
      <c r="G845" t="n">
        <v>5.8</v>
      </c>
      <c r="H845" t="n">
        <v>0</v>
      </c>
      <c r="I845" t="n">
        <v>0</v>
      </c>
      <c r="J845" t="n">
        <v>0</v>
      </c>
      <c r="K845" t="n">
        <v>0</v>
      </c>
      <c r="L845" t="n">
        <v>0</v>
      </c>
      <c r="M845" t="n">
        <v>0</v>
      </c>
      <c r="N845" t="n">
        <v>0</v>
      </c>
      <c r="O845" t="n">
        <v>0</v>
      </c>
      <c r="P845" t="n">
        <v>0</v>
      </c>
      <c r="Q845" t="n">
        <v>0</v>
      </c>
      <c r="R845" s="2" t="inlineStr"/>
    </row>
    <row r="846" ht="15" customHeight="1">
      <c r="A846" t="inlineStr">
        <is>
          <t>A 15548-2025</t>
        </is>
      </c>
      <c r="B846" s="1" t="n">
        <v>45747</v>
      </c>
      <c r="C846" s="1" t="n">
        <v>45915</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6107-2024</t>
        </is>
      </c>
      <c r="B847" s="1" t="n">
        <v>45337</v>
      </c>
      <c r="C847" s="1" t="n">
        <v>45915</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23754-2024</t>
        </is>
      </c>
      <c r="B848" s="1" t="n">
        <v>45455</v>
      </c>
      <c r="C848" s="1" t="n">
        <v>45915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99-2025</t>
        </is>
      </c>
      <c r="B849" s="1" t="n">
        <v>45649</v>
      </c>
      <c r="C849" s="1" t="n">
        <v>45915</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40465-2023</t>
        </is>
      </c>
      <c r="B850" s="1" t="n">
        <v>45170.34325231481</v>
      </c>
      <c r="C850" s="1" t="n">
        <v>45915</v>
      </c>
      <c r="D850" t="inlineStr">
        <is>
          <t>VÄRMLANDS LÄN</t>
        </is>
      </c>
      <c r="E850" t="inlineStr">
        <is>
          <t>ÅRJÄNG</t>
        </is>
      </c>
      <c r="G850" t="n">
        <v>1.7</v>
      </c>
      <c r="H850" t="n">
        <v>0</v>
      </c>
      <c r="I850" t="n">
        <v>0</v>
      </c>
      <c r="J850" t="n">
        <v>0</v>
      </c>
      <c r="K850" t="n">
        <v>0</v>
      </c>
      <c r="L850" t="n">
        <v>0</v>
      </c>
      <c r="M850" t="n">
        <v>0</v>
      </c>
      <c r="N850" t="n">
        <v>0</v>
      </c>
      <c r="O850" t="n">
        <v>0</v>
      </c>
      <c r="P850" t="n">
        <v>0</v>
      </c>
      <c r="Q850" t="n">
        <v>0</v>
      </c>
      <c r="R850" s="2" t="inlineStr"/>
    </row>
    <row r="851" ht="15" customHeight="1">
      <c r="A851" t="inlineStr">
        <is>
          <t>A 40366-2022</t>
        </is>
      </c>
      <c r="B851" s="1" t="n">
        <v>44823.38884259259</v>
      </c>
      <c r="C851" s="1" t="n">
        <v>45915</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54013-2023</t>
        </is>
      </c>
      <c r="B852" s="1" t="n">
        <v>45231.81550925926</v>
      </c>
      <c r="C852" s="1" t="n">
        <v>45915</v>
      </c>
      <c r="D852" t="inlineStr">
        <is>
          <t>VÄRMLANDS LÄN</t>
        </is>
      </c>
      <c r="E852" t="inlineStr">
        <is>
          <t>ÅRJÄNG</t>
        </is>
      </c>
      <c r="G852" t="n">
        <v>1.3</v>
      </c>
      <c r="H852" t="n">
        <v>0</v>
      </c>
      <c r="I852" t="n">
        <v>0</v>
      </c>
      <c r="J852" t="n">
        <v>0</v>
      </c>
      <c r="K852" t="n">
        <v>0</v>
      </c>
      <c r="L852" t="n">
        <v>0</v>
      </c>
      <c r="M852" t="n">
        <v>0</v>
      </c>
      <c r="N852" t="n">
        <v>0</v>
      </c>
      <c r="O852" t="n">
        <v>0</v>
      </c>
      <c r="P852" t="n">
        <v>0</v>
      </c>
      <c r="Q852" t="n">
        <v>0</v>
      </c>
      <c r="R852" s="2" t="inlineStr"/>
    </row>
    <row r="853" ht="15" customHeight="1">
      <c r="A853" t="inlineStr">
        <is>
          <t>A 15308-2022</t>
        </is>
      </c>
      <c r="B853" s="1" t="n">
        <v>44659.45865740741</v>
      </c>
      <c r="C853" s="1" t="n">
        <v>45915</v>
      </c>
      <c r="D853" t="inlineStr">
        <is>
          <t>VÄRMLANDS LÄN</t>
        </is>
      </c>
      <c r="E853" t="inlineStr">
        <is>
          <t>ÅRJÄNG</t>
        </is>
      </c>
      <c r="G853" t="n">
        <v>10.7</v>
      </c>
      <c r="H853" t="n">
        <v>0</v>
      </c>
      <c r="I853" t="n">
        <v>0</v>
      </c>
      <c r="J853" t="n">
        <v>0</v>
      </c>
      <c r="K853" t="n">
        <v>0</v>
      </c>
      <c r="L853" t="n">
        <v>0</v>
      </c>
      <c r="M853" t="n">
        <v>0</v>
      </c>
      <c r="N853" t="n">
        <v>0</v>
      </c>
      <c r="O853" t="n">
        <v>0</v>
      </c>
      <c r="P853" t="n">
        <v>0</v>
      </c>
      <c r="Q853" t="n">
        <v>0</v>
      </c>
      <c r="R853" s="2" t="inlineStr"/>
    </row>
    <row r="854" ht="15" customHeight="1">
      <c r="A854" t="inlineStr">
        <is>
          <t>A 7114-2023</t>
        </is>
      </c>
      <c r="B854" s="1" t="n">
        <v>44970.39068287037</v>
      </c>
      <c r="C854" s="1" t="n">
        <v>45915</v>
      </c>
      <c r="D854" t="inlineStr">
        <is>
          <t>VÄRMLANDS LÄN</t>
        </is>
      </c>
      <c r="E854" t="inlineStr">
        <is>
          <t>ÅRJÄNG</t>
        </is>
      </c>
      <c r="G854" t="n">
        <v>4.7</v>
      </c>
      <c r="H854" t="n">
        <v>0</v>
      </c>
      <c r="I854" t="n">
        <v>0</v>
      </c>
      <c r="J854" t="n">
        <v>0</v>
      </c>
      <c r="K854" t="n">
        <v>0</v>
      </c>
      <c r="L854" t="n">
        <v>0</v>
      </c>
      <c r="M854" t="n">
        <v>0</v>
      </c>
      <c r="N854" t="n">
        <v>0</v>
      </c>
      <c r="O854" t="n">
        <v>0</v>
      </c>
      <c r="P854" t="n">
        <v>0</v>
      </c>
      <c r="Q854" t="n">
        <v>0</v>
      </c>
      <c r="R854" s="2" t="inlineStr"/>
    </row>
    <row r="855" ht="15" customHeight="1">
      <c r="A855" t="inlineStr">
        <is>
          <t>A 59976-2022</t>
        </is>
      </c>
      <c r="B855" s="1" t="n">
        <v>44901</v>
      </c>
      <c r="C855" s="1" t="n">
        <v>45915</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1279-2025</t>
        </is>
      </c>
      <c r="B856" s="1" t="n">
        <v>45667.48987268518</v>
      </c>
      <c r="C856" s="1" t="n">
        <v>45915</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10873-2023</t>
        </is>
      </c>
      <c r="B857" s="1" t="n">
        <v>44991.42243055555</v>
      </c>
      <c r="C857" s="1" t="n">
        <v>45915</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3298-2025</t>
        </is>
      </c>
      <c r="B858" s="1" t="n">
        <v>45679.64770833333</v>
      </c>
      <c r="C858" s="1" t="n">
        <v>45915</v>
      </c>
      <c r="D858" t="inlineStr">
        <is>
          <t>VÄRMLANDS LÄN</t>
        </is>
      </c>
      <c r="E858" t="inlineStr">
        <is>
          <t>ÅRJÄNG</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41283-2023</t>
        </is>
      </c>
      <c r="B859" s="1" t="n">
        <v>45174.57032407408</v>
      </c>
      <c r="C859" s="1" t="n">
        <v>45915</v>
      </c>
      <c r="D859" t="inlineStr">
        <is>
          <t>VÄRMLANDS LÄN</t>
        </is>
      </c>
      <c r="E859" t="inlineStr">
        <is>
          <t>ÅRJÄNG</t>
        </is>
      </c>
      <c r="G859" t="n">
        <v>9.6</v>
      </c>
      <c r="H859" t="n">
        <v>0</v>
      </c>
      <c r="I859" t="n">
        <v>0</v>
      </c>
      <c r="J859" t="n">
        <v>0</v>
      </c>
      <c r="K859" t="n">
        <v>0</v>
      </c>
      <c r="L859" t="n">
        <v>0</v>
      </c>
      <c r="M859" t="n">
        <v>0</v>
      </c>
      <c r="N859" t="n">
        <v>0</v>
      </c>
      <c r="O859" t="n">
        <v>0</v>
      </c>
      <c r="P859" t="n">
        <v>0</v>
      </c>
      <c r="Q859" t="n">
        <v>0</v>
      </c>
      <c r="R859" s="2" t="inlineStr"/>
    </row>
    <row r="860" ht="15" customHeight="1">
      <c r="A860" t="inlineStr">
        <is>
          <t>A 30699-2021</t>
        </is>
      </c>
      <c r="B860" s="1" t="n">
        <v>44365.42443287037</v>
      </c>
      <c r="C860" s="1" t="n">
        <v>45915</v>
      </c>
      <c r="D860" t="inlineStr">
        <is>
          <t>VÄRMLANDS LÄN</t>
        </is>
      </c>
      <c r="E860" t="inlineStr">
        <is>
          <t>ÅRJÄNG</t>
        </is>
      </c>
      <c r="G860" t="n">
        <v>3.1</v>
      </c>
      <c r="H860" t="n">
        <v>0</v>
      </c>
      <c r="I860" t="n">
        <v>0</v>
      </c>
      <c r="J860" t="n">
        <v>0</v>
      </c>
      <c r="K860" t="n">
        <v>0</v>
      </c>
      <c r="L860" t="n">
        <v>0</v>
      </c>
      <c r="M860" t="n">
        <v>0</v>
      </c>
      <c r="N860" t="n">
        <v>0</v>
      </c>
      <c r="O860" t="n">
        <v>0</v>
      </c>
      <c r="P860" t="n">
        <v>0</v>
      </c>
      <c r="Q860" t="n">
        <v>0</v>
      </c>
      <c r="R860" s="2" t="inlineStr"/>
    </row>
    <row r="861" ht="15" customHeight="1">
      <c r="A861" t="inlineStr">
        <is>
          <t>A 35157-2021</t>
        </is>
      </c>
      <c r="B861" s="1" t="n">
        <v>44383</v>
      </c>
      <c r="C861" s="1" t="n">
        <v>45915</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21706-2024</t>
        </is>
      </c>
      <c r="B862" s="1" t="n">
        <v>45442</v>
      </c>
      <c r="C862" s="1" t="n">
        <v>45915</v>
      </c>
      <c r="D862" t="inlineStr">
        <is>
          <t>VÄRMLANDS LÄN</t>
        </is>
      </c>
      <c r="E862" t="inlineStr">
        <is>
          <t>ÅRJÄNG</t>
        </is>
      </c>
      <c r="G862" t="n">
        <v>10.4</v>
      </c>
      <c r="H862" t="n">
        <v>0</v>
      </c>
      <c r="I862" t="n">
        <v>0</v>
      </c>
      <c r="J862" t="n">
        <v>0</v>
      </c>
      <c r="K862" t="n">
        <v>0</v>
      </c>
      <c r="L862" t="n">
        <v>0</v>
      </c>
      <c r="M862" t="n">
        <v>0</v>
      </c>
      <c r="N862" t="n">
        <v>0</v>
      </c>
      <c r="O862" t="n">
        <v>0</v>
      </c>
      <c r="P862" t="n">
        <v>0</v>
      </c>
      <c r="Q862" t="n">
        <v>0</v>
      </c>
      <c r="R862" s="2" t="inlineStr"/>
    </row>
    <row r="863" ht="15" customHeight="1">
      <c r="A863" t="inlineStr">
        <is>
          <t>A 33412-2025</t>
        </is>
      </c>
      <c r="B863" s="1" t="n">
        <v>45841</v>
      </c>
      <c r="C863" s="1" t="n">
        <v>45915</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43040-2023</t>
        </is>
      </c>
      <c r="B864" s="1" t="n">
        <v>45182.68716435185</v>
      </c>
      <c r="C864" s="1" t="n">
        <v>45915</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8232-2025</t>
        </is>
      </c>
      <c r="B865" s="1" t="n">
        <v>45708.47144675926</v>
      </c>
      <c r="C865" s="1" t="n">
        <v>45915</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10510-2023</t>
        </is>
      </c>
      <c r="B866" s="1" t="n">
        <v>44987.73665509259</v>
      </c>
      <c r="C866" s="1" t="n">
        <v>45915</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36592-2024</t>
        </is>
      </c>
      <c r="B867" s="1" t="n">
        <v>45537</v>
      </c>
      <c r="C867" s="1" t="n">
        <v>45915</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3458-2025</t>
        </is>
      </c>
      <c r="B868" s="1" t="n">
        <v>45680.48917824074</v>
      </c>
      <c r="C868" s="1" t="n">
        <v>45915</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3479-2025</t>
        </is>
      </c>
      <c r="B869" s="1" t="n">
        <v>45680.53805555555</v>
      </c>
      <c r="C869" s="1" t="n">
        <v>45915</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10574-2023</t>
        </is>
      </c>
      <c r="B870" s="1" t="n">
        <v>44984</v>
      </c>
      <c r="C870" s="1" t="n">
        <v>45915</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62901-2021</t>
        </is>
      </c>
      <c r="B871" s="1" t="n">
        <v>44504</v>
      </c>
      <c r="C871" s="1" t="n">
        <v>45915</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15730-2023</t>
        </is>
      </c>
      <c r="B872" s="1" t="n">
        <v>45021</v>
      </c>
      <c r="C872" s="1" t="n">
        <v>45915</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33831-2023</t>
        </is>
      </c>
      <c r="B873" s="1" t="n">
        <v>45121</v>
      </c>
      <c r="C873" s="1" t="n">
        <v>45915</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59070-2024</t>
        </is>
      </c>
      <c r="B874" s="1" t="n">
        <v>45636.95711805556</v>
      </c>
      <c r="C874" s="1" t="n">
        <v>45915</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29603-2024</t>
        </is>
      </c>
      <c r="B875" s="1" t="n">
        <v>45484</v>
      </c>
      <c r="C875" s="1" t="n">
        <v>45915</v>
      </c>
      <c r="D875" t="inlineStr">
        <is>
          <t>VÄRMLANDS LÄN</t>
        </is>
      </c>
      <c r="E875" t="inlineStr">
        <is>
          <t>ÅRJÄNG</t>
        </is>
      </c>
      <c r="G875" t="n">
        <v>7.5</v>
      </c>
      <c r="H875" t="n">
        <v>0</v>
      </c>
      <c r="I875" t="n">
        <v>0</v>
      </c>
      <c r="J875" t="n">
        <v>0</v>
      </c>
      <c r="K875" t="n">
        <v>0</v>
      </c>
      <c r="L875" t="n">
        <v>0</v>
      </c>
      <c r="M875" t="n">
        <v>0</v>
      </c>
      <c r="N875" t="n">
        <v>0</v>
      </c>
      <c r="O875" t="n">
        <v>0</v>
      </c>
      <c r="P875" t="n">
        <v>0</v>
      </c>
      <c r="Q875" t="n">
        <v>0</v>
      </c>
      <c r="R875" s="2" t="inlineStr"/>
    </row>
    <row r="876" ht="15" customHeight="1">
      <c r="A876" t="inlineStr">
        <is>
          <t>A 15546-2025</t>
        </is>
      </c>
      <c r="B876" s="1" t="n">
        <v>45747</v>
      </c>
      <c r="C876" s="1" t="n">
        <v>45915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56757-2023</t>
        </is>
      </c>
      <c r="B877" s="1" t="n">
        <v>45244.37539351852</v>
      </c>
      <c r="C877" s="1" t="n">
        <v>45915</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49891-2022</t>
        </is>
      </c>
      <c r="B878" s="1" t="n">
        <v>44864</v>
      </c>
      <c r="C878" s="1" t="n">
        <v>45915</v>
      </c>
      <c r="D878" t="inlineStr">
        <is>
          <t>VÄRMLANDS LÄN</t>
        </is>
      </c>
      <c r="E878" t="inlineStr">
        <is>
          <t>ÅRJÄNG</t>
        </is>
      </c>
      <c r="G878" t="n">
        <v>5.6</v>
      </c>
      <c r="H878" t="n">
        <v>0</v>
      </c>
      <c r="I878" t="n">
        <v>0</v>
      </c>
      <c r="J878" t="n">
        <v>0</v>
      </c>
      <c r="K878" t="n">
        <v>0</v>
      </c>
      <c r="L878" t="n">
        <v>0</v>
      </c>
      <c r="M878" t="n">
        <v>0</v>
      </c>
      <c r="N878" t="n">
        <v>0</v>
      </c>
      <c r="O878" t="n">
        <v>0</v>
      </c>
      <c r="P878" t="n">
        <v>0</v>
      </c>
      <c r="Q878" t="n">
        <v>0</v>
      </c>
      <c r="R878" s="2" t="inlineStr"/>
    </row>
    <row r="879" ht="15" customHeight="1">
      <c r="A879" t="inlineStr">
        <is>
          <t>A 7660-2025</t>
        </is>
      </c>
      <c r="B879" s="1" t="n">
        <v>45706.32505787037</v>
      </c>
      <c r="C879" s="1" t="n">
        <v>45915</v>
      </c>
      <c r="D879" t="inlineStr">
        <is>
          <t>VÄRMLANDS LÄN</t>
        </is>
      </c>
      <c r="E879" t="inlineStr">
        <is>
          <t>ÅRJÄNG</t>
        </is>
      </c>
      <c r="G879" t="n">
        <v>2</v>
      </c>
      <c r="H879" t="n">
        <v>0</v>
      </c>
      <c r="I879" t="n">
        <v>0</v>
      </c>
      <c r="J879" t="n">
        <v>0</v>
      </c>
      <c r="K879" t="n">
        <v>0</v>
      </c>
      <c r="L879" t="n">
        <v>0</v>
      </c>
      <c r="M879" t="n">
        <v>0</v>
      </c>
      <c r="N879" t="n">
        <v>0</v>
      </c>
      <c r="O879" t="n">
        <v>0</v>
      </c>
      <c r="P879" t="n">
        <v>0</v>
      </c>
      <c r="Q879" t="n">
        <v>0</v>
      </c>
      <c r="R879" s="2" t="inlineStr"/>
    </row>
    <row r="880" ht="15" customHeight="1">
      <c r="A880" t="inlineStr">
        <is>
          <t>A 52278-2023</t>
        </is>
      </c>
      <c r="B880" s="1" t="n">
        <v>45224.57358796296</v>
      </c>
      <c r="C880" s="1" t="n">
        <v>45915</v>
      </c>
      <c r="D880" t="inlineStr">
        <is>
          <t>VÄRMLANDS LÄN</t>
        </is>
      </c>
      <c r="E880" t="inlineStr">
        <is>
          <t>ÅRJÄNG</t>
        </is>
      </c>
      <c r="G880" t="n">
        <v>3.1</v>
      </c>
      <c r="H880" t="n">
        <v>0</v>
      </c>
      <c r="I880" t="n">
        <v>0</v>
      </c>
      <c r="J880" t="n">
        <v>0</v>
      </c>
      <c r="K880" t="n">
        <v>0</v>
      </c>
      <c r="L880" t="n">
        <v>0</v>
      </c>
      <c r="M880" t="n">
        <v>0</v>
      </c>
      <c r="N880" t="n">
        <v>0</v>
      </c>
      <c r="O880" t="n">
        <v>0</v>
      </c>
      <c r="P880" t="n">
        <v>0</v>
      </c>
      <c r="Q880" t="n">
        <v>0</v>
      </c>
      <c r="R880" s="2" t="inlineStr"/>
    </row>
    <row r="881" ht="15" customHeight="1">
      <c r="A881" t="inlineStr">
        <is>
          <t>A 48130-2023</t>
        </is>
      </c>
      <c r="B881" s="1" t="n">
        <v>45201</v>
      </c>
      <c r="C881" s="1" t="n">
        <v>45915</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8918-2025</t>
        </is>
      </c>
      <c r="B882" s="1" t="n">
        <v>45713.43067129629</v>
      </c>
      <c r="C882" s="1" t="n">
        <v>45915</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19850-2025</t>
        </is>
      </c>
      <c r="B883" s="1" t="n">
        <v>45771</v>
      </c>
      <c r="C883" s="1" t="n">
        <v>45915</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36641-2021</t>
        </is>
      </c>
      <c r="B884" s="1" t="n">
        <v>44392.31038194444</v>
      </c>
      <c r="C884" s="1" t="n">
        <v>45915</v>
      </c>
      <c r="D884" t="inlineStr">
        <is>
          <t>VÄRMLANDS LÄN</t>
        </is>
      </c>
      <c r="E884" t="inlineStr">
        <is>
          <t>ÅRJÄNG</t>
        </is>
      </c>
      <c r="G884" t="n">
        <v>1.5</v>
      </c>
      <c r="H884" t="n">
        <v>0</v>
      </c>
      <c r="I884" t="n">
        <v>0</v>
      </c>
      <c r="J884" t="n">
        <v>0</v>
      </c>
      <c r="K884" t="n">
        <v>0</v>
      </c>
      <c r="L884" t="n">
        <v>0</v>
      </c>
      <c r="M884" t="n">
        <v>0</v>
      </c>
      <c r="N884" t="n">
        <v>0</v>
      </c>
      <c r="O884" t="n">
        <v>0</v>
      </c>
      <c r="P884" t="n">
        <v>0</v>
      </c>
      <c r="Q884" t="n">
        <v>0</v>
      </c>
      <c r="R884" s="2" t="inlineStr"/>
    </row>
    <row r="885" ht="15" customHeight="1">
      <c r="A885" t="inlineStr">
        <is>
          <t>A 27001-2021</t>
        </is>
      </c>
      <c r="B885" s="1" t="n">
        <v>44350.35271990741</v>
      </c>
      <c r="C885" s="1" t="n">
        <v>45915</v>
      </c>
      <c r="D885" t="inlineStr">
        <is>
          <t>VÄRMLANDS LÄN</t>
        </is>
      </c>
      <c r="E885" t="inlineStr">
        <is>
          <t>ÅRJÄNG</t>
        </is>
      </c>
      <c r="G885" t="n">
        <v>3.7</v>
      </c>
      <c r="H885" t="n">
        <v>0</v>
      </c>
      <c r="I885" t="n">
        <v>0</v>
      </c>
      <c r="J885" t="n">
        <v>0</v>
      </c>
      <c r="K885" t="n">
        <v>0</v>
      </c>
      <c r="L885" t="n">
        <v>0</v>
      </c>
      <c r="M885" t="n">
        <v>0</v>
      </c>
      <c r="N885" t="n">
        <v>0</v>
      </c>
      <c r="O885" t="n">
        <v>0</v>
      </c>
      <c r="P885" t="n">
        <v>0</v>
      </c>
      <c r="Q885" t="n">
        <v>0</v>
      </c>
      <c r="R885" s="2" t="inlineStr"/>
    </row>
    <row r="886" ht="15" customHeight="1">
      <c r="A886" t="inlineStr">
        <is>
          <t>A 42576-2021</t>
        </is>
      </c>
      <c r="B886" s="1" t="n">
        <v>44428</v>
      </c>
      <c r="C886" s="1" t="n">
        <v>45915</v>
      </c>
      <c r="D886" t="inlineStr">
        <is>
          <t>VÄRMLANDS LÄN</t>
        </is>
      </c>
      <c r="E886" t="inlineStr">
        <is>
          <t>ÅRJÄNG</t>
        </is>
      </c>
      <c r="G886" t="n">
        <v>1.7</v>
      </c>
      <c r="H886" t="n">
        <v>0</v>
      </c>
      <c r="I886" t="n">
        <v>0</v>
      </c>
      <c r="J886" t="n">
        <v>0</v>
      </c>
      <c r="K886" t="n">
        <v>0</v>
      </c>
      <c r="L886" t="n">
        <v>0</v>
      </c>
      <c r="M886" t="n">
        <v>0</v>
      </c>
      <c r="N886" t="n">
        <v>0</v>
      </c>
      <c r="O886" t="n">
        <v>0</v>
      </c>
      <c r="P886" t="n">
        <v>0</v>
      </c>
      <c r="Q886" t="n">
        <v>0</v>
      </c>
      <c r="R886" s="2" t="inlineStr"/>
    </row>
    <row r="887" ht="15" customHeight="1">
      <c r="A887" t="inlineStr">
        <is>
          <t>A 33525-2022</t>
        </is>
      </c>
      <c r="B887" s="1" t="n">
        <v>44789.31077546296</v>
      </c>
      <c r="C887" s="1" t="n">
        <v>45915</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4763-2023</t>
        </is>
      </c>
      <c r="B888" s="1" t="n">
        <v>44957.57651620371</v>
      </c>
      <c r="C888" s="1" t="n">
        <v>45915</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7877-2025</t>
        </is>
      </c>
      <c r="B889" s="1" t="n">
        <v>45706.76609953704</v>
      </c>
      <c r="C889" s="1" t="n">
        <v>45915</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7998-2025</t>
        </is>
      </c>
      <c r="B890" s="1" t="n">
        <v>45707.52335648148</v>
      </c>
      <c r="C890" s="1" t="n">
        <v>45915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11815-2025</t>
        </is>
      </c>
      <c r="B891" s="1" t="n">
        <v>45728.28719907408</v>
      </c>
      <c r="C891" s="1" t="n">
        <v>45915</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15165-2025</t>
        </is>
      </c>
      <c r="B892" s="1" t="n">
        <v>45744.48599537037</v>
      </c>
      <c r="C892" s="1" t="n">
        <v>45915</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19242-2025</t>
        </is>
      </c>
      <c r="B893" s="1" t="n">
        <v>45769.47761574074</v>
      </c>
      <c r="C893" s="1" t="n">
        <v>45915</v>
      </c>
      <c r="D893" t="inlineStr">
        <is>
          <t>VÄRMLANDS LÄN</t>
        </is>
      </c>
      <c r="E893" t="inlineStr">
        <is>
          <t>ÅRJÄNG</t>
        </is>
      </c>
      <c r="G893" t="n">
        <v>17.5</v>
      </c>
      <c r="H893" t="n">
        <v>0</v>
      </c>
      <c r="I893" t="n">
        <v>0</v>
      </c>
      <c r="J893" t="n">
        <v>0</v>
      </c>
      <c r="K893" t="n">
        <v>0</v>
      </c>
      <c r="L893" t="n">
        <v>0</v>
      </c>
      <c r="M893" t="n">
        <v>0</v>
      </c>
      <c r="N893" t="n">
        <v>0</v>
      </c>
      <c r="O893" t="n">
        <v>0</v>
      </c>
      <c r="P893" t="n">
        <v>0</v>
      </c>
      <c r="Q893" t="n">
        <v>0</v>
      </c>
      <c r="R893" s="2" t="inlineStr"/>
    </row>
    <row r="894" ht="15" customHeight="1">
      <c r="A894" t="inlineStr">
        <is>
          <t>A 55377-2024</t>
        </is>
      </c>
      <c r="B894" s="1" t="n">
        <v>45621.9885300926</v>
      </c>
      <c r="C894" s="1" t="n">
        <v>45915</v>
      </c>
      <c r="D894" t="inlineStr">
        <is>
          <t>VÄRMLANDS LÄN</t>
        </is>
      </c>
      <c r="E894" t="inlineStr">
        <is>
          <t>ÅRJÄNG</t>
        </is>
      </c>
      <c r="G894" t="n">
        <v>2.5</v>
      </c>
      <c r="H894" t="n">
        <v>0</v>
      </c>
      <c r="I894" t="n">
        <v>0</v>
      </c>
      <c r="J894" t="n">
        <v>0</v>
      </c>
      <c r="K894" t="n">
        <v>0</v>
      </c>
      <c r="L894" t="n">
        <v>0</v>
      </c>
      <c r="M894" t="n">
        <v>0</v>
      </c>
      <c r="N894" t="n">
        <v>0</v>
      </c>
      <c r="O894" t="n">
        <v>0</v>
      </c>
      <c r="P894" t="n">
        <v>0</v>
      </c>
      <c r="Q894" t="n">
        <v>0</v>
      </c>
      <c r="R894" s="2" t="inlineStr"/>
    </row>
    <row r="895" ht="15" customHeight="1">
      <c r="A895" t="inlineStr">
        <is>
          <t>A 16977-2025</t>
        </is>
      </c>
      <c r="B895" s="1" t="n">
        <v>45755.47517361111</v>
      </c>
      <c r="C895" s="1" t="n">
        <v>45915</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51493-2023</t>
        </is>
      </c>
      <c r="B896" s="1" t="n">
        <v>45215</v>
      </c>
      <c r="C896" s="1" t="n">
        <v>45915</v>
      </c>
      <c r="D896" t="inlineStr">
        <is>
          <t>VÄRMLANDS LÄN</t>
        </is>
      </c>
      <c r="E896" t="inlineStr">
        <is>
          <t>ÅRJÄNG</t>
        </is>
      </c>
      <c r="F896" t="inlineStr">
        <is>
          <t>Övriga Aktiebolag</t>
        </is>
      </c>
      <c r="G896" t="n">
        <v>9.1</v>
      </c>
      <c r="H896" t="n">
        <v>0</v>
      </c>
      <c r="I896" t="n">
        <v>0</v>
      </c>
      <c r="J896" t="n">
        <v>0</v>
      </c>
      <c r="K896" t="n">
        <v>0</v>
      </c>
      <c r="L896" t="n">
        <v>0</v>
      </c>
      <c r="M896" t="n">
        <v>0</v>
      </c>
      <c r="N896" t="n">
        <v>0</v>
      </c>
      <c r="O896" t="n">
        <v>0</v>
      </c>
      <c r="P896" t="n">
        <v>0</v>
      </c>
      <c r="Q896" t="n">
        <v>0</v>
      </c>
      <c r="R896" s="2" t="inlineStr"/>
    </row>
    <row r="897" ht="15" customHeight="1">
      <c r="A897" t="inlineStr">
        <is>
          <t>A 18309-2025</t>
        </is>
      </c>
      <c r="B897" s="1" t="n">
        <v>45762.44186342593</v>
      </c>
      <c r="C897" s="1" t="n">
        <v>45915</v>
      </c>
      <c r="D897" t="inlineStr">
        <is>
          <t>VÄRMLANDS LÄN</t>
        </is>
      </c>
      <c r="E897" t="inlineStr">
        <is>
          <t>ÅRJÄNG</t>
        </is>
      </c>
      <c r="G897" t="n">
        <v>6.2</v>
      </c>
      <c r="H897" t="n">
        <v>0</v>
      </c>
      <c r="I897" t="n">
        <v>0</v>
      </c>
      <c r="J897" t="n">
        <v>0</v>
      </c>
      <c r="K897" t="n">
        <v>0</v>
      </c>
      <c r="L897" t="n">
        <v>0</v>
      </c>
      <c r="M897" t="n">
        <v>0</v>
      </c>
      <c r="N897" t="n">
        <v>0</v>
      </c>
      <c r="O897" t="n">
        <v>0</v>
      </c>
      <c r="P897" t="n">
        <v>0</v>
      </c>
      <c r="Q897" t="n">
        <v>0</v>
      </c>
      <c r="R897" s="2" t="inlineStr"/>
    </row>
    <row r="898" ht="15" customHeight="1">
      <c r="A898" t="inlineStr">
        <is>
          <t>A 21557-2023</t>
        </is>
      </c>
      <c r="B898" s="1" t="n">
        <v>45063.57524305556</v>
      </c>
      <c r="C898" s="1" t="n">
        <v>45915</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14917-2025</t>
        </is>
      </c>
      <c r="B899" s="1" t="n">
        <v>45743.53748842593</v>
      </c>
      <c r="C899" s="1" t="n">
        <v>45915</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54950-2022</t>
        </is>
      </c>
      <c r="B900" s="1" t="n">
        <v>44886</v>
      </c>
      <c r="C900" s="1" t="n">
        <v>45915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59811-2023</t>
        </is>
      </c>
      <c r="B901" s="1" t="n">
        <v>45254</v>
      </c>
      <c r="C901" s="1" t="n">
        <v>45915</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33526-2025</t>
        </is>
      </c>
      <c r="B902" s="1" t="n">
        <v>45841.54869212963</v>
      </c>
      <c r="C902" s="1" t="n">
        <v>45915</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1717-2025</t>
        </is>
      </c>
      <c r="B903" s="1" t="n">
        <v>45671.32938657407</v>
      </c>
      <c r="C903" s="1" t="n">
        <v>45915</v>
      </c>
      <c r="D903" t="inlineStr">
        <is>
          <t>VÄRMLANDS LÄN</t>
        </is>
      </c>
      <c r="E903" t="inlineStr">
        <is>
          <t>ÅRJÄNG</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45915</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33600-2025</t>
        </is>
      </c>
      <c r="B905" s="1" t="n">
        <v>45841.60918981482</v>
      </c>
      <c r="C905" s="1" t="n">
        <v>45915</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36831-2025</t>
        </is>
      </c>
      <c r="B906" s="1" t="n">
        <v>45874</v>
      </c>
      <c r="C906" s="1" t="n">
        <v>45915</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33481-2025</t>
        </is>
      </c>
      <c r="B907" s="1" t="n">
        <v>45841</v>
      </c>
      <c r="C907" s="1" t="n">
        <v>45915</v>
      </c>
      <c r="D907" t="inlineStr">
        <is>
          <t>VÄRMLANDS LÄN</t>
        </is>
      </c>
      <c r="E907" t="inlineStr">
        <is>
          <t>ÅRJÄNG</t>
        </is>
      </c>
      <c r="G907" t="n">
        <v>10.3</v>
      </c>
      <c r="H907" t="n">
        <v>0</v>
      </c>
      <c r="I907" t="n">
        <v>0</v>
      </c>
      <c r="J907" t="n">
        <v>0</v>
      </c>
      <c r="K907" t="n">
        <v>0</v>
      </c>
      <c r="L907" t="n">
        <v>0</v>
      </c>
      <c r="M907" t="n">
        <v>0</v>
      </c>
      <c r="N907" t="n">
        <v>0</v>
      </c>
      <c r="O907" t="n">
        <v>0</v>
      </c>
      <c r="P907" t="n">
        <v>0</v>
      </c>
      <c r="Q907" t="n">
        <v>0</v>
      </c>
      <c r="R907" s="2" t="inlineStr"/>
    </row>
    <row r="908" ht="15" customHeight="1">
      <c r="A908" t="inlineStr">
        <is>
          <t>A 13871-2025</t>
        </is>
      </c>
      <c r="B908" s="1" t="n">
        <v>45737.58568287037</v>
      </c>
      <c r="C908" s="1" t="n">
        <v>45915</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59746-2023</t>
        </is>
      </c>
      <c r="B909" s="1" t="n">
        <v>45254</v>
      </c>
      <c r="C909" s="1" t="n">
        <v>45915</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55091-2023</t>
        </is>
      </c>
      <c r="B910" s="1" t="n">
        <v>45237</v>
      </c>
      <c r="C910" s="1" t="n">
        <v>45915</v>
      </c>
      <c r="D910" t="inlineStr">
        <is>
          <t>VÄRMLANDS LÄN</t>
        </is>
      </c>
      <c r="E910" t="inlineStr">
        <is>
          <t>ÅRJÄNG</t>
        </is>
      </c>
      <c r="G910" t="n">
        <v>3.8</v>
      </c>
      <c r="H910" t="n">
        <v>0</v>
      </c>
      <c r="I910" t="n">
        <v>0</v>
      </c>
      <c r="J910" t="n">
        <v>0</v>
      </c>
      <c r="K910" t="n">
        <v>0</v>
      </c>
      <c r="L910" t="n">
        <v>0</v>
      </c>
      <c r="M910" t="n">
        <v>0</v>
      </c>
      <c r="N910" t="n">
        <v>0</v>
      </c>
      <c r="O910" t="n">
        <v>0</v>
      </c>
      <c r="P910" t="n">
        <v>0</v>
      </c>
      <c r="Q910" t="n">
        <v>0</v>
      </c>
      <c r="R910" s="2" t="inlineStr"/>
    </row>
    <row r="911" ht="15" customHeight="1">
      <c r="A911" t="inlineStr">
        <is>
          <t>A 24916-2024</t>
        </is>
      </c>
      <c r="B911" s="1" t="n">
        <v>45461.6058449074</v>
      </c>
      <c r="C911" s="1" t="n">
        <v>45915</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33832-2025</t>
        </is>
      </c>
      <c r="B912" s="1" t="n">
        <v>45842.47506944444</v>
      </c>
      <c r="C912" s="1" t="n">
        <v>45915</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27692-2024</t>
        </is>
      </c>
      <c r="B913" s="1" t="n">
        <v>45474</v>
      </c>
      <c r="C913" s="1" t="n">
        <v>45915</v>
      </c>
      <c r="D913" t="inlineStr">
        <is>
          <t>VÄRMLANDS LÄN</t>
        </is>
      </c>
      <c r="E913" t="inlineStr">
        <is>
          <t>ÅRJÄNG</t>
        </is>
      </c>
      <c r="F913" t="inlineStr">
        <is>
          <t>Övriga Aktiebolag</t>
        </is>
      </c>
      <c r="G913" t="n">
        <v>1</v>
      </c>
      <c r="H913" t="n">
        <v>0</v>
      </c>
      <c r="I913" t="n">
        <v>0</v>
      </c>
      <c r="J913" t="n">
        <v>0</v>
      </c>
      <c r="K913" t="n">
        <v>0</v>
      </c>
      <c r="L913" t="n">
        <v>0</v>
      </c>
      <c r="M913" t="n">
        <v>0</v>
      </c>
      <c r="N913" t="n">
        <v>0</v>
      </c>
      <c r="O913" t="n">
        <v>0</v>
      </c>
      <c r="P913" t="n">
        <v>0</v>
      </c>
      <c r="Q913" t="n">
        <v>0</v>
      </c>
      <c r="R913" s="2" t="inlineStr"/>
    </row>
    <row r="914" ht="15" customHeight="1">
      <c r="A914" t="inlineStr">
        <is>
          <t>A 34425-2021</t>
        </is>
      </c>
      <c r="B914" s="1" t="n">
        <v>44380</v>
      </c>
      <c r="C914" s="1" t="n">
        <v>45915</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55517-2023</t>
        </is>
      </c>
      <c r="B915" s="1" t="n">
        <v>45232</v>
      </c>
      <c r="C915" s="1" t="n">
        <v>45915</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32950-2024</t>
        </is>
      </c>
      <c r="B916" s="1" t="n">
        <v>45517.36038194445</v>
      </c>
      <c r="C916" s="1" t="n">
        <v>45915</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32973-2021</t>
        </is>
      </c>
      <c r="B917" s="1" t="n">
        <v>44376</v>
      </c>
      <c r="C917" s="1" t="n">
        <v>45915</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15210-2025</t>
        </is>
      </c>
      <c r="B918" s="1" t="n">
        <v>45744</v>
      </c>
      <c r="C918" s="1" t="n">
        <v>45915</v>
      </c>
      <c r="D918" t="inlineStr">
        <is>
          <t>VÄRMLANDS LÄN</t>
        </is>
      </c>
      <c r="E918" t="inlineStr">
        <is>
          <t>ÅRJÄNG</t>
        </is>
      </c>
      <c r="G918" t="n">
        <v>2.7</v>
      </c>
      <c r="H918" t="n">
        <v>0</v>
      </c>
      <c r="I918" t="n">
        <v>0</v>
      </c>
      <c r="J918" t="n">
        <v>0</v>
      </c>
      <c r="K918" t="n">
        <v>0</v>
      </c>
      <c r="L918" t="n">
        <v>0</v>
      </c>
      <c r="M918" t="n">
        <v>0</v>
      </c>
      <c r="N918" t="n">
        <v>0</v>
      </c>
      <c r="O918" t="n">
        <v>0</v>
      </c>
      <c r="P918" t="n">
        <v>0</v>
      </c>
      <c r="Q918" t="n">
        <v>0</v>
      </c>
      <c r="R918" s="2" t="inlineStr"/>
    </row>
    <row r="919" ht="15" customHeight="1">
      <c r="A919" t="inlineStr">
        <is>
          <t>A 16112-2025</t>
        </is>
      </c>
      <c r="B919" s="1" t="n">
        <v>45750.37240740741</v>
      </c>
      <c r="C919" s="1" t="n">
        <v>45915</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45915</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56333-2024</t>
        </is>
      </c>
      <c r="B921" s="1" t="n">
        <v>45624.8005324074</v>
      </c>
      <c r="C921" s="1" t="n">
        <v>45915</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37325-2024</t>
        </is>
      </c>
      <c r="B922" s="1" t="n">
        <v>45540</v>
      </c>
      <c r="C922" s="1" t="n">
        <v>45915</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12659-2025</t>
        </is>
      </c>
      <c r="B923" s="1" t="n">
        <v>45733.42350694445</v>
      </c>
      <c r="C923" s="1" t="n">
        <v>45915</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58788-2024</t>
        </is>
      </c>
      <c r="B924" s="1" t="n">
        <v>45635.96372685185</v>
      </c>
      <c r="C924" s="1" t="n">
        <v>45915</v>
      </c>
      <c r="D924" t="inlineStr">
        <is>
          <t>VÄRMLANDS LÄN</t>
        </is>
      </c>
      <c r="E924" t="inlineStr">
        <is>
          <t>ÅRJÄNG</t>
        </is>
      </c>
      <c r="G924" t="n">
        <v>12.4</v>
      </c>
      <c r="H924" t="n">
        <v>0</v>
      </c>
      <c r="I924" t="n">
        <v>0</v>
      </c>
      <c r="J924" t="n">
        <v>0</v>
      </c>
      <c r="K924" t="n">
        <v>0</v>
      </c>
      <c r="L924" t="n">
        <v>0</v>
      </c>
      <c r="M924" t="n">
        <v>0</v>
      </c>
      <c r="N924" t="n">
        <v>0</v>
      </c>
      <c r="O924" t="n">
        <v>0</v>
      </c>
      <c r="P924" t="n">
        <v>0</v>
      </c>
      <c r="Q924" t="n">
        <v>0</v>
      </c>
      <c r="R924" s="2" t="inlineStr"/>
    </row>
    <row r="925" ht="15" customHeight="1">
      <c r="A925" t="inlineStr">
        <is>
          <t>A 60377-2023</t>
        </is>
      </c>
      <c r="B925" s="1" t="n">
        <v>45259.40993055556</v>
      </c>
      <c r="C925" s="1" t="n">
        <v>45915</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57605-2020</t>
        </is>
      </c>
      <c r="B926" s="1" t="n">
        <v>44140</v>
      </c>
      <c r="C926" s="1" t="n">
        <v>45915</v>
      </c>
      <c r="D926" t="inlineStr">
        <is>
          <t>VÄRMLANDS LÄN</t>
        </is>
      </c>
      <c r="E926" t="inlineStr">
        <is>
          <t>ÅRJÄNG</t>
        </is>
      </c>
      <c r="G926" t="n">
        <v>2.4</v>
      </c>
      <c r="H926" t="n">
        <v>0</v>
      </c>
      <c r="I926" t="n">
        <v>0</v>
      </c>
      <c r="J926" t="n">
        <v>0</v>
      </c>
      <c r="K926" t="n">
        <v>0</v>
      </c>
      <c r="L926" t="n">
        <v>0</v>
      </c>
      <c r="M926" t="n">
        <v>0</v>
      </c>
      <c r="N926" t="n">
        <v>0</v>
      </c>
      <c r="O926" t="n">
        <v>0</v>
      </c>
      <c r="P926" t="n">
        <v>0</v>
      </c>
      <c r="Q926" t="n">
        <v>0</v>
      </c>
      <c r="R926" s="2" t="inlineStr"/>
    </row>
    <row r="927" ht="15" customHeight="1">
      <c r="A927" t="inlineStr">
        <is>
          <t>A 23334-2023</t>
        </is>
      </c>
      <c r="B927" s="1" t="n">
        <v>45076</v>
      </c>
      <c r="C927" s="1" t="n">
        <v>45915</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45915</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45915</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37353-2024</t>
        </is>
      </c>
      <c r="B930" s="1" t="n">
        <v>45540</v>
      </c>
      <c r="C930" s="1" t="n">
        <v>45915</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54425-2021</t>
        </is>
      </c>
      <c r="B931" s="1" t="n">
        <v>44459</v>
      </c>
      <c r="C931" s="1" t="n">
        <v>45915</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42783-2024</t>
        </is>
      </c>
      <c r="B932" s="1" t="n">
        <v>45566</v>
      </c>
      <c r="C932" s="1" t="n">
        <v>45915</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36706-2024</t>
        </is>
      </c>
      <c r="B933" s="1" t="n">
        <v>45537</v>
      </c>
      <c r="C933" s="1" t="n">
        <v>45915</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38742-2025</t>
        </is>
      </c>
      <c r="B934" s="1" t="n">
        <v>45887.37425925926</v>
      </c>
      <c r="C934" s="1" t="n">
        <v>45915</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15570-2025</t>
        </is>
      </c>
      <c r="B935" s="1" t="n">
        <v>45747</v>
      </c>
      <c r="C935" s="1" t="n">
        <v>45915</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15572-2025</t>
        </is>
      </c>
      <c r="B936" s="1" t="n">
        <v>45747</v>
      </c>
      <c r="C936" s="1" t="n">
        <v>45915</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15578-2025</t>
        </is>
      </c>
      <c r="B937" s="1" t="n">
        <v>45747</v>
      </c>
      <c r="C937" s="1" t="n">
        <v>45915</v>
      </c>
      <c r="D937" t="inlineStr">
        <is>
          <t>VÄRMLANDS LÄN</t>
        </is>
      </c>
      <c r="E937" t="inlineStr">
        <is>
          <t>ÅRJÄNG</t>
        </is>
      </c>
      <c r="G937" t="n">
        <v>4.6</v>
      </c>
      <c r="H937" t="n">
        <v>0</v>
      </c>
      <c r="I937" t="n">
        <v>0</v>
      </c>
      <c r="J937" t="n">
        <v>0</v>
      </c>
      <c r="K937" t="n">
        <v>0</v>
      </c>
      <c r="L937" t="n">
        <v>0</v>
      </c>
      <c r="M937" t="n">
        <v>0</v>
      </c>
      <c r="N937" t="n">
        <v>0</v>
      </c>
      <c r="O937" t="n">
        <v>0</v>
      </c>
      <c r="P937" t="n">
        <v>0</v>
      </c>
      <c r="Q937" t="n">
        <v>0</v>
      </c>
      <c r="R937" s="2" t="inlineStr"/>
    </row>
    <row r="938" ht="15" customHeight="1">
      <c r="A938" t="inlineStr">
        <is>
          <t>A 69417-2021</t>
        </is>
      </c>
      <c r="B938" s="1" t="n">
        <v>44531</v>
      </c>
      <c r="C938" s="1" t="n">
        <v>45915</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13869-2025</t>
        </is>
      </c>
      <c r="B939" s="1" t="n">
        <v>45737.58268518518</v>
      </c>
      <c r="C939" s="1" t="n">
        <v>45915</v>
      </c>
      <c r="D939" t="inlineStr">
        <is>
          <t>VÄRMLANDS LÄN</t>
        </is>
      </c>
      <c r="E939" t="inlineStr">
        <is>
          <t>ÅRJÄNG</t>
        </is>
      </c>
      <c r="G939" t="n">
        <v>0.5</v>
      </c>
      <c r="H939" t="n">
        <v>0</v>
      </c>
      <c r="I939" t="n">
        <v>0</v>
      </c>
      <c r="J939" t="n">
        <v>0</v>
      </c>
      <c r="K939" t="n">
        <v>0</v>
      </c>
      <c r="L939" t="n">
        <v>0</v>
      </c>
      <c r="M939" t="n">
        <v>0</v>
      </c>
      <c r="N939" t="n">
        <v>0</v>
      </c>
      <c r="O939" t="n">
        <v>0</v>
      </c>
      <c r="P939" t="n">
        <v>0</v>
      </c>
      <c r="Q939" t="n">
        <v>0</v>
      </c>
      <c r="R939" s="2" t="inlineStr"/>
    </row>
    <row r="940" ht="15" customHeight="1">
      <c r="A940" t="inlineStr">
        <is>
          <t>A 74463-2021</t>
        </is>
      </c>
      <c r="B940" s="1" t="n">
        <v>44560.5255787037</v>
      </c>
      <c r="C940" s="1" t="n">
        <v>45915</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62963-2023</t>
        </is>
      </c>
      <c r="B941" s="1" t="n">
        <v>45271</v>
      </c>
      <c r="C941" s="1" t="n">
        <v>45915</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59479-2024</t>
        </is>
      </c>
      <c r="B942" s="1" t="n">
        <v>45638.52420138889</v>
      </c>
      <c r="C942" s="1" t="n">
        <v>45915</v>
      </c>
      <c r="D942" t="inlineStr">
        <is>
          <t>VÄRMLANDS LÄN</t>
        </is>
      </c>
      <c r="E942" t="inlineStr">
        <is>
          <t>ÅRJÄNG</t>
        </is>
      </c>
      <c r="G942" t="n">
        <v>2.1</v>
      </c>
      <c r="H942" t="n">
        <v>0</v>
      </c>
      <c r="I942" t="n">
        <v>0</v>
      </c>
      <c r="J942" t="n">
        <v>0</v>
      </c>
      <c r="K942" t="n">
        <v>0</v>
      </c>
      <c r="L942" t="n">
        <v>0</v>
      </c>
      <c r="M942" t="n">
        <v>0</v>
      </c>
      <c r="N942" t="n">
        <v>0</v>
      </c>
      <c r="O942" t="n">
        <v>0</v>
      </c>
      <c r="P942" t="n">
        <v>0</v>
      </c>
      <c r="Q942" t="n">
        <v>0</v>
      </c>
      <c r="R942" s="2" t="inlineStr"/>
    </row>
    <row r="943" ht="15" customHeight="1">
      <c r="A943" t="inlineStr">
        <is>
          <t>A 34144-2022</t>
        </is>
      </c>
      <c r="B943" s="1" t="n">
        <v>44791.55983796297</v>
      </c>
      <c r="C943" s="1" t="n">
        <v>45915</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27045-2021</t>
        </is>
      </c>
      <c r="B944" s="1" t="n">
        <v>44350.43223379629</v>
      </c>
      <c r="C944" s="1" t="n">
        <v>45915</v>
      </c>
      <c r="D944" t="inlineStr">
        <is>
          <t>VÄRMLANDS LÄN</t>
        </is>
      </c>
      <c r="E944" t="inlineStr">
        <is>
          <t>ÅRJÄNG</t>
        </is>
      </c>
      <c r="G944" t="n">
        <v>2</v>
      </c>
      <c r="H944" t="n">
        <v>0</v>
      </c>
      <c r="I944" t="n">
        <v>0</v>
      </c>
      <c r="J944" t="n">
        <v>0</v>
      </c>
      <c r="K944" t="n">
        <v>0</v>
      </c>
      <c r="L944" t="n">
        <v>0</v>
      </c>
      <c r="M944" t="n">
        <v>0</v>
      </c>
      <c r="N944" t="n">
        <v>0</v>
      </c>
      <c r="O944" t="n">
        <v>0</v>
      </c>
      <c r="P944" t="n">
        <v>0</v>
      </c>
      <c r="Q944" t="n">
        <v>0</v>
      </c>
      <c r="R944" s="2" t="inlineStr"/>
    </row>
    <row r="945" ht="15" customHeight="1">
      <c r="A945" t="inlineStr">
        <is>
          <t>A 61814-2024</t>
        </is>
      </c>
      <c r="B945" s="1" t="n">
        <v>45646</v>
      </c>
      <c r="C945" s="1" t="n">
        <v>45915</v>
      </c>
      <c r="D945" t="inlineStr">
        <is>
          <t>VÄRMLANDS LÄN</t>
        </is>
      </c>
      <c r="E945" t="inlineStr">
        <is>
          <t>ÅRJÄNG</t>
        </is>
      </c>
      <c r="G945" t="n">
        <v>5.3</v>
      </c>
      <c r="H945" t="n">
        <v>0</v>
      </c>
      <c r="I945" t="n">
        <v>0</v>
      </c>
      <c r="J945" t="n">
        <v>0</v>
      </c>
      <c r="K945" t="n">
        <v>0</v>
      </c>
      <c r="L945" t="n">
        <v>0</v>
      </c>
      <c r="M945" t="n">
        <v>0</v>
      </c>
      <c r="N945" t="n">
        <v>0</v>
      </c>
      <c r="O945" t="n">
        <v>0</v>
      </c>
      <c r="P945" t="n">
        <v>0</v>
      </c>
      <c r="Q945" t="n">
        <v>0</v>
      </c>
      <c r="R945" s="2" t="inlineStr"/>
    </row>
    <row r="946" ht="15" customHeight="1">
      <c r="A946" t="inlineStr">
        <is>
          <t>A 15575-2025</t>
        </is>
      </c>
      <c r="B946" s="1" t="n">
        <v>45747</v>
      </c>
      <c r="C946" s="1" t="n">
        <v>45915</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15577-2025</t>
        </is>
      </c>
      <c r="B947" s="1" t="n">
        <v>45747</v>
      </c>
      <c r="C947" s="1" t="n">
        <v>45915</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23871-2023</t>
        </is>
      </c>
      <c r="B948" s="1" t="n">
        <v>45078</v>
      </c>
      <c r="C948" s="1" t="n">
        <v>45915</v>
      </c>
      <c r="D948" t="inlineStr">
        <is>
          <t>VÄRMLANDS LÄN</t>
        </is>
      </c>
      <c r="E948" t="inlineStr">
        <is>
          <t>ÅRJÄNG</t>
        </is>
      </c>
      <c r="G948" t="n">
        <v>4</v>
      </c>
      <c r="H948" t="n">
        <v>0</v>
      </c>
      <c r="I948" t="n">
        <v>0</v>
      </c>
      <c r="J948" t="n">
        <v>0</v>
      </c>
      <c r="K948" t="n">
        <v>0</v>
      </c>
      <c r="L948" t="n">
        <v>0</v>
      </c>
      <c r="M948" t="n">
        <v>0</v>
      </c>
      <c r="N948" t="n">
        <v>0</v>
      </c>
      <c r="O948" t="n">
        <v>0</v>
      </c>
      <c r="P948" t="n">
        <v>0</v>
      </c>
      <c r="Q948" t="n">
        <v>0</v>
      </c>
      <c r="R948" s="2" t="inlineStr"/>
    </row>
    <row r="949" ht="15" customHeight="1">
      <c r="A949" t="inlineStr">
        <is>
          <t>A 15237-2025</t>
        </is>
      </c>
      <c r="B949" s="1" t="n">
        <v>45744</v>
      </c>
      <c r="C949" s="1" t="n">
        <v>45915</v>
      </c>
      <c r="D949" t="inlineStr">
        <is>
          <t>VÄRMLANDS LÄN</t>
        </is>
      </c>
      <c r="E949" t="inlineStr">
        <is>
          <t>ÅRJÄNG</t>
        </is>
      </c>
      <c r="G949" t="n">
        <v>29.5</v>
      </c>
      <c r="H949" t="n">
        <v>0</v>
      </c>
      <c r="I949" t="n">
        <v>0</v>
      </c>
      <c r="J949" t="n">
        <v>0</v>
      </c>
      <c r="K949" t="n">
        <v>0</v>
      </c>
      <c r="L949" t="n">
        <v>0</v>
      </c>
      <c r="M949" t="n">
        <v>0</v>
      </c>
      <c r="N949" t="n">
        <v>0</v>
      </c>
      <c r="O949" t="n">
        <v>0</v>
      </c>
      <c r="P949" t="n">
        <v>0</v>
      </c>
      <c r="Q949" t="n">
        <v>0</v>
      </c>
      <c r="R949" s="2" t="inlineStr"/>
    </row>
    <row r="950" ht="15" customHeight="1">
      <c r="A950" t="inlineStr">
        <is>
          <t>A 37662-2025</t>
        </is>
      </c>
      <c r="B950" s="1" t="n">
        <v>45880</v>
      </c>
      <c r="C950" s="1" t="n">
        <v>45915</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38867-2025</t>
        </is>
      </c>
      <c r="B951" s="1" t="n">
        <v>45887</v>
      </c>
      <c r="C951" s="1" t="n">
        <v>45915</v>
      </c>
      <c r="D951" t="inlineStr">
        <is>
          <t>VÄRMLANDS LÄN</t>
        </is>
      </c>
      <c r="E951" t="inlineStr">
        <is>
          <t>ÅRJÄNG</t>
        </is>
      </c>
      <c r="G951" t="n">
        <v>5.7</v>
      </c>
      <c r="H951" t="n">
        <v>0</v>
      </c>
      <c r="I951" t="n">
        <v>0</v>
      </c>
      <c r="J951" t="n">
        <v>0</v>
      </c>
      <c r="K951" t="n">
        <v>0</v>
      </c>
      <c r="L951" t="n">
        <v>0</v>
      </c>
      <c r="M951" t="n">
        <v>0</v>
      </c>
      <c r="N951" t="n">
        <v>0</v>
      </c>
      <c r="O951" t="n">
        <v>0</v>
      </c>
      <c r="P951" t="n">
        <v>0</v>
      </c>
      <c r="Q951" t="n">
        <v>0</v>
      </c>
      <c r="R951" s="2" t="inlineStr"/>
    </row>
    <row r="952" ht="15" customHeight="1">
      <c r="A952" t="inlineStr">
        <is>
          <t>A 38482-2024</t>
        </is>
      </c>
      <c r="B952" s="1" t="n">
        <v>45546</v>
      </c>
      <c r="C952" s="1" t="n">
        <v>45915</v>
      </c>
      <c r="D952" t="inlineStr">
        <is>
          <t>VÄRMLANDS LÄN</t>
        </is>
      </c>
      <c r="E952" t="inlineStr">
        <is>
          <t>ÅRJÄNG</t>
        </is>
      </c>
      <c r="G952" t="n">
        <v>2.8</v>
      </c>
      <c r="H952" t="n">
        <v>0</v>
      </c>
      <c r="I952" t="n">
        <v>0</v>
      </c>
      <c r="J952" t="n">
        <v>0</v>
      </c>
      <c r="K952" t="n">
        <v>0</v>
      </c>
      <c r="L952" t="n">
        <v>0</v>
      </c>
      <c r="M952" t="n">
        <v>0</v>
      </c>
      <c r="N952" t="n">
        <v>0</v>
      </c>
      <c r="O952" t="n">
        <v>0</v>
      </c>
      <c r="P952" t="n">
        <v>0</v>
      </c>
      <c r="Q952" t="n">
        <v>0</v>
      </c>
      <c r="R952" s="2" t="inlineStr"/>
    </row>
    <row r="953" ht="15" customHeight="1">
      <c r="A953" t="inlineStr">
        <is>
          <t>A 39094-2025</t>
        </is>
      </c>
      <c r="B953" s="1" t="n">
        <v>45888.4933912037</v>
      </c>
      <c r="C953" s="1" t="n">
        <v>45915</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33993-2025</t>
        </is>
      </c>
      <c r="B954" s="1" t="n">
        <v>45843.61189814815</v>
      </c>
      <c r="C954" s="1" t="n">
        <v>45915</v>
      </c>
      <c r="D954" t="inlineStr">
        <is>
          <t>VÄRMLANDS LÄN</t>
        </is>
      </c>
      <c r="E954" t="inlineStr">
        <is>
          <t>ÅRJÄNG</t>
        </is>
      </c>
      <c r="G954" t="n">
        <v>2.4</v>
      </c>
      <c r="H954" t="n">
        <v>0</v>
      </c>
      <c r="I954" t="n">
        <v>0</v>
      </c>
      <c r="J954" t="n">
        <v>0</v>
      </c>
      <c r="K954" t="n">
        <v>0</v>
      </c>
      <c r="L954" t="n">
        <v>0</v>
      </c>
      <c r="M954" t="n">
        <v>0</v>
      </c>
      <c r="N954" t="n">
        <v>0</v>
      </c>
      <c r="O954" t="n">
        <v>0</v>
      </c>
      <c r="P954" t="n">
        <v>0</v>
      </c>
      <c r="Q954" t="n">
        <v>0</v>
      </c>
      <c r="R954" s="2" t="inlineStr"/>
    </row>
    <row r="955" ht="15" customHeight="1">
      <c r="A955" t="inlineStr">
        <is>
          <t>A 34148-2025</t>
        </is>
      </c>
      <c r="B955" s="1" t="n">
        <v>45844</v>
      </c>
      <c r="C955" s="1" t="n">
        <v>45915</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33998-2025</t>
        </is>
      </c>
      <c r="B956" s="1" t="n">
        <v>45843.99453703704</v>
      </c>
      <c r="C956" s="1" t="n">
        <v>45915</v>
      </c>
      <c r="D956" t="inlineStr">
        <is>
          <t>VÄRMLANDS LÄN</t>
        </is>
      </c>
      <c r="E956" t="inlineStr">
        <is>
          <t>ÅRJÄNG</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34243-2025</t>
        </is>
      </c>
      <c r="B957" s="1" t="n">
        <v>45845</v>
      </c>
      <c r="C957" s="1" t="n">
        <v>45915</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37681-2025</t>
        </is>
      </c>
      <c r="B958" s="1" t="n">
        <v>45880</v>
      </c>
      <c r="C958" s="1" t="n">
        <v>45915</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39096-2025</t>
        </is>
      </c>
      <c r="B959" s="1" t="n">
        <v>45888.50145833333</v>
      </c>
      <c r="C959" s="1" t="n">
        <v>45915</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6354-2024</t>
        </is>
      </c>
      <c r="B960" s="1" t="n">
        <v>45338.46987268519</v>
      </c>
      <c r="C960" s="1" t="n">
        <v>45915</v>
      </c>
      <c r="D960" t="inlineStr">
        <is>
          <t>VÄRMLANDS LÄN</t>
        </is>
      </c>
      <c r="E960" t="inlineStr">
        <is>
          <t>ÅRJÄNG</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34248-2025</t>
        </is>
      </c>
      <c r="B961" s="1" t="n">
        <v>45845</v>
      </c>
      <c r="C961" s="1" t="n">
        <v>45915</v>
      </c>
      <c r="D961" t="inlineStr">
        <is>
          <t>VÄRMLANDS LÄN</t>
        </is>
      </c>
      <c r="E961" t="inlineStr">
        <is>
          <t>ÅRJÄNG</t>
        </is>
      </c>
      <c r="G961" t="n">
        <v>2.7</v>
      </c>
      <c r="H961" t="n">
        <v>0</v>
      </c>
      <c r="I961" t="n">
        <v>0</v>
      </c>
      <c r="J961" t="n">
        <v>0</v>
      </c>
      <c r="K961" t="n">
        <v>0</v>
      </c>
      <c r="L961" t="n">
        <v>0</v>
      </c>
      <c r="M961" t="n">
        <v>0</v>
      </c>
      <c r="N961" t="n">
        <v>0</v>
      </c>
      <c r="O961" t="n">
        <v>0</v>
      </c>
      <c r="P961" t="n">
        <v>0</v>
      </c>
      <c r="Q961" t="n">
        <v>0</v>
      </c>
      <c r="R961" s="2" t="inlineStr"/>
    </row>
    <row r="962" ht="15" customHeight="1">
      <c r="A962" t="inlineStr">
        <is>
          <t>A 34252-2025</t>
        </is>
      </c>
      <c r="B962" s="1" t="n">
        <v>45845</v>
      </c>
      <c r="C962" s="1" t="n">
        <v>45915</v>
      </c>
      <c r="D962" t="inlineStr">
        <is>
          <t>VÄRMLANDS LÄN</t>
        </is>
      </c>
      <c r="E962" t="inlineStr">
        <is>
          <t>ÅRJÄNG</t>
        </is>
      </c>
      <c r="G962" t="n">
        <v>7.1</v>
      </c>
      <c r="H962" t="n">
        <v>0</v>
      </c>
      <c r="I962" t="n">
        <v>0</v>
      </c>
      <c r="J962" t="n">
        <v>0</v>
      </c>
      <c r="K962" t="n">
        <v>0</v>
      </c>
      <c r="L962" t="n">
        <v>0</v>
      </c>
      <c r="M962" t="n">
        <v>0</v>
      </c>
      <c r="N962" t="n">
        <v>0</v>
      </c>
      <c r="O962" t="n">
        <v>0</v>
      </c>
      <c r="P962" t="n">
        <v>0</v>
      </c>
      <c r="Q962" t="n">
        <v>0</v>
      </c>
      <c r="R962" s="2" t="inlineStr"/>
      <c r="U962">
        <f>HYPERLINK("https://klasma.github.io/Logging_1765/knärot/A 34252-2025 karta knärot.png", "A 34252-2025")</f>
        <v/>
      </c>
      <c r="V962">
        <f>HYPERLINK("https://klasma.github.io/Logging_1765/klagomål/A 34252-2025 FSC-klagomål.docx", "A 34252-2025")</f>
        <v/>
      </c>
      <c r="W962">
        <f>HYPERLINK("https://klasma.github.io/Logging_1765/klagomålsmail/A 34252-2025 FSC-klagomål mail.docx", "A 34252-2025")</f>
        <v/>
      </c>
      <c r="X962">
        <f>HYPERLINK("https://klasma.github.io/Logging_1765/tillsyn/A 34252-2025 tillsynsbegäran.docx", "A 34252-2025")</f>
        <v/>
      </c>
      <c r="Y962">
        <f>HYPERLINK("https://klasma.github.io/Logging_1765/tillsynsmail/A 34252-2025 tillsynsbegäran mail.docx", "A 34252-2025")</f>
        <v/>
      </c>
    </row>
    <row r="963" ht="15" customHeight="1">
      <c r="A963" t="inlineStr">
        <is>
          <t>A 34077-2025</t>
        </is>
      </c>
      <c r="B963" s="1" t="n">
        <v>45845.45206018518</v>
      </c>
      <c r="C963" s="1" t="n">
        <v>45915</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21519-2024</t>
        </is>
      </c>
      <c r="B964" s="1" t="n">
        <v>45441</v>
      </c>
      <c r="C964" s="1" t="n">
        <v>45915</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11776-2025</t>
        </is>
      </c>
      <c r="B965" s="1" t="n">
        <v>45727.70334490741</v>
      </c>
      <c r="C965" s="1" t="n">
        <v>45915</v>
      </c>
      <c r="D965" t="inlineStr">
        <is>
          <t>VÄRMLANDS LÄN</t>
        </is>
      </c>
      <c r="E965" t="inlineStr">
        <is>
          <t>ÅRJÄNG</t>
        </is>
      </c>
      <c r="G965" t="n">
        <v>7.2</v>
      </c>
      <c r="H965" t="n">
        <v>0</v>
      </c>
      <c r="I965" t="n">
        <v>0</v>
      </c>
      <c r="J965" t="n">
        <v>0</v>
      </c>
      <c r="K965" t="n">
        <v>0</v>
      </c>
      <c r="L965" t="n">
        <v>0</v>
      </c>
      <c r="M965" t="n">
        <v>0</v>
      </c>
      <c r="N965" t="n">
        <v>0</v>
      </c>
      <c r="O965" t="n">
        <v>0</v>
      </c>
      <c r="P965" t="n">
        <v>0</v>
      </c>
      <c r="Q965" t="n">
        <v>0</v>
      </c>
      <c r="R965" s="2" t="inlineStr"/>
    </row>
    <row r="966" ht="15" customHeight="1">
      <c r="A966" t="inlineStr">
        <is>
          <t>A 13784-2024</t>
        </is>
      </c>
      <c r="B966" s="1" t="n">
        <v>45391.33817129629</v>
      </c>
      <c r="C966" s="1" t="n">
        <v>45915</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39079-2025</t>
        </is>
      </c>
      <c r="B967" s="1" t="n">
        <v>45888.48422453704</v>
      </c>
      <c r="C967" s="1" t="n">
        <v>45915</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45915</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34235-2025</t>
        </is>
      </c>
      <c r="B969" s="1" t="n">
        <v>45845</v>
      </c>
      <c r="C969" s="1" t="n">
        <v>45915</v>
      </c>
      <c r="D969" t="inlineStr">
        <is>
          <t>VÄRMLANDS LÄN</t>
        </is>
      </c>
      <c r="E969" t="inlineStr">
        <is>
          <t>ÅRJÄNG</t>
        </is>
      </c>
      <c r="G969" t="n">
        <v>3.5</v>
      </c>
      <c r="H969" t="n">
        <v>0</v>
      </c>
      <c r="I969" t="n">
        <v>0</v>
      </c>
      <c r="J969" t="n">
        <v>0</v>
      </c>
      <c r="K969" t="n">
        <v>0</v>
      </c>
      <c r="L969" t="n">
        <v>0</v>
      </c>
      <c r="M969" t="n">
        <v>0</v>
      </c>
      <c r="N969" t="n">
        <v>0</v>
      </c>
      <c r="O969" t="n">
        <v>0</v>
      </c>
      <c r="P969" t="n">
        <v>0</v>
      </c>
      <c r="Q969" t="n">
        <v>0</v>
      </c>
      <c r="R969" s="2" t="inlineStr"/>
    </row>
    <row r="970" ht="15" customHeight="1">
      <c r="A970" t="inlineStr">
        <is>
          <t>A 20337-2023</t>
        </is>
      </c>
      <c r="B970" s="1" t="n">
        <v>45056.48157407407</v>
      </c>
      <c r="C970" s="1" t="n">
        <v>45915</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65837-2021</t>
        </is>
      </c>
      <c r="B971" s="1" t="n">
        <v>44517.35402777778</v>
      </c>
      <c r="C971" s="1" t="n">
        <v>45915</v>
      </c>
      <c r="D971" t="inlineStr">
        <is>
          <t>VÄRMLANDS LÄN</t>
        </is>
      </c>
      <c r="E971" t="inlineStr">
        <is>
          <t>ÅRJÄNG</t>
        </is>
      </c>
      <c r="G971" t="n">
        <v>6.8</v>
      </c>
      <c r="H971" t="n">
        <v>0</v>
      </c>
      <c r="I971" t="n">
        <v>0</v>
      </c>
      <c r="J971" t="n">
        <v>0</v>
      </c>
      <c r="K971" t="n">
        <v>0</v>
      </c>
      <c r="L971" t="n">
        <v>0</v>
      </c>
      <c r="M971" t="n">
        <v>0</v>
      </c>
      <c r="N971" t="n">
        <v>0</v>
      </c>
      <c r="O971" t="n">
        <v>0</v>
      </c>
      <c r="P971" t="n">
        <v>0</v>
      </c>
      <c r="Q971" t="n">
        <v>0</v>
      </c>
      <c r="R971" s="2" t="inlineStr"/>
    </row>
    <row r="972" ht="15" customHeight="1">
      <c r="A972" t="inlineStr">
        <is>
          <t>A 42045-2024</t>
        </is>
      </c>
      <c r="B972" s="1" t="n">
        <v>45561</v>
      </c>
      <c r="C972" s="1" t="n">
        <v>45915</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49405-2022</t>
        </is>
      </c>
      <c r="B973" s="1" t="n">
        <v>44861.63182870371</v>
      </c>
      <c r="C973" s="1" t="n">
        <v>45915</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44417-2021</t>
        </is>
      </c>
      <c r="B974" s="1" t="n">
        <v>44435.50591435185</v>
      </c>
      <c r="C974" s="1" t="n">
        <v>45915</v>
      </c>
      <c r="D974" t="inlineStr">
        <is>
          <t>VÄRMLANDS LÄN</t>
        </is>
      </c>
      <c r="E974" t="inlineStr">
        <is>
          <t>ÅRJÄNG</t>
        </is>
      </c>
      <c r="G974" t="n">
        <v>32.2</v>
      </c>
      <c r="H974" t="n">
        <v>0</v>
      </c>
      <c r="I974" t="n">
        <v>0</v>
      </c>
      <c r="J974" t="n">
        <v>0</v>
      </c>
      <c r="K974" t="n">
        <v>0</v>
      </c>
      <c r="L974" t="n">
        <v>0</v>
      </c>
      <c r="M974" t="n">
        <v>0</v>
      </c>
      <c r="N974" t="n">
        <v>0</v>
      </c>
      <c r="O974" t="n">
        <v>0</v>
      </c>
      <c r="P974" t="n">
        <v>0</v>
      </c>
      <c r="Q974" t="n">
        <v>0</v>
      </c>
      <c r="R974" s="2" t="inlineStr"/>
    </row>
    <row r="975" ht="15" customHeight="1">
      <c r="A975" t="inlineStr">
        <is>
          <t>A 21362-2022</t>
        </is>
      </c>
      <c r="B975" s="1" t="n">
        <v>44705</v>
      </c>
      <c r="C975" s="1" t="n">
        <v>45915</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39578-2025</t>
        </is>
      </c>
      <c r="B976" s="1" t="n">
        <v>45890.49292824074</v>
      </c>
      <c r="C976" s="1" t="n">
        <v>45915</v>
      </c>
      <c r="D976" t="inlineStr">
        <is>
          <t>VÄRMLANDS LÄN</t>
        </is>
      </c>
      <c r="E976" t="inlineStr">
        <is>
          <t>ÅRJÄNG</t>
        </is>
      </c>
      <c r="G976" t="n">
        <v>5.5</v>
      </c>
      <c r="H976" t="n">
        <v>0</v>
      </c>
      <c r="I976" t="n">
        <v>0</v>
      </c>
      <c r="J976" t="n">
        <v>0</v>
      </c>
      <c r="K976" t="n">
        <v>0</v>
      </c>
      <c r="L976" t="n">
        <v>0</v>
      </c>
      <c r="M976" t="n">
        <v>0</v>
      </c>
      <c r="N976" t="n">
        <v>0</v>
      </c>
      <c r="O976" t="n">
        <v>0</v>
      </c>
      <c r="P976" t="n">
        <v>0</v>
      </c>
      <c r="Q976" t="n">
        <v>0</v>
      </c>
      <c r="R976" s="2" t="inlineStr"/>
    </row>
    <row r="977" ht="15" customHeight="1">
      <c r="A977" t="inlineStr">
        <is>
          <t>A 65854-2021</t>
        </is>
      </c>
      <c r="B977" s="1" t="n">
        <v>44517.37467592592</v>
      </c>
      <c r="C977" s="1" t="n">
        <v>45915</v>
      </c>
      <c r="D977" t="inlineStr">
        <is>
          <t>VÄRMLANDS LÄN</t>
        </is>
      </c>
      <c r="E977" t="inlineStr">
        <is>
          <t>ÅRJÄNG</t>
        </is>
      </c>
      <c r="G977" t="n">
        <v>11.1</v>
      </c>
      <c r="H977" t="n">
        <v>0</v>
      </c>
      <c r="I977" t="n">
        <v>0</v>
      </c>
      <c r="J977" t="n">
        <v>0</v>
      </c>
      <c r="K977" t="n">
        <v>0</v>
      </c>
      <c r="L977" t="n">
        <v>0</v>
      </c>
      <c r="M977" t="n">
        <v>0</v>
      </c>
      <c r="N977" t="n">
        <v>0</v>
      </c>
      <c r="O977" t="n">
        <v>0</v>
      </c>
      <c r="P977" t="n">
        <v>0</v>
      </c>
      <c r="Q977" t="n">
        <v>0</v>
      </c>
      <c r="R977" s="2" t="inlineStr"/>
    </row>
    <row r="978" ht="15" customHeight="1">
      <c r="A978" t="inlineStr">
        <is>
          <t>A 42149-2024</t>
        </is>
      </c>
      <c r="B978" s="1" t="n">
        <v>45562.44591435185</v>
      </c>
      <c r="C978" s="1" t="n">
        <v>45915</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25495-2024</t>
        </is>
      </c>
      <c r="B979" s="1" t="n">
        <v>45463</v>
      </c>
      <c r="C979" s="1" t="n">
        <v>45915</v>
      </c>
      <c r="D979" t="inlineStr">
        <is>
          <t>VÄRMLANDS LÄN</t>
        </is>
      </c>
      <c r="E979" t="inlineStr">
        <is>
          <t>ÅRJÄNG</t>
        </is>
      </c>
      <c r="F979" t="inlineStr">
        <is>
          <t>Kyrkan</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8951-2021</t>
        </is>
      </c>
      <c r="B980" s="1" t="n">
        <v>44246</v>
      </c>
      <c r="C980" s="1" t="n">
        <v>45915</v>
      </c>
      <c r="D980" t="inlineStr">
        <is>
          <t>VÄRMLANDS LÄN</t>
        </is>
      </c>
      <c r="E980" t="inlineStr">
        <is>
          <t>ÅRJÄNG</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47223-2021</t>
        </is>
      </c>
      <c r="B981" s="1" t="n">
        <v>44446</v>
      </c>
      <c r="C981" s="1" t="n">
        <v>45915</v>
      </c>
      <c r="D981" t="inlineStr">
        <is>
          <t>VÄRMLANDS LÄN</t>
        </is>
      </c>
      <c r="E981" t="inlineStr">
        <is>
          <t>ÅRJÄNG</t>
        </is>
      </c>
      <c r="G981" t="n">
        <v>5.4</v>
      </c>
      <c r="H981" t="n">
        <v>0</v>
      </c>
      <c r="I981" t="n">
        <v>0</v>
      </c>
      <c r="J981" t="n">
        <v>0</v>
      </c>
      <c r="K981" t="n">
        <v>0</v>
      </c>
      <c r="L981" t="n">
        <v>0</v>
      </c>
      <c r="M981" t="n">
        <v>0</v>
      </c>
      <c r="N981" t="n">
        <v>0</v>
      </c>
      <c r="O981" t="n">
        <v>0</v>
      </c>
      <c r="P981" t="n">
        <v>0</v>
      </c>
      <c r="Q981" t="n">
        <v>0</v>
      </c>
      <c r="R981" s="2" t="inlineStr"/>
    </row>
    <row r="982" ht="15" customHeight="1">
      <c r="A982" t="inlineStr">
        <is>
          <t>A 11793-2023</t>
        </is>
      </c>
      <c r="B982" s="1" t="n">
        <v>44993</v>
      </c>
      <c r="C982" s="1" t="n">
        <v>45915</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39369-2025</t>
        </is>
      </c>
      <c r="B983" s="1" t="n">
        <v>45889.57848379629</v>
      </c>
      <c r="C983" s="1" t="n">
        <v>45915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4748-2023</t>
        </is>
      </c>
      <c r="B984" s="1" t="n">
        <v>44957</v>
      </c>
      <c r="C984" s="1" t="n">
        <v>45915</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43244-2023</t>
        </is>
      </c>
      <c r="B985" s="1" t="n">
        <v>45183.48121527778</v>
      </c>
      <c r="C985" s="1" t="n">
        <v>45915</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45915</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37555-2025</t>
        </is>
      </c>
      <c r="B987" s="1" t="n">
        <v>45880</v>
      </c>
      <c r="C987" s="1" t="n">
        <v>45915</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22032-2023</t>
        </is>
      </c>
      <c r="B988" s="1" t="n">
        <v>45069.35378472223</v>
      </c>
      <c r="C988" s="1" t="n">
        <v>45915</v>
      </c>
      <c r="D988" t="inlineStr">
        <is>
          <t>VÄRMLANDS LÄN</t>
        </is>
      </c>
      <c r="E988" t="inlineStr">
        <is>
          <t>ÅRJÄNG</t>
        </is>
      </c>
      <c r="G988" t="n">
        <v>2.4</v>
      </c>
      <c r="H988" t="n">
        <v>0</v>
      </c>
      <c r="I988" t="n">
        <v>0</v>
      </c>
      <c r="J988" t="n">
        <v>0</v>
      </c>
      <c r="K988" t="n">
        <v>0</v>
      </c>
      <c r="L988" t="n">
        <v>0</v>
      </c>
      <c r="M988" t="n">
        <v>0</v>
      </c>
      <c r="N988" t="n">
        <v>0</v>
      </c>
      <c r="O988" t="n">
        <v>0</v>
      </c>
      <c r="P988" t="n">
        <v>0</v>
      </c>
      <c r="Q988" t="n">
        <v>0</v>
      </c>
      <c r="R988" s="2" t="inlineStr"/>
    </row>
    <row r="989" ht="15" customHeight="1">
      <c r="A989" t="inlineStr">
        <is>
          <t>A 32367-2023</t>
        </is>
      </c>
      <c r="B989" s="1" t="n">
        <v>45120.57167824074</v>
      </c>
      <c r="C989" s="1" t="n">
        <v>45915</v>
      </c>
      <c r="D989" t="inlineStr">
        <is>
          <t>VÄRMLANDS LÄN</t>
        </is>
      </c>
      <c r="E989" t="inlineStr">
        <is>
          <t>ÅRJÄNG</t>
        </is>
      </c>
      <c r="G989" t="n">
        <v>2.8</v>
      </c>
      <c r="H989" t="n">
        <v>0</v>
      </c>
      <c r="I989" t="n">
        <v>0</v>
      </c>
      <c r="J989" t="n">
        <v>0</v>
      </c>
      <c r="K989" t="n">
        <v>0</v>
      </c>
      <c r="L989" t="n">
        <v>0</v>
      </c>
      <c r="M989" t="n">
        <v>0</v>
      </c>
      <c r="N989" t="n">
        <v>0</v>
      </c>
      <c r="O989" t="n">
        <v>0</v>
      </c>
      <c r="P989" t="n">
        <v>0</v>
      </c>
      <c r="Q989" t="n">
        <v>0</v>
      </c>
      <c r="R989" s="2" t="inlineStr"/>
    </row>
    <row r="990" ht="15" customHeight="1">
      <c r="A990" t="inlineStr">
        <is>
          <t>A 32373-2023</t>
        </is>
      </c>
      <c r="B990" s="1" t="n">
        <v>45120.58025462963</v>
      </c>
      <c r="C990" s="1" t="n">
        <v>45915</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56682-2021</t>
        </is>
      </c>
      <c r="B991" s="1" t="n">
        <v>44481</v>
      </c>
      <c r="C991" s="1" t="n">
        <v>45915</v>
      </c>
      <c r="D991" t="inlineStr">
        <is>
          <t>VÄRMLANDS LÄN</t>
        </is>
      </c>
      <c r="E991" t="inlineStr">
        <is>
          <t>ÅRJÄNG</t>
        </is>
      </c>
      <c r="G991" t="n">
        <v>2.5</v>
      </c>
      <c r="H991" t="n">
        <v>0</v>
      </c>
      <c r="I991" t="n">
        <v>0</v>
      </c>
      <c r="J991" t="n">
        <v>0</v>
      </c>
      <c r="K991" t="n">
        <v>0</v>
      </c>
      <c r="L991" t="n">
        <v>0</v>
      </c>
      <c r="M991" t="n">
        <v>0</v>
      </c>
      <c r="N991" t="n">
        <v>0</v>
      </c>
      <c r="O991" t="n">
        <v>0</v>
      </c>
      <c r="P991" t="n">
        <v>0</v>
      </c>
      <c r="Q991" t="n">
        <v>0</v>
      </c>
      <c r="R991" s="2" t="inlineStr"/>
    </row>
    <row r="992" ht="15" customHeight="1">
      <c r="A992" t="inlineStr">
        <is>
          <t>A 42141-2024</t>
        </is>
      </c>
      <c r="B992" s="1" t="n">
        <v>45562.43354166667</v>
      </c>
      <c r="C992" s="1" t="n">
        <v>45915</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11026-2023</t>
        </is>
      </c>
      <c r="B993" s="1" t="n">
        <v>44991</v>
      </c>
      <c r="C993" s="1" t="n">
        <v>45915</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42455-2024</t>
        </is>
      </c>
      <c r="B994" s="1" t="n">
        <v>45565</v>
      </c>
      <c r="C994" s="1" t="n">
        <v>45915</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39905-2025</t>
        </is>
      </c>
      <c r="B995" s="1" t="n">
        <v>45891.63949074074</v>
      </c>
      <c r="C995" s="1" t="n">
        <v>45915</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39725-2025</t>
        </is>
      </c>
      <c r="B996" s="1" t="n">
        <v>45891</v>
      </c>
      <c r="C996" s="1" t="n">
        <v>45915</v>
      </c>
      <c r="D996" t="inlineStr">
        <is>
          <t>VÄRMLANDS LÄN</t>
        </is>
      </c>
      <c r="E996" t="inlineStr">
        <is>
          <t>ÅRJÄNG</t>
        </is>
      </c>
      <c r="G996" t="n">
        <v>4.2</v>
      </c>
      <c r="H996" t="n">
        <v>0</v>
      </c>
      <c r="I996" t="n">
        <v>0</v>
      </c>
      <c r="J996" t="n">
        <v>0</v>
      </c>
      <c r="K996" t="n">
        <v>0</v>
      </c>
      <c r="L996" t="n">
        <v>0</v>
      </c>
      <c r="M996" t="n">
        <v>0</v>
      </c>
      <c r="N996" t="n">
        <v>0</v>
      </c>
      <c r="O996" t="n">
        <v>0</v>
      </c>
      <c r="P996" t="n">
        <v>0</v>
      </c>
      <c r="Q996" t="n">
        <v>0</v>
      </c>
      <c r="R996" s="2" t="inlineStr"/>
    </row>
    <row r="997" ht="15" customHeight="1">
      <c r="A997" t="inlineStr">
        <is>
          <t>A 36780-2025</t>
        </is>
      </c>
      <c r="B997" s="1" t="n">
        <v>45873</v>
      </c>
      <c r="C997" s="1" t="n">
        <v>45915</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40232-2025</t>
        </is>
      </c>
      <c r="B998" s="1" t="n">
        <v>45894.7147800926</v>
      </c>
      <c r="C998" s="1" t="n">
        <v>45915</v>
      </c>
      <c r="D998" t="inlineStr">
        <is>
          <t>VÄRMLANDS LÄN</t>
        </is>
      </c>
      <c r="E998" t="inlineStr">
        <is>
          <t>ÅRJÄNG</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34839-2025</t>
        </is>
      </c>
      <c r="B999" s="1" t="n">
        <v>45849.39505787037</v>
      </c>
      <c r="C999" s="1" t="n">
        <v>45915</v>
      </c>
      <c r="D999" t="inlineStr">
        <is>
          <t>VÄRMLANDS LÄN</t>
        </is>
      </c>
      <c r="E999" t="inlineStr">
        <is>
          <t>ÅRJÄNG</t>
        </is>
      </c>
      <c r="G999" t="n">
        <v>3.7</v>
      </c>
      <c r="H999" t="n">
        <v>0</v>
      </c>
      <c r="I999" t="n">
        <v>0</v>
      </c>
      <c r="J999" t="n">
        <v>0</v>
      </c>
      <c r="K999" t="n">
        <v>0</v>
      </c>
      <c r="L999" t="n">
        <v>0</v>
      </c>
      <c r="M999" t="n">
        <v>0</v>
      </c>
      <c r="N999" t="n">
        <v>0</v>
      </c>
      <c r="O999" t="n">
        <v>0</v>
      </c>
      <c r="P999" t="n">
        <v>0</v>
      </c>
      <c r="Q999" t="n">
        <v>0</v>
      </c>
      <c r="R999" s="2" t="inlineStr"/>
    </row>
    <row r="1000" ht="15" customHeight="1">
      <c r="A1000" t="inlineStr">
        <is>
          <t>A 3796-2021</t>
        </is>
      </c>
      <c r="B1000" s="1" t="n">
        <v>44221</v>
      </c>
      <c r="C1000" s="1" t="n">
        <v>45915</v>
      </c>
      <c r="D1000" t="inlineStr">
        <is>
          <t>VÄRMLANDS LÄN</t>
        </is>
      </c>
      <c r="E1000" t="inlineStr">
        <is>
          <t>ÅRJÄNG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40219-2025</t>
        </is>
      </c>
      <c r="B1001" s="1" t="n">
        <v>45894.69025462963</v>
      </c>
      <c r="C1001" s="1" t="n">
        <v>45915</v>
      </c>
      <c r="D1001" t="inlineStr">
        <is>
          <t>VÄRMLANDS LÄN</t>
        </is>
      </c>
      <c r="E1001" t="inlineStr">
        <is>
          <t>ÅRJÄNG</t>
        </is>
      </c>
      <c r="F1001" t="inlineStr">
        <is>
          <t>Bergvik skog väst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34840-2025</t>
        </is>
      </c>
      <c r="B1002" s="1" t="n">
        <v>45849</v>
      </c>
      <c r="C1002" s="1" t="n">
        <v>45915</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49673-2022</t>
        </is>
      </c>
      <c r="B1003" s="1" t="n">
        <v>44862.47881944444</v>
      </c>
      <c r="C1003" s="1" t="n">
        <v>45915</v>
      </c>
      <c r="D1003" t="inlineStr">
        <is>
          <t>VÄRMLANDS LÄN</t>
        </is>
      </c>
      <c r="E1003" t="inlineStr">
        <is>
          <t>ÅRJÄNG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54335-2021</t>
        </is>
      </c>
      <c r="B1004" s="1" t="n">
        <v>44472.93063657408</v>
      </c>
      <c r="C1004" s="1" t="n">
        <v>45915</v>
      </c>
      <c r="D1004" t="inlineStr">
        <is>
          <t>VÄRMLANDS LÄN</t>
        </is>
      </c>
      <c r="E1004" t="inlineStr">
        <is>
          <t>ÅRJÄNG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11176-2023</t>
        </is>
      </c>
      <c r="B1005" s="1" t="n">
        <v>44987</v>
      </c>
      <c r="C1005" s="1" t="n">
        <v>45915</v>
      </c>
      <c r="D1005" t="inlineStr">
        <is>
          <t>VÄRMLANDS LÄN</t>
        </is>
      </c>
      <c r="E1005" t="inlineStr">
        <is>
          <t>ÅRJÄNG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35104-2025</t>
        </is>
      </c>
      <c r="B1006" s="1" t="n">
        <v>45852.57070601852</v>
      </c>
      <c r="C1006" s="1" t="n">
        <v>45915</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8678-2022</t>
        </is>
      </c>
      <c r="B1007" s="1" t="n">
        <v>44613.68043981482</v>
      </c>
      <c r="C1007" s="1" t="n">
        <v>45915</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36839-2025</t>
        </is>
      </c>
      <c r="B1008" s="1" t="n">
        <v>45874</v>
      </c>
      <c r="C1008" s="1" t="n">
        <v>45915</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36752-2025</t>
        </is>
      </c>
      <c r="B1009" s="1" t="n">
        <v>45873</v>
      </c>
      <c r="C1009" s="1" t="n">
        <v>45915</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61009-2022</t>
        </is>
      </c>
      <c r="B1010" s="1" t="n">
        <v>44914.7541550926</v>
      </c>
      <c r="C1010" s="1" t="n">
        <v>45915</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3861-2025</t>
        </is>
      </c>
      <c r="B1011" s="1" t="n">
        <v>45683</v>
      </c>
      <c r="C1011" s="1" t="n">
        <v>45915</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34831-2025</t>
        </is>
      </c>
      <c r="B1012" s="1" t="n">
        <v>45849</v>
      </c>
      <c r="C1012" s="1" t="n">
        <v>45915</v>
      </c>
      <c r="D1012" t="inlineStr">
        <is>
          <t>VÄRMLANDS LÄN</t>
        </is>
      </c>
      <c r="E1012" t="inlineStr">
        <is>
          <t>ÅRJÄNG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39776-2025</t>
        </is>
      </c>
      <c r="B1013" s="1" t="n">
        <v>45891</v>
      </c>
      <c r="C1013" s="1" t="n">
        <v>45915</v>
      </c>
      <c r="D1013" t="inlineStr">
        <is>
          <t>VÄRMLANDS LÄN</t>
        </is>
      </c>
      <c r="E1013" t="inlineStr">
        <is>
          <t>ÅRJÄNG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39779-2025</t>
        </is>
      </c>
      <c r="B1014" s="1" t="n">
        <v>45891</v>
      </c>
      <c r="C1014" s="1" t="n">
        <v>45915</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39781-2025</t>
        </is>
      </c>
      <c r="B1015" s="1" t="n">
        <v>45891</v>
      </c>
      <c r="C1015" s="1" t="n">
        <v>45915</v>
      </c>
      <c r="D1015" t="inlineStr">
        <is>
          <t>VÄRMLANDS LÄN</t>
        </is>
      </c>
      <c r="E1015" t="inlineStr">
        <is>
          <t>ÅRJÄNG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36827-2025</t>
        </is>
      </c>
      <c r="B1016" s="1" t="n">
        <v>45874</v>
      </c>
      <c r="C1016" s="1" t="n">
        <v>45915</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37409-2025</t>
        </is>
      </c>
      <c r="B1017" s="1" t="n">
        <v>45877</v>
      </c>
      <c r="C1017" s="1" t="n">
        <v>45915</v>
      </c>
      <c r="D1017" t="inlineStr">
        <is>
          <t>VÄRMLANDS LÄN</t>
        </is>
      </c>
      <c r="E1017" t="inlineStr">
        <is>
          <t>ÅRJÄNG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34574-2023</t>
        </is>
      </c>
      <c r="B1018" s="1" t="n">
        <v>45135</v>
      </c>
      <c r="C1018" s="1" t="n">
        <v>45915</v>
      </c>
      <c r="D1018" t="inlineStr">
        <is>
          <t>VÄRMLANDS LÄN</t>
        </is>
      </c>
      <c r="E1018" t="inlineStr">
        <is>
          <t>ÅRJÄNG</t>
        </is>
      </c>
      <c r="F1018" t="inlineStr">
        <is>
          <t>Övriga Aktiebolag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48293-2022</t>
        </is>
      </c>
      <c r="B1019" s="1" t="n">
        <v>44858.51623842592</v>
      </c>
      <c r="C1019" s="1" t="n">
        <v>45915</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35295-2025</t>
        </is>
      </c>
      <c r="B1020" s="1" t="n">
        <v>45854.40325231481</v>
      </c>
      <c r="C1020" s="1" t="n">
        <v>45915</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35304-2025</t>
        </is>
      </c>
      <c r="B1021" s="1" t="n">
        <v>45854.43931712963</v>
      </c>
      <c r="C1021" s="1" t="n">
        <v>45915</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38433-2024</t>
        </is>
      </c>
      <c r="B1022" s="1" t="n">
        <v>45546</v>
      </c>
      <c r="C1022" s="1" t="n">
        <v>45915</v>
      </c>
      <c r="D1022" t="inlineStr">
        <is>
          <t>VÄRMLANDS LÄN</t>
        </is>
      </c>
      <c r="E1022" t="inlineStr">
        <is>
          <t>ÅRJÄNG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34163-2025</t>
        </is>
      </c>
      <c r="B1023" s="1" t="n">
        <v>45844</v>
      </c>
      <c r="C1023" s="1" t="n">
        <v>45915</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40497-2025</t>
        </is>
      </c>
      <c r="B1024" s="1" t="n">
        <v>45896.32087962963</v>
      </c>
      <c r="C1024" s="1" t="n">
        <v>45915</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34075-2025</t>
        </is>
      </c>
      <c r="B1025" s="1" t="n">
        <v>45845</v>
      </c>
      <c r="C1025" s="1" t="n">
        <v>45915</v>
      </c>
      <c r="D1025" t="inlineStr">
        <is>
          <t>VÄRMLANDS LÄN</t>
        </is>
      </c>
      <c r="E1025" t="inlineStr">
        <is>
          <t>ÅRJÄNG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40602-2025</t>
        </is>
      </c>
      <c r="B1026" s="1" t="n">
        <v>45896</v>
      </c>
      <c r="C1026" s="1" t="n">
        <v>45915</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34159-2025</t>
        </is>
      </c>
      <c r="B1027" s="1" t="n">
        <v>45844</v>
      </c>
      <c r="C1027" s="1" t="n">
        <v>45915</v>
      </c>
      <c r="D1027" t="inlineStr">
        <is>
          <t>VÄRMLANDS LÄN</t>
        </is>
      </c>
      <c r="E1027" t="inlineStr">
        <is>
          <t>ÅRJÄNG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7746-2022</t>
        </is>
      </c>
      <c r="B1028" s="1" t="n">
        <v>44608.39331018519</v>
      </c>
      <c r="C1028" s="1" t="n">
        <v>45915</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34410-2023</t>
        </is>
      </c>
      <c r="B1029" s="1" t="n">
        <v>45139.56870370371</v>
      </c>
      <c r="C1029" s="1" t="n">
        <v>45915</v>
      </c>
      <c r="D1029" t="inlineStr">
        <is>
          <t>VÄRMLANDS LÄN</t>
        </is>
      </c>
      <c r="E1029" t="inlineStr">
        <is>
          <t>ÅRJÄNG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45915</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37507-2025</t>
        </is>
      </c>
      <c r="B1031" s="1" t="n">
        <v>45877</v>
      </c>
      <c r="C1031" s="1" t="n">
        <v>45915</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40699-2025</t>
        </is>
      </c>
      <c r="B1032" s="1" t="n">
        <v>45897.31958333333</v>
      </c>
      <c r="C1032" s="1" t="n">
        <v>45915</v>
      </c>
      <c r="D1032" t="inlineStr">
        <is>
          <t>VÄRMLANDS LÄN</t>
        </is>
      </c>
      <c r="E1032" t="inlineStr">
        <is>
          <t>ÅRJÄNG</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7537-2021</t>
        </is>
      </c>
      <c r="B1033" s="1" t="n">
        <v>44239</v>
      </c>
      <c r="C1033" s="1" t="n">
        <v>45915</v>
      </c>
      <c r="D1033" t="inlineStr">
        <is>
          <t>VÄRMLANDS LÄN</t>
        </is>
      </c>
      <c r="E1033" t="inlineStr">
        <is>
          <t>ÅRJÄNG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50301-2024</t>
        </is>
      </c>
      <c r="B1034" s="1" t="n">
        <v>45600</v>
      </c>
      <c r="C1034" s="1" t="n">
        <v>45915</v>
      </c>
      <c r="D1034" t="inlineStr">
        <is>
          <t>VÄRMLANDS LÄN</t>
        </is>
      </c>
      <c r="E1034" t="inlineStr">
        <is>
          <t>ÅRJÄNG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15616-2023</t>
        </is>
      </c>
      <c r="B1035" s="1" t="n">
        <v>45020.88847222222</v>
      </c>
      <c r="C1035" s="1" t="n">
        <v>45915</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5342-2022</t>
        </is>
      </c>
      <c r="B1036" s="1" t="n">
        <v>44594.72582175926</v>
      </c>
      <c r="C1036" s="1" t="n">
        <v>45915</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25654-2024</t>
        </is>
      </c>
      <c r="B1037" s="1" t="n">
        <v>45463</v>
      </c>
      <c r="C1037" s="1" t="n">
        <v>45915</v>
      </c>
      <c r="D1037" t="inlineStr">
        <is>
          <t>VÄRMLANDS LÄN</t>
        </is>
      </c>
      <c r="E1037" t="inlineStr">
        <is>
          <t>ÅRJÄNG</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30548-2023</t>
        </is>
      </c>
      <c r="B1038" s="1" t="n">
        <v>45111.77894675926</v>
      </c>
      <c r="C1038" s="1" t="n">
        <v>45915</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32776-2024</t>
        </is>
      </c>
      <c r="B1039" s="1" t="n">
        <v>45516</v>
      </c>
      <c r="C1039" s="1" t="n">
        <v>45915</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17174-2023</t>
        </is>
      </c>
      <c r="B1040" s="1" t="n">
        <v>45034</v>
      </c>
      <c r="C1040" s="1" t="n">
        <v>45915</v>
      </c>
      <c r="D1040" t="inlineStr">
        <is>
          <t>VÄRMLANDS LÄN</t>
        </is>
      </c>
      <c r="E1040" t="inlineStr">
        <is>
          <t>ÅRJÄNG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44385-2022</t>
        </is>
      </c>
      <c r="B1041" s="1" t="n">
        <v>44839</v>
      </c>
      <c r="C1041" s="1" t="n">
        <v>45915</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68180-2021</t>
        </is>
      </c>
      <c r="B1042" s="1" t="n">
        <v>44526.48689814815</v>
      </c>
      <c r="C1042" s="1" t="n">
        <v>45915</v>
      </c>
      <c r="D1042" t="inlineStr">
        <is>
          <t>VÄRMLANDS LÄN</t>
        </is>
      </c>
      <c r="E1042" t="inlineStr">
        <is>
          <t>ÅRJÄNG</t>
        </is>
      </c>
      <c r="F1042" t="inlineStr">
        <is>
          <t>Kyrkan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35414-2025</t>
        </is>
      </c>
      <c r="B1043" s="1" t="n">
        <v>45855</v>
      </c>
      <c r="C1043" s="1" t="n">
        <v>45915</v>
      </c>
      <c r="D1043" t="inlineStr">
        <is>
          <t>VÄRMLANDS LÄN</t>
        </is>
      </c>
      <c r="E1043" t="inlineStr">
        <is>
          <t>ÅRJÄNG</t>
        </is>
      </c>
      <c r="F1043" t="inlineStr">
        <is>
          <t>Bergvik skog väst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41229-2025</t>
        </is>
      </c>
      <c r="B1044" s="1" t="n">
        <v>45898.59108796297</v>
      </c>
      <c r="C1044" s="1" t="n">
        <v>45915</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28384-2022</t>
        </is>
      </c>
      <c r="B1045" s="1" t="n">
        <v>44747</v>
      </c>
      <c r="C1045" s="1" t="n">
        <v>45915</v>
      </c>
      <c r="D1045" t="inlineStr">
        <is>
          <t>VÄRMLANDS LÄN</t>
        </is>
      </c>
      <c r="E1045" t="inlineStr">
        <is>
          <t>ÅRJÄNG</t>
        </is>
      </c>
      <c r="F1045" t="inlineStr">
        <is>
          <t>Naturvårdsverket</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41488-2025</t>
        </is>
      </c>
      <c r="B1046" s="1" t="n">
        <v>45901.48288194444</v>
      </c>
      <c r="C1046" s="1" t="n">
        <v>45915</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37655-2025</t>
        </is>
      </c>
      <c r="B1047" s="1" t="n">
        <v>45880</v>
      </c>
      <c r="C1047" s="1" t="n">
        <v>45915</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49780-2024</t>
        </is>
      </c>
      <c r="B1048" s="1" t="n">
        <v>45597</v>
      </c>
      <c r="C1048" s="1" t="n">
        <v>45915</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41496-2025</t>
        </is>
      </c>
      <c r="B1049" s="1" t="n">
        <v>45901</v>
      </c>
      <c r="C1049" s="1" t="n">
        <v>45915</v>
      </c>
      <c r="D1049" t="inlineStr">
        <is>
          <t>VÄRMLANDS LÄN</t>
        </is>
      </c>
      <c r="E1049" t="inlineStr">
        <is>
          <t>ÅRJÄNG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41499-2025</t>
        </is>
      </c>
      <c r="B1050" s="1" t="n">
        <v>45901</v>
      </c>
      <c r="C1050" s="1" t="n">
        <v>45915</v>
      </c>
      <c r="D1050" t="inlineStr">
        <is>
          <t>VÄRMLANDS LÄN</t>
        </is>
      </c>
      <c r="E1050" t="inlineStr">
        <is>
          <t>ÅRJÄNG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41725-2025</t>
        </is>
      </c>
      <c r="B1051" s="1" t="n">
        <v>45902.45458333333</v>
      </c>
      <c r="C1051" s="1" t="n">
        <v>45915</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41763-2025</t>
        </is>
      </c>
      <c r="B1052" s="1" t="n">
        <v>45902.54175925926</v>
      </c>
      <c r="C1052" s="1" t="n">
        <v>45915</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47623-2024</t>
        </is>
      </c>
      <c r="B1053" s="1" t="n">
        <v>45588.33216435185</v>
      </c>
      <c r="C1053" s="1" t="n">
        <v>45915</v>
      </c>
      <c r="D1053" t="inlineStr">
        <is>
          <t>VÄRMLANDS LÄN</t>
        </is>
      </c>
      <c r="E1053" t="inlineStr">
        <is>
          <t>ÅRJÄNG</t>
        </is>
      </c>
      <c r="F1053" t="inlineStr">
        <is>
          <t>Kommuner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41467-2025</t>
        </is>
      </c>
      <c r="B1054" s="1" t="n">
        <v>45901.45755787037</v>
      </c>
      <c r="C1054" s="1" t="n">
        <v>45915</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40437-2025</t>
        </is>
      </c>
      <c r="B1055" s="1" t="n">
        <v>45895</v>
      </c>
      <c r="C1055" s="1" t="n">
        <v>45915</v>
      </c>
      <c r="D1055" t="inlineStr">
        <is>
          <t>VÄRMLANDS LÄN</t>
        </is>
      </c>
      <c r="E1055" t="inlineStr">
        <is>
          <t>ÅRJÄNG</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40449-2025</t>
        </is>
      </c>
      <c r="B1056" s="1" t="n">
        <v>45895</v>
      </c>
      <c r="C1056" s="1" t="n">
        <v>45915</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41729-2025</t>
        </is>
      </c>
      <c r="B1057" s="1" t="n">
        <v>45902.45789351852</v>
      </c>
      <c r="C1057" s="1" t="n">
        <v>45915</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60903-2023</t>
        </is>
      </c>
      <c r="B1058" s="1" t="n">
        <v>45261</v>
      </c>
      <c r="C1058" s="1" t="n">
        <v>45915</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23203-2023</t>
        </is>
      </c>
      <c r="B1059" s="1" t="n">
        <v>45075.61314814815</v>
      </c>
      <c r="C1059" s="1" t="n">
        <v>45915</v>
      </c>
      <c r="D1059" t="inlineStr">
        <is>
          <t>VÄRMLANDS LÄN</t>
        </is>
      </c>
      <c r="E1059" t="inlineStr">
        <is>
          <t>ÅRJÄNG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23212-2023</t>
        </is>
      </c>
      <c r="B1060" s="1" t="n">
        <v>45075.63211805555</v>
      </c>
      <c r="C1060" s="1" t="n">
        <v>45915</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41772-2025</t>
        </is>
      </c>
      <c r="B1061" s="1" t="n">
        <v>45902.55828703703</v>
      </c>
      <c r="C1061" s="1" t="n">
        <v>45915</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45915</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41771-2025</t>
        </is>
      </c>
      <c r="B1063" s="1" t="n">
        <v>45902.55228009259</v>
      </c>
      <c r="C1063" s="1" t="n">
        <v>45915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56314-2024</t>
        </is>
      </c>
      <c r="B1064" s="1" t="n">
        <v>45624.72149305556</v>
      </c>
      <c r="C1064" s="1" t="n">
        <v>45915</v>
      </c>
      <c r="D1064" t="inlineStr">
        <is>
          <t>VÄRMLANDS LÄN</t>
        </is>
      </c>
      <c r="E1064" t="inlineStr">
        <is>
          <t>ÅRJÄNG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42333-2025</t>
        </is>
      </c>
      <c r="B1065" s="1" t="n">
        <v>45904</v>
      </c>
      <c r="C1065" s="1" t="n">
        <v>45915</v>
      </c>
      <c r="D1065" t="inlineStr">
        <is>
          <t>VÄRMLANDS LÄN</t>
        </is>
      </c>
      <c r="E1065" t="inlineStr">
        <is>
          <t>ÅRJÄNG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59622-2022</t>
        </is>
      </c>
      <c r="B1066" s="1" t="n">
        <v>44907.89939814815</v>
      </c>
      <c r="C1066" s="1" t="n">
        <v>45915</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65751-2020</t>
        </is>
      </c>
      <c r="B1067" s="1" t="n">
        <v>44174</v>
      </c>
      <c r="C1067" s="1" t="n">
        <v>45915</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45929-2024</t>
        </is>
      </c>
      <c r="B1068" s="1" t="n">
        <v>45580</v>
      </c>
      <c r="C1068" s="1" t="n">
        <v>45915</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45876-2024</t>
        </is>
      </c>
      <c r="B1069" s="1" t="n">
        <v>45580</v>
      </c>
      <c r="C1069" s="1" t="n">
        <v>45915</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35869-2025</t>
        </is>
      </c>
      <c r="B1070" s="1" t="n">
        <v>45862</v>
      </c>
      <c r="C1070" s="1" t="n">
        <v>45915</v>
      </c>
      <c r="D1070" t="inlineStr">
        <is>
          <t>VÄRMLANDS LÄN</t>
        </is>
      </c>
      <c r="E1070" t="inlineStr">
        <is>
          <t>ÅRJÄNG</t>
        </is>
      </c>
      <c r="F1070" t="inlineStr">
        <is>
          <t>Bergvik skog väst AB</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48805-2022</t>
        </is>
      </c>
      <c r="B1071" s="1" t="n">
        <v>44854</v>
      </c>
      <c r="C1071" s="1" t="n">
        <v>45915</v>
      </c>
      <c r="D1071" t="inlineStr">
        <is>
          <t>VÄRMLANDS LÄN</t>
        </is>
      </c>
      <c r="E1071" t="inlineStr">
        <is>
          <t>ÅRJÄNG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47647-2021</t>
        </is>
      </c>
      <c r="B1072" s="1" t="n">
        <v>44448.40790509259</v>
      </c>
      <c r="C1072" s="1" t="n">
        <v>45915</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36143-2025</t>
        </is>
      </c>
      <c r="B1073" s="1" t="n">
        <v>45866.68708333333</v>
      </c>
      <c r="C1073" s="1" t="n">
        <v>45915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23870-2023</t>
        </is>
      </c>
      <c r="B1074" s="1" t="n">
        <v>45078</v>
      </c>
      <c r="C1074" s="1" t="n">
        <v>45915</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45962-2021</t>
        </is>
      </c>
      <c r="B1075" s="1" t="n">
        <v>44441</v>
      </c>
      <c r="C1075" s="1" t="n">
        <v>45915</v>
      </c>
      <c r="D1075" t="inlineStr">
        <is>
          <t>VÄRMLANDS LÄN</t>
        </is>
      </c>
      <c r="E1075" t="inlineStr">
        <is>
          <t>ÅRJÄNG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42562-2025</t>
        </is>
      </c>
      <c r="B1076" s="1" t="n">
        <v>45905.59986111111</v>
      </c>
      <c r="C1076" s="1" t="n">
        <v>45915</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60126-2024</t>
        </is>
      </c>
      <c r="B1077" s="1" t="n">
        <v>45642.5919212963</v>
      </c>
      <c r="C1077" s="1" t="n">
        <v>45915</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12907-2022</t>
        </is>
      </c>
      <c r="B1078" s="1" t="n">
        <v>44642.62002314815</v>
      </c>
      <c r="C1078" s="1" t="n">
        <v>45915</v>
      </c>
      <c r="D1078" t="inlineStr">
        <is>
          <t>VÄRMLANDS LÄN</t>
        </is>
      </c>
      <c r="E1078" t="inlineStr">
        <is>
          <t>ÅRJÄNG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13060-2022</t>
        </is>
      </c>
      <c r="B1079" s="1" t="n">
        <v>44643</v>
      </c>
      <c r="C1079" s="1" t="n">
        <v>45915</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13160-2022</t>
        </is>
      </c>
      <c r="B1080" s="1" t="n">
        <v>44644.43545138889</v>
      </c>
      <c r="C1080" s="1" t="n">
        <v>45915</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8885-2021</t>
        </is>
      </c>
      <c r="B1081" s="1" t="n">
        <v>44248</v>
      </c>
      <c r="C1081" s="1" t="n">
        <v>45915</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42677-2025</t>
        </is>
      </c>
      <c r="B1082" s="1" t="n">
        <v>45908.32836805555</v>
      </c>
      <c r="C1082" s="1" t="n">
        <v>45915</v>
      </c>
      <c r="D1082" t="inlineStr">
        <is>
          <t>VÄRMLANDS LÄN</t>
        </is>
      </c>
      <c r="E1082" t="inlineStr">
        <is>
          <t>ÅRJÄNG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60930-2021</t>
        </is>
      </c>
      <c r="B1083" s="1" t="n">
        <v>44497.46921296296</v>
      </c>
      <c r="C1083" s="1" t="n">
        <v>45915</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45915</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36862-2025</t>
        </is>
      </c>
      <c r="B1085" s="1" t="n">
        <v>45874</v>
      </c>
      <c r="C1085" s="1" t="n">
        <v>45915</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56535-2023</t>
        </is>
      </c>
      <c r="B1086" s="1" t="n">
        <v>45243.5708912037</v>
      </c>
      <c r="C1086" s="1" t="n">
        <v>45915</v>
      </c>
      <c r="D1086" t="inlineStr">
        <is>
          <t>VÄRMLANDS LÄN</t>
        </is>
      </c>
      <c r="E1086" t="inlineStr">
        <is>
          <t>ÅRJÄNG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26866-2024</t>
        </is>
      </c>
      <c r="B1087" s="1" t="n">
        <v>45470</v>
      </c>
      <c r="C1087" s="1" t="n">
        <v>45915</v>
      </c>
      <c r="D1087" t="inlineStr">
        <is>
          <t>VÄRMLANDS LÄN</t>
        </is>
      </c>
      <c r="E1087" t="inlineStr">
        <is>
          <t>ÅRJÄNG</t>
        </is>
      </c>
      <c r="F1087" t="inlineStr">
        <is>
          <t>Kyrkan</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43025-2025</t>
        </is>
      </c>
      <c r="B1088" s="1" t="n">
        <v>45909.53126157408</v>
      </c>
      <c r="C1088" s="1" t="n">
        <v>45915</v>
      </c>
      <c r="D1088" t="inlineStr">
        <is>
          <t>VÄRMLANDS LÄN</t>
        </is>
      </c>
      <c r="E1088" t="inlineStr">
        <is>
          <t>ÅRJÄNG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43012-2025</t>
        </is>
      </c>
      <c r="B1089" s="1" t="n">
        <v>45909.48989583334</v>
      </c>
      <c r="C1089" s="1" t="n">
        <v>45915</v>
      </c>
      <c r="D1089" t="inlineStr">
        <is>
          <t>VÄRMLANDS LÄN</t>
        </is>
      </c>
      <c r="E1089" t="inlineStr">
        <is>
          <t>ÅRJÄNG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49133-2024</t>
        </is>
      </c>
      <c r="B1090" s="1" t="n">
        <v>45594</v>
      </c>
      <c r="C1090" s="1" t="n">
        <v>45915</v>
      </c>
      <c r="D1090" t="inlineStr">
        <is>
          <t>VÄRMLANDS LÄN</t>
        </is>
      </c>
      <c r="E1090" t="inlineStr">
        <is>
          <t>ÅRJÄNG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12740-2025</t>
        </is>
      </c>
      <c r="B1091" s="1" t="n">
        <v>45733</v>
      </c>
      <c r="C1091" s="1" t="n">
        <v>45915</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1415-2025</t>
        </is>
      </c>
      <c r="B1092" s="1" t="n">
        <v>45668.32795138889</v>
      </c>
      <c r="C1092" s="1" t="n">
        <v>45915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15300-2025</t>
        </is>
      </c>
      <c r="B1093" s="1" t="n">
        <v>45746</v>
      </c>
      <c r="C1093" s="1" t="n">
        <v>45915</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45915</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43047-2025</t>
        </is>
      </c>
      <c r="B1095" s="1" t="n">
        <v>45909.56127314815</v>
      </c>
      <c r="C1095" s="1" t="n">
        <v>45915</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43050-2025</t>
        </is>
      </c>
      <c r="B1096" s="1" t="n">
        <v>45909.56809027777</v>
      </c>
      <c r="C1096" s="1" t="n">
        <v>45915</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46249-2023</t>
        </is>
      </c>
      <c r="B1097" s="1" t="n">
        <v>45196.89337962963</v>
      </c>
      <c r="C1097" s="1" t="n">
        <v>45915</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21392-2023</t>
        </is>
      </c>
      <c r="B1098" s="1" t="n">
        <v>45061</v>
      </c>
      <c r="C1098" s="1" t="n">
        <v>45915</v>
      </c>
      <c r="D1098" t="inlineStr">
        <is>
          <t>VÄRMLANDS LÄN</t>
        </is>
      </c>
      <c r="E1098" t="inlineStr">
        <is>
          <t>ÅRJÄNG</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44140-2024</t>
        </is>
      </c>
      <c r="B1099" s="1" t="n">
        <v>45572</v>
      </c>
      <c r="C1099" s="1" t="n">
        <v>45915</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42971-2025</t>
        </is>
      </c>
      <c r="B1100" s="1" t="n">
        <v>45909.41502314815</v>
      </c>
      <c r="C1100" s="1" t="n">
        <v>45915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9441-2021</t>
        </is>
      </c>
      <c r="B1101" s="1" t="n">
        <v>44251</v>
      </c>
      <c r="C1101" s="1" t="n">
        <v>45915</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7184-2024</t>
        </is>
      </c>
      <c r="B1102" s="1" t="n">
        <v>45344</v>
      </c>
      <c r="C1102" s="1" t="n">
        <v>45915</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43484-2025</t>
        </is>
      </c>
      <c r="B1103" s="1" t="n">
        <v>45911.5033912037</v>
      </c>
      <c r="C1103" s="1" t="n">
        <v>45915</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24444-2025</t>
        </is>
      </c>
      <c r="B1104" s="1" t="n">
        <v>45798</v>
      </c>
      <c r="C1104" s="1" t="n">
        <v>45915</v>
      </c>
      <c r="D1104" t="inlineStr">
        <is>
          <t>VÄRMLANDS LÄN</t>
        </is>
      </c>
      <c r="E1104" t="inlineStr">
        <is>
          <t>ÅRJÄNG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34205-2025</t>
        </is>
      </c>
      <c r="B1105" s="1" t="n">
        <v>45845</v>
      </c>
      <c r="C1105" s="1" t="n">
        <v>45915</v>
      </c>
      <c r="D1105" t="inlineStr">
        <is>
          <t>VÄRMLANDS LÄN</t>
        </is>
      </c>
      <c r="E1105" t="inlineStr">
        <is>
          <t>ÅRJÄNG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480-2025</t>
        </is>
      </c>
      <c r="B1106" s="1" t="n">
        <v>45664</v>
      </c>
      <c r="C1106" s="1" t="n">
        <v>45915</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2253-2025</t>
        </is>
      </c>
      <c r="B1107" s="1" t="n">
        <v>45673</v>
      </c>
      <c r="C1107" s="1" t="n">
        <v>45915</v>
      </c>
      <c r="D1107" t="inlineStr">
        <is>
          <t>VÄRMLANDS LÄN</t>
        </is>
      </c>
      <c r="E1107" t="inlineStr">
        <is>
          <t>ÅRJÄNG</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4976-2025</t>
        </is>
      </c>
      <c r="B1108" s="1" t="n">
        <v>45690.86565972222</v>
      </c>
      <c r="C1108" s="1" t="n">
        <v>45915</v>
      </c>
      <c r="D1108" t="inlineStr">
        <is>
          <t>VÄRMLANDS LÄN</t>
        </is>
      </c>
      <c r="E1108" t="inlineStr">
        <is>
          <t>ÅRJÄNG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13726-2024</t>
        </is>
      </c>
      <c r="B1109" s="1" t="n">
        <v>45390.68759259259</v>
      </c>
      <c r="C1109" s="1" t="n">
        <v>45915</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12068-2022</t>
        </is>
      </c>
      <c r="B1110" s="1" t="n">
        <v>44636</v>
      </c>
      <c r="C1110" s="1" t="n">
        <v>45915</v>
      </c>
      <c r="D1110" t="inlineStr">
        <is>
          <t>VÄRMLANDS LÄN</t>
        </is>
      </c>
      <c r="E1110" t="inlineStr">
        <is>
          <t>ÅRJÄNG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54437-2021</t>
        </is>
      </c>
      <c r="B1111" s="1" t="n">
        <v>44459</v>
      </c>
      <c r="C1111" s="1" t="n">
        <v>45915</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24445-2025</t>
        </is>
      </c>
      <c r="B1112" s="1" t="n">
        <v>45798</v>
      </c>
      <c r="C1112" s="1" t="n">
        <v>45915</v>
      </c>
      <c r="D1112" t="inlineStr">
        <is>
          <t>VÄRMLANDS LÄN</t>
        </is>
      </c>
      <c r="E1112" t="inlineStr">
        <is>
          <t>ÅRJÄNG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36461-2025</t>
        </is>
      </c>
      <c r="B1113" s="1" t="n">
        <v>45869</v>
      </c>
      <c r="C1113" s="1" t="n">
        <v>45915</v>
      </c>
      <c r="D1113" t="inlineStr">
        <is>
          <t>VÄRMLANDS LÄN</t>
        </is>
      </c>
      <c r="E1113" t="inlineStr">
        <is>
          <t>ÅRJÄNG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13814-2024</t>
        </is>
      </c>
      <c r="B1114" s="1" t="n">
        <v>45391</v>
      </c>
      <c r="C1114" s="1" t="n">
        <v>45915</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13819-2024</t>
        </is>
      </c>
      <c r="B1115" s="1" t="n">
        <v>45391.42252314815</v>
      </c>
      <c r="C1115" s="1" t="n">
        <v>45915</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4135-2025</t>
        </is>
      </c>
      <c r="B1116" s="1" t="n">
        <v>45685</v>
      </c>
      <c r="C1116" s="1" t="n">
        <v>45915</v>
      </c>
      <c r="D1116" t="inlineStr">
        <is>
          <t>VÄRMLANDS LÄN</t>
        </is>
      </c>
      <c r="E1116" t="inlineStr">
        <is>
          <t>ÅRJÄNG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12082-2023</t>
        </is>
      </c>
      <c r="B1117" s="1" t="n">
        <v>44997.78215277778</v>
      </c>
      <c r="C1117" s="1" t="n">
        <v>45915</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61913-2024</t>
        </is>
      </c>
      <c r="B1118" s="1" t="n">
        <v>45653.38708333333</v>
      </c>
      <c r="C1118" s="1" t="n">
        <v>45915</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5931-2023</t>
        </is>
      </c>
      <c r="B1119" s="1" t="n">
        <v>44963</v>
      </c>
      <c r="C1119" s="1" t="n">
        <v>45915</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33728-2021</t>
        </is>
      </c>
      <c r="B1120" s="1" t="n">
        <v>44378.47640046296</v>
      </c>
      <c r="C1120" s="1" t="n">
        <v>45915</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43162-2025</t>
        </is>
      </c>
      <c r="B1121" s="1" t="n">
        <v>45910</v>
      </c>
      <c r="C1121" s="1" t="n">
        <v>45915</v>
      </c>
      <c r="D1121" t="inlineStr">
        <is>
          <t>VÄRMLANDS LÄN</t>
        </is>
      </c>
      <c r="E1121" t="inlineStr">
        <is>
          <t>ÅRJÄNG</t>
        </is>
      </c>
      <c r="F1121" t="inlineStr">
        <is>
          <t>Bergvik skog väst AB</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13317-2025</t>
        </is>
      </c>
      <c r="B1122" s="1" t="n">
        <v>45735.59452546296</v>
      </c>
      <c r="C1122" s="1" t="n">
        <v>45915</v>
      </c>
      <c r="D1122" t="inlineStr">
        <is>
          <t>VÄRMLANDS LÄN</t>
        </is>
      </c>
      <c r="E1122" t="inlineStr">
        <is>
          <t>ÅRJÄNG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64903-2023</t>
        </is>
      </c>
      <c r="B1123" s="1" t="n">
        <v>45282</v>
      </c>
      <c r="C1123" s="1" t="n">
        <v>45915</v>
      </c>
      <c r="D1123" t="inlineStr">
        <is>
          <t>VÄRMLANDS LÄN</t>
        </is>
      </c>
      <c r="E1123" t="inlineStr">
        <is>
          <t>ÅRJÄNG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36450-2025</t>
        </is>
      </c>
      <c r="B1124" s="1" t="n">
        <v>45869</v>
      </c>
      <c r="C1124" s="1" t="n">
        <v>45915</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36751-2025</t>
        </is>
      </c>
      <c r="B1125" s="1" t="n">
        <v>45873</v>
      </c>
      <c r="C1125" s="1" t="n">
        <v>45915</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43434-2025</t>
        </is>
      </c>
      <c r="B1126" s="1" t="n">
        <v>45911.42743055556</v>
      </c>
      <c r="C1126" s="1" t="n">
        <v>45915</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43426-2025</t>
        </is>
      </c>
      <c r="B1127" s="1" t="n">
        <v>45911.41869212963</v>
      </c>
      <c r="C1127" s="1" t="n">
        <v>45915</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17878-2024</t>
        </is>
      </c>
      <c r="B1128" s="1" t="n">
        <v>45419</v>
      </c>
      <c r="C1128" s="1" t="n">
        <v>45915</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64151-2023</t>
        </is>
      </c>
      <c r="B1129" s="1" t="n">
        <v>45279.58803240741</v>
      </c>
      <c r="C1129" s="1" t="n">
        <v>45915</v>
      </c>
      <c r="D1129" t="inlineStr">
        <is>
          <t>VÄRMLANDS LÄN</t>
        </is>
      </c>
      <c r="E1129" t="inlineStr">
        <is>
          <t>ÅRJÄNG</t>
        </is>
      </c>
      <c r="G1129" t="n">
        <v>24.5</v>
      </c>
      <c r="H1129" t="n">
        <v>0</v>
      </c>
      <c r="I1129" t="n">
        <v>0</v>
      </c>
      <c r="J1129" t="n">
        <v>0</v>
      </c>
      <c r="K1129" t="n">
        <v>0</v>
      </c>
      <c r="L1129" t="n">
        <v>0</v>
      </c>
      <c r="M1129" t="n">
        <v>0</v>
      </c>
      <c r="N1129" t="n">
        <v>0</v>
      </c>
      <c r="O1129" t="n">
        <v>0</v>
      </c>
      <c r="P1129" t="n">
        <v>0</v>
      </c>
      <c r="Q1129" t="n">
        <v>0</v>
      </c>
      <c r="R1129" s="2" t="inlineStr"/>
    </row>
    <row r="1130" ht="15" customHeight="1">
      <c r="A1130" t="inlineStr">
        <is>
          <t>A 8838-2023</t>
        </is>
      </c>
      <c r="B1130" s="1" t="n">
        <v>44978</v>
      </c>
      <c r="C1130" s="1" t="n">
        <v>45915</v>
      </c>
      <c r="D1130" t="inlineStr">
        <is>
          <t>VÄRMLANDS LÄN</t>
        </is>
      </c>
      <c r="E1130" t="inlineStr">
        <is>
          <t>ÅRJÄNG</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59810-2024</t>
        </is>
      </c>
      <c r="B1131" s="1" t="n">
        <v>45639.60642361111</v>
      </c>
      <c r="C1131" s="1" t="n">
        <v>45915</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22274-2024</t>
        </is>
      </c>
      <c r="B1132" s="1" t="n">
        <v>45446</v>
      </c>
      <c r="C1132" s="1" t="n">
        <v>45915</v>
      </c>
      <c r="D1132" t="inlineStr">
        <is>
          <t>VÄRMLANDS LÄN</t>
        </is>
      </c>
      <c r="E1132" t="inlineStr">
        <is>
          <t>ÅRJÄNG</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51258-2022</t>
        </is>
      </c>
      <c r="B1133" s="1" t="n">
        <v>44868.67460648148</v>
      </c>
      <c r="C1133" s="1" t="n">
        <v>45915</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23847-2023</t>
        </is>
      </c>
      <c r="B1134" s="1" t="n">
        <v>45078</v>
      </c>
      <c r="C1134" s="1" t="n">
        <v>45915</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15327-2022</t>
        </is>
      </c>
      <c r="B1135" s="1" t="n">
        <v>44659</v>
      </c>
      <c r="C1135" s="1" t="n">
        <v>45915</v>
      </c>
      <c r="D1135" t="inlineStr">
        <is>
          <t>VÄRMLANDS LÄN</t>
        </is>
      </c>
      <c r="E1135" t="inlineStr">
        <is>
          <t>ÅRJÄNG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71812-2021</t>
        </is>
      </c>
      <c r="B1136" s="1" t="n">
        <v>44539</v>
      </c>
      <c r="C1136" s="1" t="n">
        <v>45915</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34580-2023</t>
        </is>
      </c>
      <c r="B1137" s="1" t="n">
        <v>45135</v>
      </c>
      <c r="C1137" s="1" t="n">
        <v>45915</v>
      </c>
      <c r="D1137" t="inlineStr">
        <is>
          <t>VÄRMLANDS LÄN</t>
        </is>
      </c>
      <c r="E1137" t="inlineStr">
        <is>
          <t>ÅRJÄNG</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15164-2023</t>
        </is>
      </c>
      <c r="B1138" s="1" t="n">
        <v>45016.59475694445</v>
      </c>
      <c r="C1138" s="1" t="n">
        <v>45915</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39187-2024</t>
        </is>
      </c>
      <c r="B1139" s="1" t="n">
        <v>45548.66915509259</v>
      </c>
      <c r="C1139" s="1" t="n">
        <v>45915</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24483-2024</t>
        </is>
      </c>
      <c r="B1140" s="1" t="n">
        <v>45459</v>
      </c>
      <c r="C1140" s="1" t="n">
        <v>45915</v>
      </c>
      <c r="D1140" t="inlineStr">
        <is>
          <t>VÄRMLANDS LÄN</t>
        </is>
      </c>
      <c r="E1140" t="inlineStr">
        <is>
          <t>ÅRJÄNG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24273-2023</t>
        </is>
      </c>
      <c r="B1141" s="1" t="n">
        <v>45079.6764699074</v>
      </c>
      <c r="C1141" s="1" t="n">
        <v>45915</v>
      </c>
      <c r="D1141" t="inlineStr">
        <is>
          <t>VÄRMLANDS LÄN</t>
        </is>
      </c>
      <c r="E1141" t="inlineStr">
        <is>
          <t>ÅRJÄNG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56940-2024</t>
        </is>
      </c>
      <c r="B1142" s="1" t="n">
        <v>45628.61755787037</v>
      </c>
      <c r="C1142" s="1" t="n">
        <v>45915</v>
      </c>
      <c r="D1142" t="inlineStr">
        <is>
          <t>VÄRMLANDS LÄN</t>
        </is>
      </c>
      <c r="E1142" t="inlineStr">
        <is>
          <t>ÅRJÄNG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36344-2023</t>
        </is>
      </c>
      <c r="B1143" s="1" t="n">
        <v>45152</v>
      </c>
      <c r="C1143" s="1" t="n">
        <v>45915</v>
      </c>
      <c r="D1143" t="inlineStr">
        <is>
          <t>VÄRMLANDS LÄN</t>
        </is>
      </c>
      <c r="E1143" t="inlineStr">
        <is>
          <t>ÅRJÄNG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23904-2023</t>
        </is>
      </c>
      <c r="B1144" s="1" t="n">
        <v>45078.55413194445</v>
      </c>
      <c r="C1144" s="1" t="n">
        <v>45915</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21177-2023</t>
        </is>
      </c>
      <c r="B1145" s="1" t="n">
        <v>45062</v>
      </c>
      <c r="C1145" s="1" t="n">
        <v>45915</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46317-2024</t>
        </is>
      </c>
      <c r="B1146" s="1" t="n">
        <v>45581.74462962963</v>
      </c>
      <c r="C1146" s="1" t="n">
        <v>45915</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1580-2025</t>
        </is>
      </c>
      <c r="B1147" s="1" t="n">
        <v>45670</v>
      </c>
      <c r="C1147" s="1" t="n">
        <v>45915</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45167.38633101852</v>
      </c>
      <c r="C1148" s="1" t="n">
        <v>45915</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2551-2025</t>
        </is>
      </c>
      <c r="B1149" s="1" t="n">
        <v>45674.63969907408</v>
      </c>
      <c r="C1149" s="1" t="n">
        <v>45915</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3848-2025</t>
        </is>
      </c>
      <c r="B1150" s="1" t="n">
        <v>45683</v>
      </c>
      <c r="C1150" s="1" t="n">
        <v>45915</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47833-2023</t>
        </is>
      </c>
      <c r="B1151" s="1" t="n">
        <v>45204.36287037037</v>
      </c>
      <c r="C1151" s="1" t="n">
        <v>45915</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40352-2023</t>
        </is>
      </c>
      <c r="B1152" s="1" t="n">
        <v>45168</v>
      </c>
      <c r="C1152" s="1" t="n">
        <v>45915</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6577-2025</t>
        </is>
      </c>
      <c r="B1153" s="1" t="n">
        <v>45699.87793981482</v>
      </c>
      <c r="C1153" s="1" t="n">
        <v>45915</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55167-2024</t>
        </is>
      </c>
      <c r="B1154" s="1" t="n">
        <v>45621</v>
      </c>
      <c r="C1154" s="1" t="n">
        <v>45915</v>
      </c>
      <c r="D1154" t="inlineStr">
        <is>
          <t>VÄRMLANDS LÄN</t>
        </is>
      </c>
      <c r="E1154" t="inlineStr">
        <is>
          <t>ÅRJÄNG</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33017-2022</t>
        </is>
      </c>
      <c r="B1155" s="1" t="n">
        <v>44785.32934027778</v>
      </c>
      <c r="C1155" s="1" t="n">
        <v>45915</v>
      </c>
      <c r="D1155" t="inlineStr">
        <is>
          <t>VÄRMLANDS LÄN</t>
        </is>
      </c>
      <c r="E1155" t="inlineStr">
        <is>
          <t>ÅRJÄNG</t>
        </is>
      </c>
      <c r="F1155" t="inlineStr">
        <is>
          <t>Kyrkan</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16383-2022</t>
        </is>
      </c>
      <c r="B1156" s="1" t="n">
        <v>44671</v>
      </c>
      <c r="C1156" s="1" t="n">
        <v>45915</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13620-2023</t>
        </is>
      </c>
      <c r="B1157" s="1" t="n">
        <v>45006</v>
      </c>
      <c r="C1157" s="1" t="n">
        <v>45915</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16666-2025</t>
        </is>
      </c>
      <c r="B1158" s="1" t="n">
        <v>45754</v>
      </c>
      <c r="C1158" s="1" t="n">
        <v>45915</v>
      </c>
      <c r="D1158" t="inlineStr">
        <is>
          <t>VÄRMLANDS LÄN</t>
        </is>
      </c>
      <c r="E1158" t="inlineStr">
        <is>
          <t>ÅRJÄNG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16806-2024</t>
        </is>
      </c>
      <c r="B1159" s="1" t="n">
        <v>45411.45510416666</v>
      </c>
      <c r="C1159" s="1" t="n">
        <v>45915</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61873-2023</t>
        </is>
      </c>
      <c r="B1160" s="1" t="n">
        <v>45266.40989583333</v>
      </c>
      <c r="C1160" s="1" t="n">
        <v>45915</v>
      </c>
      <c r="D1160" t="inlineStr">
        <is>
          <t>VÄRMLANDS LÄN</t>
        </is>
      </c>
      <c r="E1160" t="inlineStr">
        <is>
          <t>ÅRJÄNG</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12687-2025</t>
        </is>
      </c>
      <c r="B1161" s="1" t="n">
        <v>45733.44953703704</v>
      </c>
      <c r="C1161" s="1" t="n">
        <v>45915</v>
      </c>
      <c r="D1161" t="inlineStr">
        <is>
          <t>VÄRMLANDS LÄN</t>
        </is>
      </c>
      <c r="E1161" t="inlineStr">
        <is>
          <t>ÅRJÄNG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28260-2024</t>
        </is>
      </c>
      <c r="B1162" s="1" t="n">
        <v>45477</v>
      </c>
      <c r="C1162" s="1" t="n">
        <v>45915</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1560-2025</t>
        </is>
      </c>
      <c r="B1163" s="1" t="n">
        <v>45670.53878472222</v>
      </c>
      <c r="C1163" s="1" t="n">
        <v>45915</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30710-2023</t>
        </is>
      </c>
      <c r="B1164" s="1" t="n">
        <v>45112.59900462963</v>
      </c>
      <c r="C1164" s="1" t="n">
        <v>45915</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8255-2025</t>
        </is>
      </c>
      <c r="B1165" s="1" t="n">
        <v>45708.49788194444</v>
      </c>
      <c r="C1165" s="1" t="n">
        <v>45915</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34409-2023</t>
        </is>
      </c>
      <c r="B1166" s="1" t="n">
        <v>45139.56662037037</v>
      </c>
      <c r="C1166" s="1" t="n">
        <v>45915</v>
      </c>
      <c r="D1166" t="inlineStr">
        <is>
          <t>VÄRMLANDS LÄN</t>
        </is>
      </c>
      <c r="E1166" t="inlineStr">
        <is>
          <t>ÅRJÄNG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2222-2023</t>
        </is>
      </c>
      <c r="B1167" s="1" t="n">
        <v>44942.4250462963</v>
      </c>
      <c r="C1167" s="1" t="n">
        <v>45915</v>
      </c>
      <c r="D1167" t="inlineStr">
        <is>
          <t>VÄRMLANDS LÄN</t>
        </is>
      </c>
      <c r="E1167" t="inlineStr">
        <is>
          <t>ÅRJÄNG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29263-2023</t>
        </is>
      </c>
      <c r="B1168" s="1" t="n">
        <v>45105</v>
      </c>
      <c r="C1168" s="1" t="n">
        <v>45915</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20354-2023</t>
        </is>
      </c>
      <c r="B1169" s="1" t="n">
        <v>45056</v>
      </c>
      <c r="C1169" s="1" t="n">
        <v>45915</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9425-2025</t>
        </is>
      </c>
      <c r="B1170" s="1" t="n">
        <v>45715.40350694444</v>
      </c>
      <c r="C1170" s="1" t="n">
        <v>45915</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6522-2021</t>
        </is>
      </c>
      <c r="B1171" s="1" t="n">
        <v>44236</v>
      </c>
      <c r="C1171" s="1" t="n">
        <v>45915</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13481-2025</t>
        </is>
      </c>
      <c r="B1172" s="1" t="n">
        <v>45736</v>
      </c>
      <c r="C1172" s="1" t="n">
        <v>45915</v>
      </c>
      <c r="D1172" t="inlineStr">
        <is>
          <t>VÄRMLANDS LÄN</t>
        </is>
      </c>
      <c r="E1172" t="inlineStr">
        <is>
          <t>ÅRJÄNG</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5416-2025</t>
        </is>
      </c>
      <c r="B1173" s="1" t="n">
        <v>45692.67990740741</v>
      </c>
      <c r="C1173" s="1" t="n">
        <v>45915</v>
      </c>
      <c r="D1173" t="inlineStr">
        <is>
          <t>VÄRMLANDS LÄN</t>
        </is>
      </c>
      <c r="E1173" t="inlineStr">
        <is>
          <t>ÅRJÄNG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21996-2021</t>
        </is>
      </c>
      <c r="B1174" s="1" t="n">
        <v>44323</v>
      </c>
      <c r="C1174" s="1" t="n">
        <v>45915</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48014-2023</t>
        </is>
      </c>
      <c r="B1175" s="1" t="n">
        <v>45198</v>
      </c>
      <c r="C1175" s="1" t="n">
        <v>45915</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19843-2025</t>
        </is>
      </c>
      <c r="B1176" s="1" t="n">
        <v>45771</v>
      </c>
      <c r="C1176" s="1" t="n">
        <v>45915</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10681-2024</t>
        </is>
      </c>
      <c r="B1177" s="1" t="n">
        <v>45369.36349537037</v>
      </c>
      <c r="C1177" s="1" t="n">
        <v>45915</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11718-2024</t>
        </is>
      </c>
      <c r="B1178" s="1" t="n">
        <v>45373.63803240741</v>
      </c>
      <c r="C1178" s="1" t="n">
        <v>45915</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58769-2024</t>
        </is>
      </c>
      <c r="B1179" s="1" t="n">
        <v>45635.75688657408</v>
      </c>
      <c r="C1179" s="1" t="n">
        <v>45915</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3463-2025</t>
        </is>
      </c>
      <c r="B1180" s="1" t="n">
        <v>45680.49807870371</v>
      </c>
      <c r="C1180" s="1" t="n">
        <v>45915</v>
      </c>
      <c r="D1180" t="inlineStr">
        <is>
          <t>VÄRMLANDS LÄN</t>
        </is>
      </c>
      <c r="E1180" t="inlineStr">
        <is>
          <t>ÅRJÄNG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54900-2024</t>
        </is>
      </c>
      <c r="B1181" s="1" t="n">
        <v>45618.64770833333</v>
      </c>
      <c r="C1181" s="1" t="n">
        <v>45915</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48781-2024</t>
        </is>
      </c>
      <c r="B1182" s="1" t="n">
        <v>45593</v>
      </c>
      <c r="C1182" s="1" t="n">
        <v>45915</v>
      </c>
      <c r="D1182" t="inlineStr">
        <is>
          <t>VÄRMLANDS LÄN</t>
        </is>
      </c>
      <c r="E1182" t="inlineStr">
        <is>
          <t>ÅRJÄNG</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23940-2023</t>
        </is>
      </c>
      <c r="B1183" s="1" t="n">
        <v>45075</v>
      </c>
      <c r="C1183" s="1" t="n">
        <v>45915</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39536-2022</t>
        </is>
      </c>
      <c r="B1184" s="1" t="n">
        <v>44818</v>
      </c>
      <c r="C1184" s="1" t="n">
        <v>45915</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5095-2022</t>
        </is>
      </c>
      <c r="B1185" s="1" t="n">
        <v>44593.86192129629</v>
      </c>
      <c r="C1185" s="1" t="n">
        <v>45915</v>
      </c>
      <c r="D1185" t="inlineStr">
        <is>
          <t>VÄRMLANDS LÄN</t>
        </is>
      </c>
      <c r="E1185" t="inlineStr">
        <is>
          <t>ÅRJÄNG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2-2024</t>
        </is>
      </c>
      <c r="B1186" s="1" t="n">
        <v>45292.54944444444</v>
      </c>
      <c r="C1186" s="1" t="n">
        <v>45915</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7995-2025</t>
        </is>
      </c>
      <c r="B1187" s="1" t="n">
        <v>45707.515625</v>
      </c>
      <c r="C1187" s="1" t="n">
        <v>45915</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7996-2025</t>
        </is>
      </c>
      <c r="B1188" s="1" t="n">
        <v>45707.52001157407</v>
      </c>
      <c r="C1188" s="1" t="n">
        <v>45915</v>
      </c>
      <c r="D1188" t="inlineStr">
        <is>
          <t>VÄRMLANDS LÄN</t>
        </is>
      </c>
      <c r="E1188" t="inlineStr">
        <is>
          <t>ÅRJÄNG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58014-2022</t>
        </is>
      </c>
      <c r="B1189" s="1" t="n">
        <v>44893</v>
      </c>
      <c r="C1189" s="1" t="n">
        <v>45915</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1929-2025</t>
        </is>
      </c>
      <c r="B1190" s="1" t="n">
        <v>45671.73023148148</v>
      </c>
      <c r="C1190" s="1" t="n">
        <v>45915</v>
      </c>
      <c r="D1190" t="inlineStr">
        <is>
          <t>VÄRMLANDS LÄN</t>
        </is>
      </c>
      <c r="E1190" t="inlineStr">
        <is>
          <t>ÅRJÄNG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36018-2024</t>
        </is>
      </c>
      <c r="B1191" s="1" t="n">
        <v>45533</v>
      </c>
      <c r="C1191" s="1" t="n">
        <v>45915</v>
      </c>
      <c r="D1191" t="inlineStr">
        <is>
          <t>VÄRMLANDS LÄN</t>
        </is>
      </c>
      <c r="E1191" t="inlineStr">
        <is>
          <t>ÅRJÄNG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36035-2024</t>
        </is>
      </c>
      <c r="B1192" s="1" t="n">
        <v>45533.59534722222</v>
      </c>
      <c r="C1192" s="1" t="n">
        <v>45915</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6646-2025</t>
        </is>
      </c>
      <c r="B1193" s="1" t="n">
        <v>45700</v>
      </c>
      <c r="C1193" s="1" t="n">
        <v>45915</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58152-2024</t>
        </is>
      </c>
      <c r="B1194" s="1" t="n">
        <v>45632.43947916666</v>
      </c>
      <c r="C1194" s="1" t="n">
        <v>45915</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10625-2025</t>
        </is>
      </c>
      <c r="B1195" s="1" t="n">
        <v>45721</v>
      </c>
      <c r="C1195" s="1" t="n">
        <v>45915</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10627-2025</t>
        </is>
      </c>
      <c r="B1196" s="1" t="n">
        <v>45721</v>
      </c>
      <c r="C1196" s="1" t="n">
        <v>45915</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45915</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59617-2022</t>
        </is>
      </c>
      <c r="B1198" s="1" t="n">
        <v>44907</v>
      </c>
      <c r="C1198" s="1" t="n">
        <v>45915</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59887-2023</t>
        </is>
      </c>
      <c r="B1199" s="1" t="n">
        <v>45257.59917824074</v>
      </c>
      <c r="C1199" s="1" t="n">
        <v>45915</v>
      </c>
      <c r="D1199" t="inlineStr">
        <is>
          <t>VÄRMLANDS LÄN</t>
        </is>
      </c>
      <c r="E1199" t="inlineStr">
        <is>
          <t>ÅRJÄNG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37382-2024</t>
        </is>
      </c>
      <c r="B1200" s="1" t="n">
        <v>45540</v>
      </c>
      <c r="C1200" s="1" t="n">
        <v>45915</v>
      </c>
      <c r="D1200" t="inlineStr">
        <is>
          <t>VÄRMLANDS LÄN</t>
        </is>
      </c>
      <c r="E1200" t="inlineStr">
        <is>
          <t>ÅRJÄNG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65171-2023</t>
        </is>
      </c>
      <c r="B1201" s="1" t="n">
        <v>45288.71099537037</v>
      </c>
      <c r="C1201" s="1" t="n">
        <v>45915</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59071-2024</t>
        </is>
      </c>
      <c r="B1202" s="1" t="n">
        <v>45636.96637731481</v>
      </c>
      <c r="C1202" s="1" t="n">
        <v>45915</v>
      </c>
      <c r="D1202" t="inlineStr">
        <is>
          <t>VÄRMLANDS LÄN</t>
        </is>
      </c>
      <c r="E1202" t="inlineStr">
        <is>
          <t>ÅRJÄNG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59073-2024</t>
        </is>
      </c>
      <c r="B1203" s="1" t="n">
        <v>45636.97232638889</v>
      </c>
      <c r="C1203" s="1" t="n">
        <v>45915</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28864-2023</t>
        </is>
      </c>
      <c r="B1204" s="1" t="n">
        <v>45104</v>
      </c>
      <c r="C1204" s="1" t="n">
        <v>45915</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10117-2023</t>
        </is>
      </c>
      <c r="B1205" s="1" t="n">
        <v>44986.34331018518</v>
      </c>
      <c r="C1205" s="1" t="n">
        <v>45915</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15579-2025</t>
        </is>
      </c>
      <c r="B1206" s="1" t="n">
        <v>45747</v>
      </c>
      <c r="C1206" s="1" t="n">
        <v>45915</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15303-2025</t>
        </is>
      </c>
      <c r="B1207" s="1" t="n">
        <v>45746</v>
      </c>
      <c r="C1207" s="1" t="n">
        <v>45915</v>
      </c>
      <c r="D1207" t="inlineStr">
        <is>
          <t>VÄRMLANDS LÄN</t>
        </is>
      </c>
      <c r="E1207" t="inlineStr">
        <is>
          <t>ÅRJÄNG</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11401-2025</t>
        </is>
      </c>
      <c r="B1208" s="1" t="n">
        <v>45726</v>
      </c>
      <c r="C1208" s="1" t="n">
        <v>45915</v>
      </c>
      <c r="D1208" t="inlineStr">
        <is>
          <t>VÄRMLANDS LÄN</t>
        </is>
      </c>
      <c r="E1208" t="inlineStr">
        <is>
          <t>ÅRJÄNG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58789-2024</t>
        </is>
      </c>
      <c r="B1209" s="1" t="n">
        <v>45635.98438657408</v>
      </c>
      <c r="C1209" s="1" t="n">
        <v>45915</v>
      </c>
      <c r="D1209" t="inlineStr">
        <is>
          <t>VÄRMLANDS LÄN</t>
        </is>
      </c>
      <c r="E1209" t="inlineStr">
        <is>
          <t>ÅRJÄNG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32550-2024</t>
        </is>
      </c>
      <c r="B1210" s="1" t="n">
        <v>45513.50606481481</v>
      </c>
      <c r="C1210" s="1" t="n">
        <v>45915</v>
      </c>
      <c r="D1210" t="inlineStr">
        <is>
          <t>VÄRMLANDS LÄN</t>
        </is>
      </c>
      <c r="E1210" t="inlineStr">
        <is>
          <t>ÅRJÄNG</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46319-2024</t>
        </is>
      </c>
      <c r="B1211" s="1" t="n">
        <v>45581.760625</v>
      </c>
      <c r="C1211" s="1" t="n">
        <v>45915</v>
      </c>
      <c r="D1211" t="inlineStr">
        <is>
          <t>VÄRMLANDS LÄN</t>
        </is>
      </c>
      <c r="E1211" t="inlineStr">
        <is>
          <t>ÅRJÄNG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15230-2025</t>
        </is>
      </c>
      <c r="B1212" s="1" t="n">
        <v>45744</v>
      </c>
      <c r="C1212" s="1" t="n">
        <v>45915</v>
      </c>
      <c r="D1212" t="inlineStr">
        <is>
          <t>VÄRMLANDS LÄN</t>
        </is>
      </c>
      <c r="E1212" t="inlineStr">
        <is>
          <t>ÅRJÄNG</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20372-2025</t>
        </is>
      </c>
      <c r="B1213" s="1" t="n">
        <v>45775.42027777778</v>
      </c>
      <c r="C1213" s="1" t="n">
        <v>45915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c r="A1214" t="inlineStr">
        <is>
          <t>A 45634-2023</t>
        </is>
      </c>
      <c r="B1214" s="1" t="n">
        <v>45194</v>
      </c>
      <c r="C1214" s="1" t="n">
        <v>45915</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2025-09-15T08:53:55Z</dcterms:created>
  <dcterms:modified xmlns:dcterms="http://purl.org/dc/terms/" xmlns:xsi="http://www.w3.org/2001/XMLSchema-instance" xsi:type="dcterms:W3CDTF">2025-09-15T08:53:56Z</dcterms:modified>
</cp:coreProperties>
</file>