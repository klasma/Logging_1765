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45928</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45928</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45928</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45928</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45928</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29379-2023</t>
        </is>
      </c>
      <c r="B10" s="1" t="n">
        <v>45106</v>
      </c>
      <c r="C10" s="1" t="n">
        <v>45928</v>
      </c>
      <c r="D10" t="inlineStr">
        <is>
          <t>VÄRMLANDS LÄN</t>
        </is>
      </c>
      <c r="E10" t="inlineStr">
        <is>
          <t>ÅRJÄNG</t>
        </is>
      </c>
      <c r="G10" t="n">
        <v>1.4</v>
      </c>
      <c r="H10" t="n">
        <v>1</v>
      </c>
      <c r="I10" t="n">
        <v>3</v>
      </c>
      <c r="J10" t="n">
        <v>3</v>
      </c>
      <c r="K10" t="n">
        <v>0</v>
      </c>
      <c r="L10" t="n">
        <v>0</v>
      </c>
      <c r="M10" t="n">
        <v>0</v>
      </c>
      <c r="N10" t="n">
        <v>0</v>
      </c>
      <c r="O10" t="n">
        <v>3</v>
      </c>
      <c r="P10" t="n">
        <v>0</v>
      </c>
      <c r="Q10" t="n">
        <v>6</v>
      </c>
      <c r="R10" s="2" t="inlineStr">
        <is>
          <t>Brunpudrad nållav
Järpe
Vedtrappmossa
Gulnål
Rostfläck
Vedticka</t>
        </is>
      </c>
      <c r="S10">
        <f>HYPERLINK("https://klasma.github.io/Logging_1765/artfynd/A 29379-2023 artfynd.xlsx", "A 29379-2023")</f>
        <v/>
      </c>
      <c r="T10">
        <f>HYPERLINK("https://klasma.github.io/Logging_1765/kartor/A 29379-2023 karta.png", "A 29379-2023")</f>
        <v/>
      </c>
      <c r="V10">
        <f>HYPERLINK("https://klasma.github.io/Logging_1765/klagomål/A 29379-2023 FSC-klagomål.docx", "A 29379-2023")</f>
        <v/>
      </c>
      <c r="W10">
        <f>HYPERLINK("https://klasma.github.io/Logging_1765/klagomålsmail/A 29379-2023 FSC-klagomål mail.docx", "A 29379-2023")</f>
        <v/>
      </c>
      <c r="X10">
        <f>HYPERLINK("https://klasma.github.io/Logging_1765/tillsyn/A 29379-2023 tillsynsbegäran.docx", "A 29379-2023")</f>
        <v/>
      </c>
      <c r="Y10">
        <f>HYPERLINK("https://klasma.github.io/Logging_1765/tillsynsmail/A 29379-2023 tillsynsbegäran mail.docx", "A 29379-2023")</f>
        <v/>
      </c>
      <c r="Z10">
        <f>HYPERLINK("https://klasma.github.io/Logging_1765/fåglar/A 29379-2023 prioriterade fågelarter.docx", "A 29379-2023")</f>
        <v/>
      </c>
    </row>
    <row r="11" ht="15" customHeight="1">
      <c r="A11" t="inlineStr">
        <is>
          <t>A 44271-2023</t>
        </is>
      </c>
      <c r="B11" s="1" t="n">
        <v>45188</v>
      </c>
      <c r="C11" s="1" t="n">
        <v>45928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45928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56535-2023</t>
        </is>
      </c>
      <c r="B13" s="1" t="n">
        <v>45243.5708912037</v>
      </c>
      <c r="C13" s="1" t="n">
        <v>45928</v>
      </c>
      <c r="D13" t="inlineStr">
        <is>
          <t>VÄRMLANDS LÄN</t>
        </is>
      </c>
      <c r="E13" t="inlineStr">
        <is>
          <t>ÅRJÄNG</t>
        </is>
      </c>
      <c r="G13" t="n">
        <v>5.8</v>
      </c>
      <c r="H13" t="n">
        <v>0</v>
      </c>
      <c r="I13" t="n">
        <v>0</v>
      </c>
      <c r="J13" t="n">
        <v>4</v>
      </c>
      <c r="K13" t="n">
        <v>0</v>
      </c>
      <c r="L13" t="n">
        <v>0</v>
      </c>
      <c r="M13" t="n">
        <v>1</v>
      </c>
      <c r="N13" t="n">
        <v>0</v>
      </c>
      <c r="O13" t="n">
        <v>5</v>
      </c>
      <c r="P13" t="n">
        <v>1</v>
      </c>
      <c r="Q13" t="n">
        <v>5</v>
      </c>
      <c r="R13" s="2" t="inlineStr">
        <is>
          <t>Liten kandelabersvamp
Hornvaxskinn
Kådvaxskinn
Ullticka
Vedtrappmossa</t>
        </is>
      </c>
      <c r="S13">
        <f>HYPERLINK("https://klasma.github.io/Logging_1765/artfynd/A 56535-2023 artfynd.xlsx", "A 56535-2023")</f>
        <v/>
      </c>
      <c r="T13">
        <f>HYPERLINK("https://klasma.github.io/Logging_1765/kartor/A 56535-2023 karta.png", "A 56535-2023")</f>
        <v/>
      </c>
      <c r="V13">
        <f>HYPERLINK("https://klasma.github.io/Logging_1765/klagomål/A 56535-2023 FSC-klagomål.docx", "A 56535-2023")</f>
        <v/>
      </c>
      <c r="W13">
        <f>HYPERLINK("https://klasma.github.io/Logging_1765/klagomålsmail/A 56535-2023 FSC-klagomål mail.docx", "A 56535-2023")</f>
        <v/>
      </c>
      <c r="X13">
        <f>HYPERLINK("https://klasma.github.io/Logging_1765/tillsyn/A 56535-2023 tillsynsbegäran.docx", "A 56535-2023")</f>
        <v/>
      </c>
      <c r="Y13">
        <f>HYPERLINK("https://klasma.github.io/Logging_1765/tillsynsmail/A 56535-2023 tillsynsbegäran mail.docx", "A 56535-2023")</f>
        <v/>
      </c>
    </row>
    <row r="14" ht="15" customHeight="1">
      <c r="A14" t="inlineStr">
        <is>
          <t>A 7996-2025</t>
        </is>
      </c>
      <c r="B14" s="1" t="n">
        <v>45707.52001157407</v>
      </c>
      <c r="C14" s="1" t="n">
        <v>45928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63921-2023</t>
        </is>
      </c>
      <c r="B15" s="1" t="n">
        <v>45278</v>
      </c>
      <c r="C15" s="1" t="n">
        <v>45928</v>
      </c>
      <c r="D15" t="inlineStr">
        <is>
          <t>VÄRMLANDS LÄN</t>
        </is>
      </c>
      <c r="E15" t="inlineStr">
        <is>
          <t>ÅRJÄNG</t>
        </is>
      </c>
      <c r="G15" t="n">
        <v>6.2</v>
      </c>
      <c r="H15" t="n">
        <v>2</v>
      </c>
      <c r="I15" t="n">
        <v>2</v>
      </c>
      <c r="J15" t="n">
        <v>3</v>
      </c>
      <c r="K15" t="n">
        <v>0</v>
      </c>
      <c r="L15" t="n">
        <v>0</v>
      </c>
      <c r="M15" t="n">
        <v>0</v>
      </c>
      <c r="N15" t="n">
        <v>0</v>
      </c>
      <c r="O15" t="n">
        <v>3</v>
      </c>
      <c r="P15" t="n">
        <v>0</v>
      </c>
      <c r="Q15" t="n">
        <v>5</v>
      </c>
      <c r="R15" s="2" t="inlineStr">
        <is>
          <t>Spillkråka
Talltita
Vedtrappmossa
Trådticka
Vedticka</t>
        </is>
      </c>
      <c r="S15">
        <f>HYPERLINK("https://klasma.github.io/Logging_1765/artfynd/A 63921-2023 artfynd.xlsx", "A 63921-2023")</f>
        <v/>
      </c>
      <c r="T15">
        <f>HYPERLINK("https://klasma.github.io/Logging_1765/kartor/A 63921-2023 karta.png", "A 63921-2023")</f>
        <v/>
      </c>
      <c r="V15">
        <f>HYPERLINK("https://klasma.github.io/Logging_1765/klagomål/A 63921-2023 FSC-klagomål.docx", "A 63921-2023")</f>
        <v/>
      </c>
      <c r="W15">
        <f>HYPERLINK("https://klasma.github.io/Logging_1765/klagomålsmail/A 63921-2023 FSC-klagomål mail.docx", "A 63921-2023")</f>
        <v/>
      </c>
      <c r="X15">
        <f>HYPERLINK("https://klasma.github.io/Logging_1765/tillsyn/A 63921-2023 tillsynsbegäran.docx", "A 63921-2023")</f>
        <v/>
      </c>
      <c r="Y15">
        <f>HYPERLINK("https://klasma.github.io/Logging_1765/tillsynsmail/A 63921-2023 tillsynsbegäran mail.docx", "A 63921-2023")</f>
        <v/>
      </c>
      <c r="Z15">
        <f>HYPERLINK("https://klasma.github.io/Logging_1765/fåglar/A 63921-2023 prioriterade fågelarter.docx", "A 63921-2023")</f>
        <v/>
      </c>
    </row>
    <row r="16" ht="15" customHeight="1">
      <c r="A16" t="inlineStr">
        <is>
          <t>A 32762-2021</t>
        </is>
      </c>
      <c r="B16" s="1" t="n">
        <v>44375</v>
      </c>
      <c r="C16" s="1" t="n">
        <v>45928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45928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45928</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45928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45928</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45928</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45928</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65319-2021</t>
        </is>
      </c>
      <c r="B23" s="1" t="n">
        <v>44515</v>
      </c>
      <c r="C23" s="1" t="n">
        <v>45928</v>
      </c>
      <c r="D23" t="inlineStr">
        <is>
          <t>VÄRMLANDS LÄN</t>
        </is>
      </c>
      <c r="E23" t="inlineStr">
        <is>
          <t>ÅRJÄNG</t>
        </is>
      </c>
      <c r="G23" t="n">
        <v>4.9</v>
      </c>
      <c r="H23" t="n">
        <v>0</v>
      </c>
      <c r="I23" t="n">
        <v>0</v>
      </c>
      <c r="J23" t="n">
        <v>2</v>
      </c>
      <c r="K23" t="n">
        <v>0</v>
      </c>
      <c r="L23" t="n">
        <v>0</v>
      </c>
      <c r="M23" t="n">
        <v>0</v>
      </c>
      <c r="N23" t="n">
        <v>0</v>
      </c>
      <c r="O23" t="n">
        <v>2</v>
      </c>
      <c r="P23" t="n">
        <v>0</v>
      </c>
      <c r="Q23" t="n">
        <v>2</v>
      </c>
      <c r="R23" s="2" t="inlineStr">
        <is>
          <t>Garnlav
Lunglav</t>
        </is>
      </c>
      <c r="S23">
        <f>HYPERLINK("https://klasma.github.io/Logging_1765/artfynd/A 65319-2021 artfynd.xlsx", "A 65319-2021")</f>
        <v/>
      </c>
      <c r="T23">
        <f>HYPERLINK("https://klasma.github.io/Logging_1765/kartor/A 65319-2021 karta.png", "A 65319-2021")</f>
        <v/>
      </c>
      <c r="U23">
        <f>HYPERLINK("https://klasma.github.io/Logging_1765/knärot/A 65319-2021 karta knärot.png", "A 65319-2021")</f>
        <v/>
      </c>
      <c r="V23">
        <f>HYPERLINK("https://klasma.github.io/Logging_1765/klagomål/A 65319-2021 FSC-klagomål.docx", "A 65319-2021")</f>
        <v/>
      </c>
      <c r="W23">
        <f>HYPERLINK("https://klasma.github.io/Logging_1765/klagomålsmail/A 65319-2021 FSC-klagomål mail.docx", "A 65319-2021")</f>
        <v/>
      </c>
      <c r="X23">
        <f>HYPERLINK("https://klasma.github.io/Logging_1765/tillsyn/A 65319-2021 tillsynsbegäran.docx", "A 65319-2021")</f>
        <v/>
      </c>
      <c r="Y23">
        <f>HYPERLINK("https://klasma.github.io/Logging_1765/tillsynsmail/A 65319-2021 tillsynsbegäran mail.docx", "A 65319-2021")</f>
        <v/>
      </c>
    </row>
    <row r="24" ht="15" customHeight="1">
      <c r="A24" t="inlineStr">
        <is>
          <t>A 51928-2022</t>
        </is>
      </c>
      <c r="B24" s="1" t="n">
        <v>44872</v>
      </c>
      <c r="C24" s="1" t="n">
        <v>45928</v>
      </c>
      <c r="D24" t="inlineStr">
        <is>
          <t>VÄRMLANDS LÄN</t>
        </is>
      </c>
      <c r="E24" t="inlineStr">
        <is>
          <t>ÅRJÄNG</t>
        </is>
      </c>
      <c r="G24" t="n">
        <v>14.1</v>
      </c>
      <c r="H24" t="n">
        <v>1</v>
      </c>
      <c r="I24" t="n">
        <v>1</v>
      </c>
      <c r="J24" t="n">
        <v>0</v>
      </c>
      <c r="K24" t="n">
        <v>1</v>
      </c>
      <c r="L24" t="n">
        <v>0</v>
      </c>
      <c r="M24" t="n">
        <v>0</v>
      </c>
      <c r="N24" t="n">
        <v>0</v>
      </c>
      <c r="O24" t="n">
        <v>1</v>
      </c>
      <c r="P24" t="n">
        <v>1</v>
      </c>
      <c r="Q24" t="n">
        <v>2</v>
      </c>
      <c r="R24" s="2" t="inlineStr">
        <is>
          <t>Knärot
Dropptaggsvamp</t>
        </is>
      </c>
      <c r="S24">
        <f>HYPERLINK("https://klasma.github.io/Logging_1765/artfynd/A 51928-2022 artfynd.xlsx", "A 51928-2022")</f>
        <v/>
      </c>
      <c r="T24">
        <f>HYPERLINK("https://klasma.github.io/Logging_1765/kartor/A 51928-2022 karta.png", "A 51928-2022")</f>
        <v/>
      </c>
      <c r="U24">
        <f>HYPERLINK("https://klasma.github.io/Logging_1765/knärot/A 51928-2022 karta knärot.png", "A 51928-2022")</f>
        <v/>
      </c>
      <c r="V24">
        <f>HYPERLINK("https://klasma.github.io/Logging_1765/klagomål/A 51928-2022 FSC-klagomål.docx", "A 51928-2022")</f>
        <v/>
      </c>
      <c r="W24">
        <f>HYPERLINK("https://klasma.github.io/Logging_1765/klagomålsmail/A 51928-2022 FSC-klagomål mail.docx", "A 51928-2022")</f>
        <v/>
      </c>
      <c r="X24">
        <f>HYPERLINK("https://klasma.github.io/Logging_1765/tillsyn/A 51928-2022 tillsynsbegäran.docx", "A 51928-2022")</f>
        <v/>
      </c>
      <c r="Y24">
        <f>HYPERLINK("https://klasma.github.io/Logging_1765/tillsynsmail/A 51928-2022 tillsynsbegäran mail.docx", "A 51928-2022")</f>
        <v/>
      </c>
    </row>
    <row r="25" ht="15" customHeight="1">
      <c r="A25" t="inlineStr">
        <is>
          <t>A 60688-2023</t>
        </is>
      </c>
      <c r="B25" s="1" t="n">
        <v>45260</v>
      </c>
      <c r="C25" s="1" t="n">
        <v>45928</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58238-2024</t>
        </is>
      </c>
      <c r="B26" s="1" t="n">
        <v>45632</v>
      </c>
      <c r="C26" s="1" t="n">
        <v>45928</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45928</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60741-2023</t>
        </is>
      </c>
      <c r="B28" s="1" t="n">
        <v>45260</v>
      </c>
      <c r="C28" s="1" t="n">
        <v>45928</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7998-2025</t>
        </is>
      </c>
      <c r="B29" s="1" t="n">
        <v>45707.52335648148</v>
      </c>
      <c r="C29" s="1" t="n">
        <v>45928</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45094-2024</t>
        </is>
      </c>
      <c r="B30" s="1" t="n">
        <v>45575</v>
      </c>
      <c r="C30" s="1" t="n">
        <v>45928</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39251-2023</t>
        </is>
      </c>
      <c r="B31" s="1" t="n">
        <v>45166.47168981482</v>
      </c>
      <c r="C31" s="1" t="n">
        <v>45928</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28418-2021</t>
        </is>
      </c>
      <c r="B32" s="1" t="n">
        <v>44356</v>
      </c>
      <c r="C32" s="1" t="n">
        <v>45928</v>
      </c>
      <c r="D32" t="inlineStr">
        <is>
          <t>VÄRMLANDS LÄN</t>
        </is>
      </c>
      <c r="E32" t="inlineStr">
        <is>
          <t>ÅRJÄNG</t>
        </is>
      </c>
      <c r="G32" t="n">
        <v>1.6</v>
      </c>
      <c r="H32" t="n">
        <v>0</v>
      </c>
      <c r="I32" t="n">
        <v>1</v>
      </c>
      <c r="J32" t="n">
        <v>0</v>
      </c>
      <c r="K32" t="n">
        <v>0</v>
      </c>
      <c r="L32" t="n">
        <v>0</v>
      </c>
      <c r="M32" t="n">
        <v>0</v>
      </c>
      <c r="N32" t="n">
        <v>0</v>
      </c>
      <c r="O32" t="n">
        <v>0</v>
      </c>
      <c r="P32" t="n">
        <v>0</v>
      </c>
      <c r="Q32" t="n">
        <v>1</v>
      </c>
      <c r="R32" s="2" t="inlineStr">
        <is>
          <t>Stubbspretmossa</t>
        </is>
      </c>
      <c r="S32">
        <f>HYPERLINK("https://klasma.github.io/Logging_1765/artfynd/A 28418-2021 artfynd.xlsx", "A 28418-2021")</f>
        <v/>
      </c>
      <c r="T32">
        <f>HYPERLINK("https://klasma.github.io/Logging_1765/kartor/A 28418-2021 karta.png", "A 28418-2021")</f>
        <v/>
      </c>
      <c r="V32">
        <f>HYPERLINK("https://klasma.github.io/Logging_1765/klagomål/A 28418-2021 FSC-klagomål.docx", "A 28418-2021")</f>
        <v/>
      </c>
      <c r="W32">
        <f>HYPERLINK("https://klasma.github.io/Logging_1765/klagomålsmail/A 28418-2021 FSC-klagomål mail.docx", "A 28418-2021")</f>
        <v/>
      </c>
      <c r="X32">
        <f>HYPERLINK("https://klasma.github.io/Logging_1765/tillsyn/A 28418-2021 tillsynsbegäran.docx", "A 28418-2021")</f>
        <v/>
      </c>
      <c r="Y32">
        <f>HYPERLINK("https://klasma.github.io/Logging_1765/tillsynsmail/A 28418-2021 tillsynsbegäran mail.docx", "A 28418-2021")</f>
        <v/>
      </c>
    </row>
    <row r="33" ht="15" customHeight="1">
      <c r="A33" t="inlineStr">
        <is>
          <t>A 3974-2021</t>
        </is>
      </c>
      <c r="B33" s="1" t="n">
        <v>44217</v>
      </c>
      <c r="C33" s="1" t="n">
        <v>45928</v>
      </c>
      <c r="D33" t="inlineStr">
        <is>
          <t>VÄRMLANDS LÄN</t>
        </is>
      </c>
      <c r="E33" t="inlineStr">
        <is>
          <t>ÅRJÄNG</t>
        </is>
      </c>
      <c r="G33" t="n">
        <v>0.8</v>
      </c>
      <c r="H33" t="n">
        <v>1</v>
      </c>
      <c r="I33" t="n">
        <v>0</v>
      </c>
      <c r="J33" t="n">
        <v>1</v>
      </c>
      <c r="K33" t="n">
        <v>0</v>
      </c>
      <c r="L33" t="n">
        <v>0</v>
      </c>
      <c r="M33" t="n">
        <v>0</v>
      </c>
      <c r="N33" t="n">
        <v>0</v>
      </c>
      <c r="O33" t="n">
        <v>1</v>
      </c>
      <c r="P33" t="n">
        <v>0</v>
      </c>
      <c r="Q33" t="n">
        <v>1</v>
      </c>
      <c r="R33" s="2" t="inlineStr">
        <is>
          <t>Tretåig hackspett</t>
        </is>
      </c>
      <c r="S33">
        <f>HYPERLINK("https://klasma.github.io/Logging_1765/artfynd/A 3974-2021 artfynd.xlsx", "A 3974-2021")</f>
        <v/>
      </c>
      <c r="T33">
        <f>HYPERLINK("https://klasma.github.io/Logging_1765/kartor/A 3974-2021 karta.png", "A 3974-2021")</f>
        <v/>
      </c>
      <c r="V33">
        <f>HYPERLINK("https://klasma.github.io/Logging_1765/klagomål/A 3974-2021 FSC-klagomål.docx", "A 3974-2021")</f>
        <v/>
      </c>
      <c r="W33">
        <f>HYPERLINK("https://klasma.github.io/Logging_1765/klagomålsmail/A 3974-2021 FSC-klagomål mail.docx", "A 3974-2021")</f>
        <v/>
      </c>
      <c r="X33">
        <f>HYPERLINK("https://klasma.github.io/Logging_1765/tillsyn/A 3974-2021 tillsynsbegäran.docx", "A 3974-2021")</f>
        <v/>
      </c>
      <c r="Y33">
        <f>HYPERLINK("https://klasma.github.io/Logging_1765/tillsynsmail/A 3974-2021 tillsynsbegäran mail.docx", "A 3974-2021")</f>
        <v/>
      </c>
      <c r="Z33">
        <f>HYPERLINK("https://klasma.github.io/Logging_1765/fåglar/A 3974-2021 prioriterade fågelarter.docx", "A 3974-2021")</f>
        <v/>
      </c>
    </row>
    <row r="34" ht="15" customHeight="1">
      <c r="A34" t="inlineStr">
        <is>
          <t>A 48449-2021</t>
        </is>
      </c>
      <c r="B34" s="1" t="n">
        <v>44452</v>
      </c>
      <c r="C34" s="1" t="n">
        <v>45928</v>
      </c>
      <c r="D34" t="inlineStr">
        <is>
          <t>VÄRMLANDS LÄN</t>
        </is>
      </c>
      <c r="E34" t="inlineStr">
        <is>
          <t>ÅRJÄNG</t>
        </is>
      </c>
      <c r="G34" t="n">
        <v>0.9</v>
      </c>
      <c r="H34" t="n">
        <v>1</v>
      </c>
      <c r="I34" t="n">
        <v>0</v>
      </c>
      <c r="J34" t="n">
        <v>0</v>
      </c>
      <c r="K34" t="n">
        <v>1</v>
      </c>
      <c r="L34" t="n">
        <v>0</v>
      </c>
      <c r="M34" t="n">
        <v>0</v>
      </c>
      <c r="N34" t="n">
        <v>0</v>
      </c>
      <c r="O34" t="n">
        <v>1</v>
      </c>
      <c r="P34" t="n">
        <v>1</v>
      </c>
      <c r="Q34" t="n">
        <v>1</v>
      </c>
      <c r="R34" s="2" t="inlineStr">
        <is>
          <t>Knärot</t>
        </is>
      </c>
      <c r="S34">
        <f>HYPERLINK("https://klasma.github.io/Logging_1765/artfynd/A 48449-2021 artfynd.xlsx", "A 48449-2021")</f>
        <v/>
      </c>
      <c r="T34">
        <f>HYPERLINK("https://klasma.github.io/Logging_1765/kartor/A 48449-2021 karta.png", "A 48449-2021")</f>
        <v/>
      </c>
      <c r="U34">
        <f>HYPERLINK("https://klasma.github.io/Logging_1765/knärot/A 48449-2021 karta knärot.png", "A 48449-2021")</f>
        <v/>
      </c>
      <c r="V34">
        <f>HYPERLINK("https://klasma.github.io/Logging_1765/klagomål/A 48449-2021 FSC-klagomål.docx", "A 48449-2021")</f>
        <v/>
      </c>
      <c r="W34">
        <f>HYPERLINK("https://klasma.github.io/Logging_1765/klagomålsmail/A 48449-2021 FSC-klagomål mail.docx", "A 48449-2021")</f>
        <v/>
      </c>
      <c r="X34">
        <f>HYPERLINK("https://klasma.github.io/Logging_1765/tillsyn/A 48449-2021 tillsynsbegäran.docx", "A 48449-2021")</f>
        <v/>
      </c>
      <c r="Y34">
        <f>HYPERLINK("https://klasma.github.io/Logging_1765/tillsynsmail/A 48449-2021 tillsynsbegäran mail.docx", "A 48449-2021")</f>
        <v/>
      </c>
    </row>
    <row r="35" ht="15" customHeight="1">
      <c r="A35" t="inlineStr">
        <is>
          <t>A 45938-2022</t>
        </is>
      </c>
      <c r="B35" s="1" t="n">
        <v>44846</v>
      </c>
      <c r="C35" s="1" t="n">
        <v>45928</v>
      </c>
      <c r="D35" t="inlineStr">
        <is>
          <t>VÄRMLANDS LÄN</t>
        </is>
      </c>
      <c r="E35" t="inlineStr">
        <is>
          <t>ÅRJÄNG</t>
        </is>
      </c>
      <c r="G35" t="n">
        <v>4.4</v>
      </c>
      <c r="H35" t="n">
        <v>1</v>
      </c>
      <c r="I35" t="n">
        <v>0</v>
      </c>
      <c r="J35" t="n">
        <v>0</v>
      </c>
      <c r="K35" t="n">
        <v>1</v>
      </c>
      <c r="L35" t="n">
        <v>0</v>
      </c>
      <c r="M35" t="n">
        <v>0</v>
      </c>
      <c r="N35" t="n">
        <v>0</v>
      </c>
      <c r="O35" t="n">
        <v>1</v>
      </c>
      <c r="P35" t="n">
        <v>1</v>
      </c>
      <c r="Q35" t="n">
        <v>1</v>
      </c>
      <c r="R35" s="2" t="inlineStr">
        <is>
          <t>Knärot</t>
        </is>
      </c>
      <c r="S35">
        <f>HYPERLINK("https://klasma.github.io/Logging_1765/artfynd/A 45938-2022 artfynd.xlsx", "A 45938-2022")</f>
        <v/>
      </c>
      <c r="T35">
        <f>HYPERLINK("https://klasma.github.io/Logging_1765/kartor/A 45938-2022 karta.png", "A 45938-2022")</f>
        <v/>
      </c>
      <c r="U35">
        <f>HYPERLINK("https://klasma.github.io/Logging_1765/knärot/A 45938-2022 karta knärot.png", "A 45938-2022")</f>
        <v/>
      </c>
      <c r="V35">
        <f>HYPERLINK("https://klasma.github.io/Logging_1765/klagomål/A 45938-2022 FSC-klagomål.docx", "A 45938-2022")</f>
        <v/>
      </c>
      <c r="W35">
        <f>HYPERLINK("https://klasma.github.io/Logging_1765/klagomålsmail/A 45938-2022 FSC-klagomål mail.docx", "A 45938-2022")</f>
        <v/>
      </c>
      <c r="X35">
        <f>HYPERLINK("https://klasma.github.io/Logging_1765/tillsyn/A 45938-2022 tillsynsbegäran.docx", "A 45938-2022")</f>
        <v/>
      </c>
      <c r="Y35">
        <f>HYPERLINK("https://klasma.github.io/Logging_1765/tillsynsmail/A 45938-2022 tillsynsbegäran mail.docx", "A 45938-2022")</f>
        <v/>
      </c>
    </row>
    <row r="36" ht="15" customHeight="1">
      <c r="A36" t="inlineStr">
        <is>
          <t>A 61846-2020</t>
        </is>
      </c>
      <c r="B36" s="1" t="n">
        <v>44159</v>
      </c>
      <c r="C36" s="1" t="n">
        <v>45928</v>
      </c>
      <c r="D36" t="inlineStr">
        <is>
          <t>VÄRMLANDS LÄN</t>
        </is>
      </c>
      <c r="E36" t="inlineStr">
        <is>
          <t>ÅRJÄNG</t>
        </is>
      </c>
      <c r="G36" t="n">
        <v>2</v>
      </c>
      <c r="H36" t="n">
        <v>0</v>
      </c>
      <c r="I36" t="n">
        <v>1</v>
      </c>
      <c r="J36" t="n">
        <v>0</v>
      </c>
      <c r="K36" t="n">
        <v>0</v>
      </c>
      <c r="L36" t="n">
        <v>0</v>
      </c>
      <c r="M36" t="n">
        <v>0</v>
      </c>
      <c r="N36" t="n">
        <v>0</v>
      </c>
      <c r="O36" t="n">
        <v>0</v>
      </c>
      <c r="P36" t="n">
        <v>0</v>
      </c>
      <c r="Q36" t="n">
        <v>1</v>
      </c>
      <c r="R36" s="2" t="inlineStr">
        <is>
          <t>Korallblylav</t>
        </is>
      </c>
      <c r="S36">
        <f>HYPERLINK("https://klasma.github.io/Logging_1765/artfynd/A 61846-2020 artfynd.xlsx", "A 61846-2020")</f>
        <v/>
      </c>
      <c r="T36">
        <f>HYPERLINK("https://klasma.github.io/Logging_1765/kartor/A 61846-2020 karta.png", "A 61846-2020")</f>
        <v/>
      </c>
      <c r="V36">
        <f>HYPERLINK("https://klasma.github.io/Logging_1765/klagomål/A 61846-2020 FSC-klagomål.docx", "A 61846-2020")</f>
        <v/>
      </c>
      <c r="W36">
        <f>HYPERLINK("https://klasma.github.io/Logging_1765/klagomålsmail/A 61846-2020 FSC-klagomål mail.docx", "A 61846-2020")</f>
        <v/>
      </c>
      <c r="X36">
        <f>HYPERLINK("https://klasma.github.io/Logging_1765/tillsyn/A 61846-2020 tillsynsbegäran.docx", "A 61846-2020")</f>
        <v/>
      </c>
      <c r="Y36">
        <f>HYPERLINK("https://klasma.github.io/Logging_1765/tillsynsmail/A 61846-2020 tillsynsbegäran mail.docx", "A 61846-2020")</f>
        <v/>
      </c>
    </row>
    <row r="37" ht="15" customHeight="1">
      <c r="A37" t="inlineStr">
        <is>
          <t>A 7447-2024</t>
        </is>
      </c>
      <c r="B37" s="1" t="n">
        <v>45345</v>
      </c>
      <c r="C37" s="1" t="n">
        <v>45928</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45928</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34188-2021</t>
        </is>
      </c>
      <c r="B39" s="1" t="n">
        <v>44379</v>
      </c>
      <c r="C39" s="1" t="n">
        <v>45928</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30550-2023</t>
        </is>
      </c>
      <c r="B40" s="1" t="n">
        <v>45111</v>
      </c>
      <c r="C40" s="1" t="n">
        <v>45928</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30550-2023 artfynd.xlsx", "A 30550-2023")</f>
        <v/>
      </c>
      <c r="T40">
        <f>HYPERLINK("https://klasma.github.io/Logging_1765/kartor/A 30550-2023 karta.png", "A 30550-2023")</f>
        <v/>
      </c>
      <c r="V40">
        <f>HYPERLINK("https://klasma.github.io/Logging_1765/klagomål/A 30550-2023 FSC-klagomål.docx", "A 30550-2023")</f>
        <v/>
      </c>
      <c r="W40">
        <f>HYPERLINK("https://klasma.github.io/Logging_1765/klagomålsmail/A 30550-2023 FSC-klagomål mail.docx", "A 30550-2023")</f>
        <v/>
      </c>
      <c r="X40">
        <f>HYPERLINK("https://klasma.github.io/Logging_1765/tillsyn/A 30550-2023 tillsynsbegäran.docx", "A 30550-2023")</f>
        <v/>
      </c>
      <c r="Y40">
        <f>HYPERLINK("https://klasma.github.io/Logging_1765/tillsynsmail/A 30550-2023 tillsynsbegäran mail.docx", "A 30550-2023")</f>
        <v/>
      </c>
    </row>
    <row r="41" ht="15" customHeight="1">
      <c r="A41" t="inlineStr">
        <is>
          <t>A 15418-2021</t>
        </is>
      </c>
      <c r="B41" s="1" t="n">
        <v>44285</v>
      </c>
      <c r="C41" s="1" t="n">
        <v>45928</v>
      </c>
      <c r="D41" t="inlineStr">
        <is>
          <t>VÄRMLANDS LÄN</t>
        </is>
      </c>
      <c r="E41" t="inlineStr">
        <is>
          <t>ÅRJÄNG</t>
        </is>
      </c>
      <c r="G41" t="n">
        <v>6.6</v>
      </c>
      <c r="H41" t="n">
        <v>0</v>
      </c>
      <c r="I41" t="n">
        <v>0</v>
      </c>
      <c r="J41" t="n">
        <v>1</v>
      </c>
      <c r="K41" t="n">
        <v>0</v>
      </c>
      <c r="L41" t="n">
        <v>0</v>
      </c>
      <c r="M41" t="n">
        <v>0</v>
      </c>
      <c r="N41" t="n">
        <v>0</v>
      </c>
      <c r="O41" t="n">
        <v>1</v>
      </c>
      <c r="P41" t="n">
        <v>0</v>
      </c>
      <c r="Q41" t="n">
        <v>1</v>
      </c>
      <c r="R41" s="2" t="inlineStr">
        <is>
          <t>Lunglav</t>
        </is>
      </c>
      <c r="S41">
        <f>HYPERLINK("https://klasma.github.io/Logging_1765/artfynd/A 15418-2021 artfynd.xlsx", "A 15418-2021")</f>
        <v/>
      </c>
      <c r="T41">
        <f>HYPERLINK("https://klasma.github.io/Logging_1765/kartor/A 15418-2021 karta.png", "A 15418-2021")</f>
        <v/>
      </c>
      <c r="V41">
        <f>HYPERLINK("https://klasma.github.io/Logging_1765/klagomål/A 15418-2021 FSC-klagomål.docx", "A 15418-2021")</f>
        <v/>
      </c>
      <c r="W41">
        <f>HYPERLINK("https://klasma.github.io/Logging_1765/klagomålsmail/A 15418-2021 FSC-klagomål mail.docx", "A 15418-2021")</f>
        <v/>
      </c>
      <c r="X41">
        <f>HYPERLINK("https://klasma.github.io/Logging_1765/tillsyn/A 15418-2021 tillsynsbegäran.docx", "A 15418-2021")</f>
        <v/>
      </c>
      <c r="Y41">
        <f>HYPERLINK("https://klasma.github.io/Logging_1765/tillsynsmail/A 15418-2021 tillsynsbegäran mail.docx", "A 15418-2021")</f>
        <v/>
      </c>
    </row>
    <row r="42" ht="15" customHeight="1">
      <c r="A42" t="inlineStr">
        <is>
          <t>A 36385-2025</t>
        </is>
      </c>
      <c r="B42" s="1" t="n">
        <v>45868</v>
      </c>
      <c r="C42" s="1" t="n">
        <v>45928</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45230-2025</t>
        </is>
      </c>
      <c r="B43" s="1" t="n">
        <v>45919</v>
      </c>
      <c r="C43" s="1" t="n">
        <v>45928</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14898-2025</t>
        </is>
      </c>
      <c r="B44" s="1" t="n">
        <v>45743.47967592593</v>
      </c>
      <c r="C44" s="1" t="n">
        <v>45928</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27001-2025</t>
        </is>
      </c>
      <c r="B45" s="1" t="n">
        <v>45811</v>
      </c>
      <c r="C45" s="1" t="n">
        <v>45928</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27001-2025 artfynd.xlsx", "A 27001-2025")</f>
        <v/>
      </c>
      <c r="T45">
        <f>HYPERLINK("https://klasma.github.io/Logging_1765/kartor/A 27001-2025 karta.png", "A 27001-2025")</f>
        <v/>
      </c>
      <c r="V45">
        <f>HYPERLINK("https://klasma.github.io/Logging_1765/klagomål/A 27001-2025 FSC-klagomål.docx", "A 27001-2025")</f>
        <v/>
      </c>
      <c r="W45">
        <f>HYPERLINK("https://klasma.github.io/Logging_1765/klagomålsmail/A 27001-2025 FSC-klagomål mail.docx", "A 27001-2025")</f>
        <v/>
      </c>
      <c r="X45">
        <f>HYPERLINK("https://klasma.github.io/Logging_1765/tillsyn/A 27001-2025 tillsynsbegäran.docx", "A 27001-2025")</f>
        <v/>
      </c>
      <c r="Y45">
        <f>HYPERLINK("https://klasma.github.io/Logging_1765/tillsynsmail/A 27001-2025 tillsynsbegäran mail.docx", "A 27001-2025")</f>
        <v/>
      </c>
    </row>
    <row r="46" ht="15" customHeight="1">
      <c r="A46" t="inlineStr">
        <is>
          <t>A 2212-2025</t>
        </is>
      </c>
      <c r="B46" s="1" t="n">
        <v>45673</v>
      </c>
      <c r="C46" s="1" t="n">
        <v>45928</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45928</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8630-2025</t>
        </is>
      </c>
      <c r="B48" s="1" t="n">
        <v>45711.70400462963</v>
      </c>
      <c r="C48" s="1" t="n">
        <v>45928</v>
      </c>
      <c r="D48" t="inlineStr">
        <is>
          <t>VÄRMLANDS LÄN</t>
        </is>
      </c>
      <c r="E48" t="inlineStr">
        <is>
          <t>ÅRJÄNG</t>
        </is>
      </c>
      <c r="G48" t="n">
        <v>3.1</v>
      </c>
      <c r="H48" t="n">
        <v>0</v>
      </c>
      <c r="I48" t="n">
        <v>1</v>
      </c>
      <c r="J48" t="n">
        <v>0</v>
      </c>
      <c r="K48" t="n">
        <v>0</v>
      </c>
      <c r="L48" t="n">
        <v>0</v>
      </c>
      <c r="M48" t="n">
        <v>0</v>
      </c>
      <c r="N48" t="n">
        <v>0</v>
      </c>
      <c r="O48" t="n">
        <v>0</v>
      </c>
      <c r="P48" t="n">
        <v>0</v>
      </c>
      <c r="Q48" t="n">
        <v>1</v>
      </c>
      <c r="R48" s="2" t="inlineStr">
        <is>
          <t>Dropptaggsvamp</t>
        </is>
      </c>
      <c r="S48">
        <f>HYPERLINK("https://klasma.github.io/Logging_1765/artfynd/A 8630-2025 artfynd.xlsx", "A 8630-2025")</f>
        <v/>
      </c>
      <c r="T48">
        <f>HYPERLINK("https://klasma.github.io/Logging_1765/kartor/A 8630-2025 karta.png", "A 8630-2025")</f>
        <v/>
      </c>
      <c r="V48">
        <f>HYPERLINK("https://klasma.github.io/Logging_1765/klagomål/A 8630-2025 FSC-klagomål.docx", "A 8630-2025")</f>
        <v/>
      </c>
      <c r="W48">
        <f>HYPERLINK("https://klasma.github.io/Logging_1765/klagomålsmail/A 8630-2025 FSC-klagomål mail.docx", "A 8630-2025")</f>
        <v/>
      </c>
      <c r="X48">
        <f>HYPERLINK("https://klasma.github.io/Logging_1765/tillsyn/A 8630-2025 tillsynsbegäran.docx", "A 8630-2025")</f>
        <v/>
      </c>
      <c r="Y48">
        <f>HYPERLINK("https://klasma.github.io/Logging_1765/tillsynsmail/A 8630-2025 tillsynsbegäran mail.docx", "A 8630-2025")</f>
        <v/>
      </c>
    </row>
    <row r="49" ht="15" customHeight="1">
      <c r="A49" t="inlineStr">
        <is>
          <t>A 11880-2025</t>
        </is>
      </c>
      <c r="B49" s="1" t="n">
        <v>45728.4462037037</v>
      </c>
      <c r="C49" s="1" t="n">
        <v>45928</v>
      </c>
      <c r="D49" t="inlineStr">
        <is>
          <t>VÄRMLANDS LÄN</t>
        </is>
      </c>
      <c r="E49" t="inlineStr">
        <is>
          <t>ÅRJÄNG</t>
        </is>
      </c>
      <c r="F49" t="inlineStr">
        <is>
          <t>Övriga Aktiebolag</t>
        </is>
      </c>
      <c r="G49" t="n">
        <v>4.8</v>
      </c>
      <c r="H49" t="n">
        <v>0</v>
      </c>
      <c r="I49" t="n">
        <v>0</v>
      </c>
      <c r="J49" t="n">
        <v>1</v>
      </c>
      <c r="K49" t="n">
        <v>0</v>
      </c>
      <c r="L49" t="n">
        <v>0</v>
      </c>
      <c r="M49" t="n">
        <v>0</v>
      </c>
      <c r="N49" t="n">
        <v>0</v>
      </c>
      <c r="O49" t="n">
        <v>1</v>
      </c>
      <c r="P49" t="n">
        <v>0</v>
      </c>
      <c r="Q49" t="n">
        <v>1</v>
      </c>
      <c r="R49" s="2" t="inlineStr">
        <is>
          <t>Lunglav</t>
        </is>
      </c>
      <c r="S49">
        <f>HYPERLINK("https://klasma.github.io/Logging_1765/artfynd/A 11880-2025 artfynd.xlsx", "A 11880-2025")</f>
        <v/>
      </c>
      <c r="T49">
        <f>HYPERLINK("https://klasma.github.io/Logging_1765/kartor/A 11880-2025 karta.png", "A 11880-2025")</f>
        <v/>
      </c>
      <c r="V49">
        <f>HYPERLINK("https://klasma.github.io/Logging_1765/klagomål/A 11880-2025 FSC-klagomål.docx", "A 11880-2025")</f>
        <v/>
      </c>
      <c r="W49">
        <f>HYPERLINK("https://klasma.github.io/Logging_1765/klagomålsmail/A 11880-2025 FSC-klagomål mail.docx", "A 11880-2025")</f>
        <v/>
      </c>
      <c r="X49">
        <f>HYPERLINK("https://klasma.github.io/Logging_1765/tillsyn/A 11880-2025 tillsynsbegäran.docx", "A 11880-2025")</f>
        <v/>
      </c>
      <c r="Y49">
        <f>HYPERLINK("https://klasma.github.io/Logging_1765/tillsynsmail/A 11880-2025 tillsynsbegäran mail.docx", "A 11880-2025")</f>
        <v/>
      </c>
    </row>
    <row r="50" ht="15" customHeight="1">
      <c r="A50" t="inlineStr">
        <is>
          <t>A 52826-2022</t>
        </is>
      </c>
      <c r="B50" s="1" t="n">
        <v>44875.45353009259</v>
      </c>
      <c r="C50" s="1" t="n">
        <v>45928</v>
      </c>
      <c r="D50" t="inlineStr">
        <is>
          <t>VÄRMLANDS LÄN</t>
        </is>
      </c>
      <c r="E50" t="inlineStr">
        <is>
          <t>ÅRJÄNG</t>
        </is>
      </c>
      <c r="G50" t="n">
        <v>2.2</v>
      </c>
      <c r="H50" t="n">
        <v>0</v>
      </c>
      <c r="I50" t="n">
        <v>0</v>
      </c>
      <c r="J50" t="n">
        <v>0</v>
      </c>
      <c r="K50" t="n">
        <v>0</v>
      </c>
      <c r="L50" t="n">
        <v>0</v>
      </c>
      <c r="M50" t="n">
        <v>0</v>
      </c>
      <c r="N50" t="n">
        <v>0</v>
      </c>
      <c r="O50" t="n">
        <v>0</v>
      </c>
      <c r="P50" t="n">
        <v>0</v>
      </c>
      <c r="Q50" t="n">
        <v>0</v>
      </c>
      <c r="R50" s="2" t="inlineStr"/>
    </row>
    <row r="51" ht="15" customHeight="1">
      <c r="A51" t="inlineStr">
        <is>
          <t>A 16689-2021</t>
        </is>
      </c>
      <c r="B51" s="1" t="n">
        <v>44294.59744212963</v>
      </c>
      <c r="C51" s="1" t="n">
        <v>45928</v>
      </c>
      <c r="D51" t="inlineStr">
        <is>
          <t>VÄRMLANDS LÄN</t>
        </is>
      </c>
      <c r="E51" t="inlineStr">
        <is>
          <t>ÅRJÄNG</t>
        </is>
      </c>
      <c r="G51" t="n">
        <v>0.6</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45928</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45928</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45928</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63415-2020</t>
        </is>
      </c>
      <c r="B55" s="1" t="n">
        <v>44165</v>
      </c>
      <c r="C55" s="1" t="n">
        <v>45928</v>
      </c>
      <c r="D55" t="inlineStr">
        <is>
          <t>VÄRMLANDS LÄN</t>
        </is>
      </c>
      <c r="E55" t="inlineStr">
        <is>
          <t>ÅRJÄNG</t>
        </is>
      </c>
      <c r="G55" t="n">
        <v>4.9</v>
      </c>
      <c r="H55" t="n">
        <v>0</v>
      </c>
      <c r="I55" t="n">
        <v>0</v>
      </c>
      <c r="J55" t="n">
        <v>0</v>
      </c>
      <c r="K55" t="n">
        <v>0</v>
      </c>
      <c r="L55" t="n">
        <v>0</v>
      </c>
      <c r="M55" t="n">
        <v>0</v>
      </c>
      <c r="N55" t="n">
        <v>0</v>
      </c>
      <c r="O55" t="n">
        <v>0</v>
      </c>
      <c r="P55" t="n">
        <v>0</v>
      </c>
      <c r="Q55" t="n">
        <v>0</v>
      </c>
      <c r="R55" s="2" t="inlineStr"/>
    </row>
    <row r="56" ht="15" customHeight="1">
      <c r="A56" t="inlineStr">
        <is>
          <t>A 47642-2021</t>
        </is>
      </c>
      <c r="B56" s="1" t="n">
        <v>44448.39857638889</v>
      </c>
      <c r="C56" s="1" t="n">
        <v>45928</v>
      </c>
      <c r="D56" t="inlineStr">
        <is>
          <t>VÄRMLANDS LÄN</t>
        </is>
      </c>
      <c r="E56" t="inlineStr">
        <is>
          <t>ÅRJÄNG</t>
        </is>
      </c>
      <c r="G56" t="n">
        <v>2.3</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45928</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45928</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45928</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45928</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45928</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45928</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45928</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45928</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45928</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45928</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45928</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65950-2020</t>
        </is>
      </c>
      <c r="B68" s="1" t="n">
        <v>44175</v>
      </c>
      <c r="C68" s="1" t="n">
        <v>45928</v>
      </c>
      <c r="D68" t="inlineStr">
        <is>
          <t>VÄRMLANDS LÄN</t>
        </is>
      </c>
      <c r="E68" t="inlineStr">
        <is>
          <t>ÅRJÄNG</t>
        </is>
      </c>
      <c r="G68" t="n">
        <v>3</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45928</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45928</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45928</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45928</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45928</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45928</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45928</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45928</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45928</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45928</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45928</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45928</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45928</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45928</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45928</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45928</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45928</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45928</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45928</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61868-2020</t>
        </is>
      </c>
      <c r="B88" s="1" t="n">
        <v>44155</v>
      </c>
      <c r="C88" s="1" t="n">
        <v>45928</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45928</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45928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45928</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45928</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45928</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45928</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45928</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45928</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45928</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45928</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4942-2022</t>
        </is>
      </c>
      <c r="B99" s="1" t="n">
        <v>44593</v>
      </c>
      <c r="C99" s="1" t="n">
        <v>45928</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45928</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45928</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72812-2021</t>
        </is>
      </c>
      <c r="B102" s="1" t="n">
        <v>44546</v>
      </c>
      <c r="C102" s="1" t="n">
        <v>45928</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45928</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45928</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45928</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45928</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45928</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45928</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45928</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45928</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45928</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45928</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45928</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45928</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45928</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45928</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45928</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45928</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45928</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45928</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45928</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45928</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45928</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45928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45928</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45928</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45928</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45928</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49896-2022</t>
        </is>
      </c>
      <c r="B129" s="1" t="n">
        <v>44864.76736111111</v>
      </c>
      <c r="C129" s="1" t="n">
        <v>45928</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64318-2020</t>
        </is>
      </c>
      <c r="B130" s="1" t="n">
        <v>44168</v>
      </c>
      <c r="C130" s="1" t="n">
        <v>45928</v>
      </c>
      <c r="D130" t="inlineStr">
        <is>
          <t>VÄRMLANDS LÄN</t>
        </is>
      </c>
      <c r="E130" t="inlineStr">
        <is>
          <t>ÅRJÄNG</t>
        </is>
      </c>
      <c r="G130" t="n">
        <v>1.1</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45928</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45928</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45928</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45928</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45928</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50223-2021</t>
        </is>
      </c>
      <c r="B136" s="1" t="n">
        <v>44457</v>
      </c>
      <c r="C136" s="1" t="n">
        <v>45928</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45928</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45928</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45928</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48374-2020</t>
        </is>
      </c>
      <c r="B140" s="1" t="n">
        <v>44102</v>
      </c>
      <c r="C140" s="1" t="n">
        <v>45928</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45928</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74187-2021</t>
        </is>
      </c>
      <c r="B142" s="1" t="n">
        <v>44553</v>
      </c>
      <c r="C142" s="1" t="n">
        <v>45928</v>
      </c>
      <c r="D142" t="inlineStr">
        <is>
          <t>VÄRMLANDS LÄN</t>
        </is>
      </c>
      <c r="E142" t="inlineStr">
        <is>
          <t>ÅRJÄNG</t>
        </is>
      </c>
      <c r="G142" t="n">
        <v>1</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45928</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45928</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50664-2020</t>
        </is>
      </c>
      <c r="B145" s="1" t="n">
        <v>44105</v>
      </c>
      <c r="C145" s="1" t="n">
        <v>45928</v>
      </c>
      <c r="D145" t="inlineStr">
        <is>
          <t>VÄRMLANDS LÄN</t>
        </is>
      </c>
      <c r="E145" t="inlineStr">
        <is>
          <t>ÅRJÄNG</t>
        </is>
      </c>
      <c r="G145" t="n">
        <v>2.3</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45928</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45928</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45928</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45928</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45928</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45928</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45928</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45928</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45928</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45928</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45928</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45928</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45928</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45928</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45928</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45928</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45928</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45928</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45928</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45928</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45928</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45928</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45928</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45928</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45928</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45928</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45928</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62289-2021</t>
        </is>
      </c>
      <c r="B173" s="1" t="n">
        <v>44503.37527777778</v>
      </c>
      <c r="C173" s="1" t="n">
        <v>45928</v>
      </c>
      <c r="D173" t="inlineStr">
        <is>
          <t>VÄRMLANDS LÄN</t>
        </is>
      </c>
      <c r="E173" t="inlineStr">
        <is>
          <t>ÅRJÄNG</t>
        </is>
      </c>
      <c r="G173" t="n">
        <v>0.3</v>
      </c>
      <c r="H173" t="n">
        <v>0</v>
      </c>
      <c r="I173" t="n">
        <v>0</v>
      </c>
      <c r="J173" t="n">
        <v>0</v>
      </c>
      <c r="K173" t="n">
        <v>0</v>
      </c>
      <c r="L173" t="n">
        <v>0</v>
      </c>
      <c r="M173" t="n">
        <v>0</v>
      </c>
      <c r="N173" t="n">
        <v>0</v>
      </c>
      <c r="O173" t="n">
        <v>0</v>
      </c>
      <c r="P173" t="n">
        <v>0</v>
      </c>
      <c r="Q173" t="n">
        <v>0</v>
      </c>
      <c r="R173" s="2" t="inlineStr"/>
    </row>
    <row r="174" ht="15" customHeight="1">
      <c r="A174" t="inlineStr">
        <is>
          <t>A 40829-2021</t>
        </is>
      </c>
      <c r="B174" s="1" t="n">
        <v>44421</v>
      </c>
      <c r="C174" s="1" t="n">
        <v>45928</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40832-2021</t>
        </is>
      </c>
      <c r="B175" s="1" t="n">
        <v>44421</v>
      </c>
      <c r="C175" s="1" t="n">
        <v>45928</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45928</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53052-2021</t>
        </is>
      </c>
      <c r="B177" s="1" t="n">
        <v>44467</v>
      </c>
      <c r="C177" s="1" t="n">
        <v>45928</v>
      </c>
      <c r="D177" t="inlineStr">
        <is>
          <t>VÄRMLANDS LÄN</t>
        </is>
      </c>
      <c r="E177" t="inlineStr">
        <is>
          <t>ÅRJÄNG</t>
        </is>
      </c>
      <c r="G177" t="n">
        <v>0.7</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45928</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45928</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53722-2021</t>
        </is>
      </c>
      <c r="B180" s="1" t="n">
        <v>44469</v>
      </c>
      <c r="C180" s="1" t="n">
        <v>45928</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45928</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45928</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45928</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45928</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45928</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45928</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45928</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45928</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45928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45928</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45928</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45928</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45928</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45928</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45928</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45928</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45928</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5346-2022</t>
        </is>
      </c>
      <c r="B198" s="1" t="n">
        <v>44594.74583333333</v>
      </c>
      <c r="C198" s="1" t="n">
        <v>45928</v>
      </c>
      <c r="D198" t="inlineStr">
        <is>
          <t>VÄRMLANDS LÄN</t>
        </is>
      </c>
      <c r="E198" t="inlineStr">
        <is>
          <t>ÅRJÄNG</t>
        </is>
      </c>
      <c r="G198" t="n">
        <v>0.4</v>
      </c>
      <c r="H198" t="n">
        <v>0</v>
      </c>
      <c r="I198" t="n">
        <v>0</v>
      </c>
      <c r="J198" t="n">
        <v>0</v>
      </c>
      <c r="K198" t="n">
        <v>0</v>
      </c>
      <c r="L198" t="n">
        <v>0</v>
      </c>
      <c r="M198" t="n">
        <v>0</v>
      </c>
      <c r="N198" t="n">
        <v>0</v>
      </c>
      <c r="O198" t="n">
        <v>0</v>
      </c>
      <c r="P198" t="n">
        <v>0</v>
      </c>
      <c r="Q198" t="n">
        <v>0</v>
      </c>
      <c r="R198" s="2" t="inlineStr"/>
    </row>
    <row r="199" ht="15" customHeight="1">
      <c r="A199" t="inlineStr">
        <is>
          <t>A 56993-2021</t>
        </is>
      </c>
      <c r="B199" s="1" t="n">
        <v>44482</v>
      </c>
      <c r="C199" s="1" t="n">
        <v>45928</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17927-2021</t>
        </is>
      </c>
      <c r="B200" s="1" t="n">
        <v>44301</v>
      </c>
      <c r="C200" s="1" t="n">
        <v>45928</v>
      </c>
      <c r="D200" t="inlineStr">
        <is>
          <t>VÄRMLANDS LÄN</t>
        </is>
      </c>
      <c r="E200" t="inlineStr">
        <is>
          <t>ÅRJÄNG</t>
        </is>
      </c>
      <c r="G200" t="n">
        <v>3.4</v>
      </c>
      <c r="H200" t="n">
        <v>0</v>
      </c>
      <c r="I200" t="n">
        <v>0</v>
      </c>
      <c r="J200" t="n">
        <v>0</v>
      </c>
      <c r="K200" t="n">
        <v>0</v>
      </c>
      <c r="L200" t="n">
        <v>0</v>
      </c>
      <c r="M200" t="n">
        <v>0</v>
      </c>
      <c r="N200" t="n">
        <v>0</v>
      </c>
      <c r="O200" t="n">
        <v>0</v>
      </c>
      <c r="P200" t="n">
        <v>0</v>
      </c>
      <c r="Q200" t="n">
        <v>0</v>
      </c>
      <c r="R200" s="2" t="inlineStr"/>
    </row>
    <row r="201" ht="15" customHeight="1">
      <c r="A201" t="inlineStr">
        <is>
          <t>A 71840-2021</t>
        </is>
      </c>
      <c r="B201" s="1" t="n">
        <v>44543</v>
      </c>
      <c r="C201" s="1" t="n">
        <v>45928</v>
      </c>
      <c r="D201" t="inlineStr">
        <is>
          <t>VÄRMLANDS LÄN</t>
        </is>
      </c>
      <c r="E201" t="inlineStr">
        <is>
          <t>ÅRJÄNG</t>
        </is>
      </c>
      <c r="G201" t="n">
        <v>6.5</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45928</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45928</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23450-2021</t>
        </is>
      </c>
      <c r="B204" s="1" t="n">
        <v>44333</v>
      </c>
      <c r="C204" s="1" t="n">
        <v>45928</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39661-2022</t>
        </is>
      </c>
      <c r="B205" s="1" t="n">
        <v>44818.79202546296</v>
      </c>
      <c r="C205" s="1" t="n">
        <v>45928</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45928</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57833-2021</t>
        </is>
      </c>
      <c r="B207" s="1" t="n">
        <v>44484.71295138889</v>
      </c>
      <c r="C207" s="1" t="n">
        <v>45928</v>
      </c>
      <c r="D207" t="inlineStr">
        <is>
          <t>VÄRMLANDS LÄN</t>
        </is>
      </c>
      <c r="E207" t="inlineStr">
        <is>
          <t>ÅRJÄNG</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9484-2021</t>
        </is>
      </c>
      <c r="B208" s="1" t="n">
        <v>44251</v>
      </c>
      <c r="C208" s="1" t="n">
        <v>45928</v>
      </c>
      <c r="D208" t="inlineStr">
        <is>
          <t>VÄRMLANDS LÄN</t>
        </is>
      </c>
      <c r="E208" t="inlineStr">
        <is>
          <t>ÅRJÄNG</t>
        </is>
      </c>
      <c r="G208" t="n">
        <v>0.8</v>
      </c>
      <c r="H208" t="n">
        <v>0</v>
      </c>
      <c r="I208" t="n">
        <v>0</v>
      </c>
      <c r="J208" t="n">
        <v>0</v>
      </c>
      <c r="K208" t="n">
        <v>0</v>
      </c>
      <c r="L208" t="n">
        <v>0</v>
      </c>
      <c r="M208" t="n">
        <v>0</v>
      </c>
      <c r="N208" t="n">
        <v>0</v>
      </c>
      <c r="O208" t="n">
        <v>0</v>
      </c>
      <c r="P208" t="n">
        <v>0</v>
      </c>
      <c r="Q208" t="n">
        <v>0</v>
      </c>
      <c r="R208" s="2" t="inlineStr"/>
    </row>
    <row r="209" ht="15" customHeight="1">
      <c r="A209" t="inlineStr">
        <is>
          <t>A 69647-2020</t>
        </is>
      </c>
      <c r="B209" s="1" t="n">
        <v>44195</v>
      </c>
      <c r="C209" s="1" t="n">
        <v>45928</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48132-2020</t>
        </is>
      </c>
      <c r="B210" s="1" t="n">
        <v>44102</v>
      </c>
      <c r="C210" s="1" t="n">
        <v>45928</v>
      </c>
      <c r="D210" t="inlineStr">
        <is>
          <t>VÄRMLANDS LÄN</t>
        </is>
      </c>
      <c r="E210" t="inlineStr">
        <is>
          <t>ÅRJÄNG</t>
        </is>
      </c>
      <c r="G210" t="n">
        <v>4.1</v>
      </c>
      <c r="H210" t="n">
        <v>0</v>
      </c>
      <c r="I210" t="n">
        <v>0</v>
      </c>
      <c r="J210" t="n">
        <v>0</v>
      </c>
      <c r="K210" t="n">
        <v>0</v>
      </c>
      <c r="L210" t="n">
        <v>0</v>
      </c>
      <c r="M210" t="n">
        <v>0</v>
      </c>
      <c r="N210" t="n">
        <v>0</v>
      </c>
      <c r="O210" t="n">
        <v>0</v>
      </c>
      <c r="P210" t="n">
        <v>0</v>
      </c>
      <c r="Q210" t="n">
        <v>0</v>
      </c>
      <c r="R210" s="2" t="inlineStr"/>
    </row>
    <row r="211" ht="15" customHeight="1">
      <c r="A211" t="inlineStr">
        <is>
          <t>A 74166-2021</t>
        </is>
      </c>
      <c r="B211" s="1" t="n">
        <v>44558</v>
      </c>
      <c r="C211" s="1" t="n">
        <v>45928</v>
      </c>
      <c r="D211" t="inlineStr">
        <is>
          <t>VÄRMLANDS LÄN</t>
        </is>
      </c>
      <c r="E211" t="inlineStr">
        <is>
          <t>ÅRJÄNG</t>
        </is>
      </c>
      <c r="G211" t="n">
        <v>1.4</v>
      </c>
      <c r="H211" t="n">
        <v>0</v>
      </c>
      <c r="I211" t="n">
        <v>0</v>
      </c>
      <c r="J211" t="n">
        <v>0</v>
      </c>
      <c r="K211" t="n">
        <v>0</v>
      </c>
      <c r="L211" t="n">
        <v>0</v>
      </c>
      <c r="M211" t="n">
        <v>0</v>
      </c>
      <c r="N211" t="n">
        <v>0</v>
      </c>
      <c r="O211" t="n">
        <v>0</v>
      </c>
      <c r="P211" t="n">
        <v>0</v>
      </c>
      <c r="Q211" t="n">
        <v>0</v>
      </c>
      <c r="R211" s="2" t="inlineStr"/>
    </row>
    <row r="212" ht="15" customHeight="1">
      <c r="A212" t="inlineStr">
        <is>
          <t>A 36532-2022</t>
        </is>
      </c>
      <c r="B212" s="1" t="n">
        <v>44804</v>
      </c>
      <c r="C212" s="1" t="n">
        <v>45928</v>
      </c>
      <c r="D212" t="inlineStr">
        <is>
          <t>VÄRMLANDS LÄN</t>
        </is>
      </c>
      <c r="E212" t="inlineStr">
        <is>
          <t>ÅRJÄNG</t>
        </is>
      </c>
      <c r="G212" t="n">
        <v>12.7</v>
      </c>
      <c r="H212" t="n">
        <v>0</v>
      </c>
      <c r="I212" t="n">
        <v>0</v>
      </c>
      <c r="J212" t="n">
        <v>0</v>
      </c>
      <c r="K212" t="n">
        <v>0</v>
      </c>
      <c r="L212" t="n">
        <v>0</v>
      </c>
      <c r="M212" t="n">
        <v>0</v>
      </c>
      <c r="N212" t="n">
        <v>0</v>
      </c>
      <c r="O212" t="n">
        <v>0</v>
      </c>
      <c r="P212" t="n">
        <v>0</v>
      </c>
      <c r="Q212" t="n">
        <v>0</v>
      </c>
      <c r="R212" s="2" t="inlineStr"/>
    </row>
    <row r="213" ht="15" customHeight="1">
      <c r="A213" t="inlineStr">
        <is>
          <t>A 60713-2021</t>
        </is>
      </c>
      <c r="B213" s="1" t="n">
        <v>44496</v>
      </c>
      <c r="C213" s="1" t="n">
        <v>45928</v>
      </c>
      <c r="D213" t="inlineStr">
        <is>
          <t>VÄRMLANDS LÄN</t>
        </is>
      </c>
      <c r="E213" t="inlineStr">
        <is>
          <t>ÅRJÄNG</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6900-2021</t>
        </is>
      </c>
      <c r="B214" s="1" t="n">
        <v>44237</v>
      </c>
      <c r="C214" s="1" t="n">
        <v>45928</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6908-2021</t>
        </is>
      </c>
      <c r="B215" s="1" t="n">
        <v>44237</v>
      </c>
      <c r="C215" s="1" t="n">
        <v>45928</v>
      </c>
      <c r="D215" t="inlineStr">
        <is>
          <t>VÄRMLANDS LÄN</t>
        </is>
      </c>
      <c r="E215" t="inlineStr">
        <is>
          <t>ÅRJÄNG</t>
        </is>
      </c>
      <c r="G215" t="n">
        <v>3.3</v>
      </c>
      <c r="H215" t="n">
        <v>0</v>
      </c>
      <c r="I215" t="n">
        <v>0</v>
      </c>
      <c r="J215" t="n">
        <v>0</v>
      </c>
      <c r="K215" t="n">
        <v>0</v>
      </c>
      <c r="L215" t="n">
        <v>0</v>
      </c>
      <c r="M215" t="n">
        <v>0</v>
      </c>
      <c r="N215" t="n">
        <v>0</v>
      </c>
      <c r="O215" t="n">
        <v>0</v>
      </c>
      <c r="P215" t="n">
        <v>0</v>
      </c>
      <c r="Q215" t="n">
        <v>0</v>
      </c>
      <c r="R215" s="2" t="inlineStr"/>
    </row>
    <row r="216" ht="15" customHeight="1">
      <c r="A216" t="inlineStr">
        <is>
          <t>A 53235-2020</t>
        </is>
      </c>
      <c r="B216" s="1" t="n">
        <v>44123</v>
      </c>
      <c r="C216" s="1" t="n">
        <v>45928</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73138-2021</t>
        </is>
      </c>
      <c r="B217" s="1" t="n">
        <v>44550</v>
      </c>
      <c r="C217" s="1" t="n">
        <v>45928</v>
      </c>
      <c r="D217" t="inlineStr">
        <is>
          <t>VÄRMLANDS LÄN</t>
        </is>
      </c>
      <c r="E217" t="inlineStr">
        <is>
          <t>ÅRJÄNG</t>
        </is>
      </c>
      <c r="G217" t="n">
        <v>4.3</v>
      </c>
      <c r="H217" t="n">
        <v>0</v>
      </c>
      <c r="I217" t="n">
        <v>0</v>
      </c>
      <c r="J217" t="n">
        <v>0</v>
      </c>
      <c r="K217" t="n">
        <v>0</v>
      </c>
      <c r="L217" t="n">
        <v>0</v>
      </c>
      <c r="M217" t="n">
        <v>0</v>
      </c>
      <c r="N217" t="n">
        <v>0</v>
      </c>
      <c r="O217" t="n">
        <v>0</v>
      </c>
      <c r="P217" t="n">
        <v>0</v>
      </c>
      <c r="Q217" t="n">
        <v>0</v>
      </c>
      <c r="R217" s="2" t="inlineStr"/>
    </row>
    <row r="218" ht="15" customHeight="1">
      <c r="A218" t="inlineStr">
        <is>
          <t>A 74189-2021</t>
        </is>
      </c>
      <c r="B218" s="1" t="n">
        <v>44553</v>
      </c>
      <c r="C218" s="1" t="n">
        <v>45928</v>
      </c>
      <c r="D218" t="inlineStr">
        <is>
          <t>VÄRMLANDS LÄN</t>
        </is>
      </c>
      <c r="E218" t="inlineStr">
        <is>
          <t>ÅRJÄNG</t>
        </is>
      </c>
      <c r="G218" t="n">
        <v>1.9</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45928</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57748-2020</t>
        </is>
      </c>
      <c r="B220" s="1" t="n">
        <v>44140</v>
      </c>
      <c r="C220" s="1" t="n">
        <v>45928</v>
      </c>
      <c r="D220" t="inlineStr">
        <is>
          <t>VÄRMLANDS LÄN</t>
        </is>
      </c>
      <c r="E220" t="inlineStr">
        <is>
          <t>ÅRJÄNG</t>
        </is>
      </c>
      <c r="G220" t="n">
        <v>1.4</v>
      </c>
      <c r="H220" t="n">
        <v>0</v>
      </c>
      <c r="I220" t="n">
        <v>0</v>
      </c>
      <c r="J220" t="n">
        <v>0</v>
      </c>
      <c r="K220" t="n">
        <v>0</v>
      </c>
      <c r="L220" t="n">
        <v>0</v>
      </c>
      <c r="M220" t="n">
        <v>0</v>
      </c>
      <c r="N220" t="n">
        <v>0</v>
      </c>
      <c r="O220" t="n">
        <v>0</v>
      </c>
      <c r="P220" t="n">
        <v>0</v>
      </c>
      <c r="Q220" t="n">
        <v>0</v>
      </c>
      <c r="R220" s="2" t="inlineStr"/>
    </row>
    <row r="221" ht="15" customHeight="1">
      <c r="A221" t="inlineStr">
        <is>
          <t>A 60011-2020</t>
        </is>
      </c>
      <c r="B221" s="1" t="n">
        <v>44151</v>
      </c>
      <c r="C221" s="1" t="n">
        <v>45928</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13156-2022</t>
        </is>
      </c>
      <c r="B222" s="1" t="n">
        <v>44643</v>
      </c>
      <c r="C222" s="1" t="n">
        <v>45928</v>
      </c>
      <c r="D222" t="inlineStr">
        <is>
          <t>VÄRMLANDS LÄN</t>
        </is>
      </c>
      <c r="E222" t="inlineStr">
        <is>
          <t>ÅRJÄNG</t>
        </is>
      </c>
      <c r="G222" t="n">
        <v>7.8</v>
      </c>
      <c r="H222" t="n">
        <v>0</v>
      </c>
      <c r="I222" t="n">
        <v>0</v>
      </c>
      <c r="J222" t="n">
        <v>0</v>
      </c>
      <c r="K222" t="n">
        <v>0</v>
      </c>
      <c r="L222" t="n">
        <v>0</v>
      </c>
      <c r="M222" t="n">
        <v>0</v>
      </c>
      <c r="N222" t="n">
        <v>0</v>
      </c>
      <c r="O222" t="n">
        <v>0</v>
      </c>
      <c r="P222" t="n">
        <v>0</v>
      </c>
      <c r="Q222" t="n">
        <v>0</v>
      </c>
      <c r="R222" s="2" t="inlineStr"/>
    </row>
    <row r="223" ht="15" customHeight="1">
      <c r="A223" t="inlineStr">
        <is>
          <t>A 47005-2021</t>
        </is>
      </c>
      <c r="B223" s="1" t="n">
        <v>44446</v>
      </c>
      <c r="C223" s="1" t="n">
        <v>45928</v>
      </c>
      <c r="D223" t="inlineStr">
        <is>
          <t>VÄRMLANDS LÄN</t>
        </is>
      </c>
      <c r="E223" t="inlineStr">
        <is>
          <t>ÅRJÄNG</t>
        </is>
      </c>
      <c r="G223" t="n">
        <v>6.3</v>
      </c>
      <c r="H223" t="n">
        <v>0</v>
      </c>
      <c r="I223" t="n">
        <v>0</v>
      </c>
      <c r="J223" t="n">
        <v>0</v>
      </c>
      <c r="K223" t="n">
        <v>0</v>
      </c>
      <c r="L223" t="n">
        <v>0</v>
      </c>
      <c r="M223" t="n">
        <v>0</v>
      </c>
      <c r="N223" t="n">
        <v>0</v>
      </c>
      <c r="O223" t="n">
        <v>0</v>
      </c>
      <c r="P223" t="n">
        <v>0</v>
      </c>
      <c r="Q223" t="n">
        <v>0</v>
      </c>
      <c r="R223" s="2" t="inlineStr"/>
    </row>
    <row r="224" ht="15" customHeight="1">
      <c r="A224" t="inlineStr">
        <is>
          <t>A 47033-2021</t>
        </is>
      </c>
      <c r="B224" s="1" t="n">
        <v>44446</v>
      </c>
      <c r="C224" s="1" t="n">
        <v>45928</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9407-2022</t>
        </is>
      </c>
      <c r="B225" s="1" t="n">
        <v>44616.65760416666</v>
      </c>
      <c r="C225" s="1" t="n">
        <v>45928</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8938-2022</t>
        </is>
      </c>
      <c r="B226" s="1" t="n">
        <v>44614.7222337963</v>
      </c>
      <c r="C226" s="1" t="n">
        <v>45928</v>
      </c>
      <c r="D226" t="inlineStr">
        <is>
          <t>VÄRMLANDS LÄN</t>
        </is>
      </c>
      <c r="E226" t="inlineStr">
        <is>
          <t>ÅRJÄNG</t>
        </is>
      </c>
      <c r="G226" t="n">
        <v>11.9</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45928</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57761-2020</t>
        </is>
      </c>
      <c r="B228" s="1" t="n">
        <v>44140</v>
      </c>
      <c r="C228" s="1" t="n">
        <v>45928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36016-2022</t>
        </is>
      </c>
      <c r="B229" s="1" t="n">
        <v>44802.64721064815</v>
      </c>
      <c r="C229" s="1" t="n">
        <v>45928</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57437-2020</t>
        </is>
      </c>
      <c r="B230" s="1" t="n">
        <v>44140</v>
      </c>
      <c r="C230" s="1" t="n">
        <v>45928</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57444-2020</t>
        </is>
      </c>
      <c r="B231" s="1" t="n">
        <v>44140</v>
      </c>
      <c r="C231" s="1" t="n">
        <v>45928</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45928</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48652-2020</t>
        </is>
      </c>
      <c r="B233" s="1" t="n">
        <v>44103</v>
      </c>
      <c r="C233" s="1" t="n">
        <v>45928</v>
      </c>
      <c r="D233" t="inlineStr">
        <is>
          <t>VÄRMLANDS LÄN</t>
        </is>
      </c>
      <c r="E233" t="inlineStr">
        <is>
          <t>ÅRJÄNG</t>
        </is>
      </c>
      <c r="G233" t="n">
        <v>4.9</v>
      </c>
      <c r="H233" t="n">
        <v>0</v>
      </c>
      <c r="I233" t="n">
        <v>0</v>
      </c>
      <c r="J233" t="n">
        <v>0</v>
      </c>
      <c r="K233" t="n">
        <v>0</v>
      </c>
      <c r="L233" t="n">
        <v>0</v>
      </c>
      <c r="M233" t="n">
        <v>0</v>
      </c>
      <c r="N233" t="n">
        <v>0</v>
      </c>
      <c r="O233" t="n">
        <v>0</v>
      </c>
      <c r="P233" t="n">
        <v>0</v>
      </c>
      <c r="Q233" t="n">
        <v>0</v>
      </c>
      <c r="R233" s="2" t="inlineStr"/>
    </row>
    <row r="234" ht="15" customHeight="1">
      <c r="A234" t="inlineStr">
        <is>
          <t>A 63383-2020</t>
        </is>
      </c>
      <c r="B234" s="1" t="n">
        <v>44165.49491898148</v>
      </c>
      <c r="C234" s="1" t="n">
        <v>45928</v>
      </c>
      <c r="D234" t="inlineStr">
        <is>
          <t>VÄRMLANDS LÄN</t>
        </is>
      </c>
      <c r="E234" t="inlineStr">
        <is>
          <t>ÅRJÄNG</t>
        </is>
      </c>
      <c r="G234" t="n">
        <v>2.7</v>
      </c>
      <c r="H234" t="n">
        <v>0</v>
      </c>
      <c r="I234" t="n">
        <v>0</v>
      </c>
      <c r="J234" t="n">
        <v>0</v>
      </c>
      <c r="K234" t="n">
        <v>0</v>
      </c>
      <c r="L234" t="n">
        <v>0</v>
      </c>
      <c r="M234" t="n">
        <v>0</v>
      </c>
      <c r="N234" t="n">
        <v>0</v>
      </c>
      <c r="O234" t="n">
        <v>0</v>
      </c>
      <c r="P234" t="n">
        <v>0</v>
      </c>
      <c r="Q234" t="n">
        <v>0</v>
      </c>
      <c r="R234" s="2" t="inlineStr"/>
    </row>
    <row r="235" ht="15" customHeight="1">
      <c r="A235" t="inlineStr">
        <is>
          <t>A 52761-2022</t>
        </is>
      </c>
      <c r="B235" s="1" t="n">
        <v>44875.3165162037</v>
      </c>
      <c r="C235" s="1" t="n">
        <v>45928</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10898-2022</t>
        </is>
      </c>
      <c r="B236" s="1" t="n">
        <v>44627</v>
      </c>
      <c r="C236" s="1" t="n">
        <v>45928</v>
      </c>
      <c r="D236" t="inlineStr">
        <is>
          <t>VÄRMLANDS LÄN</t>
        </is>
      </c>
      <c r="E236" t="inlineStr">
        <is>
          <t>ÅRJÄNG</t>
        </is>
      </c>
      <c r="G236" t="n">
        <v>10.2</v>
      </c>
      <c r="H236" t="n">
        <v>0</v>
      </c>
      <c r="I236" t="n">
        <v>0</v>
      </c>
      <c r="J236" t="n">
        <v>0</v>
      </c>
      <c r="K236" t="n">
        <v>0</v>
      </c>
      <c r="L236" t="n">
        <v>0</v>
      </c>
      <c r="M236" t="n">
        <v>0</v>
      </c>
      <c r="N236" t="n">
        <v>0</v>
      </c>
      <c r="O236" t="n">
        <v>0</v>
      </c>
      <c r="P236" t="n">
        <v>0</v>
      </c>
      <c r="Q236" t="n">
        <v>0</v>
      </c>
      <c r="R236" s="2" t="inlineStr"/>
    </row>
    <row r="237" ht="15" customHeight="1">
      <c r="A237" t="inlineStr">
        <is>
          <t>A 28437-2021</t>
        </is>
      </c>
      <c r="B237" s="1" t="n">
        <v>44356.53327546296</v>
      </c>
      <c r="C237" s="1" t="n">
        <v>45928</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12137-2021</t>
        </is>
      </c>
      <c r="B238" s="1" t="n">
        <v>44266</v>
      </c>
      <c r="C238" s="1" t="n">
        <v>45928</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15249-2021</t>
        </is>
      </c>
      <c r="B239" s="1" t="n">
        <v>44282</v>
      </c>
      <c r="C239" s="1" t="n">
        <v>45928</v>
      </c>
      <c r="D239" t="inlineStr">
        <is>
          <t>VÄRMLANDS LÄN</t>
        </is>
      </c>
      <c r="E239" t="inlineStr">
        <is>
          <t>ÅRJÄNG</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16400-2022</t>
        </is>
      </c>
      <c r="B240" s="1" t="n">
        <v>44671</v>
      </c>
      <c r="C240" s="1" t="n">
        <v>45928</v>
      </c>
      <c r="D240" t="inlineStr">
        <is>
          <t>VÄRMLANDS LÄN</t>
        </is>
      </c>
      <c r="E240" t="inlineStr">
        <is>
          <t>ÅRJÄNG</t>
        </is>
      </c>
      <c r="G240" t="n">
        <v>1</v>
      </c>
      <c r="H240" t="n">
        <v>0</v>
      </c>
      <c r="I240" t="n">
        <v>0</v>
      </c>
      <c r="J240" t="n">
        <v>0</v>
      </c>
      <c r="K240" t="n">
        <v>0</v>
      </c>
      <c r="L240" t="n">
        <v>0</v>
      </c>
      <c r="M240" t="n">
        <v>0</v>
      </c>
      <c r="N240" t="n">
        <v>0</v>
      </c>
      <c r="O240" t="n">
        <v>0</v>
      </c>
      <c r="P240" t="n">
        <v>0</v>
      </c>
      <c r="Q240" t="n">
        <v>0</v>
      </c>
      <c r="R240" s="2" t="inlineStr"/>
    </row>
    <row r="241" ht="15" customHeight="1">
      <c r="A241" t="inlineStr">
        <is>
          <t>A 4400-2022</t>
        </is>
      </c>
      <c r="B241" s="1" t="n">
        <v>44588</v>
      </c>
      <c r="C241" s="1" t="n">
        <v>45928</v>
      </c>
      <c r="D241" t="inlineStr">
        <is>
          <t>VÄRMLANDS LÄN</t>
        </is>
      </c>
      <c r="E241" t="inlineStr">
        <is>
          <t>ÅRJÄNG</t>
        </is>
      </c>
      <c r="G241" t="n">
        <v>3.4</v>
      </c>
      <c r="H241" t="n">
        <v>0</v>
      </c>
      <c r="I241" t="n">
        <v>0</v>
      </c>
      <c r="J241" t="n">
        <v>0</v>
      </c>
      <c r="K241" t="n">
        <v>0</v>
      </c>
      <c r="L241" t="n">
        <v>0</v>
      </c>
      <c r="M241" t="n">
        <v>0</v>
      </c>
      <c r="N241" t="n">
        <v>0</v>
      </c>
      <c r="O241" t="n">
        <v>0</v>
      </c>
      <c r="P241" t="n">
        <v>0</v>
      </c>
      <c r="Q241" t="n">
        <v>0</v>
      </c>
      <c r="R241" s="2" t="inlineStr"/>
    </row>
    <row r="242" ht="15" customHeight="1">
      <c r="A242" t="inlineStr">
        <is>
          <t>A 5259-2021</t>
        </is>
      </c>
      <c r="B242" s="1" t="n">
        <v>44229</v>
      </c>
      <c r="C242" s="1" t="n">
        <v>45928</v>
      </c>
      <c r="D242" t="inlineStr">
        <is>
          <t>VÄRMLANDS LÄN</t>
        </is>
      </c>
      <c r="E242" t="inlineStr">
        <is>
          <t>ÅRJÄNG</t>
        </is>
      </c>
      <c r="G242" t="n">
        <v>5.5</v>
      </c>
      <c r="H242" t="n">
        <v>0</v>
      </c>
      <c r="I242" t="n">
        <v>0</v>
      </c>
      <c r="J242" t="n">
        <v>0</v>
      </c>
      <c r="K242" t="n">
        <v>0</v>
      </c>
      <c r="L242" t="n">
        <v>0</v>
      </c>
      <c r="M242" t="n">
        <v>0</v>
      </c>
      <c r="N242" t="n">
        <v>0</v>
      </c>
      <c r="O242" t="n">
        <v>0</v>
      </c>
      <c r="P242" t="n">
        <v>0</v>
      </c>
      <c r="Q242" t="n">
        <v>0</v>
      </c>
      <c r="R242" s="2" t="inlineStr"/>
    </row>
    <row r="243" ht="15" customHeight="1">
      <c r="A243" t="inlineStr">
        <is>
          <t>A 14094-2021</t>
        </is>
      </c>
      <c r="B243" s="1" t="n">
        <v>44278.29547453704</v>
      </c>
      <c r="C243" s="1" t="n">
        <v>45928</v>
      </c>
      <c r="D243" t="inlineStr">
        <is>
          <t>VÄRMLANDS LÄN</t>
        </is>
      </c>
      <c r="E243" t="inlineStr">
        <is>
          <t>ÅRJÄNG</t>
        </is>
      </c>
      <c r="G243" t="n">
        <v>2</v>
      </c>
      <c r="H243" t="n">
        <v>0</v>
      </c>
      <c r="I243" t="n">
        <v>0</v>
      </c>
      <c r="J243" t="n">
        <v>0</v>
      </c>
      <c r="K243" t="n">
        <v>0</v>
      </c>
      <c r="L243" t="n">
        <v>0</v>
      </c>
      <c r="M243" t="n">
        <v>0</v>
      </c>
      <c r="N243" t="n">
        <v>0</v>
      </c>
      <c r="O243" t="n">
        <v>0</v>
      </c>
      <c r="P243" t="n">
        <v>0</v>
      </c>
      <c r="Q243" t="n">
        <v>0</v>
      </c>
      <c r="R243" s="2" t="inlineStr"/>
    </row>
    <row r="244" ht="15" customHeight="1">
      <c r="A244" t="inlineStr">
        <is>
          <t>A 14507-2022</t>
        </is>
      </c>
      <c r="B244" s="1" t="n">
        <v>44655</v>
      </c>
      <c r="C244" s="1" t="n">
        <v>45928</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27871-2021</t>
        </is>
      </c>
      <c r="B245" s="1" t="n">
        <v>44354</v>
      </c>
      <c r="C245" s="1" t="n">
        <v>45928</v>
      </c>
      <c r="D245" t="inlineStr">
        <is>
          <t>VÄRMLANDS LÄN</t>
        </is>
      </c>
      <c r="E245" t="inlineStr">
        <is>
          <t>ÅRJÄNG</t>
        </is>
      </c>
      <c r="G245" t="n">
        <v>2.3</v>
      </c>
      <c r="H245" t="n">
        <v>0</v>
      </c>
      <c r="I245" t="n">
        <v>0</v>
      </c>
      <c r="J245" t="n">
        <v>0</v>
      </c>
      <c r="K245" t="n">
        <v>0</v>
      </c>
      <c r="L245" t="n">
        <v>0</v>
      </c>
      <c r="M245" t="n">
        <v>0</v>
      </c>
      <c r="N245" t="n">
        <v>0</v>
      </c>
      <c r="O245" t="n">
        <v>0</v>
      </c>
      <c r="P245" t="n">
        <v>0</v>
      </c>
      <c r="Q245" t="n">
        <v>0</v>
      </c>
      <c r="R245" s="2" t="inlineStr"/>
    </row>
    <row r="246" ht="15" customHeight="1">
      <c r="A246" t="inlineStr">
        <is>
          <t>A 10006-2022</t>
        </is>
      </c>
      <c r="B246" s="1" t="n">
        <v>44621</v>
      </c>
      <c r="C246" s="1" t="n">
        <v>45928</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63393-2020</t>
        </is>
      </c>
      <c r="B247" s="1" t="n">
        <v>44165.51438657408</v>
      </c>
      <c r="C247" s="1" t="n">
        <v>45928</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53739-2021</t>
        </is>
      </c>
      <c r="B248" s="1" t="n">
        <v>44469</v>
      </c>
      <c r="C248" s="1" t="n">
        <v>45928</v>
      </c>
      <c r="D248" t="inlineStr">
        <is>
          <t>VÄRMLANDS LÄN</t>
        </is>
      </c>
      <c r="E248" t="inlineStr">
        <is>
          <t>ÅRJÄNG</t>
        </is>
      </c>
      <c r="G248" t="n">
        <v>15.9</v>
      </c>
      <c r="H248" t="n">
        <v>0</v>
      </c>
      <c r="I248" t="n">
        <v>0</v>
      </c>
      <c r="J248" t="n">
        <v>0</v>
      </c>
      <c r="K248" t="n">
        <v>0</v>
      </c>
      <c r="L248" t="n">
        <v>0</v>
      </c>
      <c r="M248" t="n">
        <v>0</v>
      </c>
      <c r="N248" t="n">
        <v>0</v>
      </c>
      <c r="O248" t="n">
        <v>0</v>
      </c>
      <c r="P248" t="n">
        <v>0</v>
      </c>
      <c r="Q248" t="n">
        <v>0</v>
      </c>
      <c r="R248" s="2" t="inlineStr"/>
    </row>
    <row r="249" ht="15" customHeight="1">
      <c r="A249" t="inlineStr">
        <is>
          <t>A 47035-2021</t>
        </is>
      </c>
      <c r="B249" s="1" t="n">
        <v>44446</v>
      </c>
      <c r="C249" s="1" t="n">
        <v>45928</v>
      </c>
      <c r="D249" t="inlineStr">
        <is>
          <t>VÄRMLANDS LÄN</t>
        </is>
      </c>
      <c r="E249" t="inlineStr">
        <is>
          <t>ÅRJÄNG</t>
        </is>
      </c>
      <c r="G249" t="n">
        <v>2.6</v>
      </c>
      <c r="H249" t="n">
        <v>0</v>
      </c>
      <c r="I249" t="n">
        <v>0</v>
      </c>
      <c r="J249" t="n">
        <v>0</v>
      </c>
      <c r="K249" t="n">
        <v>0</v>
      </c>
      <c r="L249" t="n">
        <v>0</v>
      </c>
      <c r="M249" t="n">
        <v>0</v>
      </c>
      <c r="N249" t="n">
        <v>0</v>
      </c>
      <c r="O249" t="n">
        <v>0</v>
      </c>
      <c r="P249" t="n">
        <v>0</v>
      </c>
      <c r="Q249" t="n">
        <v>0</v>
      </c>
      <c r="R249" s="2" t="inlineStr"/>
    </row>
    <row r="250" ht="15" customHeight="1">
      <c r="A250" t="inlineStr">
        <is>
          <t>A 22158-2021</t>
        </is>
      </c>
      <c r="B250" s="1" t="n">
        <v>44325.57944444445</v>
      </c>
      <c r="C250" s="1" t="n">
        <v>45928</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21701-2021</t>
        </is>
      </c>
      <c r="B251" s="1" t="n">
        <v>44322</v>
      </c>
      <c r="C251" s="1" t="n">
        <v>45928</v>
      </c>
      <c r="D251" t="inlineStr">
        <is>
          <t>VÄRMLANDS LÄN</t>
        </is>
      </c>
      <c r="E251" t="inlineStr">
        <is>
          <t>ÅRJÄNG</t>
        </is>
      </c>
      <c r="G251" t="n">
        <v>2.4</v>
      </c>
      <c r="H251" t="n">
        <v>0</v>
      </c>
      <c r="I251" t="n">
        <v>0</v>
      </c>
      <c r="J251" t="n">
        <v>0</v>
      </c>
      <c r="K251" t="n">
        <v>0</v>
      </c>
      <c r="L251" t="n">
        <v>0</v>
      </c>
      <c r="M251" t="n">
        <v>0</v>
      </c>
      <c r="N251" t="n">
        <v>0</v>
      </c>
      <c r="O251" t="n">
        <v>0</v>
      </c>
      <c r="P251" t="n">
        <v>0</v>
      </c>
      <c r="Q251" t="n">
        <v>0</v>
      </c>
      <c r="R251" s="2" t="inlineStr"/>
    </row>
    <row r="252" ht="15" customHeight="1">
      <c r="A252" t="inlineStr">
        <is>
          <t>A 30817-2021</t>
        </is>
      </c>
      <c r="B252" s="1" t="n">
        <v>44365</v>
      </c>
      <c r="C252" s="1" t="n">
        <v>45928</v>
      </c>
      <c r="D252" t="inlineStr">
        <is>
          <t>VÄRMLANDS LÄN</t>
        </is>
      </c>
      <c r="E252" t="inlineStr">
        <is>
          <t>ÅRJÄNG</t>
        </is>
      </c>
      <c r="G252" t="n">
        <v>5.6</v>
      </c>
      <c r="H252" t="n">
        <v>0</v>
      </c>
      <c r="I252" t="n">
        <v>0</v>
      </c>
      <c r="J252" t="n">
        <v>0</v>
      </c>
      <c r="K252" t="n">
        <v>0</v>
      </c>
      <c r="L252" t="n">
        <v>0</v>
      </c>
      <c r="M252" t="n">
        <v>0</v>
      </c>
      <c r="N252" t="n">
        <v>0</v>
      </c>
      <c r="O252" t="n">
        <v>0</v>
      </c>
      <c r="P252" t="n">
        <v>0</v>
      </c>
      <c r="Q252" t="n">
        <v>0</v>
      </c>
      <c r="R252" s="2" t="inlineStr"/>
    </row>
    <row r="253" ht="15" customHeight="1">
      <c r="A253" t="inlineStr">
        <is>
          <t>A 33025-2021</t>
        </is>
      </c>
      <c r="B253" s="1" t="n">
        <v>44376</v>
      </c>
      <c r="C253" s="1" t="n">
        <v>45928</v>
      </c>
      <c r="D253" t="inlineStr">
        <is>
          <t>VÄRMLANDS LÄN</t>
        </is>
      </c>
      <c r="E253" t="inlineStr">
        <is>
          <t>ÅRJÄNG</t>
        </is>
      </c>
      <c r="G253" t="n">
        <v>0.9</v>
      </c>
      <c r="H253" t="n">
        <v>0</v>
      </c>
      <c r="I253" t="n">
        <v>0</v>
      </c>
      <c r="J253" t="n">
        <v>0</v>
      </c>
      <c r="K253" t="n">
        <v>0</v>
      </c>
      <c r="L253" t="n">
        <v>0</v>
      </c>
      <c r="M253" t="n">
        <v>0</v>
      </c>
      <c r="N253" t="n">
        <v>0</v>
      </c>
      <c r="O253" t="n">
        <v>0</v>
      </c>
      <c r="P253" t="n">
        <v>0</v>
      </c>
      <c r="Q253" t="n">
        <v>0</v>
      </c>
      <c r="R253" s="2" t="inlineStr"/>
    </row>
    <row r="254" ht="15" customHeight="1">
      <c r="A254" t="inlineStr">
        <is>
          <t>A 332-2021</t>
        </is>
      </c>
      <c r="B254" s="1" t="n">
        <v>44201</v>
      </c>
      <c r="C254" s="1" t="n">
        <v>45928</v>
      </c>
      <c r="D254" t="inlineStr">
        <is>
          <t>VÄRMLANDS LÄN</t>
        </is>
      </c>
      <c r="E254" t="inlineStr">
        <is>
          <t>ÅRJÄNG</t>
        </is>
      </c>
      <c r="G254" t="n">
        <v>4.1</v>
      </c>
      <c r="H254" t="n">
        <v>0</v>
      </c>
      <c r="I254" t="n">
        <v>0</v>
      </c>
      <c r="J254" t="n">
        <v>0</v>
      </c>
      <c r="K254" t="n">
        <v>0</v>
      </c>
      <c r="L254" t="n">
        <v>0</v>
      </c>
      <c r="M254" t="n">
        <v>0</v>
      </c>
      <c r="N254" t="n">
        <v>0</v>
      </c>
      <c r="O254" t="n">
        <v>0</v>
      </c>
      <c r="P254" t="n">
        <v>0</v>
      </c>
      <c r="Q254" t="n">
        <v>0</v>
      </c>
      <c r="R254" s="2" t="inlineStr"/>
    </row>
    <row r="255" ht="15" customHeight="1">
      <c r="A255" t="inlineStr">
        <is>
          <t>A 28925-2022</t>
        </is>
      </c>
      <c r="B255" s="1" t="n">
        <v>44749.57684027778</v>
      </c>
      <c r="C255" s="1" t="n">
        <v>45928</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45928</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8438-2022</t>
        </is>
      </c>
      <c r="B257" s="1" t="n">
        <v>44612</v>
      </c>
      <c r="C257" s="1" t="n">
        <v>45928</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23451-2021</t>
        </is>
      </c>
      <c r="B258" s="1" t="n">
        <v>44333.89180555556</v>
      </c>
      <c r="C258" s="1" t="n">
        <v>45928</v>
      </c>
      <c r="D258" t="inlineStr">
        <is>
          <t>VÄRMLANDS LÄN</t>
        </is>
      </c>
      <c r="E258" t="inlineStr">
        <is>
          <t>ÅRJÄNG</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10899-2022</t>
        </is>
      </c>
      <c r="B259" s="1" t="n">
        <v>44627</v>
      </c>
      <c r="C259" s="1" t="n">
        <v>45928</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65979-2021</t>
        </is>
      </c>
      <c r="B260" s="1" t="n">
        <v>44517.54078703704</v>
      </c>
      <c r="C260" s="1" t="n">
        <v>45928</v>
      </c>
      <c r="D260" t="inlineStr">
        <is>
          <t>VÄRMLANDS LÄN</t>
        </is>
      </c>
      <c r="E260" t="inlineStr">
        <is>
          <t>ÅRJÄNG</t>
        </is>
      </c>
      <c r="G260" t="n">
        <v>5.1</v>
      </c>
      <c r="H260" t="n">
        <v>0</v>
      </c>
      <c r="I260" t="n">
        <v>0</v>
      </c>
      <c r="J260" t="n">
        <v>0</v>
      </c>
      <c r="K260" t="n">
        <v>0</v>
      </c>
      <c r="L260" t="n">
        <v>0</v>
      </c>
      <c r="M260" t="n">
        <v>0</v>
      </c>
      <c r="N260" t="n">
        <v>0</v>
      </c>
      <c r="O260" t="n">
        <v>0</v>
      </c>
      <c r="P260" t="n">
        <v>0</v>
      </c>
      <c r="Q260" t="n">
        <v>0</v>
      </c>
      <c r="R260" s="2" t="inlineStr"/>
    </row>
    <row r="261" ht="15" customHeight="1">
      <c r="A261" t="inlineStr">
        <is>
          <t>A 50044-2022</t>
        </is>
      </c>
      <c r="B261" s="1" t="n">
        <v>44865</v>
      </c>
      <c r="C261" s="1" t="n">
        <v>45928</v>
      </c>
      <c r="D261" t="inlineStr">
        <is>
          <t>VÄRMLANDS LÄN</t>
        </is>
      </c>
      <c r="E261" t="inlineStr">
        <is>
          <t>ÅRJÄNG</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35015-2021</t>
        </is>
      </c>
      <c r="B262" s="1" t="n">
        <v>44383.69291666667</v>
      </c>
      <c r="C262" s="1" t="n">
        <v>45928</v>
      </c>
      <c r="D262" t="inlineStr">
        <is>
          <t>VÄRMLANDS LÄN</t>
        </is>
      </c>
      <c r="E262" t="inlineStr">
        <is>
          <t>ÅRJÄNG</t>
        </is>
      </c>
      <c r="G262" t="n">
        <v>3.9</v>
      </c>
      <c r="H262" t="n">
        <v>0</v>
      </c>
      <c r="I262" t="n">
        <v>0</v>
      </c>
      <c r="J262" t="n">
        <v>0</v>
      </c>
      <c r="K262" t="n">
        <v>0</v>
      </c>
      <c r="L262" t="n">
        <v>0</v>
      </c>
      <c r="M262" t="n">
        <v>0</v>
      </c>
      <c r="N262" t="n">
        <v>0</v>
      </c>
      <c r="O262" t="n">
        <v>0</v>
      </c>
      <c r="P262" t="n">
        <v>0</v>
      </c>
      <c r="Q262" t="n">
        <v>0</v>
      </c>
      <c r="R262" s="2" t="inlineStr"/>
    </row>
    <row r="263" ht="15" customHeight="1">
      <c r="A263" t="inlineStr">
        <is>
          <t>A 7235-2022</t>
        </is>
      </c>
      <c r="B263" s="1" t="n">
        <v>44606</v>
      </c>
      <c r="C263" s="1" t="n">
        <v>45928</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72609-2021</t>
        </is>
      </c>
      <c r="B264" s="1" t="n">
        <v>44546.50645833334</v>
      </c>
      <c r="C264" s="1" t="n">
        <v>45928</v>
      </c>
      <c r="D264" t="inlineStr">
        <is>
          <t>VÄRMLANDS LÄN</t>
        </is>
      </c>
      <c r="E264" t="inlineStr">
        <is>
          <t>ÅRJÄNG</t>
        </is>
      </c>
      <c r="F264" t="inlineStr">
        <is>
          <t>Kyrkan</t>
        </is>
      </c>
      <c r="G264" t="n">
        <v>1.8</v>
      </c>
      <c r="H264" t="n">
        <v>0</v>
      </c>
      <c r="I264" t="n">
        <v>0</v>
      </c>
      <c r="J264" t="n">
        <v>0</v>
      </c>
      <c r="K264" t="n">
        <v>0</v>
      </c>
      <c r="L264" t="n">
        <v>0</v>
      </c>
      <c r="M264" t="n">
        <v>0</v>
      </c>
      <c r="N264" t="n">
        <v>0</v>
      </c>
      <c r="O264" t="n">
        <v>0</v>
      </c>
      <c r="P264" t="n">
        <v>0</v>
      </c>
      <c r="Q264" t="n">
        <v>0</v>
      </c>
      <c r="R264" s="2" t="inlineStr"/>
    </row>
    <row r="265" ht="15" customHeight="1">
      <c r="A265" t="inlineStr">
        <is>
          <t>A 66334-2020</t>
        </is>
      </c>
      <c r="B265" s="1" t="n">
        <v>44174</v>
      </c>
      <c r="C265" s="1" t="n">
        <v>45928</v>
      </c>
      <c r="D265" t="inlineStr">
        <is>
          <t>VÄRMLANDS LÄN</t>
        </is>
      </c>
      <c r="E265" t="inlineStr">
        <is>
          <t>ÅRJÄNG</t>
        </is>
      </c>
      <c r="F265" t="inlineStr">
        <is>
          <t>Övriga Aktiebolag</t>
        </is>
      </c>
      <c r="G265" t="n">
        <v>1.9</v>
      </c>
      <c r="H265" t="n">
        <v>0</v>
      </c>
      <c r="I265" t="n">
        <v>0</v>
      </c>
      <c r="J265" t="n">
        <v>0</v>
      </c>
      <c r="K265" t="n">
        <v>0</v>
      </c>
      <c r="L265" t="n">
        <v>0</v>
      </c>
      <c r="M265" t="n">
        <v>0</v>
      </c>
      <c r="N265" t="n">
        <v>0</v>
      </c>
      <c r="O265" t="n">
        <v>0</v>
      </c>
      <c r="P265" t="n">
        <v>0</v>
      </c>
      <c r="Q265" t="n">
        <v>0</v>
      </c>
      <c r="R265" s="2" t="inlineStr"/>
    </row>
    <row r="266" ht="15" customHeight="1">
      <c r="A266" t="inlineStr">
        <is>
          <t>A 3980-2021</t>
        </is>
      </c>
      <c r="B266" s="1" t="n">
        <v>44217</v>
      </c>
      <c r="C266" s="1" t="n">
        <v>45928</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56778-2024</t>
        </is>
      </c>
      <c r="B267" s="1" t="n">
        <v>45628</v>
      </c>
      <c r="C267" s="1" t="n">
        <v>45928</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4668-2025</t>
        </is>
      </c>
      <c r="B268" s="1" t="n">
        <v>45687.76229166667</v>
      </c>
      <c r="C268" s="1" t="n">
        <v>45928</v>
      </c>
      <c r="D268" t="inlineStr">
        <is>
          <t>VÄRMLANDS LÄN</t>
        </is>
      </c>
      <c r="E268" t="inlineStr">
        <is>
          <t>ÅRJÄNG</t>
        </is>
      </c>
      <c r="G268" t="n">
        <v>8.5</v>
      </c>
      <c r="H268" t="n">
        <v>0</v>
      </c>
      <c r="I268" t="n">
        <v>0</v>
      </c>
      <c r="J268" t="n">
        <v>0</v>
      </c>
      <c r="K268" t="n">
        <v>0</v>
      </c>
      <c r="L268" t="n">
        <v>0</v>
      </c>
      <c r="M268" t="n">
        <v>0</v>
      </c>
      <c r="N268" t="n">
        <v>0</v>
      </c>
      <c r="O268" t="n">
        <v>0</v>
      </c>
      <c r="P268" t="n">
        <v>0</v>
      </c>
      <c r="Q268" t="n">
        <v>0</v>
      </c>
      <c r="R268" s="2" t="inlineStr"/>
    </row>
    <row r="269" ht="15" customHeight="1">
      <c r="A269" t="inlineStr">
        <is>
          <t>A 54961-2024</t>
        </is>
      </c>
      <c r="B269" s="1" t="n">
        <v>45619.9753125</v>
      </c>
      <c r="C269" s="1" t="n">
        <v>45928</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8831-2025</t>
        </is>
      </c>
      <c r="B270" s="1" t="n">
        <v>45712.90697916667</v>
      </c>
      <c r="C270" s="1" t="n">
        <v>45928</v>
      </c>
      <c r="D270" t="inlineStr">
        <is>
          <t>VÄRMLANDS LÄN</t>
        </is>
      </c>
      <c r="E270" t="inlineStr">
        <is>
          <t>ÅRJÄNG</t>
        </is>
      </c>
      <c r="G270" t="n">
        <v>32.9</v>
      </c>
      <c r="H270" t="n">
        <v>0</v>
      </c>
      <c r="I270" t="n">
        <v>0</v>
      </c>
      <c r="J270" t="n">
        <v>0</v>
      </c>
      <c r="K270" t="n">
        <v>0</v>
      </c>
      <c r="L270" t="n">
        <v>0</v>
      </c>
      <c r="M270" t="n">
        <v>0</v>
      </c>
      <c r="N270" t="n">
        <v>0</v>
      </c>
      <c r="O270" t="n">
        <v>0</v>
      </c>
      <c r="P270" t="n">
        <v>0</v>
      </c>
      <c r="Q270" t="n">
        <v>0</v>
      </c>
      <c r="R270" s="2" t="inlineStr"/>
    </row>
    <row r="271" ht="15" customHeight="1">
      <c r="A271" t="inlineStr">
        <is>
          <t>A 8834-2025</t>
        </is>
      </c>
      <c r="B271" s="1" t="n">
        <v>45712.921875</v>
      </c>
      <c r="C271" s="1" t="n">
        <v>45928</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13001-2025</t>
        </is>
      </c>
      <c r="B272" s="1" t="n">
        <v>45734.49777777777</v>
      </c>
      <c r="C272" s="1" t="n">
        <v>45928</v>
      </c>
      <c r="D272" t="inlineStr">
        <is>
          <t>VÄRMLANDS LÄN</t>
        </is>
      </c>
      <c r="E272" t="inlineStr">
        <is>
          <t>ÅRJÄNG</t>
        </is>
      </c>
      <c r="G272" t="n">
        <v>15.8</v>
      </c>
      <c r="H272" t="n">
        <v>0</v>
      </c>
      <c r="I272" t="n">
        <v>0</v>
      </c>
      <c r="J272" t="n">
        <v>0</v>
      </c>
      <c r="K272" t="n">
        <v>0</v>
      </c>
      <c r="L272" t="n">
        <v>0</v>
      </c>
      <c r="M272" t="n">
        <v>0</v>
      </c>
      <c r="N272" t="n">
        <v>0</v>
      </c>
      <c r="O272" t="n">
        <v>0</v>
      </c>
      <c r="P272" t="n">
        <v>0</v>
      </c>
      <c r="Q272" t="n">
        <v>0</v>
      </c>
      <c r="R272" s="2" t="inlineStr"/>
    </row>
    <row r="273" ht="15" customHeight="1">
      <c r="A273" t="inlineStr">
        <is>
          <t>A 13002-2025</t>
        </is>
      </c>
      <c r="B273" s="1" t="n">
        <v>45734.50288194444</v>
      </c>
      <c r="C273" s="1" t="n">
        <v>45928</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5122-2025</t>
        </is>
      </c>
      <c r="B274" s="1" t="n">
        <v>45691.55863425926</v>
      </c>
      <c r="C274" s="1" t="n">
        <v>45928</v>
      </c>
      <c r="D274" t="inlineStr">
        <is>
          <t>VÄRMLANDS LÄN</t>
        </is>
      </c>
      <c r="E274" t="inlineStr">
        <is>
          <t>ÅRJÄNG</t>
        </is>
      </c>
      <c r="G274" t="n">
        <v>5.7</v>
      </c>
      <c r="H274" t="n">
        <v>0</v>
      </c>
      <c r="I274" t="n">
        <v>0</v>
      </c>
      <c r="J274" t="n">
        <v>0</v>
      </c>
      <c r="K274" t="n">
        <v>0</v>
      </c>
      <c r="L274" t="n">
        <v>0</v>
      </c>
      <c r="M274" t="n">
        <v>0</v>
      </c>
      <c r="N274" t="n">
        <v>0</v>
      </c>
      <c r="O274" t="n">
        <v>0</v>
      </c>
      <c r="P274" t="n">
        <v>0</v>
      </c>
      <c r="Q274" t="n">
        <v>0</v>
      </c>
      <c r="R274" s="2" t="inlineStr"/>
    </row>
    <row r="275" ht="15" customHeight="1">
      <c r="A275" t="inlineStr">
        <is>
          <t>A 51455-2020</t>
        </is>
      </c>
      <c r="B275" s="1" t="n">
        <v>44113</v>
      </c>
      <c r="C275" s="1" t="n">
        <v>45928</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19964-2023</t>
        </is>
      </c>
      <c r="B276" s="1" t="n">
        <v>45051</v>
      </c>
      <c r="C276" s="1" t="n">
        <v>45928</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16079-2024</t>
        </is>
      </c>
      <c r="B277" s="1" t="n">
        <v>45406</v>
      </c>
      <c r="C277" s="1" t="n">
        <v>45928</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12072-2024</t>
        </is>
      </c>
      <c r="B278" s="1" t="n">
        <v>45377</v>
      </c>
      <c r="C278" s="1" t="n">
        <v>45928</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47228-2023</t>
        </is>
      </c>
      <c r="B279" s="1" t="n">
        <v>45202.3709837963</v>
      </c>
      <c r="C279" s="1" t="n">
        <v>45928</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29098-2022</t>
        </is>
      </c>
      <c r="B280" s="1" t="n">
        <v>44750</v>
      </c>
      <c r="C280" s="1" t="n">
        <v>45928</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48594-2020</t>
        </is>
      </c>
      <c r="B281" s="1" t="n">
        <v>44103</v>
      </c>
      <c r="C281" s="1" t="n">
        <v>45928</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47688-2023</t>
        </is>
      </c>
      <c r="B282" s="1" t="n">
        <v>45203</v>
      </c>
      <c r="C282" s="1" t="n">
        <v>45928</v>
      </c>
      <c r="D282" t="inlineStr">
        <is>
          <t>VÄRMLANDS LÄN</t>
        </is>
      </c>
      <c r="E282" t="inlineStr">
        <is>
          <t>ÅRJÄNG</t>
        </is>
      </c>
      <c r="F282" t="inlineStr">
        <is>
          <t>Övriga Aktiebolag</t>
        </is>
      </c>
      <c r="G282" t="n">
        <v>20.3</v>
      </c>
      <c r="H282" t="n">
        <v>0</v>
      </c>
      <c r="I282" t="n">
        <v>0</v>
      </c>
      <c r="J282" t="n">
        <v>0</v>
      </c>
      <c r="K282" t="n">
        <v>0</v>
      </c>
      <c r="L282" t="n">
        <v>0</v>
      </c>
      <c r="M282" t="n">
        <v>0</v>
      </c>
      <c r="N282" t="n">
        <v>0</v>
      </c>
      <c r="O282" t="n">
        <v>0</v>
      </c>
      <c r="P282" t="n">
        <v>0</v>
      </c>
      <c r="Q282" t="n">
        <v>0</v>
      </c>
      <c r="R282" s="2" t="inlineStr"/>
    </row>
    <row r="283" ht="15" customHeight="1">
      <c r="A283" t="inlineStr">
        <is>
          <t>A 29174-2022</t>
        </is>
      </c>
      <c r="B283" s="1" t="n">
        <v>44750</v>
      </c>
      <c r="C283" s="1" t="n">
        <v>45928</v>
      </c>
      <c r="D283" t="inlineStr">
        <is>
          <t>VÄRMLANDS LÄN</t>
        </is>
      </c>
      <c r="E283" t="inlineStr">
        <is>
          <t>ÅRJÄNG</t>
        </is>
      </c>
      <c r="G283" t="n">
        <v>0.1</v>
      </c>
      <c r="H283" t="n">
        <v>0</v>
      </c>
      <c r="I283" t="n">
        <v>0</v>
      </c>
      <c r="J283" t="n">
        <v>0</v>
      </c>
      <c r="K283" t="n">
        <v>0</v>
      </c>
      <c r="L283" t="n">
        <v>0</v>
      </c>
      <c r="M283" t="n">
        <v>0</v>
      </c>
      <c r="N283" t="n">
        <v>0</v>
      </c>
      <c r="O283" t="n">
        <v>0</v>
      </c>
      <c r="P283" t="n">
        <v>0</v>
      </c>
      <c r="Q283" t="n">
        <v>0</v>
      </c>
      <c r="R283" s="2" t="inlineStr"/>
    </row>
    <row r="284" ht="15" customHeight="1">
      <c r="A284" t="inlineStr">
        <is>
          <t>A 36948-2021</t>
        </is>
      </c>
      <c r="B284" s="1" t="n">
        <v>44393.53646990741</v>
      </c>
      <c r="C284" s="1" t="n">
        <v>45928</v>
      </c>
      <c r="D284" t="inlineStr">
        <is>
          <t>VÄRMLANDS LÄN</t>
        </is>
      </c>
      <c r="E284" t="inlineStr">
        <is>
          <t>ÅRJÄNG</t>
        </is>
      </c>
      <c r="G284" t="n">
        <v>4.4</v>
      </c>
      <c r="H284" t="n">
        <v>0</v>
      </c>
      <c r="I284" t="n">
        <v>0</v>
      </c>
      <c r="J284" t="n">
        <v>0</v>
      </c>
      <c r="K284" t="n">
        <v>0</v>
      </c>
      <c r="L284" t="n">
        <v>0</v>
      </c>
      <c r="M284" t="n">
        <v>0</v>
      </c>
      <c r="N284" t="n">
        <v>0</v>
      </c>
      <c r="O284" t="n">
        <v>0</v>
      </c>
      <c r="P284" t="n">
        <v>0</v>
      </c>
      <c r="Q284" t="n">
        <v>0</v>
      </c>
      <c r="R284" s="2" t="inlineStr"/>
    </row>
    <row r="285" ht="15" customHeight="1">
      <c r="A285" t="inlineStr">
        <is>
          <t>A 13152-2022</t>
        </is>
      </c>
      <c r="B285" s="1" t="n">
        <v>44643</v>
      </c>
      <c r="C285" s="1" t="n">
        <v>45928</v>
      </c>
      <c r="D285" t="inlineStr">
        <is>
          <t>VÄRMLANDS LÄN</t>
        </is>
      </c>
      <c r="E285" t="inlineStr">
        <is>
          <t>ÅRJÄNG</t>
        </is>
      </c>
      <c r="G285" t="n">
        <v>4</v>
      </c>
      <c r="H285" t="n">
        <v>0</v>
      </c>
      <c r="I285" t="n">
        <v>0</v>
      </c>
      <c r="J285" t="n">
        <v>0</v>
      </c>
      <c r="K285" t="n">
        <v>0</v>
      </c>
      <c r="L285" t="n">
        <v>0</v>
      </c>
      <c r="M285" t="n">
        <v>0</v>
      </c>
      <c r="N285" t="n">
        <v>0</v>
      </c>
      <c r="O285" t="n">
        <v>0</v>
      </c>
      <c r="P285" t="n">
        <v>0</v>
      </c>
      <c r="Q285" t="n">
        <v>0</v>
      </c>
      <c r="R285" s="2" t="inlineStr"/>
    </row>
    <row r="286" ht="15" customHeight="1">
      <c r="A286" t="inlineStr">
        <is>
          <t>A 16676-2021</t>
        </is>
      </c>
      <c r="B286" s="1" t="n">
        <v>44294.5668287037</v>
      </c>
      <c r="C286" s="1" t="n">
        <v>45928</v>
      </c>
      <c r="D286" t="inlineStr">
        <is>
          <t>VÄRMLANDS LÄN</t>
        </is>
      </c>
      <c r="E286" t="inlineStr">
        <is>
          <t>ÅRJÄNG</t>
        </is>
      </c>
      <c r="G286" t="n">
        <v>4.3</v>
      </c>
      <c r="H286" t="n">
        <v>0</v>
      </c>
      <c r="I286" t="n">
        <v>0</v>
      </c>
      <c r="J286" t="n">
        <v>0</v>
      </c>
      <c r="K286" t="n">
        <v>0</v>
      </c>
      <c r="L286" t="n">
        <v>0</v>
      </c>
      <c r="M286" t="n">
        <v>0</v>
      </c>
      <c r="N286" t="n">
        <v>0</v>
      </c>
      <c r="O286" t="n">
        <v>0</v>
      </c>
      <c r="P286" t="n">
        <v>0</v>
      </c>
      <c r="Q286" t="n">
        <v>0</v>
      </c>
      <c r="R286" s="2" t="inlineStr"/>
    </row>
    <row r="287" ht="15" customHeight="1">
      <c r="A287" t="inlineStr">
        <is>
          <t>A 8408-2022</t>
        </is>
      </c>
      <c r="B287" s="1" t="n">
        <v>44610</v>
      </c>
      <c r="C287" s="1" t="n">
        <v>45928</v>
      </c>
      <c r="D287" t="inlineStr">
        <is>
          <t>VÄRMLANDS LÄN</t>
        </is>
      </c>
      <c r="E287" t="inlineStr">
        <is>
          <t>ÅRJÄNG</t>
        </is>
      </c>
      <c r="G287" t="n">
        <v>3.9</v>
      </c>
      <c r="H287" t="n">
        <v>0</v>
      </c>
      <c r="I287" t="n">
        <v>0</v>
      </c>
      <c r="J287" t="n">
        <v>0</v>
      </c>
      <c r="K287" t="n">
        <v>0</v>
      </c>
      <c r="L287" t="n">
        <v>0</v>
      </c>
      <c r="M287" t="n">
        <v>0</v>
      </c>
      <c r="N287" t="n">
        <v>0</v>
      </c>
      <c r="O287" t="n">
        <v>0</v>
      </c>
      <c r="P287" t="n">
        <v>0</v>
      </c>
      <c r="Q287" t="n">
        <v>0</v>
      </c>
      <c r="R287" s="2" t="inlineStr"/>
    </row>
    <row r="288" ht="15" customHeight="1">
      <c r="A288" t="inlineStr">
        <is>
          <t>A 47013-2021</t>
        </is>
      </c>
      <c r="B288" s="1" t="n">
        <v>44446</v>
      </c>
      <c r="C288" s="1" t="n">
        <v>45928</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7444-2024</t>
        </is>
      </c>
      <c r="B289" s="1" t="n">
        <v>45345.72637731482</v>
      </c>
      <c r="C289" s="1" t="n">
        <v>45928</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19893-2022</t>
        </is>
      </c>
      <c r="B290" s="1" t="n">
        <v>44697</v>
      </c>
      <c r="C290" s="1" t="n">
        <v>45928</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16791-2025</t>
        </is>
      </c>
      <c r="B291" s="1" t="n">
        <v>45754</v>
      </c>
      <c r="C291" s="1" t="n">
        <v>45928</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2143-2022</t>
        </is>
      </c>
      <c r="B292" s="1" t="n">
        <v>44571</v>
      </c>
      <c r="C292" s="1" t="n">
        <v>45928</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11805-2024</t>
        </is>
      </c>
      <c r="B293" s="1" t="n">
        <v>45375.76523148148</v>
      </c>
      <c r="C293" s="1" t="n">
        <v>45928</v>
      </c>
      <c r="D293" t="inlineStr">
        <is>
          <t>VÄRMLANDS LÄN</t>
        </is>
      </c>
      <c r="E293" t="inlineStr">
        <is>
          <t>ÅRJÄNG</t>
        </is>
      </c>
      <c r="G293" t="n">
        <v>4.4</v>
      </c>
      <c r="H293" t="n">
        <v>0</v>
      </c>
      <c r="I293" t="n">
        <v>0</v>
      </c>
      <c r="J293" t="n">
        <v>0</v>
      </c>
      <c r="K293" t="n">
        <v>0</v>
      </c>
      <c r="L293" t="n">
        <v>0</v>
      </c>
      <c r="M293" t="n">
        <v>0</v>
      </c>
      <c r="N293" t="n">
        <v>0</v>
      </c>
      <c r="O293" t="n">
        <v>0</v>
      </c>
      <c r="P293" t="n">
        <v>0</v>
      </c>
      <c r="Q293" t="n">
        <v>0</v>
      </c>
      <c r="R293" s="2" t="inlineStr"/>
    </row>
    <row r="294" ht="15" customHeight="1">
      <c r="A294" t="inlineStr">
        <is>
          <t>A 15828-2024</t>
        </is>
      </c>
      <c r="B294" s="1" t="n">
        <v>45404</v>
      </c>
      <c r="C294" s="1" t="n">
        <v>45928</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17135-2022</t>
        </is>
      </c>
      <c r="B295" s="1" t="n">
        <v>44677</v>
      </c>
      <c r="C295" s="1" t="n">
        <v>45928</v>
      </c>
      <c r="D295" t="inlineStr">
        <is>
          <t>VÄRMLANDS LÄN</t>
        </is>
      </c>
      <c r="E295" t="inlineStr">
        <is>
          <t>ÅRJÄNG</t>
        </is>
      </c>
      <c r="G295" t="n">
        <v>9</v>
      </c>
      <c r="H295" t="n">
        <v>0</v>
      </c>
      <c r="I295" t="n">
        <v>0</v>
      </c>
      <c r="J295" t="n">
        <v>0</v>
      </c>
      <c r="K295" t="n">
        <v>0</v>
      </c>
      <c r="L295" t="n">
        <v>0</v>
      </c>
      <c r="M295" t="n">
        <v>0</v>
      </c>
      <c r="N295" t="n">
        <v>0</v>
      </c>
      <c r="O295" t="n">
        <v>0</v>
      </c>
      <c r="P295" t="n">
        <v>0</v>
      </c>
      <c r="Q295" t="n">
        <v>0</v>
      </c>
      <c r="R295" s="2" t="inlineStr"/>
    </row>
    <row r="296" ht="15" customHeight="1">
      <c r="A296" t="inlineStr">
        <is>
          <t>A 72996-2021</t>
        </is>
      </c>
      <c r="B296" s="1" t="n">
        <v>44549.8596875</v>
      </c>
      <c r="C296" s="1" t="n">
        <v>45928</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4915-2022</t>
        </is>
      </c>
      <c r="B297" s="1" t="n">
        <v>44593</v>
      </c>
      <c r="C297" s="1" t="n">
        <v>45928</v>
      </c>
      <c r="D297" t="inlineStr">
        <is>
          <t>VÄRMLANDS LÄN</t>
        </is>
      </c>
      <c r="E297" t="inlineStr">
        <is>
          <t>ÅRJÄNG</t>
        </is>
      </c>
      <c r="G297" t="n">
        <v>3.7</v>
      </c>
      <c r="H297" t="n">
        <v>0</v>
      </c>
      <c r="I297" t="n">
        <v>0</v>
      </c>
      <c r="J297" t="n">
        <v>0</v>
      </c>
      <c r="K297" t="n">
        <v>0</v>
      </c>
      <c r="L297" t="n">
        <v>0</v>
      </c>
      <c r="M297" t="n">
        <v>0</v>
      </c>
      <c r="N297" t="n">
        <v>0</v>
      </c>
      <c r="O297" t="n">
        <v>0</v>
      </c>
      <c r="P297" t="n">
        <v>0</v>
      </c>
      <c r="Q297" t="n">
        <v>0</v>
      </c>
      <c r="R297" s="2" t="inlineStr"/>
    </row>
    <row r="298" ht="15" customHeight="1">
      <c r="A298" t="inlineStr">
        <is>
          <t>A 30459-2022</t>
        </is>
      </c>
      <c r="B298" s="1" t="n">
        <v>44761</v>
      </c>
      <c r="C298" s="1" t="n">
        <v>45928</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40490-2022</t>
        </is>
      </c>
      <c r="B299" s="1" t="n">
        <v>44823.58560185185</v>
      </c>
      <c r="C299" s="1" t="n">
        <v>45928</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40872-2022</t>
        </is>
      </c>
      <c r="B300" s="1" t="n">
        <v>44825.33496527778</v>
      </c>
      <c r="C300" s="1" t="n">
        <v>45928</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37949-2022</t>
        </is>
      </c>
      <c r="B301" s="1" t="n">
        <v>44811.48773148148</v>
      </c>
      <c r="C301" s="1" t="n">
        <v>45928</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21939-2022</t>
        </is>
      </c>
      <c r="B302" s="1" t="n">
        <v>44711</v>
      </c>
      <c r="C302" s="1" t="n">
        <v>45928</v>
      </c>
      <c r="D302" t="inlineStr">
        <is>
          <t>VÄRMLANDS LÄN</t>
        </is>
      </c>
      <c r="E302" t="inlineStr">
        <is>
          <t>ÅRJÄNG</t>
        </is>
      </c>
      <c r="G302" t="n">
        <v>0.1</v>
      </c>
      <c r="H302" t="n">
        <v>0</v>
      </c>
      <c r="I302" t="n">
        <v>0</v>
      </c>
      <c r="J302" t="n">
        <v>0</v>
      </c>
      <c r="K302" t="n">
        <v>0</v>
      </c>
      <c r="L302" t="n">
        <v>0</v>
      </c>
      <c r="M302" t="n">
        <v>0</v>
      </c>
      <c r="N302" t="n">
        <v>0</v>
      </c>
      <c r="O302" t="n">
        <v>0</v>
      </c>
      <c r="P302" t="n">
        <v>0</v>
      </c>
      <c r="Q302" t="n">
        <v>0</v>
      </c>
      <c r="R302" s="2" t="inlineStr"/>
    </row>
    <row r="303" ht="15" customHeight="1">
      <c r="A303" t="inlineStr">
        <is>
          <t>A 69024-2021</t>
        </is>
      </c>
      <c r="B303" s="1" t="n">
        <v>44530.61547453704</v>
      </c>
      <c r="C303" s="1" t="n">
        <v>45928</v>
      </c>
      <c r="D303" t="inlineStr">
        <is>
          <t>VÄRMLANDS LÄN</t>
        </is>
      </c>
      <c r="E303" t="inlineStr">
        <is>
          <t>ÅRJÄNG</t>
        </is>
      </c>
      <c r="G303" t="n">
        <v>0.3</v>
      </c>
      <c r="H303" t="n">
        <v>0</v>
      </c>
      <c r="I303" t="n">
        <v>0</v>
      </c>
      <c r="J303" t="n">
        <v>0</v>
      </c>
      <c r="K303" t="n">
        <v>0</v>
      </c>
      <c r="L303" t="n">
        <v>0</v>
      </c>
      <c r="M303" t="n">
        <v>0</v>
      </c>
      <c r="N303" t="n">
        <v>0</v>
      </c>
      <c r="O303" t="n">
        <v>0</v>
      </c>
      <c r="P303" t="n">
        <v>0</v>
      </c>
      <c r="Q303" t="n">
        <v>0</v>
      </c>
      <c r="R303" s="2" t="inlineStr"/>
    </row>
    <row r="304" ht="15" customHeight="1">
      <c r="A304" t="inlineStr">
        <is>
          <t>A 40643-2022</t>
        </is>
      </c>
      <c r="B304" s="1" t="n">
        <v>44824.32023148148</v>
      </c>
      <c r="C304" s="1" t="n">
        <v>45928</v>
      </c>
      <c r="D304" t="inlineStr">
        <is>
          <t>VÄRMLANDS LÄN</t>
        </is>
      </c>
      <c r="E304" t="inlineStr">
        <is>
          <t>ÅRJÄNG</t>
        </is>
      </c>
      <c r="G304" t="n">
        <v>0.4</v>
      </c>
      <c r="H304" t="n">
        <v>0</v>
      </c>
      <c r="I304" t="n">
        <v>0</v>
      </c>
      <c r="J304" t="n">
        <v>0</v>
      </c>
      <c r="K304" t="n">
        <v>0</v>
      </c>
      <c r="L304" t="n">
        <v>0</v>
      </c>
      <c r="M304" t="n">
        <v>0</v>
      </c>
      <c r="N304" t="n">
        <v>0</v>
      </c>
      <c r="O304" t="n">
        <v>0</v>
      </c>
      <c r="P304" t="n">
        <v>0</v>
      </c>
      <c r="Q304" t="n">
        <v>0</v>
      </c>
      <c r="R304" s="2" t="inlineStr"/>
    </row>
    <row r="305" ht="15" customHeight="1">
      <c r="A305" t="inlineStr">
        <is>
          <t>A 19244-2021</t>
        </is>
      </c>
      <c r="B305" s="1" t="n">
        <v>44309</v>
      </c>
      <c r="C305" s="1" t="n">
        <v>45928</v>
      </c>
      <c r="D305" t="inlineStr">
        <is>
          <t>VÄRMLANDS LÄN</t>
        </is>
      </c>
      <c r="E305" t="inlineStr">
        <is>
          <t>ÅRJÄNG</t>
        </is>
      </c>
      <c r="G305" t="n">
        <v>2</v>
      </c>
      <c r="H305" t="n">
        <v>0</v>
      </c>
      <c r="I305" t="n">
        <v>0</v>
      </c>
      <c r="J305" t="n">
        <v>0</v>
      </c>
      <c r="K305" t="n">
        <v>0</v>
      </c>
      <c r="L305" t="n">
        <v>0</v>
      </c>
      <c r="M305" t="n">
        <v>0</v>
      </c>
      <c r="N305" t="n">
        <v>0</v>
      </c>
      <c r="O305" t="n">
        <v>0</v>
      </c>
      <c r="P305" t="n">
        <v>0</v>
      </c>
      <c r="Q305" t="n">
        <v>0</v>
      </c>
      <c r="R305" s="2" t="inlineStr"/>
    </row>
    <row r="306" ht="15" customHeight="1">
      <c r="A306" t="inlineStr">
        <is>
          <t>A 59385-2023</t>
        </is>
      </c>
      <c r="B306" s="1" t="n">
        <v>45253</v>
      </c>
      <c r="C306" s="1" t="n">
        <v>45928</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13036-2025</t>
        </is>
      </c>
      <c r="B307" s="1" t="n">
        <v>45734.57474537037</v>
      </c>
      <c r="C307" s="1" t="n">
        <v>45928</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59453-2021</t>
        </is>
      </c>
      <c r="B308" s="1" t="n">
        <v>44491</v>
      </c>
      <c r="C308" s="1" t="n">
        <v>45928</v>
      </c>
      <c r="D308" t="inlineStr">
        <is>
          <t>VÄRMLANDS LÄN</t>
        </is>
      </c>
      <c r="E308" t="inlineStr">
        <is>
          <t>ÅRJÄNG</t>
        </is>
      </c>
      <c r="G308" t="n">
        <v>2.3</v>
      </c>
      <c r="H308" t="n">
        <v>0</v>
      </c>
      <c r="I308" t="n">
        <v>0</v>
      </c>
      <c r="J308" t="n">
        <v>0</v>
      </c>
      <c r="K308" t="n">
        <v>0</v>
      </c>
      <c r="L308" t="n">
        <v>0</v>
      </c>
      <c r="M308" t="n">
        <v>0</v>
      </c>
      <c r="N308" t="n">
        <v>0</v>
      </c>
      <c r="O308" t="n">
        <v>0</v>
      </c>
      <c r="P308" t="n">
        <v>0</v>
      </c>
      <c r="Q308" t="n">
        <v>0</v>
      </c>
      <c r="R308" s="2" t="inlineStr"/>
    </row>
    <row r="309" ht="15" customHeight="1">
      <c r="A309" t="inlineStr">
        <is>
          <t>A 9909-2024</t>
        </is>
      </c>
      <c r="B309" s="1" t="n">
        <v>45363.53642361111</v>
      </c>
      <c r="C309" s="1" t="n">
        <v>45928</v>
      </c>
      <c r="D309" t="inlineStr">
        <is>
          <t>VÄRMLANDS LÄN</t>
        </is>
      </c>
      <c r="E309" t="inlineStr">
        <is>
          <t>ÅRJÄNG</t>
        </is>
      </c>
      <c r="G309" t="n">
        <v>3</v>
      </c>
      <c r="H309" t="n">
        <v>0</v>
      </c>
      <c r="I309" t="n">
        <v>0</v>
      </c>
      <c r="J309" t="n">
        <v>0</v>
      </c>
      <c r="K309" t="n">
        <v>0</v>
      </c>
      <c r="L309" t="n">
        <v>0</v>
      </c>
      <c r="M309" t="n">
        <v>0</v>
      </c>
      <c r="N309" t="n">
        <v>0</v>
      </c>
      <c r="O309" t="n">
        <v>0</v>
      </c>
      <c r="P309" t="n">
        <v>0</v>
      </c>
      <c r="Q309" t="n">
        <v>0</v>
      </c>
      <c r="R309" s="2" t="inlineStr"/>
    </row>
    <row r="310" ht="15" customHeight="1">
      <c r="A310" t="inlineStr">
        <is>
          <t>A 51109-2022</t>
        </is>
      </c>
      <c r="B310" s="1" t="n">
        <v>44868.43569444444</v>
      </c>
      <c r="C310" s="1" t="n">
        <v>45928</v>
      </c>
      <c r="D310" t="inlineStr">
        <is>
          <t>VÄRMLANDS LÄN</t>
        </is>
      </c>
      <c r="E310" t="inlineStr">
        <is>
          <t>ÅRJÄNG</t>
        </is>
      </c>
      <c r="G310" t="n">
        <v>4.3</v>
      </c>
      <c r="H310" t="n">
        <v>0</v>
      </c>
      <c r="I310" t="n">
        <v>0</v>
      </c>
      <c r="J310" t="n">
        <v>0</v>
      </c>
      <c r="K310" t="n">
        <v>0</v>
      </c>
      <c r="L310" t="n">
        <v>0</v>
      </c>
      <c r="M310" t="n">
        <v>0</v>
      </c>
      <c r="N310" t="n">
        <v>0</v>
      </c>
      <c r="O310" t="n">
        <v>0</v>
      </c>
      <c r="P310" t="n">
        <v>0</v>
      </c>
      <c r="Q310" t="n">
        <v>0</v>
      </c>
      <c r="R310" s="2" t="inlineStr"/>
    </row>
    <row r="311" ht="15" customHeight="1">
      <c r="A311" t="inlineStr">
        <is>
          <t>A 41986-2022</t>
        </is>
      </c>
      <c r="B311" s="1" t="n">
        <v>44830.4380787037</v>
      </c>
      <c r="C311" s="1" t="n">
        <v>45928</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19511-2024</t>
        </is>
      </c>
      <c r="B312" s="1" t="n">
        <v>45429.6099537037</v>
      </c>
      <c r="C312" s="1" t="n">
        <v>45928</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19516-2024</t>
        </is>
      </c>
      <c r="B313" s="1" t="n">
        <v>45429.61491898148</v>
      </c>
      <c r="C313" s="1" t="n">
        <v>45928</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6034-2021</t>
        </is>
      </c>
      <c r="B314" s="1" t="n">
        <v>44232.33623842592</v>
      </c>
      <c r="C314" s="1" t="n">
        <v>45928</v>
      </c>
      <c r="D314" t="inlineStr">
        <is>
          <t>VÄRMLANDS LÄN</t>
        </is>
      </c>
      <c r="E314" t="inlineStr">
        <is>
          <t>ÅRJÄNG</t>
        </is>
      </c>
      <c r="G314" t="n">
        <v>0.5</v>
      </c>
      <c r="H314" t="n">
        <v>0</v>
      </c>
      <c r="I314" t="n">
        <v>0</v>
      </c>
      <c r="J314" t="n">
        <v>0</v>
      </c>
      <c r="K314" t="n">
        <v>0</v>
      </c>
      <c r="L314" t="n">
        <v>0</v>
      </c>
      <c r="M314" t="n">
        <v>0</v>
      </c>
      <c r="N314" t="n">
        <v>0</v>
      </c>
      <c r="O314" t="n">
        <v>0</v>
      </c>
      <c r="P314" t="n">
        <v>0</v>
      </c>
      <c r="Q314" t="n">
        <v>0</v>
      </c>
      <c r="R314" s="2" t="inlineStr"/>
    </row>
    <row r="315" ht="15" customHeight="1">
      <c r="A315" t="inlineStr">
        <is>
          <t>A 51975-2022</t>
        </is>
      </c>
      <c r="B315" s="1" t="n">
        <v>44872.71702546296</v>
      </c>
      <c r="C315" s="1" t="n">
        <v>45928</v>
      </c>
      <c r="D315" t="inlineStr">
        <is>
          <t>VÄRMLANDS LÄN</t>
        </is>
      </c>
      <c r="E315" t="inlineStr">
        <is>
          <t>ÅRJÄNG</t>
        </is>
      </c>
      <c r="G315" t="n">
        <v>0.6</v>
      </c>
      <c r="H315" t="n">
        <v>0</v>
      </c>
      <c r="I315" t="n">
        <v>0</v>
      </c>
      <c r="J315" t="n">
        <v>0</v>
      </c>
      <c r="K315" t="n">
        <v>0</v>
      </c>
      <c r="L315" t="n">
        <v>0</v>
      </c>
      <c r="M315" t="n">
        <v>0</v>
      </c>
      <c r="N315" t="n">
        <v>0</v>
      </c>
      <c r="O315" t="n">
        <v>0</v>
      </c>
      <c r="P315" t="n">
        <v>0</v>
      </c>
      <c r="Q315" t="n">
        <v>0</v>
      </c>
      <c r="R315" s="2" t="inlineStr"/>
    </row>
    <row r="316" ht="15" customHeight="1">
      <c r="A316" t="inlineStr">
        <is>
          <t>A 53262-2022</t>
        </is>
      </c>
      <c r="B316" s="1" t="n">
        <v>44876</v>
      </c>
      <c r="C316" s="1" t="n">
        <v>45928</v>
      </c>
      <c r="D316" t="inlineStr">
        <is>
          <t>VÄRMLANDS LÄN</t>
        </is>
      </c>
      <c r="E316" t="inlineStr">
        <is>
          <t>ÅRJÄNG</t>
        </is>
      </c>
      <c r="G316" t="n">
        <v>0.7</v>
      </c>
      <c r="H316" t="n">
        <v>0</v>
      </c>
      <c r="I316" t="n">
        <v>0</v>
      </c>
      <c r="J316" t="n">
        <v>0</v>
      </c>
      <c r="K316" t="n">
        <v>0</v>
      </c>
      <c r="L316" t="n">
        <v>0</v>
      </c>
      <c r="M316" t="n">
        <v>0</v>
      </c>
      <c r="N316" t="n">
        <v>0</v>
      </c>
      <c r="O316" t="n">
        <v>0</v>
      </c>
      <c r="P316" t="n">
        <v>0</v>
      </c>
      <c r="Q316" t="n">
        <v>0</v>
      </c>
      <c r="R316" s="2" t="inlineStr"/>
    </row>
    <row r="317" ht="15" customHeight="1">
      <c r="A317" t="inlineStr">
        <is>
          <t>A 13734-2024</t>
        </is>
      </c>
      <c r="B317" s="1" t="n">
        <v>45387</v>
      </c>
      <c r="C317" s="1" t="n">
        <v>45928</v>
      </c>
      <c r="D317" t="inlineStr">
        <is>
          <t>VÄRMLANDS LÄN</t>
        </is>
      </c>
      <c r="E317" t="inlineStr">
        <is>
          <t>ÅRJÄNG</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13824-2024</t>
        </is>
      </c>
      <c r="B318" s="1" t="n">
        <v>45391.42951388889</v>
      </c>
      <c r="C318" s="1" t="n">
        <v>45928</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10518-2022</t>
        </is>
      </c>
      <c r="B319" s="1" t="n">
        <v>44623.77545138889</v>
      </c>
      <c r="C319" s="1" t="n">
        <v>45928</v>
      </c>
      <c r="D319" t="inlineStr">
        <is>
          <t>VÄRMLANDS LÄN</t>
        </is>
      </c>
      <c r="E319" t="inlineStr">
        <is>
          <t>ÅRJÄNG</t>
        </is>
      </c>
      <c r="G319" t="n">
        <v>0.5</v>
      </c>
      <c r="H319" t="n">
        <v>0</v>
      </c>
      <c r="I319" t="n">
        <v>0</v>
      </c>
      <c r="J319" t="n">
        <v>0</v>
      </c>
      <c r="K319" t="n">
        <v>0</v>
      </c>
      <c r="L319" t="n">
        <v>0</v>
      </c>
      <c r="M319" t="n">
        <v>0</v>
      </c>
      <c r="N319" t="n">
        <v>0</v>
      </c>
      <c r="O319" t="n">
        <v>0</v>
      </c>
      <c r="P319" t="n">
        <v>0</v>
      </c>
      <c r="Q319" t="n">
        <v>0</v>
      </c>
      <c r="R319" s="2" t="inlineStr"/>
    </row>
    <row r="320" ht="15" customHeight="1">
      <c r="A320" t="inlineStr">
        <is>
          <t>A 74430-2021</t>
        </is>
      </c>
      <c r="B320" s="1" t="n">
        <v>44560.43342592593</v>
      </c>
      <c r="C320" s="1" t="n">
        <v>45928</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15148-2025</t>
        </is>
      </c>
      <c r="B321" s="1" t="n">
        <v>45744.45298611111</v>
      </c>
      <c r="C321" s="1" t="n">
        <v>45928</v>
      </c>
      <c r="D321" t="inlineStr">
        <is>
          <t>VÄRMLANDS LÄN</t>
        </is>
      </c>
      <c r="E321" t="inlineStr">
        <is>
          <t>ÅRJÄNG</t>
        </is>
      </c>
      <c r="G321" t="n">
        <v>1.4</v>
      </c>
      <c r="H321" t="n">
        <v>0</v>
      </c>
      <c r="I321" t="n">
        <v>0</v>
      </c>
      <c r="J321" t="n">
        <v>0</v>
      </c>
      <c r="K321" t="n">
        <v>0</v>
      </c>
      <c r="L321" t="n">
        <v>0</v>
      </c>
      <c r="M321" t="n">
        <v>0</v>
      </c>
      <c r="N321" t="n">
        <v>0</v>
      </c>
      <c r="O321" t="n">
        <v>0</v>
      </c>
      <c r="P321" t="n">
        <v>0</v>
      </c>
      <c r="Q321" t="n">
        <v>0</v>
      </c>
      <c r="R321" s="2" t="inlineStr"/>
    </row>
    <row r="322" ht="15" customHeight="1">
      <c r="A322" t="inlineStr">
        <is>
          <t>A 935-2021</t>
        </is>
      </c>
      <c r="B322" s="1" t="n">
        <v>44207</v>
      </c>
      <c r="C322" s="1" t="n">
        <v>45928</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41416-2021</t>
        </is>
      </c>
      <c r="B323" s="1" t="n">
        <v>44424</v>
      </c>
      <c r="C323" s="1" t="n">
        <v>45928</v>
      </c>
      <c r="D323" t="inlineStr">
        <is>
          <t>VÄRMLANDS LÄN</t>
        </is>
      </c>
      <c r="E323" t="inlineStr">
        <is>
          <t>ÅRJÄNG</t>
        </is>
      </c>
      <c r="G323" t="n">
        <v>10.4</v>
      </c>
      <c r="H323" t="n">
        <v>0</v>
      </c>
      <c r="I323" t="n">
        <v>0</v>
      </c>
      <c r="J323" t="n">
        <v>0</v>
      </c>
      <c r="K323" t="n">
        <v>0</v>
      </c>
      <c r="L323" t="n">
        <v>0</v>
      </c>
      <c r="M323" t="n">
        <v>0</v>
      </c>
      <c r="N323" t="n">
        <v>0</v>
      </c>
      <c r="O323" t="n">
        <v>0</v>
      </c>
      <c r="P323" t="n">
        <v>0</v>
      </c>
      <c r="Q323" t="n">
        <v>0</v>
      </c>
      <c r="R323" s="2" t="inlineStr"/>
    </row>
    <row r="324" ht="15" customHeight="1">
      <c r="A324" t="inlineStr">
        <is>
          <t>A 26880-2023</t>
        </is>
      </c>
      <c r="B324" s="1" t="n">
        <v>45093.58373842593</v>
      </c>
      <c r="C324" s="1" t="n">
        <v>45928</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13998-2024</t>
        </is>
      </c>
      <c r="B325" s="1" t="n">
        <v>45392</v>
      </c>
      <c r="C325" s="1" t="n">
        <v>45928</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14466-2025</t>
        </is>
      </c>
      <c r="B326" s="1" t="n">
        <v>45741.57255787037</v>
      </c>
      <c r="C326" s="1" t="n">
        <v>45928</v>
      </c>
      <c r="D326" t="inlineStr">
        <is>
          <t>VÄRMLANDS LÄN</t>
        </is>
      </c>
      <c r="E326" t="inlineStr">
        <is>
          <t>ÅRJÄNG</t>
        </is>
      </c>
      <c r="G326" t="n">
        <v>12.2</v>
      </c>
      <c r="H326" t="n">
        <v>0</v>
      </c>
      <c r="I326" t="n">
        <v>0</v>
      </c>
      <c r="J326" t="n">
        <v>0</v>
      </c>
      <c r="K326" t="n">
        <v>0</v>
      </c>
      <c r="L326" t="n">
        <v>0</v>
      </c>
      <c r="M326" t="n">
        <v>0</v>
      </c>
      <c r="N326" t="n">
        <v>0</v>
      </c>
      <c r="O326" t="n">
        <v>0</v>
      </c>
      <c r="P326" t="n">
        <v>0</v>
      </c>
      <c r="Q326" t="n">
        <v>0</v>
      </c>
      <c r="R326" s="2" t="inlineStr"/>
    </row>
    <row r="327" ht="15" customHeight="1">
      <c r="A327" t="inlineStr">
        <is>
          <t>A 15953-2025</t>
        </is>
      </c>
      <c r="B327" s="1" t="n">
        <v>45749</v>
      </c>
      <c r="C327" s="1" t="n">
        <v>45928</v>
      </c>
      <c r="D327" t="inlineStr">
        <is>
          <t>VÄRMLANDS LÄN</t>
        </is>
      </c>
      <c r="E327" t="inlineStr">
        <is>
          <t>ÅRJÄNG</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48192-2022</t>
        </is>
      </c>
      <c r="B328" s="1" t="n">
        <v>44853</v>
      </c>
      <c r="C328" s="1" t="n">
        <v>45928</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37191-2023</t>
        </is>
      </c>
      <c r="B329" s="1" t="n">
        <v>45154</v>
      </c>
      <c r="C329" s="1" t="n">
        <v>45928</v>
      </c>
      <c r="D329" t="inlineStr">
        <is>
          <t>VÄRMLANDS LÄN</t>
        </is>
      </c>
      <c r="E329" t="inlineStr">
        <is>
          <t>ÅRJÄNG</t>
        </is>
      </c>
      <c r="G329" t="n">
        <v>0.7</v>
      </c>
      <c r="H329" t="n">
        <v>0</v>
      </c>
      <c r="I329" t="n">
        <v>0</v>
      </c>
      <c r="J329" t="n">
        <v>0</v>
      </c>
      <c r="K329" t="n">
        <v>0</v>
      </c>
      <c r="L329" t="n">
        <v>0</v>
      </c>
      <c r="M329" t="n">
        <v>0</v>
      </c>
      <c r="N329" t="n">
        <v>0</v>
      </c>
      <c r="O329" t="n">
        <v>0</v>
      </c>
      <c r="P329" t="n">
        <v>0</v>
      </c>
      <c r="Q329" t="n">
        <v>0</v>
      </c>
      <c r="R329" s="2" t="inlineStr"/>
    </row>
    <row r="330" ht="15" customHeight="1">
      <c r="A330" t="inlineStr">
        <is>
          <t>A 13654-2022</t>
        </is>
      </c>
      <c r="B330" s="1" t="n">
        <v>44648.65623842592</v>
      </c>
      <c r="C330" s="1" t="n">
        <v>45928</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27862-2021</t>
        </is>
      </c>
      <c r="B331" s="1" t="n">
        <v>44354</v>
      </c>
      <c r="C331" s="1" t="n">
        <v>45928</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43034-2021</t>
        </is>
      </c>
      <c r="B332" s="1" t="n">
        <v>44431</v>
      </c>
      <c r="C332" s="1" t="n">
        <v>45928</v>
      </c>
      <c r="D332" t="inlineStr">
        <is>
          <t>VÄRMLANDS LÄN</t>
        </is>
      </c>
      <c r="E332" t="inlineStr">
        <is>
          <t>ÅRJÄNG</t>
        </is>
      </c>
      <c r="G332" t="n">
        <v>1.2</v>
      </c>
      <c r="H332" t="n">
        <v>0</v>
      </c>
      <c r="I332" t="n">
        <v>0</v>
      </c>
      <c r="J332" t="n">
        <v>0</v>
      </c>
      <c r="K332" t="n">
        <v>0</v>
      </c>
      <c r="L332" t="n">
        <v>0</v>
      </c>
      <c r="M332" t="n">
        <v>0</v>
      </c>
      <c r="N332" t="n">
        <v>0</v>
      </c>
      <c r="O332" t="n">
        <v>0</v>
      </c>
      <c r="P332" t="n">
        <v>0</v>
      </c>
      <c r="Q332" t="n">
        <v>0</v>
      </c>
      <c r="R332" s="2" t="inlineStr"/>
    </row>
    <row r="333" ht="15" customHeight="1">
      <c r="A333" t="inlineStr">
        <is>
          <t>A 60715-2021</t>
        </is>
      </c>
      <c r="B333" s="1" t="n">
        <v>44496.70440972222</v>
      </c>
      <c r="C333" s="1" t="n">
        <v>45928</v>
      </c>
      <c r="D333" t="inlineStr">
        <is>
          <t>VÄRMLANDS LÄN</t>
        </is>
      </c>
      <c r="E333" t="inlineStr">
        <is>
          <t>ÅRJÄNG</t>
        </is>
      </c>
      <c r="G333" t="n">
        <v>7.4</v>
      </c>
      <c r="H333" t="n">
        <v>0</v>
      </c>
      <c r="I333" t="n">
        <v>0</v>
      </c>
      <c r="J333" t="n">
        <v>0</v>
      </c>
      <c r="K333" t="n">
        <v>0</v>
      </c>
      <c r="L333" t="n">
        <v>0</v>
      </c>
      <c r="M333" t="n">
        <v>0</v>
      </c>
      <c r="N333" t="n">
        <v>0</v>
      </c>
      <c r="O333" t="n">
        <v>0</v>
      </c>
      <c r="P333" t="n">
        <v>0</v>
      </c>
      <c r="Q333" t="n">
        <v>0</v>
      </c>
      <c r="R333" s="2" t="inlineStr"/>
    </row>
    <row r="334" ht="15" customHeight="1">
      <c r="A334" t="inlineStr">
        <is>
          <t>A 15308-2022</t>
        </is>
      </c>
      <c r="B334" s="1" t="n">
        <v>44659.45865740741</v>
      </c>
      <c r="C334" s="1" t="n">
        <v>45928</v>
      </c>
      <c r="D334" t="inlineStr">
        <is>
          <t>VÄRMLANDS LÄN</t>
        </is>
      </c>
      <c r="E334" t="inlineStr">
        <is>
          <t>ÅRJÄNG</t>
        </is>
      </c>
      <c r="G334" t="n">
        <v>10.7</v>
      </c>
      <c r="H334" t="n">
        <v>0</v>
      </c>
      <c r="I334" t="n">
        <v>0</v>
      </c>
      <c r="J334" t="n">
        <v>0</v>
      </c>
      <c r="K334" t="n">
        <v>0</v>
      </c>
      <c r="L334" t="n">
        <v>0</v>
      </c>
      <c r="M334" t="n">
        <v>0</v>
      </c>
      <c r="N334" t="n">
        <v>0</v>
      </c>
      <c r="O334" t="n">
        <v>0</v>
      </c>
      <c r="P334" t="n">
        <v>0</v>
      </c>
      <c r="Q334" t="n">
        <v>0</v>
      </c>
      <c r="R334" s="2" t="inlineStr"/>
    </row>
    <row r="335" ht="15" customHeight="1">
      <c r="A335" t="inlineStr">
        <is>
          <t>A 14768-2024</t>
        </is>
      </c>
      <c r="B335" s="1" t="n">
        <v>45397</v>
      </c>
      <c r="C335" s="1" t="n">
        <v>45928</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44647-2021</t>
        </is>
      </c>
      <c r="B336" s="1" t="n">
        <v>44437.83967592593</v>
      </c>
      <c r="C336" s="1" t="n">
        <v>45928</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42241-2024</t>
        </is>
      </c>
      <c r="B337" s="1" t="n">
        <v>45562</v>
      </c>
      <c r="C337" s="1" t="n">
        <v>45928</v>
      </c>
      <c r="D337" t="inlineStr">
        <is>
          <t>VÄRMLANDS LÄN</t>
        </is>
      </c>
      <c r="E337" t="inlineStr">
        <is>
          <t>ÅRJÄNG</t>
        </is>
      </c>
      <c r="G337" t="n">
        <v>4</v>
      </c>
      <c r="H337" t="n">
        <v>0</v>
      </c>
      <c r="I337" t="n">
        <v>0</v>
      </c>
      <c r="J337" t="n">
        <v>0</v>
      </c>
      <c r="K337" t="n">
        <v>0</v>
      </c>
      <c r="L337" t="n">
        <v>0</v>
      </c>
      <c r="M337" t="n">
        <v>0</v>
      </c>
      <c r="N337" t="n">
        <v>0</v>
      </c>
      <c r="O337" t="n">
        <v>0</v>
      </c>
      <c r="P337" t="n">
        <v>0</v>
      </c>
      <c r="Q337" t="n">
        <v>0</v>
      </c>
      <c r="R337" s="2" t="inlineStr"/>
    </row>
    <row r="338" ht="15" customHeight="1">
      <c r="A338" t="inlineStr">
        <is>
          <t>A 7114-2023</t>
        </is>
      </c>
      <c r="B338" s="1" t="n">
        <v>44970.39068287037</v>
      </c>
      <c r="C338" s="1" t="n">
        <v>45928</v>
      </c>
      <c r="D338" t="inlineStr">
        <is>
          <t>VÄRMLANDS LÄN</t>
        </is>
      </c>
      <c r="E338" t="inlineStr">
        <is>
          <t>ÅRJÄNG</t>
        </is>
      </c>
      <c r="G338" t="n">
        <v>4.7</v>
      </c>
      <c r="H338" t="n">
        <v>0</v>
      </c>
      <c r="I338" t="n">
        <v>0</v>
      </c>
      <c r="J338" t="n">
        <v>0</v>
      </c>
      <c r="K338" t="n">
        <v>0</v>
      </c>
      <c r="L338" t="n">
        <v>0</v>
      </c>
      <c r="M338" t="n">
        <v>0</v>
      </c>
      <c r="N338" t="n">
        <v>0</v>
      </c>
      <c r="O338" t="n">
        <v>0</v>
      </c>
      <c r="P338" t="n">
        <v>0</v>
      </c>
      <c r="Q338" t="n">
        <v>0</v>
      </c>
      <c r="R338" s="2" t="inlineStr"/>
    </row>
    <row r="339" ht="15" customHeight="1">
      <c r="A339" t="inlineStr">
        <is>
          <t>A 59976-2022</t>
        </is>
      </c>
      <c r="B339" s="1" t="n">
        <v>44901</v>
      </c>
      <c r="C339" s="1" t="n">
        <v>45928</v>
      </c>
      <c r="D339" t="inlineStr">
        <is>
          <t>VÄRMLANDS LÄN</t>
        </is>
      </c>
      <c r="E339" t="inlineStr">
        <is>
          <t>ÅRJÄNG</t>
        </is>
      </c>
      <c r="G339" t="n">
        <v>1</v>
      </c>
      <c r="H339" t="n">
        <v>0</v>
      </c>
      <c r="I339" t="n">
        <v>0</v>
      </c>
      <c r="J339" t="n">
        <v>0</v>
      </c>
      <c r="K339" t="n">
        <v>0</v>
      </c>
      <c r="L339" t="n">
        <v>0</v>
      </c>
      <c r="M339" t="n">
        <v>0</v>
      </c>
      <c r="N339" t="n">
        <v>0</v>
      </c>
      <c r="O339" t="n">
        <v>0</v>
      </c>
      <c r="P339" t="n">
        <v>0</v>
      </c>
      <c r="Q339" t="n">
        <v>0</v>
      </c>
      <c r="R339" s="2" t="inlineStr"/>
    </row>
    <row r="340" ht="15" customHeight="1">
      <c r="A340" t="inlineStr">
        <is>
          <t>A 3298-2025</t>
        </is>
      </c>
      <c r="B340" s="1" t="n">
        <v>45679.64770833333</v>
      </c>
      <c r="C340" s="1" t="n">
        <v>45928</v>
      </c>
      <c r="D340" t="inlineStr">
        <is>
          <t>VÄRMLANDS LÄN</t>
        </is>
      </c>
      <c r="E340" t="inlineStr">
        <is>
          <t>ÅRJÄNG</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50569-2021</t>
        </is>
      </c>
      <c r="B341" s="1" t="n">
        <v>44459</v>
      </c>
      <c r="C341" s="1" t="n">
        <v>45928</v>
      </c>
      <c r="D341" t="inlineStr">
        <is>
          <t>VÄRMLANDS LÄN</t>
        </is>
      </c>
      <c r="E341" t="inlineStr">
        <is>
          <t>ÅRJÄNG</t>
        </is>
      </c>
      <c r="G341" t="n">
        <v>2.9</v>
      </c>
      <c r="H341" t="n">
        <v>0</v>
      </c>
      <c r="I341" t="n">
        <v>0</v>
      </c>
      <c r="J341" t="n">
        <v>0</v>
      </c>
      <c r="K341" t="n">
        <v>0</v>
      </c>
      <c r="L341" t="n">
        <v>0</v>
      </c>
      <c r="M341" t="n">
        <v>0</v>
      </c>
      <c r="N341" t="n">
        <v>0</v>
      </c>
      <c r="O341" t="n">
        <v>0</v>
      </c>
      <c r="P341" t="n">
        <v>0</v>
      </c>
      <c r="Q341" t="n">
        <v>0</v>
      </c>
      <c r="R341" s="2" t="inlineStr"/>
    </row>
    <row r="342" ht="15" customHeight="1">
      <c r="A342" t="inlineStr">
        <is>
          <t>A 540-2024</t>
        </is>
      </c>
      <c r="B342" s="1" t="n">
        <v>45299</v>
      </c>
      <c r="C342" s="1" t="n">
        <v>45928</v>
      </c>
      <c r="D342" t="inlineStr">
        <is>
          <t>VÄRMLANDS LÄN</t>
        </is>
      </c>
      <c r="E342" t="inlineStr">
        <is>
          <t>ÅRJÄNG</t>
        </is>
      </c>
      <c r="F342" t="inlineStr">
        <is>
          <t>Kyrkan</t>
        </is>
      </c>
      <c r="G342" t="n">
        <v>7</v>
      </c>
      <c r="H342" t="n">
        <v>0</v>
      </c>
      <c r="I342" t="n">
        <v>0</v>
      </c>
      <c r="J342" t="n">
        <v>0</v>
      </c>
      <c r="K342" t="n">
        <v>0</v>
      </c>
      <c r="L342" t="n">
        <v>0</v>
      </c>
      <c r="M342" t="n">
        <v>0</v>
      </c>
      <c r="N342" t="n">
        <v>0</v>
      </c>
      <c r="O342" t="n">
        <v>0</v>
      </c>
      <c r="P342" t="n">
        <v>0</v>
      </c>
      <c r="Q342" t="n">
        <v>0</v>
      </c>
      <c r="R342" s="2" t="inlineStr"/>
    </row>
    <row r="343" ht="15" customHeight="1">
      <c r="A343" t="inlineStr">
        <is>
          <t>A 41283-2023</t>
        </is>
      </c>
      <c r="B343" s="1" t="n">
        <v>45174.57032407408</v>
      </c>
      <c r="C343" s="1" t="n">
        <v>45928</v>
      </c>
      <c r="D343" t="inlineStr">
        <is>
          <t>VÄRMLANDS LÄN</t>
        </is>
      </c>
      <c r="E343" t="inlineStr">
        <is>
          <t>ÅRJÄNG</t>
        </is>
      </c>
      <c r="G343" t="n">
        <v>9.6</v>
      </c>
      <c r="H343" t="n">
        <v>0</v>
      </c>
      <c r="I343" t="n">
        <v>0</v>
      </c>
      <c r="J343" t="n">
        <v>0</v>
      </c>
      <c r="K343" t="n">
        <v>0</v>
      </c>
      <c r="L343" t="n">
        <v>0</v>
      </c>
      <c r="M343" t="n">
        <v>0</v>
      </c>
      <c r="N343" t="n">
        <v>0</v>
      </c>
      <c r="O343" t="n">
        <v>0</v>
      </c>
      <c r="P343" t="n">
        <v>0</v>
      </c>
      <c r="Q343" t="n">
        <v>0</v>
      </c>
      <c r="R343" s="2" t="inlineStr"/>
    </row>
    <row r="344" ht="15" customHeight="1">
      <c r="A344" t="inlineStr">
        <is>
          <t>A 19410-2024</t>
        </is>
      </c>
      <c r="B344" s="1" t="n">
        <v>45429</v>
      </c>
      <c r="C344" s="1" t="n">
        <v>45928</v>
      </c>
      <c r="D344" t="inlineStr">
        <is>
          <t>VÄRMLANDS LÄN</t>
        </is>
      </c>
      <c r="E344" t="inlineStr">
        <is>
          <t>ÅRJÄNG</t>
        </is>
      </c>
      <c r="G344" t="n">
        <v>7.9</v>
      </c>
      <c r="H344" t="n">
        <v>0</v>
      </c>
      <c r="I344" t="n">
        <v>0</v>
      </c>
      <c r="J344" t="n">
        <v>0</v>
      </c>
      <c r="K344" t="n">
        <v>0</v>
      </c>
      <c r="L344" t="n">
        <v>0</v>
      </c>
      <c r="M344" t="n">
        <v>0</v>
      </c>
      <c r="N344" t="n">
        <v>0</v>
      </c>
      <c r="O344" t="n">
        <v>0</v>
      </c>
      <c r="P344" t="n">
        <v>0</v>
      </c>
      <c r="Q344" t="n">
        <v>0</v>
      </c>
      <c r="R344" s="2" t="inlineStr"/>
    </row>
    <row r="345" ht="15" customHeight="1">
      <c r="A345" t="inlineStr">
        <is>
          <t>A 3861-2025</t>
        </is>
      </c>
      <c r="B345" s="1" t="n">
        <v>45683</v>
      </c>
      <c r="C345" s="1" t="n">
        <v>45928</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34831-2025</t>
        </is>
      </c>
      <c r="B346" s="1" t="n">
        <v>45849</v>
      </c>
      <c r="C346" s="1" t="n">
        <v>45928</v>
      </c>
      <c r="D346" t="inlineStr">
        <is>
          <t>VÄRMLANDS LÄN</t>
        </is>
      </c>
      <c r="E346" t="inlineStr">
        <is>
          <t>ÅRJÄNG</t>
        </is>
      </c>
      <c r="G346" t="n">
        <v>5.4</v>
      </c>
      <c r="H346" t="n">
        <v>0</v>
      </c>
      <c r="I346" t="n">
        <v>0</v>
      </c>
      <c r="J346" t="n">
        <v>0</v>
      </c>
      <c r="K346" t="n">
        <v>0</v>
      </c>
      <c r="L346" t="n">
        <v>0</v>
      </c>
      <c r="M346" t="n">
        <v>0</v>
      </c>
      <c r="N346" t="n">
        <v>0</v>
      </c>
      <c r="O346" t="n">
        <v>0</v>
      </c>
      <c r="P346" t="n">
        <v>0</v>
      </c>
      <c r="Q346" t="n">
        <v>0</v>
      </c>
      <c r="R346" s="2" t="inlineStr"/>
    </row>
    <row r="347" ht="15" customHeight="1">
      <c r="A347" t="inlineStr">
        <is>
          <t>A 39776-2025</t>
        </is>
      </c>
      <c r="B347" s="1" t="n">
        <v>45891</v>
      </c>
      <c r="C347" s="1" t="n">
        <v>45928</v>
      </c>
      <c r="D347" t="inlineStr">
        <is>
          <t>VÄRMLANDS LÄN</t>
        </is>
      </c>
      <c r="E347" t="inlineStr">
        <is>
          <t>ÅRJÄNG</t>
        </is>
      </c>
      <c r="G347" t="n">
        <v>2.7</v>
      </c>
      <c r="H347" t="n">
        <v>0</v>
      </c>
      <c r="I347" t="n">
        <v>0</v>
      </c>
      <c r="J347" t="n">
        <v>0</v>
      </c>
      <c r="K347" t="n">
        <v>0</v>
      </c>
      <c r="L347" t="n">
        <v>0</v>
      </c>
      <c r="M347" t="n">
        <v>0</v>
      </c>
      <c r="N347" t="n">
        <v>0</v>
      </c>
      <c r="O347" t="n">
        <v>0</v>
      </c>
      <c r="P347" t="n">
        <v>0</v>
      </c>
      <c r="Q347" t="n">
        <v>0</v>
      </c>
      <c r="R347" s="2" t="inlineStr"/>
    </row>
    <row r="348" ht="15" customHeight="1">
      <c r="A348" t="inlineStr">
        <is>
          <t>A 39779-2025</t>
        </is>
      </c>
      <c r="B348" s="1" t="n">
        <v>45891</v>
      </c>
      <c r="C348" s="1" t="n">
        <v>45928</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39781-2025</t>
        </is>
      </c>
      <c r="B349" s="1" t="n">
        <v>45891</v>
      </c>
      <c r="C349" s="1" t="n">
        <v>45928</v>
      </c>
      <c r="D349" t="inlineStr">
        <is>
          <t>VÄRMLANDS LÄN</t>
        </is>
      </c>
      <c r="E349" t="inlineStr">
        <is>
          <t>ÅRJÄNG</t>
        </is>
      </c>
      <c r="G349" t="n">
        <v>2.5</v>
      </c>
      <c r="H349" t="n">
        <v>0</v>
      </c>
      <c r="I349" t="n">
        <v>0</v>
      </c>
      <c r="J349" t="n">
        <v>0</v>
      </c>
      <c r="K349" t="n">
        <v>0</v>
      </c>
      <c r="L349" t="n">
        <v>0</v>
      </c>
      <c r="M349" t="n">
        <v>0</v>
      </c>
      <c r="N349" t="n">
        <v>0</v>
      </c>
      <c r="O349" t="n">
        <v>0</v>
      </c>
      <c r="P349" t="n">
        <v>0</v>
      </c>
      <c r="Q349" t="n">
        <v>0</v>
      </c>
      <c r="R349" s="2" t="inlineStr"/>
    </row>
    <row r="350" ht="15" customHeight="1">
      <c r="A350" t="inlineStr">
        <is>
          <t>A 23048-2024</t>
        </is>
      </c>
      <c r="B350" s="1" t="n">
        <v>45450.42488425926</v>
      </c>
      <c r="C350" s="1" t="n">
        <v>45928</v>
      </c>
      <c r="D350" t="inlineStr">
        <is>
          <t>VÄRMLANDS LÄN</t>
        </is>
      </c>
      <c r="E350" t="inlineStr">
        <is>
          <t>ÅRJÄNG</t>
        </is>
      </c>
      <c r="G350" t="n">
        <v>2.2</v>
      </c>
      <c r="H350" t="n">
        <v>0</v>
      </c>
      <c r="I350" t="n">
        <v>0</v>
      </c>
      <c r="J350" t="n">
        <v>0</v>
      </c>
      <c r="K350" t="n">
        <v>0</v>
      </c>
      <c r="L350" t="n">
        <v>0</v>
      </c>
      <c r="M350" t="n">
        <v>0</v>
      </c>
      <c r="N350" t="n">
        <v>0</v>
      </c>
      <c r="O350" t="n">
        <v>0</v>
      </c>
      <c r="P350" t="n">
        <v>0</v>
      </c>
      <c r="Q350" t="n">
        <v>0</v>
      </c>
      <c r="R350" s="2" t="inlineStr"/>
    </row>
    <row r="351" ht="15" customHeight="1">
      <c r="A351" t="inlineStr">
        <is>
          <t>A 23051-2024</t>
        </is>
      </c>
      <c r="B351" s="1" t="n">
        <v>45450.42902777778</v>
      </c>
      <c r="C351" s="1" t="n">
        <v>45928</v>
      </c>
      <c r="D351" t="inlineStr">
        <is>
          <t>VÄRMLANDS LÄN</t>
        </is>
      </c>
      <c r="E351" t="inlineStr">
        <is>
          <t>ÅRJÄNG</t>
        </is>
      </c>
      <c r="G351" t="n">
        <v>2.4</v>
      </c>
      <c r="H351" t="n">
        <v>0</v>
      </c>
      <c r="I351" t="n">
        <v>0</v>
      </c>
      <c r="J351" t="n">
        <v>0</v>
      </c>
      <c r="K351" t="n">
        <v>0</v>
      </c>
      <c r="L351" t="n">
        <v>0</v>
      </c>
      <c r="M351" t="n">
        <v>0</v>
      </c>
      <c r="N351" t="n">
        <v>0</v>
      </c>
      <c r="O351" t="n">
        <v>0</v>
      </c>
      <c r="P351" t="n">
        <v>0</v>
      </c>
      <c r="Q351" t="n">
        <v>0</v>
      </c>
      <c r="R351" s="2" t="inlineStr"/>
    </row>
    <row r="352" ht="15" customHeight="1">
      <c r="A352" t="inlineStr">
        <is>
          <t>A 26259-2024</t>
        </is>
      </c>
      <c r="B352" s="1" t="n">
        <v>45468</v>
      </c>
      <c r="C352" s="1" t="n">
        <v>45928</v>
      </c>
      <c r="D352" t="inlineStr">
        <is>
          <t>VÄRMLANDS LÄN</t>
        </is>
      </c>
      <c r="E352" t="inlineStr">
        <is>
          <t>ÅRJÄNG</t>
        </is>
      </c>
      <c r="G352" t="n">
        <v>4.3</v>
      </c>
      <c r="H352" t="n">
        <v>0</v>
      </c>
      <c r="I352" t="n">
        <v>0</v>
      </c>
      <c r="J352" t="n">
        <v>0</v>
      </c>
      <c r="K352" t="n">
        <v>0</v>
      </c>
      <c r="L352" t="n">
        <v>0</v>
      </c>
      <c r="M352" t="n">
        <v>0</v>
      </c>
      <c r="N352" t="n">
        <v>0</v>
      </c>
      <c r="O352" t="n">
        <v>0</v>
      </c>
      <c r="P352" t="n">
        <v>0</v>
      </c>
      <c r="Q352" t="n">
        <v>0</v>
      </c>
      <c r="R352" s="2" t="inlineStr"/>
    </row>
    <row r="353" ht="15" customHeight="1">
      <c r="A353" t="inlineStr">
        <is>
          <t>A 36592-2024</t>
        </is>
      </c>
      <c r="B353" s="1" t="n">
        <v>45537</v>
      </c>
      <c r="C353" s="1" t="n">
        <v>45928</v>
      </c>
      <c r="D353" t="inlineStr">
        <is>
          <t>VÄRMLANDS LÄN</t>
        </is>
      </c>
      <c r="E353" t="inlineStr">
        <is>
          <t>ÅRJÄNG</t>
        </is>
      </c>
      <c r="G353" t="n">
        <v>4.4</v>
      </c>
      <c r="H353" t="n">
        <v>0</v>
      </c>
      <c r="I353" t="n">
        <v>0</v>
      </c>
      <c r="J353" t="n">
        <v>0</v>
      </c>
      <c r="K353" t="n">
        <v>0</v>
      </c>
      <c r="L353" t="n">
        <v>0</v>
      </c>
      <c r="M353" t="n">
        <v>0</v>
      </c>
      <c r="N353" t="n">
        <v>0</v>
      </c>
      <c r="O353" t="n">
        <v>0</v>
      </c>
      <c r="P353" t="n">
        <v>0</v>
      </c>
      <c r="Q353" t="n">
        <v>0</v>
      </c>
      <c r="R353" s="2" t="inlineStr"/>
    </row>
    <row r="354" ht="15" customHeight="1">
      <c r="A354" t="inlineStr">
        <is>
          <t>A 57062-2022</t>
        </is>
      </c>
      <c r="B354" s="1" t="n">
        <v>44895.40797453704</v>
      </c>
      <c r="C354" s="1" t="n">
        <v>45928</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24893-2024</t>
        </is>
      </c>
      <c r="B355" s="1" t="n">
        <v>45461.57194444445</v>
      </c>
      <c r="C355" s="1" t="n">
        <v>45928</v>
      </c>
      <c r="D355" t="inlineStr">
        <is>
          <t>VÄRMLANDS LÄN</t>
        </is>
      </c>
      <c r="E355" t="inlineStr">
        <is>
          <t>ÅRJÄNG</t>
        </is>
      </c>
      <c r="G355" t="n">
        <v>3.1</v>
      </c>
      <c r="H355" t="n">
        <v>0</v>
      </c>
      <c r="I355" t="n">
        <v>0</v>
      </c>
      <c r="J355" t="n">
        <v>0</v>
      </c>
      <c r="K355" t="n">
        <v>0</v>
      </c>
      <c r="L355" t="n">
        <v>0</v>
      </c>
      <c r="M355" t="n">
        <v>0</v>
      </c>
      <c r="N355" t="n">
        <v>0</v>
      </c>
      <c r="O355" t="n">
        <v>0</v>
      </c>
      <c r="P355" t="n">
        <v>0</v>
      </c>
      <c r="Q355" t="n">
        <v>0</v>
      </c>
      <c r="R355" s="2" t="inlineStr"/>
    </row>
    <row r="356" ht="15" customHeight="1">
      <c r="A356" t="inlineStr">
        <is>
          <t>A 34032-2021</t>
        </is>
      </c>
      <c r="B356" s="1" t="n">
        <v>44378</v>
      </c>
      <c r="C356" s="1" t="n">
        <v>45928</v>
      </c>
      <c r="D356" t="inlineStr">
        <is>
          <t>VÄRMLANDS LÄN</t>
        </is>
      </c>
      <c r="E356" t="inlineStr">
        <is>
          <t>ÅRJÄNG</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50537-2023</t>
        </is>
      </c>
      <c r="B357" s="1" t="n">
        <v>45217</v>
      </c>
      <c r="C357" s="1" t="n">
        <v>45928</v>
      </c>
      <c r="D357" t="inlineStr">
        <is>
          <t>VÄRMLANDS LÄN</t>
        </is>
      </c>
      <c r="E357" t="inlineStr">
        <is>
          <t>ÅRJÄNG</t>
        </is>
      </c>
      <c r="G357" t="n">
        <v>0.5</v>
      </c>
      <c r="H357" t="n">
        <v>0</v>
      </c>
      <c r="I357" t="n">
        <v>0</v>
      </c>
      <c r="J357" t="n">
        <v>0</v>
      </c>
      <c r="K357" t="n">
        <v>0</v>
      </c>
      <c r="L357" t="n">
        <v>0</v>
      </c>
      <c r="M357" t="n">
        <v>0</v>
      </c>
      <c r="N357" t="n">
        <v>0</v>
      </c>
      <c r="O357" t="n">
        <v>0</v>
      </c>
      <c r="P357" t="n">
        <v>0</v>
      </c>
      <c r="Q357" t="n">
        <v>0</v>
      </c>
      <c r="R357" s="2" t="inlineStr"/>
    </row>
    <row r="358" ht="15" customHeight="1">
      <c r="A358" t="inlineStr">
        <is>
          <t>A 43027-2021</t>
        </is>
      </c>
      <c r="B358" s="1" t="n">
        <v>44431.49119212963</v>
      </c>
      <c r="C358" s="1" t="n">
        <v>45928</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45928</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24281-2024</t>
        </is>
      </c>
      <c r="B360" s="1" t="n">
        <v>45457</v>
      </c>
      <c r="C360" s="1" t="n">
        <v>45928</v>
      </c>
      <c r="D360" t="inlineStr">
        <is>
          <t>VÄRMLANDS LÄN</t>
        </is>
      </c>
      <c r="E360" t="inlineStr">
        <is>
          <t>ÅRJÄNG</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21081-2023</t>
        </is>
      </c>
      <c r="B361" s="1" t="n">
        <v>45057</v>
      </c>
      <c r="C361" s="1" t="n">
        <v>45928</v>
      </c>
      <c r="D361" t="inlineStr">
        <is>
          <t>VÄRMLANDS LÄN</t>
        </is>
      </c>
      <c r="E361" t="inlineStr">
        <is>
          <t>ÅRJÄNG</t>
        </is>
      </c>
      <c r="G361" t="n">
        <v>5.1</v>
      </c>
      <c r="H361" t="n">
        <v>0</v>
      </c>
      <c r="I361" t="n">
        <v>0</v>
      </c>
      <c r="J361" t="n">
        <v>0</v>
      </c>
      <c r="K361" t="n">
        <v>0</v>
      </c>
      <c r="L361" t="n">
        <v>0</v>
      </c>
      <c r="M361" t="n">
        <v>0</v>
      </c>
      <c r="N361" t="n">
        <v>0</v>
      </c>
      <c r="O361" t="n">
        <v>0</v>
      </c>
      <c r="P361" t="n">
        <v>0</v>
      </c>
      <c r="Q361" t="n">
        <v>0</v>
      </c>
      <c r="R361" s="2" t="inlineStr"/>
    </row>
    <row r="362" ht="15" customHeight="1">
      <c r="A362" t="inlineStr">
        <is>
          <t>A 21365-2022</t>
        </is>
      </c>
      <c r="B362" s="1" t="n">
        <v>44705</v>
      </c>
      <c r="C362" s="1" t="n">
        <v>45928</v>
      </c>
      <c r="D362" t="inlineStr">
        <is>
          <t>VÄRMLANDS LÄN</t>
        </is>
      </c>
      <c r="E362" t="inlineStr">
        <is>
          <t>ÅRJÄNG</t>
        </is>
      </c>
      <c r="G362" t="n">
        <v>1.8</v>
      </c>
      <c r="H362" t="n">
        <v>0</v>
      </c>
      <c r="I362" t="n">
        <v>0</v>
      </c>
      <c r="J362" t="n">
        <v>0</v>
      </c>
      <c r="K362" t="n">
        <v>0</v>
      </c>
      <c r="L362" t="n">
        <v>0</v>
      </c>
      <c r="M362" t="n">
        <v>0</v>
      </c>
      <c r="N362" t="n">
        <v>0</v>
      </c>
      <c r="O362" t="n">
        <v>0</v>
      </c>
      <c r="P362" t="n">
        <v>0</v>
      </c>
      <c r="Q362" t="n">
        <v>0</v>
      </c>
      <c r="R362" s="2" t="inlineStr"/>
    </row>
    <row r="363" ht="15" customHeight="1">
      <c r="A363" t="inlineStr">
        <is>
          <t>A 53468-2021</t>
        </is>
      </c>
      <c r="B363" s="1" t="n">
        <v>44468.74127314815</v>
      </c>
      <c r="C363" s="1" t="n">
        <v>45928</v>
      </c>
      <c r="D363" t="inlineStr">
        <is>
          <t>VÄRMLANDS LÄN</t>
        </is>
      </c>
      <c r="E363" t="inlineStr">
        <is>
          <t>ÅRJÄNG</t>
        </is>
      </c>
      <c r="G363" t="n">
        <v>2.1</v>
      </c>
      <c r="H363" t="n">
        <v>0</v>
      </c>
      <c r="I363" t="n">
        <v>0</v>
      </c>
      <c r="J363" t="n">
        <v>0</v>
      </c>
      <c r="K363" t="n">
        <v>0</v>
      </c>
      <c r="L363" t="n">
        <v>0</v>
      </c>
      <c r="M363" t="n">
        <v>0</v>
      </c>
      <c r="N363" t="n">
        <v>0</v>
      </c>
      <c r="O363" t="n">
        <v>0</v>
      </c>
      <c r="P363" t="n">
        <v>0</v>
      </c>
      <c r="Q363" t="n">
        <v>0</v>
      </c>
      <c r="R363" s="2" t="inlineStr"/>
    </row>
    <row r="364" ht="15" customHeight="1">
      <c r="A364" t="inlineStr">
        <is>
          <t>A 56757-2023</t>
        </is>
      </c>
      <c r="B364" s="1" t="n">
        <v>45244.37539351852</v>
      </c>
      <c r="C364" s="1" t="n">
        <v>45928</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35295-2025</t>
        </is>
      </c>
      <c r="B365" s="1" t="n">
        <v>45854.40325231481</v>
      </c>
      <c r="C365" s="1" t="n">
        <v>45928</v>
      </c>
      <c r="D365" t="inlineStr">
        <is>
          <t>VÄRMLANDS LÄN</t>
        </is>
      </c>
      <c r="E365" t="inlineStr">
        <is>
          <t>ÅRJÄNG</t>
        </is>
      </c>
      <c r="G365" t="n">
        <v>6.2</v>
      </c>
      <c r="H365" t="n">
        <v>0</v>
      </c>
      <c r="I365" t="n">
        <v>0</v>
      </c>
      <c r="J365" t="n">
        <v>0</v>
      </c>
      <c r="K365" t="n">
        <v>0</v>
      </c>
      <c r="L365" t="n">
        <v>0</v>
      </c>
      <c r="M365" t="n">
        <v>0</v>
      </c>
      <c r="N365" t="n">
        <v>0</v>
      </c>
      <c r="O365" t="n">
        <v>0</v>
      </c>
      <c r="P365" t="n">
        <v>0</v>
      </c>
      <c r="Q365" t="n">
        <v>0</v>
      </c>
      <c r="R365" s="2" t="inlineStr"/>
    </row>
    <row r="366" ht="15" customHeight="1">
      <c r="A366" t="inlineStr">
        <is>
          <t>A 49891-2022</t>
        </is>
      </c>
      <c r="B366" s="1" t="n">
        <v>44864</v>
      </c>
      <c r="C366" s="1" t="n">
        <v>45928</v>
      </c>
      <c r="D366" t="inlineStr">
        <is>
          <t>VÄRMLANDS LÄN</t>
        </is>
      </c>
      <c r="E366" t="inlineStr">
        <is>
          <t>ÅRJÄNG</t>
        </is>
      </c>
      <c r="G366" t="n">
        <v>5.6</v>
      </c>
      <c r="H366" t="n">
        <v>0</v>
      </c>
      <c r="I366" t="n">
        <v>0</v>
      </c>
      <c r="J366" t="n">
        <v>0</v>
      </c>
      <c r="K366" t="n">
        <v>0</v>
      </c>
      <c r="L366" t="n">
        <v>0</v>
      </c>
      <c r="M366" t="n">
        <v>0</v>
      </c>
      <c r="N366" t="n">
        <v>0</v>
      </c>
      <c r="O366" t="n">
        <v>0</v>
      </c>
      <c r="P366" t="n">
        <v>0</v>
      </c>
      <c r="Q366" t="n">
        <v>0</v>
      </c>
      <c r="R366" s="2" t="inlineStr"/>
    </row>
    <row r="367" ht="15" customHeight="1">
      <c r="A367" t="inlineStr">
        <is>
          <t>A 35304-2025</t>
        </is>
      </c>
      <c r="B367" s="1" t="n">
        <v>45854.43931712963</v>
      </c>
      <c r="C367" s="1" t="n">
        <v>45928</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34163-2025</t>
        </is>
      </c>
      <c r="B368" s="1" t="n">
        <v>45844</v>
      </c>
      <c r="C368" s="1" t="n">
        <v>45928</v>
      </c>
      <c r="D368" t="inlineStr">
        <is>
          <t>VÄRMLANDS LÄN</t>
        </is>
      </c>
      <c r="E368" t="inlineStr">
        <is>
          <t>ÅRJÄNG</t>
        </is>
      </c>
      <c r="G368" t="n">
        <v>4.5</v>
      </c>
      <c r="H368" t="n">
        <v>0</v>
      </c>
      <c r="I368" t="n">
        <v>0</v>
      </c>
      <c r="J368" t="n">
        <v>0</v>
      </c>
      <c r="K368" t="n">
        <v>0</v>
      </c>
      <c r="L368" t="n">
        <v>0</v>
      </c>
      <c r="M368" t="n">
        <v>0</v>
      </c>
      <c r="N368" t="n">
        <v>0</v>
      </c>
      <c r="O368" t="n">
        <v>0</v>
      </c>
      <c r="P368" t="n">
        <v>0</v>
      </c>
      <c r="Q368" t="n">
        <v>0</v>
      </c>
      <c r="R368" s="2" t="inlineStr"/>
    </row>
    <row r="369" ht="15" customHeight="1">
      <c r="A369" t="inlineStr">
        <is>
          <t>A 40497-2025</t>
        </is>
      </c>
      <c r="B369" s="1" t="n">
        <v>45896.32087962963</v>
      </c>
      <c r="C369" s="1" t="n">
        <v>45928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34075-2025</t>
        </is>
      </c>
      <c r="B370" s="1" t="n">
        <v>45845</v>
      </c>
      <c r="C370" s="1" t="n">
        <v>45928</v>
      </c>
      <c r="D370" t="inlineStr">
        <is>
          <t>VÄRMLANDS LÄN</t>
        </is>
      </c>
      <c r="E370" t="inlineStr">
        <is>
          <t>ÅRJÄNG</t>
        </is>
      </c>
      <c r="G370" t="n">
        <v>3.4</v>
      </c>
      <c r="H370" t="n">
        <v>0</v>
      </c>
      <c r="I370" t="n">
        <v>0</v>
      </c>
      <c r="J370" t="n">
        <v>0</v>
      </c>
      <c r="K370" t="n">
        <v>0</v>
      </c>
      <c r="L370" t="n">
        <v>0</v>
      </c>
      <c r="M370" t="n">
        <v>0</v>
      </c>
      <c r="N370" t="n">
        <v>0</v>
      </c>
      <c r="O370" t="n">
        <v>0</v>
      </c>
      <c r="P370" t="n">
        <v>0</v>
      </c>
      <c r="Q370" t="n">
        <v>0</v>
      </c>
      <c r="R370" s="2" t="inlineStr"/>
    </row>
    <row r="371" ht="15" customHeight="1">
      <c r="A371" t="inlineStr">
        <is>
          <t>A 40602-2025</t>
        </is>
      </c>
      <c r="B371" s="1" t="n">
        <v>45896</v>
      </c>
      <c r="C371" s="1" t="n">
        <v>45928</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59811-2023</t>
        </is>
      </c>
      <c r="B372" s="1" t="n">
        <v>45254</v>
      </c>
      <c r="C372" s="1" t="n">
        <v>45928</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34159-2025</t>
        </is>
      </c>
      <c r="B373" s="1" t="n">
        <v>45844</v>
      </c>
      <c r="C373" s="1" t="n">
        <v>45928</v>
      </c>
      <c r="D373" t="inlineStr">
        <is>
          <t>VÄRMLANDS LÄN</t>
        </is>
      </c>
      <c r="E373" t="inlineStr">
        <is>
          <t>ÅRJÄNG</t>
        </is>
      </c>
      <c r="G373" t="n">
        <v>0.6</v>
      </c>
      <c r="H373" t="n">
        <v>0</v>
      </c>
      <c r="I373" t="n">
        <v>0</v>
      </c>
      <c r="J373" t="n">
        <v>0</v>
      </c>
      <c r="K373" t="n">
        <v>0</v>
      </c>
      <c r="L373" t="n">
        <v>0</v>
      </c>
      <c r="M373" t="n">
        <v>0</v>
      </c>
      <c r="N373" t="n">
        <v>0</v>
      </c>
      <c r="O373" t="n">
        <v>0</v>
      </c>
      <c r="P373" t="n">
        <v>0</v>
      </c>
      <c r="Q373" t="n">
        <v>0</v>
      </c>
      <c r="R373" s="2" t="inlineStr"/>
    </row>
    <row r="374" ht="15" customHeight="1">
      <c r="A374" t="inlineStr">
        <is>
          <t>A 43650-2024</t>
        </is>
      </c>
      <c r="B374" s="1" t="n">
        <v>45569.53091435185</v>
      </c>
      <c r="C374" s="1" t="n">
        <v>45928</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40601-2025</t>
        </is>
      </c>
      <c r="B375" s="1" t="n">
        <v>45896</v>
      </c>
      <c r="C375" s="1" t="n">
        <v>45928</v>
      </c>
      <c r="D375" t="inlineStr">
        <is>
          <t>VÄRMLANDS LÄN</t>
        </is>
      </c>
      <c r="E375" t="inlineStr">
        <is>
          <t>ÅRJÄNG</t>
        </is>
      </c>
      <c r="G375" t="n">
        <v>2.1</v>
      </c>
      <c r="H375" t="n">
        <v>0</v>
      </c>
      <c r="I375" t="n">
        <v>0</v>
      </c>
      <c r="J375" t="n">
        <v>0</v>
      </c>
      <c r="K375" t="n">
        <v>0</v>
      </c>
      <c r="L375" t="n">
        <v>0</v>
      </c>
      <c r="M375" t="n">
        <v>0</v>
      </c>
      <c r="N375" t="n">
        <v>0</v>
      </c>
      <c r="O375" t="n">
        <v>0</v>
      </c>
      <c r="P375" t="n">
        <v>0</v>
      </c>
      <c r="Q375" t="n">
        <v>0</v>
      </c>
      <c r="R375" s="2" t="inlineStr"/>
    </row>
    <row r="376" ht="15" customHeight="1">
      <c r="A376" t="inlineStr">
        <is>
          <t>A 21513-2024</t>
        </is>
      </c>
      <c r="B376" s="1" t="n">
        <v>45441</v>
      </c>
      <c r="C376" s="1" t="n">
        <v>45928</v>
      </c>
      <c r="D376" t="inlineStr">
        <is>
          <t>VÄRMLANDS LÄN</t>
        </is>
      </c>
      <c r="E376" t="inlineStr">
        <is>
          <t>ÅRJÄNG</t>
        </is>
      </c>
      <c r="G376" t="n">
        <v>2.1</v>
      </c>
      <c r="H376" t="n">
        <v>0</v>
      </c>
      <c r="I376" t="n">
        <v>0</v>
      </c>
      <c r="J376" t="n">
        <v>0</v>
      </c>
      <c r="K376" t="n">
        <v>0</v>
      </c>
      <c r="L376" t="n">
        <v>0</v>
      </c>
      <c r="M376" t="n">
        <v>0</v>
      </c>
      <c r="N376" t="n">
        <v>0</v>
      </c>
      <c r="O376" t="n">
        <v>0</v>
      </c>
      <c r="P376" t="n">
        <v>0</v>
      </c>
      <c r="Q376" t="n">
        <v>0</v>
      </c>
      <c r="R376" s="2" t="inlineStr"/>
    </row>
    <row r="377" ht="15" customHeight="1">
      <c r="A377" t="inlineStr">
        <is>
          <t>A 40699-2025</t>
        </is>
      </c>
      <c r="B377" s="1" t="n">
        <v>45897.31958333333</v>
      </c>
      <c r="C377" s="1" t="n">
        <v>45928</v>
      </c>
      <c r="D377" t="inlineStr">
        <is>
          <t>VÄRMLANDS LÄN</t>
        </is>
      </c>
      <c r="E377" t="inlineStr">
        <is>
          <t>ÅRJÄNG</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24916-2024</t>
        </is>
      </c>
      <c r="B378" s="1" t="n">
        <v>45461.6058449074</v>
      </c>
      <c r="C378" s="1" t="n">
        <v>45928</v>
      </c>
      <c r="D378" t="inlineStr">
        <is>
          <t>VÄRMLANDS LÄN</t>
        </is>
      </c>
      <c r="E378" t="inlineStr">
        <is>
          <t>ÅRJÄNG</t>
        </is>
      </c>
      <c r="G378" t="n">
        <v>0.7</v>
      </c>
      <c r="H378" t="n">
        <v>0</v>
      </c>
      <c r="I378" t="n">
        <v>0</v>
      </c>
      <c r="J378" t="n">
        <v>0</v>
      </c>
      <c r="K378" t="n">
        <v>0</v>
      </c>
      <c r="L378" t="n">
        <v>0</v>
      </c>
      <c r="M378" t="n">
        <v>0</v>
      </c>
      <c r="N378" t="n">
        <v>0</v>
      </c>
      <c r="O378" t="n">
        <v>0</v>
      </c>
      <c r="P378" t="n">
        <v>0</v>
      </c>
      <c r="Q378" t="n">
        <v>0</v>
      </c>
      <c r="R378" s="2" t="inlineStr"/>
    </row>
    <row r="379" ht="15" customHeight="1">
      <c r="A379" t="inlineStr">
        <is>
          <t>A 27692-2024</t>
        </is>
      </c>
      <c r="B379" s="1" t="n">
        <v>45474</v>
      </c>
      <c r="C379" s="1" t="n">
        <v>45928</v>
      </c>
      <c r="D379" t="inlineStr">
        <is>
          <t>VÄRMLANDS LÄN</t>
        </is>
      </c>
      <c r="E379" t="inlineStr">
        <is>
          <t>ÅRJÄNG</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34425-2021</t>
        </is>
      </c>
      <c r="B380" s="1" t="n">
        <v>44380</v>
      </c>
      <c r="C380" s="1" t="n">
        <v>45928</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14509-2022</t>
        </is>
      </c>
      <c r="B381" s="1" t="n">
        <v>44655</v>
      </c>
      <c r="C381" s="1" t="n">
        <v>45928</v>
      </c>
      <c r="D381" t="inlineStr">
        <is>
          <t>VÄRMLANDS LÄN</t>
        </is>
      </c>
      <c r="E381" t="inlineStr">
        <is>
          <t>ÅRJÄNG</t>
        </is>
      </c>
      <c r="G381" t="n">
        <v>0.2</v>
      </c>
      <c r="H381" t="n">
        <v>0</v>
      </c>
      <c r="I381" t="n">
        <v>0</v>
      </c>
      <c r="J381" t="n">
        <v>0</v>
      </c>
      <c r="K381" t="n">
        <v>0</v>
      </c>
      <c r="L381" t="n">
        <v>0</v>
      </c>
      <c r="M381" t="n">
        <v>0</v>
      </c>
      <c r="N381" t="n">
        <v>0</v>
      </c>
      <c r="O381" t="n">
        <v>0</v>
      </c>
      <c r="P381" t="n">
        <v>0</v>
      </c>
      <c r="Q381" t="n">
        <v>0</v>
      </c>
      <c r="R381" s="2" t="inlineStr"/>
    </row>
    <row r="382" ht="15" customHeight="1">
      <c r="A382" t="inlineStr">
        <is>
          <t>A 32973-2021</t>
        </is>
      </c>
      <c r="B382" s="1" t="n">
        <v>44376</v>
      </c>
      <c r="C382" s="1" t="n">
        <v>45928</v>
      </c>
      <c r="D382" t="inlineStr">
        <is>
          <t>VÄRMLANDS LÄN</t>
        </is>
      </c>
      <c r="E382" t="inlineStr">
        <is>
          <t>ÅRJÄNG</t>
        </is>
      </c>
      <c r="G382" t="n">
        <v>1.8</v>
      </c>
      <c r="H382" t="n">
        <v>0</v>
      </c>
      <c r="I382" t="n">
        <v>0</v>
      </c>
      <c r="J382" t="n">
        <v>0</v>
      </c>
      <c r="K382" t="n">
        <v>0</v>
      </c>
      <c r="L382" t="n">
        <v>0</v>
      </c>
      <c r="M382" t="n">
        <v>0</v>
      </c>
      <c r="N382" t="n">
        <v>0</v>
      </c>
      <c r="O382" t="n">
        <v>0</v>
      </c>
      <c r="P382" t="n">
        <v>0</v>
      </c>
      <c r="Q382" t="n">
        <v>0</v>
      </c>
      <c r="R382" s="2" t="inlineStr"/>
    </row>
    <row r="383" ht="15" customHeight="1">
      <c r="A383" t="inlineStr">
        <is>
          <t>A 56333-2024</t>
        </is>
      </c>
      <c r="B383" s="1" t="n">
        <v>45624.8005324074</v>
      </c>
      <c r="C383" s="1" t="n">
        <v>45928</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12352-2021</t>
        </is>
      </c>
      <c r="B384" s="1" t="n">
        <v>44267.44386574074</v>
      </c>
      <c r="C384" s="1" t="n">
        <v>45928</v>
      </c>
      <c r="D384" t="inlineStr">
        <is>
          <t>VÄRMLANDS LÄN</t>
        </is>
      </c>
      <c r="E384" t="inlineStr">
        <is>
          <t>ÅRJÄNG</t>
        </is>
      </c>
      <c r="G384" t="n">
        <v>7.1</v>
      </c>
      <c r="H384" t="n">
        <v>0</v>
      </c>
      <c r="I384" t="n">
        <v>0</v>
      </c>
      <c r="J384" t="n">
        <v>0</v>
      </c>
      <c r="K384" t="n">
        <v>0</v>
      </c>
      <c r="L384" t="n">
        <v>0</v>
      </c>
      <c r="M384" t="n">
        <v>0</v>
      </c>
      <c r="N384" t="n">
        <v>0</v>
      </c>
      <c r="O384" t="n">
        <v>0</v>
      </c>
      <c r="P384" t="n">
        <v>0</v>
      </c>
      <c r="Q384" t="n">
        <v>0</v>
      </c>
      <c r="R384" s="2" t="inlineStr"/>
    </row>
    <row r="385" ht="15" customHeight="1">
      <c r="A385" t="inlineStr">
        <is>
          <t>A 57605-2020</t>
        </is>
      </c>
      <c r="B385" s="1" t="n">
        <v>44140</v>
      </c>
      <c r="C385" s="1" t="n">
        <v>45928</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59384-2023</t>
        </is>
      </c>
      <c r="B386" s="1" t="n">
        <v>45253</v>
      </c>
      <c r="C386" s="1" t="n">
        <v>45928</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23216-2023</t>
        </is>
      </c>
      <c r="B387" s="1" t="n">
        <v>45075</v>
      </c>
      <c r="C387" s="1" t="n">
        <v>45928</v>
      </c>
      <c r="D387" t="inlineStr">
        <is>
          <t>VÄRMLANDS LÄN</t>
        </is>
      </c>
      <c r="E387" t="inlineStr">
        <is>
          <t>ÅRJÄNG</t>
        </is>
      </c>
      <c r="G387" t="n">
        <v>3</v>
      </c>
      <c r="H387" t="n">
        <v>0</v>
      </c>
      <c r="I387" t="n">
        <v>0</v>
      </c>
      <c r="J387" t="n">
        <v>0</v>
      </c>
      <c r="K387" t="n">
        <v>0</v>
      </c>
      <c r="L387" t="n">
        <v>0</v>
      </c>
      <c r="M387" t="n">
        <v>0</v>
      </c>
      <c r="N387" t="n">
        <v>0</v>
      </c>
      <c r="O387" t="n">
        <v>0</v>
      </c>
      <c r="P387" t="n">
        <v>0</v>
      </c>
      <c r="Q387" t="n">
        <v>0</v>
      </c>
      <c r="R387" s="2" t="inlineStr"/>
    </row>
    <row r="388" ht="15" customHeight="1">
      <c r="A388" t="inlineStr">
        <is>
          <t>A 61764-2022</t>
        </is>
      </c>
      <c r="B388" s="1" t="n">
        <v>44911</v>
      </c>
      <c r="C388" s="1" t="n">
        <v>45928</v>
      </c>
      <c r="D388" t="inlineStr">
        <is>
          <t>VÄRMLANDS LÄN</t>
        </is>
      </c>
      <c r="E388" t="inlineStr">
        <is>
          <t>ÅRJÄNG</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19052-2023</t>
        </is>
      </c>
      <c r="B389" s="1" t="n">
        <v>45047</v>
      </c>
      <c r="C389" s="1" t="n">
        <v>45928</v>
      </c>
      <c r="D389" t="inlineStr">
        <is>
          <t>VÄRMLANDS LÄN</t>
        </is>
      </c>
      <c r="E389" t="inlineStr">
        <is>
          <t>ÅRJÄNG</t>
        </is>
      </c>
      <c r="G389" t="n">
        <v>3.5</v>
      </c>
      <c r="H389" t="n">
        <v>0</v>
      </c>
      <c r="I389" t="n">
        <v>0</v>
      </c>
      <c r="J389" t="n">
        <v>0</v>
      </c>
      <c r="K389" t="n">
        <v>0</v>
      </c>
      <c r="L389" t="n">
        <v>0</v>
      </c>
      <c r="M389" t="n">
        <v>0</v>
      </c>
      <c r="N389" t="n">
        <v>0</v>
      </c>
      <c r="O389" t="n">
        <v>0</v>
      </c>
      <c r="P389" t="n">
        <v>0</v>
      </c>
      <c r="Q389" t="n">
        <v>0</v>
      </c>
      <c r="R389" s="2" t="inlineStr"/>
    </row>
    <row r="390" ht="15" customHeight="1">
      <c r="A390" t="inlineStr">
        <is>
          <t>A 58436-2023</t>
        </is>
      </c>
      <c r="B390" s="1" t="n">
        <v>45250</v>
      </c>
      <c r="C390" s="1" t="n">
        <v>45928</v>
      </c>
      <c r="D390" t="inlineStr">
        <is>
          <t>VÄRMLANDS LÄN</t>
        </is>
      </c>
      <c r="E390" t="inlineStr">
        <is>
          <t>ÅRJÄNG</t>
        </is>
      </c>
      <c r="G390" t="n">
        <v>0.9</v>
      </c>
      <c r="H390" t="n">
        <v>0</v>
      </c>
      <c r="I390" t="n">
        <v>0</v>
      </c>
      <c r="J390" t="n">
        <v>0</v>
      </c>
      <c r="K390" t="n">
        <v>0</v>
      </c>
      <c r="L390" t="n">
        <v>0</v>
      </c>
      <c r="M390" t="n">
        <v>0</v>
      </c>
      <c r="N390" t="n">
        <v>0</v>
      </c>
      <c r="O390" t="n">
        <v>0</v>
      </c>
      <c r="P390" t="n">
        <v>0</v>
      </c>
      <c r="Q390" t="n">
        <v>0</v>
      </c>
      <c r="R390" s="2" t="inlineStr"/>
    </row>
    <row r="391" ht="15" customHeight="1">
      <c r="A391" t="inlineStr">
        <is>
          <t>A 74086-2021</t>
        </is>
      </c>
      <c r="B391" s="1" t="n">
        <v>44557.58112268519</v>
      </c>
      <c r="C391" s="1" t="n">
        <v>45928</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62261-2023</t>
        </is>
      </c>
      <c r="B392" s="1" t="n">
        <v>45266</v>
      </c>
      <c r="C392" s="1" t="n">
        <v>45928</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49641-2021</t>
        </is>
      </c>
      <c r="B393" s="1" t="n">
        <v>44455.44327546296</v>
      </c>
      <c r="C393" s="1" t="n">
        <v>45928</v>
      </c>
      <c r="D393" t="inlineStr">
        <is>
          <t>VÄRMLANDS LÄN</t>
        </is>
      </c>
      <c r="E393" t="inlineStr">
        <is>
          <t>ÅRJÄNG</t>
        </is>
      </c>
      <c r="G393" t="n">
        <v>3.2</v>
      </c>
      <c r="H393" t="n">
        <v>0</v>
      </c>
      <c r="I393" t="n">
        <v>0</v>
      </c>
      <c r="J393" t="n">
        <v>0</v>
      </c>
      <c r="K393" t="n">
        <v>0</v>
      </c>
      <c r="L393" t="n">
        <v>0</v>
      </c>
      <c r="M393" t="n">
        <v>0</v>
      </c>
      <c r="N393" t="n">
        <v>0</v>
      </c>
      <c r="O393" t="n">
        <v>0</v>
      </c>
      <c r="P393" t="n">
        <v>0</v>
      </c>
      <c r="Q393" t="n">
        <v>0</v>
      </c>
      <c r="R393" s="2" t="inlineStr"/>
    </row>
    <row r="394" ht="15" customHeight="1">
      <c r="A394" t="inlineStr">
        <is>
          <t>A 35414-2025</t>
        </is>
      </c>
      <c r="B394" s="1" t="n">
        <v>45855</v>
      </c>
      <c r="C394" s="1" t="n">
        <v>45928</v>
      </c>
      <c r="D394" t="inlineStr">
        <is>
          <t>VÄRMLANDS LÄN</t>
        </is>
      </c>
      <c r="E394" t="inlineStr">
        <is>
          <t>ÅRJÄNG</t>
        </is>
      </c>
      <c r="F394" t="inlineStr">
        <is>
          <t>Bergvik skog väst AB</t>
        </is>
      </c>
      <c r="G394" t="n">
        <v>6.8</v>
      </c>
      <c r="H394" t="n">
        <v>0</v>
      </c>
      <c r="I394" t="n">
        <v>0</v>
      </c>
      <c r="J394" t="n">
        <v>0</v>
      </c>
      <c r="K394" t="n">
        <v>0</v>
      </c>
      <c r="L394" t="n">
        <v>0</v>
      </c>
      <c r="M394" t="n">
        <v>0</v>
      </c>
      <c r="N394" t="n">
        <v>0</v>
      </c>
      <c r="O394" t="n">
        <v>0</v>
      </c>
      <c r="P394" t="n">
        <v>0</v>
      </c>
      <c r="Q394" t="n">
        <v>0</v>
      </c>
      <c r="R394" s="2" t="inlineStr"/>
    </row>
    <row r="395" ht="15" customHeight="1">
      <c r="A395" t="inlineStr">
        <is>
          <t>A 32338-2024</t>
        </is>
      </c>
      <c r="B395" s="1" t="n">
        <v>45512</v>
      </c>
      <c r="C395" s="1" t="n">
        <v>45928</v>
      </c>
      <c r="D395" t="inlineStr">
        <is>
          <t>VÄRMLANDS LÄN</t>
        </is>
      </c>
      <c r="E395" t="inlineStr">
        <is>
          <t>ÅRJÄNG</t>
        </is>
      </c>
      <c r="G395" t="n">
        <v>2.1</v>
      </c>
      <c r="H395" t="n">
        <v>0</v>
      </c>
      <c r="I395" t="n">
        <v>0</v>
      </c>
      <c r="J395" t="n">
        <v>0</v>
      </c>
      <c r="K395" t="n">
        <v>0</v>
      </c>
      <c r="L395" t="n">
        <v>0</v>
      </c>
      <c r="M395" t="n">
        <v>0</v>
      </c>
      <c r="N395" t="n">
        <v>0</v>
      </c>
      <c r="O395" t="n">
        <v>0</v>
      </c>
      <c r="P395" t="n">
        <v>0</v>
      </c>
      <c r="Q395" t="n">
        <v>0</v>
      </c>
      <c r="R395" s="2" t="inlineStr"/>
    </row>
    <row r="396" ht="15" customHeight="1">
      <c r="A396" t="inlineStr">
        <is>
          <t>A 41229-2025</t>
        </is>
      </c>
      <c r="B396" s="1" t="n">
        <v>45898.59108796297</v>
      </c>
      <c r="C396" s="1" t="n">
        <v>45928</v>
      </c>
      <c r="D396" t="inlineStr">
        <is>
          <t>VÄRMLANDS LÄN</t>
        </is>
      </c>
      <c r="E396" t="inlineStr">
        <is>
          <t>ÅRJÄNG</t>
        </is>
      </c>
      <c r="G396" t="n">
        <v>2.6</v>
      </c>
      <c r="H396" t="n">
        <v>0</v>
      </c>
      <c r="I396" t="n">
        <v>0</v>
      </c>
      <c r="J396" t="n">
        <v>0</v>
      </c>
      <c r="K396" t="n">
        <v>0</v>
      </c>
      <c r="L396" t="n">
        <v>0</v>
      </c>
      <c r="M396" t="n">
        <v>0</v>
      </c>
      <c r="N396" t="n">
        <v>0</v>
      </c>
      <c r="O396" t="n">
        <v>0</v>
      </c>
      <c r="P396" t="n">
        <v>0</v>
      </c>
      <c r="Q396" t="n">
        <v>0</v>
      </c>
      <c r="R396" s="2" t="inlineStr"/>
    </row>
    <row r="397" ht="15" customHeight="1">
      <c r="A397" t="inlineStr">
        <is>
          <t>A 15718-2023</t>
        </is>
      </c>
      <c r="B397" s="1" t="n">
        <v>45021.55432870371</v>
      </c>
      <c r="C397" s="1" t="n">
        <v>45928</v>
      </c>
      <c r="D397" t="inlineStr">
        <is>
          <t>VÄRMLANDS LÄN</t>
        </is>
      </c>
      <c r="E397" t="inlineStr">
        <is>
          <t>ÅRJÄNG</t>
        </is>
      </c>
      <c r="G397" t="n">
        <v>2.9</v>
      </c>
      <c r="H397" t="n">
        <v>0</v>
      </c>
      <c r="I397" t="n">
        <v>0</v>
      </c>
      <c r="J397" t="n">
        <v>0</v>
      </c>
      <c r="K397" t="n">
        <v>0</v>
      </c>
      <c r="L397" t="n">
        <v>0</v>
      </c>
      <c r="M397" t="n">
        <v>0</v>
      </c>
      <c r="N397" t="n">
        <v>0</v>
      </c>
      <c r="O397" t="n">
        <v>0</v>
      </c>
      <c r="P397" t="n">
        <v>0</v>
      </c>
      <c r="Q397" t="n">
        <v>0</v>
      </c>
      <c r="R397" s="2" t="inlineStr"/>
    </row>
    <row r="398" ht="15" customHeight="1">
      <c r="A398" t="inlineStr">
        <is>
          <t>A 5863-2023</t>
        </is>
      </c>
      <c r="B398" s="1" t="n">
        <v>44963</v>
      </c>
      <c r="C398" s="1" t="n">
        <v>45928</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41488-2025</t>
        </is>
      </c>
      <c r="B399" s="1" t="n">
        <v>45901.48288194444</v>
      </c>
      <c r="C399" s="1" t="n">
        <v>45928</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49780-2024</t>
        </is>
      </c>
      <c r="B400" s="1" t="n">
        <v>45597</v>
      </c>
      <c r="C400" s="1" t="n">
        <v>45928</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41496-2025</t>
        </is>
      </c>
      <c r="B401" s="1" t="n">
        <v>45901</v>
      </c>
      <c r="C401" s="1" t="n">
        <v>45928</v>
      </c>
      <c r="D401" t="inlineStr">
        <is>
          <t>VÄRMLANDS LÄN</t>
        </is>
      </c>
      <c r="E401" t="inlineStr">
        <is>
          <t>ÅRJÄNG</t>
        </is>
      </c>
      <c r="G401" t="n">
        <v>5.8</v>
      </c>
      <c r="H401" t="n">
        <v>0</v>
      </c>
      <c r="I401" t="n">
        <v>0</v>
      </c>
      <c r="J401" t="n">
        <v>0</v>
      </c>
      <c r="K401" t="n">
        <v>0</v>
      </c>
      <c r="L401" t="n">
        <v>0</v>
      </c>
      <c r="M401" t="n">
        <v>0</v>
      </c>
      <c r="N401" t="n">
        <v>0</v>
      </c>
      <c r="O401" t="n">
        <v>0</v>
      </c>
      <c r="P401" t="n">
        <v>0</v>
      </c>
      <c r="Q401" t="n">
        <v>0</v>
      </c>
      <c r="R401" s="2" t="inlineStr"/>
    </row>
    <row r="402" ht="15" customHeight="1">
      <c r="A402" t="inlineStr">
        <is>
          <t>A 41499-2025</t>
        </is>
      </c>
      <c r="B402" s="1" t="n">
        <v>45901</v>
      </c>
      <c r="C402" s="1" t="n">
        <v>45928</v>
      </c>
      <c r="D402" t="inlineStr">
        <is>
          <t>VÄRMLANDS LÄN</t>
        </is>
      </c>
      <c r="E402" t="inlineStr">
        <is>
          <t>ÅRJÄNG</t>
        </is>
      </c>
      <c r="G402" t="n">
        <v>2.7</v>
      </c>
      <c r="H402" t="n">
        <v>0</v>
      </c>
      <c r="I402" t="n">
        <v>0</v>
      </c>
      <c r="J402" t="n">
        <v>0</v>
      </c>
      <c r="K402" t="n">
        <v>0</v>
      </c>
      <c r="L402" t="n">
        <v>0</v>
      </c>
      <c r="M402" t="n">
        <v>0</v>
      </c>
      <c r="N402" t="n">
        <v>0</v>
      </c>
      <c r="O402" t="n">
        <v>0</v>
      </c>
      <c r="P402" t="n">
        <v>0</v>
      </c>
      <c r="Q402" t="n">
        <v>0</v>
      </c>
      <c r="R402" s="2" t="inlineStr"/>
    </row>
    <row r="403" ht="15" customHeight="1">
      <c r="A403" t="inlineStr">
        <is>
          <t>A 48911-2024</t>
        </is>
      </c>
      <c r="B403" s="1" t="n">
        <v>45594.36512731481</v>
      </c>
      <c r="C403" s="1" t="n">
        <v>45928</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8215-2025</t>
        </is>
      </c>
      <c r="B404" s="1" t="n">
        <v>45708.44832175926</v>
      </c>
      <c r="C404" s="1" t="n">
        <v>45928</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8230-2025</t>
        </is>
      </c>
      <c r="B405" s="1" t="n">
        <v>45708.47010416666</v>
      </c>
      <c r="C405" s="1" t="n">
        <v>45928</v>
      </c>
      <c r="D405" t="inlineStr">
        <is>
          <t>VÄRMLANDS LÄN</t>
        </is>
      </c>
      <c r="E405" t="inlineStr">
        <is>
          <t>ÅRJÄNG</t>
        </is>
      </c>
      <c r="G405" t="n">
        <v>2.5</v>
      </c>
      <c r="H405" t="n">
        <v>0</v>
      </c>
      <c r="I405" t="n">
        <v>0</v>
      </c>
      <c r="J405" t="n">
        <v>0</v>
      </c>
      <c r="K405" t="n">
        <v>0</v>
      </c>
      <c r="L405" t="n">
        <v>0</v>
      </c>
      <c r="M405" t="n">
        <v>0</v>
      </c>
      <c r="N405" t="n">
        <v>0</v>
      </c>
      <c r="O405" t="n">
        <v>0</v>
      </c>
      <c r="P405" t="n">
        <v>0</v>
      </c>
      <c r="Q405" t="n">
        <v>0</v>
      </c>
      <c r="R405" s="2" t="inlineStr"/>
    </row>
    <row r="406" ht="15" customHeight="1">
      <c r="A406" t="inlineStr">
        <is>
          <t>A 41725-2025</t>
        </is>
      </c>
      <c r="B406" s="1" t="n">
        <v>45902.45458333333</v>
      </c>
      <c r="C406" s="1" t="n">
        <v>45928</v>
      </c>
      <c r="D406" t="inlineStr">
        <is>
          <t>VÄRMLANDS LÄN</t>
        </is>
      </c>
      <c r="E406" t="inlineStr">
        <is>
          <t>ÅRJÄNG</t>
        </is>
      </c>
      <c r="G406" t="n">
        <v>1.2</v>
      </c>
      <c r="H406" t="n">
        <v>0</v>
      </c>
      <c r="I406" t="n">
        <v>0</v>
      </c>
      <c r="J406" t="n">
        <v>0</v>
      </c>
      <c r="K406" t="n">
        <v>0</v>
      </c>
      <c r="L406" t="n">
        <v>0</v>
      </c>
      <c r="M406" t="n">
        <v>0</v>
      </c>
      <c r="N406" t="n">
        <v>0</v>
      </c>
      <c r="O406" t="n">
        <v>0</v>
      </c>
      <c r="P406" t="n">
        <v>0</v>
      </c>
      <c r="Q406" t="n">
        <v>0</v>
      </c>
      <c r="R406" s="2" t="inlineStr"/>
    </row>
    <row r="407" ht="15" customHeight="1">
      <c r="A407" t="inlineStr">
        <is>
          <t>A 15570-2025</t>
        </is>
      </c>
      <c r="B407" s="1" t="n">
        <v>45747</v>
      </c>
      <c r="C407" s="1" t="n">
        <v>45928</v>
      </c>
      <c r="D407" t="inlineStr">
        <is>
          <t>VÄRMLANDS LÄN</t>
        </is>
      </c>
      <c r="E407" t="inlineStr">
        <is>
          <t>ÅRJÄNG</t>
        </is>
      </c>
      <c r="G407" t="n">
        <v>1.1</v>
      </c>
      <c r="H407" t="n">
        <v>0</v>
      </c>
      <c r="I407" t="n">
        <v>0</v>
      </c>
      <c r="J407" t="n">
        <v>0</v>
      </c>
      <c r="K407" t="n">
        <v>0</v>
      </c>
      <c r="L407" t="n">
        <v>0</v>
      </c>
      <c r="M407" t="n">
        <v>0</v>
      </c>
      <c r="N407" t="n">
        <v>0</v>
      </c>
      <c r="O407" t="n">
        <v>0</v>
      </c>
      <c r="P407" t="n">
        <v>0</v>
      </c>
      <c r="Q407" t="n">
        <v>0</v>
      </c>
      <c r="R407" s="2" t="inlineStr"/>
    </row>
    <row r="408" ht="15" customHeight="1">
      <c r="A408" t="inlineStr">
        <is>
          <t>A 15572-2025</t>
        </is>
      </c>
      <c r="B408" s="1" t="n">
        <v>45747</v>
      </c>
      <c r="C408" s="1" t="n">
        <v>45928</v>
      </c>
      <c r="D408" t="inlineStr">
        <is>
          <t>VÄRMLANDS LÄN</t>
        </is>
      </c>
      <c r="E408" t="inlineStr">
        <is>
          <t>ÅRJÄNG</t>
        </is>
      </c>
      <c r="G408" t="n">
        <v>1.6</v>
      </c>
      <c r="H408" t="n">
        <v>0</v>
      </c>
      <c r="I408" t="n">
        <v>0</v>
      </c>
      <c r="J408" t="n">
        <v>0</v>
      </c>
      <c r="K408" t="n">
        <v>0</v>
      </c>
      <c r="L408" t="n">
        <v>0</v>
      </c>
      <c r="M408" t="n">
        <v>0</v>
      </c>
      <c r="N408" t="n">
        <v>0</v>
      </c>
      <c r="O408" t="n">
        <v>0</v>
      </c>
      <c r="P408" t="n">
        <v>0</v>
      </c>
      <c r="Q408" t="n">
        <v>0</v>
      </c>
      <c r="R408" s="2" t="inlineStr"/>
    </row>
    <row r="409" ht="15" customHeight="1">
      <c r="A409" t="inlineStr">
        <is>
          <t>A 15578-2025</t>
        </is>
      </c>
      <c r="B409" s="1" t="n">
        <v>45747</v>
      </c>
      <c r="C409" s="1" t="n">
        <v>45928</v>
      </c>
      <c r="D409" t="inlineStr">
        <is>
          <t>VÄRMLANDS LÄN</t>
        </is>
      </c>
      <c r="E409" t="inlineStr">
        <is>
          <t>ÅRJÄNG</t>
        </is>
      </c>
      <c r="G409" t="n">
        <v>4.6</v>
      </c>
      <c r="H409" t="n">
        <v>0</v>
      </c>
      <c r="I409" t="n">
        <v>0</v>
      </c>
      <c r="J409" t="n">
        <v>0</v>
      </c>
      <c r="K409" t="n">
        <v>0</v>
      </c>
      <c r="L409" t="n">
        <v>0</v>
      </c>
      <c r="M409" t="n">
        <v>0</v>
      </c>
      <c r="N409" t="n">
        <v>0</v>
      </c>
      <c r="O409" t="n">
        <v>0</v>
      </c>
      <c r="P409" t="n">
        <v>0</v>
      </c>
      <c r="Q409" t="n">
        <v>0</v>
      </c>
      <c r="R409" s="2" t="inlineStr"/>
    </row>
    <row r="410" ht="15" customHeight="1">
      <c r="A410" t="inlineStr">
        <is>
          <t>A 41763-2025</t>
        </is>
      </c>
      <c r="B410" s="1" t="n">
        <v>45902.54175925926</v>
      </c>
      <c r="C410" s="1" t="n">
        <v>45928</v>
      </c>
      <c r="D410" t="inlineStr">
        <is>
          <t>VÄRMLANDS LÄN</t>
        </is>
      </c>
      <c r="E410" t="inlineStr">
        <is>
          <t>ÅRJÄNG</t>
        </is>
      </c>
      <c r="G410" t="n">
        <v>3.4</v>
      </c>
      <c r="H410" t="n">
        <v>0</v>
      </c>
      <c r="I410" t="n">
        <v>0</v>
      </c>
      <c r="J410" t="n">
        <v>0</v>
      </c>
      <c r="K410" t="n">
        <v>0</v>
      </c>
      <c r="L410" t="n">
        <v>0</v>
      </c>
      <c r="M410" t="n">
        <v>0</v>
      </c>
      <c r="N410" t="n">
        <v>0</v>
      </c>
      <c r="O410" t="n">
        <v>0</v>
      </c>
      <c r="P410" t="n">
        <v>0</v>
      </c>
      <c r="Q410" t="n">
        <v>0</v>
      </c>
      <c r="R410" s="2" t="inlineStr"/>
    </row>
    <row r="411" ht="15" customHeight="1">
      <c r="A411" t="inlineStr">
        <is>
          <t>A 40346-2024</t>
        </is>
      </c>
      <c r="B411" s="1" t="n">
        <v>45555.34840277778</v>
      </c>
      <c r="C411" s="1" t="n">
        <v>45928</v>
      </c>
      <c r="D411" t="inlineStr">
        <is>
          <t>VÄRMLANDS LÄN</t>
        </is>
      </c>
      <c r="E411" t="inlineStr">
        <is>
          <t>ÅRJÄNG</t>
        </is>
      </c>
      <c r="G411" t="n">
        <v>2.5</v>
      </c>
      <c r="H411" t="n">
        <v>0</v>
      </c>
      <c r="I411" t="n">
        <v>0</v>
      </c>
      <c r="J411" t="n">
        <v>0</v>
      </c>
      <c r="K411" t="n">
        <v>0</v>
      </c>
      <c r="L411" t="n">
        <v>0</v>
      </c>
      <c r="M411" t="n">
        <v>0</v>
      </c>
      <c r="N411" t="n">
        <v>0</v>
      </c>
      <c r="O411" t="n">
        <v>0</v>
      </c>
      <c r="P411" t="n">
        <v>0</v>
      </c>
      <c r="Q411" t="n">
        <v>0</v>
      </c>
      <c r="R411" s="2" t="inlineStr"/>
    </row>
    <row r="412" ht="15" customHeight="1">
      <c r="A412" t="inlineStr">
        <is>
          <t>A 69417-2021</t>
        </is>
      </c>
      <c r="B412" s="1" t="n">
        <v>44531</v>
      </c>
      <c r="C412" s="1" t="n">
        <v>45928</v>
      </c>
      <c r="D412" t="inlineStr">
        <is>
          <t>VÄRMLANDS LÄN</t>
        </is>
      </c>
      <c r="E412" t="inlineStr">
        <is>
          <t>ÅRJÄNG</t>
        </is>
      </c>
      <c r="G412" t="n">
        <v>3.8</v>
      </c>
      <c r="H412" t="n">
        <v>0</v>
      </c>
      <c r="I412" t="n">
        <v>0</v>
      </c>
      <c r="J412" t="n">
        <v>0</v>
      </c>
      <c r="K412" t="n">
        <v>0</v>
      </c>
      <c r="L412" t="n">
        <v>0</v>
      </c>
      <c r="M412" t="n">
        <v>0</v>
      </c>
      <c r="N412" t="n">
        <v>0</v>
      </c>
      <c r="O412" t="n">
        <v>0</v>
      </c>
      <c r="P412" t="n">
        <v>0</v>
      </c>
      <c r="Q412" t="n">
        <v>0</v>
      </c>
      <c r="R412" s="2" t="inlineStr"/>
    </row>
    <row r="413" ht="15" customHeight="1">
      <c r="A413" t="inlineStr">
        <is>
          <t>A 49785-2024</t>
        </is>
      </c>
      <c r="B413" s="1" t="n">
        <v>45597.35758101852</v>
      </c>
      <c r="C413" s="1" t="n">
        <v>45928</v>
      </c>
      <c r="D413" t="inlineStr">
        <is>
          <t>VÄRMLANDS LÄN</t>
        </is>
      </c>
      <c r="E413" t="inlineStr">
        <is>
          <t>ÅRJÄNG</t>
        </is>
      </c>
      <c r="G413" t="n">
        <v>0.6</v>
      </c>
      <c r="H413" t="n">
        <v>0</v>
      </c>
      <c r="I413" t="n">
        <v>0</v>
      </c>
      <c r="J413" t="n">
        <v>0</v>
      </c>
      <c r="K413" t="n">
        <v>0</v>
      </c>
      <c r="L413" t="n">
        <v>0</v>
      </c>
      <c r="M413" t="n">
        <v>0</v>
      </c>
      <c r="N413" t="n">
        <v>0</v>
      </c>
      <c r="O413" t="n">
        <v>0</v>
      </c>
      <c r="P413" t="n">
        <v>0</v>
      </c>
      <c r="Q413" t="n">
        <v>0</v>
      </c>
      <c r="R413" s="2" t="inlineStr"/>
    </row>
    <row r="414" ht="15" customHeight="1">
      <c r="A414" t="inlineStr">
        <is>
          <t>A 41467-2025</t>
        </is>
      </c>
      <c r="B414" s="1" t="n">
        <v>45901.45755787037</v>
      </c>
      <c r="C414" s="1" t="n">
        <v>45928</v>
      </c>
      <c r="D414" t="inlineStr">
        <is>
          <t>VÄRMLANDS LÄN</t>
        </is>
      </c>
      <c r="E414" t="inlineStr">
        <is>
          <t>ÅRJÄNG</t>
        </is>
      </c>
      <c r="G414" t="n">
        <v>2</v>
      </c>
      <c r="H414" t="n">
        <v>0</v>
      </c>
      <c r="I414" t="n">
        <v>0</v>
      </c>
      <c r="J414" t="n">
        <v>0</v>
      </c>
      <c r="K414" t="n">
        <v>0</v>
      </c>
      <c r="L414" t="n">
        <v>0</v>
      </c>
      <c r="M414" t="n">
        <v>0</v>
      </c>
      <c r="N414" t="n">
        <v>0</v>
      </c>
      <c r="O414" t="n">
        <v>0</v>
      </c>
      <c r="P414" t="n">
        <v>0</v>
      </c>
      <c r="Q414" t="n">
        <v>0</v>
      </c>
      <c r="R414" s="2" t="inlineStr"/>
    </row>
    <row r="415" ht="15" customHeight="1">
      <c r="A415" t="inlineStr">
        <is>
          <t>A 40449-2025</t>
        </is>
      </c>
      <c r="B415" s="1" t="n">
        <v>45895</v>
      </c>
      <c r="C415" s="1" t="n">
        <v>45928</v>
      </c>
      <c r="D415" t="inlineStr">
        <is>
          <t>VÄRMLANDS LÄN</t>
        </is>
      </c>
      <c r="E415" t="inlineStr">
        <is>
          <t>ÅRJÄNG</t>
        </is>
      </c>
      <c r="G415" t="n">
        <v>2.5</v>
      </c>
      <c r="H415" t="n">
        <v>0</v>
      </c>
      <c r="I415" t="n">
        <v>0</v>
      </c>
      <c r="J415" t="n">
        <v>0</v>
      </c>
      <c r="K415" t="n">
        <v>0</v>
      </c>
      <c r="L415" t="n">
        <v>0</v>
      </c>
      <c r="M415" t="n">
        <v>0</v>
      </c>
      <c r="N415" t="n">
        <v>0</v>
      </c>
      <c r="O415" t="n">
        <v>0</v>
      </c>
      <c r="P415" t="n">
        <v>0</v>
      </c>
      <c r="Q415" t="n">
        <v>0</v>
      </c>
      <c r="R415" s="2" t="inlineStr"/>
    </row>
    <row r="416" ht="15" customHeight="1">
      <c r="A416" t="inlineStr">
        <is>
          <t>A 10239-2023</t>
        </is>
      </c>
      <c r="B416" s="1" t="n">
        <v>44986</v>
      </c>
      <c r="C416" s="1" t="n">
        <v>45928</v>
      </c>
      <c r="D416" t="inlineStr">
        <is>
          <t>VÄRMLANDS LÄN</t>
        </is>
      </c>
      <c r="E416" t="inlineStr">
        <is>
          <t>ÅRJÄNG</t>
        </is>
      </c>
      <c r="G416" t="n">
        <v>5.4</v>
      </c>
      <c r="H416" t="n">
        <v>0</v>
      </c>
      <c r="I416" t="n">
        <v>0</v>
      </c>
      <c r="J416" t="n">
        <v>0</v>
      </c>
      <c r="K416" t="n">
        <v>0</v>
      </c>
      <c r="L416" t="n">
        <v>0</v>
      </c>
      <c r="M416" t="n">
        <v>0</v>
      </c>
      <c r="N416" t="n">
        <v>0</v>
      </c>
      <c r="O416" t="n">
        <v>0</v>
      </c>
      <c r="P416" t="n">
        <v>0</v>
      </c>
      <c r="Q416" t="n">
        <v>0</v>
      </c>
      <c r="R416" s="2" t="inlineStr"/>
    </row>
    <row r="417" ht="15" customHeight="1">
      <c r="A417" t="inlineStr">
        <is>
          <t>A 41729-2025</t>
        </is>
      </c>
      <c r="B417" s="1" t="n">
        <v>45902.45789351852</v>
      </c>
      <c r="C417" s="1" t="n">
        <v>45928</v>
      </c>
      <c r="D417" t="inlineStr">
        <is>
          <t>VÄRMLANDS LÄN</t>
        </is>
      </c>
      <c r="E417" t="inlineStr">
        <is>
          <t>ÅRJÄNG</t>
        </is>
      </c>
      <c r="G417" t="n">
        <v>5</v>
      </c>
      <c r="H417" t="n">
        <v>0</v>
      </c>
      <c r="I417" t="n">
        <v>0</v>
      </c>
      <c r="J417" t="n">
        <v>0</v>
      </c>
      <c r="K417" t="n">
        <v>0</v>
      </c>
      <c r="L417" t="n">
        <v>0</v>
      </c>
      <c r="M417" t="n">
        <v>0</v>
      </c>
      <c r="N417" t="n">
        <v>0</v>
      </c>
      <c r="O417" t="n">
        <v>0</v>
      </c>
      <c r="P417" t="n">
        <v>0</v>
      </c>
      <c r="Q417" t="n">
        <v>0</v>
      </c>
      <c r="R417" s="2" t="inlineStr"/>
    </row>
    <row r="418" ht="15" customHeight="1">
      <c r="A418" t="inlineStr">
        <is>
          <t>A 13155-2024</t>
        </is>
      </c>
      <c r="B418" s="1" t="n">
        <v>45386</v>
      </c>
      <c r="C418" s="1" t="n">
        <v>45928</v>
      </c>
      <c r="D418" t="inlineStr">
        <is>
          <t>VÄRMLANDS LÄN</t>
        </is>
      </c>
      <c r="E418" t="inlineStr">
        <is>
          <t>ÅRJÄNG</t>
        </is>
      </c>
      <c r="G418" t="n">
        <v>2.2</v>
      </c>
      <c r="H418" t="n">
        <v>0</v>
      </c>
      <c r="I418" t="n">
        <v>0</v>
      </c>
      <c r="J418" t="n">
        <v>0</v>
      </c>
      <c r="K418" t="n">
        <v>0</v>
      </c>
      <c r="L418" t="n">
        <v>0</v>
      </c>
      <c r="M418" t="n">
        <v>0</v>
      </c>
      <c r="N418" t="n">
        <v>0</v>
      </c>
      <c r="O418" t="n">
        <v>0</v>
      </c>
      <c r="P418" t="n">
        <v>0</v>
      </c>
      <c r="Q418" t="n">
        <v>0</v>
      </c>
      <c r="R418" s="2" t="inlineStr"/>
    </row>
    <row r="419" ht="15" customHeight="1">
      <c r="A419" t="inlineStr">
        <is>
          <t>A 60903-2023</t>
        </is>
      </c>
      <c r="B419" s="1" t="n">
        <v>45261</v>
      </c>
      <c r="C419" s="1" t="n">
        <v>45928</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41772-2025</t>
        </is>
      </c>
      <c r="B420" s="1" t="n">
        <v>45902.55828703703</v>
      </c>
      <c r="C420" s="1" t="n">
        <v>45928</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38482-2024</t>
        </is>
      </c>
      <c r="B421" s="1" t="n">
        <v>45546</v>
      </c>
      <c r="C421" s="1" t="n">
        <v>45928</v>
      </c>
      <c r="D421" t="inlineStr">
        <is>
          <t>VÄRMLANDS LÄN</t>
        </is>
      </c>
      <c r="E421" t="inlineStr">
        <is>
          <t>ÅRJÄNG</t>
        </is>
      </c>
      <c r="G421" t="n">
        <v>2.8</v>
      </c>
      <c r="H421" t="n">
        <v>0</v>
      </c>
      <c r="I421" t="n">
        <v>0</v>
      </c>
      <c r="J421" t="n">
        <v>0</v>
      </c>
      <c r="K421" t="n">
        <v>0</v>
      </c>
      <c r="L421" t="n">
        <v>0</v>
      </c>
      <c r="M421" t="n">
        <v>0</v>
      </c>
      <c r="N421" t="n">
        <v>0</v>
      </c>
      <c r="O421" t="n">
        <v>0</v>
      </c>
      <c r="P421" t="n">
        <v>0</v>
      </c>
      <c r="Q421" t="n">
        <v>0</v>
      </c>
      <c r="R421" s="2" t="inlineStr"/>
    </row>
    <row r="422" ht="15" customHeight="1">
      <c r="A422" t="inlineStr">
        <is>
          <t>A 41771-2025</t>
        </is>
      </c>
      <c r="B422" s="1" t="n">
        <v>45902.55228009259</v>
      </c>
      <c r="C422" s="1" t="n">
        <v>45928</v>
      </c>
      <c r="D422" t="inlineStr">
        <is>
          <t>VÄRMLANDS LÄN</t>
        </is>
      </c>
      <c r="E422" t="inlineStr">
        <is>
          <t>ÅRJÄNG</t>
        </is>
      </c>
      <c r="G422" t="n">
        <v>1.9</v>
      </c>
      <c r="H422" t="n">
        <v>0</v>
      </c>
      <c r="I422" t="n">
        <v>0</v>
      </c>
      <c r="J422" t="n">
        <v>0</v>
      </c>
      <c r="K422" t="n">
        <v>0</v>
      </c>
      <c r="L422" t="n">
        <v>0</v>
      </c>
      <c r="M422" t="n">
        <v>0</v>
      </c>
      <c r="N422" t="n">
        <v>0</v>
      </c>
      <c r="O422" t="n">
        <v>0</v>
      </c>
      <c r="P422" t="n">
        <v>0</v>
      </c>
      <c r="Q422" t="n">
        <v>0</v>
      </c>
      <c r="R422" s="2" t="inlineStr"/>
    </row>
    <row r="423" ht="15" customHeight="1">
      <c r="A423" t="inlineStr">
        <is>
          <t>A 29792-2022</t>
        </is>
      </c>
      <c r="B423" s="1" t="n">
        <v>44755.67122685185</v>
      </c>
      <c r="C423" s="1" t="n">
        <v>45928</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42333-2025</t>
        </is>
      </c>
      <c r="B424" s="1" t="n">
        <v>45904</v>
      </c>
      <c r="C424" s="1" t="n">
        <v>45928</v>
      </c>
      <c r="D424" t="inlineStr">
        <is>
          <t>VÄRMLANDS LÄN</t>
        </is>
      </c>
      <c r="E424" t="inlineStr">
        <is>
          <t>ÅRJÄNG</t>
        </is>
      </c>
      <c r="G424" t="n">
        <v>3.8</v>
      </c>
      <c r="H424" t="n">
        <v>0</v>
      </c>
      <c r="I424" t="n">
        <v>0</v>
      </c>
      <c r="J424" t="n">
        <v>0</v>
      </c>
      <c r="K424" t="n">
        <v>0</v>
      </c>
      <c r="L424" t="n">
        <v>0</v>
      </c>
      <c r="M424" t="n">
        <v>0</v>
      </c>
      <c r="N424" t="n">
        <v>0</v>
      </c>
      <c r="O424" t="n">
        <v>0</v>
      </c>
      <c r="P424" t="n">
        <v>0</v>
      </c>
      <c r="Q424" t="n">
        <v>0</v>
      </c>
      <c r="R424" s="2" t="inlineStr"/>
    </row>
    <row r="425" ht="15" customHeight="1">
      <c r="A425" t="inlineStr">
        <is>
          <t>A 30346-2022</t>
        </is>
      </c>
      <c r="B425" s="1" t="n">
        <v>44760.55734953703</v>
      </c>
      <c r="C425" s="1" t="n">
        <v>45928</v>
      </c>
      <c r="D425" t="inlineStr">
        <is>
          <t>VÄRMLANDS LÄN</t>
        </is>
      </c>
      <c r="E425" t="inlineStr">
        <is>
          <t>ÅRJÄNG</t>
        </is>
      </c>
      <c r="G425" t="n">
        <v>6</v>
      </c>
      <c r="H425" t="n">
        <v>0</v>
      </c>
      <c r="I425" t="n">
        <v>0</v>
      </c>
      <c r="J425" t="n">
        <v>0</v>
      </c>
      <c r="K425" t="n">
        <v>0</v>
      </c>
      <c r="L425" t="n">
        <v>0</v>
      </c>
      <c r="M425" t="n">
        <v>0</v>
      </c>
      <c r="N425" t="n">
        <v>0</v>
      </c>
      <c r="O425" t="n">
        <v>0</v>
      </c>
      <c r="P425" t="n">
        <v>0</v>
      </c>
      <c r="Q425" t="n">
        <v>0</v>
      </c>
      <c r="R425" s="2" t="inlineStr"/>
    </row>
    <row r="426" ht="15" customHeight="1">
      <c r="A426" t="inlineStr">
        <is>
          <t>A 10126-2023</t>
        </is>
      </c>
      <c r="B426" s="1" t="n">
        <v>44980</v>
      </c>
      <c r="C426" s="1" t="n">
        <v>45928</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34889-2022</t>
        </is>
      </c>
      <c r="B427" s="1" t="n">
        <v>44796</v>
      </c>
      <c r="C427" s="1" t="n">
        <v>45928</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14310-2022</t>
        </is>
      </c>
      <c r="B428" s="1" t="n">
        <v>44652</v>
      </c>
      <c r="C428" s="1" t="n">
        <v>45928</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65837-2021</t>
        </is>
      </c>
      <c r="B429" s="1" t="n">
        <v>44517.35402777778</v>
      </c>
      <c r="C429" s="1" t="n">
        <v>45928</v>
      </c>
      <c r="D429" t="inlineStr">
        <is>
          <t>VÄRMLANDS LÄN</t>
        </is>
      </c>
      <c r="E429" t="inlineStr">
        <is>
          <t>ÅRJÄNG</t>
        </is>
      </c>
      <c r="G429" t="n">
        <v>6.8</v>
      </c>
      <c r="H429" t="n">
        <v>0</v>
      </c>
      <c r="I429" t="n">
        <v>0</v>
      </c>
      <c r="J429" t="n">
        <v>0</v>
      </c>
      <c r="K429" t="n">
        <v>0</v>
      </c>
      <c r="L429" t="n">
        <v>0</v>
      </c>
      <c r="M429" t="n">
        <v>0</v>
      </c>
      <c r="N429" t="n">
        <v>0</v>
      </c>
      <c r="O429" t="n">
        <v>0</v>
      </c>
      <c r="P429" t="n">
        <v>0</v>
      </c>
      <c r="Q429" t="n">
        <v>0</v>
      </c>
      <c r="R429" s="2" t="inlineStr"/>
    </row>
    <row r="430" ht="15" customHeight="1">
      <c r="A430" t="inlineStr">
        <is>
          <t>A 26284-2021</t>
        </is>
      </c>
      <c r="B430" s="1" t="n">
        <v>44347</v>
      </c>
      <c r="C430" s="1" t="n">
        <v>45928</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49405-2022</t>
        </is>
      </c>
      <c r="B431" s="1" t="n">
        <v>44861.63182870371</v>
      </c>
      <c r="C431" s="1" t="n">
        <v>45928</v>
      </c>
      <c r="D431" t="inlineStr">
        <is>
          <t>VÄRMLANDS LÄN</t>
        </is>
      </c>
      <c r="E431" t="inlineStr">
        <is>
          <t>ÅRJÄNG</t>
        </is>
      </c>
      <c r="G431" t="n">
        <v>1.1</v>
      </c>
      <c r="H431" t="n">
        <v>0</v>
      </c>
      <c r="I431" t="n">
        <v>0</v>
      </c>
      <c r="J431" t="n">
        <v>0</v>
      </c>
      <c r="K431" t="n">
        <v>0</v>
      </c>
      <c r="L431" t="n">
        <v>0</v>
      </c>
      <c r="M431" t="n">
        <v>0</v>
      </c>
      <c r="N431" t="n">
        <v>0</v>
      </c>
      <c r="O431" t="n">
        <v>0</v>
      </c>
      <c r="P431" t="n">
        <v>0</v>
      </c>
      <c r="Q431" t="n">
        <v>0</v>
      </c>
      <c r="R431" s="2" t="inlineStr"/>
    </row>
    <row r="432" ht="15" customHeight="1">
      <c r="A432" t="inlineStr">
        <is>
          <t>A 44417-2021</t>
        </is>
      </c>
      <c r="B432" s="1" t="n">
        <v>44435.50591435185</v>
      </c>
      <c r="C432" s="1" t="n">
        <v>45928</v>
      </c>
      <c r="D432" t="inlineStr">
        <is>
          <t>VÄRMLANDS LÄN</t>
        </is>
      </c>
      <c r="E432" t="inlineStr">
        <is>
          <t>ÅRJÄNG</t>
        </is>
      </c>
      <c r="G432" t="n">
        <v>32.2</v>
      </c>
      <c r="H432" t="n">
        <v>0</v>
      </c>
      <c r="I432" t="n">
        <v>0</v>
      </c>
      <c r="J432" t="n">
        <v>0</v>
      </c>
      <c r="K432" t="n">
        <v>0</v>
      </c>
      <c r="L432" t="n">
        <v>0</v>
      </c>
      <c r="M432" t="n">
        <v>0</v>
      </c>
      <c r="N432" t="n">
        <v>0</v>
      </c>
      <c r="O432" t="n">
        <v>0</v>
      </c>
      <c r="P432" t="n">
        <v>0</v>
      </c>
      <c r="Q432" t="n">
        <v>0</v>
      </c>
      <c r="R432" s="2" t="inlineStr"/>
    </row>
    <row r="433" ht="15" customHeight="1">
      <c r="A433" t="inlineStr">
        <is>
          <t>A 49701-2022</t>
        </is>
      </c>
      <c r="B433" s="1" t="n">
        <v>44862.53201388889</v>
      </c>
      <c r="C433" s="1" t="n">
        <v>45928</v>
      </c>
      <c r="D433" t="inlineStr">
        <is>
          <t>VÄRMLANDS LÄN</t>
        </is>
      </c>
      <c r="E433" t="inlineStr">
        <is>
          <t>ÅRJÄNG</t>
        </is>
      </c>
      <c r="G433" t="n">
        <v>2.3</v>
      </c>
      <c r="H433" t="n">
        <v>0</v>
      </c>
      <c r="I433" t="n">
        <v>0</v>
      </c>
      <c r="J433" t="n">
        <v>0</v>
      </c>
      <c r="K433" t="n">
        <v>0</v>
      </c>
      <c r="L433" t="n">
        <v>0</v>
      </c>
      <c r="M433" t="n">
        <v>0</v>
      </c>
      <c r="N433" t="n">
        <v>0</v>
      </c>
      <c r="O433" t="n">
        <v>0</v>
      </c>
      <c r="P433" t="n">
        <v>0</v>
      </c>
      <c r="Q433" t="n">
        <v>0</v>
      </c>
      <c r="R433" s="2" t="inlineStr"/>
    </row>
    <row r="434" ht="15" customHeight="1">
      <c r="A434" t="inlineStr">
        <is>
          <t>A 16562-2024</t>
        </is>
      </c>
      <c r="B434" s="1" t="n">
        <v>45408.45829861111</v>
      </c>
      <c r="C434" s="1" t="n">
        <v>45928</v>
      </c>
      <c r="D434" t="inlineStr">
        <is>
          <t>VÄRMLANDS LÄN</t>
        </is>
      </c>
      <c r="E434" t="inlineStr">
        <is>
          <t>ÅRJÄNG</t>
        </is>
      </c>
      <c r="F434" t="inlineStr">
        <is>
          <t>Bergvik skog väst AB</t>
        </is>
      </c>
      <c r="G434" t="n">
        <v>0.4</v>
      </c>
      <c r="H434" t="n">
        <v>0</v>
      </c>
      <c r="I434" t="n">
        <v>0</v>
      </c>
      <c r="J434" t="n">
        <v>0</v>
      </c>
      <c r="K434" t="n">
        <v>0</v>
      </c>
      <c r="L434" t="n">
        <v>0</v>
      </c>
      <c r="M434" t="n">
        <v>0</v>
      </c>
      <c r="N434" t="n">
        <v>0</v>
      </c>
      <c r="O434" t="n">
        <v>0</v>
      </c>
      <c r="P434" t="n">
        <v>0</v>
      </c>
      <c r="Q434" t="n">
        <v>0</v>
      </c>
      <c r="R434" s="2" t="inlineStr"/>
    </row>
    <row r="435" ht="15" customHeight="1">
      <c r="A435" t="inlineStr">
        <is>
          <t>A 21362-2022</t>
        </is>
      </c>
      <c r="B435" s="1" t="n">
        <v>44705</v>
      </c>
      <c r="C435" s="1" t="n">
        <v>45928</v>
      </c>
      <c r="D435" t="inlineStr">
        <is>
          <t>VÄRMLANDS LÄN</t>
        </is>
      </c>
      <c r="E435" t="inlineStr">
        <is>
          <t>ÅRJÄNG</t>
        </is>
      </c>
      <c r="G435" t="n">
        <v>1.6</v>
      </c>
      <c r="H435" t="n">
        <v>0</v>
      </c>
      <c r="I435" t="n">
        <v>0</v>
      </c>
      <c r="J435" t="n">
        <v>0</v>
      </c>
      <c r="K435" t="n">
        <v>0</v>
      </c>
      <c r="L435" t="n">
        <v>0</v>
      </c>
      <c r="M435" t="n">
        <v>0</v>
      </c>
      <c r="N435" t="n">
        <v>0</v>
      </c>
      <c r="O435" t="n">
        <v>0</v>
      </c>
      <c r="P435" t="n">
        <v>0</v>
      </c>
      <c r="Q435" t="n">
        <v>0</v>
      </c>
      <c r="R435" s="2" t="inlineStr"/>
    </row>
    <row r="436" ht="15" customHeight="1">
      <c r="A436" t="inlineStr">
        <is>
          <t>A 65854-2021</t>
        </is>
      </c>
      <c r="B436" s="1" t="n">
        <v>44517.37467592592</v>
      </c>
      <c r="C436" s="1" t="n">
        <v>45928</v>
      </c>
      <c r="D436" t="inlineStr">
        <is>
          <t>VÄRMLANDS LÄN</t>
        </is>
      </c>
      <c r="E436" t="inlineStr">
        <is>
          <t>ÅRJÄNG</t>
        </is>
      </c>
      <c r="G436" t="n">
        <v>11.1</v>
      </c>
      <c r="H436" t="n">
        <v>0</v>
      </c>
      <c r="I436" t="n">
        <v>0</v>
      </c>
      <c r="J436" t="n">
        <v>0</v>
      </c>
      <c r="K436" t="n">
        <v>0</v>
      </c>
      <c r="L436" t="n">
        <v>0</v>
      </c>
      <c r="M436" t="n">
        <v>0</v>
      </c>
      <c r="N436" t="n">
        <v>0</v>
      </c>
      <c r="O436" t="n">
        <v>0</v>
      </c>
      <c r="P436" t="n">
        <v>0</v>
      </c>
      <c r="Q436" t="n">
        <v>0</v>
      </c>
      <c r="R436" s="2" t="inlineStr"/>
    </row>
    <row r="437" ht="15" customHeight="1">
      <c r="A437" t="inlineStr">
        <is>
          <t>A 42149-2024</t>
        </is>
      </c>
      <c r="B437" s="1" t="n">
        <v>45562.44591435185</v>
      </c>
      <c r="C437" s="1" t="n">
        <v>45928</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8951-2021</t>
        </is>
      </c>
      <c r="B438" s="1" t="n">
        <v>44246</v>
      </c>
      <c r="C438" s="1" t="n">
        <v>45928</v>
      </c>
      <c r="D438" t="inlineStr">
        <is>
          <t>VÄRMLANDS LÄN</t>
        </is>
      </c>
      <c r="E438" t="inlineStr">
        <is>
          <t>ÅRJÄNG</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47223-2021</t>
        </is>
      </c>
      <c r="B439" s="1" t="n">
        <v>44446</v>
      </c>
      <c r="C439" s="1" t="n">
        <v>45928</v>
      </c>
      <c r="D439" t="inlineStr">
        <is>
          <t>VÄRMLANDS LÄN</t>
        </is>
      </c>
      <c r="E439" t="inlineStr">
        <is>
          <t>ÅRJÄNG</t>
        </is>
      </c>
      <c r="G439" t="n">
        <v>5.4</v>
      </c>
      <c r="H439" t="n">
        <v>0</v>
      </c>
      <c r="I439" t="n">
        <v>0</v>
      </c>
      <c r="J439" t="n">
        <v>0</v>
      </c>
      <c r="K439" t="n">
        <v>0</v>
      </c>
      <c r="L439" t="n">
        <v>0</v>
      </c>
      <c r="M439" t="n">
        <v>0</v>
      </c>
      <c r="N439" t="n">
        <v>0</v>
      </c>
      <c r="O439" t="n">
        <v>0</v>
      </c>
      <c r="P439" t="n">
        <v>0</v>
      </c>
      <c r="Q439" t="n">
        <v>0</v>
      </c>
      <c r="R439" s="2" t="inlineStr"/>
    </row>
    <row r="440" ht="15" customHeight="1">
      <c r="A440" t="inlineStr">
        <is>
          <t>A 14917-2024</t>
        </is>
      </c>
      <c r="B440" s="1" t="n">
        <v>45398</v>
      </c>
      <c r="C440" s="1" t="n">
        <v>45928</v>
      </c>
      <c r="D440" t="inlineStr">
        <is>
          <t>VÄRMLANDS LÄN</t>
        </is>
      </c>
      <c r="E440" t="inlineStr">
        <is>
          <t>ÅRJÄNG</t>
        </is>
      </c>
      <c r="G440" t="n">
        <v>19.9</v>
      </c>
      <c r="H440" t="n">
        <v>0</v>
      </c>
      <c r="I440" t="n">
        <v>0</v>
      </c>
      <c r="J440" t="n">
        <v>0</v>
      </c>
      <c r="K440" t="n">
        <v>0</v>
      </c>
      <c r="L440" t="n">
        <v>0</v>
      </c>
      <c r="M440" t="n">
        <v>0</v>
      </c>
      <c r="N440" t="n">
        <v>0</v>
      </c>
      <c r="O440" t="n">
        <v>0</v>
      </c>
      <c r="P440" t="n">
        <v>0</v>
      </c>
      <c r="Q440" t="n">
        <v>0</v>
      </c>
      <c r="R440" s="2" t="inlineStr"/>
    </row>
    <row r="441" ht="15" customHeight="1">
      <c r="A441" t="inlineStr">
        <is>
          <t>A 53793-2024</t>
        </is>
      </c>
      <c r="B441" s="1" t="n">
        <v>45615</v>
      </c>
      <c r="C441" s="1" t="n">
        <v>45928</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60172-2023</t>
        </is>
      </c>
      <c r="B442" s="1" t="n">
        <v>45257</v>
      </c>
      <c r="C442" s="1" t="n">
        <v>45928</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35869-2025</t>
        </is>
      </c>
      <c r="B443" s="1" t="n">
        <v>45862</v>
      </c>
      <c r="C443" s="1" t="n">
        <v>45928</v>
      </c>
      <c r="D443" t="inlineStr">
        <is>
          <t>VÄRMLANDS LÄN</t>
        </is>
      </c>
      <c r="E443" t="inlineStr">
        <is>
          <t>ÅRJÄNG</t>
        </is>
      </c>
      <c r="F443" t="inlineStr">
        <is>
          <t>Bergvik skog väst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48805-2022</t>
        </is>
      </c>
      <c r="B444" s="1" t="n">
        <v>44854</v>
      </c>
      <c r="C444" s="1" t="n">
        <v>45928</v>
      </c>
      <c r="D444" t="inlineStr">
        <is>
          <t>VÄRMLANDS LÄN</t>
        </is>
      </c>
      <c r="E444" t="inlineStr">
        <is>
          <t>ÅRJÄNG</t>
        </is>
      </c>
      <c r="G444" t="n">
        <v>4</v>
      </c>
      <c r="H444" t="n">
        <v>0</v>
      </c>
      <c r="I444" t="n">
        <v>0</v>
      </c>
      <c r="J444" t="n">
        <v>0</v>
      </c>
      <c r="K444" t="n">
        <v>0</v>
      </c>
      <c r="L444" t="n">
        <v>0</v>
      </c>
      <c r="M444" t="n">
        <v>0</v>
      </c>
      <c r="N444" t="n">
        <v>0</v>
      </c>
      <c r="O444" t="n">
        <v>0</v>
      </c>
      <c r="P444" t="n">
        <v>0</v>
      </c>
      <c r="Q444" t="n">
        <v>0</v>
      </c>
      <c r="R444" s="2" t="inlineStr"/>
    </row>
    <row r="445" ht="15" customHeight="1">
      <c r="A445" t="inlineStr">
        <is>
          <t>A 15537-2024</t>
        </is>
      </c>
      <c r="B445" s="1" t="n">
        <v>45401</v>
      </c>
      <c r="C445" s="1" t="n">
        <v>45928</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60975-2022</t>
        </is>
      </c>
      <c r="B446" s="1" t="n">
        <v>44914</v>
      </c>
      <c r="C446" s="1" t="n">
        <v>45928</v>
      </c>
      <c r="D446" t="inlineStr">
        <is>
          <t>VÄRMLANDS LÄN</t>
        </is>
      </c>
      <c r="E446" t="inlineStr">
        <is>
          <t>ÅRJÄNG</t>
        </is>
      </c>
      <c r="G446" t="n">
        <v>1.3</v>
      </c>
      <c r="H446" t="n">
        <v>0</v>
      </c>
      <c r="I446" t="n">
        <v>0</v>
      </c>
      <c r="J446" t="n">
        <v>0</v>
      </c>
      <c r="K446" t="n">
        <v>0</v>
      </c>
      <c r="L446" t="n">
        <v>0</v>
      </c>
      <c r="M446" t="n">
        <v>0</v>
      </c>
      <c r="N446" t="n">
        <v>0</v>
      </c>
      <c r="O446" t="n">
        <v>0</v>
      </c>
      <c r="P446" t="n">
        <v>0</v>
      </c>
      <c r="Q446" t="n">
        <v>0</v>
      </c>
      <c r="R446" s="2" t="inlineStr"/>
    </row>
    <row r="447" ht="15" customHeight="1">
      <c r="A447" t="inlineStr">
        <is>
          <t>A 36143-2025</t>
        </is>
      </c>
      <c r="B447" s="1" t="n">
        <v>45866.68708333333</v>
      </c>
      <c r="C447" s="1" t="n">
        <v>45928</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39156-2024</t>
        </is>
      </c>
      <c r="B448" s="1" t="n">
        <v>45548.62956018518</v>
      </c>
      <c r="C448" s="1" t="n">
        <v>45928</v>
      </c>
      <c r="D448" t="inlineStr">
        <is>
          <t>VÄRMLANDS LÄN</t>
        </is>
      </c>
      <c r="E448" t="inlineStr">
        <is>
          <t>ÅRJÄNG</t>
        </is>
      </c>
      <c r="G448" t="n">
        <v>0.8</v>
      </c>
      <c r="H448" t="n">
        <v>0</v>
      </c>
      <c r="I448" t="n">
        <v>0</v>
      </c>
      <c r="J448" t="n">
        <v>0</v>
      </c>
      <c r="K448" t="n">
        <v>0</v>
      </c>
      <c r="L448" t="n">
        <v>0</v>
      </c>
      <c r="M448" t="n">
        <v>0</v>
      </c>
      <c r="N448" t="n">
        <v>0</v>
      </c>
      <c r="O448" t="n">
        <v>0</v>
      </c>
      <c r="P448" t="n">
        <v>0</v>
      </c>
      <c r="Q448" t="n">
        <v>0</v>
      </c>
      <c r="R448" s="2" t="inlineStr"/>
    </row>
    <row r="449" ht="15" customHeight="1">
      <c r="A449" t="inlineStr">
        <is>
          <t>A 4748-2023</t>
        </is>
      </c>
      <c r="B449" s="1" t="n">
        <v>44957</v>
      </c>
      <c r="C449" s="1" t="n">
        <v>45928</v>
      </c>
      <c r="D449" t="inlineStr">
        <is>
          <t>VÄRMLANDS LÄN</t>
        </is>
      </c>
      <c r="E449" t="inlineStr">
        <is>
          <t>ÅRJÄNG</t>
        </is>
      </c>
      <c r="G449" t="n">
        <v>2.6</v>
      </c>
      <c r="H449" t="n">
        <v>0</v>
      </c>
      <c r="I449" t="n">
        <v>0</v>
      </c>
      <c r="J449" t="n">
        <v>0</v>
      </c>
      <c r="K449" t="n">
        <v>0</v>
      </c>
      <c r="L449" t="n">
        <v>0</v>
      </c>
      <c r="M449" t="n">
        <v>0</v>
      </c>
      <c r="N449" t="n">
        <v>0</v>
      </c>
      <c r="O449" t="n">
        <v>0</v>
      </c>
      <c r="P449" t="n">
        <v>0</v>
      </c>
      <c r="Q449" t="n">
        <v>0</v>
      </c>
      <c r="R449" s="2" t="inlineStr"/>
    </row>
    <row r="450" ht="15" customHeight="1">
      <c r="A450" t="inlineStr">
        <is>
          <t>A 43244-2023</t>
        </is>
      </c>
      <c r="B450" s="1" t="n">
        <v>45183.48121527778</v>
      </c>
      <c r="C450" s="1" t="n">
        <v>45928</v>
      </c>
      <c r="D450" t="inlineStr">
        <is>
          <t>VÄRMLANDS LÄN</t>
        </is>
      </c>
      <c r="E450" t="inlineStr">
        <is>
          <t>ÅRJÄNG</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26833-2024</t>
        </is>
      </c>
      <c r="B451" s="1" t="n">
        <v>45470</v>
      </c>
      <c r="C451" s="1" t="n">
        <v>45928</v>
      </c>
      <c r="D451" t="inlineStr">
        <is>
          <t>VÄRMLANDS LÄN</t>
        </is>
      </c>
      <c r="E451" t="inlineStr">
        <is>
          <t>ÅRJÄNG</t>
        </is>
      </c>
      <c r="F451" t="inlineStr">
        <is>
          <t>Kyrkan</t>
        </is>
      </c>
      <c r="G451" t="n">
        <v>7.9</v>
      </c>
      <c r="H451" t="n">
        <v>0</v>
      </c>
      <c r="I451" t="n">
        <v>0</v>
      </c>
      <c r="J451" t="n">
        <v>0</v>
      </c>
      <c r="K451" t="n">
        <v>0</v>
      </c>
      <c r="L451" t="n">
        <v>0</v>
      </c>
      <c r="M451" t="n">
        <v>0</v>
      </c>
      <c r="N451" t="n">
        <v>0</v>
      </c>
      <c r="O451" t="n">
        <v>0</v>
      </c>
      <c r="P451" t="n">
        <v>0</v>
      </c>
      <c r="Q451" t="n">
        <v>0</v>
      </c>
      <c r="R451" s="2" t="inlineStr"/>
    </row>
    <row r="452" ht="15" customHeight="1">
      <c r="A452" t="inlineStr">
        <is>
          <t>A 42562-2025</t>
        </is>
      </c>
      <c r="B452" s="1" t="n">
        <v>45905.59986111111</v>
      </c>
      <c r="C452" s="1" t="n">
        <v>45928</v>
      </c>
      <c r="D452" t="inlineStr">
        <is>
          <t>VÄRMLANDS LÄN</t>
        </is>
      </c>
      <c r="E452" t="inlineStr">
        <is>
          <t>ÅRJÄNG</t>
        </is>
      </c>
      <c r="G452" t="n">
        <v>2.3</v>
      </c>
      <c r="H452" t="n">
        <v>0</v>
      </c>
      <c r="I452" t="n">
        <v>0</v>
      </c>
      <c r="J452" t="n">
        <v>0</v>
      </c>
      <c r="K452" t="n">
        <v>0</v>
      </c>
      <c r="L452" t="n">
        <v>0</v>
      </c>
      <c r="M452" t="n">
        <v>0</v>
      </c>
      <c r="N452" t="n">
        <v>0</v>
      </c>
      <c r="O452" t="n">
        <v>0</v>
      </c>
      <c r="P452" t="n">
        <v>0</v>
      </c>
      <c r="Q452" t="n">
        <v>0</v>
      </c>
      <c r="R452" s="2" t="inlineStr"/>
    </row>
    <row r="453" ht="15" customHeight="1">
      <c r="A453" t="inlineStr">
        <is>
          <t>A 23690-2024</t>
        </is>
      </c>
      <c r="B453" s="1" t="n">
        <v>45454.65612268518</v>
      </c>
      <c r="C453" s="1" t="n">
        <v>45928</v>
      </c>
      <c r="D453" t="inlineStr">
        <is>
          <t>VÄRMLANDS LÄN</t>
        </is>
      </c>
      <c r="E453" t="inlineStr">
        <is>
          <t>ÅRJÄNG</t>
        </is>
      </c>
      <c r="G453" t="n">
        <v>2.4</v>
      </c>
      <c r="H453" t="n">
        <v>0</v>
      </c>
      <c r="I453" t="n">
        <v>0</v>
      </c>
      <c r="J453" t="n">
        <v>0</v>
      </c>
      <c r="K453" t="n">
        <v>0</v>
      </c>
      <c r="L453" t="n">
        <v>0</v>
      </c>
      <c r="M453" t="n">
        <v>0</v>
      </c>
      <c r="N453" t="n">
        <v>0</v>
      </c>
      <c r="O453" t="n">
        <v>0</v>
      </c>
      <c r="P453" t="n">
        <v>0</v>
      </c>
      <c r="Q453" t="n">
        <v>0</v>
      </c>
      <c r="R453" s="2" t="inlineStr"/>
    </row>
    <row r="454" ht="15" customHeight="1">
      <c r="A454" t="inlineStr">
        <is>
          <t>A 42141-2024</t>
        </is>
      </c>
      <c r="B454" s="1" t="n">
        <v>45562.43354166667</v>
      </c>
      <c r="C454" s="1" t="n">
        <v>45928</v>
      </c>
      <c r="D454" t="inlineStr">
        <is>
          <t>VÄRMLANDS LÄN</t>
        </is>
      </c>
      <c r="E454" t="inlineStr">
        <is>
          <t>ÅRJÄNG</t>
        </is>
      </c>
      <c r="G454" t="n">
        <v>2.5</v>
      </c>
      <c r="H454" t="n">
        <v>0</v>
      </c>
      <c r="I454" t="n">
        <v>0</v>
      </c>
      <c r="J454" t="n">
        <v>0</v>
      </c>
      <c r="K454" t="n">
        <v>0</v>
      </c>
      <c r="L454" t="n">
        <v>0</v>
      </c>
      <c r="M454" t="n">
        <v>0</v>
      </c>
      <c r="N454" t="n">
        <v>0</v>
      </c>
      <c r="O454" t="n">
        <v>0</v>
      </c>
      <c r="P454" t="n">
        <v>0</v>
      </c>
      <c r="Q454" t="n">
        <v>0</v>
      </c>
      <c r="R454" s="2" t="inlineStr"/>
    </row>
    <row r="455" ht="15" customHeight="1">
      <c r="A455" t="inlineStr">
        <is>
          <t>A 57992-2023</t>
        </is>
      </c>
      <c r="B455" s="1" t="n">
        <v>45244</v>
      </c>
      <c r="C455" s="1" t="n">
        <v>45928</v>
      </c>
      <c r="D455" t="inlineStr">
        <is>
          <t>VÄRMLANDS LÄN</t>
        </is>
      </c>
      <c r="E455" t="inlineStr">
        <is>
          <t>ÅRJÄNG</t>
        </is>
      </c>
      <c r="G455" t="n">
        <v>1.9</v>
      </c>
      <c r="H455" t="n">
        <v>0</v>
      </c>
      <c r="I455" t="n">
        <v>0</v>
      </c>
      <c r="J455" t="n">
        <v>0</v>
      </c>
      <c r="K455" t="n">
        <v>0</v>
      </c>
      <c r="L455" t="n">
        <v>0</v>
      </c>
      <c r="M455" t="n">
        <v>0</v>
      </c>
      <c r="N455" t="n">
        <v>0</v>
      </c>
      <c r="O455" t="n">
        <v>0</v>
      </c>
      <c r="P455" t="n">
        <v>0</v>
      </c>
      <c r="Q455" t="n">
        <v>0</v>
      </c>
      <c r="R455" s="2" t="inlineStr"/>
    </row>
    <row r="456" ht="15" customHeight="1">
      <c r="A456" t="inlineStr">
        <is>
          <t>A 11026-2023</t>
        </is>
      </c>
      <c r="B456" s="1" t="n">
        <v>44991</v>
      </c>
      <c r="C456" s="1" t="n">
        <v>45928</v>
      </c>
      <c r="D456" t="inlineStr">
        <is>
          <t>VÄRMLANDS LÄN</t>
        </is>
      </c>
      <c r="E456" t="inlineStr">
        <is>
          <t>ÅRJÄNG</t>
        </is>
      </c>
      <c r="G456" t="n">
        <v>1.3</v>
      </c>
      <c r="H456" t="n">
        <v>0</v>
      </c>
      <c r="I456" t="n">
        <v>0</v>
      </c>
      <c r="J456" t="n">
        <v>0</v>
      </c>
      <c r="K456" t="n">
        <v>0</v>
      </c>
      <c r="L456" t="n">
        <v>0</v>
      </c>
      <c r="M456" t="n">
        <v>0</v>
      </c>
      <c r="N456" t="n">
        <v>0</v>
      </c>
      <c r="O456" t="n">
        <v>0</v>
      </c>
      <c r="P456" t="n">
        <v>0</v>
      </c>
      <c r="Q456" t="n">
        <v>0</v>
      </c>
      <c r="R456" s="2" t="inlineStr"/>
    </row>
    <row r="457" ht="15" customHeight="1">
      <c r="A457" t="inlineStr">
        <is>
          <t>A 42455-2024</t>
        </is>
      </c>
      <c r="B457" s="1" t="n">
        <v>45565</v>
      </c>
      <c r="C457" s="1" t="n">
        <v>45928</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51269-2022</t>
        </is>
      </c>
      <c r="B458" s="1" t="n">
        <v>44868</v>
      </c>
      <c r="C458" s="1" t="n">
        <v>45928</v>
      </c>
      <c r="D458" t="inlineStr">
        <is>
          <t>VÄRMLANDS LÄN</t>
        </is>
      </c>
      <c r="E458" t="inlineStr">
        <is>
          <t>ÅRJÄNG</t>
        </is>
      </c>
      <c r="G458" t="n">
        <v>2.1</v>
      </c>
      <c r="H458" t="n">
        <v>0</v>
      </c>
      <c r="I458" t="n">
        <v>0</v>
      </c>
      <c r="J458" t="n">
        <v>0</v>
      </c>
      <c r="K458" t="n">
        <v>0</v>
      </c>
      <c r="L458" t="n">
        <v>0</v>
      </c>
      <c r="M458" t="n">
        <v>0</v>
      </c>
      <c r="N458" t="n">
        <v>0</v>
      </c>
      <c r="O458" t="n">
        <v>0</v>
      </c>
      <c r="P458" t="n">
        <v>0</v>
      </c>
      <c r="Q458" t="n">
        <v>0</v>
      </c>
      <c r="R458" s="2" t="inlineStr"/>
    </row>
    <row r="459" ht="15" customHeight="1">
      <c r="A459" t="inlineStr">
        <is>
          <t>A 3796-2021</t>
        </is>
      </c>
      <c r="B459" s="1" t="n">
        <v>44221</v>
      </c>
      <c r="C459" s="1" t="n">
        <v>45928</v>
      </c>
      <c r="D459" t="inlineStr">
        <is>
          <t>VÄRMLANDS LÄN</t>
        </is>
      </c>
      <c r="E459" t="inlineStr">
        <is>
          <t>ÅRJÄNG</t>
        </is>
      </c>
      <c r="G459" t="n">
        <v>4</v>
      </c>
      <c r="H459" t="n">
        <v>0</v>
      </c>
      <c r="I459" t="n">
        <v>0</v>
      </c>
      <c r="J459" t="n">
        <v>0</v>
      </c>
      <c r="K459" t="n">
        <v>0</v>
      </c>
      <c r="L459" t="n">
        <v>0</v>
      </c>
      <c r="M459" t="n">
        <v>0</v>
      </c>
      <c r="N459" t="n">
        <v>0</v>
      </c>
      <c r="O459" t="n">
        <v>0</v>
      </c>
      <c r="P459" t="n">
        <v>0</v>
      </c>
      <c r="Q459" t="n">
        <v>0</v>
      </c>
      <c r="R459" s="2" t="inlineStr"/>
    </row>
    <row r="460" ht="15" customHeight="1">
      <c r="A460" t="inlineStr">
        <is>
          <t>A 62609-2023</t>
        </is>
      </c>
      <c r="B460" s="1" t="n">
        <v>45267</v>
      </c>
      <c r="C460" s="1" t="n">
        <v>45928</v>
      </c>
      <c r="D460" t="inlineStr">
        <is>
          <t>VÄRMLANDS LÄN</t>
        </is>
      </c>
      <c r="E460" t="inlineStr">
        <is>
          <t>ÅRJÄNG</t>
        </is>
      </c>
      <c r="G460" t="n">
        <v>14.4</v>
      </c>
      <c r="H460" t="n">
        <v>0</v>
      </c>
      <c r="I460" t="n">
        <v>0</v>
      </c>
      <c r="J460" t="n">
        <v>0</v>
      </c>
      <c r="K460" t="n">
        <v>0</v>
      </c>
      <c r="L460" t="n">
        <v>0</v>
      </c>
      <c r="M460" t="n">
        <v>0</v>
      </c>
      <c r="N460" t="n">
        <v>0</v>
      </c>
      <c r="O460" t="n">
        <v>0</v>
      </c>
      <c r="P460" t="n">
        <v>0</v>
      </c>
      <c r="Q460" t="n">
        <v>0</v>
      </c>
      <c r="R460" s="2" t="inlineStr"/>
    </row>
    <row r="461" ht="15" customHeight="1">
      <c r="A461" t="inlineStr">
        <is>
          <t>A 34526-2023</t>
        </is>
      </c>
      <c r="B461" s="1" t="n">
        <v>45140.41518518519</v>
      </c>
      <c r="C461" s="1" t="n">
        <v>45928</v>
      </c>
      <c r="D461" t="inlineStr">
        <is>
          <t>VÄRMLANDS LÄN</t>
        </is>
      </c>
      <c r="E461" t="inlineStr">
        <is>
          <t>ÅRJÄNG</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42677-2025</t>
        </is>
      </c>
      <c r="B462" s="1" t="n">
        <v>45908.32836805555</v>
      </c>
      <c r="C462" s="1" t="n">
        <v>45928</v>
      </c>
      <c r="D462" t="inlineStr">
        <is>
          <t>VÄRMLANDS LÄN</t>
        </is>
      </c>
      <c r="E462" t="inlineStr">
        <is>
          <t>ÅRJÄNG</t>
        </is>
      </c>
      <c r="G462" t="n">
        <v>2.7</v>
      </c>
      <c r="H462" t="n">
        <v>0</v>
      </c>
      <c r="I462" t="n">
        <v>0</v>
      </c>
      <c r="J462" t="n">
        <v>0</v>
      </c>
      <c r="K462" t="n">
        <v>0</v>
      </c>
      <c r="L462" t="n">
        <v>0</v>
      </c>
      <c r="M462" t="n">
        <v>0</v>
      </c>
      <c r="N462" t="n">
        <v>0</v>
      </c>
      <c r="O462" t="n">
        <v>0</v>
      </c>
      <c r="P462" t="n">
        <v>0</v>
      </c>
      <c r="Q462" t="n">
        <v>0</v>
      </c>
      <c r="R462" s="2" t="inlineStr"/>
    </row>
    <row r="463" ht="15" customHeight="1">
      <c r="A463" t="inlineStr">
        <is>
          <t>A 8685-2024</t>
        </is>
      </c>
      <c r="B463" s="1" t="n">
        <v>45356</v>
      </c>
      <c r="C463" s="1" t="n">
        <v>45928</v>
      </c>
      <c r="D463" t="inlineStr">
        <is>
          <t>VÄRMLANDS LÄN</t>
        </is>
      </c>
      <c r="E463" t="inlineStr">
        <is>
          <t>ÅRJÄNG</t>
        </is>
      </c>
      <c r="G463" t="n">
        <v>2.5</v>
      </c>
      <c r="H463" t="n">
        <v>0</v>
      </c>
      <c r="I463" t="n">
        <v>0</v>
      </c>
      <c r="J463" t="n">
        <v>0</v>
      </c>
      <c r="K463" t="n">
        <v>0</v>
      </c>
      <c r="L463" t="n">
        <v>0</v>
      </c>
      <c r="M463" t="n">
        <v>0</v>
      </c>
      <c r="N463" t="n">
        <v>0</v>
      </c>
      <c r="O463" t="n">
        <v>0</v>
      </c>
      <c r="P463" t="n">
        <v>0</v>
      </c>
      <c r="Q463" t="n">
        <v>0</v>
      </c>
      <c r="R463" s="2" t="inlineStr"/>
    </row>
    <row r="464" ht="15" customHeight="1">
      <c r="A464" t="inlineStr">
        <is>
          <t>A 49673-2022</t>
        </is>
      </c>
      <c r="B464" s="1" t="n">
        <v>44862.47881944444</v>
      </c>
      <c r="C464" s="1" t="n">
        <v>45928</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54335-2021</t>
        </is>
      </c>
      <c r="B465" s="1" t="n">
        <v>44472.93063657408</v>
      </c>
      <c r="C465" s="1" t="n">
        <v>45928</v>
      </c>
      <c r="D465" t="inlineStr">
        <is>
          <t>VÄRMLANDS LÄN</t>
        </is>
      </c>
      <c r="E465" t="inlineStr">
        <is>
          <t>ÅRJÄNG</t>
        </is>
      </c>
      <c r="G465" t="n">
        <v>5.5</v>
      </c>
      <c r="H465" t="n">
        <v>0</v>
      </c>
      <c r="I465" t="n">
        <v>0</v>
      </c>
      <c r="J465" t="n">
        <v>0</v>
      </c>
      <c r="K465" t="n">
        <v>0</v>
      </c>
      <c r="L465" t="n">
        <v>0</v>
      </c>
      <c r="M465" t="n">
        <v>0</v>
      </c>
      <c r="N465" t="n">
        <v>0</v>
      </c>
      <c r="O465" t="n">
        <v>0</v>
      </c>
      <c r="P465" t="n">
        <v>0</v>
      </c>
      <c r="Q465" t="n">
        <v>0</v>
      </c>
      <c r="R465" s="2" t="inlineStr"/>
    </row>
    <row r="466" ht="15" customHeight="1">
      <c r="A466" t="inlineStr">
        <is>
          <t>A 36862-2025</t>
        </is>
      </c>
      <c r="B466" s="1" t="n">
        <v>45874</v>
      </c>
      <c r="C466" s="1" t="n">
        <v>45928</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50339-2024</t>
        </is>
      </c>
      <c r="B467" s="1" t="n">
        <v>45600.73030092593</v>
      </c>
      <c r="C467" s="1" t="n">
        <v>45928</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50388-2024</t>
        </is>
      </c>
      <c r="B468" s="1" t="n">
        <v>45600</v>
      </c>
      <c r="C468" s="1" t="n">
        <v>45928</v>
      </c>
      <c r="D468" t="inlineStr">
        <is>
          <t>VÄRMLANDS LÄN</t>
        </is>
      </c>
      <c r="E468" t="inlineStr">
        <is>
          <t>ÅRJÄNG</t>
        </is>
      </c>
      <c r="G468" t="n">
        <v>1.3</v>
      </c>
      <c r="H468" t="n">
        <v>0</v>
      </c>
      <c r="I468" t="n">
        <v>0</v>
      </c>
      <c r="J468" t="n">
        <v>0</v>
      </c>
      <c r="K468" t="n">
        <v>0</v>
      </c>
      <c r="L468" t="n">
        <v>0</v>
      </c>
      <c r="M468" t="n">
        <v>0</v>
      </c>
      <c r="N468" t="n">
        <v>0</v>
      </c>
      <c r="O468" t="n">
        <v>0</v>
      </c>
      <c r="P468" t="n">
        <v>0</v>
      </c>
      <c r="Q468" t="n">
        <v>0</v>
      </c>
      <c r="R468" s="2" t="inlineStr"/>
    </row>
    <row r="469" ht="15" customHeight="1">
      <c r="A469" t="inlineStr">
        <is>
          <t>A 11176-2023</t>
        </is>
      </c>
      <c r="B469" s="1" t="n">
        <v>44987</v>
      </c>
      <c r="C469" s="1" t="n">
        <v>45928</v>
      </c>
      <c r="D469" t="inlineStr">
        <is>
          <t>VÄRMLANDS LÄN</t>
        </is>
      </c>
      <c r="E469" t="inlineStr">
        <is>
          <t>ÅRJÄNG</t>
        </is>
      </c>
      <c r="G469" t="n">
        <v>5.2</v>
      </c>
      <c r="H469" t="n">
        <v>0</v>
      </c>
      <c r="I469" t="n">
        <v>0</v>
      </c>
      <c r="J469" t="n">
        <v>0</v>
      </c>
      <c r="K469" t="n">
        <v>0</v>
      </c>
      <c r="L469" t="n">
        <v>0</v>
      </c>
      <c r="M469" t="n">
        <v>0</v>
      </c>
      <c r="N469" t="n">
        <v>0</v>
      </c>
      <c r="O469" t="n">
        <v>0</v>
      </c>
      <c r="P469" t="n">
        <v>0</v>
      </c>
      <c r="Q469" t="n">
        <v>0</v>
      </c>
      <c r="R469" s="2" t="inlineStr"/>
    </row>
    <row r="470" ht="15" customHeight="1">
      <c r="A470" t="inlineStr">
        <is>
          <t>A 49057-2024</t>
        </is>
      </c>
      <c r="B470" s="1" t="n">
        <v>45594</v>
      </c>
      <c r="C470" s="1" t="n">
        <v>45928</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43025-2025</t>
        </is>
      </c>
      <c r="B471" s="1" t="n">
        <v>45909.53126157408</v>
      </c>
      <c r="C471" s="1" t="n">
        <v>45928</v>
      </c>
      <c r="D471" t="inlineStr">
        <is>
          <t>VÄRMLANDS LÄN</t>
        </is>
      </c>
      <c r="E471" t="inlineStr">
        <is>
          <t>ÅRJÄNG</t>
        </is>
      </c>
      <c r="G471" t="n">
        <v>3.8</v>
      </c>
      <c r="H471" t="n">
        <v>0</v>
      </c>
      <c r="I471" t="n">
        <v>0</v>
      </c>
      <c r="J471" t="n">
        <v>0</v>
      </c>
      <c r="K471" t="n">
        <v>0</v>
      </c>
      <c r="L471" t="n">
        <v>0</v>
      </c>
      <c r="M471" t="n">
        <v>0</v>
      </c>
      <c r="N471" t="n">
        <v>0</v>
      </c>
      <c r="O471" t="n">
        <v>0</v>
      </c>
      <c r="P471" t="n">
        <v>0</v>
      </c>
      <c r="Q471" t="n">
        <v>0</v>
      </c>
      <c r="R471" s="2" t="inlineStr"/>
    </row>
    <row r="472" ht="15" customHeight="1">
      <c r="A472" t="inlineStr">
        <is>
          <t>A 8678-2022</t>
        </is>
      </c>
      <c r="B472" s="1" t="n">
        <v>44613.68043981482</v>
      </c>
      <c r="C472" s="1" t="n">
        <v>45928</v>
      </c>
      <c r="D472" t="inlineStr">
        <is>
          <t>VÄRMLANDS LÄN</t>
        </is>
      </c>
      <c r="E472" t="inlineStr">
        <is>
          <t>ÅRJÄNG</t>
        </is>
      </c>
      <c r="G472" t="n">
        <v>1</v>
      </c>
      <c r="H472" t="n">
        <v>0</v>
      </c>
      <c r="I472" t="n">
        <v>0</v>
      </c>
      <c r="J472" t="n">
        <v>0</v>
      </c>
      <c r="K472" t="n">
        <v>0</v>
      </c>
      <c r="L472" t="n">
        <v>0</v>
      </c>
      <c r="M472" t="n">
        <v>0</v>
      </c>
      <c r="N472" t="n">
        <v>0</v>
      </c>
      <c r="O472" t="n">
        <v>0</v>
      </c>
      <c r="P472" t="n">
        <v>0</v>
      </c>
      <c r="Q472" t="n">
        <v>0</v>
      </c>
      <c r="R472" s="2" t="inlineStr"/>
    </row>
    <row r="473" ht="15" customHeight="1">
      <c r="A473" t="inlineStr">
        <is>
          <t>A 61009-2022</t>
        </is>
      </c>
      <c r="B473" s="1" t="n">
        <v>44914.7541550926</v>
      </c>
      <c r="C473" s="1" t="n">
        <v>45928</v>
      </c>
      <c r="D473" t="inlineStr">
        <is>
          <t>VÄRMLANDS LÄN</t>
        </is>
      </c>
      <c r="E473" t="inlineStr">
        <is>
          <t>ÅRJÄNG</t>
        </is>
      </c>
      <c r="G473" t="n">
        <v>1.3</v>
      </c>
      <c r="H473" t="n">
        <v>0</v>
      </c>
      <c r="I473" t="n">
        <v>0</v>
      </c>
      <c r="J473" t="n">
        <v>0</v>
      </c>
      <c r="K473" t="n">
        <v>0</v>
      </c>
      <c r="L473" t="n">
        <v>0</v>
      </c>
      <c r="M473" t="n">
        <v>0</v>
      </c>
      <c r="N473" t="n">
        <v>0</v>
      </c>
      <c r="O473" t="n">
        <v>0</v>
      </c>
      <c r="P473" t="n">
        <v>0</v>
      </c>
      <c r="Q473" t="n">
        <v>0</v>
      </c>
      <c r="R473" s="2" t="inlineStr"/>
    </row>
    <row r="474" ht="15" customHeight="1">
      <c r="A474" t="inlineStr">
        <is>
          <t>A 43012-2025</t>
        </is>
      </c>
      <c r="B474" s="1" t="n">
        <v>45909.48989583334</v>
      </c>
      <c r="C474" s="1" t="n">
        <v>45928</v>
      </c>
      <c r="D474" t="inlineStr">
        <is>
          <t>VÄRMLANDS LÄN</t>
        </is>
      </c>
      <c r="E474" t="inlineStr">
        <is>
          <t>ÅRJÄNG</t>
        </is>
      </c>
      <c r="G474" t="n">
        <v>3.1</v>
      </c>
      <c r="H474" t="n">
        <v>0</v>
      </c>
      <c r="I474" t="n">
        <v>0</v>
      </c>
      <c r="J474" t="n">
        <v>0</v>
      </c>
      <c r="K474" t="n">
        <v>0</v>
      </c>
      <c r="L474" t="n">
        <v>0</v>
      </c>
      <c r="M474" t="n">
        <v>0</v>
      </c>
      <c r="N474" t="n">
        <v>0</v>
      </c>
      <c r="O474" t="n">
        <v>0</v>
      </c>
      <c r="P474" t="n">
        <v>0</v>
      </c>
      <c r="Q474" t="n">
        <v>0</v>
      </c>
      <c r="R474" s="2" t="inlineStr"/>
    </row>
    <row r="475" ht="15" customHeight="1">
      <c r="A475" t="inlineStr">
        <is>
          <t>A 24339-2024</t>
        </is>
      </c>
      <c r="B475" s="1" t="n">
        <v>45457</v>
      </c>
      <c r="C475" s="1" t="n">
        <v>45928</v>
      </c>
      <c r="D475" t="inlineStr">
        <is>
          <t>VÄRMLANDS LÄN</t>
        </is>
      </c>
      <c r="E475" t="inlineStr">
        <is>
          <t>ÅRJÄNG</t>
        </is>
      </c>
      <c r="G475" t="n">
        <v>0.9</v>
      </c>
      <c r="H475" t="n">
        <v>0</v>
      </c>
      <c r="I475" t="n">
        <v>0</v>
      </c>
      <c r="J475" t="n">
        <v>0</v>
      </c>
      <c r="K475" t="n">
        <v>0</v>
      </c>
      <c r="L475" t="n">
        <v>0</v>
      </c>
      <c r="M475" t="n">
        <v>0</v>
      </c>
      <c r="N475" t="n">
        <v>0</v>
      </c>
      <c r="O475" t="n">
        <v>0</v>
      </c>
      <c r="P475" t="n">
        <v>0</v>
      </c>
      <c r="Q475" t="n">
        <v>0</v>
      </c>
      <c r="R475" s="2" t="inlineStr"/>
    </row>
    <row r="476" ht="15" customHeight="1">
      <c r="A476" t="inlineStr">
        <is>
          <t>A 34574-2023</t>
        </is>
      </c>
      <c r="B476" s="1" t="n">
        <v>45135</v>
      </c>
      <c r="C476" s="1" t="n">
        <v>45928</v>
      </c>
      <c r="D476" t="inlineStr">
        <is>
          <t>VÄRMLANDS LÄN</t>
        </is>
      </c>
      <c r="E476" t="inlineStr">
        <is>
          <t>ÅRJÄNG</t>
        </is>
      </c>
      <c r="F476" t="inlineStr">
        <is>
          <t>Övriga Aktiebolag</t>
        </is>
      </c>
      <c r="G476" t="n">
        <v>5.9</v>
      </c>
      <c r="H476" t="n">
        <v>0</v>
      </c>
      <c r="I476" t="n">
        <v>0</v>
      </c>
      <c r="J476" t="n">
        <v>0</v>
      </c>
      <c r="K476" t="n">
        <v>0</v>
      </c>
      <c r="L476" t="n">
        <v>0</v>
      </c>
      <c r="M476" t="n">
        <v>0</v>
      </c>
      <c r="N476" t="n">
        <v>0</v>
      </c>
      <c r="O476" t="n">
        <v>0</v>
      </c>
      <c r="P476" t="n">
        <v>0</v>
      </c>
      <c r="Q476" t="n">
        <v>0</v>
      </c>
      <c r="R476" s="2" t="inlineStr"/>
    </row>
    <row r="477" ht="15" customHeight="1">
      <c r="A477" t="inlineStr">
        <is>
          <t>A 43047-2025</t>
        </is>
      </c>
      <c r="B477" s="1" t="n">
        <v>45909.56127314815</v>
      </c>
      <c r="C477" s="1" t="n">
        <v>45928</v>
      </c>
      <c r="D477" t="inlineStr">
        <is>
          <t>VÄRMLANDS LÄN</t>
        </is>
      </c>
      <c r="E477" t="inlineStr">
        <is>
          <t>ÅRJÄNG</t>
        </is>
      </c>
      <c r="G477" t="n">
        <v>6.3</v>
      </c>
      <c r="H477" t="n">
        <v>0</v>
      </c>
      <c r="I477" t="n">
        <v>0</v>
      </c>
      <c r="J477" t="n">
        <v>0</v>
      </c>
      <c r="K477" t="n">
        <v>0</v>
      </c>
      <c r="L477" t="n">
        <v>0</v>
      </c>
      <c r="M477" t="n">
        <v>0</v>
      </c>
      <c r="N477" t="n">
        <v>0</v>
      </c>
      <c r="O477" t="n">
        <v>0</v>
      </c>
      <c r="P477" t="n">
        <v>0</v>
      </c>
      <c r="Q477" t="n">
        <v>0</v>
      </c>
      <c r="R477" s="2" t="inlineStr"/>
    </row>
    <row r="478" ht="15" customHeight="1">
      <c r="A478" t="inlineStr">
        <is>
          <t>A 43050-2025</t>
        </is>
      </c>
      <c r="B478" s="1" t="n">
        <v>45909.56809027777</v>
      </c>
      <c r="C478" s="1" t="n">
        <v>45928</v>
      </c>
      <c r="D478" t="inlineStr">
        <is>
          <t>VÄRMLANDS LÄN</t>
        </is>
      </c>
      <c r="E478" t="inlineStr">
        <is>
          <t>ÅRJÄNG</t>
        </is>
      </c>
      <c r="G478" t="n">
        <v>4.8</v>
      </c>
      <c r="H478" t="n">
        <v>0</v>
      </c>
      <c r="I478" t="n">
        <v>0</v>
      </c>
      <c r="J478" t="n">
        <v>0</v>
      </c>
      <c r="K478" t="n">
        <v>0</v>
      </c>
      <c r="L478" t="n">
        <v>0</v>
      </c>
      <c r="M478" t="n">
        <v>0</v>
      </c>
      <c r="N478" t="n">
        <v>0</v>
      </c>
      <c r="O478" t="n">
        <v>0</v>
      </c>
      <c r="P478" t="n">
        <v>0</v>
      </c>
      <c r="Q478" t="n">
        <v>0</v>
      </c>
      <c r="R478" s="2" t="inlineStr"/>
    </row>
    <row r="479" ht="15" customHeight="1">
      <c r="A479" t="inlineStr">
        <is>
          <t>A 48293-2022</t>
        </is>
      </c>
      <c r="B479" s="1" t="n">
        <v>44858.51623842592</v>
      </c>
      <c r="C479" s="1" t="n">
        <v>45928</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38433-2024</t>
        </is>
      </c>
      <c r="B480" s="1" t="n">
        <v>45546</v>
      </c>
      <c r="C480" s="1" t="n">
        <v>45928</v>
      </c>
      <c r="D480" t="inlineStr">
        <is>
          <t>VÄRMLANDS LÄN</t>
        </is>
      </c>
      <c r="E480" t="inlineStr">
        <is>
          <t>ÅRJÄNG</t>
        </is>
      </c>
      <c r="G480" t="n">
        <v>0.3</v>
      </c>
      <c r="H480" t="n">
        <v>0</v>
      </c>
      <c r="I480" t="n">
        <v>0</v>
      </c>
      <c r="J480" t="n">
        <v>0</v>
      </c>
      <c r="K480" t="n">
        <v>0</v>
      </c>
      <c r="L480" t="n">
        <v>0</v>
      </c>
      <c r="M480" t="n">
        <v>0</v>
      </c>
      <c r="N480" t="n">
        <v>0</v>
      </c>
      <c r="O480" t="n">
        <v>0</v>
      </c>
      <c r="P480" t="n">
        <v>0</v>
      </c>
      <c r="Q480" t="n">
        <v>0</v>
      </c>
      <c r="R480" s="2" t="inlineStr"/>
    </row>
    <row r="481" ht="15" customHeight="1">
      <c r="A481" t="inlineStr">
        <is>
          <t>A 42971-2025</t>
        </is>
      </c>
      <c r="B481" s="1" t="n">
        <v>45909.41502314815</v>
      </c>
      <c r="C481" s="1" t="n">
        <v>45928</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64690-2023</t>
        </is>
      </c>
      <c r="B482" s="1" t="n">
        <v>45281.63434027778</v>
      </c>
      <c r="C482" s="1" t="n">
        <v>45928</v>
      </c>
      <c r="D482" t="inlineStr">
        <is>
          <t>VÄRMLANDS LÄN</t>
        </is>
      </c>
      <c r="E482" t="inlineStr">
        <is>
          <t>ÅRJÄNG</t>
        </is>
      </c>
      <c r="G482" t="n">
        <v>2.1</v>
      </c>
      <c r="H482" t="n">
        <v>0</v>
      </c>
      <c r="I482" t="n">
        <v>0</v>
      </c>
      <c r="J482" t="n">
        <v>0</v>
      </c>
      <c r="K482" t="n">
        <v>0</v>
      </c>
      <c r="L482" t="n">
        <v>0</v>
      </c>
      <c r="M482" t="n">
        <v>0</v>
      </c>
      <c r="N482" t="n">
        <v>0</v>
      </c>
      <c r="O482" t="n">
        <v>0</v>
      </c>
      <c r="P482" t="n">
        <v>0</v>
      </c>
      <c r="Q482" t="n">
        <v>0</v>
      </c>
      <c r="R482" s="2" t="inlineStr"/>
    </row>
    <row r="483" ht="15" customHeight="1">
      <c r="A483" t="inlineStr">
        <is>
          <t>A 9489-2025</t>
        </is>
      </c>
      <c r="B483" s="1" t="n">
        <v>45715</v>
      </c>
      <c r="C483" s="1" t="n">
        <v>45928</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58141-2023</t>
        </is>
      </c>
      <c r="B484" s="1" t="n">
        <v>45245</v>
      </c>
      <c r="C484" s="1" t="n">
        <v>45928</v>
      </c>
      <c r="D484" t="inlineStr">
        <is>
          <t>VÄRMLANDS LÄN</t>
        </is>
      </c>
      <c r="E484" t="inlineStr">
        <is>
          <t>ÅRJÄNG</t>
        </is>
      </c>
      <c r="G484" t="n">
        <v>6.2</v>
      </c>
      <c r="H484" t="n">
        <v>0</v>
      </c>
      <c r="I484" t="n">
        <v>0</v>
      </c>
      <c r="J484" t="n">
        <v>0</v>
      </c>
      <c r="K484" t="n">
        <v>0</v>
      </c>
      <c r="L484" t="n">
        <v>0</v>
      </c>
      <c r="M484" t="n">
        <v>0</v>
      </c>
      <c r="N484" t="n">
        <v>0</v>
      </c>
      <c r="O484" t="n">
        <v>0</v>
      </c>
      <c r="P484" t="n">
        <v>0</v>
      </c>
      <c r="Q484" t="n">
        <v>0</v>
      </c>
      <c r="R484" s="2" t="inlineStr"/>
    </row>
    <row r="485" ht="15" customHeight="1">
      <c r="A485" t="inlineStr">
        <is>
          <t>A 43484-2025</t>
        </is>
      </c>
      <c r="B485" s="1" t="n">
        <v>45911.5033912037</v>
      </c>
      <c r="C485" s="1" t="n">
        <v>45928</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7574-2024</t>
        </is>
      </c>
      <c r="B486" s="1" t="n">
        <v>45348</v>
      </c>
      <c r="C486" s="1" t="n">
        <v>45928</v>
      </c>
      <c r="D486" t="inlineStr">
        <is>
          <t>VÄRMLANDS LÄN</t>
        </is>
      </c>
      <c r="E486" t="inlineStr">
        <is>
          <t>ÅRJÄNG</t>
        </is>
      </c>
      <c r="G486" t="n">
        <v>4.6</v>
      </c>
      <c r="H486" t="n">
        <v>0</v>
      </c>
      <c r="I486" t="n">
        <v>0</v>
      </c>
      <c r="J486" t="n">
        <v>0</v>
      </c>
      <c r="K486" t="n">
        <v>0</v>
      </c>
      <c r="L486" t="n">
        <v>0</v>
      </c>
      <c r="M486" t="n">
        <v>0</v>
      </c>
      <c r="N486" t="n">
        <v>0</v>
      </c>
      <c r="O486" t="n">
        <v>0</v>
      </c>
      <c r="P486" t="n">
        <v>0</v>
      </c>
      <c r="Q486" t="n">
        <v>0</v>
      </c>
      <c r="R486" s="2" t="inlineStr"/>
    </row>
    <row r="487" ht="15" customHeight="1">
      <c r="A487" t="inlineStr">
        <is>
          <t>A 27138-2024</t>
        </is>
      </c>
      <c r="B487" s="1" t="n">
        <v>45471</v>
      </c>
      <c r="C487" s="1" t="n">
        <v>45928</v>
      </c>
      <c r="D487" t="inlineStr">
        <is>
          <t>VÄRMLANDS LÄN</t>
        </is>
      </c>
      <c r="E487" t="inlineStr">
        <is>
          <t>ÅRJÄNG</t>
        </is>
      </c>
      <c r="G487" t="n">
        <v>5.7</v>
      </c>
      <c r="H487" t="n">
        <v>0</v>
      </c>
      <c r="I487" t="n">
        <v>0</v>
      </c>
      <c r="J487" t="n">
        <v>0</v>
      </c>
      <c r="K487" t="n">
        <v>0</v>
      </c>
      <c r="L487" t="n">
        <v>0</v>
      </c>
      <c r="M487" t="n">
        <v>0</v>
      </c>
      <c r="N487" t="n">
        <v>0</v>
      </c>
      <c r="O487" t="n">
        <v>0</v>
      </c>
      <c r="P487" t="n">
        <v>0</v>
      </c>
      <c r="Q487" t="n">
        <v>0</v>
      </c>
      <c r="R487" s="2" t="inlineStr"/>
    </row>
    <row r="488" ht="15" customHeight="1">
      <c r="A488" t="inlineStr">
        <is>
          <t>A 7746-2022</t>
        </is>
      </c>
      <c r="B488" s="1" t="n">
        <v>44608.39331018519</v>
      </c>
      <c r="C488" s="1" t="n">
        <v>45928</v>
      </c>
      <c r="D488" t="inlineStr">
        <is>
          <t>VÄRMLANDS LÄN</t>
        </is>
      </c>
      <c r="E488" t="inlineStr">
        <is>
          <t>ÅRJÄNG</t>
        </is>
      </c>
      <c r="G488" t="n">
        <v>3.1</v>
      </c>
      <c r="H488" t="n">
        <v>0</v>
      </c>
      <c r="I488" t="n">
        <v>0</v>
      </c>
      <c r="J488" t="n">
        <v>0</v>
      </c>
      <c r="K488" t="n">
        <v>0</v>
      </c>
      <c r="L488" t="n">
        <v>0</v>
      </c>
      <c r="M488" t="n">
        <v>0</v>
      </c>
      <c r="N488" t="n">
        <v>0</v>
      </c>
      <c r="O488" t="n">
        <v>0</v>
      </c>
      <c r="P488" t="n">
        <v>0</v>
      </c>
      <c r="Q488" t="n">
        <v>0</v>
      </c>
      <c r="R488" s="2" t="inlineStr"/>
    </row>
    <row r="489" ht="15" customHeight="1">
      <c r="A489" t="inlineStr">
        <is>
          <t>A 34410-2023</t>
        </is>
      </c>
      <c r="B489" s="1" t="n">
        <v>45139.56870370371</v>
      </c>
      <c r="C489" s="1" t="n">
        <v>45928</v>
      </c>
      <c r="D489" t="inlineStr">
        <is>
          <t>VÄRMLANDS LÄN</t>
        </is>
      </c>
      <c r="E489" t="inlineStr">
        <is>
          <t>ÅRJÄNG</t>
        </is>
      </c>
      <c r="G489" t="n">
        <v>0.6</v>
      </c>
      <c r="H489" t="n">
        <v>0</v>
      </c>
      <c r="I489" t="n">
        <v>0</v>
      </c>
      <c r="J489" t="n">
        <v>0</v>
      </c>
      <c r="K489" t="n">
        <v>0</v>
      </c>
      <c r="L489" t="n">
        <v>0</v>
      </c>
      <c r="M489" t="n">
        <v>0</v>
      </c>
      <c r="N489" t="n">
        <v>0</v>
      </c>
      <c r="O489" t="n">
        <v>0</v>
      </c>
      <c r="P489" t="n">
        <v>0</v>
      </c>
      <c r="Q489" t="n">
        <v>0</v>
      </c>
      <c r="R489" s="2" t="inlineStr"/>
    </row>
    <row r="490" ht="15" customHeight="1">
      <c r="A490" t="inlineStr">
        <is>
          <t>A 33304-2021</t>
        </is>
      </c>
      <c r="B490" s="1" t="n">
        <v>44377.43040509259</v>
      </c>
      <c r="C490" s="1" t="n">
        <v>45928</v>
      </c>
      <c r="D490" t="inlineStr">
        <is>
          <t>VÄRMLANDS LÄN</t>
        </is>
      </c>
      <c r="E490" t="inlineStr">
        <is>
          <t>ÅRJÄNG</t>
        </is>
      </c>
      <c r="G490" t="n">
        <v>4.9</v>
      </c>
      <c r="H490" t="n">
        <v>0</v>
      </c>
      <c r="I490" t="n">
        <v>0</v>
      </c>
      <c r="J490" t="n">
        <v>0</v>
      </c>
      <c r="K490" t="n">
        <v>0</v>
      </c>
      <c r="L490" t="n">
        <v>0</v>
      </c>
      <c r="M490" t="n">
        <v>0</v>
      </c>
      <c r="N490" t="n">
        <v>0</v>
      </c>
      <c r="O490" t="n">
        <v>0</v>
      </c>
      <c r="P490" t="n">
        <v>0</v>
      </c>
      <c r="Q490" t="n">
        <v>0</v>
      </c>
      <c r="R490" s="2" t="inlineStr"/>
    </row>
    <row r="491" ht="15" customHeight="1">
      <c r="A491" t="inlineStr">
        <is>
          <t>A 30693-2021</t>
        </is>
      </c>
      <c r="B491" s="1" t="n">
        <v>44365</v>
      </c>
      <c r="C491" s="1" t="n">
        <v>45928</v>
      </c>
      <c r="D491" t="inlineStr">
        <is>
          <t>VÄRMLANDS LÄN</t>
        </is>
      </c>
      <c r="E491" t="inlineStr">
        <is>
          <t>ÅRJÄNG</t>
        </is>
      </c>
      <c r="G491" t="n">
        <v>8.4</v>
      </c>
      <c r="H491" t="n">
        <v>0</v>
      </c>
      <c r="I491" t="n">
        <v>0</v>
      </c>
      <c r="J491" t="n">
        <v>0</v>
      </c>
      <c r="K491" t="n">
        <v>0</v>
      </c>
      <c r="L491" t="n">
        <v>0</v>
      </c>
      <c r="M491" t="n">
        <v>0</v>
      </c>
      <c r="N491" t="n">
        <v>0</v>
      </c>
      <c r="O491" t="n">
        <v>0</v>
      </c>
      <c r="P491" t="n">
        <v>0</v>
      </c>
      <c r="Q491" t="n">
        <v>0</v>
      </c>
      <c r="R491" s="2" t="inlineStr"/>
    </row>
    <row r="492" ht="15" customHeight="1">
      <c r="A492" t="inlineStr">
        <is>
          <t>A 7537-2021</t>
        </is>
      </c>
      <c r="B492" s="1" t="n">
        <v>44239</v>
      </c>
      <c r="C492" s="1" t="n">
        <v>45928</v>
      </c>
      <c r="D492" t="inlineStr">
        <is>
          <t>VÄRMLANDS LÄN</t>
        </is>
      </c>
      <c r="E492" t="inlineStr">
        <is>
          <t>ÅRJÄNG</t>
        </is>
      </c>
      <c r="G492" t="n">
        <v>4.2</v>
      </c>
      <c r="H492" t="n">
        <v>0</v>
      </c>
      <c r="I492" t="n">
        <v>0</v>
      </c>
      <c r="J492" t="n">
        <v>0</v>
      </c>
      <c r="K492" t="n">
        <v>0</v>
      </c>
      <c r="L492" t="n">
        <v>0</v>
      </c>
      <c r="M492" t="n">
        <v>0</v>
      </c>
      <c r="N492" t="n">
        <v>0</v>
      </c>
      <c r="O492" t="n">
        <v>0</v>
      </c>
      <c r="P492" t="n">
        <v>0</v>
      </c>
      <c r="Q492" t="n">
        <v>0</v>
      </c>
      <c r="R492" s="2" t="inlineStr"/>
    </row>
    <row r="493" ht="15" customHeight="1">
      <c r="A493" t="inlineStr">
        <is>
          <t>A 50301-2024</t>
        </is>
      </c>
      <c r="B493" s="1" t="n">
        <v>45600</v>
      </c>
      <c r="C493" s="1" t="n">
        <v>45928</v>
      </c>
      <c r="D493" t="inlineStr">
        <is>
          <t>VÄRMLANDS LÄN</t>
        </is>
      </c>
      <c r="E493" t="inlineStr">
        <is>
          <t>ÅRJÄNG</t>
        </is>
      </c>
      <c r="G493" t="n">
        <v>0.5</v>
      </c>
      <c r="H493" t="n">
        <v>0</v>
      </c>
      <c r="I493" t="n">
        <v>0</v>
      </c>
      <c r="J493" t="n">
        <v>0</v>
      </c>
      <c r="K493" t="n">
        <v>0</v>
      </c>
      <c r="L493" t="n">
        <v>0</v>
      </c>
      <c r="M493" t="n">
        <v>0</v>
      </c>
      <c r="N493" t="n">
        <v>0</v>
      </c>
      <c r="O493" t="n">
        <v>0</v>
      </c>
      <c r="P493" t="n">
        <v>0</v>
      </c>
      <c r="Q493" t="n">
        <v>0</v>
      </c>
      <c r="R493" s="2" t="inlineStr"/>
    </row>
    <row r="494" ht="15" customHeight="1">
      <c r="A494" t="inlineStr">
        <is>
          <t>A 15616-2023</t>
        </is>
      </c>
      <c r="B494" s="1" t="n">
        <v>45020.88847222222</v>
      </c>
      <c r="C494" s="1" t="n">
        <v>45928</v>
      </c>
      <c r="D494" t="inlineStr">
        <is>
          <t>VÄRMLANDS LÄN</t>
        </is>
      </c>
      <c r="E494" t="inlineStr">
        <is>
          <t>ÅRJÄNG</t>
        </is>
      </c>
      <c r="G494" t="n">
        <v>0.8</v>
      </c>
      <c r="H494" t="n">
        <v>0</v>
      </c>
      <c r="I494" t="n">
        <v>0</v>
      </c>
      <c r="J494" t="n">
        <v>0</v>
      </c>
      <c r="K494" t="n">
        <v>0</v>
      </c>
      <c r="L494" t="n">
        <v>0</v>
      </c>
      <c r="M494" t="n">
        <v>0</v>
      </c>
      <c r="N494" t="n">
        <v>0</v>
      </c>
      <c r="O494" t="n">
        <v>0</v>
      </c>
      <c r="P494" t="n">
        <v>0</v>
      </c>
      <c r="Q494" t="n">
        <v>0</v>
      </c>
      <c r="R494" s="2" t="inlineStr"/>
    </row>
    <row r="495" ht="15" customHeight="1">
      <c r="A495" t="inlineStr">
        <is>
          <t>A 5342-2022</t>
        </is>
      </c>
      <c r="B495" s="1" t="n">
        <v>44594.72582175926</v>
      </c>
      <c r="C495" s="1" t="n">
        <v>45928</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25654-2024</t>
        </is>
      </c>
      <c r="B496" s="1" t="n">
        <v>45463</v>
      </c>
      <c r="C496" s="1" t="n">
        <v>45928</v>
      </c>
      <c r="D496" t="inlineStr">
        <is>
          <t>VÄRMLANDS LÄN</t>
        </is>
      </c>
      <c r="E496" t="inlineStr">
        <is>
          <t>ÅRJÄNG</t>
        </is>
      </c>
      <c r="G496" t="n">
        <v>16.9</v>
      </c>
      <c r="H496" t="n">
        <v>0</v>
      </c>
      <c r="I496" t="n">
        <v>0</v>
      </c>
      <c r="J496" t="n">
        <v>0</v>
      </c>
      <c r="K496" t="n">
        <v>0</v>
      </c>
      <c r="L496" t="n">
        <v>0</v>
      </c>
      <c r="M496" t="n">
        <v>0</v>
      </c>
      <c r="N496" t="n">
        <v>0</v>
      </c>
      <c r="O496" t="n">
        <v>0</v>
      </c>
      <c r="P496" t="n">
        <v>0</v>
      </c>
      <c r="Q496" t="n">
        <v>0</v>
      </c>
      <c r="R496" s="2" t="inlineStr"/>
    </row>
    <row r="497" ht="15" customHeight="1">
      <c r="A497" t="inlineStr">
        <is>
          <t>A 72476-2021</t>
        </is>
      </c>
      <c r="B497" s="1" t="n">
        <v>44545.86997685185</v>
      </c>
      <c r="C497" s="1" t="n">
        <v>45928</v>
      </c>
      <c r="D497" t="inlineStr">
        <is>
          <t>VÄRMLANDS LÄN</t>
        </is>
      </c>
      <c r="E497" t="inlineStr">
        <is>
          <t>ÅRJÄNG</t>
        </is>
      </c>
      <c r="G497" t="n">
        <v>1.9</v>
      </c>
      <c r="H497" t="n">
        <v>0</v>
      </c>
      <c r="I497" t="n">
        <v>0</v>
      </c>
      <c r="J497" t="n">
        <v>0</v>
      </c>
      <c r="K497" t="n">
        <v>0</v>
      </c>
      <c r="L497" t="n">
        <v>0</v>
      </c>
      <c r="M497" t="n">
        <v>0</v>
      </c>
      <c r="N497" t="n">
        <v>0</v>
      </c>
      <c r="O497" t="n">
        <v>0</v>
      </c>
      <c r="P497" t="n">
        <v>0</v>
      </c>
      <c r="Q497" t="n">
        <v>0</v>
      </c>
      <c r="R497" s="2" t="inlineStr"/>
    </row>
    <row r="498" ht="15" customHeight="1">
      <c r="A498" t="inlineStr">
        <is>
          <t>A 60886-2023</t>
        </is>
      </c>
      <c r="B498" s="1" t="n">
        <v>45261</v>
      </c>
      <c r="C498" s="1" t="n">
        <v>45928</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31622-2024</t>
        </is>
      </c>
      <c r="B499" s="1" t="n">
        <v>45506</v>
      </c>
      <c r="C499" s="1" t="n">
        <v>45928</v>
      </c>
      <c r="D499" t="inlineStr">
        <is>
          <t>VÄRMLANDS LÄN</t>
        </is>
      </c>
      <c r="E499" t="inlineStr">
        <is>
          <t>ÅRJÄNG</t>
        </is>
      </c>
      <c r="G499" t="n">
        <v>4</v>
      </c>
      <c r="H499" t="n">
        <v>0</v>
      </c>
      <c r="I499" t="n">
        <v>0</v>
      </c>
      <c r="J499" t="n">
        <v>0</v>
      </c>
      <c r="K499" t="n">
        <v>0</v>
      </c>
      <c r="L499" t="n">
        <v>0</v>
      </c>
      <c r="M499" t="n">
        <v>0</v>
      </c>
      <c r="N499" t="n">
        <v>0</v>
      </c>
      <c r="O499" t="n">
        <v>0</v>
      </c>
      <c r="P499" t="n">
        <v>0</v>
      </c>
      <c r="Q499" t="n">
        <v>0</v>
      </c>
      <c r="R499" s="2" t="inlineStr"/>
    </row>
    <row r="500" ht="15" customHeight="1">
      <c r="A500" t="inlineStr">
        <is>
          <t>A 36461-2025</t>
        </is>
      </c>
      <c r="B500" s="1" t="n">
        <v>45869</v>
      </c>
      <c r="C500" s="1" t="n">
        <v>45928</v>
      </c>
      <c r="D500" t="inlineStr">
        <is>
          <t>VÄRMLANDS LÄN</t>
        </is>
      </c>
      <c r="E500" t="inlineStr">
        <is>
          <t>ÅRJÄNG</t>
        </is>
      </c>
      <c r="G500" t="n">
        <v>3.7</v>
      </c>
      <c r="H500" t="n">
        <v>0</v>
      </c>
      <c r="I500" t="n">
        <v>0</v>
      </c>
      <c r="J500" t="n">
        <v>0</v>
      </c>
      <c r="K500" t="n">
        <v>0</v>
      </c>
      <c r="L500" t="n">
        <v>0</v>
      </c>
      <c r="M500" t="n">
        <v>0</v>
      </c>
      <c r="N500" t="n">
        <v>0</v>
      </c>
      <c r="O500" t="n">
        <v>0</v>
      </c>
      <c r="P500" t="n">
        <v>0</v>
      </c>
      <c r="Q500" t="n">
        <v>0</v>
      </c>
      <c r="R500" s="2" t="inlineStr"/>
    </row>
    <row r="501" ht="15" customHeight="1">
      <c r="A501" t="inlineStr">
        <is>
          <t>A 24216-2024</t>
        </is>
      </c>
      <c r="B501" s="1" t="n">
        <v>45457</v>
      </c>
      <c r="C501" s="1" t="n">
        <v>45928</v>
      </c>
      <c r="D501" t="inlineStr">
        <is>
          <t>VÄRMLANDS LÄN</t>
        </is>
      </c>
      <c r="E501" t="inlineStr">
        <is>
          <t>ÅRJÄNG</t>
        </is>
      </c>
      <c r="G501" t="n">
        <v>2</v>
      </c>
      <c r="H501" t="n">
        <v>0</v>
      </c>
      <c r="I501" t="n">
        <v>0</v>
      </c>
      <c r="J501" t="n">
        <v>0</v>
      </c>
      <c r="K501" t="n">
        <v>0</v>
      </c>
      <c r="L501" t="n">
        <v>0</v>
      </c>
      <c r="M501" t="n">
        <v>0</v>
      </c>
      <c r="N501" t="n">
        <v>0</v>
      </c>
      <c r="O501" t="n">
        <v>0</v>
      </c>
      <c r="P501" t="n">
        <v>0</v>
      </c>
      <c r="Q501" t="n">
        <v>0</v>
      </c>
      <c r="R501" s="2" t="inlineStr"/>
    </row>
    <row r="502" ht="15" customHeight="1">
      <c r="A502" t="inlineStr">
        <is>
          <t>A 43162-2025</t>
        </is>
      </c>
      <c r="B502" s="1" t="n">
        <v>45910</v>
      </c>
      <c r="C502" s="1" t="n">
        <v>45928</v>
      </c>
      <c r="D502" t="inlineStr">
        <is>
          <t>VÄRMLANDS LÄN</t>
        </is>
      </c>
      <c r="E502" t="inlineStr">
        <is>
          <t>ÅRJÄNG</t>
        </is>
      </c>
      <c r="F502" t="inlineStr">
        <is>
          <t>Bergvik skog väst AB</t>
        </is>
      </c>
      <c r="G502" t="n">
        <v>12.9</v>
      </c>
      <c r="H502" t="n">
        <v>0</v>
      </c>
      <c r="I502" t="n">
        <v>0</v>
      </c>
      <c r="J502" t="n">
        <v>0</v>
      </c>
      <c r="K502" t="n">
        <v>0</v>
      </c>
      <c r="L502" t="n">
        <v>0</v>
      </c>
      <c r="M502" t="n">
        <v>0</v>
      </c>
      <c r="N502" t="n">
        <v>0</v>
      </c>
      <c r="O502" t="n">
        <v>0</v>
      </c>
      <c r="P502" t="n">
        <v>0</v>
      </c>
      <c r="Q502" t="n">
        <v>0</v>
      </c>
      <c r="R502" s="2" t="inlineStr"/>
    </row>
    <row r="503" ht="15" customHeight="1">
      <c r="A503" t="inlineStr">
        <is>
          <t>A 39008-2023</t>
        </is>
      </c>
      <c r="B503" s="1" t="n">
        <v>45162</v>
      </c>
      <c r="C503" s="1" t="n">
        <v>45928</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19246-2024</t>
        </is>
      </c>
      <c r="B504" s="1" t="n">
        <v>45428</v>
      </c>
      <c r="C504" s="1" t="n">
        <v>45928</v>
      </c>
      <c r="D504" t="inlineStr">
        <is>
          <t>VÄRMLANDS LÄN</t>
        </is>
      </c>
      <c r="E504" t="inlineStr">
        <is>
          <t>ÅRJÄNG</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1665-2023</t>
        </is>
      </c>
      <c r="B505" s="1" t="n">
        <v>44938</v>
      </c>
      <c r="C505" s="1" t="n">
        <v>45928</v>
      </c>
      <c r="D505" t="inlineStr">
        <is>
          <t>VÄRMLANDS LÄN</t>
        </is>
      </c>
      <c r="E505" t="inlineStr">
        <is>
          <t>ÅRJÄNG</t>
        </is>
      </c>
      <c r="G505" t="n">
        <v>5.1</v>
      </c>
      <c r="H505" t="n">
        <v>0</v>
      </c>
      <c r="I505" t="n">
        <v>0</v>
      </c>
      <c r="J505" t="n">
        <v>0</v>
      </c>
      <c r="K505" t="n">
        <v>0</v>
      </c>
      <c r="L505" t="n">
        <v>0</v>
      </c>
      <c r="M505" t="n">
        <v>0</v>
      </c>
      <c r="N505" t="n">
        <v>0</v>
      </c>
      <c r="O505" t="n">
        <v>0</v>
      </c>
      <c r="P505" t="n">
        <v>0</v>
      </c>
      <c r="Q505" t="n">
        <v>0</v>
      </c>
      <c r="R505" s="2" t="inlineStr"/>
    </row>
    <row r="506" ht="15" customHeight="1">
      <c r="A506" t="inlineStr">
        <is>
          <t>A 38158-2023</t>
        </is>
      </c>
      <c r="B506" s="1" t="n">
        <v>45161</v>
      </c>
      <c r="C506" s="1" t="n">
        <v>45928</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28733-2024</t>
        </is>
      </c>
      <c r="B507" s="1" t="n">
        <v>45478</v>
      </c>
      <c r="C507" s="1" t="n">
        <v>45928</v>
      </c>
      <c r="D507" t="inlineStr">
        <is>
          <t>VÄRMLANDS LÄN</t>
        </is>
      </c>
      <c r="E507" t="inlineStr">
        <is>
          <t>ÅRJÄNG</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92-2022</t>
        </is>
      </c>
      <c r="B508" s="1" t="n">
        <v>44564</v>
      </c>
      <c r="C508" s="1" t="n">
        <v>45928</v>
      </c>
      <c r="D508" t="inlineStr">
        <is>
          <t>VÄRMLANDS LÄN</t>
        </is>
      </c>
      <c r="E508" t="inlineStr">
        <is>
          <t>ÅRJÄNG</t>
        </is>
      </c>
      <c r="G508" t="n">
        <v>10.4</v>
      </c>
      <c r="H508" t="n">
        <v>0</v>
      </c>
      <c r="I508" t="n">
        <v>0</v>
      </c>
      <c r="J508" t="n">
        <v>0</v>
      </c>
      <c r="K508" t="n">
        <v>0</v>
      </c>
      <c r="L508" t="n">
        <v>0</v>
      </c>
      <c r="M508" t="n">
        <v>0</v>
      </c>
      <c r="N508" t="n">
        <v>0</v>
      </c>
      <c r="O508" t="n">
        <v>0</v>
      </c>
      <c r="P508" t="n">
        <v>0</v>
      </c>
      <c r="Q508" t="n">
        <v>0</v>
      </c>
      <c r="R508" s="2" t="inlineStr"/>
    </row>
    <row r="509" ht="15" customHeight="1">
      <c r="A509" t="inlineStr">
        <is>
          <t>A 9489-2023</t>
        </is>
      </c>
      <c r="B509" s="1" t="n">
        <v>44981</v>
      </c>
      <c r="C509" s="1" t="n">
        <v>45928</v>
      </c>
      <c r="D509" t="inlineStr">
        <is>
          <t>VÄRMLANDS LÄN</t>
        </is>
      </c>
      <c r="E509" t="inlineStr">
        <is>
          <t>ÅRJÄNG</t>
        </is>
      </c>
      <c r="G509" t="n">
        <v>0.8</v>
      </c>
      <c r="H509" t="n">
        <v>0</v>
      </c>
      <c r="I509" t="n">
        <v>0</v>
      </c>
      <c r="J509" t="n">
        <v>0</v>
      </c>
      <c r="K509" t="n">
        <v>0</v>
      </c>
      <c r="L509" t="n">
        <v>0</v>
      </c>
      <c r="M509" t="n">
        <v>0</v>
      </c>
      <c r="N509" t="n">
        <v>0</v>
      </c>
      <c r="O509" t="n">
        <v>0</v>
      </c>
      <c r="P509" t="n">
        <v>0</v>
      </c>
      <c r="Q509" t="n">
        <v>0</v>
      </c>
      <c r="R509" s="2" t="inlineStr"/>
    </row>
    <row r="510" ht="15" customHeight="1">
      <c r="A510" t="inlineStr">
        <is>
          <t>A 36642-2021</t>
        </is>
      </c>
      <c r="B510" s="1" t="n">
        <v>44392</v>
      </c>
      <c r="C510" s="1" t="n">
        <v>45928</v>
      </c>
      <c r="D510" t="inlineStr">
        <is>
          <t>VÄRMLANDS LÄN</t>
        </is>
      </c>
      <c r="E510" t="inlineStr">
        <is>
          <t>ÅRJÄNG</t>
        </is>
      </c>
      <c r="G510" t="n">
        <v>6.1</v>
      </c>
      <c r="H510" t="n">
        <v>0</v>
      </c>
      <c r="I510" t="n">
        <v>0</v>
      </c>
      <c r="J510" t="n">
        <v>0</v>
      </c>
      <c r="K510" t="n">
        <v>0</v>
      </c>
      <c r="L510" t="n">
        <v>0</v>
      </c>
      <c r="M510" t="n">
        <v>0</v>
      </c>
      <c r="N510" t="n">
        <v>0</v>
      </c>
      <c r="O510" t="n">
        <v>0</v>
      </c>
      <c r="P510" t="n">
        <v>0</v>
      </c>
      <c r="Q510" t="n">
        <v>0</v>
      </c>
      <c r="R510" s="2" t="inlineStr"/>
    </row>
    <row r="511" ht="15" customHeight="1">
      <c r="A511" t="inlineStr">
        <is>
          <t>A 30548-2023</t>
        </is>
      </c>
      <c r="B511" s="1" t="n">
        <v>45111.77894675926</v>
      </c>
      <c r="C511" s="1" t="n">
        <v>45928</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50112-2024</t>
        </is>
      </c>
      <c r="B512" s="1" t="n">
        <v>45600</v>
      </c>
      <c r="C512" s="1" t="n">
        <v>45928</v>
      </c>
      <c r="D512" t="inlineStr">
        <is>
          <t>VÄRMLANDS LÄN</t>
        </is>
      </c>
      <c r="E512" t="inlineStr">
        <is>
          <t>ÅRJÄNG</t>
        </is>
      </c>
      <c r="G512" t="n">
        <v>2.8</v>
      </c>
      <c r="H512" t="n">
        <v>0</v>
      </c>
      <c r="I512" t="n">
        <v>0</v>
      </c>
      <c r="J512" t="n">
        <v>0</v>
      </c>
      <c r="K512" t="n">
        <v>0</v>
      </c>
      <c r="L512" t="n">
        <v>0</v>
      </c>
      <c r="M512" t="n">
        <v>0</v>
      </c>
      <c r="N512" t="n">
        <v>0</v>
      </c>
      <c r="O512" t="n">
        <v>0</v>
      </c>
      <c r="P512" t="n">
        <v>0</v>
      </c>
      <c r="Q512" t="n">
        <v>0</v>
      </c>
      <c r="R512" s="2" t="inlineStr"/>
    </row>
    <row r="513" ht="15" customHeight="1">
      <c r="A513" t="inlineStr">
        <is>
          <t>A 19245-2024</t>
        </is>
      </c>
      <c r="B513" s="1" t="n">
        <v>45428</v>
      </c>
      <c r="C513" s="1" t="n">
        <v>45928</v>
      </c>
      <c r="D513" t="inlineStr">
        <is>
          <t>VÄRMLANDS LÄN</t>
        </is>
      </c>
      <c r="E513" t="inlineStr">
        <is>
          <t>ÅRJÄNG</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18388-2025</t>
        </is>
      </c>
      <c r="B514" s="1" t="n">
        <v>45762</v>
      </c>
      <c r="C514" s="1" t="n">
        <v>45928</v>
      </c>
      <c r="D514" t="inlineStr">
        <is>
          <t>VÄRMLANDS LÄN</t>
        </is>
      </c>
      <c r="E514" t="inlineStr">
        <is>
          <t>ÅRJÄNG</t>
        </is>
      </c>
      <c r="G514" t="n">
        <v>0.5</v>
      </c>
      <c r="H514" t="n">
        <v>0</v>
      </c>
      <c r="I514" t="n">
        <v>0</v>
      </c>
      <c r="J514" t="n">
        <v>0</v>
      </c>
      <c r="K514" t="n">
        <v>0</v>
      </c>
      <c r="L514" t="n">
        <v>0</v>
      </c>
      <c r="M514" t="n">
        <v>0</v>
      </c>
      <c r="N514" t="n">
        <v>0</v>
      </c>
      <c r="O514" t="n">
        <v>0</v>
      </c>
      <c r="P514" t="n">
        <v>0</v>
      </c>
      <c r="Q514" t="n">
        <v>0</v>
      </c>
      <c r="R514" s="2" t="inlineStr"/>
    </row>
    <row r="515" ht="15" customHeight="1">
      <c r="A515" t="inlineStr">
        <is>
          <t>A 61154-2021</t>
        </is>
      </c>
      <c r="B515" s="1" t="n">
        <v>44497</v>
      </c>
      <c r="C515" s="1" t="n">
        <v>45928</v>
      </c>
      <c r="D515" t="inlineStr">
        <is>
          <t>VÄRMLANDS LÄN</t>
        </is>
      </c>
      <c r="E515" t="inlineStr">
        <is>
          <t>ÅRJÄNG</t>
        </is>
      </c>
      <c r="G515" t="n">
        <v>1.6</v>
      </c>
      <c r="H515" t="n">
        <v>0</v>
      </c>
      <c r="I515" t="n">
        <v>0</v>
      </c>
      <c r="J515" t="n">
        <v>0</v>
      </c>
      <c r="K515" t="n">
        <v>0</v>
      </c>
      <c r="L515" t="n">
        <v>0</v>
      </c>
      <c r="M515" t="n">
        <v>0</v>
      </c>
      <c r="N515" t="n">
        <v>0</v>
      </c>
      <c r="O515" t="n">
        <v>0</v>
      </c>
      <c r="P515" t="n">
        <v>0</v>
      </c>
      <c r="Q515" t="n">
        <v>0</v>
      </c>
      <c r="R515" s="2" t="inlineStr"/>
    </row>
    <row r="516" ht="15" customHeight="1">
      <c r="A516" t="inlineStr">
        <is>
          <t>A 32776-2024</t>
        </is>
      </c>
      <c r="B516" s="1" t="n">
        <v>45516</v>
      </c>
      <c r="C516" s="1" t="n">
        <v>45928</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17174-2023</t>
        </is>
      </c>
      <c r="B517" s="1" t="n">
        <v>45034</v>
      </c>
      <c r="C517" s="1" t="n">
        <v>45928</v>
      </c>
      <c r="D517" t="inlineStr">
        <is>
          <t>VÄRMLANDS LÄN</t>
        </is>
      </c>
      <c r="E517" t="inlineStr">
        <is>
          <t>ÅRJÄNG</t>
        </is>
      </c>
      <c r="G517" t="n">
        <v>4.9</v>
      </c>
      <c r="H517" t="n">
        <v>0</v>
      </c>
      <c r="I517" t="n">
        <v>0</v>
      </c>
      <c r="J517" t="n">
        <v>0</v>
      </c>
      <c r="K517" t="n">
        <v>0</v>
      </c>
      <c r="L517" t="n">
        <v>0</v>
      </c>
      <c r="M517" t="n">
        <v>0</v>
      </c>
      <c r="N517" t="n">
        <v>0</v>
      </c>
      <c r="O517" t="n">
        <v>0</v>
      </c>
      <c r="P517" t="n">
        <v>0</v>
      </c>
      <c r="Q517" t="n">
        <v>0</v>
      </c>
      <c r="R517" s="2" t="inlineStr"/>
    </row>
    <row r="518" ht="15" customHeight="1">
      <c r="A518" t="inlineStr">
        <is>
          <t>A 44385-2022</t>
        </is>
      </c>
      <c r="B518" s="1" t="n">
        <v>44839</v>
      </c>
      <c r="C518" s="1" t="n">
        <v>45928</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68180-2021</t>
        </is>
      </c>
      <c r="B519" s="1" t="n">
        <v>44526.48689814815</v>
      </c>
      <c r="C519" s="1" t="n">
        <v>45928</v>
      </c>
      <c r="D519" t="inlineStr">
        <is>
          <t>VÄRMLANDS LÄN</t>
        </is>
      </c>
      <c r="E519" t="inlineStr">
        <is>
          <t>ÅRJÄNG</t>
        </is>
      </c>
      <c r="F519" t="inlineStr">
        <is>
          <t>Kyrkan</t>
        </is>
      </c>
      <c r="G519" t="n">
        <v>4.1</v>
      </c>
      <c r="H519" t="n">
        <v>0</v>
      </c>
      <c r="I519" t="n">
        <v>0</v>
      </c>
      <c r="J519" t="n">
        <v>0</v>
      </c>
      <c r="K519" t="n">
        <v>0</v>
      </c>
      <c r="L519" t="n">
        <v>0</v>
      </c>
      <c r="M519" t="n">
        <v>0</v>
      </c>
      <c r="N519" t="n">
        <v>0</v>
      </c>
      <c r="O519" t="n">
        <v>0</v>
      </c>
      <c r="P519" t="n">
        <v>0</v>
      </c>
      <c r="Q519" t="n">
        <v>0</v>
      </c>
      <c r="R519" s="2" t="inlineStr"/>
    </row>
    <row r="520" ht="15" customHeight="1">
      <c r="A520" t="inlineStr">
        <is>
          <t>A 36450-2025</t>
        </is>
      </c>
      <c r="B520" s="1" t="n">
        <v>45869</v>
      </c>
      <c r="C520" s="1" t="n">
        <v>45928</v>
      </c>
      <c r="D520" t="inlineStr">
        <is>
          <t>VÄRMLANDS LÄN</t>
        </is>
      </c>
      <c r="E520" t="inlineStr">
        <is>
          <t>ÅRJÄNG</t>
        </is>
      </c>
      <c r="G520" t="n">
        <v>4.6</v>
      </c>
      <c r="H520" t="n">
        <v>0</v>
      </c>
      <c r="I520" t="n">
        <v>0</v>
      </c>
      <c r="J520" t="n">
        <v>0</v>
      </c>
      <c r="K520" t="n">
        <v>0</v>
      </c>
      <c r="L520" t="n">
        <v>0</v>
      </c>
      <c r="M520" t="n">
        <v>0</v>
      </c>
      <c r="N520" t="n">
        <v>0</v>
      </c>
      <c r="O520" t="n">
        <v>0</v>
      </c>
      <c r="P520" t="n">
        <v>0</v>
      </c>
      <c r="Q520" t="n">
        <v>0</v>
      </c>
      <c r="R520" s="2" t="inlineStr"/>
    </row>
    <row r="521" ht="15" customHeight="1">
      <c r="A521" t="inlineStr">
        <is>
          <t>A 2969-2022</t>
        </is>
      </c>
      <c r="B521" s="1" t="n">
        <v>44581.70811342593</v>
      </c>
      <c r="C521" s="1" t="n">
        <v>45928</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43434-2025</t>
        </is>
      </c>
      <c r="B522" s="1" t="n">
        <v>45911.42743055556</v>
      </c>
      <c r="C522" s="1" t="n">
        <v>45928</v>
      </c>
      <c r="D522" t="inlineStr">
        <is>
          <t>VÄRMLANDS LÄN</t>
        </is>
      </c>
      <c r="E522" t="inlineStr">
        <is>
          <t>ÅRJÄNG</t>
        </is>
      </c>
      <c r="G522" t="n">
        <v>2.3</v>
      </c>
      <c r="H522" t="n">
        <v>0</v>
      </c>
      <c r="I522" t="n">
        <v>0</v>
      </c>
      <c r="J522" t="n">
        <v>0</v>
      </c>
      <c r="K522" t="n">
        <v>0</v>
      </c>
      <c r="L522" t="n">
        <v>0</v>
      </c>
      <c r="M522" t="n">
        <v>0</v>
      </c>
      <c r="N522" t="n">
        <v>0</v>
      </c>
      <c r="O522" t="n">
        <v>0</v>
      </c>
      <c r="P522" t="n">
        <v>0</v>
      </c>
      <c r="Q522" t="n">
        <v>0</v>
      </c>
      <c r="R522" s="2" t="inlineStr"/>
    </row>
    <row r="523" ht="15" customHeight="1">
      <c r="A523" t="inlineStr">
        <is>
          <t>A 28384-2022</t>
        </is>
      </c>
      <c r="B523" s="1" t="n">
        <v>44747</v>
      </c>
      <c r="C523" s="1" t="n">
        <v>45928</v>
      </c>
      <c r="D523" t="inlineStr">
        <is>
          <t>VÄRMLANDS LÄN</t>
        </is>
      </c>
      <c r="E523" t="inlineStr">
        <is>
          <t>ÅRJÄNG</t>
        </is>
      </c>
      <c r="F523" t="inlineStr">
        <is>
          <t>Naturvårdsverket</t>
        </is>
      </c>
      <c r="G523" t="n">
        <v>1.7</v>
      </c>
      <c r="H523" t="n">
        <v>0</v>
      </c>
      <c r="I523" t="n">
        <v>0</v>
      </c>
      <c r="J523" t="n">
        <v>0</v>
      </c>
      <c r="K523" t="n">
        <v>0</v>
      </c>
      <c r="L523" t="n">
        <v>0</v>
      </c>
      <c r="M523" t="n">
        <v>0</v>
      </c>
      <c r="N523" t="n">
        <v>0</v>
      </c>
      <c r="O523" t="n">
        <v>0</v>
      </c>
      <c r="P523" t="n">
        <v>0</v>
      </c>
      <c r="Q523" t="n">
        <v>0</v>
      </c>
      <c r="R523" s="2" t="inlineStr"/>
    </row>
    <row r="524" ht="15" customHeight="1">
      <c r="A524" t="inlineStr">
        <is>
          <t>A 56168-2024</t>
        </is>
      </c>
      <c r="B524" s="1" t="n">
        <v>45623</v>
      </c>
      <c r="C524" s="1" t="n">
        <v>45928</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1912-2024</t>
        </is>
      </c>
      <c r="B525" s="1" t="n">
        <v>45308</v>
      </c>
      <c r="C525" s="1" t="n">
        <v>45928</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38167-2022</t>
        </is>
      </c>
      <c r="B526" s="1" t="n">
        <v>44812</v>
      </c>
      <c r="C526" s="1" t="n">
        <v>45928</v>
      </c>
      <c r="D526" t="inlineStr">
        <is>
          <t>VÄRMLANDS LÄN</t>
        </is>
      </c>
      <c r="E526" t="inlineStr">
        <is>
          <t>ÅRJÄNG</t>
        </is>
      </c>
      <c r="G526" t="n">
        <v>10.5</v>
      </c>
      <c r="H526" t="n">
        <v>0</v>
      </c>
      <c r="I526" t="n">
        <v>0</v>
      </c>
      <c r="J526" t="n">
        <v>0</v>
      </c>
      <c r="K526" t="n">
        <v>0</v>
      </c>
      <c r="L526" t="n">
        <v>0</v>
      </c>
      <c r="M526" t="n">
        <v>0</v>
      </c>
      <c r="N526" t="n">
        <v>0</v>
      </c>
      <c r="O526" t="n">
        <v>0</v>
      </c>
      <c r="P526" t="n">
        <v>0</v>
      </c>
      <c r="Q526" t="n">
        <v>0</v>
      </c>
      <c r="R526" s="2" t="inlineStr"/>
    </row>
    <row r="527" ht="15" customHeight="1">
      <c r="A527" t="inlineStr">
        <is>
          <t>A 57161-2024</t>
        </is>
      </c>
      <c r="B527" s="1" t="n">
        <v>45628</v>
      </c>
      <c r="C527" s="1" t="n">
        <v>45928</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43426-2025</t>
        </is>
      </c>
      <c r="B528" s="1" t="n">
        <v>45911.41869212963</v>
      </c>
      <c r="C528" s="1" t="n">
        <v>45928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60202-2023</t>
        </is>
      </c>
      <c r="B529" s="1" t="n">
        <v>45257</v>
      </c>
      <c r="C529" s="1" t="n">
        <v>45928</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47623-2024</t>
        </is>
      </c>
      <c r="B530" s="1" t="n">
        <v>45588.33216435185</v>
      </c>
      <c r="C530" s="1" t="n">
        <v>45928</v>
      </c>
      <c r="D530" t="inlineStr">
        <is>
          <t>VÄRMLANDS LÄN</t>
        </is>
      </c>
      <c r="E530" t="inlineStr">
        <is>
          <t>ÅRJÄNG</t>
        </is>
      </c>
      <c r="F530" t="inlineStr">
        <is>
          <t>Kommuner</t>
        </is>
      </c>
      <c r="G530" t="n">
        <v>2.7</v>
      </c>
      <c r="H530" t="n">
        <v>0</v>
      </c>
      <c r="I530" t="n">
        <v>0</v>
      </c>
      <c r="J530" t="n">
        <v>0</v>
      </c>
      <c r="K530" t="n">
        <v>0</v>
      </c>
      <c r="L530" t="n">
        <v>0</v>
      </c>
      <c r="M530" t="n">
        <v>0</v>
      </c>
      <c r="N530" t="n">
        <v>0</v>
      </c>
      <c r="O530" t="n">
        <v>0</v>
      </c>
      <c r="P530" t="n">
        <v>0</v>
      </c>
      <c r="Q530" t="n">
        <v>0</v>
      </c>
      <c r="R530" s="2" t="inlineStr"/>
    </row>
    <row r="531" ht="15" customHeight="1">
      <c r="A531" t="inlineStr">
        <is>
          <t>A 34205-2025</t>
        </is>
      </c>
      <c r="B531" s="1" t="n">
        <v>45845</v>
      </c>
      <c r="C531" s="1" t="n">
        <v>45928</v>
      </c>
      <c r="D531" t="inlineStr">
        <is>
          <t>VÄRMLANDS LÄN</t>
        </is>
      </c>
      <c r="E531" t="inlineStr">
        <is>
          <t>ÅRJÄNG</t>
        </is>
      </c>
      <c r="G531" t="n">
        <v>4.4</v>
      </c>
      <c r="H531" t="n">
        <v>0</v>
      </c>
      <c r="I531" t="n">
        <v>0</v>
      </c>
      <c r="J531" t="n">
        <v>0</v>
      </c>
      <c r="K531" t="n">
        <v>0</v>
      </c>
      <c r="L531" t="n">
        <v>0</v>
      </c>
      <c r="M531" t="n">
        <v>0</v>
      </c>
      <c r="N531" t="n">
        <v>0</v>
      </c>
      <c r="O531" t="n">
        <v>0</v>
      </c>
      <c r="P531" t="n">
        <v>0</v>
      </c>
      <c r="Q531" t="n">
        <v>0</v>
      </c>
      <c r="R531" s="2" t="inlineStr"/>
    </row>
    <row r="532" ht="15" customHeight="1">
      <c r="A532" t="inlineStr">
        <is>
          <t>A 74448-2021</t>
        </is>
      </c>
      <c r="B532" s="1" t="n">
        <v>44560.47202546296</v>
      </c>
      <c r="C532" s="1" t="n">
        <v>45928</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61295-2022</t>
        </is>
      </c>
      <c r="B533" s="1" t="n">
        <v>44915</v>
      </c>
      <c r="C533" s="1" t="n">
        <v>45928</v>
      </c>
      <c r="D533" t="inlineStr">
        <is>
          <t>VÄRMLANDS LÄN</t>
        </is>
      </c>
      <c r="E533" t="inlineStr">
        <is>
          <t>ÅRJÄNG</t>
        </is>
      </c>
      <c r="G533" t="n">
        <v>0.4</v>
      </c>
      <c r="H533" t="n">
        <v>0</v>
      </c>
      <c r="I533" t="n">
        <v>0</v>
      </c>
      <c r="J533" t="n">
        <v>0</v>
      </c>
      <c r="K533" t="n">
        <v>0</v>
      </c>
      <c r="L533" t="n">
        <v>0</v>
      </c>
      <c r="M533" t="n">
        <v>0</v>
      </c>
      <c r="N533" t="n">
        <v>0</v>
      </c>
      <c r="O533" t="n">
        <v>0</v>
      </c>
      <c r="P533" t="n">
        <v>0</v>
      </c>
      <c r="Q533" t="n">
        <v>0</v>
      </c>
      <c r="R533" s="2" t="inlineStr"/>
    </row>
    <row r="534" ht="15" customHeight="1">
      <c r="A534" t="inlineStr">
        <is>
          <t>A 10648-2023</t>
        </is>
      </c>
      <c r="B534" s="1" t="n">
        <v>44984</v>
      </c>
      <c r="C534" s="1" t="n">
        <v>45928</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44452-2025</t>
        </is>
      </c>
      <c r="B535" s="1" t="n">
        <v>45916</v>
      </c>
      <c r="C535" s="1" t="n">
        <v>45928</v>
      </c>
      <c r="D535" t="inlineStr">
        <is>
          <t>VÄRMLANDS LÄN</t>
        </is>
      </c>
      <c r="E535" t="inlineStr">
        <is>
          <t>ÅRJÄNG</t>
        </is>
      </c>
      <c r="G535" t="n">
        <v>3.1</v>
      </c>
      <c r="H535" t="n">
        <v>0</v>
      </c>
      <c r="I535" t="n">
        <v>0</v>
      </c>
      <c r="J535" t="n">
        <v>0</v>
      </c>
      <c r="K535" t="n">
        <v>0</v>
      </c>
      <c r="L535" t="n">
        <v>0</v>
      </c>
      <c r="M535" t="n">
        <v>0</v>
      </c>
      <c r="N535" t="n">
        <v>0</v>
      </c>
      <c r="O535" t="n">
        <v>0</v>
      </c>
      <c r="P535" t="n">
        <v>0</v>
      </c>
      <c r="Q535" t="n">
        <v>0</v>
      </c>
      <c r="R535" s="2" t="inlineStr"/>
    </row>
    <row r="536" ht="15" customHeight="1">
      <c r="A536" t="inlineStr">
        <is>
          <t>A 44456-2025</t>
        </is>
      </c>
      <c r="B536" s="1" t="n">
        <v>45916</v>
      </c>
      <c r="C536" s="1" t="n">
        <v>45928</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36282-2024</t>
        </is>
      </c>
      <c r="B537" s="1" t="n">
        <v>45534.5887962963</v>
      </c>
      <c r="C537" s="1" t="n">
        <v>45928</v>
      </c>
      <c r="D537" t="inlineStr">
        <is>
          <t>VÄRMLANDS LÄN</t>
        </is>
      </c>
      <c r="E537" t="inlineStr">
        <is>
          <t>ÅRJÄNG</t>
        </is>
      </c>
      <c r="G537" t="n">
        <v>1.7</v>
      </c>
      <c r="H537" t="n">
        <v>0</v>
      </c>
      <c r="I537" t="n">
        <v>0</v>
      </c>
      <c r="J537" t="n">
        <v>0</v>
      </c>
      <c r="K537" t="n">
        <v>0</v>
      </c>
      <c r="L537" t="n">
        <v>0</v>
      </c>
      <c r="M537" t="n">
        <v>0</v>
      </c>
      <c r="N537" t="n">
        <v>0</v>
      </c>
      <c r="O537" t="n">
        <v>0</v>
      </c>
      <c r="P537" t="n">
        <v>0</v>
      </c>
      <c r="Q537" t="n">
        <v>0</v>
      </c>
      <c r="R537" s="2" t="inlineStr"/>
    </row>
    <row r="538" ht="15" customHeight="1">
      <c r="A538" t="inlineStr">
        <is>
          <t>A 42236-2024</t>
        </is>
      </c>
      <c r="B538" s="1" t="n">
        <v>45562</v>
      </c>
      <c r="C538" s="1" t="n">
        <v>45928</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23203-2023</t>
        </is>
      </c>
      <c r="B539" s="1" t="n">
        <v>45075.61314814815</v>
      </c>
      <c r="C539" s="1" t="n">
        <v>45928</v>
      </c>
      <c r="D539" t="inlineStr">
        <is>
          <t>VÄRMLANDS LÄN</t>
        </is>
      </c>
      <c r="E539" t="inlineStr">
        <is>
          <t>ÅRJÄNG</t>
        </is>
      </c>
      <c r="G539" t="n">
        <v>4.3</v>
      </c>
      <c r="H539" t="n">
        <v>0</v>
      </c>
      <c r="I539" t="n">
        <v>0</v>
      </c>
      <c r="J539" t="n">
        <v>0</v>
      </c>
      <c r="K539" t="n">
        <v>0</v>
      </c>
      <c r="L539" t="n">
        <v>0</v>
      </c>
      <c r="M539" t="n">
        <v>0</v>
      </c>
      <c r="N539" t="n">
        <v>0</v>
      </c>
      <c r="O539" t="n">
        <v>0</v>
      </c>
      <c r="P539" t="n">
        <v>0</v>
      </c>
      <c r="Q539" t="n">
        <v>0</v>
      </c>
      <c r="R539" s="2" t="inlineStr"/>
    </row>
    <row r="540" ht="15" customHeight="1">
      <c r="A540" t="inlineStr">
        <is>
          <t>A 59484-2024</t>
        </is>
      </c>
      <c r="B540" s="1" t="n">
        <v>45638</v>
      </c>
      <c r="C540" s="1" t="n">
        <v>45928</v>
      </c>
      <c r="D540" t="inlineStr">
        <is>
          <t>VÄRMLANDS LÄN</t>
        </is>
      </c>
      <c r="E540" t="inlineStr">
        <is>
          <t>ÅRJÄNG</t>
        </is>
      </c>
      <c r="G540" t="n">
        <v>2.9</v>
      </c>
      <c r="H540" t="n">
        <v>0</v>
      </c>
      <c r="I540" t="n">
        <v>0</v>
      </c>
      <c r="J540" t="n">
        <v>0</v>
      </c>
      <c r="K540" t="n">
        <v>0</v>
      </c>
      <c r="L540" t="n">
        <v>0</v>
      </c>
      <c r="M540" t="n">
        <v>0</v>
      </c>
      <c r="N540" t="n">
        <v>0</v>
      </c>
      <c r="O540" t="n">
        <v>0</v>
      </c>
      <c r="P540" t="n">
        <v>0</v>
      </c>
      <c r="Q540" t="n">
        <v>0</v>
      </c>
      <c r="R540" s="2" t="inlineStr"/>
    </row>
    <row r="541" ht="15" customHeight="1">
      <c r="A541" t="inlineStr">
        <is>
          <t>A 23212-2023</t>
        </is>
      </c>
      <c r="B541" s="1" t="n">
        <v>45075.63211805555</v>
      </c>
      <c r="C541" s="1" t="n">
        <v>45928</v>
      </c>
      <c r="D541" t="inlineStr">
        <is>
          <t>VÄRMLANDS LÄN</t>
        </is>
      </c>
      <c r="E541" t="inlineStr">
        <is>
          <t>ÅRJÄNG</t>
        </is>
      </c>
      <c r="G541" t="n">
        <v>1.5</v>
      </c>
      <c r="H541" t="n">
        <v>0</v>
      </c>
      <c r="I541" t="n">
        <v>0</v>
      </c>
      <c r="J541" t="n">
        <v>0</v>
      </c>
      <c r="K541" t="n">
        <v>0</v>
      </c>
      <c r="L541" t="n">
        <v>0</v>
      </c>
      <c r="M541" t="n">
        <v>0</v>
      </c>
      <c r="N541" t="n">
        <v>0</v>
      </c>
      <c r="O541" t="n">
        <v>0</v>
      </c>
      <c r="P541" t="n">
        <v>0</v>
      </c>
      <c r="Q541" t="n">
        <v>0</v>
      </c>
      <c r="R541" s="2" t="inlineStr"/>
    </row>
    <row r="542" ht="15" customHeight="1">
      <c r="A542" t="inlineStr">
        <is>
          <t>A 61545-2024</t>
        </is>
      </c>
      <c r="B542" s="1" t="n">
        <v>45646.59966435185</v>
      </c>
      <c r="C542" s="1" t="n">
        <v>45928</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24445-2025</t>
        </is>
      </c>
      <c r="B543" s="1" t="n">
        <v>45798</v>
      </c>
      <c r="C543" s="1" t="n">
        <v>45928</v>
      </c>
      <c r="D543" t="inlineStr">
        <is>
          <t>VÄRMLANDS LÄN</t>
        </is>
      </c>
      <c r="E543" t="inlineStr">
        <is>
          <t>ÅRJÄNG</t>
        </is>
      </c>
      <c r="G543" t="n">
        <v>6.4</v>
      </c>
      <c r="H543" t="n">
        <v>0</v>
      </c>
      <c r="I543" t="n">
        <v>0</v>
      </c>
      <c r="J543" t="n">
        <v>0</v>
      </c>
      <c r="K543" t="n">
        <v>0</v>
      </c>
      <c r="L543" t="n">
        <v>0</v>
      </c>
      <c r="M543" t="n">
        <v>0</v>
      </c>
      <c r="N543" t="n">
        <v>0</v>
      </c>
      <c r="O543" t="n">
        <v>0</v>
      </c>
      <c r="P543" t="n">
        <v>0</v>
      </c>
      <c r="Q543" t="n">
        <v>0</v>
      </c>
      <c r="R543" s="2" t="inlineStr"/>
    </row>
    <row r="544" ht="15" customHeight="1">
      <c r="A544" t="inlineStr">
        <is>
          <t>A 24505-2023</t>
        </is>
      </c>
      <c r="B544" s="1" t="n">
        <v>45082</v>
      </c>
      <c r="C544" s="1" t="n">
        <v>45928</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56566-2022</t>
        </is>
      </c>
      <c r="B545" s="1" t="n">
        <v>44893.50795138889</v>
      </c>
      <c r="C545" s="1" t="n">
        <v>45928</v>
      </c>
      <c r="D545" t="inlineStr">
        <is>
          <t>VÄRMLANDS LÄN</t>
        </is>
      </c>
      <c r="E545" t="inlineStr">
        <is>
          <t>ÅRJÄNG</t>
        </is>
      </c>
      <c r="G545" t="n">
        <v>2.2</v>
      </c>
      <c r="H545" t="n">
        <v>0</v>
      </c>
      <c r="I545" t="n">
        <v>0</v>
      </c>
      <c r="J545" t="n">
        <v>0</v>
      </c>
      <c r="K545" t="n">
        <v>0</v>
      </c>
      <c r="L545" t="n">
        <v>0</v>
      </c>
      <c r="M545" t="n">
        <v>0</v>
      </c>
      <c r="N545" t="n">
        <v>0</v>
      </c>
      <c r="O545" t="n">
        <v>0</v>
      </c>
      <c r="P545" t="n">
        <v>0</v>
      </c>
      <c r="Q545" t="n">
        <v>0</v>
      </c>
      <c r="R545" s="2" t="inlineStr"/>
    </row>
    <row r="546" ht="15" customHeight="1">
      <c r="A546" t="inlineStr">
        <is>
          <t>A 44300-2025</t>
        </is>
      </c>
      <c r="B546" s="1" t="n">
        <v>45916.3702662037</v>
      </c>
      <c r="C546" s="1" t="n">
        <v>45928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56314-2024</t>
        </is>
      </c>
      <c r="B547" s="1" t="n">
        <v>45624.72149305556</v>
      </c>
      <c r="C547" s="1" t="n">
        <v>45928</v>
      </c>
      <c r="D547" t="inlineStr">
        <is>
          <t>VÄRMLANDS LÄN</t>
        </is>
      </c>
      <c r="E547" t="inlineStr">
        <is>
          <t>ÅRJÄNG</t>
        </is>
      </c>
      <c r="G547" t="n">
        <v>0.5</v>
      </c>
      <c r="H547" t="n">
        <v>0</v>
      </c>
      <c r="I547" t="n">
        <v>0</v>
      </c>
      <c r="J547" t="n">
        <v>0</v>
      </c>
      <c r="K547" t="n">
        <v>0</v>
      </c>
      <c r="L547" t="n">
        <v>0</v>
      </c>
      <c r="M547" t="n">
        <v>0</v>
      </c>
      <c r="N547" t="n">
        <v>0</v>
      </c>
      <c r="O547" t="n">
        <v>0</v>
      </c>
      <c r="P547" t="n">
        <v>0</v>
      </c>
      <c r="Q547" t="n">
        <v>0</v>
      </c>
      <c r="R547" s="2" t="inlineStr"/>
    </row>
    <row r="548" ht="15" customHeight="1">
      <c r="A548" t="inlineStr">
        <is>
          <t>A 24444-2025</t>
        </is>
      </c>
      <c r="B548" s="1" t="n">
        <v>45798</v>
      </c>
      <c r="C548" s="1" t="n">
        <v>45928</v>
      </c>
      <c r="D548" t="inlineStr">
        <is>
          <t>VÄRMLANDS LÄN</t>
        </is>
      </c>
      <c r="E548" t="inlineStr">
        <is>
          <t>ÅRJÄNG</t>
        </is>
      </c>
      <c r="G548" t="n">
        <v>5.1</v>
      </c>
      <c r="H548" t="n">
        <v>0</v>
      </c>
      <c r="I548" t="n">
        <v>0</v>
      </c>
      <c r="J548" t="n">
        <v>0</v>
      </c>
      <c r="K548" t="n">
        <v>0</v>
      </c>
      <c r="L548" t="n">
        <v>0</v>
      </c>
      <c r="M548" t="n">
        <v>0</v>
      </c>
      <c r="N548" t="n">
        <v>0</v>
      </c>
      <c r="O548" t="n">
        <v>0</v>
      </c>
      <c r="P548" t="n">
        <v>0</v>
      </c>
      <c r="Q548" t="n">
        <v>0</v>
      </c>
      <c r="R548" s="2" t="inlineStr"/>
    </row>
    <row r="549" ht="15" customHeight="1">
      <c r="A549" t="inlineStr">
        <is>
          <t>A 36819-2025</t>
        </is>
      </c>
      <c r="B549" s="1" t="n">
        <v>45873.84164351852</v>
      </c>
      <c r="C549" s="1" t="n">
        <v>45928</v>
      </c>
      <c r="D549" t="inlineStr">
        <is>
          <t>VÄRMLANDS LÄN</t>
        </is>
      </c>
      <c r="E549" t="inlineStr">
        <is>
          <t>ÅRJÄNG</t>
        </is>
      </c>
      <c r="G549" t="n">
        <v>2.3</v>
      </c>
      <c r="H549" t="n">
        <v>0</v>
      </c>
      <c r="I549" t="n">
        <v>0</v>
      </c>
      <c r="J549" t="n">
        <v>0</v>
      </c>
      <c r="K549" t="n">
        <v>0</v>
      </c>
      <c r="L549" t="n">
        <v>0</v>
      </c>
      <c r="M549" t="n">
        <v>0</v>
      </c>
      <c r="N549" t="n">
        <v>0</v>
      </c>
      <c r="O549" t="n">
        <v>0</v>
      </c>
      <c r="P549" t="n">
        <v>0</v>
      </c>
      <c r="Q549" t="n">
        <v>0</v>
      </c>
      <c r="R549" s="2" t="inlineStr"/>
    </row>
    <row r="550" ht="15" customHeight="1">
      <c r="A550" t="inlineStr">
        <is>
          <t>A 36834-2025</t>
        </is>
      </c>
      <c r="B550" s="1" t="n">
        <v>45874.35965277778</v>
      </c>
      <c r="C550" s="1" t="n">
        <v>45928</v>
      </c>
      <c r="D550" t="inlineStr">
        <is>
          <t>VÄRMLANDS LÄN</t>
        </is>
      </c>
      <c r="E550" t="inlineStr">
        <is>
          <t>ÅRJÄNG</t>
        </is>
      </c>
      <c r="G550" t="n">
        <v>2.9</v>
      </c>
      <c r="H550" t="n">
        <v>0</v>
      </c>
      <c r="I550" t="n">
        <v>0</v>
      </c>
      <c r="J550" t="n">
        <v>0</v>
      </c>
      <c r="K550" t="n">
        <v>0</v>
      </c>
      <c r="L550" t="n">
        <v>0</v>
      </c>
      <c r="M550" t="n">
        <v>0</v>
      </c>
      <c r="N550" t="n">
        <v>0</v>
      </c>
      <c r="O550" t="n">
        <v>0</v>
      </c>
      <c r="P550" t="n">
        <v>0</v>
      </c>
      <c r="Q550" t="n">
        <v>0</v>
      </c>
      <c r="R550" s="2" t="inlineStr"/>
    </row>
    <row r="551" ht="15" customHeight="1">
      <c r="A551" t="inlineStr">
        <is>
          <t>A 4135-2025</t>
        </is>
      </c>
      <c r="B551" s="1" t="n">
        <v>45685</v>
      </c>
      <c r="C551" s="1" t="n">
        <v>45928</v>
      </c>
      <c r="D551" t="inlineStr">
        <is>
          <t>VÄRMLANDS LÄN</t>
        </is>
      </c>
      <c r="E551" t="inlineStr">
        <is>
          <t>ÅRJÄNG</t>
        </is>
      </c>
      <c r="G551" t="n">
        <v>4.4</v>
      </c>
      <c r="H551" t="n">
        <v>0</v>
      </c>
      <c r="I551" t="n">
        <v>0</v>
      </c>
      <c r="J551" t="n">
        <v>0</v>
      </c>
      <c r="K551" t="n">
        <v>0</v>
      </c>
      <c r="L551" t="n">
        <v>0</v>
      </c>
      <c r="M551" t="n">
        <v>0</v>
      </c>
      <c r="N551" t="n">
        <v>0</v>
      </c>
      <c r="O551" t="n">
        <v>0</v>
      </c>
      <c r="P551" t="n">
        <v>0</v>
      </c>
      <c r="Q551" t="n">
        <v>0</v>
      </c>
      <c r="R551" s="2" t="inlineStr"/>
    </row>
    <row r="552" ht="15" customHeight="1">
      <c r="A552" t="inlineStr">
        <is>
          <t>A 37347-2024</t>
        </is>
      </c>
      <c r="B552" s="1" t="n">
        <v>45540</v>
      </c>
      <c r="C552" s="1" t="n">
        <v>45928</v>
      </c>
      <c r="D552" t="inlineStr">
        <is>
          <t>VÄRMLANDS LÄN</t>
        </is>
      </c>
      <c r="E552" t="inlineStr">
        <is>
          <t>ÅRJÄNG</t>
        </is>
      </c>
      <c r="G552" t="n">
        <v>1.9</v>
      </c>
      <c r="H552" t="n">
        <v>0</v>
      </c>
      <c r="I552" t="n">
        <v>0</v>
      </c>
      <c r="J552" t="n">
        <v>0</v>
      </c>
      <c r="K552" t="n">
        <v>0</v>
      </c>
      <c r="L552" t="n">
        <v>0</v>
      </c>
      <c r="M552" t="n">
        <v>0</v>
      </c>
      <c r="N552" t="n">
        <v>0</v>
      </c>
      <c r="O552" t="n">
        <v>0</v>
      </c>
      <c r="P552" t="n">
        <v>0</v>
      </c>
      <c r="Q552" t="n">
        <v>0</v>
      </c>
      <c r="R552" s="2" t="inlineStr"/>
    </row>
    <row r="553" ht="15" customHeight="1">
      <c r="A553" t="inlineStr">
        <is>
          <t>A 36752-2025</t>
        </is>
      </c>
      <c r="B553" s="1" t="n">
        <v>45873</v>
      </c>
      <c r="C553" s="1" t="n">
        <v>45928</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34172-2024</t>
        </is>
      </c>
      <c r="B554" s="1" t="n">
        <v>45524</v>
      </c>
      <c r="C554" s="1" t="n">
        <v>45928</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7700-2023</t>
        </is>
      </c>
      <c r="B555" s="1" t="n">
        <v>44967</v>
      </c>
      <c r="C555" s="1" t="n">
        <v>45928</v>
      </c>
      <c r="D555" t="inlineStr">
        <is>
          <t>VÄRMLANDS LÄN</t>
        </is>
      </c>
      <c r="E555" t="inlineStr">
        <is>
          <t>ÅRJÄNG</t>
        </is>
      </c>
      <c r="F555" t="inlineStr">
        <is>
          <t>Övriga Aktiebolag</t>
        </is>
      </c>
      <c r="G555" t="n">
        <v>4.3</v>
      </c>
      <c r="H555" t="n">
        <v>0</v>
      </c>
      <c r="I555" t="n">
        <v>0</v>
      </c>
      <c r="J555" t="n">
        <v>0</v>
      </c>
      <c r="K555" t="n">
        <v>0</v>
      </c>
      <c r="L555" t="n">
        <v>0</v>
      </c>
      <c r="M555" t="n">
        <v>0</v>
      </c>
      <c r="N555" t="n">
        <v>0</v>
      </c>
      <c r="O555" t="n">
        <v>0</v>
      </c>
      <c r="P555" t="n">
        <v>0</v>
      </c>
      <c r="Q555" t="n">
        <v>0</v>
      </c>
      <c r="R555" s="2" t="inlineStr"/>
    </row>
    <row r="556" ht="15" customHeight="1">
      <c r="A556" t="inlineStr">
        <is>
          <t>A 37409-2025</t>
        </is>
      </c>
      <c r="B556" s="1" t="n">
        <v>45877</v>
      </c>
      <c r="C556" s="1" t="n">
        <v>45928</v>
      </c>
      <c r="D556" t="inlineStr">
        <is>
          <t>VÄRMLANDS LÄN</t>
        </is>
      </c>
      <c r="E556" t="inlineStr">
        <is>
          <t>ÅRJÄNG</t>
        </is>
      </c>
      <c r="G556" t="n">
        <v>4.8</v>
      </c>
      <c r="H556" t="n">
        <v>0</v>
      </c>
      <c r="I556" t="n">
        <v>0</v>
      </c>
      <c r="J556" t="n">
        <v>0</v>
      </c>
      <c r="K556" t="n">
        <v>0</v>
      </c>
      <c r="L556" t="n">
        <v>0</v>
      </c>
      <c r="M556" t="n">
        <v>0</v>
      </c>
      <c r="N556" t="n">
        <v>0</v>
      </c>
      <c r="O556" t="n">
        <v>0</v>
      </c>
      <c r="P556" t="n">
        <v>0</v>
      </c>
      <c r="Q556" t="n">
        <v>0</v>
      </c>
      <c r="R556" s="2" t="inlineStr"/>
    </row>
    <row r="557" ht="15" customHeight="1">
      <c r="A557" t="inlineStr">
        <is>
          <t>A 37356-2024</t>
        </is>
      </c>
      <c r="B557" s="1" t="n">
        <v>45540</v>
      </c>
      <c r="C557" s="1" t="n">
        <v>45928</v>
      </c>
      <c r="D557" t="inlineStr">
        <is>
          <t>VÄRMLANDS LÄN</t>
        </is>
      </c>
      <c r="E557" t="inlineStr">
        <is>
          <t>ÅRJÄNG</t>
        </is>
      </c>
      <c r="G557" t="n">
        <v>3.4</v>
      </c>
      <c r="H557" t="n">
        <v>0</v>
      </c>
      <c r="I557" t="n">
        <v>0</v>
      </c>
      <c r="J557" t="n">
        <v>0</v>
      </c>
      <c r="K557" t="n">
        <v>0</v>
      </c>
      <c r="L557" t="n">
        <v>0</v>
      </c>
      <c r="M557" t="n">
        <v>0</v>
      </c>
      <c r="N557" t="n">
        <v>0</v>
      </c>
      <c r="O557" t="n">
        <v>0</v>
      </c>
      <c r="P557" t="n">
        <v>0</v>
      </c>
      <c r="Q557" t="n">
        <v>0</v>
      </c>
      <c r="R557" s="2" t="inlineStr"/>
    </row>
    <row r="558" ht="15" customHeight="1">
      <c r="A558" t="inlineStr">
        <is>
          <t>A 59622-2022</t>
        </is>
      </c>
      <c r="B558" s="1" t="n">
        <v>44907.89939814815</v>
      </c>
      <c r="C558" s="1" t="n">
        <v>45928</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65751-2020</t>
        </is>
      </c>
      <c r="B559" s="1" t="n">
        <v>44174</v>
      </c>
      <c r="C559" s="1" t="n">
        <v>45928</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36857-2025</t>
        </is>
      </c>
      <c r="B560" s="1" t="n">
        <v>45874.40488425926</v>
      </c>
      <c r="C560" s="1" t="n">
        <v>45928</v>
      </c>
      <c r="D560" t="inlineStr">
        <is>
          <t>VÄRMLANDS LÄN</t>
        </is>
      </c>
      <c r="E560" t="inlineStr">
        <is>
          <t>ÅRJÄNG</t>
        </is>
      </c>
      <c r="G560" t="n">
        <v>5.2</v>
      </c>
      <c r="H560" t="n">
        <v>0</v>
      </c>
      <c r="I560" t="n">
        <v>0</v>
      </c>
      <c r="J560" t="n">
        <v>0</v>
      </c>
      <c r="K560" t="n">
        <v>0</v>
      </c>
      <c r="L560" t="n">
        <v>0</v>
      </c>
      <c r="M560" t="n">
        <v>0</v>
      </c>
      <c r="N560" t="n">
        <v>0</v>
      </c>
      <c r="O560" t="n">
        <v>0</v>
      </c>
      <c r="P560" t="n">
        <v>0</v>
      </c>
      <c r="Q560" t="n">
        <v>0</v>
      </c>
      <c r="R560" s="2" t="inlineStr"/>
    </row>
    <row r="561" ht="15" customHeight="1">
      <c r="A561" t="inlineStr">
        <is>
          <t>A 36751-2025</t>
        </is>
      </c>
      <c r="B561" s="1" t="n">
        <v>45873</v>
      </c>
      <c r="C561" s="1" t="n">
        <v>45928</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51260-2024</t>
        </is>
      </c>
      <c r="B562" s="1" t="n">
        <v>45602</v>
      </c>
      <c r="C562" s="1" t="n">
        <v>45928</v>
      </c>
      <c r="D562" t="inlineStr">
        <is>
          <t>VÄRMLANDS LÄN</t>
        </is>
      </c>
      <c r="E562" t="inlineStr">
        <is>
          <t>ÅRJÄNG</t>
        </is>
      </c>
      <c r="G562" t="n">
        <v>1.7</v>
      </c>
      <c r="H562" t="n">
        <v>0</v>
      </c>
      <c r="I562" t="n">
        <v>0</v>
      </c>
      <c r="J562" t="n">
        <v>0</v>
      </c>
      <c r="K562" t="n">
        <v>0</v>
      </c>
      <c r="L562" t="n">
        <v>0</v>
      </c>
      <c r="M562" t="n">
        <v>0</v>
      </c>
      <c r="N562" t="n">
        <v>0</v>
      </c>
      <c r="O562" t="n">
        <v>0</v>
      </c>
      <c r="P562" t="n">
        <v>0</v>
      </c>
      <c r="Q562" t="n">
        <v>0</v>
      </c>
      <c r="R562" s="2" t="inlineStr"/>
    </row>
    <row r="563" ht="15" customHeight="1">
      <c r="A563" t="inlineStr">
        <is>
          <t>A 41205-2024</t>
        </is>
      </c>
      <c r="B563" s="1" t="n">
        <v>45559</v>
      </c>
      <c r="C563" s="1" t="n">
        <v>45928</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45929-2024</t>
        </is>
      </c>
      <c r="B564" s="1" t="n">
        <v>45580</v>
      </c>
      <c r="C564" s="1" t="n">
        <v>45928</v>
      </c>
      <c r="D564" t="inlineStr">
        <is>
          <t>VÄRMLANDS LÄN</t>
        </is>
      </c>
      <c r="E564" t="inlineStr">
        <is>
          <t>ÅRJÄNG</t>
        </is>
      </c>
      <c r="G564" t="n">
        <v>2.2</v>
      </c>
      <c r="H564" t="n">
        <v>0</v>
      </c>
      <c r="I564" t="n">
        <v>0</v>
      </c>
      <c r="J564" t="n">
        <v>0</v>
      </c>
      <c r="K564" t="n">
        <v>0</v>
      </c>
      <c r="L564" t="n">
        <v>0</v>
      </c>
      <c r="M564" t="n">
        <v>0</v>
      </c>
      <c r="N564" t="n">
        <v>0</v>
      </c>
      <c r="O564" t="n">
        <v>0</v>
      </c>
      <c r="P564" t="n">
        <v>0</v>
      </c>
      <c r="Q564" t="n">
        <v>0</v>
      </c>
      <c r="R564" s="2" t="inlineStr"/>
    </row>
    <row r="565" ht="15" customHeight="1">
      <c r="A565" t="inlineStr">
        <is>
          <t>A 36827-2025</t>
        </is>
      </c>
      <c r="B565" s="1" t="n">
        <v>45874</v>
      </c>
      <c r="C565" s="1" t="n">
        <v>45928</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45876-2024</t>
        </is>
      </c>
      <c r="B566" s="1" t="n">
        <v>45580</v>
      </c>
      <c r="C566" s="1" t="n">
        <v>45928</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36839-2025</t>
        </is>
      </c>
      <c r="B567" s="1" t="n">
        <v>45874</v>
      </c>
      <c r="C567" s="1" t="n">
        <v>45928</v>
      </c>
      <c r="D567" t="inlineStr">
        <is>
          <t>VÄRMLANDS LÄN</t>
        </is>
      </c>
      <c r="E567" t="inlineStr">
        <is>
          <t>ÅRJÄNG</t>
        </is>
      </c>
      <c r="G567" t="n">
        <v>2.2</v>
      </c>
      <c r="H567" t="n">
        <v>0</v>
      </c>
      <c r="I567" t="n">
        <v>0</v>
      </c>
      <c r="J567" t="n">
        <v>0</v>
      </c>
      <c r="K567" t="n">
        <v>0</v>
      </c>
      <c r="L567" t="n">
        <v>0</v>
      </c>
      <c r="M567" t="n">
        <v>0</v>
      </c>
      <c r="N567" t="n">
        <v>0</v>
      </c>
      <c r="O567" t="n">
        <v>0</v>
      </c>
      <c r="P567" t="n">
        <v>0</v>
      </c>
      <c r="Q567" t="n">
        <v>0</v>
      </c>
      <c r="R567" s="2" t="inlineStr"/>
    </row>
    <row r="568" ht="15" customHeight="1">
      <c r="A568" t="inlineStr">
        <is>
          <t>A 29570-2023</t>
        </is>
      </c>
      <c r="B568" s="1" t="n">
        <v>45106.6989699074</v>
      </c>
      <c r="C568" s="1" t="n">
        <v>45928</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36780-2025</t>
        </is>
      </c>
      <c r="B569" s="1" t="n">
        <v>45873</v>
      </c>
      <c r="C569" s="1" t="n">
        <v>45928</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36831-2025</t>
        </is>
      </c>
      <c r="B570" s="1" t="n">
        <v>45874</v>
      </c>
      <c r="C570" s="1" t="n">
        <v>45928</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44451-2025</t>
        </is>
      </c>
      <c r="B571" s="1" t="n">
        <v>45916</v>
      </c>
      <c r="C571" s="1" t="n">
        <v>45928</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52382-2024</t>
        </is>
      </c>
      <c r="B572" s="1" t="n">
        <v>45608</v>
      </c>
      <c r="C572" s="1" t="n">
        <v>45928</v>
      </c>
      <c r="D572" t="inlineStr">
        <is>
          <t>VÄRMLANDS LÄN</t>
        </is>
      </c>
      <c r="E572" t="inlineStr">
        <is>
          <t>ÅRJÄNG</t>
        </is>
      </c>
      <c r="G572" t="n">
        <v>8.9</v>
      </c>
      <c r="H572" t="n">
        <v>0</v>
      </c>
      <c r="I572" t="n">
        <v>0</v>
      </c>
      <c r="J572" t="n">
        <v>0</v>
      </c>
      <c r="K572" t="n">
        <v>0</v>
      </c>
      <c r="L572" t="n">
        <v>0</v>
      </c>
      <c r="M572" t="n">
        <v>0</v>
      </c>
      <c r="N572" t="n">
        <v>0</v>
      </c>
      <c r="O572" t="n">
        <v>0</v>
      </c>
      <c r="P572" t="n">
        <v>0</v>
      </c>
      <c r="Q572" t="n">
        <v>0</v>
      </c>
      <c r="R572" s="2" t="inlineStr"/>
    </row>
    <row r="573" ht="15" customHeight="1">
      <c r="A573" t="inlineStr">
        <is>
          <t>A 36865-2025</t>
        </is>
      </c>
      <c r="B573" s="1" t="n">
        <v>45874.41655092593</v>
      </c>
      <c r="C573" s="1" t="n">
        <v>45928</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47647-2021</t>
        </is>
      </c>
      <c r="B574" s="1" t="n">
        <v>44448.40790509259</v>
      </c>
      <c r="C574" s="1" t="n">
        <v>45928</v>
      </c>
      <c r="D574" t="inlineStr">
        <is>
          <t>VÄRMLANDS LÄN</t>
        </is>
      </c>
      <c r="E574" t="inlineStr">
        <is>
          <t>ÅRJÄNG</t>
        </is>
      </c>
      <c r="G574" t="n">
        <v>2.3</v>
      </c>
      <c r="H574" t="n">
        <v>0</v>
      </c>
      <c r="I574" t="n">
        <v>0</v>
      </c>
      <c r="J574" t="n">
        <v>0</v>
      </c>
      <c r="K574" t="n">
        <v>0</v>
      </c>
      <c r="L574" t="n">
        <v>0</v>
      </c>
      <c r="M574" t="n">
        <v>0</v>
      </c>
      <c r="N574" t="n">
        <v>0</v>
      </c>
      <c r="O574" t="n">
        <v>0</v>
      </c>
      <c r="P574" t="n">
        <v>0</v>
      </c>
      <c r="Q574" t="n">
        <v>0</v>
      </c>
      <c r="R574" s="2" t="inlineStr"/>
    </row>
    <row r="575" ht="15" customHeight="1">
      <c r="A575" t="inlineStr">
        <is>
          <t>A 56917-2024</t>
        </is>
      </c>
      <c r="B575" s="1" t="n">
        <v>45628</v>
      </c>
      <c r="C575" s="1" t="n">
        <v>45928</v>
      </c>
      <c r="D575" t="inlineStr">
        <is>
          <t>VÄRMLANDS LÄN</t>
        </is>
      </c>
      <c r="E575" t="inlineStr">
        <is>
          <t>ÅRJÄNG</t>
        </is>
      </c>
      <c r="G575" t="n">
        <v>2.5</v>
      </c>
      <c r="H575" t="n">
        <v>0</v>
      </c>
      <c r="I575" t="n">
        <v>0</v>
      </c>
      <c r="J575" t="n">
        <v>0</v>
      </c>
      <c r="K575" t="n">
        <v>0</v>
      </c>
      <c r="L575" t="n">
        <v>0</v>
      </c>
      <c r="M575" t="n">
        <v>0</v>
      </c>
      <c r="N575" t="n">
        <v>0</v>
      </c>
      <c r="O575" t="n">
        <v>0</v>
      </c>
      <c r="P575" t="n">
        <v>0</v>
      </c>
      <c r="Q575" t="n">
        <v>0</v>
      </c>
      <c r="R575" s="2" t="inlineStr"/>
    </row>
    <row r="576" ht="15" customHeight="1">
      <c r="A576" t="inlineStr">
        <is>
          <t>A 46318-2024</t>
        </is>
      </c>
      <c r="B576" s="1" t="n">
        <v>45581.75744212963</v>
      </c>
      <c r="C576" s="1" t="n">
        <v>45928</v>
      </c>
      <c r="D576" t="inlineStr">
        <is>
          <t>VÄRMLANDS LÄN</t>
        </is>
      </c>
      <c r="E576" t="inlineStr">
        <is>
          <t>ÅRJÄNG</t>
        </is>
      </c>
      <c r="G576" t="n">
        <v>2.5</v>
      </c>
      <c r="H576" t="n">
        <v>0</v>
      </c>
      <c r="I576" t="n">
        <v>0</v>
      </c>
      <c r="J576" t="n">
        <v>0</v>
      </c>
      <c r="K576" t="n">
        <v>0</v>
      </c>
      <c r="L576" t="n">
        <v>0</v>
      </c>
      <c r="M576" t="n">
        <v>0</v>
      </c>
      <c r="N576" t="n">
        <v>0</v>
      </c>
      <c r="O576" t="n">
        <v>0</v>
      </c>
      <c r="P576" t="n">
        <v>0</v>
      </c>
      <c r="Q576" t="n">
        <v>0</v>
      </c>
      <c r="R576" s="2" t="inlineStr"/>
    </row>
    <row r="577" ht="15" customHeight="1">
      <c r="A577" t="inlineStr">
        <is>
          <t>A 39027-2024</t>
        </is>
      </c>
      <c r="B577" s="1" t="n">
        <v>45548</v>
      </c>
      <c r="C577" s="1" t="n">
        <v>45928</v>
      </c>
      <c r="D577" t="inlineStr">
        <is>
          <t>VÄRMLANDS LÄN</t>
        </is>
      </c>
      <c r="E577" t="inlineStr">
        <is>
          <t>ÅRJÄNG</t>
        </is>
      </c>
      <c r="F577" t="inlineStr">
        <is>
          <t>Kyrkan</t>
        </is>
      </c>
      <c r="G577" t="n">
        <v>3.6</v>
      </c>
      <c r="H577" t="n">
        <v>0</v>
      </c>
      <c r="I577" t="n">
        <v>0</v>
      </c>
      <c r="J577" t="n">
        <v>0</v>
      </c>
      <c r="K577" t="n">
        <v>0</v>
      </c>
      <c r="L577" t="n">
        <v>0</v>
      </c>
      <c r="M577" t="n">
        <v>0</v>
      </c>
      <c r="N577" t="n">
        <v>0</v>
      </c>
      <c r="O577" t="n">
        <v>0</v>
      </c>
      <c r="P577" t="n">
        <v>0</v>
      </c>
      <c r="Q577" t="n">
        <v>0</v>
      </c>
      <c r="R577" s="2" t="inlineStr"/>
    </row>
    <row r="578" ht="15" customHeight="1">
      <c r="A578" t="inlineStr">
        <is>
          <t>A 23870-2023</t>
        </is>
      </c>
      <c r="B578" s="1" t="n">
        <v>45078</v>
      </c>
      <c r="C578" s="1" t="n">
        <v>45928</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44956-2025</t>
        </is>
      </c>
      <c r="B579" s="1" t="n">
        <v>45918.61452546297</v>
      </c>
      <c r="C579" s="1" t="n">
        <v>45928</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18796-2023</t>
        </is>
      </c>
      <c r="B580" s="1" t="n">
        <v>45044.31065972222</v>
      </c>
      <c r="C580" s="1" t="n">
        <v>45928</v>
      </c>
      <c r="D580" t="inlineStr">
        <is>
          <t>VÄRMLANDS LÄN</t>
        </is>
      </c>
      <c r="E580" t="inlineStr">
        <is>
          <t>ÅRJÄNG</t>
        </is>
      </c>
      <c r="G580" t="n">
        <v>1</v>
      </c>
      <c r="H580" t="n">
        <v>0</v>
      </c>
      <c r="I580" t="n">
        <v>0</v>
      </c>
      <c r="J580" t="n">
        <v>0</v>
      </c>
      <c r="K580" t="n">
        <v>0</v>
      </c>
      <c r="L580" t="n">
        <v>0</v>
      </c>
      <c r="M580" t="n">
        <v>0</v>
      </c>
      <c r="N580" t="n">
        <v>0</v>
      </c>
      <c r="O580" t="n">
        <v>0</v>
      </c>
      <c r="P580" t="n">
        <v>0</v>
      </c>
      <c r="Q580" t="n">
        <v>0</v>
      </c>
      <c r="R580" s="2" t="inlineStr"/>
    </row>
    <row r="581" ht="15" customHeight="1">
      <c r="A581" t="inlineStr">
        <is>
          <t>A 45962-2021</t>
        </is>
      </c>
      <c r="B581" s="1" t="n">
        <v>44441</v>
      </c>
      <c r="C581" s="1" t="n">
        <v>45928</v>
      </c>
      <c r="D581" t="inlineStr">
        <is>
          <t>VÄRMLANDS LÄN</t>
        </is>
      </c>
      <c r="E581" t="inlineStr">
        <is>
          <t>ÅRJÄNG</t>
        </is>
      </c>
      <c r="G581" t="n">
        <v>4.3</v>
      </c>
      <c r="H581" t="n">
        <v>0</v>
      </c>
      <c r="I581" t="n">
        <v>0</v>
      </c>
      <c r="J581" t="n">
        <v>0</v>
      </c>
      <c r="K581" t="n">
        <v>0</v>
      </c>
      <c r="L581" t="n">
        <v>0</v>
      </c>
      <c r="M581" t="n">
        <v>0</v>
      </c>
      <c r="N581" t="n">
        <v>0</v>
      </c>
      <c r="O581" t="n">
        <v>0</v>
      </c>
      <c r="P581" t="n">
        <v>0</v>
      </c>
      <c r="Q581" t="n">
        <v>0</v>
      </c>
      <c r="R581" s="2" t="inlineStr"/>
    </row>
    <row r="582" ht="15" customHeight="1">
      <c r="A582" t="inlineStr">
        <is>
          <t>A 60126-2024</t>
        </is>
      </c>
      <c r="B582" s="1" t="n">
        <v>45642.5919212963</v>
      </c>
      <c r="C582" s="1" t="n">
        <v>45928</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44768-2025</t>
        </is>
      </c>
      <c r="B583" s="1" t="n">
        <v>45917.74274305555</v>
      </c>
      <c r="C583" s="1" t="n">
        <v>45928</v>
      </c>
      <c r="D583" t="inlineStr">
        <is>
          <t>VÄRMLANDS LÄN</t>
        </is>
      </c>
      <c r="E583" t="inlineStr">
        <is>
          <t>ÅRJÄNG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68328-2021</t>
        </is>
      </c>
      <c r="B584" s="1" t="n">
        <v>44527.35875</v>
      </c>
      <c r="C584" s="1" t="n">
        <v>45928</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12907-2022</t>
        </is>
      </c>
      <c r="B585" s="1" t="n">
        <v>44642.62002314815</v>
      </c>
      <c r="C585" s="1" t="n">
        <v>45928</v>
      </c>
      <c r="D585" t="inlineStr">
        <is>
          <t>VÄRMLANDS LÄN</t>
        </is>
      </c>
      <c r="E585" t="inlineStr">
        <is>
          <t>ÅRJÄNG</t>
        </is>
      </c>
      <c r="G585" t="n">
        <v>7.3</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45928</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13060-2022</t>
        </is>
      </c>
      <c r="B587" s="1" t="n">
        <v>44643</v>
      </c>
      <c r="C587" s="1" t="n">
        <v>45928</v>
      </c>
      <c r="D587" t="inlineStr">
        <is>
          <t>VÄRMLANDS LÄN</t>
        </is>
      </c>
      <c r="E587" t="inlineStr">
        <is>
          <t>ÅRJÄNG</t>
        </is>
      </c>
      <c r="G587" t="n">
        <v>2.6</v>
      </c>
      <c r="H587" t="n">
        <v>0</v>
      </c>
      <c r="I587" t="n">
        <v>0</v>
      </c>
      <c r="J587" t="n">
        <v>0</v>
      </c>
      <c r="K587" t="n">
        <v>0</v>
      </c>
      <c r="L587" t="n">
        <v>0</v>
      </c>
      <c r="M587" t="n">
        <v>0</v>
      </c>
      <c r="N587" t="n">
        <v>0</v>
      </c>
      <c r="O587" t="n">
        <v>0</v>
      </c>
      <c r="P587" t="n">
        <v>0</v>
      </c>
      <c r="Q587" t="n">
        <v>0</v>
      </c>
      <c r="R587" s="2" t="inlineStr"/>
    </row>
    <row r="588" ht="15" customHeight="1">
      <c r="A588" t="inlineStr">
        <is>
          <t>A 44924-2025</t>
        </is>
      </c>
      <c r="B588" s="1" t="n">
        <v>45918</v>
      </c>
      <c r="C588" s="1" t="n">
        <v>45928</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53123-2024</t>
        </is>
      </c>
      <c r="B589" s="1" t="n">
        <v>45611.58819444444</v>
      </c>
      <c r="C589" s="1" t="n">
        <v>45928</v>
      </c>
      <c r="D589" t="inlineStr">
        <is>
          <t>VÄRMLANDS LÄN</t>
        </is>
      </c>
      <c r="E589" t="inlineStr">
        <is>
          <t>ÅRJÄNG</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13160-2022</t>
        </is>
      </c>
      <c r="B590" s="1" t="n">
        <v>44644.43545138889</v>
      </c>
      <c r="C590" s="1" t="n">
        <v>45928</v>
      </c>
      <c r="D590" t="inlineStr">
        <is>
          <t>VÄRMLANDS LÄN</t>
        </is>
      </c>
      <c r="E590" t="inlineStr">
        <is>
          <t>ÅRJÄNG</t>
        </is>
      </c>
      <c r="G590" t="n">
        <v>1.2</v>
      </c>
      <c r="H590" t="n">
        <v>0</v>
      </c>
      <c r="I590" t="n">
        <v>0</v>
      </c>
      <c r="J590" t="n">
        <v>0</v>
      </c>
      <c r="K590" t="n">
        <v>0</v>
      </c>
      <c r="L590" t="n">
        <v>0</v>
      </c>
      <c r="M590" t="n">
        <v>0</v>
      </c>
      <c r="N590" t="n">
        <v>0</v>
      </c>
      <c r="O590" t="n">
        <v>0</v>
      </c>
      <c r="P590" t="n">
        <v>0</v>
      </c>
      <c r="Q590" t="n">
        <v>0</v>
      </c>
      <c r="R590" s="2" t="inlineStr"/>
    </row>
    <row r="591" ht="15" customHeight="1">
      <c r="A591" t="inlineStr">
        <is>
          <t>A 8885-2021</t>
        </is>
      </c>
      <c r="B591" s="1" t="n">
        <v>44248</v>
      </c>
      <c r="C591" s="1" t="n">
        <v>45928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37247-2025</t>
        </is>
      </c>
      <c r="B592" s="1" t="n">
        <v>45876.40268518519</v>
      </c>
      <c r="C592" s="1" t="n">
        <v>45928</v>
      </c>
      <c r="D592" t="inlineStr">
        <is>
          <t>VÄRMLANDS LÄN</t>
        </is>
      </c>
      <c r="E592" t="inlineStr">
        <is>
          <t>ÅRJÄNG</t>
        </is>
      </c>
      <c r="G592" t="n">
        <v>2.7</v>
      </c>
      <c r="H592" t="n">
        <v>0</v>
      </c>
      <c r="I592" t="n">
        <v>0</v>
      </c>
      <c r="J592" t="n">
        <v>0</v>
      </c>
      <c r="K592" t="n">
        <v>0</v>
      </c>
      <c r="L592" t="n">
        <v>0</v>
      </c>
      <c r="M592" t="n">
        <v>0</v>
      </c>
      <c r="N592" t="n">
        <v>0</v>
      </c>
      <c r="O592" t="n">
        <v>0</v>
      </c>
      <c r="P592" t="n">
        <v>0</v>
      </c>
      <c r="Q592" t="n">
        <v>0</v>
      </c>
      <c r="R592" s="2" t="inlineStr"/>
    </row>
    <row r="593" ht="15" customHeight="1">
      <c r="A593" t="inlineStr">
        <is>
          <t>A 52741-2024</t>
        </is>
      </c>
      <c r="B593" s="1" t="n">
        <v>45610</v>
      </c>
      <c r="C593" s="1" t="n">
        <v>45928</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44934-2024</t>
        </is>
      </c>
      <c r="B594" s="1" t="n">
        <v>45575</v>
      </c>
      <c r="C594" s="1" t="n">
        <v>45928</v>
      </c>
      <c r="D594" t="inlineStr">
        <is>
          <t>VÄRMLANDS LÄN</t>
        </is>
      </c>
      <c r="E594" t="inlineStr">
        <is>
          <t>ÅRJÄNG</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60930-2021</t>
        </is>
      </c>
      <c r="B595" s="1" t="n">
        <v>44497.46921296296</v>
      </c>
      <c r="C595" s="1" t="n">
        <v>45928</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12209-2023</t>
        </is>
      </c>
      <c r="B596" s="1" t="n">
        <v>44998</v>
      </c>
      <c r="C596" s="1" t="n">
        <v>45928</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43794-2024</t>
        </is>
      </c>
      <c r="B597" s="1" t="n">
        <v>45571.53519675926</v>
      </c>
      <c r="C597" s="1" t="n">
        <v>45928</v>
      </c>
      <c r="D597" t="inlineStr">
        <is>
          <t>VÄRMLANDS LÄN</t>
        </is>
      </c>
      <c r="E597" t="inlineStr">
        <is>
          <t>ÅRJÄNG</t>
        </is>
      </c>
      <c r="G597" t="n">
        <v>0.6</v>
      </c>
      <c r="H597" t="n">
        <v>0</v>
      </c>
      <c r="I597" t="n">
        <v>0</v>
      </c>
      <c r="J597" t="n">
        <v>0</v>
      </c>
      <c r="K597" t="n">
        <v>0</v>
      </c>
      <c r="L597" t="n">
        <v>0</v>
      </c>
      <c r="M597" t="n">
        <v>0</v>
      </c>
      <c r="N597" t="n">
        <v>0</v>
      </c>
      <c r="O597" t="n">
        <v>0</v>
      </c>
      <c r="P597" t="n">
        <v>0</v>
      </c>
      <c r="Q597" t="n">
        <v>0</v>
      </c>
      <c r="R597" s="2" t="inlineStr"/>
    </row>
    <row r="598" ht="15" customHeight="1">
      <c r="A598" t="inlineStr">
        <is>
          <t>A 37071-2025</t>
        </is>
      </c>
      <c r="B598" s="1" t="n">
        <v>45875.40101851852</v>
      </c>
      <c r="C598" s="1" t="n">
        <v>45928</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1153-2023</t>
        </is>
      </c>
      <c r="B599" s="1" t="n">
        <v>44935</v>
      </c>
      <c r="C599" s="1" t="n">
        <v>45928</v>
      </c>
      <c r="D599" t="inlineStr">
        <is>
          <t>VÄRMLANDS LÄN</t>
        </is>
      </c>
      <c r="E599" t="inlineStr">
        <is>
          <t>ÅRJÄNG</t>
        </is>
      </c>
      <c r="G599" t="n">
        <v>3.2</v>
      </c>
      <c r="H599" t="n">
        <v>0</v>
      </c>
      <c r="I599" t="n">
        <v>0</v>
      </c>
      <c r="J599" t="n">
        <v>0</v>
      </c>
      <c r="K599" t="n">
        <v>0</v>
      </c>
      <c r="L599" t="n">
        <v>0</v>
      </c>
      <c r="M599" t="n">
        <v>0</v>
      </c>
      <c r="N599" t="n">
        <v>0</v>
      </c>
      <c r="O599" t="n">
        <v>0</v>
      </c>
      <c r="P599" t="n">
        <v>0</v>
      </c>
      <c r="Q599" t="n">
        <v>0</v>
      </c>
      <c r="R599" s="2" t="inlineStr"/>
    </row>
    <row r="600" ht="15" customHeight="1">
      <c r="A600" t="inlineStr">
        <is>
          <t>A 11265-2021</t>
        </is>
      </c>
      <c r="B600" s="1" t="n">
        <v>44263.44670138889</v>
      </c>
      <c r="C600" s="1" t="n">
        <v>45928</v>
      </c>
      <c r="D600" t="inlineStr">
        <is>
          <t>VÄRMLANDS LÄN</t>
        </is>
      </c>
      <c r="E600" t="inlineStr">
        <is>
          <t>ÅRJÄNG</t>
        </is>
      </c>
      <c r="G600" t="n">
        <v>2.2</v>
      </c>
      <c r="H600" t="n">
        <v>0</v>
      </c>
      <c r="I600" t="n">
        <v>0</v>
      </c>
      <c r="J600" t="n">
        <v>0</v>
      </c>
      <c r="K600" t="n">
        <v>0</v>
      </c>
      <c r="L600" t="n">
        <v>0</v>
      </c>
      <c r="M600" t="n">
        <v>0</v>
      </c>
      <c r="N600" t="n">
        <v>0</v>
      </c>
      <c r="O600" t="n">
        <v>0</v>
      </c>
      <c r="P600" t="n">
        <v>0</v>
      </c>
      <c r="Q600" t="n">
        <v>0</v>
      </c>
      <c r="R600" s="2" t="inlineStr"/>
    </row>
    <row r="601" ht="15" customHeight="1">
      <c r="A601" t="inlineStr">
        <is>
          <t>A 33738-2021</t>
        </is>
      </c>
      <c r="B601" s="1" t="n">
        <v>44378.48505787037</v>
      </c>
      <c r="C601" s="1" t="n">
        <v>45928</v>
      </c>
      <c r="D601" t="inlineStr">
        <is>
          <t>VÄRMLANDS LÄN</t>
        </is>
      </c>
      <c r="E601" t="inlineStr">
        <is>
          <t>ÅRJÄNG</t>
        </is>
      </c>
      <c r="G601" t="n">
        <v>1.2</v>
      </c>
      <c r="H601" t="n">
        <v>0</v>
      </c>
      <c r="I601" t="n">
        <v>0</v>
      </c>
      <c r="J601" t="n">
        <v>0</v>
      </c>
      <c r="K601" t="n">
        <v>0</v>
      </c>
      <c r="L601" t="n">
        <v>0</v>
      </c>
      <c r="M601" t="n">
        <v>0</v>
      </c>
      <c r="N601" t="n">
        <v>0</v>
      </c>
      <c r="O601" t="n">
        <v>0</v>
      </c>
      <c r="P601" t="n">
        <v>0</v>
      </c>
      <c r="Q601" t="n">
        <v>0</v>
      </c>
      <c r="R601" s="2" t="inlineStr"/>
    </row>
    <row r="602" ht="15" customHeight="1">
      <c r="A602" t="inlineStr">
        <is>
          <t>A 26866-2024</t>
        </is>
      </c>
      <c r="B602" s="1" t="n">
        <v>45470</v>
      </c>
      <c r="C602" s="1" t="n">
        <v>45928</v>
      </c>
      <c r="D602" t="inlineStr">
        <is>
          <t>VÄRMLANDS LÄN</t>
        </is>
      </c>
      <c r="E602" t="inlineStr">
        <is>
          <t>ÅRJÄNG</t>
        </is>
      </c>
      <c r="F602" t="inlineStr">
        <is>
          <t>Kyrkan</t>
        </is>
      </c>
      <c r="G602" t="n">
        <v>3.3</v>
      </c>
      <c r="H602" t="n">
        <v>0</v>
      </c>
      <c r="I602" t="n">
        <v>0</v>
      </c>
      <c r="J602" t="n">
        <v>0</v>
      </c>
      <c r="K602" t="n">
        <v>0</v>
      </c>
      <c r="L602" t="n">
        <v>0</v>
      </c>
      <c r="M602" t="n">
        <v>0</v>
      </c>
      <c r="N602" t="n">
        <v>0</v>
      </c>
      <c r="O602" t="n">
        <v>0</v>
      </c>
      <c r="P602" t="n">
        <v>0</v>
      </c>
      <c r="Q602" t="n">
        <v>0</v>
      </c>
      <c r="R602" s="2" t="inlineStr"/>
    </row>
    <row r="603" ht="15" customHeight="1">
      <c r="A603" t="inlineStr">
        <is>
          <t>A 38065-2024</t>
        </is>
      </c>
      <c r="B603" s="1" t="n">
        <v>45544.8249537037</v>
      </c>
      <c r="C603" s="1" t="n">
        <v>45928</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14340-2023</t>
        </is>
      </c>
      <c r="B604" s="1" t="n">
        <v>45012.36368055556</v>
      </c>
      <c r="C604" s="1" t="n">
        <v>45928</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45590-2025</t>
        </is>
      </c>
      <c r="B605" s="1" t="n">
        <v>45922</v>
      </c>
      <c r="C605" s="1" t="n">
        <v>45928</v>
      </c>
      <c r="D605" t="inlineStr">
        <is>
          <t>VÄRMLANDS LÄN</t>
        </is>
      </c>
      <c r="E605" t="inlineStr">
        <is>
          <t>ÅRJÄNG</t>
        </is>
      </c>
      <c r="G605" t="n">
        <v>3.2</v>
      </c>
      <c r="H605" t="n">
        <v>0</v>
      </c>
      <c r="I605" t="n">
        <v>0</v>
      </c>
      <c r="J605" t="n">
        <v>0</v>
      </c>
      <c r="K605" t="n">
        <v>0</v>
      </c>
      <c r="L605" t="n">
        <v>0</v>
      </c>
      <c r="M605" t="n">
        <v>0</v>
      </c>
      <c r="N605" t="n">
        <v>0</v>
      </c>
      <c r="O605" t="n">
        <v>0</v>
      </c>
      <c r="P605" t="n">
        <v>0</v>
      </c>
      <c r="Q605" t="n">
        <v>0</v>
      </c>
      <c r="R605" s="2" t="inlineStr"/>
    </row>
    <row r="606" ht="15" customHeight="1">
      <c r="A606" t="inlineStr">
        <is>
          <t>A 49795-2024</t>
        </is>
      </c>
      <c r="B606" s="1" t="n">
        <v>45597.3713425926</v>
      </c>
      <c r="C606" s="1" t="n">
        <v>45928</v>
      </c>
      <c r="D606" t="inlineStr">
        <is>
          <t>VÄRMLANDS LÄN</t>
        </is>
      </c>
      <c r="E606" t="inlineStr">
        <is>
          <t>ÅRJÄNG</t>
        </is>
      </c>
      <c r="G606" t="n">
        <v>2.6</v>
      </c>
      <c r="H606" t="n">
        <v>0</v>
      </c>
      <c r="I606" t="n">
        <v>0</v>
      </c>
      <c r="J606" t="n">
        <v>0</v>
      </c>
      <c r="K606" t="n">
        <v>0</v>
      </c>
      <c r="L606" t="n">
        <v>0</v>
      </c>
      <c r="M606" t="n">
        <v>0</v>
      </c>
      <c r="N606" t="n">
        <v>0</v>
      </c>
      <c r="O606" t="n">
        <v>0</v>
      </c>
      <c r="P606" t="n">
        <v>0</v>
      </c>
      <c r="Q606" t="n">
        <v>0</v>
      </c>
      <c r="R606" s="2" t="inlineStr"/>
    </row>
    <row r="607" ht="15" customHeight="1">
      <c r="A607" t="inlineStr">
        <is>
          <t>A 45137-2025</t>
        </is>
      </c>
      <c r="B607" s="1" t="n">
        <v>45919</v>
      </c>
      <c r="C607" s="1" t="n">
        <v>45928</v>
      </c>
      <c r="D607" t="inlineStr">
        <is>
          <t>VÄRMLANDS LÄN</t>
        </is>
      </c>
      <c r="E607" t="inlineStr">
        <is>
          <t>ÅRJÄNG</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49133-2024</t>
        </is>
      </c>
      <c r="B608" s="1" t="n">
        <v>45594</v>
      </c>
      <c r="C608" s="1" t="n">
        <v>45928</v>
      </c>
      <c r="D608" t="inlineStr">
        <is>
          <t>VÄRMLANDS LÄN</t>
        </is>
      </c>
      <c r="E608" t="inlineStr">
        <is>
          <t>ÅRJÄNG</t>
        </is>
      </c>
      <c r="G608" t="n">
        <v>7.5</v>
      </c>
      <c r="H608" t="n">
        <v>0</v>
      </c>
      <c r="I608" t="n">
        <v>0</v>
      </c>
      <c r="J608" t="n">
        <v>0</v>
      </c>
      <c r="K608" t="n">
        <v>0</v>
      </c>
      <c r="L608" t="n">
        <v>0</v>
      </c>
      <c r="M608" t="n">
        <v>0</v>
      </c>
      <c r="N608" t="n">
        <v>0</v>
      </c>
      <c r="O608" t="n">
        <v>0</v>
      </c>
      <c r="P608" t="n">
        <v>0</v>
      </c>
      <c r="Q608" t="n">
        <v>0</v>
      </c>
      <c r="R608" s="2" t="inlineStr"/>
    </row>
    <row r="609" ht="15" customHeight="1">
      <c r="A609" t="inlineStr">
        <is>
          <t>A 24342-2024</t>
        </is>
      </c>
      <c r="B609" s="1" t="n">
        <v>45457</v>
      </c>
      <c r="C609" s="1" t="n">
        <v>45928</v>
      </c>
      <c r="D609" t="inlineStr">
        <is>
          <t>VÄRMLANDS LÄN</t>
        </is>
      </c>
      <c r="E609" t="inlineStr">
        <is>
          <t>ÅRJÄNG</t>
        </is>
      </c>
      <c r="G609" t="n">
        <v>0.8</v>
      </c>
      <c r="H609" t="n">
        <v>0</v>
      </c>
      <c r="I609" t="n">
        <v>0</v>
      </c>
      <c r="J609" t="n">
        <v>0</v>
      </c>
      <c r="K609" t="n">
        <v>0</v>
      </c>
      <c r="L609" t="n">
        <v>0</v>
      </c>
      <c r="M609" t="n">
        <v>0</v>
      </c>
      <c r="N609" t="n">
        <v>0</v>
      </c>
      <c r="O609" t="n">
        <v>0</v>
      </c>
      <c r="P609" t="n">
        <v>0</v>
      </c>
      <c r="Q609" t="n">
        <v>0</v>
      </c>
      <c r="R609" s="2" t="inlineStr"/>
    </row>
    <row r="610" ht="15" customHeight="1">
      <c r="A610" t="inlineStr">
        <is>
          <t>A 37419-2025</t>
        </is>
      </c>
      <c r="B610" s="1" t="n">
        <v>45877</v>
      </c>
      <c r="C610" s="1" t="n">
        <v>45928</v>
      </c>
      <c r="D610" t="inlineStr">
        <is>
          <t>VÄRMLANDS LÄN</t>
        </is>
      </c>
      <c r="E610" t="inlineStr">
        <is>
          <t>ÅRJÄNG</t>
        </is>
      </c>
      <c r="G610" t="n">
        <v>4.9</v>
      </c>
      <c r="H610" t="n">
        <v>0</v>
      </c>
      <c r="I610" t="n">
        <v>0</v>
      </c>
      <c r="J610" t="n">
        <v>0</v>
      </c>
      <c r="K610" t="n">
        <v>0</v>
      </c>
      <c r="L610" t="n">
        <v>0</v>
      </c>
      <c r="M610" t="n">
        <v>0</v>
      </c>
      <c r="N610" t="n">
        <v>0</v>
      </c>
      <c r="O610" t="n">
        <v>0</v>
      </c>
      <c r="P610" t="n">
        <v>0</v>
      </c>
      <c r="Q610" t="n">
        <v>0</v>
      </c>
      <c r="R610" s="2" t="inlineStr"/>
    </row>
    <row r="611" ht="15" customHeight="1">
      <c r="A611" t="inlineStr">
        <is>
          <t>A 12740-2025</t>
        </is>
      </c>
      <c r="B611" s="1" t="n">
        <v>45733</v>
      </c>
      <c r="C611" s="1" t="n">
        <v>45928</v>
      </c>
      <c r="D611" t="inlineStr">
        <is>
          <t>VÄRMLANDS LÄN</t>
        </is>
      </c>
      <c r="E611" t="inlineStr">
        <is>
          <t>ÅRJÄNG</t>
        </is>
      </c>
      <c r="G611" t="n">
        <v>2.9</v>
      </c>
      <c r="H611" t="n">
        <v>0</v>
      </c>
      <c r="I611" t="n">
        <v>0</v>
      </c>
      <c r="J611" t="n">
        <v>0</v>
      </c>
      <c r="K611" t="n">
        <v>0</v>
      </c>
      <c r="L611" t="n">
        <v>0</v>
      </c>
      <c r="M611" t="n">
        <v>0</v>
      </c>
      <c r="N611" t="n">
        <v>0</v>
      </c>
      <c r="O611" t="n">
        <v>0</v>
      </c>
      <c r="P611" t="n">
        <v>0</v>
      </c>
      <c r="Q611" t="n">
        <v>0</v>
      </c>
      <c r="R611" s="2" t="inlineStr"/>
    </row>
    <row r="612" ht="15" customHeight="1">
      <c r="A612" t="inlineStr">
        <is>
          <t>A 1415-2025</t>
        </is>
      </c>
      <c r="B612" s="1" t="n">
        <v>45668.32795138889</v>
      </c>
      <c r="C612" s="1" t="n">
        <v>45928</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37484-2025</t>
        </is>
      </c>
      <c r="B613" s="1" t="n">
        <v>45877</v>
      </c>
      <c r="C613" s="1" t="n">
        <v>45928</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37507-2025</t>
        </is>
      </c>
      <c r="B614" s="1" t="n">
        <v>45877</v>
      </c>
      <c r="C614" s="1" t="n">
        <v>45928</v>
      </c>
      <c r="D614" t="inlineStr">
        <is>
          <t>VÄRMLANDS LÄN</t>
        </is>
      </c>
      <c r="E614" t="inlineStr">
        <is>
          <t>ÅRJÄNG</t>
        </is>
      </c>
      <c r="G614" t="n">
        <v>1.1</v>
      </c>
      <c r="H614" t="n">
        <v>0</v>
      </c>
      <c r="I614" t="n">
        <v>0</v>
      </c>
      <c r="J614" t="n">
        <v>0</v>
      </c>
      <c r="K614" t="n">
        <v>0</v>
      </c>
      <c r="L614" t="n">
        <v>0</v>
      </c>
      <c r="M614" t="n">
        <v>0</v>
      </c>
      <c r="N614" t="n">
        <v>0</v>
      </c>
      <c r="O614" t="n">
        <v>0</v>
      </c>
      <c r="P614" t="n">
        <v>0</v>
      </c>
      <c r="Q614" t="n">
        <v>0</v>
      </c>
      <c r="R614" s="2" t="inlineStr"/>
    </row>
    <row r="615" ht="15" customHeight="1">
      <c r="A615" t="inlineStr">
        <is>
          <t>A 2116-2025</t>
        </is>
      </c>
      <c r="B615" s="1" t="n">
        <v>45672</v>
      </c>
      <c r="C615" s="1" t="n">
        <v>45928</v>
      </c>
      <c r="D615" t="inlineStr">
        <is>
          <t>VÄRMLANDS LÄN</t>
        </is>
      </c>
      <c r="E615" t="inlineStr">
        <is>
          <t>ÅRJÄNG</t>
        </is>
      </c>
      <c r="G615" t="n">
        <v>3.8</v>
      </c>
      <c r="H615" t="n">
        <v>0</v>
      </c>
      <c r="I615" t="n">
        <v>0</v>
      </c>
      <c r="J615" t="n">
        <v>0</v>
      </c>
      <c r="K615" t="n">
        <v>0</v>
      </c>
      <c r="L615" t="n">
        <v>0</v>
      </c>
      <c r="M615" t="n">
        <v>0</v>
      </c>
      <c r="N615" t="n">
        <v>0</v>
      </c>
      <c r="O615" t="n">
        <v>0</v>
      </c>
      <c r="P615" t="n">
        <v>0</v>
      </c>
      <c r="Q615" t="n">
        <v>0</v>
      </c>
      <c r="R615" s="2" t="inlineStr"/>
    </row>
    <row r="616" ht="15" customHeight="1">
      <c r="A616" t="inlineStr">
        <is>
          <t>A 15300-2025</t>
        </is>
      </c>
      <c r="B616" s="1" t="n">
        <v>45746</v>
      </c>
      <c r="C616" s="1" t="n">
        <v>45928</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53726-2021</t>
        </is>
      </c>
      <c r="B617" s="1" t="n">
        <v>44469.51079861111</v>
      </c>
      <c r="C617" s="1" t="n">
        <v>45928</v>
      </c>
      <c r="D617" t="inlineStr">
        <is>
          <t>VÄRMLANDS LÄN</t>
        </is>
      </c>
      <c r="E617" t="inlineStr">
        <is>
          <t>ÅRJÄNG</t>
        </is>
      </c>
      <c r="G617" t="n">
        <v>3.2</v>
      </c>
      <c r="H617" t="n">
        <v>0</v>
      </c>
      <c r="I617" t="n">
        <v>0</v>
      </c>
      <c r="J617" t="n">
        <v>0</v>
      </c>
      <c r="K617" t="n">
        <v>0</v>
      </c>
      <c r="L617" t="n">
        <v>0</v>
      </c>
      <c r="M617" t="n">
        <v>0</v>
      </c>
      <c r="N617" t="n">
        <v>0</v>
      </c>
      <c r="O617" t="n">
        <v>0</v>
      </c>
      <c r="P617" t="n">
        <v>0</v>
      </c>
      <c r="Q617" t="n">
        <v>0</v>
      </c>
      <c r="R617" s="2" t="inlineStr"/>
    </row>
    <row r="618" ht="15" customHeight="1">
      <c r="A618" t="inlineStr">
        <is>
          <t>A 9749-2024</t>
        </is>
      </c>
      <c r="B618" s="1" t="n">
        <v>45362</v>
      </c>
      <c r="C618" s="1" t="n">
        <v>45928</v>
      </c>
      <c r="D618" t="inlineStr">
        <is>
          <t>VÄRMLANDS LÄN</t>
        </is>
      </c>
      <c r="E618" t="inlineStr">
        <is>
          <t>ÅRJÄNG</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37402-2025</t>
        </is>
      </c>
      <c r="B619" s="1" t="n">
        <v>45877</v>
      </c>
      <c r="C619" s="1" t="n">
        <v>45928</v>
      </c>
      <c r="D619" t="inlineStr">
        <is>
          <t>VÄRMLANDS LÄN</t>
        </is>
      </c>
      <c r="E619" t="inlineStr">
        <is>
          <t>ÅRJÄNG</t>
        </is>
      </c>
      <c r="G619" t="n">
        <v>2.5</v>
      </c>
      <c r="H619" t="n">
        <v>0</v>
      </c>
      <c r="I619" t="n">
        <v>0</v>
      </c>
      <c r="J619" t="n">
        <v>0</v>
      </c>
      <c r="K619" t="n">
        <v>0</v>
      </c>
      <c r="L619" t="n">
        <v>0</v>
      </c>
      <c r="M619" t="n">
        <v>0</v>
      </c>
      <c r="N619" t="n">
        <v>0</v>
      </c>
      <c r="O619" t="n">
        <v>0</v>
      </c>
      <c r="P619" t="n">
        <v>0</v>
      </c>
      <c r="Q619" t="n">
        <v>0</v>
      </c>
      <c r="R619" s="2" t="inlineStr"/>
    </row>
    <row r="620" ht="15" customHeight="1">
      <c r="A620" t="inlineStr">
        <is>
          <t>A 6962-2025</t>
        </is>
      </c>
      <c r="B620" s="1" t="n">
        <v>45701</v>
      </c>
      <c r="C620" s="1" t="n">
        <v>45928</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8614-2023</t>
        </is>
      </c>
      <c r="B621" s="1" t="n">
        <v>44977</v>
      </c>
      <c r="C621" s="1" t="n">
        <v>45928</v>
      </c>
      <c r="D621" t="inlineStr">
        <is>
          <t>VÄRMLANDS LÄN</t>
        </is>
      </c>
      <c r="E621" t="inlineStr">
        <is>
          <t>ÅRJÄNG</t>
        </is>
      </c>
      <c r="G621" t="n">
        <v>3.8</v>
      </c>
      <c r="H621" t="n">
        <v>0</v>
      </c>
      <c r="I621" t="n">
        <v>0</v>
      </c>
      <c r="J621" t="n">
        <v>0</v>
      </c>
      <c r="K621" t="n">
        <v>0</v>
      </c>
      <c r="L621" t="n">
        <v>0</v>
      </c>
      <c r="M621" t="n">
        <v>0</v>
      </c>
      <c r="N621" t="n">
        <v>0</v>
      </c>
      <c r="O621" t="n">
        <v>0</v>
      </c>
      <c r="P621" t="n">
        <v>0</v>
      </c>
      <c r="Q621" t="n">
        <v>0</v>
      </c>
      <c r="R621" s="2" t="inlineStr"/>
    </row>
    <row r="622" ht="15" customHeight="1">
      <c r="A622" t="inlineStr">
        <is>
          <t>A 45515-2025</t>
        </is>
      </c>
      <c r="B622" s="1" t="n">
        <v>45922</v>
      </c>
      <c r="C622" s="1" t="n">
        <v>45928</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45203-2025</t>
        </is>
      </c>
      <c r="B623" s="1" t="n">
        <v>45919</v>
      </c>
      <c r="C623" s="1" t="n">
        <v>45928</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37416-2025</t>
        </is>
      </c>
      <c r="B624" s="1" t="n">
        <v>45877</v>
      </c>
      <c r="C624" s="1" t="n">
        <v>45928</v>
      </c>
      <c r="D624" t="inlineStr">
        <is>
          <t>VÄRMLANDS LÄN</t>
        </is>
      </c>
      <c r="E624" t="inlineStr">
        <is>
          <t>ÅRJÄNG</t>
        </is>
      </c>
      <c r="G624" t="n">
        <v>3.8</v>
      </c>
      <c r="H624" t="n">
        <v>0</v>
      </c>
      <c r="I624" t="n">
        <v>0</v>
      </c>
      <c r="J624" t="n">
        <v>0</v>
      </c>
      <c r="K624" t="n">
        <v>0</v>
      </c>
      <c r="L624" t="n">
        <v>0</v>
      </c>
      <c r="M624" t="n">
        <v>0</v>
      </c>
      <c r="N624" t="n">
        <v>0</v>
      </c>
      <c r="O624" t="n">
        <v>0</v>
      </c>
      <c r="P624" t="n">
        <v>0</v>
      </c>
      <c r="Q624" t="n">
        <v>0</v>
      </c>
      <c r="R624" s="2" t="inlineStr"/>
    </row>
    <row r="625" ht="15" customHeight="1">
      <c r="A625" t="inlineStr">
        <is>
          <t>A 1571-2025</t>
        </is>
      </c>
      <c r="B625" s="1" t="n">
        <v>45670.55496527778</v>
      </c>
      <c r="C625" s="1" t="n">
        <v>45928</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46249-2023</t>
        </is>
      </c>
      <c r="B626" s="1" t="n">
        <v>45196.89337962963</v>
      </c>
      <c r="C626" s="1" t="n">
        <v>45928</v>
      </c>
      <c r="D626" t="inlineStr">
        <is>
          <t>VÄRMLANDS LÄN</t>
        </is>
      </c>
      <c r="E626" t="inlineStr">
        <is>
          <t>ÅRJÄNG</t>
        </is>
      </c>
      <c r="G626" t="n">
        <v>1.7</v>
      </c>
      <c r="H626" t="n">
        <v>0</v>
      </c>
      <c r="I626" t="n">
        <v>0</v>
      </c>
      <c r="J626" t="n">
        <v>0</v>
      </c>
      <c r="K626" t="n">
        <v>0</v>
      </c>
      <c r="L626" t="n">
        <v>0</v>
      </c>
      <c r="M626" t="n">
        <v>0</v>
      </c>
      <c r="N626" t="n">
        <v>0</v>
      </c>
      <c r="O626" t="n">
        <v>0</v>
      </c>
      <c r="P626" t="n">
        <v>0</v>
      </c>
      <c r="Q626" t="n">
        <v>0</v>
      </c>
      <c r="R626" s="2" t="inlineStr"/>
    </row>
    <row r="627" ht="15" customHeight="1">
      <c r="A627" t="inlineStr">
        <is>
          <t>A 40447-2022</t>
        </is>
      </c>
      <c r="B627" s="1" t="n">
        <v>44823</v>
      </c>
      <c r="C627" s="1" t="n">
        <v>45928</v>
      </c>
      <c r="D627" t="inlineStr">
        <is>
          <t>VÄRMLANDS LÄN</t>
        </is>
      </c>
      <c r="E627" t="inlineStr">
        <is>
          <t>ÅRJÄNG</t>
        </is>
      </c>
      <c r="G627" t="n">
        <v>10.4</v>
      </c>
      <c r="H627" t="n">
        <v>0</v>
      </c>
      <c r="I627" t="n">
        <v>0</v>
      </c>
      <c r="J627" t="n">
        <v>0</v>
      </c>
      <c r="K627" t="n">
        <v>0</v>
      </c>
      <c r="L627" t="n">
        <v>0</v>
      </c>
      <c r="M627" t="n">
        <v>0</v>
      </c>
      <c r="N627" t="n">
        <v>0</v>
      </c>
      <c r="O627" t="n">
        <v>0</v>
      </c>
      <c r="P627" t="n">
        <v>0</v>
      </c>
      <c r="Q627" t="n">
        <v>0</v>
      </c>
      <c r="R627" s="2" t="inlineStr"/>
    </row>
    <row r="628" ht="15" customHeight="1">
      <c r="A628" t="inlineStr">
        <is>
          <t>A 45581-2025</t>
        </is>
      </c>
      <c r="B628" s="1" t="n">
        <v>45922</v>
      </c>
      <c r="C628" s="1" t="n">
        <v>45928</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37662-2025</t>
        </is>
      </c>
      <c r="B629" s="1" t="n">
        <v>45880</v>
      </c>
      <c r="C629" s="1" t="n">
        <v>45928</v>
      </c>
      <c r="D629" t="inlineStr">
        <is>
          <t>VÄRMLANDS LÄN</t>
        </is>
      </c>
      <c r="E629" t="inlineStr">
        <is>
          <t>ÅRJÄNG</t>
        </is>
      </c>
      <c r="G629" t="n">
        <v>1.8</v>
      </c>
      <c r="H629" t="n">
        <v>0</v>
      </c>
      <c r="I629" t="n">
        <v>0</v>
      </c>
      <c r="J629" t="n">
        <v>0</v>
      </c>
      <c r="K629" t="n">
        <v>0</v>
      </c>
      <c r="L629" t="n">
        <v>0</v>
      </c>
      <c r="M629" t="n">
        <v>0</v>
      </c>
      <c r="N629" t="n">
        <v>0</v>
      </c>
      <c r="O629" t="n">
        <v>0</v>
      </c>
      <c r="P629" t="n">
        <v>0</v>
      </c>
      <c r="Q629" t="n">
        <v>0</v>
      </c>
      <c r="R629" s="2" t="inlineStr"/>
    </row>
    <row r="630" ht="15" customHeight="1">
      <c r="A630" t="inlineStr">
        <is>
          <t>A 40458-2023</t>
        </is>
      </c>
      <c r="B630" s="1" t="n">
        <v>45170.32993055556</v>
      </c>
      <c r="C630" s="1" t="n">
        <v>45928</v>
      </c>
      <c r="D630" t="inlineStr">
        <is>
          <t>VÄRMLANDS LÄN</t>
        </is>
      </c>
      <c r="E630" t="inlineStr">
        <is>
          <t>ÅRJÄNG</t>
        </is>
      </c>
      <c r="G630" t="n">
        <v>17</v>
      </c>
      <c r="H630" t="n">
        <v>0</v>
      </c>
      <c r="I630" t="n">
        <v>0</v>
      </c>
      <c r="J630" t="n">
        <v>0</v>
      </c>
      <c r="K630" t="n">
        <v>0</v>
      </c>
      <c r="L630" t="n">
        <v>0</v>
      </c>
      <c r="M630" t="n">
        <v>0</v>
      </c>
      <c r="N630" t="n">
        <v>0</v>
      </c>
      <c r="O630" t="n">
        <v>0</v>
      </c>
      <c r="P630" t="n">
        <v>0</v>
      </c>
      <c r="Q630" t="n">
        <v>0</v>
      </c>
      <c r="R630" s="2" t="inlineStr"/>
    </row>
    <row r="631" ht="15" customHeight="1">
      <c r="A631" t="inlineStr">
        <is>
          <t>A 21392-2023</t>
        </is>
      </c>
      <c r="B631" s="1" t="n">
        <v>45061</v>
      </c>
      <c r="C631" s="1" t="n">
        <v>45928</v>
      </c>
      <c r="D631" t="inlineStr">
        <is>
          <t>VÄRMLANDS LÄN</t>
        </is>
      </c>
      <c r="E631" t="inlineStr">
        <is>
          <t>ÅRJÄNG</t>
        </is>
      </c>
      <c r="G631" t="n">
        <v>11.7</v>
      </c>
      <c r="H631" t="n">
        <v>0</v>
      </c>
      <c r="I631" t="n">
        <v>0</v>
      </c>
      <c r="J631" t="n">
        <v>0</v>
      </c>
      <c r="K631" t="n">
        <v>0</v>
      </c>
      <c r="L631" t="n">
        <v>0</v>
      </c>
      <c r="M631" t="n">
        <v>0</v>
      </c>
      <c r="N631" t="n">
        <v>0</v>
      </c>
      <c r="O631" t="n">
        <v>0</v>
      </c>
      <c r="P631" t="n">
        <v>0</v>
      </c>
      <c r="Q631" t="n">
        <v>0</v>
      </c>
      <c r="R631" s="2" t="inlineStr"/>
    </row>
    <row r="632" ht="15" customHeight="1">
      <c r="A632" t="inlineStr">
        <is>
          <t>A 44140-2024</t>
        </is>
      </c>
      <c r="B632" s="1" t="n">
        <v>45572</v>
      </c>
      <c r="C632" s="1" t="n">
        <v>45928</v>
      </c>
      <c r="D632" t="inlineStr">
        <is>
          <t>VÄRMLANDS LÄN</t>
        </is>
      </c>
      <c r="E632" t="inlineStr">
        <is>
          <t>ÅRJÄNG</t>
        </is>
      </c>
      <c r="G632" t="n">
        <v>0.7</v>
      </c>
      <c r="H632" t="n">
        <v>0</v>
      </c>
      <c r="I632" t="n">
        <v>0</v>
      </c>
      <c r="J632" t="n">
        <v>0</v>
      </c>
      <c r="K632" t="n">
        <v>0</v>
      </c>
      <c r="L632" t="n">
        <v>0</v>
      </c>
      <c r="M632" t="n">
        <v>0</v>
      </c>
      <c r="N632" t="n">
        <v>0</v>
      </c>
      <c r="O632" t="n">
        <v>0</v>
      </c>
      <c r="P632" t="n">
        <v>0</v>
      </c>
      <c r="Q632" t="n">
        <v>0</v>
      </c>
      <c r="R632" s="2" t="inlineStr"/>
    </row>
    <row r="633" ht="15" customHeight="1">
      <c r="A633" t="inlineStr">
        <is>
          <t>A 45599-2025</t>
        </is>
      </c>
      <c r="B633" s="1" t="n">
        <v>45922</v>
      </c>
      <c r="C633" s="1" t="n">
        <v>45928</v>
      </c>
      <c r="D633" t="inlineStr">
        <is>
          <t>VÄRMLANDS LÄN</t>
        </is>
      </c>
      <c r="E633" t="inlineStr">
        <is>
          <t>ÅRJÄNG</t>
        </is>
      </c>
      <c r="G633" t="n">
        <v>6.7</v>
      </c>
      <c r="H633" t="n">
        <v>0</v>
      </c>
      <c r="I633" t="n">
        <v>0</v>
      </c>
      <c r="J633" t="n">
        <v>0</v>
      </c>
      <c r="K633" t="n">
        <v>0</v>
      </c>
      <c r="L633" t="n">
        <v>0</v>
      </c>
      <c r="M633" t="n">
        <v>0</v>
      </c>
      <c r="N633" t="n">
        <v>0</v>
      </c>
      <c r="O633" t="n">
        <v>0</v>
      </c>
      <c r="P633" t="n">
        <v>0</v>
      </c>
      <c r="Q633" t="n">
        <v>0</v>
      </c>
      <c r="R633" s="2" t="inlineStr"/>
    </row>
    <row r="634" ht="15" customHeight="1">
      <c r="A634" t="inlineStr">
        <is>
          <t>A 37418-2025</t>
        </is>
      </c>
      <c r="B634" s="1" t="n">
        <v>45877</v>
      </c>
      <c r="C634" s="1" t="n">
        <v>45928</v>
      </c>
      <c r="D634" t="inlineStr">
        <is>
          <t>VÄRMLANDS LÄN</t>
        </is>
      </c>
      <c r="E634" t="inlineStr">
        <is>
          <t>ÅRJÄNG</t>
        </is>
      </c>
      <c r="G634" t="n">
        <v>1.7</v>
      </c>
      <c r="H634" t="n">
        <v>0</v>
      </c>
      <c r="I634" t="n">
        <v>0</v>
      </c>
      <c r="J634" t="n">
        <v>0</v>
      </c>
      <c r="K634" t="n">
        <v>0</v>
      </c>
      <c r="L634" t="n">
        <v>0</v>
      </c>
      <c r="M634" t="n">
        <v>0</v>
      </c>
      <c r="N634" t="n">
        <v>0</v>
      </c>
      <c r="O634" t="n">
        <v>0</v>
      </c>
      <c r="P634" t="n">
        <v>0</v>
      </c>
      <c r="Q634" t="n">
        <v>0</v>
      </c>
      <c r="R634" s="2" t="inlineStr"/>
    </row>
    <row r="635" ht="15" customHeight="1">
      <c r="A635" t="inlineStr">
        <is>
          <t>A 37420-2025</t>
        </is>
      </c>
      <c r="B635" s="1" t="n">
        <v>45877</v>
      </c>
      <c r="C635" s="1" t="n">
        <v>45928</v>
      </c>
      <c r="D635" t="inlineStr">
        <is>
          <t>VÄRMLANDS LÄN</t>
        </is>
      </c>
      <c r="E635" t="inlineStr">
        <is>
          <t>ÅRJÄNG</t>
        </is>
      </c>
      <c r="G635" t="n">
        <v>0.9</v>
      </c>
      <c r="H635" t="n">
        <v>0</v>
      </c>
      <c r="I635" t="n">
        <v>0</v>
      </c>
      <c r="J635" t="n">
        <v>0</v>
      </c>
      <c r="K635" t="n">
        <v>0</v>
      </c>
      <c r="L635" t="n">
        <v>0</v>
      </c>
      <c r="M635" t="n">
        <v>0</v>
      </c>
      <c r="N635" t="n">
        <v>0</v>
      </c>
      <c r="O635" t="n">
        <v>0</v>
      </c>
      <c r="P635" t="n">
        <v>0</v>
      </c>
      <c r="Q635" t="n">
        <v>0</v>
      </c>
      <c r="R635" s="2" t="inlineStr"/>
    </row>
    <row r="636" ht="15" customHeight="1">
      <c r="A636" t="inlineStr">
        <is>
          <t>A 37680-2025</t>
        </is>
      </c>
      <c r="B636" s="1" t="n">
        <v>45880.54208333333</v>
      </c>
      <c r="C636" s="1" t="n">
        <v>45928</v>
      </c>
      <c r="D636" t="inlineStr">
        <is>
          <t>VÄRMLANDS LÄN</t>
        </is>
      </c>
      <c r="E636" t="inlineStr">
        <is>
          <t>ÅRJÄNG</t>
        </is>
      </c>
      <c r="G636" t="n">
        <v>2</v>
      </c>
      <c r="H636" t="n">
        <v>0</v>
      </c>
      <c r="I636" t="n">
        <v>0</v>
      </c>
      <c r="J636" t="n">
        <v>0</v>
      </c>
      <c r="K636" t="n">
        <v>0</v>
      </c>
      <c r="L636" t="n">
        <v>0</v>
      </c>
      <c r="M636" t="n">
        <v>0</v>
      </c>
      <c r="N636" t="n">
        <v>0</v>
      </c>
      <c r="O636" t="n">
        <v>0</v>
      </c>
      <c r="P636" t="n">
        <v>0</v>
      </c>
      <c r="Q636" t="n">
        <v>0</v>
      </c>
      <c r="R636" s="2" t="inlineStr"/>
    </row>
    <row r="637" ht="15" customHeight="1">
      <c r="A637" t="inlineStr">
        <is>
          <t>A 37681-2025</t>
        </is>
      </c>
      <c r="B637" s="1" t="n">
        <v>45880</v>
      </c>
      <c r="C637" s="1" t="n">
        <v>45928</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13157-2024</t>
        </is>
      </c>
      <c r="B638" s="1" t="n">
        <v>45386</v>
      </c>
      <c r="C638" s="1" t="n">
        <v>45928</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50509-2024</t>
        </is>
      </c>
      <c r="B639" s="1" t="n">
        <v>45601</v>
      </c>
      <c r="C639" s="1" t="n">
        <v>45928</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16010-2024</t>
        </is>
      </c>
      <c r="B640" s="1" t="n">
        <v>45405</v>
      </c>
      <c r="C640" s="1" t="n">
        <v>45928</v>
      </c>
      <c r="D640" t="inlineStr">
        <is>
          <t>VÄRMLANDS LÄN</t>
        </is>
      </c>
      <c r="E640" t="inlineStr">
        <is>
          <t>ÅRJÄNG</t>
        </is>
      </c>
      <c r="G640" t="n">
        <v>4.6</v>
      </c>
      <c r="H640" t="n">
        <v>0</v>
      </c>
      <c r="I640" t="n">
        <v>0</v>
      </c>
      <c r="J640" t="n">
        <v>0</v>
      </c>
      <c r="K640" t="n">
        <v>0</v>
      </c>
      <c r="L640" t="n">
        <v>0</v>
      </c>
      <c r="M640" t="n">
        <v>0</v>
      </c>
      <c r="N640" t="n">
        <v>0</v>
      </c>
      <c r="O640" t="n">
        <v>0</v>
      </c>
      <c r="P640" t="n">
        <v>0</v>
      </c>
      <c r="Q640" t="n">
        <v>0</v>
      </c>
      <c r="R640" s="2" t="inlineStr"/>
    </row>
    <row r="641" ht="15" customHeight="1">
      <c r="A641" t="inlineStr">
        <is>
          <t>A 45161-2025</t>
        </is>
      </c>
      <c r="B641" s="1" t="n">
        <v>45919</v>
      </c>
      <c r="C641" s="1" t="n">
        <v>45928</v>
      </c>
      <c r="D641" t="inlineStr">
        <is>
          <t>VÄRMLANDS LÄN</t>
        </is>
      </c>
      <c r="E641" t="inlineStr">
        <is>
          <t>ÅRJÄNG</t>
        </is>
      </c>
      <c r="G641" t="n">
        <v>0.8</v>
      </c>
      <c r="H641" t="n">
        <v>0</v>
      </c>
      <c r="I641" t="n">
        <v>0</v>
      </c>
      <c r="J641" t="n">
        <v>0</v>
      </c>
      <c r="K641" t="n">
        <v>0</v>
      </c>
      <c r="L641" t="n">
        <v>0</v>
      </c>
      <c r="M641" t="n">
        <v>0</v>
      </c>
      <c r="N641" t="n">
        <v>0</v>
      </c>
      <c r="O641" t="n">
        <v>0</v>
      </c>
      <c r="P641" t="n">
        <v>0</v>
      </c>
      <c r="Q641" t="n">
        <v>0</v>
      </c>
      <c r="R641" s="2" t="inlineStr"/>
    </row>
    <row r="642" ht="15" customHeight="1">
      <c r="A642" t="inlineStr">
        <is>
          <t>A 32773-2024</t>
        </is>
      </c>
      <c r="B642" s="1" t="n">
        <v>45516.49834490741</v>
      </c>
      <c r="C642" s="1" t="n">
        <v>45928</v>
      </c>
      <c r="D642" t="inlineStr">
        <is>
          <t>VÄRMLANDS LÄN</t>
        </is>
      </c>
      <c r="E642" t="inlineStr">
        <is>
          <t>ÅRJÄNG</t>
        </is>
      </c>
      <c r="G642" t="n">
        <v>1.5</v>
      </c>
      <c r="H642" t="n">
        <v>0</v>
      </c>
      <c r="I642" t="n">
        <v>0</v>
      </c>
      <c r="J642" t="n">
        <v>0</v>
      </c>
      <c r="K642" t="n">
        <v>0</v>
      </c>
      <c r="L642" t="n">
        <v>0</v>
      </c>
      <c r="M642" t="n">
        <v>0</v>
      </c>
      <c r="N642" t="n">
        <v>0</v>
      </c>
      <c r="O642" t="n">
        <v>0</v>
      </c>
      <c r="P642" t="n">
        <v>0</v>
      </c>
      <c r="Q642" t="n">
        <v>0</v>
      </c>
      <c r="R642" s="2" t="inlineStr"/>
    </row>
    <row r="643" ht="15" customHeight="1">
      <c r="A643" t="inlineStr">
        <is>
          <t>A 45162-2025</t>
        </is>
      </c>
      <c r="B643" s="1" t="n">
        <v>45919</v>
      </c>
      <c r="C643" s="1" t="n">
        <v>45928</v>
      </c>
      <c r="D643" t="inlineStr">
        <is>
          <t>VÄRMLANDS LÄN</t>
        </is>
      </c>
      <c r="E643" t="inlineStr">
        <is>
          <t>ÅRJÄNG</t>
        </is>
      </c>
      <c r="G643" t="n">
        <v>3.3</v>
      </c>
      <c r="H643" t="n">
        <v>0</v>
      </c>
      <c r="I643" t="n">
        <v>0</v>
      </c>
      <c r="J643" t="n">
        <v>0</v>
      </c>
      <c r="K643" t="n">
        <v>0</v>
      </c>
      <c r="L643" t="n">
        <v>0</v>
      </c>
      <c r="M643" t="n">
        <v>0</v>
      </c>
      <c r="N643" t="n">
        <v>0</v>
      </c>
      <c r="O643" t="n">
        <v>0</v>
      </c>
      <c r="P643" t="n">
        <v>0</v>
      </c>
      <c r="Q643" t="n">
        <v>0</v>
      </c>
      <c r="R643" s="2" t="inlineStr"/>
    </row>
    <row r="644" ht="15" customHeight="1">
      <c r="A644" t="inlineStr">
        <is>
          <t>A 45524-2025</t>
        </is>
      </c>
      <c r="B644" s="1" t="n">
        <v>45922</v>
      </c>
      <c r="C644" s="1" t="n">
        <v>45928</v>
      </c>
      <c r="D644" t="inlineStr">
        <is>
          <t>VÄRMLANDS LÄN</t>
        </is>
      </c>
      <c r="E644" t="inlineStr">
        <is>
          <t>ÅRJÄNG</t>
        </is>
      </c>
      <c r="G644" t="n">
        <v>2.6</v>
      </c>
      <c r="H644" t="n">
        <v>0</v>
      </c>
      <c r="I644" t="n">
        <v>0</v>
      </c>
      <c r="J644" t="n">
        <v>0</v>
      </c>
      <c r="K644" t="n">
        <v>0</v>
      </c>
      <c r="L644" t="n">
        <v>0</v>
      </c>
      <c r="M644" t="n">
        <v>0</v>
      </c>
      <c r="N644" t="n">
        <v>0</v>
      </c>
      <c r="O644" t="n">
        <v>0</v>
      </c>
      <c r="P644" t="n">
        <v>0</v>
      </c>
      <c r="Q644" t="n">
        <v>0</v>
      </c>
      <c r="R644" s="2" t="inlineStr"/>
    </row>
    <row r="645" ht="15" customHeight="1">
      <c r="A645" t="inlineStr">
        <is>
          <t>A 62966-2023</t>
        </is>
      </c>
      <c r="B645" s="1" t="n">
        <v>45272.57006944445</v>
      </c>
      <c r="C645" s="1" t="n">
        <v>45928</v>
      </c>
      <c r="D645" t="inlineStr">
        <is>
          <t>VÄRMLANDS LÄN</t>
        </is>
      </c>
      <c r="E645" t="inlineStr">
        <is>
          <t>ÅRJÄNG</t>
        </is>
      </c>
      <c r="G645" t="n">
        <v>4.5</v>
      </c>
      <c r="H645" t="n">
        <v>0</v>
      </c>
      <c r="I645" t="n">
        <v>0</v>
      </c>
      <c r="J645" t="n">
        <v>0</v>
      </c>
      <c r="K645" t="n">
        <v>0</v>
      </c>
      <c r="L645" t="n">
        <v>0</v>
      </c>
      <c r="M645" t="n">
        <v>0</v>
      </c>
      <c r="N645" t="n">
        <v>0</v>
      </c>
      <c r="O645" t="n">
        <v>0</v>
      </c>
      <c r="P645" t="n">
        <v>0</v>
      </c>
      <c r="Q645" t="n">
        <v>0</v>
      </c>
      <c r="R645" s="2" t="inlineStr"/>
    </row>
    <row r="646" ht="15" customHeight="1">
      <c r="A646" t="inlineStr">
        <is>
          <t>A 9441-2021</t>
        </is>
      </c>
      <c r="B646" s="1" t="n">
        <v>44251</v>
      </c>
      <c r="C646" s="1" t="n">
        <v>45928</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44257-2025</t>
        </is>
      </c>
      <c r="B647" s="1" t="n">
        <v>45915</v>
      </c>
      <c r="C647" s="1" t="n">
        <v>45928</v>
      </c>
      <c r="D647" t="inlineStr">
        <is>
          <t>VÄRMLANDS LÄN</t>
        </is>
      </c>
      <c r="E647" t="inlineStr">
        <is>
          <t>ÅRJÄNG</t>
        </is>
      </c>
      <c r="G647" t="n">
        <v>3.6</v>
      </c>
      <c r="H647" t="n">
        <v>0</v>
      </c>
      <c r="I647" t="n">
        <v>0</v>
      </c>
      <c r="J647" t="n">
        <v>0</v>
      </c>
      <c r="K647" t="n">
        <v>0</v>
      </c>
      <c r="L647" t="n">
        <v>0</v>
      </c>
      <c r="M647" t="n">
        <v>0</v>
      </c>
      <c r="N647" t="n">
        <v>0</v>
      </c>
      <c r="O647" t="n">
        <v>0</v>
      </c>
      <c r="P647" t="n">
        <v>0</v>
      </c>
      <c r="Q647" t="n">
        <v>0</v>
      </c>
      <c r="R647" s="2" t="inlineStr"/>
    </row>
    <row r="648" ht="15" customHeight="1">
      <c r="A648" t="inlineStr">
        <is>
          <t>A 7184-2024</t>
        </is>
      </c>
      <c r="B648" s="1" t="n">
        <v>45344</v>
      </c>
      <c r="C648" s="1" t="n">
        <v>45928</v>
      </c>
      <c r="D648" t="inlineStr">
        <is>
          <t>VÄRMLANDS LÄN</t>
        </is>
      </c>
      <c r="E648" t="inlineStr">
        <is>
          <t>ÅRJÄNG</t>
        </is>
      </c>
      <c r="G648" t="n">
        <v>1.3</v>
      </c>
      <c r="H648" t="n">
        <v>0</v>
      </c>
      <c r="I648" t="n">
        <v>0</v>
      </c>
      <c r="J648" t="n">
        <v>0</v>
      </c>
      <c r="K648" t="n">
        <v>0</v>
      </c>
      <c r="L648" t="n">
        <v>0</v>
      </c>
      <c r="M648" t="n">
        <v>0</v>
      </c>
      <c r="N648" t="n">
        <v>0</v>
      </c>
      <c r="O648" t="n">
        <v>0</v>
      </c>
      <c r="P648" t="n">
        <v>0</v>
      </c>
      <c r="Q648" t="n">
        <v>0</v>
      </c>
      <c r="R648" s="2" t="inlineStr"/>
    </row>
    <row r="649" ht="15" customHeight="1">
      <c r="A649" t="inlineStr">
        <is>
          <t>A 11874-2025</t>
        </is>
      </c>
      <c r="B649" s="1" t="n">
        <v>45728.43699074074</v>
      </c>
      <c r="C649" s="1" t="n">
        <v>45928</v>
      </c>
      <c r="D649" t="inlineStr">
        <is>
          <t>VÄRMLANDS LÄN</t>
        </is>
      </c>
      <c r="E649" t="inlineStr">
        <is>
          <t>ÅRJÄNG</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37555-2025</t>
        </is>
      </c>
      <c r="B650" s="1" t="n">
        <v>45880</v>
      </c>
      <c r="C650" s="1" t="n">
        <v>45928</v>
      </c>
      <c r="D650" t="inlineStr">
        <is>
          <t>VÄRMLANDS LÄN</t>
        </is>
      </c>
      <c r="E650" t="inlineStr">
        <is>
          <t>ÅRJÄNG</t>
        </is>
      </c>
      <c r="G650" t="n">
        <v>0.8</v>
      </c>
      <c r="H650" t="n">
        <v>0</v>
      </c>
      <c r="I650" t="n">
        <v>0</v>
      </c>
      <c r="J650" t="n">
        <v>0</v>
      </c>
      <c r="K650" t="n">
        <v>0</v>
      </c>
      <c r="L650" t="n">
        <v>0</v>
      </c>
      <c r="M650" t="n">
        <v>0</v>
      </c>
      <c r="N650" t="n">
        <v>0</v>
      </c>
      <c r="O650" t="n">
        <v>0</v>
      </c>
      <c r="P650" t="n">
        <v>0</v>
      </c>
      <c r="Q650" t="n">
        <v>0</v>
      </c>
      <c r="R650" s="2" t="inlineStr"/>
    </row>
    <row r="651" ht="15" customHeight="1">
      <c r="A651" t="inlineStr">
        <is>
          <t>A 1200-2023</t>
        </is>
      </c>
      <c r="B651" s="1" t="n">
        <v>44935</v>
      </c>
      <c r="C651" s="1" t="n">
        <v>45928</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15949-2025</t>
        </is>
      </c>
      <c r="B652" s="1" t="n">
        <v>45749</v>
      </c>
      <c r="C652" s="1" t="n">
        <v>45928</v>
      </c>
      <c r="D652" t="inlineStr">
        <is>
          <t>VÄRMLANDS LÄN</t>
        </is>
      </c>
      <c r="E652" t="inlineStr">
        <is>
          <t>ÅRJÄNG</t>
        </is>
      </c>
      <c r="F652" t="inlineStr">
        <is>
          <t>Bergvik skog väst AB</t>
        </is>
      </c>
      <c r="G652" t="n">
        <v>3.1</v>
      </c>
      <c r="H652" t="n">
        <v>0</v>
      </c>
      <c r="I652" t="n">
        <v>0</v>
      </c>
      <c r="J652" t="n">
        <v>0</v>
      </c>
      <c r="K652" t="n">
        <v>0</v>
      </c>
      <c r="L652" t="n">
        <v>0</v>
      </c>
      <c r="M652" t="n">
        <v>0</v>
      </c>
      <c r="N652" t="n">
        <v>0</v>
      </c>
      <c r="O652" t="n">
        <v>0</v>
      </c>
      <c r="P652" t="n">
        <v>0</v>
      </c>
      <c r="Q652" t="n">
        <v>0</v>
      </c>
      <c r="R652" s="2" t="inlineStr"/>
    </row>
    <row r="653" ht="15" customHeight="1">
      <c r="A653" t="inlineStr">
        <is>
          <t>A 45166-2025</t>
        </is>
      </c>
      <c r="B653" s="1" t="n">
        <v>45919</v>
      </c>
      <c r="C653" s="1" t="n">
        <v>45928</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45130-2025</t>
        </is>
      </c>
      <c r="B654" s="1" t="n">
        <v>45919</v>
      </c>
      <c r="C654" s="1" t="n">
        <v>45928</v>
      </c>
      <c r="D654" t="inlineStr">
        <is>
          <t>VÄRMLANDS LÄN</t>
        </is>
      </c>
      <c r="E654" t="inlineStr">
        <is>
          <t>ÅRJÄNG</t>
        </is>
      </c>
      <c r="F654" t="inlineStr">
        <is>
          <t>Övriga Aktiebolag</t>
        </is>
      </c>
      <c r="G654" t="n">
        <v>1.2</v>
      </c>
      <c r="H654" t="n">
        <v>0</v>
      </c>
      <c r="I654" t="n">
        <v>0</v>
      </c>
      <c r="J654" t="n">
        <v>0</v>
      </c>
      <c r="K654" t="n">
        <v>0</v>
      </c>
      <c r="L654" t="n">
        <v>0</v>
      </c>
      <c r="M654" t="n">
        <v>0</v>
      </c>
      <c r="N654" t="n">
        <v>0</v>
      </c>
      <c r="O654" t="n">
        <v>0</v>
      </c>
      <c r="P654" t="n">
        <v>0</v>
      </c>
      <c r="Q654" t="n">
        <v>0</v>
      </c>
      <c r="R654" s="2" t="inlineStr"/>
    </row>
    <row r="655" ht="15" customHeight="1">
      <c r="A655" t="inlineStr">
        <is>
          <t>A 480-2025</t>
        </is>
      </c>
      <c r="B655" s="1" t="n">
        <v>45664</v>
      </c>
      <c r="C655" s="1" t="n">
        <v>45928</v>
      </c>
      <c r="D655" t="inlineStr">
        <is>
          <t>VÄRMLANDS LÄN</t>
        </is>
      </c>
      <c r="E655" t="inlineStr">
        <is>
          <t>ÅRJÄNG</t>
        </is>
      </c>
      <c r="G655" t="n">
        <v>1</v>
      </c>
      <c r="H655" t="n">
        <v>0</v>
      </c>
      <c r="I655" t="n">
        <v>0</v>
      </c>
      <c r="J655" t="n">
        <v>0</v>
      </c>
      <c r="K655" t="n">
        <v>0</v>
      </c>
      <c r="L655" t="n">
        <v>0</v>
      </c>
      <c r="M655" t="n">
        <v>0</v>
      </c>
      <c r="N655" t="n">
        <v>0</v>
      </c>
      <c r="O655" t="n">
        <v>0</v>
      </c>
      <c r="P655" t="n">
        <v>0</v>
      </c>
      <c r="Q655" t="n">
        <v>0</v>
      </c>
      <c r="R655" s="2" t="inlineStr"/>
    </row>
    <row r="656" ht="15" customHeight="1">
      <c r="A656" t="inlineStr">
        <is>
          <t>A 2253-2025</t>
        </is>
      </c>
      <c r="B656" s="1" t="n">
        <v>45673</v>
      </c>
      <c r="C656" s="1" t="n">
        <v>45928</v>
      </c>
      <c r="D656" t="inlineStr">
        <is>
          <t>VÄRMLANDS LÄN</t>
        </is>
      </c>
      <c r="E656" t="inlineStr">
        <is>
          <t>ÅRJÄNG</t>
        </is>
      </c>
      <c r="G656" t="n">
        <v>12.4</v>
      </c>
      <c r="H656" t="n">
        <v>0</v>
      </c>
      <c r="I656" t="n">
        <v>0</v>
      </c>
      <c r="J656" t="n">
        <v>0</v>
      </c>
      <c r="K656" t="n">
        <v>0</v>
      </c>
      <c r="L656" t="n">
        <v>0</v>
      </c>
      <c r="M656" t="n">
        <v>0</v>
      </c>
      <c r="N656" t="n">
        <v>0</v>
      </c>
      <c r="O656" t="n">
        <v>0</v>
      </c>
      <c r="P656" t="n">
        <v>0</v>
      </c>
      <c r="Q656" t="n">
        <v>0</v>
      </c>
      <c r="R656" s="2" t="inlineStr"/>
    </row>
    <row r="657" ht="15" customHeight="1">
      <c r="A657" t="inlineStr">
        <is>
          <t>A 28314-2025</t>
        </is>
      </c>
      <c r="B657" s="1" t="n">
        <v>45818.62592592592</v>
      </c>
      <c r="C657" s="1" t="n">
        <v>45928</v>
      </c>
      <c r="D657" t="inlineStr">
        <is>
          <t>VÄRMLANDS LÄN</t>
        </is>
      </c>
      <c r="E657" t="inlineStr">
        <is>
          <t>ÅRJÄNG</t>
        </is>
      </c>
      <c r="G657" t="n">
        <v>2.5</v>
      </c>
      <c r="H657" t="n">
        <v>0</v>
      </c>
      <c r="I657" t="n">
        <v>0</v>
      </c>
      <c r="J657" t="n">
        <v>0</v>
      </c>
      <c r="K657" t="n">
        <v>0</v>
      </c>
      <c r="L657" t="n">
        <v>0</v>
      </c>
      <c r="M657" t="n">
        <v>0</v>
      </c>
      <c r="N657" t="n">
        <v>0</v>
      </c>
      <c r="O657" t="n">
        <v>0</v>
      </c>
      <c r="P657" t="n">
        <v>0</v>
      </c>
      <c r="Q657" t="n">
        <v>0</v>
      </c>
      <c r="R657" s="2" t="inlineStr"/>
    </row>
    <row r="658" ht="15" customHeight="1">
      <c r="A658" t="inlineStr">
        <is>
          <t>A 4976-2025</t>
        </is>
      </c>
      <c r="B658" s="1" t="n">
        <v>45690.86565972222</v>
      </c>
      <c r="C658" s="1" t="n">
        <v>45928</v>
      </c>
      <c r="D658" t="inlineStr">
        <is>
          <t>VÄRMLANDS LÄN</t>
        </is>
      </c>
      <c r="E658" t="inlineStr">
        <is>
          <t>ÅRJÄNG</t>
        </is>
      </c>
      <c r="G658" t="n">
        <v>4.5</v>
      </c>
      <c r="H658" t="n">
        <v>0</v>
      </c>
      <c r="I658" t="n">
        <v>0</v>
      </c>
      <c r="J658" t="n">
        <v>0</v>
      </c>
      <c r="K658" t="n">
        <v>0</v>
      </c>
      <c r="L658" t="n">
        <v>0</v>
      </c>
      <c r="M658" t="n">
        <v>0</v>
      </c>
      <c r="N658" t="n">
        <v>0</v>
      </c>
      <c r="O658" t="n">
        <v>0</v>
      </c>
      <c r="P658" t="n">
        <v>0</v>
      </c>
      <c r="Q658" t="n">
        <v>0</v>
      </c>
      <c r="R658" s="2" t="inlineStr"/>
    </row>
    <row r="659" ht="15" customHeight="1">
      <c r="A659" t="inlineStr">
        <is>
          <t>A 13726-2024</t>
        </is>
      </c>
      <c r="B659" s="1" t="n">
        <v>45390.68759259259</v>
      </c>
      <c r="C659" s="1" t="n">
        <v>45928</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8246-2025</t>
        </is>
      </c>
      <c r="B660" s="1" t="n">
        <v>45708.48710648148</v>
      </c>
      <c r="C660" s="1" t="n">
        <v>45928</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37655-2025</t>
        </is>
      </c>
      <c r="B661" s="1" t="n">
        <v>45880</v>
      </c>
      <c r="C661" s="1" t="n">
        <v>45928</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12068-2022</t>
        </is>
      </c>
      <c r="B662" s="1" t="n">
        <v>44636</v>
      </c>
      <c r="C662" s="1" t="n">
        <v>45928</v>
      </c>
      <c r="D662" t="inlineStr">
        <is>
          <t>VÄRMLANDS LÄN</t>
        </is>
      </c>
      <c r="E662" t="inlineStr">
        <is>
          <t>ÅRJÄNG</t>
        </is>
      </c>
      <c r="G662" t="n">
        <v>4.3</v>
      </c>
      <c r="H662" t="n">
        <v>0</v>
      </c>
      <c r="I662" t="n">
        <v>0</v>
      </c>
      <c r="J662" t="n">
        <v>0</v>
      </c>
      <c r="K662" t="n">
        <v>0</v>
      </c>
      <c r="L662" t="n">
        <v>0</v>
      </c>
      <c r="M662" t="n">
        <v>0</v>
      </c>
      <c r="N662" t="n">
        <v>0</v>
      </c>
      <c r="O662" t="n">
        <v>0</v>
      </c>
      <c r="P662" t="n">
        <v>0</v>
      </c>
      <c r="Q662" t="n">
        <v>0</v>
      </c>
      <c r="R662" s="2" t="inlineStr"/>
    </row>
    <row r="663" ht="15" customHeight="1">
      <c r="A663" t="inlineStr">
        <is>
          <t>A 54437-2021</t>
        </is>
      </c>
      <c r="B663" s="1" t="n">
        <v>44459</v>
      </c>
      <c r="C663" s="1" t="n">
        <v>45928</v>
      </c>
      <c r="D663" t="inlineStr">
        <is>
          <t>VÄRMLANDS LÄN</t>
        </is>
      </c>
      <c r="E663" t="inlineStr">
        <is>
          <t>ÅRJÄNG</t>
        </is>
      </c>
      <c r="G663" t="n">
        <v>3.5</v>
      </c>
      <c r="H663" t="n">
        <v>0</v>
      </c>
      <c r="I663" t="n">
        <v>0</v>
      </c>
      <c r="J663" t="n">
        <v>0</v>
      </c>
      <c r="K663" t="n">
        <v>0</v>
      </c>
      <c r="L663" t="n">
        <v>0</v>
      </c>
      <c r="M663" t="n">
        <v>0</v>
      </c>
      <c r="N663" t="n">
        <v>0</v>
      </c>
      <c r="O663" t="n">
        <v>0</v>
      </c>
      <c r="P663" t="n">
        <v>0</v>
      </c>
      <c r="Q663" t="n">
        <v>0</v>
      </c>
      <c r="R663" s="2" t="inlineStr"/>
    </row>
    <row r="664" ht="15" customHeight="1">
      <c r="A664" t="inlineStr">
        <is>
          <t>A 35726-2022</t>
        </is>
      </c>
      <c r="B664" s="1" t="n">
        <v>44799</v>
      </c>
      <c r="C664" s="1" t="n">
        <v>45928</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37510-2025</t>
        </is>
      </c>
      <c r="B665" s="1" t="n">
        <v>45877</v>
      </c>
      <c r="C665" s="1" t="n">
        <v>45928</v>
      </c>
      <c r="D665" t="inlineStr">
        <is>
          <t>VÄRMLANDS LÄN</t>
        </is>
      </c>
      <c r="E665" t="inlineStr">
        <is>
          <t>ÅRJÄNG</t>
        </is>
      </c>
      <c r="G665" t="n">
        <v>10.4</v>
      </c>
      <c r="H665" t="n">
        <v>0</v>
      </c>
      <c r="I665" t="n">
        <v>0</v>
      </c>
      <c r="J665" t="n">
        <v>0</v>
      </c>
      <c r="K665" t="n">
        <v>0</v>
      </c>
      <c r="L665" t="n">
        <v>0</v>
      </c>
      <c r="M665" t="n">
        <v>0</v>
      </c>
      <c r="N665" t="n">
        <v>0</v>
      </c>
      <c r="O665" t="n">
        <v>0</v>
      </c>
      <c r="P665" t="n">
        <v>0</v>
      </c>
      <c r="Q665" t="n">
        <v>0</v>
      </c>
      <c r="R665" s="2" t="inlineStr"/>
    </row>
    <row r="666" ht="15" customHeight="1">
      <c r="A666" t="inlineStr">
        <is>
          <t>A 40628-2024</t>
        </is>
      </c>
      <c r="B666" s="1" t="n">
        <v>45557.61668981481</v>
      </c>
      <c r="C666" s="1" t="n">
        <v>45928</v>
      </c>
      <c r="D666" t="inlineStr">
        <is>
          <t>VÄRMLANDS LÄN</t>
        </is>
      </c>
      <c r="E666" t="inlineStr">
        <is>
          <t>ÅRJÄNG</t>
        </is>
      </c>
      <c r="G666" t="n">
        <v>3.3</v>
      </c>
      <c r="H666" t="n">
        <v>0</v>
      </c>
      <c r="I666" t="n">
        <v>0</v>
      </c>
      <c r="J666" t="n">
        <v>0</v>
      </c>
      <c r="K666" t="n">
        <v>0</v>
      </c>
      <c r="L666" t="n">
        <v>0</v>
      </c>
      <c r="M666" t="n">
        <v>0</v>
      </c>
      <c r="N666" t="n">
        <v>0</v>
      </c>
      <c r="O666" t="n">
        <v>0</v>
      </c>
      <c r="P666" t="n">
        <v>0</v>
      </c>
      <c r="Q666" t="n">
        <v>0</v>
      </c>
      <c r="R666" s="2" t="inlineStr"/>
    </row>
    <row r="667" ht="15" customHeight="1">
      <c r="A667" t="inlineStr">
        <is>
          <t>A 13814-2024</t>
        </is>
      </c>
      <c r="B667" s="1" t="n">
        <v>45391</v>
      </c>
      <c r="C667" s="1" t="n">
        <v>45928</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13819-2024</t>
        </is>
      </c>
      <c r="B668" s="1" t="n">
        <v>45391.42252314815</v>
      </c>
      <c r="C668" s="1" t="n">
        <v>45928</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12082-2023</t>
        </is>
      </c>
      <c r="B669" s="1" t="n">
        <v>44997.78215277778</v>
      </c>
      <c r="C669" s="1" t="n">
        <v>45928</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60000-2024</t>
        </is>
      </c>
      <c r="B670" s="1" t="n">
        <v>45642</v>
      </c>
      <c r="C670" s="1" t="n">
        <v>45928</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61913-2024</t>
        </is>
      </c>
      <c r="B671" s="1" t="n">
        <v>45653.38708333333</v>
      </c>
      <c r="C671" s="1" t="n">
        <v>45928</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5931-2023</t>
        </is>
      </c>
      <c r="B672" s="1" t="n">
        <v>44963</v>
      </c>
      <c r="C672" s="1" t="n">
        <v>45928</v>
      </c>
      <c r="D672" t="inlineStr">
        <is>
          <t>VÄRMLANDS LÄN</t>
        </is>
      </c>
      <c r="E672" t="inlineStr">
        <is>
          <t>ÅRJÄNG</t>
        </is>
      </c>
      <c r="G672" t="n">
        <v>0.8</v>
      </c>
      <c r="H672" t="n">
        <v>0</v>
      </c>
      <c r="I672" t="n">
        <v>0</v>
      </c>
      <c r="J672" t="n">
        <v>0</v>
      </c>
      <c r="K672" t="n">
        <v>0</v>
      </c>
      <c r="L672" t="n">
        <v>0</v>
      </c>
      <c r="M672" t="n">
        <v>0</v>
      </c>
      <c r="N672" t="n">
        <v>0</v>
      </c>
      <c r="O672" t="n">
        <v>0</v>
      </c>
      <c r="P672" t="n">
        <v>0</v>
      </c>
      <c r="Q672" t="n">
        <v>0</v>
      </c>
      <c r="R672" s="2" t="inlineStr"/>
    </row>
    <row r="673" ht="15" customHeight="1">
      <c r="A673" t="inlineStr">
        <is>
          <t>A 33728-2021</t>
        </is>
      </c>
      <c r="B673" s="1" t="n">
        <v>44378.47640046296</v>
      </c>
      <c r="C673" s="1" t="n">
        <v>45928</v>
      </c>
      <c r="D673" t="inlineStr">
        <is>
          <t>VÄRMLANDS LÄN</t>
        </is>
      </c>
      <c r="E673" t="inlineStr">
        <is>
          <t>ÅRJÄNG</t>
        </is>
      </c>
      <c r="G673" t="n">
        <v>1.7</v>
      </c>
      <c r="H673" t="n">
        <v>0</v>
      </c>
      <c r="I673" t="n">
        <v>0</v>
      </c>
      <c r="J673" t="n">
        <v>0</v>
      </c>
      <c r="K673" t="n">
        <v>0</v>
      </c>
      <c r="L673" t="n">
        <v>0</v>
      </c>
      <c r="M673" t="n">
        <v>0</v>
      </c>
      <c r="N673" t="n">
        <v>0</v>
      </c>
      <c r="O673" t="n">
        <v>0</v>
      </c>
      <c r="P673" t="n">
        <v>0</v>
      </c>
      <c r="Q673" t="n">
        <v>0</v>
      </c>
      <c r="R673" s="2" t="inlineStr"/>
    </row>
    <row r="674" ht="15" customHeight="1">
      <c r="A674" t="inlineStr">
        <is>
          <t>A 5106-2023</t>
        </is>
      </c>
      <c r="B674" s="1" t="n">
        <v>44953</v>
      </c>
      <c r="C674" s="1" t="n">
        <v>45928</v>
      </c>
      <c r="D674" t="inlineStr">
        <is>
          <t>VÄRMLANDS LÄN</t>
        </is>
      </c>
      <c r="E674" t="inlineStr">
        <is>
          <t>ÅRJÄNG</t>
        </is>
      </c>
      <c r="G674" t="n">
        <v>0.6</v>
      </c>
      <c r="H674" t="n">
        <v>0</v>
      </c>
      <c r="I674" t="n">
        <v>0</v>
      </c>
      <c r="J674" t="n">
        <v>0</v>
      </c>
      <c r="K674" t="n">
        <v>0</v>
      </c>
      <c r="L674" t="n">
        <v>0</v>
      </c>
      <c r="M674" t="n">
        <v>0</v>
      </c>
      <c r="N674" t="n">
        <v>0</v>
      </c>
      <c r="O674" t="n">
        <v>0</v>
      </c>
      <c r="P674" t="n">
        <v>0</v>
      </c>
      <c r="Q674" t="n">
        <v>0</v>
      </c>
      <c r="R674" s="2" t="inlineStr"/>
    </row>
    <row r="675" ht="15" customHeight="1">
      <c r="A675" t="inlineStr">
        <is>
          <t>A 45159-2025</t>
        </is>
      </c>
      <c r="B675" s="1" t="n">
        <v>45919</v>
      </c>
      <c r="C675" s="1" t="n">
        <v>45928</v>
      </c>
      <c r="D675" t="inlineStr">
        <is>
          <t>VÄRMLANDS LÄN</t>
        </is>
      </c>
      <c r="E675" t="inlineStr">
        <is>
          <t>ÅRJÄNG</t>
        </is>
      </c>
      <c r="F675" t="inlineStr">
        <is>
          <t>Bergvik skog väst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13317-2025</t>
        </is>
      </c>
      <c r="B676" s="1" t="n">
        <v>45735.59452546296</v>
      </c>
      <c r="C676" s="1" t="n">
        <v>45928</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46473-2024</t>
        </is>
      </c>
      <c r="B677" s="1" t="n">
        <v>45582</v>
      </c>
      <c r="C677" s="1" t="n">
        <v>45928</v>
      </c>
      <c r="D677" t="inlineStr">
        <is>
          <t>VÄRMLANDS LÄN</t>
        </is>
      </c>
      <c r="E677" t="inlineStr">
        <is>
          <t>ÅRJÄNG</t>
        </is>
      </c>
      <c r="G677" t="n">
        <v>4</v>
      </c>
      <c r="H677" t="n">
        <v>0</v>
      </c>
      <c r="I677" t="n">
        <v>0</v>
      </c>
      <c r="J677" t="n">
        <v>0</v>
      </c>
      <c r="K677" t="n">
        <v>0</v>
      </c>
      <c r="L677" t="n">
        <v>0</v>
      </c>
      <c r="M677" t="n">
        <v>0</v>
      </c>
      <c r="N677" t="n">
        <v>0</v>
      </c>
      <c r="O677" t="n">
        <v>0</v>
      </c>
      <c r="P677" t="n">
        <v>0</v>
      </c>
      <c r="Q677" t="n">
        <v>0</v>
      </c>
      <c r="R677" s="2" t="inlineStr"/>
    </row>
    <row r="678" ht="15" customHeight="1">
      <c r="A678" t="inlineStr">
        <is>
          <t>A 64903-2023</t>
        </is>
      </c>
      <c r="B678" s="1" t="n">
        <v>45282</v>
      </c>
      <c r="C678" s="1" t="n">
        <v>45928</v>
      </c>
      <c r="D678" t="inlineStr">
        <is>
          <t>VÄRMLANDS LÄN</t>
        </is>
      </c>
      <c r="E678" t="inlineStr">
        <is>
          <t>ÅRJÄNG</t>
        </is>
      </c>
      <c r="G678" t="n">
        <v>7.5</v>
      </c>
      <c r="H678" t="n">
        <v>0</v>
      </c>
      <c r="I678" t="n">
        <v>0</v>
      </c>
      <c r="J678" t="n">
        <v>0</v>
      </c>
      <c r="K678" t="n">
        <v>0</v>
      </c>
      <c r="L678" t="n">
        <v>0</v>
      </c>
      <c r="M678" t="n">
        <v>0</v>
      </c>
      <c r="N678" t="n">
        <v>0</v>
      </c>
      <c r="O678" t="n">
        <v>0</v>
      </c>
      <c r="P678" t="n">
        <v>0</v>
      </c>
      <c r="Q678" t="n">
        <v>0</v>
      </c>
      <c r="R678" s="2" t="inlineStr"/>
    </row>
    <row r="679" ht="15" customHeight="1">
      <c r="A679" t="inlineStr">
        <is>
          <t>A 45037-2025</t>
        </is>
      </c>
      <c r="B679" s="1" t="n">
        <v>45918</v>
      </c>
      <c r="C679" s="1" t="n">
        <v>45928</v>
      </c>
      <c r="D679" t="inlineStr">
        <is>
          <t>VÄRMLANDS LÄN</t>
        </is>
      </c>
      <c r="E679" t="inlineStr">
        <is>
          <t>ÅRJÄNG</t>
        </is>
      </c>
      <c r="G679" t="n">
        <v>8.5</v>
      </c>
      <c r="H679" t="n">
        <v>0</v>
      </c>
      <c r="I679" t="n">
        <v>0</v>
      </c>
      <c r="J679" t="n">
        <v>0</v>
      </c>
      <c r="K679" t="n">
        <v>0</v>
      </c>
      <c r="L679" t="n">
        <v>0</v>
      </c>
      <c r="M679" t="n">
        <v>0</v>
      </c>
      <c r="N679" t="n">
        <v>0</v>
      </c>
      <c r="O679" t="n">
        <v>0</v>
      </c>
      <c r="P679" t="n">
        <v>0</v>
      </c>
      <c r="Q679" t="n">
        <v>0</v>
      </c>
      <c r="R679" s="2" t="inlineStr"/>
    </row>
    <row r="680" ht="15" customHeight="1">
      <c r="A680" t="inlineStr">
        <is>
          <t>A 15951-2025</t>
        </is>
      </c>
      <c r="B680" s="1" t="n">
        <v>45749</v>
      </c>
      <c r="C680" s="1" t="n">
        <v>45928</v>
      </c>
      <c r="D680" t="inlineStr">
        <is>
          <t>VÄRMLANDS LÄN</t>
        </is>
      </c>
      <c r="E680" t="inlineStr">
        <is>
          <t>ÅRJÄNG</t>
        </is>
      </c>
      <c r="F680" t="inlineStr">
        <is>
          <t>Bergvik skog väst AB</t>
        </is>
      </c>
      <c r="G680" t="n">
        <v>5.1</v>
      </c>
      <c r="H680" t="n">
        <v>0</v>
      </c>
      <c r="I680" t="n">
        <v>0</v>
      </c>
      <c r="J680" t="n">
        <v>0</v>
      </c>
      <c r="K680" t="n">
        <v>0</v>
      </c>
      <c r="L680" t="n">
        <v>0</v>
      </c>
      <c r="M680" t="n">
        <v>0</v>
      </c>
      <c r="N680" t="n">
        <v>0</v>
      </c>
      <c r="O680" t="n">
        <v>0</v>
      </c>
      <c r="P680" t="n">
        <v>0</v>
      </c>
      <c r="Q680" t="n">
        <v>0</v>
      </c>
      <c r="R680" s="2" t="inlineStr"/>
    </row>
    <row r="681" ht="15" customHeight="1">
      <c r="A681" t="inlineStr">
        <is>
          <t>A 14710-2025</t>
        </is>
      </c>
      <c r="B681" s="1" t="n">
        <v>45742.60868055555</v>
      </c>
      <c r="C681" s="1" t="n">
        <v>45928</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15248-2025</t>
        </is>
      </c>
      <c r="B682" s="1" t="n">
        <v>45744</v>
      </c>
      <c r="C682" s="1" t="n">
        <v>45928</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45906-2025</t>
        </is>
      </c>
      <c r="B683" s="1" t="n">
        <v>45923.70627314815</v>
      </c>
      <c r="C683" s="1" t="n">
        <v>45928</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45332-2025</t>
        </is>
      </c>
      <c r="B684" s="1" t="n">
        <v>45922</v>
      </c>
      <c r="C684" s="1" t="n">
        <v>45928</v>
      </c>
      <c r="D684" t="inlineStr">
        <is>
          <t>VÄRMLANDS LÄN</t>
        </is>
      </c>
      <c r="E684" t="inlineStr">
        <is>
          <t>ÅRJÄNG</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17878-2024</t>
        </is>
      </c>
      <c r="B685" s="1" t="n">
        <v>45419</v>
      </c>
      <c r="C685" s="1" t="n">
        <v>45928</v>
      </c>
      <c r="D685" t="inlineStr">
        <is>
          <t>VÄRMLANDS LÄN</t>
        </is>
      </c>
      <c r="E685" t="inlineStr">
        <is>
          <t>ÅRJÄNG</t>
        </is>
      </c>
      <c r="G685" t="n">
        <v>1.6</v>
      </c>
      <c r="H685" t="n">
        <v>0</v>
      </c>
      <c r="I685" t="n">
        <v>0</v>
      </c>
      <c r="J685" t="n">
        <v>0</v>
      </c>
      <c r="K685" t="n">
        <v>0</v>
      </c>
      <c r="L685" t="n">
        <v>0</v>
      </c>
      <c r="M685" t="n">
        <v>0</v>
      </c>
      <c r="N685" t="n">
        <v>0</v>
      </c>
      <c r="O685" t="n">
        <v>0</v>
      </c>
      <c r="P685" t="n">
        <v>0</v>
      </c>
      <c r="Q685" t="n">
        <v>0</v>
      </c>
      <c r="R685" s="2" t="inlineStr"/>
    </row>
    <row r="686" ht="15" customHeight="1">
      <c r="A686" t="inlineStr">
        <is>
          <t>A 64151-2023</t>
        </is>
      </c>
      <c r="B686" s="1" t="n">
        <v>45279.58803240741</v>
      </c>
      <c r="C686" s="1" t="n">
        <v>45928</v>
      </c>
      <c r="D686" t="inlineStr">
        <is>
          <t>VÄRMLANDS LÄN</t>
        </is>
      </c>
      <c r="E686" t="inlineStr">
        <is>
          <t>ÅRJÄNG</t>
        </is>
      </c>
      <c r="G686" t="n">
        <v>24.5</v>
      </c>
      <c r="H686" t="n">
        <v>0</v>
      </c>
      <c r="I686" t="n">
        <v>0</v>
      </c>
      <c r="J686" t="n">
        <v>0</v>
      </c>
      <c r="K686" t="n">
        <v>0</v>
      </c>
      <c r="L686" t="n">
        <v>0</v>
      </c>
      <c r="M686" t="n">
        <v>0</v>
      </c>
      <c r="N686" t="n">
        <v>0</v>
      </c>
      <c r="O686" t="n">
        <v>0</v>
      </c>
      <c r="P686" t="n">
        <v>0</v>
      </c>
      <c r="Q686" t="n">
        <v>0</v>
      </c>
      <c r="R686" s="2" t="inlineStr"/>
    </row>
    <row r="687" ht="15" customHeight="1">
      <c r="A687" t="inlineStr">
        <is>
          <t>A 8838-2023</t>
        </is>
      </c>
      <c r="B687" s="1" t="n">
        <v>44978</v>
      </c>
      <c r="C687" s="1" t="n">
        <v>45928</v>
      </c>
      <c r="D687" t="inlineStr">
        <is>
          <t>VÄRMLANDS LÄN</t>
        </is>
      </c>
      <c r="E687" t="inlineStr">
        <is>
          <t>ÅRJÄNG</t>
        </is>
      </c>
      <c r="G687" t="n">
        <v>7</v>
      </c>
      <c r="H687" t="n">
        <v>0</v>
      </c>
      <c r="I687" t="n">
        <v>0</v>
      </c>
      <c r="J687" t="n">
        <v>0</v>
      </c>
      <c r="K687" t="n">
        <v>0</v>
      </c>
      <c r="L687" t="n">
        <v>0</v>
      </c>
      <c r="M687" t="n">
        <v>0</v>
      </c>
      <c r="N687" t="n">
        <v>0</v>
      </c>
      <c r="O687" t="n">
        <v>0</v>
      </c>
      <c r="P687" t="n">
        <v>0</v>
      </c>
      <c r="Q687" t="n">
        <v>0</v>
      </c>
      <c r="R687" s="2" t="inlineStr"/>
    </row>
    <row r="688" ht="15" customHeight="1">
      <c r="A688" t="inlineStr">
        <is>
          <t>A 59810-2024</t>
        </is>
      </c>
      <c r="B688" s="1" t="n">
        <v>45639.60642361111</v>
      </c>
      <c r="C688" s="1" t="n">
        <v>45928</v>
      </c>
      <c r="D688" t="inlineStr">
        <is>
          <t>VÄRMLANDS LÄN</t>
        </is>
      </c>
      <c r="E688" t="inlineStr">
        <is>
          <t>ÅRJÄNG</t>
        </is>
      </c>
      <c r="G688" t="n">
        <v>3.4</v>
      </c>
      <c r="H688" t="n">
        <v>0</v>
      </c>
      <c r="I688" t="n">
        <v>0</v>
      </c>
      <c r="J688" t="n">
        <v>0</v>
      </c>
      <c r="K688" t="n">
        <v>0</v>
      </c>
      <c r="L688" t="n">
        <v>0</v>
      </c>
      <c r="M688" t="n">
        <v>0</v>
      </c>
      <c r="N688" t="n">
        <v>0</v>
      </c>
      <c r="O688" t="n">
        <v>0</v>
      </c>
      <c r="P688" t="n">
        <v>0</v>
      </c>
      <c r="Q688" t="n">
        <v>0</v>
      </c>
      <c r="R688" s="2" t="inlineStr"/>
    </row>
    <row r="689" ht="15" customHeight="1">
      <c r="A689" t="inlineStr">
        <is>
          <t>A 45907-2025</t>
        </is>
      </c>
      <c r="B689" s="1" t="n">
        <v>45923.70748842593</v>
      </c>
      <c r="C689" s="1" t="n">
        <v>45928</v>
      </c>
      <c r="D689" t="inlineStr">
        <is>
          <t>VÄRMLANDS LÄN</t>
        </is>
      </c>
      <c r="E689" t="inlineStr">
        <is>
          <t>ÅRJÄNG</t>
        </is>
      </c>
      <c r="G689" t="n">
        <v>2.9</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44614.45849537037</v>
      </c>
      <c r="C690" s="1" t="n">
        <v>45928</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45329-2025</t>
        </is>
      </c>
      <c r="B691" s="1" t="n">
        <v>45922</v>
      </c>
      <c r="C691" s="1" t="n">
        <v>45928</v>
      </c>
      <c r="D691" t="inlineStr">
        <is>
          <t>VÄRMLANDS LÄN</t>
        </is>
      </c>
      <c r="E691" t="inlineStr">
        <is>
          <t>ÅRJÄNG</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45411-2025</t>
        </is>
      </c>
      <c r="B692" s="1" t="n">
        <v>45922</v>
      </c>
      <c r="C692" s="1" t="n">
        <v>45928</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42233-2024</t>
        </is>
      </c>
      <c r="B693" s="1" t="n">
        <v>45562</v>
      </c>
      <c r="C693" s="1" t="n">
        <v>45928</v>
      </c>
      <c r="D693" t="inlineStr">
        <is>
          <t>VÄRMLANDS LÄN</t>
        </is>
      </c>
      <c r="E693" t="inlineStr">
        <is>
          <t>ÅRJÄNG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45099-2025</t>
        </is>
      </c>
      <c r="B694" s="1" t="n">
        <v>45919</v>
      </c>
      <c r="C694" s="1" t="n">
        <v>45928</v>
      </c>
      <c r="D694" t="inlineStr">
        <is>
          <t>VÄRMLANDS LÄN</t>
        </is>
      </c>
      <c r="E694" t="inlineStr">
        <is>
          <t>ÅRJÄNG</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34181-2024</t>
        </is>
      </c>
      <c r="B695" s="1" t="n">
        <v>45524</v>
      </c>
      <c r="C695" s="1" t="n">
        <v>45928</v>
      </c>
      <c r="D695" t="inlineStr">
        <is>
          <t>VÄRMLANDS LÄN</t>
        </is>
      </c>
      <c r="E695" t="inlineStr">
        <is>
          <t>ÅRJÄNG</t>
        </is>
      </c>
      <c r="G695" t="n">
        <v>0.8</v>
      </c>
      <c r="H695" t="n">
        <v>0</v>
      </c>
      <c r="I695" t="n">
        <v>0</v>
      </c>
      <c r="J695" t="n">
        <v>0</v>
      </c>
      <c r="K695" t="n">
        <v>0</v>
      </c>
      <c r="L695" t="n">
        <v>0</v>
      </c>
      <c r="M695" t="n">
        <v>0</v>
      </c>
      <c r="N695" t="n">
        <v>0</v>
      </c>
      <c r="O695" t="n">
        <v>0</v>
      </c>
      <c r="P695" t="n">
        <v>0</v>
      </c>
      <c r="Q695" t="n">
        <v>0</v>
      </c>
      <c r="R695" s="2" t="inlineStr"/>
    </row>
    <row r="696" ht="15" customHeight="1">
      <c r="A696" t="inlineStr">
        <is>
          <t>A 34184-2024</t>
        </is>
      </c>
      <c r="B696" s="1" t="n">
        <v>45524</v>
      </c>
      <c r="C696" s="1" t="n">
        <v>45928</v>
      </c>
      <c r="D696" t="inlineStr">
        <is>
          <t>VÄRMLANDS LÄN</t>
        </is>
      </c>
      <c r="E696" t="inlineStr">
        <is>
          <t>ÅRJÄNG</t>
        </is>
      </c>
      <c r="G696" t="n">
        <v>0.6</v>
      </c>
      <c r="H696" t="n">
        <v>0</v>
      </c>
      <c r="I696" t="n">
        <v>0</v>
      </c>
      <c r="J696" t="n">
        <v>0</v>
      </c>
      <c r="K696" t="n">
        <v>0</v>
      </c>
      <c r="L696" t="n">
        <v>0</v>
      </c>
      <c r="M696" t="n">
        <v>0</v>
      </c>
      <c r="N696" t="n">
        <v>0</v>
      </c>
      <c r="O696" t="n">
        <v>0</v>
      </c>
      <c r="P696" t="n">
        <v>0</v>
      </c>
      <c r="Q696" t="n">
        <v>0</v>
      </c>
      <c r="R696" s="2" t="inlineStr"/>
    </row>
    <row r="697" ht="15" customHeight="1">
      <c r="A697" t="inlineStr">
        <is>
          <t>A 22274-2024</t>
        </is>
      </c>
      <c r="B697" s="1" t="n">
        <v>45446</v>
      </c>
      <c r="C697" s="1" t="n">
        <v>45928</v>
      </c>
      <c r="D697" t="inlineStr">
        <is>
          <t>VÄRMLANDS LÄN</t>
        </is>
      </c>
      <c r="E697" t="inlineStr">
        <is>
          <t>ÅRJÄNG</t>
        </is>
      </c>
      <c r="G697" t="n">
        <v>8.6</v>
      </c>
      <c r="H697" t="n">
        <v>0</v>
      </c>
      <c r="I697" t="n">
        <v>0</v>
      </c>
      <c r="J697" t="n">
        <v>0</v>
      </c>
      <c r="K697" t="n">
        <v>0</v>
      </c>
      <c r="L697" t="n">
        <v>0</v>
      </c>
      <c r="M697" t="n">
        <v>0</v>
      </c>
      <c r="N697" t="n">
        <v>0</v>
      </c>
      <c r="O697" t="n">
        <v>0</v>
      </c>
      <c r="P697" t="n">
        <v>0</v>
      </c>
      <c r="Q697" t="n">
        <v>0</v>
      </c>
      <c r="R697" s="2" t="inlineStr"/>
    </row>
    <row r="698" ht="15" customHeight="1">
      <c r="A698" t="inlineStr">
        <is>
          <t>A 424-2025</t>
        </is>
      </c>
      <c r="B698" s="1" t="n">
        <v>45664</v>
      </c>
      <c r="C698" s="1" t="n">
        <v>45928</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6559-2025</t>
        </is>
      </c>
      <c r="B699" s="1" t="n">
        <v>45699.73678240741</v>
      </c>
      <c r="C699" s="1" t="n">
        <v>45928</v>
      </c>
      <c r="D699" t="inlineStr">
        <is>
          <t>VÄRMLANDS LÄN</t>
        </is>
      </c>
      <c r="E699" t="inlineStr">
        <is>
          <t>ÅRJÄNG</t>
        </is>
      </c>
      <c r="G699" t="n">
        <v>0.7</v>
      </c>
      <c r="H699" t="n">
        <v>0</v>
      </c>
      <c r="I699" t="n">
        <v>0</v>
      </c>
      <c r="J699" t="n">
        <v>0</v>
      </c>
      <c r="K699" t="n">
        <v>0</v>
      </c>
      <c r="L699" t="n">
        <v>0</v>
      </c>
      <c r="M699" t="n">
        <v>0</v>
      </c>
      <c r="N699" t="n">
        <v>0</v>
      </c>
      <c r="O699" t="n">
        <v>0</v>
      </c>
      <c r="P699" t="n">
        <v>0</v>
      </c>
      <c r="Q699" t="n">
        <v>0</v>
      </c>
      <c r="R699" s="2" t="inlineStr"/>
    </row>
    <row r="700" ht="15" customHeight="1">
      <c r="A700" t="inlineStr">
        <is>
          <t>A 45192-2025</t>
        </is>
      </c>
      <c r="B700" s="1" t="n">
        <v>45919</v>
      </c>
      <c r="C700" s="1" t="n">
        <v>45928</v>
      </c>
      <c r="D700" t="inlineStr">
        <is>
          <t>VÄRMLANDS LÄN</t>
        </is>
      </c>
      <c r="E700" t="inlineStr">
        <is>
          <t>ÅRJÄNG</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46645-2025</t>
        </is>
      </c>
      <c r="B701" s="1" t="n">
        <v>45926.47527777778</v>
      </c>
      <c r="C701" s="1" t="n">
        <v>45928</v>
      </c>
      <c r="D701" t="inlineStr">
        <is>
          <t>VÄRMLANDS LÄN</t>
        </is>
      </c>
      <c r="E701" t="inlineStr">
        <is>
          <t>ÅRJÄNG</t>
        </is>
      </c>
      <c r="G701" t="n">
        <v>2.8</v>
      </c>
      <c r="H701" t="n">
        <v>0</v>
      </c>
      <c r="I701" t="n">
        <v>0</v>
      </c>
      <c r="J701" t="n">
        <v>0</v>
      </c>
      <c r="K701" t="n">
        <v>0</v>
      </c>
      <c r="L701" t="n">
        <v>0</v>
      </c>
      <c r="M701" t="n">
        <v>0</v>
      </c>
      <c r="N701" t="n">
        <v>0</v>
      </c>
      <c r="O701" t="n">
        <v>0</v>
      </c>
      <c r="P701" t="n">
        <v>0</v>
      </c>
      <c r="Q701" t="n">
        <v>0</v>
      </c>
      <c r="R701" s="2" t="inlineStr"/>
    </row>
    <row r="702" ht="15" customHeight="1">
      <c r="A702" t="inlineStr">
        <is>
          <t>A 51258-2022</t>
        </is>
      </c>
      <c r="B702" s="1" t="n">
        <v>44868.67460648148</v>
      </c>
      <c r="C702" s="1" t="n">
        <v>45928</v>
      </c>
      <c r="D702" t="inlineStr">
        <is>
          <t>VÄRMLANDS LÄN</t>
        </is>
      </c>
      <c r="E702" t="inlineStr">
        <is>
          <t>ÅRJÄNG</t>
        </is>
      </c>
      <c r="G702" t="n">
        <v>2.6</v>
      </c>
      <c r="H702" t="n">
        <v>0</v>
      </c>
      <c r="I702" t="n">
        <v>0</v>
      </c>
      <c r="J702" t="n">
        <v>0</v>
      </c>
      <c r="K702" t="n">
        <v>0</v>
      </c>
      <c r="L702" t="n">
        <v>0</v>
      </c>
      <c r="M702" t="n">
        <v>0</v>
      </c>
      <c r="N702" t="n">
        <v>0</v>
      </c>
      <c r="O702" t="n">
        <v>0</v>
      </c>
      <c r="P702" t="n">
        <v>0</v>
      </c>
      <c r="Q702" t="n">
        <v>0</v>
      </c>
      <c r="R702" s="2" t="inlineStr"/>
    </row>
    <row r="703" ht="15" customHeight="1">
      <c r="A703" t="inlineStr">
        <is>
          <t>A 61119-2024</t>
        </is>
      </c>
      <c r="B703" s="1" t="n">
        <v>45645.57</v>
      </c>
      <c r="C703" s="1" t="n">
        <v>45928</v>
      </c>
      <c r="D703" t="inlineStr">
        <is>
          <t>VÄRMLANDS LÄN</t>
        </is>
      </c>
      <c r="E703" t="inlineStr">
        <is>
          <t>ÅRJÄNG</t>
        </is>
      </c>
      <c r="G703" t="n">
        <v>2.4</v>
      </c>
      <c r="H703" t="n">
        <v>0</v>
      </c>
      <c r="I703" t="n">
        <v>0</v>
      </c>
      <c r="J703" t="n">
        <v>0</v>
      </c>
      <c r="K703" t="n">
        <v>0</v>
      </c>
      <c r="L703" t="n">
        <v>0</v>
      </c>
      <c r="M703" t="n">
        <v>0</v>
      </c>
      <c r="N703" t="n">
        <v>0</v>
      </c>
      <c r="O703" t="n">
        <v>0</v>
      </c>
      <c r="P703" t="n">
        <v>0</v>
      </c>
      <c r="Q703" t="n">
        <v>0</v>
      </c>
      <c r="R703" s="2" t="inlineStr"/>
    </row>
    <row r="704" ht="15" customHeight="1">
      <c r="A704" t="inlineStr">
        <is>
          <t>A 23847-2023</t>
        </is>
      </c>
      <c r="B704" s="1" t="n">
        <v>45078</v>
      </c>
      <c r="C704" s="1" t="n">
        <v>45928</v>
      </c>
      <c r="D704" t="inlineStr">
        <is>
          <t>VÄRMLANDS LÄN</t>
        </is>
      </c>
      <c r="E704" t="inlineStr">
        <is>
          <t>ÅRJÄNG</t>
        </is>
      </c>
      <c r="G704" t="n">
        <v>1.9</v>
      </c>
      <c r="H704" t="n">
        <v>0</v>
      </c>
      <c r="I704" t="n">
        <v>0</v>
      </c>
      <c r="J704" t="n">
        <v>0</v>
      </c>
      <c r="K704" t="n">
        <v>0</v>
      </c>
      <c r="L704" t="n">
        <v>0</v>
      </c>
      <c r="M704" t="n">
        <v>0</v>
      </c>
      <c r="N704" t="n">
        <v>0</v>
      </c>
      <c r="O704" t="n">
        <v>0</v>
      </c>
      <c r="P704" t="n">
        <v>0</v>
      </c>
      <c r="Q704" t="n">
        <v>0</v>
      </c>
      <c r="R704" s="2" t="inlineStr"/>
    </row>
    <row r="705" ht="15" customHeight="1">
      <c r="A705" t="inlineStr">
        <is>
          <t>A 15327-2022</t>
        </is>
      </c>
      <c r="B705" s="1" t="n">
        <v>44659</v>
      </c>
      <c r="C705" s="1" t="n">
        <v>45928</v>
      </c>
      <c r="D705" t="inlineStr">
        <is>
          <t>VÄRMLANDS LÄN</t>
        </is>
      </c>
      <c r="E705" t="inlineStr">
        <is>
          <t>ÅRJÄNG</t>
        </is>
      </c>
      <c r="G705" t="n">
        <v>4</v>
      </c>
      <c r="H705" t="n">
        <v>0</v>
      </c>
      <c r="I705" t="n">
        <v>0</v>
      </c>
      <c r="J705" t="n">
        <v>0</v>
      </c>
      <c r="K705" t="n">
        <v>0</v>
      </c>
      <c r="L705" t="n">
        <v>0</v>
      </c>
      <c r="M705" t="n">
        <v>0</v>
      </c>
      <c r="N705" t="n">
        <v>0</v>
      </c>
      <c r="O705" t="n">
        <v>0</v>
      </c>
      <c r="P705" t="n">
        <v>0</v>
      </c>
      <c r="Q705" t="n">
        <v>0</v>
      </c>
      <c r="R705" s="2" t="inlineStr"/>
    </row>
    <row r="706" ht="15" customHeight="1">
      <c r="A706" t="inlineStr">
        <is>
          <t>A 13196-2023</t>
        </is>
      </c>
      <c r="B706" s="1" t="n">
        <v>45002</v>
      </c>
      <c r="C706" s="1" t="n">
        <v>45928</v>
      </c>
      <c r="D706" t="inlineStr">
        <is>
          <t>VÄRMLANDS LÄN</t>
        </is>
      </c>
      <c r="E706" t="inlineStr">
        <is>
          <t>ÅRJÄNG</t>
        </is>
      </c>
      <c r="F706" t="inlineStr">
        <is>
          <t>Kyrkan</t>
        </is>
      </c>
      <c r="G706" t="n">
        <v>4.5</v>
      </c>
      <c r="H706" t="n">
        <v>0</v>
      </c>
      <c r="I706" t="n">
        <v>0</v>
      </c>
      <c r="J706" t="n">
        <v>0</v>
      </c>
      <c r="K706" t="n">
        <v>0</v>
      </c>
      <c r="L706" t="n">
        <v>0</v>
      </c>
      <c r="M706" t="n">
        <v>0</v>
      </c>
      <c r="N706" t="n">
        <v>0</v>
      </c>
      <c r="O706" t="n">
        <v>0</v>
      </c>
      <c r="P706" t="n">
        <v>0</v>
      </c>
      <c r="Q706" t="n">
        <v>0</v>
      </c>
      <c r="R706" s="2" t="inlineStr"/>
    </row>
    <row r="707" ht="15" customHeight="1">
      <c r="A707" t="inlineStr">
        <is>
          <t>A 41206-2024</t>
        </is>
      </c>
      <c r="B707" s="1" t="n">
        <v>45559</v>
      </c>
      <c r="C707" s="1" t="n">
        <v>45928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28382-2022</t>
        </is>
      </c>
      <c r="B708" s="1" t="n">
        <v>44747</v>
      </c>
      <c r="C708" s="1" t="n">
        <v>45928</v>
      </c>
      <c r="D708" t="inlineStr">
        <is>
          <t>VÄRMLANDS LÄN</t>
        </is>
      </c>
      <c r="E708" t="inlineStr">
        <is>
          <t>ÅRJÄNG</t>
        </is>
      </c>
      <c r="F708" t="inlineStr">
        <is>
          <t>Naturvårdsverket</t>
        </is>
      </c>
      <c r="G708" t="n">
        <v>1</v>
      </c>
      <c r="H708" t="n">
        <v>0</v>
      </c>
      <c r="I708" t="n">
        <v>0</v>
      </c>
      <c r="J708" t="n">
        <v>0</v>
      </c>
      <c r="K708" t="n">
        <v>0</v>
      </c>
      <c r="L708" t="n">
        <v>0</v>
      </c>
      <c r="M708" t="n">
        <v>0</v>
      </c>
      <c r="N708" t="n">
        <v>0</v>
      </c>
      <c r="O708" t="n">
        <v>0</v>
      </c>
      <c r="P708" t="n">
        <v>0</v>
      </c>
      <c r="Q708" t="n">
        <v>0</v>
      </c>
      <c r="R708" s="2" t="inlineStr"/>
    </row>
    <row r="709" ht="15" customHeight="1">
      <c r="A709" t="inlineStr">
        <is>
          <t>A 28439-2022</t>
        </is>
      </c>
      <c r="B709" s="1" t="n">
        <v>44747</v>
      </c>
      <c r="C709" s="1" t="n">
        <v>45928</v>
      </c>
      <c r="D709" t="inlineStr">
        <is>
          <t>VÄRMLANDS LÄN</t>
        </is>
      </c>
      <c r="E709" t="inlineStr">
        <is>
          <t>ÅRJÄNG</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16613-2022</t>
        </is>
      </c>
      <c r="B710" s="1" t="n">
        <v>44672</v>
      </c>
      <c r="C710" s="1" t="n">
        <v>45928</v>
      </c>
      <c r="D710" t="inlineStr">
        <is>
          <t>VÄRMLANDS LÄN</t>
        </is>
      </c>
      <c r="E710" t="inlineStr">
        <is>
          <t>ÅRJÄNG</t>
        </is>
      </c>
      <c r="G710" t="n">
        <v>2.3</v>
      </c>
      <c r="H710" t="n">
        <v>0</v>
      </c>
      <c r="I710" t="n">
        <v>0</v>
      </c>
      <c r="J710" t="n">
        <v>0</v>
      </c>
      <c r="K710" t="n">
        <v>0</v>
      </c>
      <c r="L710" t="n">
        <v>0</v>
      </c>
      <c r="M710" t="n">
        <v>0</v>
      </c>
      <c r="N710" t="n">
        <v>0</v>
      </c>
      <c r="O710" t="n">
        <v>0</v>
      </c>
      <c r="P710" t="n">
        <v>0</v>
      </c>
      <c r="Q710" t="n">
        <v>0</v>
      </c>
      <c r="R710" s="2" t="inlineStr"/>
    </row>
    <row r="711" ht="15" customHeight="1">
      <c r="A711" t="inlineStr">
        <is>
          <t>A 11813-2025</t>
        </is>
      </c>
      <c r="B711" s="1" t="n">
        <v>45728.28122685185</v>
      </c>
      <c r="C711" s="1" t="n">
        <v>45928</v>
      </c>
      <c r="D711" t="inlineStr">
        <is>
          <t>VÄRMLANDS LÄN</t>
        </is>
      </c>
      <c r="E711" t="inlineStr">
        <is>
          <t>ÅRJÄNG</t>
        </is>
      </c>
      <c r="G711" t="n">
        <v>2</v>
      </c>
      <c r="H711" t="n">
        <v>0</v>
      </c>
      <c r="I711" t="n">
        <v>0</v>
      </c>
      <c r="J711" t="n">
        <v>0</v>
      </c>
      <c r="K711" t="n">
        <v>0</v>
      </c>
      <c r="L711" t="n">
        <v>0</v>
      </c>
      <c r="M711" t="n">
        <v>0</v>
      </c>
      <c r="N711" t="n">
        <v>0</v>
      </c>
      <c r="O711" t="n">
        <v>0</v>
      </c>
      <c r="P711" t="n">
        <v>0</v>
      </c>
      <c r="Q711" t="n">
        <v>0</v>
      </c>
      <c r="R711" s="2" t="inlineStr"/>
    </row>
    <row r="712" ht="15" customHeight="1">
      <c r="A712" t="inlineStr">
        <is>
          <t>A 71812-2021</t>
        </is>
      </c>
      <c r="B712" s="1" t="n">
        <v>44539</v>
      </c>
      <c r="C712" s="1" t="n">
        <v>45928</v>
      </c>
      <c r="D712" t="inlineStr">
        <is>
          <t>VÄRMLANDS LÄN</t>
        </is>
      </c>
      <c r="E712" t="inlineStr">
        <is>
          <t>ÅRJÄNG</t>
        </is>
      </c>
      <c r="G712" t="n">
        <v>9</v>
      </c>
      <c r="H712" t="n">
        <v>0</v>
      </c>
      <c r="I712" t="n">
        <v>0</v>
      </c>
      <c r="J712" t="n">
        <v>0</v>
      </c>
      <c r="K712" t="n">
        <v>0</v>
      </c>
      <c r="L712" t="n">
        <v>0</v>
      </c>
      <c r="M712" t="n">
        <v>0</v>
      </c>
      <c r="N712" t="n">
        <v>0</v>
      </c>
      <c r="O712" t="n">
        <v>0</v>
      </c>
      <c r="P712" t="n">
        <v>0</v>
      </c>
      <c r="Q712" t="n">
        <v>0</v>
      </c>
      <c r="R712" s="2" t="inlineStr"/>
    </row>
    <row r="713" ht="15" customHeight="1">
      <c r="A713" t="inlineStr">
        <is>
          <t>A 34580-2023</t>
        </is>
      </c>
      <c r="B713" s="1" t="n">
        <v>45135</v>
      </c>
      <c r="C713" s="1" t="n">
        <v>45928</v>
      </c>
      <c r="D713" t="inlineStr">
        <is>
          <t>VÄRMLANDS LÄN</t>
        </is>
      </c>
      <c r="E713" t="inlineStr">
        <is>
          <t>ÅRJÄNG</t>
        </is>
      </c>
      <c r="F713" t="inlineStr">
        <is>
          <t>Övriga Aktiebolag</t>
        </is>
      </c>
      <c r="G713" t="n">
        <v>4</v>
      </c>
      <c r="H713" t="n">
        <v>0</v>
      </c>
      <c r="I713" t="n">
        <v>0</v>
      </c>
      <c r="J713" t="n">
        <v>0</v>
      </c>
      <c r="K713" t="n">
        <v>0</v>
      </c>
      <c r="L713" t="n">
        <v>0</v>
      </c>
      <c r="M713" t="n">
        <v>0</v>
      </c>
      <c r="N713" t="n">
        <v>0</v>
      </c>
      <c r="O713" t="n">
        <v>0</v>
      </c>
      <c r="P713" t="n">
        <v>0</v>
      </c>
      <c r="Q713" t="n">
        <v>0</v>
      </c>
      <c r="R713" s="2" t="inlineStr"/>
    </row>
    <row r="714" ht="15" customHeight="1">
      <c r="A714" t="inlineStr">
        <is>
          <t>A 9990-2025</t>
        </is>
      </c>
      <c r="B714" s="1" t="n">
        <v>45719</v>
      </c>
      <c r="C714" s="1" t="n">
        <v>45928</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34387-2023</t>
        </is>
      </c>
      <c r="B715" s="1" t="n">
        <v>45139.50744212963</v>
      </c>
      <c r="C715" s="1" t="n">
        <v>45928</v>
      </c>
      <c r="D715" t="inlineStr">
        <is>
          <t>VÄRMLANDS LÄN</t>
        </is>
      </c>
      <c r="E715" t="inlineStr">
        <is>
          <t>ÅRJÄNG</t>
        </is>
      </c>
      <c r="G715" t="n">
        <v>2.6</v>
      </c>
      <c r="H715" t="n">
        <v>0</v>
      </c>
      <c r="I715" t="n">
        <v>0</v>
      </c>
      <c r="J715" t="n">
        <v>0</v>
      </c>
      <c r="K715" t="n">
        <v>0</v>
      </c>
      <c r="L715" t="n">
        <v>0</v>
      </c>
      <c r="M715" t="n">
        <v>0</v>
      </c>
      <c r="N715" t="n">
        <v>0</v>
      </c>
      <c r="O715" t="n">
        <v>0</v>
      </c>
      <c r="P715" t="n">
        <v>0</v>
      </c>
      <c r="Q715" t="n">
        <v>0</v>
      </c>
      <c r="R715" s="2" t="inlineStr"/>
    </row>
    <row r="716" ht="15" customHeight="1">
      <c r="A716" t="inlineStr">
        <is>
          <t>A 15164-2023</t>
        </is>
      </c>
      <c r="B716" s="1" t="n">
        <v>45016.59475694445</v>
      </c>
      <c r="C716" s="1" t="n">
        <v>45928</v>
      </c>
      <c r="D716" t="inlineStr">
        <is>
          <t>VÄRMLANDS LÄN</t>
        </is>
      </c>
      <c r="E716" t="inlineStr">
        <is>
          <t>ÅRJÄNG</t>
        </is>
      </c>
      <c r="G716" t="n">
        <v>0.8</v>
      </c>
      <c r="H716" t="n">
        <v>0</v>
      </c>
      <c r="I716" t="n">
        <v>0</v>
      </c>
      <c r="J716" t="n">
        <v>0</v>
      </c>
      <c r="K716" t="n">
        <v>0</v>
      </c>
      <c r="L716" t="n">
        <v>0</v>
      </c>
      <c r="M716" t="n">
        <v>0</v>
      </c>
      <c r="N716" t="n">
        <v>0</v>
      </c>
      <c r="O716" t="n">
        <v>0</v>
      </c>
      <c r="P716" t="n">
        <v>0</v>
      </c>
      <c r="Q716" t="n">
        <v>0</v>
      </c>
      <c r="R716" s="2" t="inlineStr"/>
    </row>
    <row r="717" ht="15" customHeight="1">
      <c r="A717" t="inlineStr">
        <is>
          <t>A 9992-2025</t>
        </is>
      </c>
      <c r="B717" s="1" t="n">
        <v>45719.43708333333</v>
      </c>
      <c r="C717" s="1" t="n">
        <v>45928</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39187-2024</t>
        </is>
      </c>
      <c r="B718" s="1" t="n">
        <v>45548.66915509259</v>
      </c>
      <c r="C718" s="1" t="n">
        <v>45928</v>
      </c>
      <c r="D718" t="inlineStr">
        <is>
          <t>VÄRMLANDS LÄN</t>
        </is>
      </c>
      <c r="E718" t="inlineStr">
        <is>
          <t>ÅRJÄNG</t>
        </is>
      </c>
      <c r="G718" t="n">
        <v>1.2</v>
      </c>
      <c r="H718" t="n">
        <v>0</v>
      </c>
      <c r="I718" t="n">
        <v>0</v>
      </c>
      <c r="J718" t="n">
        <v>0</v>
      </c>
      <c r="K718" t="n">
        <v>0</v>
      </c>
      <c r="L718" t="n">
        <v>0</v>
      </c>
      <c r="M718" t="n">
        <v>0</v>
      </c>
      <c r="N718" t="n">
        <v>0</v>
      </c>
      <c r="O718" t="n">
        <v>0</v>
      </c>
      <c r="P718" t="n">
        <v>0</v>
      </c>
      <c r="Q718" t="n">
        <v>0</v>
      </c>
      <c r="R718" s="2" t="inlineStr"/>
    </row>
    <row r="719" ht="15" customHeight="1">
      <c r="A719" t="inlineStr">
        <is>
          <t>A 34803-2021</t>
        </is>
      </c>
      <c r="B719" s="1" t="n">
        <v>44383</v>
      </c>
      <c r="C719" s="1" t="n">
        <v>45928</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58427-2024</t>
        </is>
      </c>
      <c r="B720" s="1" t="n">
        <v>45634.89083333333</v>
      </c>
      <c r="C720" s="1" t="n">
        <v>45928</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58428-2024</t>
        </is>
      </c>
      <c r="B721" s="1" t="n">
        <v>45634.90734953704</v>
      </c>
      <c r="C721" s="1" t="n">
        <v>45928</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17178-2021</t>
        </is>
      </c>
      <c r="B722" s="1" t="n">
        <v>44298.46592592593</v>
      </c>
      <c r="C722" s="1" t="n">
        <v>45928</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24483-2024</t>
        </is>
      </c>
      <c r="B723" s="1" t="n">
        <v>45459</v>
      </c>
      <c r="C723" s="1" t="n">
        <v>45928</v>
      </c>
      <c r="D723" t="inlineStr">
        <is>
          <t>VÄRMLANDS LÄN</t>
        </is>
      </c>
      <c r="E723" t="inlineStr">
        <is>
          <t>ÅRJÄNG</t>
        </is>
      </c>
      <c r="G723" t="n">
        <v>3.6</v>
      </c>
      <c r="H723" t="n">
        <v>0</v>
      </c>
      <c r="I723" t="n">
        <v>0</v>
      </c>
      <c r="J723" t="n">
        <v>0</v>
      </c>
      <c r="K723" t="n">
        <v>0</v>
      </c>
      <c r="L723" t="n">
        <v>0</v>
      </c>
      <c r="M723" t="n">
        <v>0</v>
      </c>
      <c r="N723" t="n">
        <v>0</v>
      </c>
      <c r="O723" t="n">
        <v>0</v>
      </c>
      <c r="P723" t="n">
        <v>0</v>
      </c>
      <c r="Q723" t="n">
        <v>0</v>
      </c>
      <c r="R723" s="2" t="inlineStr"/>
    </row>
    <row r="724" ht="15" customHeight="1">
      <c r="A724" t="inlineStr">
        <is>
          <t>A 56030-2024</t>
        </is>
      </c>
      <c r="B724" s="1" t="n">
        <v>45624.31178240741</v>
      </c>
      <c r="C724" s="1" t="n">
        <v>45928</v>
      </c>
      <c r="D724" t="inlineStr">
        <is>
          <t>VÄRMLANDS LÄN</t>
        </is>
      </c>
      <c r="E724" t="inlineStr">
        <is>
          <t>ÅRJÄNG</t>
        </is>
      </c>
      <c r="G724" t="n">
        <v>2</v>
      </c>
      <c r="H724" t="n">
        <v>0</v>
      </c>
      <c r="I724" t="n">
        <v>0</v>
      </c>
      <c r="J724" t="n">
        <v>0</v>
      </c>
      <c r="K724" t="n">
        <v>0</v>
      </c>
      <c r="L724" t="n">
        <v>0</v>
      </c>
      <c r="M724" t="n">
        <v>0</v>
      </c>
      <c r="N724" t="n">
        <v>0</v>
      </c>
      <c r="O724" t="n">
        <v>0</v>
      </c>
      <c r="P724" t="n">
        <v>0</v>
      </c>
      <c r="Q724" t="n">
        <v>0</v>
      </c>
      <c r="R724" s="2" t="inlineStr"/>
    </row>
    <row r="725" ht="15" customHeight="1">
      <c r="A725" t="inlineStr">
        <is>
          <t>A 24273-2023</t>
        </is>
      </c>
      <c r="B725" s="1" t="n">
        <v>45079.6764699074</v>
      </c>
      <c r="C725" s="1" t="n">
        <v>45928</v>
      </c>
      <c r="D725" t="inlineStr">
        <is>
          <t>VÄRMLANDS LÄN</t>
        </is>
      </c>
      <c r="E725" t="inlineStr">
        <is>
          <t>ÅRJÄNG</t>
        </is>
      </c>
      <c r="G725" t="n">
        <v>1.9</v>
      </c>
      <c r="H725" t="n">
        <v>0</v>
      </c>
      <c r="I725" t="n">
        <v>0</v>
      </c>
      <c r="J725" t="n">
        <v>0</v>
      </c>
      <c r="K725" t="n">
        <v>0</v>
      </c>
      <c r="L725" t="n">
        <v>0</v>
      </c>
      <c r="M725" t="n">
        <v>0</v>
      </c>
      <c r="N725" t="n">
        <v>0</v>
      </c>
      <c r="O725" t="n">
        <v>0</v>
      </c>
      <c r="P725" t="n">
        <v>0</v>
      </c>
      <c r="Q725" t="n">
        <v>0</v>
      </c>
      <c r="R725" s="2" t="inlineStr"/>
    </row>
    <row r="726" ht="15" customHeight="1">
      <c r="A726" t="inlineStr">
        <is>
          <t>A 56940-2024</t>
        </is>
      </c>
      <c r="B726" s="1" t="n">
        <v>45628.61755787037</v>
      </c>
      <c r="C726" s="1" t="n">
        <v>45928</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65773-2020</t>
        </is>
      </c>
      <c r="B727" s="1" t="n">
        <v>44174</v>
      </c>
      <c r="C727" s="1" t="n">
        <v>45928</v>
      </c>
      <c r="D727" t="inlineStr">
        <is>
          <t>VÄRMLANDS LÄN</t>
        </is>
      </c>
      <c r="E727" t="inlineStr">
        <is>
          <t>ÅRJÄNG</t>
        </is>
      </c>
      <c r="G727" t="n">
        <v>0.4</v>
      </c>
      <c r="H727" t="n">
        <v>0</v>
      </c>
      <c r="I727" t="n">
        <v>0</v>
      </c>
      <c r="J727" t="n">
        <v>0</v>
      </c>
      <c r="K727" t="n">
        <v>0</v>
      </c>
      <c r="L727" t="n">
        <v>0</v>
      </c>
      <c r="M727" t="n">
        <v>0</v>
      </c>
      <c r="N727" t="n">
        <v>0</v>
      </c>
      <c r="O727" t="n">
        <v>0</v>
      </c>
      <c r="P727" t="n">
        <v>0</v>
      </c>
      <c r="Q727" t="n">
        <v>0</v>
      </c>
      <c r="R727" s="2" t="inlineStr"/>
    </row>
    <row r="728" ht="15" customHeight="1">
      <c r="A728" t="inlineStr">
        <is>
          <t>A 65781-2020</t>
        </is>
      </c>
      <c r="B728" s="1" t="n">
        <v>44174</v>
      </c>
      <c r="C728" s="1" t="n">
        <v>45928</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10180-2023</t>
        </is>
      </c>
      <c r="B729" s="1" t="n">
        <v>44986</v>
      </c>
      <c r="C729" s="1" t="n">
        <v>45928</v>
      </c>
      <c r="D729" t="inlineStr">
        <is>
          <t>VÄRMLANDS LÄN</t>
        </is>
      </c>
      <c r="E729" t="inlineStr">
        <is>
          <t>ÅRJÄNG</t>
        </is>
      </c>
      <c r="G729" t="n">
        <v>4.6</v>
      </c>
      <c r="H729" t="n">
        <v>0</v>
      </c>
      <c r="I729" t="n">
        <v>0</v>
      </c>
      <c r="J729" t="n">
        <v>0</v>
      </c>
      <c r="K729" t="n">
        <v>0</v>
      </c>
      <c r="L729" t="n">
        <v>0</v>
      </c>
      <c r="M729" t="n">
        <v>0</v>
      </c>
      <c r="N729" t="n">
        <v>0</v>
      </c>
      <c r="O729" t="n">
        <v>0</v>
      </c>
      <c r="P729" t="n">
        <v>0</v>
      </c>
      <c r="Q729" t="n">
        <v>0</v>
      </c>
      <c r="R729" s="2" t="inlineStr"/>
    </row>
    <row r="730" ht="15" customHeight="1">
      <c r="A730" t="inlineStr">
        <is>
          <t>A 69862-2021</t>
        </is>
      </c>
      <c r="B730" s="1" t="n">
        <v>44532</v>
      </c>
      <c r="C730" s="1" t="n">
        <v>45928</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29558-2024</t>
        </is>
      </c>
      <c r="B731" s="1" t="n">
        <v>45484</v>
      </c>
      <c r="C731" s="1" t="n">
        <v>45928</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36344-2023</t>
        </is>
      </c>
      <c r="B732" s="1" t="n">
        <v>45152</v>
      </c>
      <c r="C732" s="1" t="n">
        <v>45928</v>
      </c>
      <c r="D732" t="inlineStr">
        <is>
          <t>VÄRMLANDS LÄN</t>
        </is>
      </c>
      <c r="E732" t="inlineStr">
        <is>
          <t>ÅRJÄNG</t>
        </is>
      </c>
      <c r="G732" t="n">
        <v>7.7</v>
      </c>
      <c r="H732" t="n">
        <v>0</v>
      </c>
      <c r="I732" t="n">
        <v>0</v>
      </c>
      <c r="J732" t="n">
        <v>0</v>
      </c>
      <c r="K732" t="n">
        <v>0</v>
      </c>
      <c r="L732" t="n">
        <v>0</v>
      </c>
      <c r="M732" t="n">
        <v>0</v>
      </c>
      <c r="N732" t="n">
        <v>0</v>
      </c>
      <c r="O732" t="n">
        <v>0</v>
      </c>
      <c r="P732" t="n">
        <v>0</v>
      </c>
      <c r="Q732" t="n">
        <v>0</v>
      </c>
      <c r="R732" s="2" t="inlineStr"/>
    </row>
    <row r="733" ht="15" customHeight="1">
      <c r="A733" t="inlineStr">
        <is>
          <t>A 23904-2023</t>
        </is>
      </c>
      <c r="B733" s="1" t="n">
        <v>45078.55413194445</v>
      </c>
      <c r="C733" s="1" t="n">
        <v>45928</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21177-2023</t>
        </is>
      </c>
      <c r="B734" s="1" t="n">
        <v>45062</v>
      </c>
      <c r="C734" s="1" t="n">
        <v>45928</v>
      </c>
      <c r="D734" t="inlineStr">
        <is>
          <t>VÄRMLANDS LÄN</t>
        </is>
      </c>
      <c r="E734" t="inlineStr">
        <is>
          <t>ÅRJÄNG</t>
        </is>
      </c>
      <c r="G734" t="n">
        <v>0.7</v>
      </c>
      <c r="H734" t="n">
        <v>0</v>
      </c>
      <c r="I734" t="n">
        <v>0</v>
      </c>
      <c r="J734" t="n">
        <v>0</v>
      </c>
      <c r="K734" t="n">
        <v>0</v>
      </c>
      <c r="L734" t="n">
        <v>0</v>
      </c>
      <c r="M734" t="n">
        <v>0</v>
      </c>
      <c r="N734" t="n">
        <v>0</v>
      </c>
      <c r="O734" t="n">
        <v>0</v>
      </c>
      <c r="P734" t="n">
        <v>0</v>
      </c>
      <c r="Q734" t="n">
        <v>0</v>
      </c>
      <c r="R734" s="2" t="inlineStr"/>
    </row>
    <row r="735" ht="15" customHeight="1">
      <c r="A735" t="inlineStr">
        <is>
          <t>A 23754-2024</t>
        </is>
      </c>
      <c r="B735" s="1" t="n">
        <v>45455</v>
      </c>
      <c r="C735" s="1" t="n">
        <v>45928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46317-2024</t>
        </is>
      </c>
      <c r="B736" s="1" t="n">
        <v>45581.74462962963</v>
      </c>
      <c r="C736" s="1" t="n">
        <v>45928</v>
      </c>
      <c r="D736" t="inlineStr">
        <is>
          <t>VÄRMLANDS LÄN</t>
        </is>
      </c>
      <c r="E736" t="inlineStr">
        <is>
          <t>ÅRJÄNG</t>
        </is>
      </c>
      <c r="G736" t="n">
        <v>3.5</v>
      </c>
      <c r="H736" t="n">
        <v>0</v>
      </c>
      <c r="I736" t="n">
        <v>0</v>
      </c>
      <c r="J736" t="n">
        <v>0</v>
      </c>
      <c r="K736" t="n">
        <v>0</v>
      </c>
      <c r="L736" t="n">
        <v>0</v>
      </c>
      <c r="M736" t="n">
        <v>0</v>
      </c>
      <c r="N736" t="n">
        <v>0</v>
      </c>
      <c r="O736" t="n">
        <v>0</v>
      </c>
      <c r="P736" t="n">
        <v>0</v>
      </c>
      <c r="Q736" t="n">
        <v>0</v>
      </c>
      <c r="R736" s="2" t="inlineStr"/>
    </row>
    <row r="737" ht="15" customHeight="1">
      <c r="A737" t="inlineStr">
        <is>
          <t>A 99-2025</t>
        </is>
      </c>
      <c r="B737" s="1" t="n">
        <v>45649</v>
      </c>
      <c r="C737" s="1" t="n">
        <v>45928</v>
      </c>
      <c r="D737" t="inlineStr">
        <is>
          <t>VÄRMLANDS LÄN</t>
        </is>
      </c>
      <c r="E737" t="inlineStr">
        <is>
          <t>ÅRJÄNG</t>
        </is>
      </c>
      <c r="G737" t="n">
        <v>0.6</v>
      </c>
      <c r="H737" t="n">
        <v>0</v>
      </c>
      <c r="I737" t="n">
        <v>0</v>
      </c>
      <c r="J737" t="n">
        <v>0</v>
      </c>
      <c r="K737" t="n">
        <v>0</v>
      </c>
      <c r="L737" t="n">
        <v>0</v>
      </c>
      <c r="M737" t="n">
        <v>0</v>
      </c>
      <c r="N737" t="n">
        <v>0</v>
      </c>
      <c r="O737" t="n">
        <v>0</v>
      </c>
      <c r="P737" t="n">
        <v>0</v>
      </c>
      <c r="Q737" t="n">
        <v>0</v>
      </c>
      <c r="R737" s="2" t="inlineStr"/>
    </row>
    <row r="738" ht="15" customHeight="1">
      <c r="A738" t="inlineStr">
        <is>
          <t>A 40465-2023</t>
        </is>
      </c>
      <c r="B738" s="1" t="n">
        <v>45170.34325231481</v>
      </c>
      <c r="C738" s="1" t="n">
        <v>45928</v>
      </c>
      <c r="D738" t="inlineStr">
        <is>
          <t>VÄRMLANDS LÄN</t>
        </is>
      </c>
      <c r="E738" t="inlineStr">
        <is>
          <t>ÅRJÄNG</t>
        </is>
      </c>
      <c r="G738" t="n">
        <v>1.7</v>
      </c>
      <c r="H738" t="n">
        <v>0</v>
      </c>
      <c r="I738" t="n">
        <v>0</v>
      </c>
      <c r="J738" t="n">
        <v>0</v>
      </c>
      <c r="K738" t="n">
        <v>0</v>
      </c>
      <c r="L738" t="n">
        <v>0</v>
      </c>
      <c r="M738" t="n">
        <v>0</v>
      </c>
      <c r="N738" t="n">
        <v>0</v>
      </c>
      <c r="O738" t="n">
        <v>0</v>
      </c>
      <c r="P738" t="n">
        <v>0</v>
      </c>
      <c r="Q738" t="n">
        <v>0</v>
      </c>
      <c r="R738" s="2" t="inlineStr"/>
    </row>
    <row r="739" ht="15" customHeight="1">
      <c r="A739" t="inlineStr">
        <is>
          <t>A 59068-2024</t>
        </is>
      </c>
      <c r="B739" s="1" t="n">
        <v>45636.95376157408</v>
      </c>
      <c r="C739" s="1" t="n">
        <v>45928</v>
      </c>
      <c r="D739" t="inlineStr">
        <is>
          <t>VÄRMLANDS LÄN</t>
        </is>
      </c>
      <c r="E739" t="inlineStr">
        <is>
          <t>ÅRJÄNG</t>
        </is>
      </c>
      <c r="G739" t="n">
        <v>3.2</v>
      </c>
      <c r="H739" t="n">
        <v>0</v>
      </c>
      <c r="I739" t="n">
        <v>0</v>
      </c>
      <c r="J739" t="n">
        <v>0</v>
      </c>
      <c r="K739" t="n">
        <v>0</v>
      </c>
      <c r="L739" t="n">
        <v>0</v>
      </c>
      <c r="M739" t="n">
        <v>0</v>
      </c>
      <c r="N739" t="n">
        <v>0</v>
      </c>
      <c r="O739" t="n">
        <v>0</v>
      </c>
      <c r="P739" t="n">
        <v>0</v>
      </c>
      <c r="Q739" t="n">
        <v>0</v>
      </c>
      <c r="R739" s="2" t="inlineStr"/>
    </row>
    <row r="740" ht="15" customHeight="1">
      <c r="A740" t="inlineStr">
        <is>
          <t>A 65844-2021</t>
        </is>
      </c>
      <c r="B740" s="1" t="n">
        <v>44517.36067129629</v>
      </c>
      <c r="C740" s="1" t="n">
        <v>45928</v>
      </c>
      <c r="D740" t="inlineStr">
        <is>
          <t>VÄRMLANDS LÄN</t>
        </is>
      </c>
      <c r="E740" t="inlineStr">
        <is>
          <t>ÅRJÄNG</t>
        </is>
      </c>
      <c r="G740" t="n">
        <v>4.6</v>
      </c>
      <c r="H740" t="n">
        <v>0</v>
      </c>
      <c r="I740" t="n">
        <v>0</v>
      </c>
      <c r="J740" t="n">
        <v>0</v>
      </c>
      <c r="K740" t="n">
        <v>0</v>
      </c>
      <c r="L740" t="n">
        <v>0</v>
      </c>
      <c r="M740" t="n">
        <v>0</v>
      </c>
      <c r="N740" t="n">
        <v>0</v>
      </c>
      <c r="O740" t="n">
        <v>0</v>
      </c>
      <c r="P740" t="n">
        <v>0</v>
      </c>
      <c r="Q740" t="n">
        <v>0</v>
      </c>
      <c r="R740" s="2" t="inlineStr"/>
    </row>
    <row r="741" ht="15" customHeight="1">
      <c r="A741" t="inlineStr">
        <is>
          <t>A 40366-2022</t>
        </is>
      </c>
      <c r="B741" s="1" t="n">
        <v>44823.38884259259</v>
      </c>
      <c r="C741" s="1" t="n">
        <v>45928</v>
      </c>
      <c r="D741" t="inlineStr">
        <is>
          <t>VÄRMLANDS LÄN</t>
        </is>
      </c>
      <c r="E741" t="inlineStr">
        <is>
          <t>ÅRJÄNG</t>
        </is>
      </c>
      <c r="G741" t="n">
        <v>3.2</v>
      </c>
      <c r="H741" t="n">
        <v>0</v>
      </c>
      <c r="I741" t="n">
        <v>0</v>
      </c>
      <c r="J741" t="n">
        <v>0</v>
      </c>
      <c r="K741" t="n">
        <v>0</v>
      </c>
      <c r="L741" t="n">
        <v>0</v>
      </c>
      <c r="M741" t="n">
        <v>0</v>
      </c>
      <c r="N741" t="n">
        <v>0</v>
      </c>
      <c r="O741" t="n">
        <v>0</v>
      </c>
      <c r="P741" t="n">
        <v>0</v>
      </c>
      <c r="Q741" t="n">
        <v>0</v>
      </c>
      <c r="R741" s="2" t="inlineStr"/>
    </row>
    <row r="742" ht="15" customHeight="1">
      <c r="A742" t="inlineStr">
        <is>
          <t>A 61868-2024</t>
        </is>
      </c>
      <c r="B742" s="1" t="n">
        <v>45651.47393518518</v>
      </c>
      <c r="C742" s="1" t="n">
        <v>45928</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1580-2025</t>
        </is>
      </c>
      <c r="B743" s="1" t="n">
        <v>45670</v>
      </c>
      <c r="C743" s="1" t="n">
        <v>45928</v>
      </c>
      <c r="D743" t="inlineStr">
        <is>
          <t>VÄRMLANDS LÄN</t>
        </is>
      </c>
      <c r="E743" t="inlineStr">
        <is>
          <t>ÅRJÄNG</t>
        </is>
      </c>
      <c r="G743" t="n">
        <v>2.8</v>
      </c>
      <c r="H743" t="n">
        <v>0</v>
      </c>
      <c r="I743" t="n">
        <v>0</v>
      </c>
      <c r="J743" t="n">
        <v>0</v>
      </c>
      <c r="K743" t="n">
        <v>0</v>
      </c>
      <c r="L743" t="n">
        <v>0</v>
      </c>
      <c r="M743" t="n">
        <v>0</v>
      </c>
      <c r="N743" t="n">
        <v>0</v>
      </c>
      <c r="O743" t="n">
        <v>0</v>
      </c>
      <c r="P743" t="n">
        <v>0</v>
      </c>
      <c r="Q743" t="n">
        <v>0</v>
      </c>
      <c r="R743" s="2" t="inlineStr"/>
    </row>
    <row r="744" ht="15" customHeight="1">
      <c r="A744" t="inlineStr">
        <is>
          <t>A 39557-2023</t>
        </is>
      </c>
      <c r="B744" s="1" t="n">
        <v>45167.38633101852</v>
      </c>
      <c r="C744" s="1" t="n">
        <v>45928</v>
      </c>
      <c r="D744" t="inlineStr">
        <is>
          <t>VÄRMLANDS LÄN</t>
        </is>
      </c>
      <c r="E744" t="inlineStr">
        <is>
          <t>ÅRJÄNG</t>
        </is>
      </c>
      <c r="G744" t="n">
        <v>1.5</v>
      </c>
      <c r="H744" t="n">
        <v>0</v>
      </c>
      <c r="I744" t="n">
        <v>0</v>
      </c>
      <c r="J744" t="n">
        <v>0</v>
      </c>
      <c r="K744" t="n">
        <v>0</v>
      </c>
      <c r="L744" t="n">
        <v>0</v>
      </c>
      <c r="M744" t="n">
        <v>0</v>
      </c>
      <c r="N744" t="n">
        <v>0</v>
      </c>
      <c r="O744" t="n">
        <v>0</v>
      </c>
      <c r="P744" t="n">
        <v>0</v>
      </c>
      <c r="Q744" t="n">
        <v>0</v>
      </c>
      <c r="R744" s="2" t="inlineStr"/>
    </row>
    <row r="745" ht="15" customHeight="1">
      <c r="A745" t="inlineStr">
        <is>
          <t>A 2551-2025</t>
        </is>
      </c>
      <c r="B745" s="1" t="n">
        <v>45674.63969907408</v>
      </c>
      <c r="C745" s="1" t="n">
        <v>45928</v>
      </c>
      <c r="D745" t="inlineStr">
        <is>
          <t>VÄRMLANDS LÄN</t>
        </is>
      </c>
      <c r="E745" t="inlineStr">
        <is>
          <t>ÅRJÄNG</t>
        </is>
      </c>
      <c r="G745" t="n">
        <v>0.5</v>
      </c>
      <c r="H745" t="n">
        <v>0</v>
      </c>
      <c r="I745" t="n">
        <v>0</v>
      </c>
      <c r="J745" t="n">
        <v>0</v>
      </c>
      <c r="K745" t="n">
        <v>0</v>
      </c>
      <c r="L745" t="n">
        <v>0</v>
      </c>
      <c r="M745" t="n">
        <v>0</v>
      </c>
      <c r="N745" t="n">
        <v>0</v>
      </c>
      <c r="O745" t="n">
        <v>0</v>
      </c>
      <c r="P745" t="n">
        <v>0</v>
      </c>
      <c r="Q745" t="n">
        <v>0</v>
      </c>
      <c r="R745" s="2" t="inlineStr"/>
    </row>
    <row r="746" ht="15" customHeight="1">
      <c r="A746" t="inlineStr">
        <is>
          <t>A 3848-2025</t>
        </is>
      </c>
      <c r="B746" s="1" t="n">
        <v>45683</v>
      </c>
      <c r="C746" s="1" t="n">
        <v>45928</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47833-2023</t>
        </is>
      </c>
      <c r="B747" s="1" t="n">
        <v>45204.36287037037</v>
      </c>
      <c r="C747" s="1" t="n">
        <v>45928</v>
      </c>
      <c r="D747" t="inlineStr">
        <is>
          <t>VÄRMLANDS LÄN</t>
        </is>
      </c>
      <c r="E747" t="inlineStr">
        <is>
          <t>ÅRJÄNG</t>
        </is>
      </c>
      <c r="G747" t="n">
        <v>4.4</v>
      </c>
      <c r="H747" t="n">
        <v>0</v>
      </c>
      <c r="I747" t="n">
        <v>0</v>
      </c>
      <c r="J747" t="n">
        <v>0</v>
      </c>
      <c r="K747" t="n">
        <v>0</v>
      </c>
      <c r="L747" t="n">
        <v>0</v>
      </c>
      <c r="M747" t="n">
        <v>0</v>
      </c>
      <c r="N747" t="n">
        <v>0</v>
      </c>
      <c r="O747" t="n">
        <v>0</v>
      </c>
      <c r="P747" t="n">
        <v>0</v>
      </c>
      <c r="Q747" t="n">
        <v>0</v>
      </c>
      <c r="R747" s="2" t="inlineStr"/>
    </row>
    <row r="748" ht="15" customHeight="1">
      <c r="A748" t="inlineStr">
        <is>
          <t>A 3492-2024</t>
        </is>
      </c>
      <c r="B748" s="1" t="n">
        <v>45317</v>
      </c>
      <c r="C748" s="1" t="n">
        <v>45928</v>
      </c>
      <c r="D748" t="inlineStr">
        <is>
          <t>VÄRMLANDS LÄN</t>
        </is>
      </c>
      <c r="E748" t="inlineStr">
        <is>
          <t>ÅRJÄNG</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40352-2023</t>
        </is>
      </c>
      <c r="B749" s="1" t="n">
        <v>45168</v>
      </c>
      <c r="C749" s="1" t="n">
        <v>45928</v>
      </c>
      <c r="D749" t="inlineStr">
        <is>
          <t>VÄRMLANDS LÄN</t>
        </is>
      </c>
      <c r="E749" t="inlineStr">
        <is>
          <t>ÅRJÄNG</t>
        </is>
      </c>
      <c r="G749" t="n">
        <v>3.4</v>
      </c>
      <c r="H749" t="n">
        <v>0</v>
      </c>
      <c r="I749" t="n">
        <v>0</v>
      </c>
      <c r="J749" t="n">
        <v>0</v>
      </c>
      <c r="K749" t="n">
        <v>0</v>
      </c>
      <c r="L749" t="n">
        <v>0</v>
      </c>
      <c r="M749" t="n">
        <v>0</v>
      </c>
      <c r="N749" t="n">
        <v>0</v>
      </c>
      <c r="O749" t="n">
        <v>0</v>
      </c>
      <c r="P749" t="n">
        <v>0</v>
      </c>
      <c r="Q749" t="n">
        <v>0</v>
      </c>
      <c r="R749" s="2" t="inlineStr"/>
    </row>
    <row r="750" ht="15" customHeight="1">
      <c r="A750" t="inlineStr">
        <is>
          <t>A 1279-2025</t>
        </is>
      </c>
      <c r="B750" s="1" t="n">
        <v>45667.48987268518</v>
      </c>
      <c r="C750" s="1" t="n">
        <v>45928</v>
      </c>
      <c r="D750" t="inlineStr">
        <is>
          <t>VÄRMLANDS LÄN</t>
        </is>
      </c>
      <c r="E750" t="inlineStr">
        <is>
          <t>ÅRJÄNG</t>
        </is>
      </c>
      <c r="G750" t="n">
        <v>2.6</v>
      </c>
      <c r="H750" t="n">
        <v>0</v>
      </c>
      <c r="I750" t="n">
        <v>0</v>
      </c>
      <c r="J750" t="n">
        <v>0</v>
      </c>
      <c r="K750" t="n">
        <v>0</v>
      </c>
      <c r="L750" t="n">
        <v>0</v>
      </c>
      <c r="M750" t="n">
        <v>0</v>
      </c>
      <c r="N750" t="n">
        <v>0</v>
      </c>
      <c r="O750" t="n">
        <v>0</v>
      </c>
      <c r="P750" t="n">
        <v>0</v>
      </c>
      <c r="Q750" t="n">
        <v>0</v>
      </c>
      <c r="R750" s="2" t="inlineStr"/>
    </row>
    <row r="751" ht="15" customHeight="1">
      <c r="A751" t="inlineStr">
        <is>
          <t>A 6577-2025</t>
        </is>
      </c>
      <c r="B751" s="1" t="n">
        <v>45699.87793981482</v>
      </c>
      <c r="C751" s="1" t="n">
        <v>45928</v>
      </c>
      <c r="D751" t="inlineStr">
        <is>
          <t>VÄRMLANDS LÄN</t>
        </is>
      </c>
      <c r="E751" t="inlineStr">
        <is>
          <t>ÅRJÄNG</t>
        </is>
      </c>
      <c r="G751" t="n">
        <v>1.2</v>
      </c>
      <c r="H751" t="n">
        <v>0</v>
      </c>
      <c r="I751" t="n">
        <v>0</v>
      </c>
      <c r="J751" t="n">
        <v>0</v>
      </c>
      <c r="K751" t="n">
        <v>0</v>
      </c>
      <c r="L751" t="n">
        <v>0</v>
      </c>
      <c r="M751" t="n">
        <v>0</v>
      </c>
      <c r="N751" t="n">
        <v>0</v>
      </c>
      <c r="O751" t="n">
        <v>0</v>
      </c>
      <c r="P751" t="n">
        <v>0</v>
      </c>
      <c r="Q751" t="n">
        <v>0</v>
      </c>
      <c r="R751" s="2" t="inlineStr"/>
    </row>
    <row r="752" ht="15" customHeight="1">
      <c r="A752" t="inlineStr">
        <is>
          <t>A 10873-2023</t>
        </is>
      </c>
      <c r="B752" s="1" t="n">
        <v>44991.42243055555</v>
      </c>
      <c r="C752" s="1" t="n">
        <v>45928</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55167-2024</t>
        </is>
      </c>
      <c r="B753" s="1" t="n">
        <v>45621</v>
      </c>
      <c r="C753" s="1" t="n">
        <v>45928</v>
      </c>
      <c r="D753" t="inlineStr">
        <is>
          <t>VÄRMLANDS LÄN</t>
        </is>
      </c>
      <c r="E753" t="inlineStr">
        <is>
          <t>ÅRJÄNG</t>
        </is>
      </c>
      <c r="F753" t="inlineStr">
        <is>
          <t>Bergvik skog väst AB</t>
        </is>
      </c>
      <c r="G753" t="n">
        <v>7.9</v>
      </c>
      <c r="H753" t="n">
        <v>0</v>
      </c>
      <c r="I753" t="n">
        <v>0</v>
      </c>
      <c r="J753" t="n">
        <v>0</v>
      </c>
      <c r="K753" t="n">
        <v>0</v>
      </c>
      <c r="L753" t="n">
        <v>0</v>
      </c>
      <c r="M753" t="n">
        <v>0</v>
      </c>
      <c r="N753" t="n">
        <v>0</v>
      </c>
      <c r="O753" t="n">
        <v>0</v>
      </c>
      <c r="P753" t="n">
        <v>0</v>
      </c>
      <c r="Q753" t="n">
        <v>0</v>
      </c>
      <c r="R753" s="2" t="inlineStr"/>
    </row>
    <row r="754" ht="15" customHeight="1">
      <c r="A754" t="inlineStr">
        <is>
          <t>A 33017-2022</t>
        </is>
      </c>
      <c r="B754" s="1" t="n">
        <v>44785.32934027778</v>
      </c>
      <c r="C754" s="1" t="n">
        <v>45928</v>
      </c>
      <c r="D754" t="inlineStr">
        <is>
          <t>VÄRMLANDS LÄN</t>
        </is>
      </c>
      <c r="E754" t="inlineStr">
        <is>
          <t>ÅRJÄNG</t>
        </is>
      </c>
      <c r="F754" t="inlineStr">
        <is>
          <t>Kyrkan</t>
        </is>
      </c>
      <c r="G754" t="n">
        <v>5.9</v>
      </c>
      <c r="H754" t="n">
        <v>0</v>
      </c>
      <c r="I754" t="n">
        <v>0</v>
      </c>
      <c r="J754" t="n">
        <v>0</v>
      </c>
      <c r="K754" t="n">
        <v>0</v>
      </c>
      <c r="L754" t="n">
        <v>0</v>
      </c>
      <c r="M754" t="n">
        <v>0</v>
      </c>
      <c r="N754" t="n">
        <v>0</v>
      </c>
      <c r="O754" t="n">
        <v>0</v>
      </c>
      <c r="P754" t="n">
        <v>0</v>
      </c>
      <c r="Q754" t="n">
        <v>0</v>
      </c>
      <c r="R754" s="2" t="inlineStr"/>
    </row>
    <row r="755" ht="15" customHeight="1">
      <c r="A755" t="inlineStr">
        <is>
          <t>A 16383-2022</t>
        </is>
      </c>
      <c r="B755" s="1" t="n">
        <v>44671</v>
      </c>
      <c r="C755" s="1" t="n">
        <v>45928</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40349-2024</t>
        </is>
      </c>
      <c r="B756" s="1" t="n">
        <v>45555.35849537037</v>
      </c>
      <c r="C756" s="1" t="n">
        <v>45928</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13620-2023</t>
        </is>
      </c>
      <c r="B757" s="1" t="n">
        <v>45006</v>
      </c>
      <c r="C757" s="1" t="n">
        <v>45928</v>
      </c>
      <c r="D757" t="inlineStr">
        <is>
          <t>VÄRMLANDS LÄN</t>
        </is>
      </c>
      <c r="E757" t="inlineStr">
        <is>
          <t>ÅRJÄNG</t>
        </is>
      </c>
      <c r="G757" t="n">
        <v>0.8</v>
      </c>
      <c r="H757" t="n">
        <v>0</v>
      </c>
      <c r="I757" t="n">
        <v>0</v>
      </c>
      <c r="J757" t="n">
        <v>0</v>
      </c>
      <c r="K757" t="n">
        <v>0</v>
      </c>
      <c r="L757" t="n">
        <v>0</v>
      </c>
      <c r="M757" t="n">
        <v>0</v>
      </c>
      <c r="N757" t="n">
        <v>0</v>
      </c>
      <c r="O757" t="n">
        <v>0</v>
      </c>
      <c r="P757" t="n">
        <v>0</v>
      </c>
      <c r="Q757" t="n">
        <v>0</v>
      </c>
      <c r="R757" s="2" t="inlineStr"/>
    </row>
    <row r="758" ht="15" customHeight="1">
      <c r="A758" t="inlineStr">
        <is>
          <t>A 30699-2021</t>
        </is>
      </c>
      <c r="B758" s="1" t="n">
        <v>44365.42443287037</v>
      </c>
      <c r="C758" s="1" t="n">
        <v>45928</v>
      </c>
      <c r="D758" t="inlineStr">
        <is>
          <t>VÄRMLANDS LÄN</t>
        </is>
      </c>
      <c r="E758" t="inlineStr">
        <is>
          <t>ÅRJÄNG</t>
        </is>
      </c>
      <c r="G758" t="n">
        <v>3.1</v>
      </c>
      <c r="H758" t="n">
        <v>0</v>
      </c>
      <c r="I758" t="n">
        <v>0</v>
      </c>
      <c r="J758" t="n">
        <v>0</v>
      </c>
      <c r="K758" t="n">
        <v>0</v>
      </c>
      <c r="L758" t="n">
        <v>0</v>
      </c>
      <c r="M758" t="n">
        <v>0</v>
      </c>
      <c r="N758" t="n">
        <v>0</v>
      </c>
      <c r="O758" t="n">
        <v>0</v>
      </c>
      <c r="P758" t="n">
        <v>0</v>
      </c>
      <c r="Q758" t="n">
        <v>0</v>
      </c>
      <c r="R758" s="2" t="inlineStr"/>
    </row>
    <row r="759" ht="15" customHeight="1">
      <c r="A759" t="inlineStr">
        <is>
          <t>A 35157-2021</t>
        </is>
      </c>
      <c r="B759" s="1" t="n">
        <v>44383</v>
      </c>
      <c r="C759" s="1" t="n">
        <v>45928</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16666-2025</t>
        </is>
      </c>
      <c r="B760" s="1" t="n">
        <v>45754</v>
      </c>
      <c r="C760" s="1" t="n">
        <v>45928</v>
      </c>
      <c r="D760" t="inlineStr">
        <is>
          <t>VÄRMLANDS LÄN</t>
        </is>
      </c>
      <c r="E760" t="inlineStr">
        <is>
          <t>ÅRJÄNG</t>
        </is>
      </c>
      <c r="G760" t="n">
        <v>6.2</v>
      </c>
      <c r="H760" t="n">
        <v>0</v>
      </c>
      <c r="I760" t="n">
        <v>0</v>
      </c>
      <c r="J760" t="n">
        <v>0</v>
      </c>
      <c r="K760" t="n">
        <v>0</v>
      </c>
      <c r="L760" t="n">
        <v>0</v>
      </c>
      <c r="M760" t="n">
        <v>0</v>
      </c>
      <c r="N760" t="n">
        <v>0</v>
      </c>
      <c r="O760" t="n">
        <v>0</v>
      </c>
      <c r="P760" t="n">
        <v>0</v>
      </c>
      <c r="Q760" t="n">
        <v>0</v>
      </c>
      <c r="R760" s="2" t="inlineStr"/>
    </row>
    <row r="761" ht="15" customHeight="1">
      <c r="A761" t="inlineStr">
        <is>
          <t>A 16806-2024</t>
        </is>
      </c>
      <c r="B761" s="1" t="n">
        <v>45411.45510416666</v>
      </c>
      <c r="C761" s="1" t="n">
        <v>45928</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46301-2025</t>
        </is>
      </c>
      <c r="B762" s="1" t="n">
        <v>45925.41553240741</v>
      </c>
      <c r="C762" s="1" t="n">
        <v>45928</v>
      </c>
      <c r="D762" t="inlineStr">
        <is>
          <t>VÄRMLANDS LÄN</t>
        </is>
      </c>
      <c r="E762" t="inlineStr">
        <is>
          <t>ÅRJÄNG</t>
        </is>
      </c>
      <c r="G762" t="n">
        <v>3.8</v>
      </c>
      <c r="H762" t="n">
        <v>0</v>
      </c>
      <c r="I762" t="n">
        <v>0</v>
      </c>
      <c r="J762" t="n">
        <v>0</v>
      </c>
      <c r="K762" t="n">
        <v>0</v>
      </c>
      <c r="L762" t="n">
        <v>0</v>
      </c>
      <c r="M762" t="n">
        <v>0</v>
      </c>
      <c r="N762" t="n">
        <v>0</v>
      </c>
      <c r="O762" t="n">
        <v>0</v>
      </c>
      <c r="P762" t="n">
        <v>0</v>
      </c>
      <c r="Q762" t="n">
        <v>0</v>
      </c>
      <c r="R762" s="2" t="inlineStr"/>
    </row>
    <row r="763" ht="15" customHeight="1">
      <c r="A763" t="inlineStr">
        <is>
          <t>A 40437-2025</t>
        </is>
      </c>
      <c r="B763" s="1" t="n">
        <v>45895</v>
      </c>
      <c r="C763" s="1" t="n">
        <v>45928</v>
      </c>
      <c r="D763" t="inlineStr">
        <is>
          <t>VÄRMLANDS LÄN</t>
        </is>
      </c>
      <c r="E763" t="inlineStr">
        <is>
          <t>ÅRJÄNG</t>
        </is>
      </c>
      <c r="G763" t="n">
        <v>8.1</v>
      </c>
      <c r="H763" t="n">
        <v>0</v>
      </c>
      <c r="I763" t="n">
        <v>0</v>
      </c>
      <c r="J763" t="n">
        <v>0</v>
      </c>
      <c r="K763" t="n">
        <v>0</v>
      </c>
      <c r="L763" t="n">
        <v>0</v>
      </c>
      <c r="M763" t="n">
        <v>0</v>
      </c>
      <c r="N763" t="n">
        <v>0</v>
      </c>
      <c r="O763" t="n">
        <v>0</v>
      </c>
      <c r="P763" t="n">
        <v>0</v>
      </c>
      <c r="Q763" t="n">
        <v>0</v>
      </c>
      <c r="R763" s="2" t="inlineStr"/>
    </row>
    <row r="764" ht="15" customHeight="1">
      <c r="A764" t="inlineStr">
        <is>
          <t>A 21706-2024</t>
        </is>
      </c>
      <c r="B764" s="1" t="n">
        <v>45442</v>
      </c>
      <c r="C764" s="1" t="n">
        <v>45928</v>
      </c>
      <c r="D764" t="inlineStr">
        <is>
          <t>VÄRMLANDS LÄN</t>
        </is>
      </c>
      <c r="E764" t="inlineStr">
        <is>
          <t>ÅRJÄNG</t>
        </is>
      </c>
      <c r="G764" t="n">
        <v>10.4</v>
      </c>
      <c r="H764" t="n">
        <v>0</v>
      </c>
      <c r="I764" t="n">
        <v>0</v>
      </c>
      <c r="J764" t="n">
        <v>0</v>
      </c>
      <c r="K764" t="n">
        <v>0</v>
      </c>
      <c r="L764" t="n">
        <v>0</v>
      </c>
      <c r="M764" t="n">
        <v>0</v>
      </c>
      <c r="N764" t="n">
        <v>0</v>
      </c>
      <c r="O764" t="n">
        <v>0</v>
      </c>
      <c r="P764" t="n">
        <v>0</v>
      </c>
      <c r="Q764" t="n">
        <v>0</v>
      </c>
      <c r="R764" s="2" t="inlineStr"/>
    </row>
    <row r="765" ht="15" customHeight="1">
      <c r="A765" t="inlineStr">
        <is>
          <t>A 61873-2023</t>
        </is>
      </c>
      <c r="B765" s="1" t="n">
        <v>45266.40989583333</v>
      </c>
      <c r="C765" s="1" t="n">
        <v>45928</v>
      </c>
      <c r="D765" t="inlineStr">
        <is>
          <t>VÄRMLANDS LÄN</t>
        </is>
      </c>
      <c r="E765" t="inlineStr">
        <is>
          <t>ÅRJÄNG</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43040-2023</t>
        </is>
      </c>
      <c r="B766" s="1" t="n">
        <v>45182.68716435185</v>
      </c>
      <c r="C766" s="1" t="n">
        <v>45928</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8232-2025</t>
        </is>
      </c>
      <c r="B767" s="1" t="n">
        <v>45708.47144675926</v>
      </c>
      <c r="C767" s="1" t="n">
        <v>45928</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12687-2025</t>
        </is>
      </c>
      <c r="B768" s="1" t="n">
        <v>45733.44953703704</v>
      </c>
      <c r="C768" s="1" t="n">
        <v>45928</v>
      </c>
      <c r="D768" t="inlineStr">
        <is>
          <t>VÄRMLANDS LÄN</t>
        </is>
      </c>
      <c r="E768" t="inlineStr">
        <is>
          <t>ÅRJÄNG</t>
        </is>
      </c>
      <c r="G768" t="n">
        <v>3.2</v>
      </c>
      <c r="H768" t="n">
        <v>0</v>
      </c>
      <c r="I768" t="n">
        <v>0</v>
      </c>
      <c r="J768" t="n">
        <v>0</v>
      </c>
      <c r="K768" t="n">
        <v>0</v>
      </c>
      <c r="L768" t="n">
        <v>0</v>
      </c>
      <c r="M768" t="n">
        <v>0</v>
      </c>
      <c r="N768" t="n">
        <v>0</v>
      </c>
      <c r="O768" t="n">
        <v>0</v>
      </c>
      <c r="P768" t="n">
        <v>0</v>
      </c>
      <c r="Q768" t="n">
        <v>0</v>
      </c>
      <c r="R768" s="2" t="inlineStr"/>
    </row>
    <row r="769" ht="15" customHeight="1">
      <c r="A769" t="inlineStr">
        <is>
          <t>A 28260-2024</t>
        </is>
      </c>
      <c r="B769" s="1" t="n">
        <v>45477</v>
      </c>
      <c r="C769" s="1" t="n">
        <v>45928</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1560-2025</t>
        </is>
      </c>
      <c r="B770" s="1" t="n">
        <v>45670.53878472222</v>
      </c>
      <c r="C770" s="1" t="n">
        <v>45928</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10510-2023</t>
        </is>
      </c>
      <c r="B771" s="1" t="n">
        <v>44987.73665509259</v>
      </c>
      <c r="C771" s="1" t="n">
        <v>45928</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30710-2023</t>
        </is>
      </c>
      <c r="B772" s="1" t="n">
        <v>45112.59900462963</v>
      </c>
      <c r="C772" s="1" t="n">
        <v>45928</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8255-2025</t>
        </is>
      </c>
      <c r="B773" s="1" t="n">
        <v>45708.49788194444</v>
      </c>
      <c r="C773" s="1" t="n">
        <v>45928</v>
      </c>
      <c r="D773" t="inlineStr">
        <is>
          <t>VÄRMLANDS LÄN</t>
        </is>
      </c>
      <c r="E773" t="inlineStr">
        <is>
          <t>ÅRJÄNG</t>
        </is>
      </c>
      <c r="G773" t="n">
        <v>4</v>
      </c>
      <c r="H773" t="n">
        <v>0</v>
      </c>
      <c r="I773" t="n">
        <v>0</v>
      </c>
      <c r="J773" t="n">
        <v>0</v>
      </c>
      <c r="K773" t="n">
        <v>0</v>
      </c>
      <c r="L773" t="n">
        <v>0</v>
      </c>
      <c r="M773" t="n">
        <v>0</v>
      </c>
      <c r="N773" t="n">
        <v>0</v>
      </c>
      <c r="O773" t="n">
        <v>0</v>
      </c>
      <c r="P773" t="n">
        <v>0</v>
      </c>
      <c r="Q773" t="n">
        <v>0</v>
      </c>
      <c r="R773" s="2" t="inlineStr"/>
    </row>
    <row r="774" ht="15" customHeight="1">
      <c r="A774" t="inlineStr">
        <is>
          <t>A 3458-2025</t>
        </is>
      </c>
      <c r="B774" s="1" t="n">
        <v>45680.48917824074</v>
      </c>
      <c r="C774" s="1" t="n">
        <v>45928</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3479-2025</t>
        </is>
      </c>
      <c r="B775" s="1" t="n">
        <v>45680.53805555555</v>
      </c>
      <c r="C775" s="1" t="n">
        <v>45928</v>
      </c>
      <c r="D775" t="inlineStr">
        <is>
          <t>VÄRMLANDS LÄN</t>
        </is>
      </c>
      <c r="E775" t="inlineStr">
        <is>
          <t>ÅRJÄNG</t>
        </is>
      </c>
      <c r="G775" t="n">
        <v>2.2</v>
      </c>
      <c r="H775" t="n">
        <v>0</v>
      </c>
      <c r="I775" t="n">
        <v>0</v>
      </c>
      <c r="J775" t="n">
        <v>0</v>
      </c>
      <c r="K775" t="n">
        <v>0</v>
      </c>
      <c r="L775" t="n">
        <v>0</v>
      </c>
      <c r="M775" t="n">
        <v>0</v>
      </c>
      <c r="N775" t="n">
        <v>0</v>
      </c>
      <c r="O775" t="n">
        <v>0</v>
      </c>
      <c r="P775" t="n">
        <v>0</v>
      </c>
      <c r="Q775" t="n">
        <v>0</v>
      </c>
      <c r="R775" s="2" t="inlineStr"/>
    </row>
    <row r="776" ht="15" customHeight="1">
      <c r="A776" t="inlineStr">
        <is>
          <t>A 10574-2023</t>
        </is>
      </c>
      <c r="B776" s="1" t="n">
        <v>44984</v>
      </c>
      <c r="C776" s="1" t="n">
        <v>45928</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62901-2021</t>
        </is>
      </c>
      <c r="B777" s="1" t="n">
        <v>44504</v>
      </c>
      <c r="C777" s="1" t="n">
        <v>45928</v>
      </c>
      <c r="D777" t="inlineStr">
        <is>
          <t>VÄRMLANDS LÄN</t>
        </is>
      </c>
      <c r="E777" t="inlineStr">
        <is>
          <t>ÅRJÄNG</t>
        </is>
      </c>
      <c r="G777" t="n">
        <v>0.5</v>
      </c>
      <c r="H777" t="n">
        <v>0</v>
      </c>
      <c r="I777" t="n">
        <v>0</v>
      </c>
      <c r="J777" t="n">
        <v>0</v>
      </c>
      <c r="K777" t="n">
        <v>0</v>
      </c>
      <c r="L777" t="n">
        <v>0</v>
      </c>
      <c r="M777" t="n">
        <v>0</v>
      </c>
      <c r="N777" t="n">
        <v>0</v>
      </c>
      <c r="O777" t="n">
        <v>0</v>
      </c>
      <c r="P777" t="n">
        <v>0</v>
      </c>
      <c r="Q777" t="n">
        <v>0</v>
      </c>
      <c r="R777" s="2" t="inlineStr"/>
    </row>
    <row r="778" ht="15" customHeight="1">
      <c r="A778" t="inlineStr">
        <is>
          <t>A 34409-2023</t>
        </is>
      </c>
      <c r="B778" s="1" t="n">
        <v>45139.56662037037</v>
      </c>
      <c r="C778" s="1" t="n">
        <v>45928</v>
      </c>
      <c r="D778" t="inlineStr">
        <is>
          <t>VÄRMLANDS LÄN</t>
        </is>
      </c>
      <c r="E778" t="inlineStr">
        <is>
          <t>ÅRJÄNG</t>
        </is>
      </c>
      <c r="G778" t="n">
        <v>4.6</v>
      </c>
      <c r="H778" t="n">
        <v>0</v>
      </c>
      <c r="I778" t="n">
        <v>0</v>
      </c>
      <c r="J778" t="n">
        <v>0</v>
      </c>
      <c r="K778" t="n">
        <v>0</v>
      </c>
      <c r="L778" t="n">
        <v>0</v>
      </c>
      <c r="M778" t="n">
        <v>0</v>
      </c>
      <c r="N778" t="n">
        <v>0</v>
      </c>
      <c r="O778" t="n">
        <v>0</v>
      </c>
      <c r="P778" t="n">
        <v>0</v>
      </c>
      <c r="Q778" t="n">
        <v>0</v>
      </c>
      <c r="R778" s="2" t="inlineStr"/>
    </row>
    <row r="779" ht="15" customHeight="1">
      <c r="A779" t="inlineStr">
        <is>
          <t>A 15730-2023</t>
        </is>
      </c>
      <c r="B779" s="1" t="n">
        <v>45021</v>
      </c>
      <c r="C779" s="1" t="n">
        <v>45928</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33831-2023</t>
        </is>
      </c>
      <c r="B780" s="1" t="n">
        <v>45121</v>
      </c>
      <c r="C780" s="1" t="n">
        <v>45928</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2222-2023</t>
        </is>
      </c>
      <c r="B781" s="1" t="n">
        <v>44942.4250462963</v>
      </c>
      <c r="C781" s="1" t="n">
        <v>45928</v>
      </c>
      <c r="D781" t="inlineStr">
        <is>
          <t>VÄRMLANDS LÄN</t>
        </is>
      </c>
      <c r="E781" t="inlineStr">
        <is>
          <t>ÅRJÄNG</t>
        </is>
      </c>
      <c r="G781" t="n">
        <v>5.7</v>
      </c>
      <c r="H781" t="n">
        <v>0</v>
      </c>
      <c r="I781" t="n">
        <v>0</v>
      </c>
      <c r="J781" t="n">
        <v>0</v>
      </c>
      <c r="K781" t="n">
        <v>0</v>
      </c>
      <c r="L781" t="n">
        <v>0</v>
      </c>
      <c r="M781" t="n">
        <v>0</v>
      </c>
      <c r="N781" t="n">
        <v>0</v>
      </c>
      <c r="O781" t="n">
        <v>0</v>
      </c>
      <c r="P781" t="n">
        <v>0</v>
      </c>
      <c r="Q781" t="n">
        <v>0</v>
      </c>
      <c r="R781" s="2" t="inlineStr"/>
    </row>
    <row r="782" ht="15" customHeight="1">
      <c r="A782" t="inlineStr">
        <is>
          <t>A 59070-2024</t>
        </is>
      </c>
      <c r="B782" s="1" t="n">
        <v>45636.95711805556</v>
      </c>
      <c r="C782" s="1" t="n">
        <v>45928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29263-2023</t>
        </is>
      </c>
      <c r="B783" s="1" t="n">
        <v>45105</v>
      </c>
      <c r="C783" s="1" t="n">
        <v>45928</v>
      </c>
      <c r="D783" t="inlineStr">
        <is>
          <t>VÄRMLANDS LÄN</t>
        </is>
      </c>
      <c r="E783" t="inlineStr">
        <is>
          <t>ÅRJÄNG</t>
        </is>
      </c>
      <c r="G783" t="n">
        <v>2.5</v>
      </c>
      <c r="H783" t="n">
        <v>0</v>
      </c>
      <c r="I783" t="n">
        <v>0</v>
      </c>
      <c r="J783" t="n">
        <v>0</v>
      </c>
      <c r="K783" t="n">
        <v>0</v>
      </c>
      <c r="L783" t="n">
        <v>0</v>
      </c>
      <c r="M783" t="n">
        <v>0</v>
      </c>
      <c r="N783" t="n">
        <v>0</v>
      </c>
      <c r="O783" t="n">
        <v>0</v>
      </c>
      <c r="P783" t="n">
        <v>0</v>
      </c>
      <c r="Q783" t="n">
        <v>0</v>
      </c>
      <c r="R783" s="2" t="inlineStr"/>
    </row>
    <row r="784" ht="15" customHeight="1">
      <c r="A784" t="inlineStr">
        <is>
          <t>A 29603-2024</t>
        </is>
      </c>
      <c r="B784" s="1" t="n">
        <v>45484</v>
      </c>
      <c r="C784" s="1" t="n">
        <v>45928</v>
      </c>
      <c r="D784" t="inlineStr">
        <is>
          <t>VÄRMLANDS LÄN</t>
        </is>
      </c>
      <c r="E784" t="inlineStr">
        <is>
          <t>ÅRJÄNG</t>
        </is>
      </c>
      <c r="G784" t="n">
        <v>7.5</v>
      </c>
      <c r="H784" t="n">
        <v>0</v>
      </c>
      <c r="I784" t="n">
        <v>0</v>
      </c>
      <c r="J784" t="n">
        <v>0</v>
      </c>
      <c r="K784" t="n">
        <v>0</v>
      </c>
      <c r="L784" t="n">
        <v>0</v>
      </c>
      <c r="M784" t="n">
        <v>0</v>
      </c>
      <c r="N784" t="n">
        <v>0</v>
      </c>
      <c r="O784" t="n">
        <v>0</v>
      </c>
      <c r="P784" t="n">
        <v>0</v>
      </c>
      <c r="Q784" t="n">
        <v>0</v>
      </c>
      <c r="R784" s="2" t="inlineStr"/>
    </row>
    <row r="785" ht="15" customHeight="1">
      <c r="A785" t="inlineStr">
        <is>
          <t>A 4404-2025</t>
        </is>
      </c>
      <c r="B785" s="1" t="n">
        <v>45686</v>
      </c>
      <c r="C785" s="1" t="n">
        <v>45928</v>
      </c>
      <c r="D785" t="inlineStr">
        <is>
          <t>VÄRMLANDS LÄN</t>
        </is>
      </c>
      <c r="E785" t="inlineStr">
        <is>
          <t>ÅRJÄNG</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28115-2025</t>
        </is>
      </c>
      <c r="B786" s="1" t="n">
        <v>45818</v>
      </c>
      <c r="C786" s="1" t="n">
        <v>45928</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4088-2025</t>
        </is>
      </c>
      <c r="B787" s="1" t="n">
        <v>45684.66329861111</v>
      </c>
      <c r="C787" s="1" t="n">
        <v>45928</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45928</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19877-2025</t>
        </is>
      </c>
      <c r="B789" s="1" t="n">
        <v>45771.55351851852</v>
      </c>
      <c r="C789" s="1" t="n">
        <v>45928</v>
      </c>
      <c r="D789" t="inlineStr">
        <is>
          <t>VÄRMLANDS LÄN</t>
        </is>
      </c>
      <c r="E789" t="inlineStr">
        <is>
          <t>ÅRJÄNG</t>
        </is>
      </c>
      <c r="G789" t="n">
        <v>6.3</v>
      </c>
      <c r="H789" t="n">
        <v>0</v>
      </c>
      <c r="I789" t="n">
        <v>0</v>
      </c>
      <c r="J789" t="n">
        <v>0</v>
      </c>
      <c r="K789" t="n">
        <v>0</v>
      </c>
      <c r="L789" t="n">
        <v>0</v>
      </c>
      <c r="M789" t="n">
        <v>0</v>
      </c>
      <c r="N789" t="n">
        <v>0</v>
      </c>
      <c r="O789" t="n">
        <v>0</v>
      </c>
      <c r="P789" t="n">
        <v>0</v>
      </c>
      <c r="Q789" t="n">
        <v>0</v>
      </c>
      <c r="R789" s="2" t="inlineStr"/>
    </row>
    <row r="790" ht="15" customHeight="1">
      <c r="A790" t="inlineStr">
        <is>
          <t>A 15546-2025</t>
        </is>
      </c>
      <c r="B790" s="1" t="n">
        <v>45747</v>
      </c>
      <c r="C790" s="1" t="n">
        <v>45928</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20354-2023</t>
        </is>
      </c>
      <c r="B791" s="1" t="n">
        <v>45056</v>
      </c>
      <c r="C791" s="1" t="n">
        <v>45928</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7660-2025</t>
        </is>
      </c>
      <c r="B792" s="1" t="n">
        <v>45706.32505787037</v>
      </c>
      <c r="C792" s="1" t="n">
        <v>45928</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52278-2023</t>
        </is>
      </c>
      <c r="B793" s="1" t="n">
        <v>45224.57358796296</v>
      </c>
      <c r="C793" s="1" t="n">
        <v>45928</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48130-2023</t>
        </is>
      </c>
      <c r="B794" s="1" t="n">
        <v>45201</v>
      </c>
      <c r="C794" s="1" t="n">
        <v>45928</v>
      </c>
      <c r="D794" t="inlineStr">
        <is>
          <t>VÄRMLANDS LÄN</t>
        </is>
      </c>
      <c r="E794" t="inlineStr">
        <is>
          <t>ÅRJÄNG</t>
        </is>
      </c>
      <c r="G794" t="n">
        <v>3</v>
      </c>
      <c r="H794" t="n">
        <v>0</v>
      </c>
      <c r="I794" t="n">
        <v>0</v>
      </c>
      <c r="J794" t="n">
        <v>0</v>
      </c>
      <c r="K794" t="n">
        <v>0</v>
      </c>
      <c r="L794" t="n">
        <v>0</v>
      </c>
      <c r="M794" t="n">
        <v>0</v>
      </c>
      <c r="N794" t="n">
        <v>0</v>
      </c>
      <c r="O794" t="n">
        <v>0</v>
      </c>
      <c r="P794" t="n">
        <v>0</v>
      </c>
      <c r="Q794" t="n">
        <v>0</v>
      </c>
      <c r="R794" s="2" t="inlineStr"/>
    </row>
    <row r="795" ht="15" customHeight="1">
      <c r="A795" t="inlineStr">
        <is>
          <t>A 8918-2025</t>
        </is>
      </c>
      <c r="B795" s="1" t="n">
        <v>45713.43067129629</v>
      </c>
      <c r="C795" s="1" t="n">
        <v>45928</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9425-2025</t>
        </is>
      </c>
      <c r="B796" s="1" t="n">
        <v>45715.40350694444</v>
      </c>
      <c r="C796" s="1" t="n">
        <v>45928</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6522-2021</t>
        </is>
      </c>
      <c r="B797" s="1" t="n">
        <v>44236</v>
      </c>
      <c r="C797" s="1" t="n">
        <v>45928</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36641-2021</t>
        </is>
      </c>
      <c r="B798" s="1" t="n">
        <v>44392.31038194444</v>
      </c>
      <c r="C798" s="1" t="n">
        <v>45928</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13481-2025</t>
        </is>
      </c>
      <c r="B799" s="1" t="n">
        <v>45736</v>
      </c>
      <c r="C799" s="1" t="n">
        <v>45928</v>
      </c>
      <c r="D799" t="inlineStr">
        <is>
          <t>VÄRMLANDS LÄN</t>
        </is>
      </c>
      <c r="E799" t="inlineStr">
        <is>
          <t>ÅRJÄNG</t>
        </is>
      </c>
      <c r="G799" t="n">
        <v>5.2</v>
      </c>
      <c r="H799" t="n">
        <v>0</v>
      </c>
      <c r="I799" t="n">
        <v>0</v>
      </c>
      <c r="J799" t="n">
        <v>0</v>
      </c>
      <c r="K799" t="n">
        <v>0</v>
      </c>
      <c r="L799" t="n">
        <v>0</v>
      </c>
      <c r="M799" t="n">
        <v>0</v>
      </c>
      <c r="N799" t="n">
        <v>0</v>
      </c>
      <c r="O799" t="n">
        <v>0</v>
      </c>
      <c r="P799" t="n">
        <v>0</v>
      </c>
      <c r="Q799" t="n">
        <v>0</v>
      </c>
      <c r="R799" s="2" t="inlineStr"/>
    </row>
    <row r="800" ht="15" customHeight="1">
      <c r="A800" t="inlineStr">
        <is>
          <t>A 27001-2021</t>
        </is>
      </c>
      <c r="B800" s="1" t="n">
        <v>44350.35271990741</v>
      </c>
      <c r="C800" s="1" t="n">
        <v>45928</v>
      </c>
      <c r="D800" t="inlineStr">
        <is>
          <t>VÄRMLANDS LÄN</t>
        </is>
      </c>
      <c r="E800" t="inlineStr">
        <is>
          <t>ÅRJÄNG</t>
        </is>
      </c>
      <c r="G800" t="n">
        <v>3.7</v>
      </c>
      <c r="H800" t="n">
        <v>0</v>
      </c>
      <c r="I800" t="n">
        <v>0</v>
      </c>
      <c r="J800" t="n">
        <v>0</v>
      </c>
      <c r="K800" t="n">
        <v>0</v>
      </c>
      <c r="L800" t="n">
        <v>0</v>
      </c>
      <c r="M800" t="n">
        <v>0</v>
      </c>
      <c r="N800" t="n">
        <v>0</v>
      </c>
      <c r="O800" t="n">
        <v>0</v>
      </c>
      <c r="P800" t="n">
        <v>0</v>
      </c>
      <c r="Q800" t="n">
        <v>0</v>
      </c>
      <c r="R800" s="2" t="inlineStr"/>
    </row>
    <row r="801" ht="15" customHeight="1">
      <c r="A801" t="inlineStr">
        <is>
          <t>A 42576-2021</t>
        </is>
      </c>
      <c r="B801" s="1" t="n">
        <v>44428</v>
      </c>
      <c r="C801" s="1" t="n">
        <v>45928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33525-2022</t>
        </is>
      </c>
      <c r="B802" s="1" t="n">
        <v>44789.31077546296</v>
      </c>
      <c r="C802" s="1" t="n">
        <v>45928</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5416-2025</t>
        </is>
      </c>
      <c r="B803" s="1" t="n">
        <v>45692.67990740741</v>
      </c>
      <c r="C803" s="1" t="n">
        <v>45928</v>
      </c>
      <c r="D803" t="inlineStr">
        <is>
          <t>VÄRMLANDS LÄN</t>
        </is>
      </c>
      <c r="E803" t="inlineStr">
        <is>
          <t>ÅRJÄNG</t>
        </is>
      </c>
      <c r="G803" t="n">
        <v>2.7</v>
      </c>
      <c r="H803" t="n">
        <v>0</v>
      </c>
      <c r="I803" t="n">
        <v>0</v>
      </c>
      <c r="J803" t="n">
        <v>0</v>
      </c>
      <c r="K803" t="n">
        <v>0</v>
      </c>
      <c r="L803" t="n">
        <v>0</v>
      </c>
      <c r="M803" t="n">
        <v>0</v>
      </c>
      <c r="N803" t="n">
        <v>0</v>
      </c>
      <c r="O803" t="n">
        <v>0</v>
      </c>
      <c r="P803" t="n">
        <v>0</v>
      </c>
      <c r="Q803" t="n">
        <v>0</v>
      </c>
      <c r="R803" s="2" t="inlineStr"/>
    </row>
    <row r="804" ht="15" customHeight="1">
      <c r="A804" t="inlineStr">
        <is>
          <t>A 4763-2023</t>
        </is>
      </c>
      <c r="B804" s="1" t="n">
        <v>44957.57651620371</v>
      </c>
      <c r="C804" s="1" t="n">
        <v>45928</v>
      </c>
      <c r="D804" t="inlineStr">
        <is>
          <t>VÄRMLANDS LÄN</t>
        </is>
      </c>
      <c r="E804" t="inlineStr">
        <is>
          <t>ÅRJÄNG</t>
        </is>
      </c>
      <c r="G804" t="n">
        <v>0.8</v>
      </c>
      <c r="H804" t="n">
        <v>0</v>
      </c>
      <c r="I804" t="n">
        <v>0</v>
      </c>
      <c r="J804" t="n">
        <v>0</v>
      </c>
      <c r="K804" t="n">
        <v>0</v>
      </c>
      <c r="L804" t="n">
        <v>0</v>
      </c>
      <c r="M804" t="n">
        <v>0</v>
      </c>
      <c r="N804" t="n">
        <v>0</v>
      </c>
      <c r="O804" t="n">
        <v>0</v>
      </c>
      <c r="P804" t="n">
        <v>0</v>
      </c>
      <c r="Q804" t="n">
        <v>0</v>
      </c>
      <c r="R804" s="2" t="inlineStr"/>
    </row>
    <row r="805" ht="15" customHeight="1">
      <c r="A805" t="inlineStr">
        <is>
          <t>A 21996-2021</t>
        </is>
      </c>
      <c r="B805" s="1" t="n">
        <v>44323</v>
      </c>
      <c r="C805" s="1" t="n">
        <v>45928</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7877-2025</t>
        </is>
      </c>
      <c r="B806" s="1" t="n">
        <v>45706.76609953704</v>
      </c>
      <c r="C806" s="1" t="n">
        <v>45928</v>
      </c>
      <c r="D806" t="inlineStr">
        <is>
          <t>VÄRMLANDS LÄN</t>
        </is>
      </c>
      <c r="E806" t="inlineStr">
        <is>
          <t>ÅRJÄNG</t>
        </is>
      </c>
      <c r="G806" t="n">
        <v>2.8</v>
      </c>
      <c r="H806" t="n">
        <v>0</v>
      </c>
      <c r="I806" t="n">
        <v>0</v>
      </c>
      <c r="J806" t="n">
        <v>0</v>
      </c>
      <c r="K806" t="n">
        <v>0</v>
      </c>
      <c r="L806" t="n">
        <v>0</v>
      </c>
      <c r="M806" t="n">
        <v>0</v>
      </c>
      <c r="N806" t="n">
        <v>0</v>
      </c>
      <c r="O806" t="n">
        <v>0</v>
      </c>
      <c r="P806" t="n">
        <v>0</v>
      </c>
      <c r="Q806" t="n">
        <v>0</v>
      </c>
      <c r="R806" s="2" t="inlineStr"/>
    </row>
    <row r="807" ht="15" customHeight="1">
      <c r="A807" t="inlineStr">
        <is>
          <t>A 48014-2023</t>
        </is>
      </c>
      <c r="B807" s="1" t="n">
        <v>45198</v>
      </c>
      <c r="C807" s="1" t="n">
        <v>45928</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11815-2025</t>
        </is>
      </c>
      <c r="B808" s="1" t="n">
        <v>45728.28719907408</v>
      </c>
      <c r="C808" s="1" t="n">
        <v>45928</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19843-2025</t>
        </is>
      </c>
      <c r="B809" s="1" t="n">
        <v>45771</v>
      </c>
      <c r="C809" s="1" t="n">
        <v>45928</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15165-2025</t>
        </is>
      </c>
      <c r="B810" s="1" t="n">
        <v>45744.48599537037</v>
      </c>
      <c r="C810" s="1" t="n">
        <v>45928</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19242-2025</t>
        </is>
      </c>
      <c r="B811" s="1" t="n">
        <v>45769.47761574074</v>
      </c>
      <c r="C811" s="1" t="n">
        <v>45928</v>
      </c>
      <c r="D811" t="inlineStr">
        <is>
          <t>VÄRMLANDS LÄN</t>
        </is>
      </c>
      <c r="E811" t="inlineStr">
        <is>
          <t>ÅRJÄNG</t>
        </is>
      </c>
      <c r="G811" t="n">
        <v>17.5</v>
      </c>
      <c r="H811" t="n">
        <v>0</v>
      </c>
      <c r="I811" t="n">
        <v>0</v>
      </c>
      <c r="J811" t="n">
        <v>0</v>
      </c>
      <c r="K811" t="n">
        <v>0</v>
      </c>
      <c r="L811" t="n">
        <v>0</v>
      </c>
      <c r="M811" t="n">
        <v>0</v>
      </c>
      <c r="N811" t="n">
        <v>0</v>
      </c>
      <c r="O811" t="n">
        <v>0</v>
      </c>
      <c r="P811" t="n">
        <v>0</v>
      </c>
      <c r="Q811" t="n">
        <v>0</v>
      </c>
      <c r="R811" s="2" t="inlineStr"/>
    </row>
    <row r="812" ht="15" customHeight="1">
      <c r="A812" t="inlineStr">
        <is>
          <t>A 55377-2024</t>
        </is>
      </c>
      <c r="B812" s="1" t="n">
        <v>45621.9885300926</v>
      </c>
      <c r="C812" s="1" t="n">
        <v>45928</v>
      </c>
      <c r="D812" t="inlineStr">
        <is>
          <t>VÄRMLANDS LÄN</t>
        </is>
      </c>
      <c r="E812" t="inlineStr">
        <is>
          <t>ÅRJÄNG</t>
        </is>
      </c>
      <c r="G812" t="n">
        <v>2.5</v>
      </c>
      <c r="H812" t="n">
        <v>0</v>
      </c>
      <c r="I812" t="n">
        <v>0</v>
      </c>
      <c r="J812" t="n">
        <v>0</v>
      </c>
      <c r="K812" t="n">
        <v>0</v>
      </c>
      <c r="L812" t="n">
        <v>0</v>
      </c>
      <c r="M812" t="n">
        <v>0</v>
      </c>
      <c r="N812" t="n">
        <v>0</v>
      </c>
      <c r="O812" t="n">
        <v>0</v>
      </c>
      <c r="P812" t="n">
        <v>0</v>
      </c>
      <c r="Q812" t="n">
        <v>0</v>
      </c>
      <c r="R812" s="2" t="inlineStr"/>
    </row>
    <row r="813" ht="15" customHeight="1">
      <c r="A813" t="inlineStr">
        <is>
          <t>A 10681-2024</t>
        </is>
      </c>
      <c r="B813" s="1" t="n">
        <v>45369.36349537037</v>
      </c>
      <c r="C813" s="1" t="n">
        <v>45928</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16977-2025</t>
        </is>
      </c>
      <c r="B814" s="1" t="n">
        <v>45755.47517361111</v>
      </c>
      <c r="C814" s="1" t="n">
        <v>45928</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11718-2024</t>
        </is>
      </c>
      <c r="B815" s="1" t="n">
        <v>45373.63803240741</v>
      </c>
      <c r="C815" s="1" t="n">
        <v>45928</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51493-2023</t>
        </is>
      </c>
      <c r="B816" s="1" t="n">
        <v>45215</v>
      </c>
      <c r="C816" s="1" t="n">
        <v>45928</v>
      </c>
      <c r="D816" t="inlineStr">
        <is>
          <t>VÄRMLANDS LÄN</t>
        </is>
      </c>
      <c r="E816" t="inlineStr">
        <is>
          <t>ÅRJÄNG</t>
        </is>
      </c>
      <c r="F816" t="inlineStr">
        <is>
          <t>Övriga Aktiebolag</t>
        </is>
      </c>
      <c r="G816" t="n">
        <v>9.1</v>
      </c>
      <c r="H816" t="n">
        <v>0</v>
      </c>
      <c r="I816" t="n">
        <v>0</v>
      </c>
      <c r="J816" t="n">
        <v>0</v>
      </c>
      <c r="K816" t="n">
        <v>0</v>
      </c>
      <c r="L816" t="n">
        <v>0</v>
      </c>
      <c r="M816" t="n">
        <v>0</v>
      </c>
      <c r="N816" t="n">
        <v>0</v>
      </c>
      <c r="O816" t="n">
        <v>0</v>
      </c>
      <c r="P816" t="n">
        <v>0</v>
      </c>
      <c r="Q816" t="n">
        <v>0</v>
      </c>
      <c r="R816" s="2" t="inlineStr"/>
    </row>
    <row r="817" ht="15" customHeight="1">
      <c r="A817" t="inlineStr">
        <is>
          <t>A 58769-2024</t>
        </is>
      </c>
      <c r="B817" s="1" t="n">
        <v>45635.75688657408</v>
      </c>
      <c r="C817" s="1" t="n">
        <v>45928</v>
      </c>
      <c r="D817" t="inlineStr">
        <is>
          <t>VÄRMLANDS LÄN</t>
        </is>
      </c>
      <c r="E817" t="inlineStr">
        <is>
          <t>ÅRJÄNG</t>
        </is>
      </c>
      <c r="G817" t="n">
        <v>1.3</v>
      </c>
      <c r="H817" t="n">
        <v>0</v>
      </c>
      <c r="I817" t="n">
        <v>0</v>
      </c>
      <c r="J817" t="n">
        <v>0</v>
      </c>
      <c r="K817" t="n">
        <v>0</v>
      </c>
      <c r="L817" t="n">
        <v>0</v>
      </c>
      <c r="M817" t="n">
        <v>0</v>
      </c>
      <c r="N817" t="n">
        <v>0</v>
      </c>
      <c r="O817" t="n">
        <v>0</v>
      </c>
      <c r="P817" t="n">
        <v>0</v>
      </c>
      <c r="Q817" t="n">
        <v>0</v>
      </c>
      <c r="R817" s="2" t="inlineStr"/>
    </row>
    <row r="818" ht="15" customHeight="1">
      <c r="A818" t="inlineStr">
        <is>
          <t>A 18309-2025</t>
        </is>
      </c>
      <c r="B818" s="1" t="n">
        <v>45762.44186342593</v>
      </c>
      <c r="C818" s="1" t="n">
        <v>45928</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3463-2025</t>
        </is>
      </c>
      <c r="B819" s="1" t="n">
        <v>45680.49807870371</v>
      </c>
      <c r="C819" s="1" t="n">
        <v>45928</v>
      </c>
      <c r="D819" t="inlineStr">
        <is>
          <t>VÄRMLANDS LÄN</t>
        </is>
      </c>
      <c r="E819" t="inlineStr">
        <is>
          <t>ÅRJÄNG</t>
        </is>
      </c>
      <c r="G819" t="n">
        <v>0.8</v>
      </c>
      <c r="H819" t="n">
        <v>0</v>
      </c>
      <c r="I819" t="n">
        <v>0</v>
      </c>
      <c r="J819" t="n">
        <v>0</v>
      </c>
      <c r="K819" t="n">
        <v>0</v>
      </c>
      <c r="L819" t="n">
        <v>0</v>
      </c>
      <c r="M819" t="n">
        <v>0</v>
      </c>
      <c r="N819" t="n">
        <v>0</v>
      </c>
      <c r="O819" t="n">
        <v>0</v>
      </c>
      <c r="P819" t="n">
        <v>0</v>
      </c>
      <c r="Q819" t="n">
        <v>0</v>
      </c>
      <c r="R819" s="2" t="inlineStr"/>
    </row>
    <row r="820" ht="15" customHeight="1">
      <c r="A820" t="inlineStr">
        <is>
          <t>A 54900-2024</t>
        </is>
      </c>
      <c r="B820" s="1" t="n">
        <v>45618.64770833333</v>
      </c>
      <c r="C820" s="1" t="n">
        <v>45928</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48781-2024</t>
        </is>
      </c>
      <c r="B821" s="1" t="n">
        <v>45593</v>
      </c>
      <c r="C821" s="1" t="n">
        <v>45928</v>
      </c>
      <c r="D821" t="inlineStr">
        <is>
          <t>VÄRMLANDS LÄN</t>
        </is>
      </c>
      <c r="E821" t="inlineStr">
        <is>
          <t>ÅRJÄNG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23940-2023</t>
        </is>
      </c>
      <c r="B822" s="1" t="n">
        <v>45075</v>
      </c>
      <c r="C822" s="1" t="n">
        <v>45928</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39536-2022</t>
        </is>
      </c>
      <c r="B823" s="1" t="n">
        <v>44818</v>
      </c>
      <c r="C823" s="1" t="n">
        <v>45928</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14917-2025</t>
        </is>
      </c>
      <c r="B824" s="1" t="n">
        <v>45743.53748842593</v>
      </c>
      <c r="C824" s="1" t="n">
        <v>45928</v>
      </c>
      <c r="D824" t="inlineStr">
        <is>
          <t>VÄRMLANDS LÄN</t>
        </is>
      </c>
      <c r="E824" t="inlineStr">
        <is>
          <t>ÅRJÄNG</t>
        </is>
      </c>
      <c r="G824" t="n">
        <v>2.2</v>
      </c>
      <c r="H824" t="n">
        <v>0</v>
      </c>
      <c r="I824" t="n">
        <v>0</v>
      </c>
      <c r="J824" t="n">
        <v>0</v>
      </c>
      <c r="K824" t="n">
        <v>0</v>
      </c>
      <c r="L824" t="n">
        <v>0</v>
      </c>
      <c r="M824" t="n">
        <v>0</v>
      </c>
      <c r="N824" t="n">
        <v>0</v>
      </c>
      <c r="O824" t="n">
        <v>0</v>
      </c>
      <c r="P824" t="n">
        <v>0</v>
      </c>
      <c r="Q824" t="n">
        <v>0</v>
      </c>
      <c r="R824" s="2" t="inlineStr"/>
    </row>
    <row r="825" ht="15" customHeight="1">
      <c r="A825" t="inlineStr">
        <is>
          <t>A 5095-2022</t>
        </is>
      </c>
      <c r="B825" s="1" t="n">
        <v>44593.86192129629</v>
      </c>
      <c r="C825" s="1" t="n">
        <v>45928</v>
      </c>
      <c r="D825" t="inlineStr">
        <is>
          <t>VÄRMLANDS LÄN</t>
        </is>
      </c>
      <c r="E825" t="inlineStr">
        <is>
          <t>ÅRJÄNG</t>
        </is>
      </c>
      <c r="G825" t="n">
        <v>3.3</v>
      </c>
      <c r="H825" t="n">
        <v>0</v>
      </c>
      <c r="I825" t="n">
        <v>0</v>
      </c>
      <c r="J825" t="n">
        <v>0</v>
      </c>
      <c r="K825" t="n">
        <v>0</v>
      </c>
      <c r="L825" t="n">
        <v>0</v>
      </c>
      <c r="M825" t="n">
        <v>0</v>
      </c>
      <c r="N825" t="n">
        <v>0</v>
      </c>
      <c r="O825" t="n">
        <v>0</v>
      </c>
      <c r="P825" t="n">
        <v>0</v>
      </c>
      <c r="Q825" t="n">
        <v>0</v>
      </c>
      <c r="R825" s="2" t="inlineStr"/>
    </row>
    <row r="826" ht="15" customHeight="1">
      <c r="A826" t="inlineStr">
        <is>
          <t>A 54950-2022</t>
        </is>
      </c>
      <c r="B826" s="1" t="n">
        <v>44886</v>
      </c>
      <c r="C826" s="1" t="n">
        <v>45928</v>
      </c>
      <c r="D826" t="inlineStr">
        <is>
          <t>VÄRMLANDS LÄN</t>
        </is>
      </c>
      <c r="E826" t="inlineStr">
        <is>
          <t>ÅRJÄNG</t>
        </is>
      </c>
      <c r="G826" t="n">
        <v>13</v>
      </c>
      <c r="H826" t="n">
        <v>0</v>
      </c>
      <c r="I826" t="n">
        <v>0</v>
      </c>
      <c r="J826" t="n">
        <v>0</v>
      </c>
      <c r="K826" t="n">
        <v>0</v>
      </c>
      <c r="L826" t="n">
        <v>0</v>
      </c>
      <c r="M826" t="n">
        <v>0</v>
      </c>
      <c r="N826" t="n">
        <v>0</v>
      </c>
      <c r="O826" t="n">
        <v>0</v>
      </c>
      <c r="P826" t="n">
        <v>0</v>
      </c>
      <c r="Q826" t="n">
        <v>0</v>
      </c>
      <c r="R826" s="2" t="inlineStr"/>
    </row>
    <row r="827" ht="15" customHeight="1">
      <c r="A827" t="inlineStr">
        <is>
          <t>A 2-2024</t>
        </is>
      </c>
      <c r="B827" s="1" t="n">
        <v>45292.54944444444</v>
      </c>
      <c r="C827" s="1" t="n">
        <v>45928</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7995-2025</t>
        </is>
      </c>
      <c r="B828" s="1" t="n">
        <v>45707.515625</v>
      </c>
      <c r="C828" s="1" t="n">
        <v>45928</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1717-2025</t>
        </is>
      </c>
      <c r="B829" s="1" t="n">
        <v>45671.32938657407</v>
      </c>
      <c r="C829" s="1" t="n">
        <v>45928</v>
      </c>
      <c r="D829" t="inlineStr">
        <is>
          <t>VÄRMLANDS LÄN</t>
        </is>
      </c>
      <c r="E829" t="inlineStr">
        <is>
          <t>ÅRJÄNG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62240-2022</t>
        </is>
      </c>
      <c r="B830" s="1" t="n">
        <v>44922</v>
      </c>
      <c r="C830" s="1" t="n">
        <v>45928</v>
      </c>
      <c r="D830" t="inlineStr">
        <is>
          <t>VÄRMLANDS LÄN</t>
        </is>
      </c>
      <c r="E830" t="inlineStr">
        <is>
          <t>ÅRJÄNG</t>
        </is>
      </c>
      <c r="G830" t="n">
        <v>0.5</v>
      </c>
      <c r="H830" t="n">
        <v>0</v>
      </c>
      <c r="I830" t="n">
        <v>0</v>
      </c>
      <c r="J830" t="n">
        <v>0</v>
      </c>
      <c r="K830" t="n">
        <v>0</v>
      </c>
      <c r="L830" t="n">
        <v>0</v>
      </c>
      <c r="M830" t="n">
        <v>0</v>
      </c>
      <c r="N830" t="n">
        <v>0</v>
      </c>
      <c r="O830" t="n">
        <v>0</v>
      </c>
      <c r="P830" t="n">
        <v>0</v>
      </c>
      <c r="Q830" t="n">
        <v>0</v>
      </c>
      <c r="R830" s="2" t="inlineStr"/>
    </row>
    <row r="831" ht="15" customHeight="1">
      <c r="A831" t="inlineStr">
        <is>
          <t>A 58014-2022</t>
        </is>
      </c>
      <c r="B831" s="1" t="n">
        <v>44893</v>
      </c>
      <c r="C831" s="1" t="n">
        <v>45928</v>
      </c>
      <c r="D831" t="inlineStr">
        <is>
          <t>VÄRMLANDS LÄN</t>
        </is>
      </c>
      <c r="E831" t="inlineStr">
        <is>
          <t>ÅRJÄNG</t>
        </is>
      </c>
      <c r="G831" t="n">
        <v>1.9</v>
      </c>
      <c r="H831" t="n">
        <v>0</v>
      </c>
      <c r="I831" t="n">
        <v>0</v>
      </c>
      <c r="J831" t="n">
        <v>0</v>
      </c>
      <c r="K831" t="n">
        <v>0</v>
      </c>
      <c r="L831" t="n">
        <v>0</v>
      </c>
      <c r="M831" t="n">
        <v>0</v>
      </c>
      <c r="N831" t="n">
        <v>0</v>
      </c>
      <c r="O831" t="n">
        <v>0</v>
      </c>
      <c r="P831" t="n">
        <v>0</v>
      </c>
      <c r="Q831" t="n">
        <v>0</v>
      </c>
      <c r="R831" s="2" t="inlineStr"/>
    </row>
    <row r="832" ht="15" customHeight="1">
      <c r="A832" t="inlineStr">
        <is>
          <t>A 13871-2025</t>
        </is>
      </c>
      <c r="B832" s="1" t="n">
        <v>45737.58568287037</v>
      </c>
      <c r="C832" s="1" t="n">
        <v>45928</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1929-2025</t>
        </is>
      </c>
      <c r="B833" s="1" t="n">
        <v>45671.73023148148</v>
      </c>
      <c r="C833" s="1" t="n">
        <v>45928</v>
      </c>
      <c r="D833" t="inlineStr">
        <is>
          <t>VÄRMLANDS LÄN</t>
        </is>
      </c>
      <c r="E833" t="inlineStr">
        <is>
          <t>ÅRJÄNG</t>
        </is>
      </c>
      <c r="G833" t="n">
        <v>2.9</v>
      </c>
      <c r="H833" t="n">
        <v>0</v>
      </c>
      <c r="I833" t="n">
        <v>0</v>
      </c>
      <c r="J833" t="n">
        <v>0</v>
      </c>
      <c r="K833" t="n">
        <v>0</v>
      </c>
      <c r="L833" t="n">
        <v>0</v>
      </c>
      <c r="M833" t="n">
        <v>0</v>
      </c>
      <c r="N833" t="n">
        <v>0</v>
      </c>
      <c r="O833" t="n">
        <v>0</v>
      </c>
      <c r="P833" t="n">
        <v>0</v>
      </c>
      <c r="Q833" t="n">
        <v>0</v>
      </c>
      <c r="R833" s="2" t="inlineStr"/>
    </row>
    <row r="834" ht="15" customHeight="1">
      <c r="A834" t="inlineStr">
        <is>
          <t>A 36018-2024</t>
        </is>
      </c>
      <c r="B834" s="1" t="n">
        <v>45533</v>
      </c>
      <c r="C834" s="1" t="n">
        <v>45928</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36035-2024</t>
        </is>
      </c>
      <c r="B835" s="1" t="n">
        <v>45533.59534722222</v>
      </c>
      <c r="C835" s="1" t="n">
        <v>45928</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6646-2025</t>
        </is>
      </c>
      <c r="B836" s="1" t="n">
        <v>45700</v>
      </c>
      <c r="C836" s="1" t="n">
        <v>45928</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59746-2023</t>
        </is>
      </c>
      <c r="B837" s="1" t="n">
        <v>45254</v>
      </c>
      <c r="C837" s="1" t="n">
        <v>45928</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58152-2024</t>
        </is>
      </c>
      <c r="B838" s="1" t="n">
        <v>45632.43947916666</v>
      </c>
      <c r="C838" s="1" t="n">
        <v>45928</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55091-2023</t>
        </is>
      </c>
      <c r="B839" s="1" t="n">
        <v>45237</v>
      </c>
      <c r="C839" s="1" t="n">
        <v>45928</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55517-2023</t>
        </is>
      </c>
      <c r="B840" s="1" t="n">
        <v>45232</v>
      </c>
      <c r="C840" s="1" t="n">
        <v>45928</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10625-2025</t>
        </is>
      </c>
      <c r="B841" s="1" t="n">
        <v>45721</v>
      </c>
      <c r="C841" s="1" t="n">
        <v>45928</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10627-2025</t>
        </is>
      </c>
      <c r="B842" s="1" t="n">
        <v>45721</v>
      </c>
      <c r="C842" s="1" t="n">
        <v>45928</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32950-2024</t>
        </is>
      </c>
      <c r="B843" s="1" t="n">
        <v>45517.36038194445</v>
      </c>
      <c r="C843" s="1" t="n">
        <v>45928</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3471-2023</t>
        </is>
      </c>
      <c r="B844" s="1" t="n">
        <v>44949</v>
      </c>
      <c r="C844" s="1" t="n">
        <v>45928</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59617-2022</t>
        </is>
      </c>
      <c r="B845" s="1" t="n">
        <v>44907</v>
      </c>
      <c r="C845" s="1" t="n">
        <v>45928</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59887-2023</t>
        </is>
      </c>
      <c r="B846" s="1" t="n">
        <v>45257.59917824074</v>
      </c>
      <c r="C846" s="1" t="n">
        <v>45928</v>
      </c>
      <c r="D846" t="inlineStr">
        <is>
          <t>VÄRMLANDS LÄN</t>
        </is>
      </c>
      <c r="E846" t="inlineStr">
        <is>
          <t>ÅRJÄNG</t>
        </is>
      </c>
      <c r="G846" t="n">
        <v>3.9</v>
      </c>
      <c r="H846" t="n">
        <v>0</v>
      </c>
      <c r="I846" t="n">
        <v>0</v>
      </c>
      <c r="J846" t="n">
        <v>0</v>
      </c>
      <c r="K846" t="n">
        <v>0</v>
      </c>
      <c r="L846" t="n">
        <v>0</v>
      </c>
      <c r="M846" t="n">
        <v>0</v>
      </c>
      <c r="N846" t="n">
        <v>0</v>
      </c>
      <c r="O846" t="n">
        <v>0</v>
      </c>
      <c r="P846" t="n">
        <v>0</v>
      </c>
      <c r="Q846" t="n">
        <v>0</v>
      </c>
      <c r="R846" s="2" t="inlineStr"/>
    </row>
    <row r="847" ht="15" customHeight="1">
      <c r="A847" t="inlineStr">
        <is>
          <t>A 37382-2024</t>
        </is>
      </c>
      <c r="B847" s="1" t="n">
        <v>45540</v>
      </c>
      <c r="C847" s="1" t="n">
        <v>45928</v>
      </c>
      <c r="D847" t="inlineStr">
        <is>
          <t>VÄRMLANDS LÄN</t>
        </is>
      </c>
      <c r="E847" t="inlineStr">
        <is>
          <t>ÅRJÄNG</t>
        </is>
      </c>
      <c r="G847" t="n">
        <v>12.3</v>
      </c>
      <c r="H847" t="n">
        <v>0</v>
      </c>
      <c r="I847" t="n">
        <v>0</v>
      </c>
      <c r="J847" t="n">
        <v>0</v>
      </c>
      <c r="K847" t="n">
        <v>0</v>
      </c>
      <c r="L847" t="n">
        <v>0</v>
      </c>
      <c r="M847" t="n">
        <v>0</v>
      </c>
      <c r="N847" t="n">
        <v>0</v>
      </c>
      <c r="O847" t="n">
        <v>0</v>
      </c>
      <c r="P847" t="n">
        <v>0</v>
      </c>
      <c r="Q847" t="n">
        <v>0</v>
      </c>
      <c r="R847" s="2" t="inlineStr"/>
    </row>
    <row r="848" ht="15" customHeight="1">
      <c r="A848" t="inlineStr">
        <is>
          <t>A 15210-2025</t>
        </is>
      </c>
      <c r="B848" s="1" t="n">
        <v>45744</v>
      </c>
      <c r="C848" s="1" t="n">
        <v>45928</v>
      </c>
      <c r="D848" t="inlineStr">
        <is>
          <t>VÄRMLANDS LÄN</t>
        </is>
      </c>
      <c r="E848" t="inlineStr">
        <is>
          <t>ÅRJÄNG</t>
        </is>
      </c>
      <c r="G848" t="n">
        <v>2.7</v>
      </c>
      <c r="H848" t="n">
        <v>0</v>
      </c>
      <c r="I848" t="n">
        <v>0</v>
      </c>
      <c r="J848" t="n">
        <v>0</v>
      </c>
      <c r="K848" t="n">
        <v>0</v>
      </c>
      <c r="L848" t="n">
        <v>0</v>
      </c>
      <c r="M848" t="n">
        <v>0</v>
      </c>
      <c r="N848" t="n">
        <v>0</v>
      </c>
      <c r="O848" t="n">
        <v>0</v>
      </c>
      <c r="P848" t="n">
        <v>0</v>
      </c>
      <c r="Q848" t="n">
        <v>0</v>
      </c>
      <c r="R848" s="2" t="inlineStr"/>
    </row>
    <row r="849" ht="15" customHeight="1">
      <c r="A849" t="inlineStr">
        <is>
          <t>A 16112-2025</t>
        </is>
      </c>
      <c r="B849" s="1" t="n">
        <v>45750.37240740741</v>
      </c>
      <c r="C849" s="1" t="n">
        <v>45928</v>
      </c>
      <c r="D849" t="inlineStr">
        <is>
          <t>VÄRMLANDS LÄN</t>
        </is>
      </c>
      <c r="E849" t="inlineStr">
        <is>
          <t>ÅRJÄNG</t>
        </is>
      </c>
      <c r="G849" t="n">
        <v>0.7</v>
      </c>
      <c r="H849" t="n">
        <v>0</v>
      </c>
      <c r="I849" t="n">
        <v>0</v>
      </c>
      <c r="J849" t="n">
        <v>0</v>
      </c>
      <c r="K849" t="n">
        <v>0</v>
      </c>
      <c r="L849" t="n">
        <v>0</v>
      </c>
      <c r="M849" t="n">
        <v>0</v>
      </c>
      <c r="N849" t="n">
        <v>0</v>
      </c>
      <c r="O849" t="n">
        <v>0</v>
      </c>
      <c r="P849" t="n">
        <v>0</v>
      </c>
      <c r="Q849" t="n">
        <v>0</v>
      </c>
      <c r="R849" s="2" t="inlineStr"/>
    </row>
    <row r="850" ht="15" customHeight="1">
      <c r="A850" t="inlineStr">
        <is>
          <t>A 65171-2023</t>
        </is>
      </c>
      <c r="B850" s="1" t="n">
        <v>45288.71099537037</v>
      </c>
      <c r="C850" s="1" t="n">
        <v>45928</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59071-2024</t>
        </is>
      </c>
      <c r="B851" s="1" t="n">
        <v>45636.96637731481</v>
      </c>
      <c r="C851" s="1" t="n">
        <v>45928</v>
      </c>
      <c r="D851" t="inlineStr">
        <is>
          <t>VÄRMLANDS LÄN</t>
        </is>
      </c>
      <c r="E851" t="inlineStr">
        <is>
          <t>ÅRJÄNG</t>
        </is>
      </c>
      <c r="G851" t="n">
        <v>4.2</v>
      </c>
      <c r="H851" t="n">
        <v>0</v>
      </c>
      <c r="I851" t="n">
        <v>0</v>
      </c>
      <c r="J851" t="n">
        <v>0</v>
      </c>
      <c r="K851" t="n">
        <v>0</v>
      </c>
      <c r="L851" t="n">
        <v>0</v>
      </c>
      <c r="M851" t="n">
        <v>0</v>
      </c>
      <c r="N851" t="n">
        <v>0</v>
      </c>
      <c r="O851" t="n">
        <v>0</v>
      </c>
      <c r="P851" t="n">
        <v>0</v>
      </c>
      <c r="Q851" t="n">
        <v>0</v>
      </c>
      <c r="R851" s="2" t="inlineStr"/>
    </row>
    <row r="852" ht="15" customHeight="1">
      <c r="A852" t="inlineStr">
        <is>
          <t>A 59073-2024</t>
        </is>
      </c>
      <c r="B852" s="1" t="n">
        <v>45636.97232638889</v>
      </c>
      <c r="C852" s="1" t="n">
        <v>45928</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28864-2023</t>
        </is>
      </c>
      <c r="B853" s="1" t="n">
        <v>45104</v>
      </c>
      <c r="C853" s="1" t="n">
        <v>45928</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5095-2023</t>
        </is>
      </c>
      <c r="B854" s="1" t="n">
        <v>44953</v>
      </c>
      <c r="C854" s="1" t="n">
        <v>45928</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10117-2023</t>
        </is>
      </c>
      <c r="B855" s="1" t="n">
        <v>44986.34331018518</v>
      </c>
      <c r="C855" s="1" t="n">
        <v>45928</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15579-2025</t>
        </is>
      </c>
      <c r="B856" s="1" t="n">
        <v>45747</v>
      </c>
      <c r="C856" s="1" t="n">
        <v>45928</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37325-2024</t>
        </is>
      </c>
      <c r="B857" s="1" t="n">
        <v>45540</v>
      </c>
      <c r="C857" s="1" t="n">
        <v>45928</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15303-2025</t>
        </is>
      </c>
      <c r="B858" s="1" t="n">
        <v>45746</v>
      </c>
      <c r="C858" s="1" t="n">
        <v>45928</v>
      </c>
      <c r="D858" t="inlineStr">
        <is>
          <t>VÄRMLANDS LÄN</t>
        </is>
      </c>
      <c r="E858" t="inlineStr">
        <is>
          <t>ÅRJÄNG</t>
        </is>
      </c>
      <c r="G858" t="n">
        <v>8</v>
      </c>
      <c r="H858" t="n">
        <v>0</v>
      </c>
      <c r="I858" t="n">
        <v>0</v>
      </c>
      <c r="J858" t="n">
        <v>0</v>
      </c>
      <c r="K858" t="n">
        <v>0</v>
      </c>
      <c r="L858" t="n">
        <v>0</v>
      </c>
      <c r="M858" t="n">
        <v>0</v>
      </c>
      <c r="N858" t="n">
        <v>0</v>
      </c>
      <c r="O858" t="n">
        <v>0</v>
      </c>
      <c r="P858" t="n">
        <v>0</v>
      </c>
      <c r="Q858" t="n">
        <v>0</v>
      </c>
      <c r="R858" s="2" t="inlineStr"/>
    </row>
    <row r="859" ht="15" customHeight="1">
      <c r="A859" t="inlineStr">
        <is>
          <t>A 12659-2025</t>
        </is>
      </c>
      <c r="B859" s="1" t="n">
        <v>45733.42350694445</v>
      </c>
      <c r="C859" s="1" t="n">
        <v>45928</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58788-2024</t>
        </is>
      </c>
      <c r="B860" s="1" t="n">
        <v>45635.96372685185</v>
      </c>
      <c r="C860" s="1" t="n">
        <v>45928</v>
      </c>
      <c r="D860" t="inlineStr">
        <is>
          <t>VÄRMLANDS LÄN</t>
        </is>
      </c>
      <c r="E860" t="inlineStr">
        <is>
          <t>ÅRJÄNG</t>
        </is>
      </c>
      <c r="G860" t="n">
        <v>12.4</v>
      </c>
      <c r="H860" t="n">
        <v>0</v>
      </c>
      <c r="I860" t="n">
        <v>0</v>
      </c>
      <c r="J860" t="n">
        <v>0</v>
      </c>
      <c r="K860" t="n">
        <v>0</v>
      </c>
      <c r="L860" t="n">
        <v>0</v>
      </c>
      <c r="M860" t="n">
        <v>0</v>
      </c>
      <c r="N860" t="n">
        <v>0</v>
      </c>
      <c r="O860" t="n">
        <v>0</v>
      </c>
      <c r="P860" t="n">
        <v>0</v>
      </c>
      <c r="Q860" t="n">
        <v>0</v>
      </c>
      <c r="R860" s="2" t="inlineStr"/>
    </row>
    <row r="861" ht="15" customHeight="1">
      <c r="A861" t="inlineStr">
        <is>
          <t>A 11401-2025</t>
        </is>
      </c>
      <c r="B861" s="1" t="n">
        <v>45726</v>
      </c>
      <c r="C861" s="1" t="n">
        <v>45928</v>
      </c>
      <c r="D861" t="inlineStr">
        <is>
          <t>VÄRMLANDS LÄN</t>
        </is>
      </c>
      <c r="E861" t="inlineStr">
        <is>
          <t>ÅRJÄNG</t>
        </is>
      </c>
      <c r="G861" t="n">
        <v>0.4</v>
      </c>
      <c r="H861" t="n">
        <v>0</v>
      </c>
      <c r="I861" t="n">
        <v>0</v>
      </c>
      <c r="J861" t="n">
        <v>0</v>
      </c>
      <c r="K861" t="n">
        <v>0</v>
      </c>
      <c r="L861" t="n">
        <v>0</v>
      </c>
      <c r="M861" t="n">
        <v>0</v>
      </c>
      <c r="N861" t="n">
        <v>0</v>
      </c>
      <c r="O861" t="n">
        <v>0</v>
      </c>
      <c r="P861" t="n">
        <v>0</v>
      </c>
      <c r="Q861" t="n">
        <v>0</v>
      </c>
      <c r="R861" s="2" t="inlineStr"/>
    </row>
    <row r="862" ht="15" customHeight="1">
      <c r="A862" t="inlineStr">
        <is>
          <t>A 60377-2023</t>
        </is>
      </c>
      <c r="B862" s="1" t="n">
        <v>45259.40993055556</v>
      </c>
      <c r="C862" s="1" t="n">
        <v>45928</v>
      </c>
      <c r="D862" t="inlineStr">
        <is>
          <t>VÄRMLANDS LÄN</t>
        </is>
      </c>
      <c r="E862" t="inlineStr">
        <is>
          <t>ÅRJÄNG</t>
        </is>
      </c>
      <c r="G862" t="n">
        <v>3.1</v>
      </c>
      <c r="H862" t="n">
        <v>0</v>
      </c>
      <c r="I862" t="n">
        <v>0</v>
      </c>
      <c r="J862" t="n">
        <v>0</v>
      </c>
      <c r="K862" t="n">
        <v>0</v>
      </c>
      <c r="L862" t="n">
        <v>0</v>
      </c>
      <c r="M862" t="n">
        <v>0</v>
      </c>
      <c r="N862" t="n">
        <v>0</v>
      </c>
      <c r="O862" t="n">
        <v>0</v>
      </c>
      <c r="P862" t="n">
        <v>0</v>
      </c>
      <c r="Q862" t="n">
        <v>0</v>
      </c>
      <c r="R862" s="2" t="inlineStr"/>
    </row>
    <row r="863" ht="15" customHeight="1">
      <c r="A863" t="inlineStr">
        <is>
          <t>A 23334-2023</t>
        </is>
      </c>
      <c r="B863" s="1" t="n">
        <v>45076</v>
      </c>
      <c r="C863" s="1" t="n">
        <v>45928</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58789-2024</t>
        </is>
      </c>
      <c r="B864" s="1" t="n">
        <v>45635.98438657408</v>
      </c>
      <c r="C864" s="1" t="n">
        <v>45928</v>
      </c>
      <c r="D864" t="inlineStr">
        <is>
          <t>VÄRMLANDS LÄN</t>
        </is>
      </c>
      <c r="E864" t="inlineStr">
        <is>
          <t>ÅRJÄNG</t>
        </is>
      </c>
      <c r="G864" t="n">
        <v>7.8</v>
      </c>
      <c r="H864" t="n">
        <v>0</v>
      </c>
      <c r="I864" t="n">
        <v>0</v>
      </c>
      <c r="J864" t="n">
        <v>0</v>
      </c>
      <c r="K864" t="n">
        <v>0</v>
      </c>
      <c r="L864" t="n">
        <v>0</v>
      </c>
      <c r="M864" t="n">
        <v>0</v>
      </c>
      <c r="N864" t="n">
        <v>0</v>
      </c>
      <c r="O864" t="n">
        <v>0</v>
      </c>
      <c r="P864" t="n">
        <v>0</v>
      </c>
      <c r="Q864" t="n">
        <v>0</v>
      </c>
      <c r="R864" s="2" t="inlineStr"/>
    </row>
    <row r="865" ht="15" customHeight="1">
      <c r="A865" t="inlineStr">
        <is>
          <t>A 37353-2024</t>
        </is>
      </c>
      <c r="B865" s="1" t="n">
        <v>45540</v>
      </c>
      <c r="C865" s="1" t="n">
        <v>45928</v>
      </c>
      <c r="D865" t="inlineStr">
        <is>
          <t>VÄRMLANDS LÄN</t>
        </is>
      </c>
      <c r="E865" t="inlineStr">
        <is>
          <t>ÅRJÄNG</t>
        </is>
      </c>
      <c r="G865" t="n">
        <v>1.2</v>
      </c>
      <c r="H865" t="n">
        <v>0</v>
      </c>
      <c r="I865" t="n">
        <v>0</v>
      </c>
      <c r="J865" t="n">
        <v>0</v>
      </c>
      <c r="K865" t="n">
        <v>0</v>
      </c>
      <c r="L865" t="n">
        <v>0</v>
      </c>
      <c r="M865" t="n">
        <v>0</v>
      </c>
      <c r="N865" t="n">
        <v>0</v>
      </c>
      <c r="O865" t="n">
        <v>0</v>
      </c>
      <c r="P865" t="n">
        <v>0</v>
      </c>
      <c r="Q865" t="n">
        <v>0</v>
      </c>
      <c r="R865" s="2" t="inlineStr"/>
    </row>
    <row r="866" ht="15" customHeight="1">
      <c r="A866" t="inlineStr">
        <is>
          <t>A 32550-2024</t>
        </is>
      </c>
      <c r="B866" s="1" t="n">
        <v>45513.50606481481</v>
      </c>
      <c r="C866" s="1" t="n">
        <v>45928</v>
      </c>
      <c r="D866" t="inlineStr">
        <is>
          <t>VÄRMLANDS LÄN</t>
        </is>
      </c>
      <c r="E866" t="inlineStr">
        <is>
          <t>ÅRJÄNG</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54425-2021</t>
        </is>
      </c>
      <c r="B867" s="1" t="n">
        <v>44459</v>
      </c>
      <c r="C867" s="1" t="n">
        <v>45928</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46319-2024</t>
        </is>
      </c>
      <c r="B868" s="1" t="n">
        <v>45581.760625</v>
      </c>
      <c r="C868" s="1" t="n">
        <v>45928</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15230-2025</t>
        </is>
      </c>
      <c r="B869" s="1" t="n">
        <v>45744</v>
      </c>
      <c r="C869" s="1" t="n">
        <v>45928</v>
      </c>
      <c r="D869" t="inlineStr">
        <is>
          <t>VÄRMLANDS LÄN</t>
        </is>
      </c>
      <c r="E869" t="inlineStr">
        <is>
          <t>ÅRJÄNG</t>
        </is>
      </c>
      <c r="G869" t="n">
        <v>17.1</v>
      </c>
      <c r="H869" t="n">
        <v>0</v>
      </c>
      <c r="I869" t="n">
        <v>0</v>
      </c>
      <c r="J869" t="n">
        <v>0</v>
      </c>
      <c r="K869" t="n">
        <v>0</v>
      </c>
      <c r="L869" t="n">
        <v>0</v>
      </c>
      <c r="M869" t="n">
        <v>0</v>
      </c>
      <c r="N869" t="n">
        <v>0</v>
      </c>
      <c r="O869" t="n">
        <v>0</v>
      </c>
      <c r="P869" t="n">
        <v>0</v>
      </c>
      <c r="Q869" t="n">
        <v>0</v>
      </c>
      <c r="R869" s="2" t="inlineStr"/>
    </row>
    <row r="870" ht="15" customHeight="1">
      <c r="A870" t="inlineStr">
        <is>
          <t>A 20372-2025</t>
        </is>
      </c>
      <c r="B870" s="1" t="n">
        <v>45775.42027777778</v>
      </c>
      <c r="C870" s="1" t="n">
        <v>45928</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42783-2024</t>
        </is>
      </c>
      <c r="B871" s="1" t="n">
        <v>45566</v>
      </c>
      <c r="C871" s="1" t="n">
        <v>45928</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36706-2024</t>
        </is>
      </c>
      <c r="B872" s="1" t="n">
        <v>45537</v>
      </c>
      <c r="C872" s="1" t="n">
        <v>45928</v>
      </c>
      <c r="D872" t="inlineStr">
        <is>
          <t>VÄRMLANDS LÄN</t>
        </is>
      </c>
      <c r="E872" t="inlineStr">
        <is>
          <t>ÅRJÄNG</t>
        </is>
      </c>
      <c r="G872" t="n">
        <v>5.3</v>
      </c>
      <c r="H872" t="n">
        <v>0</v>
      </c>
      <c r="I872" t="n">
        <v>0</v>
      </c>
      <c r="J872" t="n">
        <v>0</v>
      </c>
      <c r="K872" t="n">
        <v>0</v>
      </c>
      <c r="L872" t="n">
        <v>0</v>
      </c>
      <c r="M872" t="n">
        <v>0</v>
      </c>
      <c r="N872" t="n">
        <v>0</v>
      </c>
      <c r="O872" t="n">
        <v>0</v>
      </c>
      <c r="P872" t="n">
        <v>0</v>
      </c>
      <c r="Q872" t="n">
        <v>0</v>
      </c>
      <c r="R872" s="2" t="inlineStr"/>
    </row>
    <row r="873" ht="15" customHeight="1">
      <c r="A873" t="inlineStr">
        <is>
          <t>A 45634-2023</t>
        </is>
      </c>
      <c r="B873" s="1" t="n">
        <v>45194</v>
      </c>
      <c r="C873" s="1" t="n">
        <v>45928</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6551-2025</t>
        </is>
      </c>
      <c r="B874" s="1" t="n">
        <v>45699.71454861111</v>
      </c>
      <c r="C874" s="1" t="n">
        <v>45928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48444-2023</t>
        </is>
      </c>
      <c r="B875" s="1" t="n">
        <v>45206.37090277778</v>
      </c>
      <c r="C875" s="1" t="n">
        <v>45928</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13869-2025</t>
        </is>
      </c>
      <c r="B876" s="1" t="n">
        <v>45737.58268518518</v>
      </c>
      <c r="C876" s="1" t="n">
        <v>45928</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58290-2024</t>
        </is>
      </c>
      <c r="B877" s="1" t="n">
        <v>45632.5916087963</v>
      </c>
      <c r="C877" s="1" t="n">
        <v>45928</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74463-2021</t>
        </is>
      </c>
      <c r="B878" s="1" t="n">
        <v>44560.5255787037</v>
      </c>
      <c r="C878" s="1" t="n">
        <v>45928</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1615-2025</t>
        </is>
      </c>
      <c r="B879" s="1" t="n">
        <v>45670.60484953703</v>
      </c>
      <c r="C879" s="1" t="n">
        <v>45928</v>
      </c>
      <c r="D879" t="inlineStr">
        <is>
          <t>VÄRMLANDS LÄN</t>
        </is>
      </c>
      <c r="E879" t="inlineStr">
        <is>
          <t>ÅRJÄNG</t>
        </is>
      </c>
      <c r="G879" t="n">
        <v>3.3</v>
      </c>
      <c r="H879" t="n">
        <v>0</v>
      </c>
      <c r="I879" t="n">
        <v>0</v>
      </c>
      <c r="J879" t="n">
        <v>0</v>
      </c>
      <c r="K879" t="n">
        <v>0</v>
      </c>
      <c r="L879" t="n">
        <v>0</v>
      </c>
      <c r="M879" t="n">
        <v>0</v>
      </c>
      <c r="N879" t="n">
        <v>0</v>
      </c>
      <c r="O879" t="n">
        <v>0</v>
      </c>
      <c r="P879" t="n">
        <v>0</v>
      </c>
      <c r="Q879" t="n">
        <v>0</v>
      </c>
      <c r="R879" s="2" t="inlineStr"/>
    </row>
    <row r="880" ht="15" customHeight="1">
      <c r="A880" t="inlineStr">
        <is>
          <t>A 62963-2023</t>
        </is>
      </c>
      <c r="B880" s="1" t="n">
        <v>45271</v>
      </c>
      <c r="C880" s="1" t="n">
        <v>45928</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38057-2024</t>
        </is>
      </c>
      <c r="B881" s="1" t="n">
        <v>45544.73293981481</v>
      </c>
      <c r="C881" s="1" t="n">
        <v>45928</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45827-2024</t>
        </is>
      </c>
      <c r="B882" s="1" t="n">
        <v>45579</v>
      </c>
      <c r="C882" s="1" t="n">
        <v>45928</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59479-2024</t>
        </is>
      </c>
      <c r="B883" s="1" t="n">
        <v>45638.52420138889</v>
      </c>
      <c r="C883" s="1" t="n">
        <v>45928</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32778-2024</t>
        </is>
      </c>
      <c r="B884" s="1" t="n">
        <v>45516.5083912037</v>
      </c>
      <c r="C884" s="1" t="n">
        <v>45928</v>
      </c>
      <c r="D884" t="inlineStr">
        <is>
          <t>VÄRMLANDS LÄN</t>
        </is>
      </c>
      <c r="E884" t="inlineStr">
        <is>
          <t>ÅRJÄNG</t>
        </is>
      </c>
      <c r="G884" t="n">
        <v>2.8</v>
      </c>
      <c r="H884" t="n">
        <v>0</v>
      </c>
      <c r="I884" t="n">
        <v>0</v>
      </c>
      <c r="J884" t="n">
        <v>0</v>
      </c>
      <c r="K884" t="n">
        <v>0</v>
      </c>
      <c r="L884" t="n">
        <v>0</v>
      </c>
      <c r="M884" t="n">
        <v>0</v>
      </c>
      <c r="N884" t="n">
        <v>0</v>
      </c>
      <c r="O884" t="n">
        <v>0</v>
      </c>
      <c r="P884" t="n">
        <v>0</v>
      </c>
      <c r="Q884" t="n">
        <v>0</v>
      </c>
      <c r="R884" s="2" t="inlineStr"/>
    </row>
    <row r="885" ht="15" customHeight="1">
      <c r="A885" t="inlineStr">
        <is>
          <t>A 34144-2022</t>
        </is>
      </c>
      <c r="B885" s="1" t="n">
        <v>44791.55983796297</v>
      </c>
      <c r="C885" s="1" t="n">
        <v>45928</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27045-2021</t>
        </is>
      </c>
      <c r="B886" s="1" t="n">
        <v>44350.43223379629</v>
      </c>
      <c r="C886" s="1" t="n">
        <v>45928</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42230-2024</t>
        </is>
      </c>
      <c r="B887" s="1" t="n">
        <v>45562</v>
      </c>
      <c r="C887" s="1" t="n">
        <v>45928</v>
      </c>
      <c r="D887" t="inlineStr">
        <is>
          <t>VÄRMLANDS LÄN</t>
        </is>
      </c>
      <c r="E887" t="inlineStr">
        <is>
          <t>ÅRJÄNG</t>
        </is>
      </c>
      <c r="G887" t="n">
        <v>8.6</v>
      </c>
      <c r="H887" t="n">
        <v>0</v>
      </c>
      <c r="I887" t="n">
        <v>0</v>
      </c>
      <c r="J887" t="n">
        <v>0</v>
      </c>
      <c r="K887" t="n">
        <v>0</v>
      </c>
      <c r="L887" t="n">
        <v>0</v>
      </c>
      <c r="M887" t="n">
        <v>0</v>
      </c>
      <c r="N887" t="n">
        <v>0</v>
      </c>
      <c r="O887" t="n">
        <v>0</v>
      </c>
      <c r="P887" t="n">
        <v>0</v>
      </c>
      <c r="Q887" t="n">
        <v>0</v>
      </c>
      <c r="R887" s="2" t="inlineStr"/>
    </row>
    <row r="888" ht="15" customHeight="1">
      <c r="A888" t="inlineStr">
        <is>
          <t>A 17426-2025</t>
        </is>
      </c>
      <c r="B888" s="1" t="n">
        <v>45757.40153935185</v>
      </c>
      <c r="C888" s="1" t="n">
        <v>45928</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4189-2025</t>
        </is>
      </c>
      <c r="B889" s="1" t="n">
        <v>45685</v>
      </c>
      <c r="C889" s="1" t="n">
        <v>45928</v>
      </c>
      <c r="D889" t="inlineStr">
        <is>
          <t>VÄRMLANDS LÄN</t>
        </is>
      </c>
      <c r="E889" t="inlineStr">
        <is>
          <t>ÅRJÄNG</t>
        </is>
      </c>
      <c r="G889" t="n">
        <v>3.1</v>
      </c>
      <c r="H889" t="n">
        <v>0</v>
      </c>
      <c r="I889" t="n">
        <v>0</v>
      </c>
      <c r="J889" t="n">
        <v>0</v>
      </c>
      <c r="K889" t="n">
        <v>0</v>
      </c>
      <c r="L889" t="n">
        <v>0</v>
      </c>
      <c r="M889" t="n">
        <v>0</v>
      </c>
      <c r="N889" t="n">
        <v>0</v>
      </c>
      <c r="O889" t="n">
        <v>0</v>
      </c>
      <c r="P889" t="n">
        <v>0</v>
      </c>
      <c r="Q889" t="n">
        <v>0</v>
      </c>
      <c r="R889" s="2" t="inlineStr"/>
    </row>
    <row r="890" ht="15" customHeight="1">
      <c r="A890" t="inlineStr">
        <is>
          <t>A 20747-2025</t>
        </is>
      </c>
      <c r="B890" s="1" t="n">
        <v>45776.56221064815</v>
      </c>
      <c r="C890" s="1" t="n">
        <v>45928</v>
      </c>
      <c r="D890" t="inlineStr">
        <is>
          <t>VÄRMLANDS LÄN</t>
        </is>
      </c>
      <c r="E890" t="inlineStr">
        <is>
          <t>ÅRJÄNG</t>
        </is>
      </c>
      <c r="G890" t="n">
        <v>12.2</v>
      </c>
      <c r="H890" t="n">
        <v>0</v>
      </c>
      <c r="I890" t="n">
        <v>0</v>
      </c>
      <c r="J890" t="n">
        <v>0</v>
      </c>
      <c r="K890" t="n">
        <v>0</v>
      </c>
      <c r="L890" t="n">
        <v>0</v>
      </c>
      <c r="M890" t="n">
        <v>0</v>
      </c>
      <c r="N890" t="n">
        <v>0</v>
      </c>
      <c r="O890" t="n">
        <v>0</v>
      </c>
      <c r="P890" t="n">
        <v>0</v>
      </c>
      <c r="Q890" t="n">
        <v>0</v>
      </c>
      <c r="R890" s="2" t="inlineStr"/>
    </row>
    <row r="891" ht="15" customHeight="1">
      <c r="A891" t="inlineStr">
        <is>
          <t>A 20975-2025</t>
        </is>
      </c>
      <c r="B891" s="1" t="n">
        <v>45777.45922453704</v>
      </c>
      <c r="C891" s="1" t="n">
        <v>45928</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20957-2025</t>
        </is>
      </c>
      <c r="B892" s="1" t="n">
        <v>45777.44613425926</v>
      </c>
      <c r="C892" s="1" t="n">
        <v>45928</v>
      </c>
      <c r="D892" t="inlineStr">
        <is>
          <t>VÄRMLANDS LÄN</t>
        </is>
      </c>
      <c r="E892" t="inlineStr">
        <is>
          <t>ÅRJÄNG</t>
        </is>
      </c>
      <c r="G892" t="n">
        <v>6.2</v>
      </c>
      <c r="H892" t="n">
        <v>0</v>
      </c>
      <c r="I892" t="n">
        <v>0</v>
      </c>
      <c r="J892" t="n">
        <v>0</v>
      </c>
      <c r="K892" t="n">
        <v>0</v>
      </c>
      <c r="L892" t="n">
        <v>0</v>
      </c>
      <c r="M892" t="n">
        <v>0</v>
      </c>
      <c r="N892" t="n">
        <v>0</v>
      </c>
      <c r="O892" t="n">
        <v>0</v>
      </c>
      <c r="P892" t="n">
        <v>0</v>
      </c>
      <c r="Q892" t="n">
        <v>0</v>
      </c>
      <c r="R892" s="2" t="inlineStr"/>
    </row>
    <row r="893" ht="15" customHeight="1">
      <c r="A893" t="inlineStr">
        <is>
          <t>A 21258-2025</t>
        </is>
      </c>
      <c r="B893" s="1" t="n">
        <v>45779.59001157407</v>
      </c>
      <c r="C893" s="1" t="n">
        <v>45928</v>
      </c>
      <c r="D893" t="inlineStr">
        <is>
          <t>VÄRMLANDS LÄN</t>
        </is>
      </c>
      <c r="E893" t="inlineStr">
        <is>
          <t>ÅRJÄNG</t>
        </is>
      </c>
      <c r="G893" t="n">
        <v>2.9</v>
      </c>
      <c r="H893" t="n">
        <v>0</v>
      </c>
      <c r="I893" t="n">
        <v>0</v>
      </c>
      <c r="J893" t="n">
        <v>0</v>
      </c>
      <c r="K893" t="n">
        <v>0</v>
      </c>
      <c r="L893" t="n">
        <v>0</v>
      </c>
      <c r="M893" t="n">
        <v>0</v>
      </c>
      <c r="N893" t="n">
        <v>0</v>
      </c>
      <c r="O893" t="n">
        <v>0</v>
      </c>
      <c r="P893" t="n">
        <v>0</v>
      </c>
      <c r="Q893" t="n">
        <v>0</v>
      </c>
      <c r="R893" s="2" t="inlineStr"/>
    </row>
    <row r="894" ht="15" customHeight="1">
      <c r="A894" t="inlineStr">
        <is>
          <t>A 11198-2025</t>
        </is>
      </c>
      <c r="B894" s="1" t="n">
        <v>45725</v>
      </c>
      <c r="C894" s="1" t="n">
        <v>45928</v>
      </c>
      <c r="D894" t="inlineStr">
        <is>
          <t>VÄRMLANDS LÄN</t>
        </is>
      </c>
      <c r="E894" t="inlineStr">
        <is>
          <t>ÅRJÄNG</t>
        </is>
      </c>
      <c r="G894" t="n">
        <v>3.5</v>
      </c>
      <c r="H894" t="n">
        <v>0</v>
      </c>
      <c r="I894" t="n">
        <v>0</v>
      </c>
      <c r="J894" t="n">
        <v>0</v>
      </c>
      <c r="K894" t="n">
        <v>0</v>
      </c>
      <c r="L894" t="n">
        <v>0</v>
      </c>
      <c r="M894" t="n">
        <v>0</v>
      </c>
      <c r="N894" t="n">
        <v>0</v>
      </c>
      <c r="O894" t="n">
        <v>0</v>
      </c>
      <c r="P894" t="n">
        <v>0</v>
      </c>
      <c r="Q894" t="n">
        <v>0</v>
      </c>
      <c r="R894" s="2" t="inlineStr"/>
    </row>
    <row r="895" ht="15" customHeight="1">
      <c r="A895" t="inlineStr">
        <is>
          <t>A 61814-2024</t>
        </is>
      </c>
      <c r="B895" s="1" t="n">
        <v>45646</v>
      </c>
      <c r="C895" s="1" t="n">
        <v>45928</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15575-2025</t>
        </is>
      </c>
      <c r="B896" s="1" t="n">
        <v>45747</v>
      </c>
      <c r="C896" s="1" t="n">
        <v>45928</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15577-2025</t>
        </is>
      </c>
      <c r="B897" s="1" t="n">
        <v>45747</v>
      </c>
      <c r="C897" s="1" t="n">
        <v>45928</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7193-2024</t>
        </is>
      </c>
      <c r="B898" s="1" t="n">
        <v>45344</v>
      </c>
      <c r="C898" s="1" t="n">
        <v>45928</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45928</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1467-2025</t>
        </is>
      </c>
      <c r="B900" s="1" t="n">
        <v>45667</v>
      </c>
      <c r="C900" s="1" t="n">
        <v>45928</v>
      </c>
      <c r="D900" t="inlineStr">
        <is>
          <t>VÄRMLANDS LÄN</t>
        </is>
      </c>
      <c r="E900" t="inlineStr">
        <is>
          <t>ÅRJÄNG</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31793-2023</t>
        </is>
      </c>
      <c r="B901" s="1" t="n">
        <v>45118.43685185185</v>
      </c>
      <c r="C901" s="1" t="n">
        <v>45928</v>
      </c>
      <c r="D901" t="inlineStr">
        <is>
          <t>VÄRMLANDS LÄN</t>
        </is>
      </c>
      <c r="E901" t="inlineStr">
        <is>
          <t>ÅRJÄNG</t>
        </is>
      </c>
      <c r="G901" t="n">
        <v>10.9</v>
      </c>
      <c r="H901" t="n">
        <v>0</v>
      </c>
      <c r="I901" t="n">
        <v>0</v>
      </c>
      <c r="J901" t="n">
        <v>0</v>
      </c>
      <c r="K901" t="n">
        <v>0</v>
      </c>
      <c r="L901" t="n">
        <v>0</v>
      </c>
      <c r="M901" t="n">
        <v>0</v>
      </c>
      <c r="N901" t="n">
        <v>0</v>
      </c>
      <c r="O901" t="n">
        <v>0</v>
      </c>
      <c r="P901" t="n">
        <v>0</v>
      </c>
      <c r="Q901" t="n">
        <v>0</v>
      </c>
      <c r="R901" s="2" t="inlineStr"/>
    </row>
    <row r="902" ht="15" customHeight="1">
      <c r="A902" t="inlineStr">
        <is>
          <t>A 50347-2024</t>
        </is>
      </c>
      <c r="B902" s="1" t="n">
        <v>45600</v>
      </c>
      <c r="C902" s="1" t="n">
        <v>45928</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15237-2025</t>
        </is>
      </c>
      <c r="B903" s="1" t="n">
        <v>45744</v>
      </c>
      <c r="C903" s="1" t="n">
        <v>45928</v>
      </c>
      <c r="D903" t="inlineStr">
        <is>
          <t>VÄRMLANDS LÄN</t>
        </is>
      </c>
      <c r="E903" t="inlineStr">
        <is>
          <t>ÅRJÄNG</t>
        </is>
      </c>
      <c r="G903" t="n">
        <v>29.5</v>
      </c>
      <c r="H903" t="n">
        <v>0</v>
      </c>
      <c r="I903" t="n">
        <v>0</v>
      </c>
      <c r="J903" t="n">
        <v>0</v>
      </c>
      <c r="K903" t="n">
        <v>0</v>
      </c>
      <c r="L903" t="n">
        <v>0</v>
      </c>
      <c r="M903" t="n">
        <v>0</v>
      </c>
      <c r="N903" t="n">
        <v>0</v>
      </c>
      <c r="O903" t="n">
        <v>0</v>
      </c>
      <c r="P903" t="n">
        <v>0</v>
      </c>
      <c r="Q903" t="n">
        <v>0</v>
      </c>
      <c r="R903" s="2" t="inlineStr"/>
    </row>
    <row r="904" ht="15" customHeight="1">
      <c r="A904" t="inlineStr">
        <is>
          <t>A 6354-2024</t>
        </is>
      </c>
      <c r="B904" s="1" t="n">
        <v>45338.46987268519</v>
      </c>
      <c r="C904" s="1" t="n">
        <v>45928</v>
      </c>
      <c r="D904" t="inlineStr">
        <is>
          <t>VÄRMLANDS LÄN</t>
        </is>
      </c>
      <c r="E904" t="inlineStr">
        <is>
          <t>ÅRJÄNG</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22276-2025</t>
        </is>
      </c>
      <c r="B905" s="1" t="n">
        <v>45786.32737268518</v>
      </c>
      <c r="C905" s="1" t="n">
        <v>45928</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21519-2024</t>
        </is>
      </c>
      <c r="B906" s="1" t="n">
        <v>45441</v>
      </c>
      <c r="C906" s="1" t="n">
        <v>45928</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11776-2025</t>
        </is>
      </c>
      <c r="B907" s="1" t="n">
        <v>45727.70334490741</v>
      </c>
      <c r="C907" s="1" t="n">
        <v>45928</v>
      </c>
      <c r="D907" t="inlineStr">
        <is>
          <t>VÄRMLANDS LÄN</t>
        </is>
      </c>
      <c r="E907" t="inlineStr">
        <is>
          <t>ÅRJÄNG</t>
        </is>
      </c>
      <c r="G907" t="n">
        <v>7.2</v>
      </c>
      <c r="H907" t="n">
        <v>0</v>
      </c>
      <c r="I907" t="n">
        <v>0</v>
      </c>
      <c r="J907" t="n">
        <v>0</v>
      </c>
      <c r="K907" t="n">
        <v>0</v>
      </c>
      <c r="L907" t="n">
        <v>0</v>
      </c>
      <c r="M907" t="n">
        <v>0</v>
      </c>
      <c r="N907" t="n">
        <v>0</v>
      </c>
      <c r="O907" t="n">
        <v>0</v>
      </c>
      <c r="P907" t="n">
        <v>0</v>
      </c>
      <c r="Q907" t="n">
        <v>0</v>
      </c>
      <c r="R907" s="2" t="inlineStr"/>
    </row>
    <row r="908" ht="15" customHeight="1">
      <c r="A908" t="inlineStr">
        <is>
          <t>A 22352-2025</t>
        </is>
      </c>
      <c r="B908" s="1" t="n">
        <v>45786.45491898148</v>
      </c>
      <c r="C908" s="1" t="n">
        <v>45928</v>
      </c>
      <c r="D908" t="inlineStr">
        <is>
          <t>VÄRMLANDS LÄN</t>
        </is>
      </c>
      <c r="E908" t="inlineStr">
        <is>
          <t>ÅRJÄNG</t>
        </is>
      </c>
      <c r="G908" t="n">
        <v>5.4</v>
      </c>
      <c r="H908" t="n">
        <v>0</v>
      </c>
      <c r="I908" t="n">
        <v>0</v>
      </c>
      <c r="J908" t="n">
        <v>0</v>
      </c>
      <c r="K908" t="n">
        <v>0</v>
      </c>
      <c r="L908" t="n">
        <v>0</v>
      </c>
      <c r="M908" t="n">
        <v>0</v>
      </c>
      <c r="N908" t="n">
        <v>0</v>
      </c>
      <c r="O908" t="n">
        <v>0</v>
      </c>
      <c r="P908" t="n">
        <v>0</v>
      </c>
      <c r="Q908" t="n">
        <v>0</v>
      </c>
      <c r="R908" s="2" t="inlineStr"/>
    </row>
    <row r="909" ht="15" customHeight="1">
      <c r="A909" t="inlineStr">
        <is>
          <t>A 20337-2023</t>
        </is>
      </c>
      <c r="B909" s="1" t="n">
        <v>45056.48157407407</v>
      </c>
      <c r="C909" s="1" t="n">
        <v>45928</v>
      </c>
      <c r="D909" t="inlineStr">
        <is>
          <t>VÄRMLANDS LÄN</t>
        </is>
      </c>
      <c r="E909" t="inlineStr">
        <is>
          <t>ÅRJÄNG</t>
        </is>
      </c>
      <c r="G909" t="n">
        <v>3.1</v>
      </c>
      <c r="H909" t="n">
        <v>0</v>
      </c>
      <c r="I909" t="n">
        <v>0</v>
      </c>
      <c r="J909" t="n">
        <v>0</v>
      </c>
      <c r="K909" t="n">
        <v>0</v>
      </c>
      <c r="L909" t="n">
        <v>0</v>
      </c>
      <c r="M909" t="n">
        <v>0</v>
      </c>
      <c r="N909" t="n">
        <v>0</v>
      </c>
      <c r="O909" t="n">
        <v>0</v>
      </c>
      <c r="P909" t="n">
        <v>0</v>
      </c>
      <c r="Q909" t="n">
        <v>0</v>
      </c>
      <c r="R909" s="2" t="inlineStr"/>
    </row>
    <row r="910" ht="15" customHeight="1">
      <c r="A910" t="inlineStr">
        <is>
          <t>A 63203-2021</t>
        </is>
      </c>
      <c r="B910" s="1" t="n">
        <v>44507.78568287037</v>
      </c>
      <c r="C910" s="1" t="n">
        <v>45928</v>
      </c>
      <c r="D910" t="inlineStr">
        <is>
          <t>VÄRMLANDS LÄN</t>
        </is>
      </c>
      <c r="E910" t="inlineStr">
        <is>
          <t>ÅRJÄNG</t>
        </is>
      </c>
      <c r="G910" t="n">
        <v>2.8</v>
      </c>
      <c r="H910" t="n">
        <v>0</v>
      </c>
      <c r="I910" t="n">
        <v>0</v>
      </c>
      <c r="J910" t="n">
        <v>0</v>
      </c>
      <c r="K910" t="n">
        <v>0</v>
      </c>
      <c r="L910" t="n">
        <v>0</v>
      </c>
      <c r="M910" t="n">
        <v>0</v>
      </c>
      <c r="N910" t="n">
        <v>0</v>
      </c>
      <c r="O910" t="n">
        <v>0</v>
      </c>
      <c r="P910" t="n">
        <v>0</v>
      </c>
      <c r="Q910" t="n">
        <v>0</v>
      </c>
      <c r="R910" s="2" t="inlineStr"/>
    </row>
    <row r="911" ht="15" customHeight="1">
      <c r="A911" t="inlineStr">
        <is>
          <t>A 42045-2024</t>
        </is>
      </c>
      <c r="B911" s="1" t="n">
        <v>45561</v>
      </c>
      <c r="C911" s="1" t="n">
        <v>45928</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8094-2025</t>
        </is>
      </c>
      <c r="B912" s="1" t="n">
        <v>45707.68126157407</v>
      </c>
      <c r="C912" s="1" t="n">
        <v>45928</v>
      </c>
      <c r="D912" t="inlineStr">
        <is>
          <t>VÄRMLANDS LÄN</t>
        </is>
      </c>
      <c r="E912" t="inlineStr">
        <is>
          <t>ÅRJÄNG</t>
        </is>
      </c>
      <c r="G912" t="n">
        <v>12.6</v>
      </c>
      <c r="H912" t="n">
        <v>0</v>
      </c>
      <c r="I912" t="n">
        <v>0</v>
      </c>
      <c r="J912" t="n">
        <v>0</v>
      </c>
      <c r="K912" t="n">
        <v>0</v>
      </c>
      <c r="L912" t="n">
        <v>0</v>
      </c>
      <c r="M912" t="n">
        <v>0</v>
      </c>
      <c r="N912" t="n">
        <v>0</v>
      </c>
      <c r="O912" t="n">
        <v>0</v>
      </c>
      <c r="P912" t="n">
        <v>0</v>
      </c>
      <c r="Q912" t="n">
        <v>0</v>
      </c>
      <c r="R912" s="2" t="inlineStr"/>
    </row>
    <row r="913" ht="15" customHeight="1">
      <c r="A913" t="inlineStr">
        <is>
          <t>A 25495-2024</t>
        </is>
      </c>
      <c r="B913" s="1" t="n">
        <v>45463</v>
      </c>
      <c r="C913" s="1" t="n">
        <v>45928</v>
      </c>
      <c r="D913" t="inlineStr">
        <is>
          <t>VÄRMLANDS LÄN</t>
        </is>
      </c>
      <c r="E913" t="inlineStr">
        <is>
          <t>ÅRJÄNG</t>
        </is>
      </c>
      <c r="F913" t="inlineStr">
        <is>
          <t>Kyrkan</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11793-2023</t>
        </is>
      </c>
      <c r="B914" s="1" t="n">
        <v>44993</v>
      </c>
      <c r="C914" s="1" t="n">
        <v>45928</v>
      </c>
      <c r="D914" t="inlineStr">
        <is>
          <t>VÄRMLANDS LÄN</t>
        </is>
      </c>
      <c r="E914" t="inlineStr">
        <is>
          <t>ÅRJÄNG</t>
        </is>
      </c>
      <c r="G914" t="n">
        <v>1.7</v>
      </c>
      <c r="H914" t="n">
        <v>0</v>
      </c>
      <c r="I914" t="n">
        <v>0</v>
      </c>
      <c r="J914" t="n">
        <v>0</v>
      </c>
      <c r="K914" t="n">
        <v>0</v>
      </c>
      <c r="L914" t="n">
        <v>0</v>
      </c>
      <c r="M914" t="n">
        <v>0</v>
      </c>
      <c r="N914" t="n">
        <v>0</v>
      </c>
      <c r="O914" t="n">
        <v>0</v>
      </c>
      <c r="P914" t="n">
        <v>0</v>
      </c>
      <c r="Q914" t="n">
        <v>0</v>
      </c>
      <c r="R914" s="2" t="inlineStr"/>
    </row>
    <row r="915" ht="15" customHeight="1">
      <c r="A915" t="inlineStr">
        <is>
          <t>A 22281-2025</t>
        </is>
      </c>
      <c r="B915" s="1" t="n">
        <v>45786.33900462963</v>
      </c>
      <c r="C915" s="1" t="n">
        <v>45928</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14788-2025</t>
        </is>
      </c>
      <c r="B916" s="1" t="n">
        <v>45742.78112268518</v>
      </c>
      <c r="C916" s="1" t="n">
        <v>45928</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22032-2023</t>
        </is>
      </c>
      <c r="B917" s="1" t="n">
        <v>45069.35378472223</v>
      </c>
      <c r="C917" s="1" t="n">
        <v>45928</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32367-2023</t>
        </is>
      </c>
      <c r="B918" s="1" t="n">
        <v>45120.57167824074</v>
      </c>
      <c r="C918" s="1" t="n">
        <v>45928</v>
      </c>
      <c r="D918" t="inlineStr">
        <is>
          <t>VÄRMLANDS LÄN</t>
        </is>
      </c>
      <c r="E918" t="inlineStr">
        <is>
          <t>ÅRJÄNG</t>
        </is>
      </c>
      <c r="G918" t="n">
        <v>2.8</v>
      </c>
      <c r="H918" t="n">
        <v>0</v>
      </c>
      <c r="I918" t="n">
        <v>0</v>
      </c>
      <c r="J918" t="n">
        <v>0</v>
      </c>
      <c r="K918" t="n">
        <v>0</v>
      </c>
      <c r="L918" t="n">
        <v>0</v>
      </c>
      <c r="M918" t="n">
        <v>0</v>
      </c>
      <c r="N918" t="n">
        <v>0</v>
      </c>
      <c r="O918" t="n">
        <v>0</v>
      </c>
      <c r="P918" t="n">
        <v>0</v>
      </c>
      <c r="Q918" t="n">
        <v>0</v>
      </c>
      <c r="R918" s="2" t="inlineStr"/>
    </row>
    <row r="919" ht="15" customHeight="1">
      <c r="A919" t="inlineStr">
        <is>
          <t>A 32373-2023</t>
        </is>
      </c>
      <c r="B919" s="1" t="n">
        <v>45120.58025462963</v>
      </c>
      <c r="C919" s="1" t="n">
        <v>45928</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56682-2021</t>
        </is>
      </c>
      <c r="B920" s="1" t="n">
        <v>44481</v>
      </c>
      <c r="C920" s="1" t="n">
        <v>45928</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3968-2025</t>
        </is>
      </c>
      <c r="B921" s="1" t="n">
        <v>45684.51925925926</v>
      </c>
      <c r="C921" s="1" t="n">
        <v>45928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52773-2022</t>
        </is>
      </c>
      <c r="B922" s="1" t="n">
        <v>44875.35628472222</v>
      </c>
      <c r="C922" s="1" t="n">
        <v>45928</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22667-2025</t>
        </is>
      </c>
      <c r="B923" s="1" t="n">
        <v>45789</v>
      </c>
      <c r="C923" s="1" t="n">
        <v>45928</v>
      </c>
      <c r="D923" t="inlineStr">
        <is>
          <t>VÄRMLANDS LÄN</t>
        </is>
      </c>
      <c r="E923" t="inlineStr">
        <is>
          <t>ÅRJÄNG</t>
        </is>
      </c>
      <c r="G923" t="n">
        <v>4.4</v>
      </c>
      <c r="H923" t="n">
        <v>0</v>
      </c>
      <c r="I923" t="n">
        <v>0</v>
      </c>
      <c r="J923" t="n">
        <v>0</v>
      </c>
      <c r="K923" t="n">
        <v>0</v>
      </c>
      <c r="L923" t="n">
        <v>0</v>
      </c>
      <c r="M923" t="n">
        <v>0</v>
      </c>
      <c r="N923" t="n">
        <v>0</v>
      </c>
      <c r="O923" t="n">
        <v>0</v>
      </c>
      <c r="P923" t="n">
        <v>0</v>
      </c>
      <c r="Q923" t="n">
        <v>0</v>
      </c>
      <c r="R923" s="2" t="inlineStr"/>
    </row>
    <row r="924" ht="15" customHeight="1">
      <c r="A924" t="inlineStr">
        <is>
          <t>A 6562-2023</t>
        </is>
      </c>
      <c r="B924" s="1" t="n">
        <v>44966</v>
      </c>
      <c r="C924" s="1" t="n">
        <v>45928</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23039-2025</t>
        </is>
      </c>
      <c r="B925" s="1" t="n">
        <v>45790</v>
      </c>
      <c r="C925" s="1" t="n">
        <v>45928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22556-2025</t>
        </is>
      </c>
      <c r="B926" s="1" t="n">
        <v>45788.93663194445</v>
      </c>
      <c r="C926" s="1" t="n">
        <v>45928</v>
      </c>
      <c r="D926" t="inlineStr">
        <is>
          <t>VÄRMLANDS LÄN</t>
        </is>
      </c>
      <c r="E926" t="inlineStr">
        <is>
          <t>ÅRJÄNG</t>
        </is>
      </c>
      <c r="G926" t="n">
        <v>1.9</v>
      </c>
      <c r="H926" t="n">
        <v>0</v>
      </c>
      <c r="I926" t="n">
        <v>0</v>
      </c>
      <c r="J926" t="n">
        <v>0</v>
      </c>
      <c r="K926" t="n">
        <v>0</v>
      </c>
      <c r="L926" t="n">
        <v>0</v>
      </c>
      <c r="M926" t="n">
        <v>0</v>
      </c>
      <c r="N926" t="n">
        <v>0</v>
      </c>
      <c r="O926" t="n">
        <v>0</v>
      </c>
      <c r="P926" t="n">
        <v>0</v>
      </c>
      <c r="Q926" t="n">
        <v>0</v>
      </c>
      <c r="R926" s="2" t="inlineStr"/>
    </row>
    <row r="927" ht="15" customHeight="1">
      <c r="A927" t="inlineStr">
        <is>
          <t>A 37026-2024</t>
        </is>
      </c>
      <c r="B927" s="1" t="n">
        <v>45539</v>
      </c>
      <c r="C927" s="1" t="n">
        <v>45928</v>
      </c>
      <c r="D927" t="inlineStr">
        <is>
          <t>VÄRMLANDS LÄN</t>
        </is>
      </c>
      <c r="E927" t="inlineStr">
        <is>
          <t>ÅRJÄNG</t>
        </is>
      </c>
      <c r="G927" t="n">
        <v>1.9</v>
      </c>
      <c r="H927" t="n">
        <v>0</v>
      </c>
      <c r="I927" t="n">
        <v>0</v>
      </c>
      <c r="J927" t="n">
        <v>0</v>
      </c>
      <c r="K927" t="n">
        <v>0</v>
      </c>
      <c r="L927" t="n">
        <v>0</v>
      </c>
      <c r="M927" t="n">
        <v>0</v>
      </c>
      <c r="N927" t="n">
        <v>0</v>
      </c>
      <c r="O927" t="n">
        <v>0</v>
      </c>
      <c r="P927" t="n">
        <v>0</v>
      </c>
      <c r="Q927" t="n">
        <v>0</v>
      </c>
      <c r="R927" s="2" t="inlineStr"/>
    </row>
    <row r="928" ht="15" customHeight="1">
      <c r="A928" t="inlineStr">
        <is>
          <t>A 11899-2025</t>
        </is>
      </c>
      <c r="B928" s="1" t="n">
        <v>45728</v>
      </c>
      <c r="C928" s="1" t="n">
        <v>45928</v>
      </c>
      <c r="D928" t="inlineStr">
        <is>
          <t>VÄRMLANDS LÄN</t>
        </is>
      </c>
      <c r="E928" t="inlineStr">
        <is>
          <t>ÅRJÄNG</t>
        </is>
      </c>
      <c r="G928" t="n">
        <v>3.9</v>
      </c>
      <c r="H928" t="n">
        <v>0</v>
      </c>
      <c r="I928" t="n">
        <v>0</v>
      </c>
      <c r="J928" t="n">
        <v>0</v>
      </c>
      <c r="K928" t="n">
        <v>0</v>
      </c>
      <c r="L928" t="n">
        <v>0</v>
      </c>
      <c r="M928" t="n">
        <v>0</v>
      </c>
      <c r="N928" t="n">
        <v>0</v>
      </c>
      <c r="O928" t="n">
        <v>0</v>
      </c>
      <c r="P928" t="n">
        <v>0</v>
      </c>
      <c r="Q928" t="n">
        <v>0</v>
      </c>
      <c r="R928" s="2" t="inlineStr"/>
    </row>
    <row r="929" ht="15" customHeight="1">
      <c r="A929" t="inlineStr">
        <is>
          <t>A 22635-2025</t>
        </is>
      </c>
      <c r="B929" s="1" t="n">
        <v>45789</v>
      </c>
      <c r="C929" s="1" t="n">
        <v>45928</v>
      </c>
      <c r="D929" t="inlineStr">
        <is>
          <t>VÄRMLANDS LÄN</t>
        </is>
      </c>
      <c r="E929" t="inlineStr">
        <is>
          <t>ÅRJÄNG</t>
        </is>
      </c>
      <c r="G929" t="n">
        <v>5.2</v>
      </c>
      <c r="H929" t="n">
        <v>0</v>
      </c>
      <c r="I929" t="n">
        <v>0</v>
      </c>
      <c r="J929" t="n">
        <v>0</v>
      </c>
      <c r="K929" t="n">
        <v>0</v>
      </c>
      <c r="L929" t="n">
        <v>0</v>
      </c>
      <c r="M929" t="n">
        <v>0</v>
      </c>
      <c r="N929" t="n">
        <v>0</v>
      </c>
      <c r="O929" t="n">
        <v>0</v>
      </c>
      <c r="P929" t="n">
        <v>0</v>
      </c>
      <c r="Q929" t="n">
        <v>0</v>
      </c>
      <c r="R929" s="2" t="inlineStr"/>
    </row>
    <row r="930" ht="15" customHeight="1">
      <c r="A930" t="inlineStr">
        <is>
          <t>A 57178-2023</t>
        </is>
      </c>
      <c r="B930" s="1" t="n">
        <v>45240</v>
      </c>
      <c r="C930" s="1" t="n">
        <v>45928</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15574-2025</t>
        </is>
      </c>
      <c r="B931" s="1" t="n">
        <v>45747</v>
      </c>
      <c r="C931" s="1" t="n">
        <v>45928</v>
      </c>
      <c r="D931" t="inlineStr">
        <is>
          <t>VÄRMLANDS LÄN</t>
        </is>
      </c>
      <c r="E931" t="inlineStr">
        <is>
          <t>ÅRJÄNG</t>
        </is>
      </c>
      <c r="G931" t="n">
        <v>2.4</v>
      </c>
      <c r="H931" t="n">
        <v>0</v>
      </c>
      <c r="I931" t="n">
        <v>0</v>
      </c>
      <c r="J931" t="n">
        <v>0</v>
      </c>
      <c r="K931" t="n">
        <v>0</v>
      </c>
      <c r="L931" t="n">
        <v>0</v>
      </c>
      <c r="M931" t="n">
        <v>0</v>
      </c>
      <c r="N931" t="n">
        <v>0</v>
      </c>
      <c r="O931" t="n">
        <v>0</v>
      </c>
      <c r="P931" t="n">
        <v>0</v>
      </c>
      <c r="Q931" t="n">
        <v>0</v>
      </c>
      <c r="R931" s="2" t="inlineStr"/>
    </row>
    <row r="932" ht="15" customHeight="1">
      <c r="A932" t="inlineStr">
        <is>
          <t>A 22727-2025</t>
        </is>
      </c>
      <c r="B932" s="1" t="n">
        <v>45789.5744212963</v>
      </c>
      <c r="C932" s="1" t="n">
        <v>45928</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43659-2024</t>
        </is>
      </c>
      <c r="B933" s="1" t="n">
        <v>45569</v>
      </c>
      <c r="C933" s="1" t="n">
        <v>45928</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71472-2021</t>
        </is>
      </c>
      <c r="B934" s="1" t="n">
        <v>44540</v>
      </c>
      <c r="C934" s="1" t="n">
        <v>45928</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56329-2024</t>
        </is>
      </c>
      <c r="B935" s="1" t="n">
        <v>45624.79435185185</v>
      </c>
      <c r="C935" s="1" t="n">
        <v>45928</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7098-2024</t>
        </is>
      </c>
      <c r="B936" s="1" t="n">
        <v>45343</v>
      </c>
      <c r="C936" s="1" t="n">
        <v>45928</v>
      </c>
      <c r="D936" t="inlineStr">
        <is>
          <t>VÄRMLANDS LÄN</t>
        </is>
      </c>
      <c r="E936" t="inlineStr">
        <is>
          <t>ÅRJÄNG</t>
        </is>
      </c>
      <c r="G936" t="n">
        <v>5</v>
      </c>
      <c r="H936" t="n">
        <v>0</v>
      </c>
      <c r="I936" t="n">
        <v>0</v>
      </c>
      <c r="J936" t="n">
        <v>0</v>
      </c>
      <c r="K936" t="n">
        <v>0</v>
      </c>
      <c r="L936" t="n">
        <v>0</v>
      </c>
      <c r="M936" t="n">
        <v>0</v>
      </c>
      <c r="N936" t="n">
        <v>0</v>
      </c>
      <c r="O936" t="n">
        <v>0</v>
      </c>
      <c r="P936" t="n">
        <v>0</v>
      </c>
      <c r="Q936" t="n">
        <v>0</v>
      </c>
      <c r="R936" s="2" t="inlineStr"/>
    </row>
    <row r="937" ht="15" customHeight="1">
      <c r="A937" t="inlineStr">
        <is>
          <t>A 7100-2024</t>
        </is>
      </c>
      <c r="B937" s="1" t="n">
        <v>45343</v>
      </c>
      <c r="C937" s="1" t="n">
        <v>45928</v>
      </c>
      <c r="D937" t="inlineStr">
        <is>
          <t>VÄRMLANDS LÄN</t>
        </is>
      </c>
      <c r="E937" t="inlineStr">
        <is>
          <t>ÅRJÄNG</t>
        </is>
      </c>
      <c r="G937" t="n">
        <v>6.5</v>
      </c>
      <c r="H937" t="n">
        <v>0</v>
      </c>
      <c r="I937" t="n">
        <v>0</v>
      </c>
      <c r="J937" t="n">
        <v>0</v>
      </c>
      <c r="K937" t="n">
        <v>0</v>
      </c>
      <c r="L937" t="n">
        <v>0</v>
      </c>
      <c r="M937" t="n">
        <v>0</v>
      </c>
      <c r="N937" t="n">
        <v>0</v>
      </c>
      <c r="O937" t="n">
        <v>0</v>
      </c>
      <c r="P937" t="n">
        <v>0</v>
      </c>
      <c r="Q937" t="n">
        <v>0</v>
      </c>
      <c r="R937" s="2" t="inlineStr"/>
    </row>
    <row r="938" ht="15" customHeight="1">
      <c r="A938" t="inlineStr">
        <is>
          <t>A 45651-2024</t>
        </is>
      </c>
      <c r="B938" s="1" t="n">
        <v>45579</v>
      </c>
      <c r="C938" s="1" t="n">
        <v>45928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70591-2021</t>
        </is>
      </c>
      <c r="B939" s="1" t="n">
        <v>44537.41471064815</v>
      </c>
      <c r="C939" s="1" t="n">
        <v>45928</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62266-2023</t>
        </is>
      </c>
      <c r="B940" s="1" t="n">
        <v>45266</v>
      </c>
      <c r="C940" s="1" t="n">
        <v>45928</v>
      </c>
      <c r="D940" t="inlineStr">
        <is>
          <t>VÄRMLANDS LÄN</t>
        </is>
      </c>
      <c r="E940" t="inlineStr">
        <is>
          <t>ÅRJÄNG</t>
        </is>
      </c>
      <c r="G940" t="n">
        <v>10.5</v>
      </c>
      <c r="H940" t="n">
        <v>0</v>
      </c>
      <c r="I940" t="n">
        <v>0</v>
      </c>
      <c r="J940" t="n">
        <v>0</v>
      </c>
      <c r="K940" t="n">
        <v>0</v>
      </c>
      <c r="L940" t="n">
        <v>0</v>
      </c>
      <c r="M940" t="n">
        <v>0</v>
      </c>
      <c r="N940" t="n">
        <v>0</v>
      </c>
      <c r="O940" t="n">
        <v>0</v>
      </c>
      <c r="P940" t="n">
        <v>0</v>
      </c>
      <c r="Q940" t="n">
        <v>0</v>
      </c>
      <c r="R940" s="2" t="inlineStr"/>
    </row>
    <row r="941" ht="15" customHeight="1">
      <c r="A941" t="inlineStr">
        <is>
          <t>A 36563-2024</t>
        </is>
      </c>
      <c r="B941" s="1" t="n">
        <v>45537</v>
      </c>
      <c r="C941" s="1" t="n">
        <v>45928</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58491-2023</t>
        </is>
      </c>
      <c r="B942" s="1" t="n">
        <v>45246</v>
      </c>
      <c r="C942" s="1" t="n">
        <v>45928</v>
      </c>
      <c r="D942" t="inlineStr">
        <is>
          <t>VÄRMLANDS LÄN</t>
        </is>
      </c>
      <c r="E942" t="inlineStr">
        <is>
          <t>ÅRJÄNG</t>
        </is>
      </c>
      <c r="G942" t="n">
        <v>11.4</v>
      </c>
      <c r="H942" t="n">
        <v>0</v>
      </c>
      <c r="I942" t="n">
        <v>0</v>
      </c>
      <c r="J942" t="n">
        <v>0</v>
      </c>
      <c r="K942" t="n">
        <v>0</v>
      </c>
      <c r="L942" t="n">
        <v>0</v>
      </c>
      <c r="M942" t="n">
        <v>0</v>
      </c>
      <c r="N942" t="n">
        <v>0</v>
      </c>
      <c r="O942" t="n">
        <v>0</v>
      </c>
      <c r="P942" t="n">
        <v>0</v>
      </c>
      <c r="Q942" t="n">
        <v>0</v>
      </c>
      <c r="R942" s="2" t="inlineStr"/>
    </row>
    <row r="943" ht="15" customHeight="1">
      <c r="A943" t="inlineStr">
        <is>
          <t>A 60191-2023</t>
        </is>
      </c>
      <c r="B943" s="1" t="n">
        <v>45257</v>
      </c>
      <c r="C943" s="1" t="n">
        <v>45928</v>
      </c>
      <c r="D943" t="inlineStr">
        <is>
          <t>VÄRMLANDS LÄN</t>
        </is>
      </c>
      <c r="E943" t="inlineStr">
        <is>
          <t>ÅRJÄNG</t>
        </is>
      </c>
      <c r="G943" t="n">
        <v>7.6</v>
      </c>
      <c r="H943" t="n">
        <v>0</v>
      </c>
      <c r="I943" t="n">
        <v>0</v>
      </c>
      <c r="J943" t="n">
        <v>0</v>
      </c>
      <c r="K943" t="n">
        <v>0</v>
      </c>
      <c r="L943" t="n">
        <v>0</v>
      </c>
      <c r="M943" t="n">
        <v>0</v>
      </c>
      <c r="N943" t="n">
        <v>0</v>
      </c>
      <c r="O943" t="n">
        <v>0</v>
      </c>
      <c r="P943" t="n">
        <v>0</v>
      </c>
      <c r="Q943" t="n">
        <v>0</v>
      </c>
      <c r="R943" s="2" t="inlineStr"/>
    </row>
    <row r="944" ht="15" customHeight="1">
      <c r="A944" t="inlineStr">
        <is>
          <t>A 4784-2023</t>
        </is>
      </c>
      <c r="B944" s="1" t="n">
        <v>44957.59476851852</v>
      </c>
      <c r="C944" s="1" t="n">
        <v>45928</v>
      </c>
      <c r="D944" t="inlineStr">
        <is>
          <t>VÄRMLANDS LÄN</t>
        </is>
      </c>
      <c r="E944" t="inlineStr">
        <is>
          <t>ÅRJÄNG</t>
        </is>
      </c>
      <c r="G944" t="n">
        <v>0.9</v>
      </c>
      <c r="H944" t="n">
        <v>0</v>
      </c>
      <c r="I944" t="n">
        <v>0</v>
      </c>
      <c r="J944" t="n">
        <v>0</v>
      </c>
      <c r="K944" t="n">
        <v>0</v>
      </c>
      <c r="L944" t="n">
        <v>0</v>
      </c>
      <c r="M944" t="n">
        <v>0</v>
      </c>
      <c r="N944" t="n">
        <v>0</v>
      </c>
      <c r="O944" t="n">
        <v>0</v>
      </c>
      <c r="P944" t="n">
        <v>0</v>
      </c>
      <c r="Q944" t="n">
        <v>0</v>
      </c>
      <c r="R944" s="2" t="inlineStr"/>
    </row>
    <row r="945" ht="15" customHeight="1">
      <c r="A945" t="inlineStr">
        <is>
          <t>A 55901-2023</t>
        </is>
      </c>
      <c r="B945" s="1" t="n">
        <v>45239.86618055555</v>
      </c>
      <c r="C945" s="1" t="n">
        <v>45928</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43029-2021</t>
        </is>
      </c>
      <c r="B946" s="1" t="n">
        <v>44431.49302083333</v>
      </c>
      <c r="C946" s="1" t="n">
        <v>45928</v>
      </c>
      <c r="D946" t="inlineStr">
        <is>
          <t>VÄRMLANDS LÄN</t>
        </is>
      </c>
      <c r="E946" t="inlineStr">
        <is>
          <t>ÅRJÄNG</t>
        </is>
      </c>
      <c r="G946" t="n">
        <v>5.5</v>
      </c>
      <c r="H946" t="n">
        <v>0</v>
      </c>
      <c r="I946" t="n">
        <v>0</v>
      </c>
      <c r="J946" t="n">
        <v>0</v>
      </c>
      <c r="K946" t="n">
        <v>0</v>
      </c>
      <c r="L946" t="n">
        <v>0</v>
      </c>
      <c r="M946" t="n">
        <v>0</v>
      </c>
      <c r="N946" t="n">
        <v>0</v>
      </c>
      <c r="O946" t="n">
        <v>0</v>
      </c>
      <c r="P946" t="n">
        <v>0</v>
      </c>
      <c r="Q946" t="n">
        <v>0</v>
      </c>
      <c r="R946" s="2" t="inlineStr"/>
    </row>
    <row r="947" ht="15" customHeight="1">
      <c r="A947" t="inlineStr">
        <is>
          <t>A 69839-2021</t>
        </is>
      </c>
      <c r="B947" s="1" t="n">
        <v>44532</v>
      </c>
      <c r="C947" s="1" t="n">
        <v>45928</v>
      </c>
      <c r="D947" t="inlineStr">
        <is>
          <t>VÄRMLANDS LÄN</t>
        </is>
      </c>
      <c r="E947" t="inlineStr">
        <is>
          <t>ÅRJÄNG</t>
        </is>
      </c>
      <c r="G947" t="n">
        <v>3.1</v>
      </c>
      <c r="H947" t="n">
        <v>0</v>
      </c>
      <c r="I947" t="n">
        <v>0</v>
      </c>
      <c r="J947" t="n">
        <v>0</v>
      </c>
      <c r="K947" t="n">
        <v>0</v>
      </c>
      <c r="L947" t="n">
        <v>0</v>
      </c>
      <c r="M947" t="n">
        <v>0</v>
      </c>
      <c r="N947" t="n">
        <v>0</v>
      </c>
      <c r="O947" t="n">
        <v>0</v>
      </c>
      <c r="P947" t="n">
        <v>0</v>
      </c>
      <c r="Q947" t="n">
        <v>0</v>
      </c>
      <c r="R947" s="2" t="inlineStr"/>
    </row>
    <row r="948" ht="15" customHeight="1">
      <c r="A948" t="inlineStr">
        <is>
          <t>A 1377-2023</t>
        </is>
      </c>
      <c r="B948" s="1" t="n">
        <v>44936.67111111111</v>
      </c>
      <c r="C948" s="1" t="n">
        <v>45928</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3734-2023</t>
        </is>
      </c>
      <c r="B949" s="1" t="n">
        <v>44948</v>
      </c>
      <c r="C949" s="1" t="n">
        <v>45928</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1289-2025</t>
        </is>
      </c>
      <c r="B950" s="1" t="n">
        <v>45667.51412037037</v>
      </c>
      <c r="C950" s="1" t="n">
        <v>45928</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34350-2023</t>
        </is>
      </c>
      <c r="B951" s="1" t="n">
        <v>45139.40969907407</v>
      </c>
      <c r="C951" s="1" t="n">
        <v>45928</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7619-2023</t>
        </is>
      </c>
      <c r="B952" s="1" t="n">
        <v>44967</v>
      </c>
      <c r="C952" s="1" t="n">
        <v>45928</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30993-2024</t>
        </is>
      </c>
      <c r="B953" s="1" t="n">
        <v>45499</v>
      </c>
      <c r="C953" s="1" t="n">
        <v>45928</v>
      </c>
      <c r="D953" t="inlineStr">
        <is>
          <t>VÄRMLANDS LÄN</t>
        </is>
      </c>
      <c r="E953" t="inlineStr">
        <is>
          <t>ÅRJÄNG</t>
        </is>
      </c>
      <c r="F953" t="inlineStr">
        <is>
          <t>Kyrkan</t>
        </is>
      </c>
      <c r="G953" t="n">
        <v>4.7</v>
      </c>
      <c r="H953" t="n">
        <v>0</v>
      </c>
      <c r="I953" t="n">
        <v>0</v>
      </c>
      <c r="J953" t="n">
        <v>0</v>
      </c>
      <c r="K953" t="n">
        <v>0</v>
      </c>
      <c r="L953" t="n">
        <v>0</v>
      </c>
      <c r="M953" t="n">
        <v>0</v>
      </c>
      <c r="N953" t="n">
        <v>0</v>
      </c>
      <c r="O953" t="n">
        <v>0</v>
      </c>
      <c r="P953" t="n">
        <v>0</v>
      </c>
      <c r="Q953" t="n">
        <v>0</v>
      </c>
      <c r="R953" s="2" t="inlineStr"/>
    </row>
    <row r="954" ht="15" customHeight="1">
      <c r="A954" t="inlineStr">
        <is>
          <t>A 60377-2022</t>
        </is>
      </c>
      <c r="B954" s="1" t="n">
        <v>44904</v>
      </c>
      <c r="C954" s="1" t="n">
        <v>45928</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65844-2021</t>
        </is>
      </c>
      <c r="B955" s="1" t="n">
        <v>44517.36067129629</v>
      </c>
      <c r="C955" s="1" t="n">
        <v>45928</v>
      </c>
      <c r="D955" t="inlineStr">
        <is>
          <t>VÄRMLANDS LÄN</t>
        </is>
      </c>
      <c r="E955" t="inlineStr">
        <is>
          <t>ÅRJÄNG</t>
        </is>
      </c>
      <c r="G955" t="n">
        <v>4.6</v>
      </c>
      <c r="H955" t="n">
        <v>0</v>
      </c>
      <c r="I955" t="n">
        <v>0</v>
      </c>
      <c r="J955" t="n">
        <v>0</v>
      </c>
      <c r="K955" t="n">
        <v>0</v>
      </c>
      <c r="L955" t="n">
        <v>0</v>
      </c>
      <c r="M955" t="n">
        <v>0</v>
      </c>
      <c r="N955" t="n">
        <v>0</v>
      </c>
      <c r="O955" t="n">
        <v>0</v>
      </c>
      <c r="P955" t="n">
        <v>0</v>
      </c>
      <c r="Q955" t="n">
        <v>0</v>
      </c>
      <c r="R955" s="2" t="inlineStr"/>
    </row>
    <row r="956" ht="15" customHeight="1">
      <c r="A956" t="inlineStr">
        <is>
          <t>A 46315-2024</t>
        </is>
      </c>
      <c r="B956" s="1" t="n">
        <v>45581.73703703703</v>
      </c>
      <c r="C956" s="1" t="n">
        <v>45928</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14910-2025</t>
        </is>
      </c>
      <c r="B957" s="1" t="n">
        <v>45743.52327546296</v>
      </c>
      <c r="C957" s="1" t="n">
        <v>45928</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521-2025</t>
        </is>
      </c>
      <c r="B958" s="1" t="n">
        <v>45664.48826388889</v>
      </c>
      <c r="C958" s="1" t="n">
        <v>45928</v>
      </c>
      <c r="D958" t="inlineStr">
        <is>
          <t>VÄRMLANDS LÄN</t>
        </is>
      </c>
      <c r="E958" t="inlineStr">
        <is>
          <t>ÅRJÄNG</t>
        </is>
      </c>
      <c r="G958" t="n">
        <v>2.7</v>
      </c>
      <c r="H958" t="n">
        <v>0</v>
      </c>
      <c r="I958" t="n">
        <v>0</v>
      </c>
      <c r="J958" t="n">
        <v>0</v>
      </c>
      <c r="K958" t="n">
        <v>0</v>
      </c>
      <c r="L958" t="n">
        <v>0</v>
      </c>
      <c r="M958" t="n">
        <v>0</v>
      </c>
      <c r="N958" t="n">
        <v>0</v>
      </c>
      <c r="O958" t="n">
        <v>0</v>
      </c>
      <c r="P958" t="n">
        <v>0</v>
      </c>
      <c r="Q958" t="n">
        <v>0</v>
      </c>
      <c r="R958" s="2" t="inlineStr"/>
    </row>
    <row r="959" ht="15" customHeight="1">
      <c r="A959" t="inlineStr">
        <is>
          <t>A 68687-2020</t>
        </is>
      </c>
      <c r="B959" s="1" t="n">
        <v>44187</v>
      </c>
      <c r="C959" s="1" t="n">
        <v>45928</v>
      </c>
      <c r="D959" t="inlineStr">
        <is>
          <t>VÄRMLANDS LÄN</t>
        </is>
      </c>
      <c r="E959" t="inlineStr">
        <is>
          <t>ÅRJÄNG</t>
        </is>
      </c>
      <c r="G959" t="n">
        <v>7.6</v>
      </c>
      <c r="H959" t="n">
        <v>0</v>
      </c>
      <c r="I959" t="n">
        <v>0</v>
      </c>
      <c r="J959" t="n">
        <v>0</v>
      </c>
      <c r="K959" t="n">
        <v>0</v>
      </c>
      <c r="L959" t="n">
        <v>0</v>
      </c>
      <c r="M959" t="n">
        <v>0</v>
      </c>
      <c r="N959" t="n">
        <v>0</v>
      </c>
      <c r="O959" t="n">
        <v>0</v>
      </c>
      <c r="P959" t="n">
        <v>0</v>
      </c>
      <c r="Q959" t="n">
        <v>0</v>
      </c>
      <c r="R959" s="2" t="inlineStr"/>
    </row>
    <row r="960" ht="15" customHeight="1">
      <c r="A960" t="inlineStr">
        <is>
          <t>A 34643-2024</t>
        </is>
      </c>
      <c r="B960" s="1" t="n">
        <v>45526</v>
      </c>
      <c r="C960" s="1" t="n">
        <v>45928</v>
      </c>
      <c r="D960" t="inlineStr">
        <is>
          <t>VÄRMLANDS LÄN</t>
        </is>
      </c>
      <c r="E960" t="inlineStr">
        <is>
          <t>ÅRJÄNG</t>
        </is>
      </c>
      <c r="G960" t="n">
        <v>3.4</v>
      </c>
      <c r="H960" t="n">
        <v>0</v>
      </c>
      <c r="I960" t="n">
        <v>0</v>
      </c>
      <c r="J960" t="n">
        <v>0</v>
      </c>
      <c r="K960" t="n">
        <v>0</v>
      </c>
      <c r="L960" t="n">
        <v>0</v>
      </c>
      <c r="M960" t="n">
        <v>0</v>
      </c>
      <c r="N960" t="n">
        <v>0</v>
      </c>
      <c r="O960" t="n">
        <v>0</v>
      </c>
      <c r="P960" t="n">
        <v>0</v>
      </c>
      <c r="Q960" t="n">
        <v>0</v>
      </c>
      <c r="R960" s="2" t="inlineStr"/>
    </row>
    <row r="961" ht="15" customHeight="1">
      <c r="A961" t="inlineStr">
        <is>
          <t>A 4606-2024</t>
        </is>
      </c>
      <c r="B961" s="1" t="n">
        <v>45328.3225</v>
      </c>
      <c r="C961" s="1" t="n">
        <v>45928</v>
      </c>
      <c r="D961" t="inlineStr">
        <is>
          <t>VÄRMLANDS LÄN</t>
        </is>
      </c>
      <c r="E961" t="inlineStr">
        <is>
          <t>ÅRJÄNG</t>
        </is>
      </c>
      <c r="G961" t="n">
        <v>3.9</v>
      </c>
      <c r="H961" t="n">
        <v>0</v>
      </c>
      <c r="I961" t="n">
        <v>0</v>
      </c>
      <c r="J961" t="n">
        <v>0</v>
      </c>
      <c r="K961" t="n">
        <v>0</v>
      </c>
      <c r="L961" t="n">
        <v>0</v>
      </c>
      <c r="M961" t="n">
        <v>0</v>
      </c>
      <c r="N961" t="n">
        <v>0</v>
      </c>
      <c r="O961" t="n">
        <v>0</v>
      </c>
      <c r="P961" t="n">
        <v>0</v>
      </c>
      <c r="Q961" t="n">
        <v>0</v>
      </c>
      <c r="R961" s="2" t="inlineStr"/>
    </row>
    <row r="962" ht="15" customHeight="1">
      <c r="A962" t="inlineStr">
        <is>
          <t>A 53332-2023</t>
        </is>
      </c>
      <c r="B962" s="1" t="n">
        <v>45229</v>
      </c>
      <c r="C962" s="1" t="n">
        <v>45928</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37220-2024</t>
        </is>
      </c>
      <c r="B963" s="1" t="n">
        <v>45539.84837962963</v>
      </c>
      <c r="C963" s="1" t="n">
        <v>45928</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12006-2023</t>
        </is>
      </c>
      <c r="B964" s="1" t="n">
        <v>44995.61495370371</v>
      </c>
      <c r="C964" s="1" t="n">
        <v>45928</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45797.40376157407</v>
      </c>
      <c r="C965" s="1" t="n">
        <v>45928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41201-2024</t>
        </is>
      </c>
      <c r="B966" s="1" t="n">
        <v>45559</v>
      </c>
      <c r="C966" s="1" t="n">
        <v>45928</v>
      </c>
      <c r="D966" t="inlineStr">
        <is>
          <t>VÄRMLANDS LÄN</t>
        </is>
      </c>
      <c r="E966" t="inlineStr">
        <is>
          <t>ÅRJÄNG</t>
        </is>
      </c>
      <c r="G966" t="n">
        <v>4.1</v>
      </c>
      <c r="H966" t="n">
        <v>0</v>
      </c>
      <c r="I966" t="n">
        <v>0</v>
      </c>
      <c r="J966" t="n">
        <v>0</v>
      </c>
      <c r="K966" t="n">
        <v>0</v>
      </c>
      <c r="L966" t="n">
        <v>0</v>
      </c>
      <c r="M966" t="n">
        <v>0</v>
      </c>
      <c r="N966" t="n">
        <v>0</v>
      </c>
      <c r="O966" t="n">
        <v>0</v>
      </c>
      <c r="P966" t="n">
        <v>0</v>
      </c>
      <c r="Q966" t="n">
        <v>0</v>
      </c>
      <c r="R966" s="2" t="inlineStr"/>
    </row>
    <row r="967" ht="15" customHeight="1">
      <c r="A967" t="inlineStr">
        <is>
          <t>A 52803-2024</t>
        </is>
      </c>
      <c r="B967" s="1" t="n">
        <v>45610</v>
      </c>
      <c r="C967" s="1" t="n">
        <v>45928</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24983-2025</t>
        </is>
      </c>
      <c r="B968" s="1" t="n">
        <v>45799.59841435185</v>
      </c>
      <c r="C968" s="1" t="n">
        <v>45928</v>
      </c>
      <c r="D968" t="inlineStr">
        <is>
          <t>VÄRMLANDS LÄN</t>
        </is>
      </c>
      <c r="E968" t="inlineStr">
        <is>
          <t>ÅRJÄNG</t>
        </is>
      </c>
      <c r="G968" t="n">
        <v>1.5</v>
      </c>
      <c r="H968" t="n">
        <v>0</v>
      </c>
      <c r="I968" t="n">
        <v>0</v>
      </c>
      <c r="J968" t="n">
        <v>0</v>
      </c>
      <c r="K968" t="n">
        <v>0</v>
      </c>
      <c r="L968" t="n">
        <v>0</v>
      </c>
      <c r="M968" t="n">
        <v>0</v>
      </c>
      <c r="N968" t="n">
        <v>0</v>
      </c>
      <c r="O968" t="n">
        <v>0</v>
      </c>
      <c r="P968" t="n">
        <v>0</v>
      </c>
      <c r="Q968" t="n">
        <v>0</v>
      </c>
      <c r="R968" s="2" t="inlineStr"/>
    </row>
    <row r="969" ht="15" customHeight="1">
      <c r="A969" t="inlineStr">
        <is>
          <t>A 6405-2024</t>
        </is>
      </c>
      <c r="B969" s="1" t="n">
        <v>45338</v>
      </c>
      <c r="C969" s="1" t="n">
        <v>45928</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13859-2023</t>
        </is>
      </c>
      <c r="B970" s="1" t="n">
        <v>45007.63384259259</v>
      </c>
      <c r="C970" s="1" t="n">
        <v>45928</v>
      </c>
      <c r="D970" t="inlineStr">
        <is>
          <t>VÄRMLANDS LÄN</t>
        </is>
      </c>
      <c r="E970" t="inlineStr">
        <is>
          <t>ÅRJÄNG</t>
        </is>
      </c>
      <c r="G970" t="n">
        <v>3</v>
      </c>
      <c r="H970" t="n">
        <v>0</v>
      </c>
      <c r="I970" t="n">
        <v>0</v>
      </c>
      <c r="J970" t="n">
        <v>0</v>
      </c>
      <c r="K970" t="n">
        <v>0</v>
      </c>
      <c r="L970" t="n">
        <v>0</v>
      </c>
      <c r="M970" t="n">
        <v>0</v>
      </c>
      <c r="N970" t="n">
        <v>0</v>
      </c>
      <c r="O970" t="n">
        <v>0</v>
      </c>
      <c r="P970" t="n">
        <v>0</v>
      </c>
      <c r="Q970" t="n">
        <v>0</v>
      </c>
      <c r="R970" s="2" t="inlineStr"/>
    </row>
    <row r="971" ht="15" customHeight="1">
      <c r="A971" t="inlineStr">
        <is>
          <t>A 26258-2025</t>
        </is>
      </c>
      <c r="B971" s="1" t="n">
        <v>45805.58349537037</v>
      </c>
      <c r="C971" s="1" t="n">
        <v>45928</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63796-2021</t>
        </is>
      </c>
      <c r="B972" s="1" t="n">
        <v>44509</v>
      </c>
      <c r="C972" s="1" t="n">
        <v>45928</v>
      </c>
      <c r="D972" t="inlineStr">
        <is>
          <t>VÄRMLANDS LÄN</t>
        </is>
      </c>
      <c r="E972" t="inlineStr">
        <is>
          <t>ÅRJÄNG</t>
        </is>
      </c>
      <c r="G972" t="n">
        <v>2.1</v>
      </c>
      <c r="H972" t="n">
        <v>0</v>
      </c>
      <c r="I972" t="n">
        <v>0</v>
      </c>
      <c r="J972" t="n">
        <v>0</v>
      </c>
      <c r="K972" t="n">
        <v>0</v>
      </c>
      <c r="L972" t="n">
        <v>0</v>
      </c>
      <c r="M972" t="n">
        <v>0</v>
      </c>
      <c r="N972" t="n">
        <v>0</v>
      </c>
      <c r="O972" t="n">
        <v>0</v>
      </c>
      <c r="P972" t="n">
        <v>0</v>
      </c>
      <c r="Q972" t="n">
        <v>0</v>
      </c>
      <c r="R972" s="2" t="inlineStr"/>
    </row>
    <row r="973" ht="15" customHeight="1">
      <c r="A973" t="inlineStr">
        <is>
          <t>A 5319-2025</t>
        </is>
      </c>
      <c r="B973" s="1" t="n">
        <v>45692.52384259259</v>
      </c>
      <c r="C973" s="1" t="n">
        <v>45928</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12840-2025</t>
        </is>
      </c>
      <c r="B974" s="1" t="n">
        <v>45733</v>
      </c>
      <c r="C974" s="1" t="n">
        <v>45928</v>
      </c>
      <c r="D974" t="inlineStr">
        <is>
          <t>VÄRMLANDS LÄN</t>
        </is>
      </c>
      <c r="E974" t="inlineStr">
        <is>
          <t>ÅRJÄNG</t>
        </is>
      </c>
      <c r="G974" t="n">
        <v>2.2</v>
      </c>
      <c r="H974" t="n">
        <v>0</v>
      </c>
      <c r="I974" t="n">
        <v>0</v>
      </c>
      <c r="J974" t="n">
        <v>0</v>
      </c>
      <c r="K974" t="n">
        <v>0</v>
      </c>
      <c r="L974" t="n">
        <v>0</v>
      </c>
      <c r="M974" t="n">
        <v>0</v>
      </c>
      <c r="N974" t="n">
        <v>0</v>
      </c>
      <c r="O974" t="n">
        <v>0</v>
      </c>
      <c r="P974" t="n">
        <v>0</v>
      </c>
      <c r="Q974" t="n">
        <v>0</v>
      </c>
      <c r="R974" s="2" t="inlineStr"/>
    </row>
    <row r="975" ht="15" customHeight="1">
      <c r="A975" t="inlineStr">
        <is>
          <t>A 50941-2023</t>
        </is>
      </c>
      <c r="B975" s="1" t="n">
        <v>45218</v>
      </c>
      <c r="C975" s="1" t="n">
        <v>45928</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57651-2024</t>
        </is>
      </c>
      <c r="B976" s="1" t="n">
        <v>45630</v>
      </c>
      <c r="C976" s="1" t="n">
        <v>45928</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8146-2024</t>
        </is>
      </c>
      <c r="B977" s="1" t="n">
        <v>45351.57671296296</v>
      </c>
      <c r="C977" s="1" t="n">
        <v>45928</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26758-2025</t>
        </is>
      </c>
      <c r="B978" s="1" t="n">
        <v>45807</v>
      </c>
      <c r="C978" s="1" t="n">
        <v>45928</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28317-2023</t>
        </is>
      </c>
      <c r="B979" s="1" t="n">
        <v>45099</v>
      </c>
      <c r="C979" s="1" t="n">
        <v>45928</v>
      </c>
      <c r="D979" t="inlineStr">
        <is>
          <t>VÄRMLANDS LÄN</t>
        </is>
      </c>
      <c r="E979" t="inlineStr">
        <is>
          <t>ÅRJÄNG</t>
        </is>
      </c>
      <c r="G979" t="n">
        <v>10.2</v>
      </c>
      <c r="H979" t="n">
        <v>0</v>
      </c>
      <c r="I979" t="n">
        <v>0</v>
      </c>
      <c r="J979" t="n">
        <v>0</v>
      </c>
      <c r="K979" t="n">
        <v>0</v>
      </c>
      <c r="L979" t="n">
        <v>0</v>
      </c>
      <c r="M979" t="n">
        <v>0</v>
      </c>
      <c r="N979" t="n">
        <v>0</v>
      </c>
      <c r="O979" t="n">
        <v>0</v>
      </c>
      <c r="P979" t="n">
        <v>0</v>
      </c>
      <c r="Q979" t="n">
        <v>0</v>
      </c>
      <c r="R979" s="2" t="inlineStr"/>
    </row>
    <row r="980" ht="15" customHeight="1">
      <c r="A980" t="inlineStr">
        <is>
          <t>A 35133-2024</t>
        </is>
      </c>
      <c r="B980" s="1" t="n">
        <v>45529</v>
      </c>
      <c r="C980" s="1" t="n">
        <v>45928</v>
      </c>
      <c r="D980" t="inlineStr">
        <is>
          <t>VÄRMLANDS LÄN</t>
        </is>
      </c>
      <c r="E980" t="inlineStr">
        <is>
          <t>ÅRJÄNG</t>
        </is>
      </c>
      <c r="G980" t="n">
        <v>10.2</v>
      </c>
      <c r="H980" t="n">
        <v>0</v>
      </c>
      <c r="I980" t="n">
        <v>0</v>
      </c>
      <c r="J980" t="n">
        <v>0</v>
      </c>
      <c r="K980" t="n">
        <v>0</v>
      </c>
      <c r="L980" t="n">
        <v>0</v>
      </c>
      <c r="M980" t="n">
        <v>0</v>
      </c>
      <c r="N980" t="n">
        <v>0</v>
      </c>
      <c r="O980" t="n">
        <v>0</v>
      </c>
      <c r="P980" t="n">
        <v>0</v>
      </c>
      <c r="Q980" t="n">
        <v>0</v>
      </c>
      <c r="R980" s="2" t="inlineStr"/>
    </row>
    <row r="981" ht="15" customHeight="1">
      <c r="A981" t="inlineStr">
        <is>
          <t>A 4465-2022</t>
        </is>
      </c>
      <c r="B981" s="1" t="n">
        <v>44589.60690972222</v>
      </c>
      <c r="C981" s="1" t="n">
        <v>45928</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26728-2025</t>
        </is>
      </c>
      <c r="B982" s="1" t="n">
        <v>45810.50186342592</v>
      </c>
      <c r="C982" s="1" t="n">
        <v>45928</v>
      </c>
      <c r="D982" t="inlineStr">
        <is>
          <t>VÄRMLANDS LÄN</t>
        </is>
      </c>
      <c r="E982" t="inlineStr">
        <is>
          <t>ÅRJÄNG</t>
        </is>
      </c>
      <c r="G982" t="n">
        <v>1.4</v>
      </c>
      <c r="H982" t="n">
        <v>0</v>
      </c>
      <c r="I982" t="n">
        <v>0</v>
      </c>
      <c r="J982" t="n">
        <v>0</v>
      </c>
      <c r="K982" t="n">
        <v>0</v>
      </c>
      <c r="L982" t="n">
        <v>0</v>
      </c>
      <c r="M982" t="n">
        <v>0</v>
      </c>
      <c r="N982" t="n">
        <v>0</v>
      </c>
      <c r="O982" t="n">
        <v>0</v>
      </c>
      <c r="P982" t="n">
        <v>0</v>
      </c>
      <c r="Q982" t="n">
        <v>0</v>
      </c>
      <c r="R982" s="2" t="inlineStr"/>
    </row>
    <row r="983" ht="15" customHeight="1">
      <c r="A983" t="inlineStr">
        <is>
          <t>A 58874-2023</t>
        </is>
      </c>
      <c r="B983" s="1" t="n">
        <v>45252</v>
      </c>
      <c r="C983" s="1" t="n">
        <v>45928</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24789-2024</t>
        </is>
      </c>
      <c r="B984" s="1" t="n">
        <v>45460</v>
      </c>
      <c r="C984" s="1" t="n">
        <v>45928</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62357-2021</t>
        </is>
      </c>
      <c r="B985" s="1" t="n">
        <v>44503.45271990741</v>
      </c>
      <c r="C985" s="1" t="n">
        <v>45928</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55432-2024</t>
        </is>
      </c>
      <c r="B986" s="1" t="n">
        <v>45622</v>
      </c>
      <c r="C986" s="1" t="n">
        <v>45928</v>
      </c>
      <c r="D986" t="inlineStr">
        <is>
          <t>VÄRMLANDS LÄN</t>
        </is>
      </c>
      <c r="E986" t="inlineStr">
        <is>
          <t>ÅRJÄNG</t>
        </is>
      </c>
      <c r="G986" t="n">
        <v>6.9</v>
      </c>
      <c r="H986" t="n">
        <v>0</v>
      </c>
      <c r="I986" t="n">
        <v>0</v>
      </c>
      <c r="J986" t="n">
        <v>0</v>
      </c>
      <c r="K986" t="n">
        <v>0</v>
      </c>
      <c r="L986" t="n">
        <v>0</v>
      </c>
      <c r="M986" t="n">
        <v>0</v>
      </c>
      <c r="N986" t="n">
        <v>0</v>
      </c>
      <c r="O986" t="n">
        <v>0</v>
      </c>
      <c r="P986" t="n">
        <v>0</v>
      </c>
      <c r="Q986" t="n">
        <v>0</v>
      </c>
      <c r="R986" s="2" t="inlineStr"/>
    </row>
    <row r="987" ht="15" customHeight="1">
      <c r="A987" t="inlineStr">
        <is>
          <t>A 24971-2025</t>
        </is>
      </c>
      <c r="B987" s="1" t="n">
        <v>45799</v>
      </c>
      <c r="C987" s="1" t="n">
        <v>45928</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51265-2024</t>
        </is>
      </c>
      <c r="B988" s="1" t="n">
        <v>45602</v>
      </c>
      <c r="C988" s="1" t="n">
        <v>45928</v>
      </c>
      <c r="D988" t="inlineStr">
        <is>
          <t>VÄRMLANDS LÄN</t>
        </is>
      </c>
      <c r="E988" t="inlineStr">
        <is>
          <t>ÅRJÄNG</t>
        </is>
      </c>
      <c r="G988" t="n">
        <v>2.5</v>
      </c>
      <c r="H988" t="n">
        <v>0</v>
      </c>
      <c r="I988" t="n">
        <v>0</v>
      </c>
      <c r="J988" t="n">
        <v>0</v>
      </c>
      <c r="K988" t="n">
        <v>0</v>
      </c>
      <c r="L988" t="n">
        <v>0</v>
      </c>
      <c r="M988" t="n">
        <v>0</v>
      </c>
      <c r="N988" t="n">
        <v>0</v>
      </c>
      <c r="O988" t="n">
        <v>0</v>
      </c>
      <c r="P988" t="n">
        <v>0</v>
      </c>
      <c r="Q988" t="n">
        <v>0</v>
      </c>
      <c r="R988" s="2" t="inlineStr"/>
    </row>
    <row r="989" ht="15" customHeight="1">
      <c r="A989" t="inlineStr">
        <is>
          <t>A 4865-2024</t>
        </is>
      </c>
      <c r="B989" s="1" t="n">
        <v>45329</v>
      </c>
      <c r="C989" s="1" t="n">
        <v>45928</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26783-2024</t>
        </is>
      </c>
      <c r="B990" s="1" t="n">
        <v>45470</v>
      </c>
      <c r="C990" s="1" t="n">
        <v>45928</v>
      </c>
      <c r="D990" t="inlineStr">
        <is>
          <t>VÄRMLANDS LÄN</t>
        </is>
      </c>
      <c r="E990" t="inlineStr">
        <is>
          <t>ÅRJÄNG</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18718-2023</t>
        </is>
      </c>
      <c r="B991" s="1" t="n">
        <v>45043.65459490741</v>
      </c>
      <c r="C991" s="1" t="n">
        <v>45928</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26434-2025</t>
        </is>
      </c>
      <c r="B992" s="1" t="n">
        <v>45807.39797453704</v>
      </c>
      <c r="C992" s="1" t="n">
        <v>45928</v>
      </c>
      <c r="D992" t="inlineStr">
        <is>
          <t>VÄRMLANDS LÄN</t>
        </is>
      </c>
      <c r="E992" t="inlineStr">
        <is>
          <t>ÅRJÄNG</t>
        </is>
      </c>
      <c r="G992" t="n">
        <v>2.2</v>
      </c>
      <c r="H992" t="n">
        <v>0</v>
      </c>
      <c r="I992" t="n">
        <v>0</v>
      </c>
      <c r="J992" t="n">
        <v>0</v>
      </c>
      <c r="K992" t="n">
        <v>0</v>
      </c>
      <c r="L992" t="n">
        <v>0</v>
      </c>
      <c r="M992" t="n">
        <v>0</v>
      </c>
      <c r="N992" t="n">
        <v>0</v>
      </c>
      <c r="O992" t="n">
        <v>0</v>
      </c>
      <c r="P992" t="n">
        <v>0</v>
      </c>
      <c r="Q992" t="n">
        <v>0</v>
      </c>
      <c r="R992" s="2" t="inlineStr"/>
    </row>
    <row r="993" ht="15" customHeight="1">
      <c r="A993" t="inlineStr">
        <is>
          <t>A 26766-2025</t>
        </is>
      </c>
      <c r="B993" s="1" t="n">
        <v>45810.56712962963</v>
      </c>
      <c r="C993" s="1" t="n">
        <v>45928</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26781-2025</t>
        </is>
      </c>
      <c r="B994" s="1" t="n">
        <v>45810.58258101852</v>
      </c>
      <c r="C994" s="1" t="n">
        <v>45928</v>
      </c>
      <c r="D994" t="inlineStr">
        <is>
          <t>VÄRMLANDS LÄN</t>
        </is>
      </c>
      <c r="E994" t="inlineStr">
        <is>
          <t>ÅRJÄNG</t>
        </is>
      </c>
      <c r="G994" t="n">
        <v>4.2</v>
      </c>
      <c r="H994" t="n">
        <v>0</v>
      </c>
      <c r="I994" t="n">
        <v>0</v>
      </c>
      <c r="J994" t="n">
        <v>0</v>
      </c>
      <c r="K994" t="n">
        <v>0</v>
      </c>
      <c r="L994" t="n">
        <v>0</v>
      </c>
      <c r="M994" t="n">
        <v>0</v>
      </c>
      <c r="N994" t="n">
        <v>0</v>
      </c>
      <c r="O994" t="n">
        <v>0</v>
      </c>
      <c r="P994" t="n">
        <v>0</v>
      </c>
      <c r="Q994" t="n">
        <v>0</v>
      </c>
      <c r="R994" s="2" t="inlineStr"/>
    </row>
    <row r="995" ht="15" customHeight="1">
      <c r="A995" t="inlineStr">
        <is>
          <t>A 29204-2023</t>
        </is>
      </c>
      <c r="B995" s="1" t="n">
        <v>45105.5669212963</v>
      </c>
      <c r="C995" s="1" t="n">
        <v>45928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38536-2024</t>
        </is>
      </c>
      <c r="B996" s="1" t="n">
        <v>45546.59431712963</v>
      </c>
      <c r="C996" s="1" t="n">
        <v>45928</v>
      </c>
      <c r="D996" t="inlineStr">
        <is>
          <t>VÄRMLANDS LÄN</t>
        </is>
      </c>
      <c r="E996" t="inlineStr">
        <is>
          <t>ÅRJÄNG</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45928</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43517-2024</t>
        </is>
      </c>
      <c r="B998" s="1" t="n">
        <v>45569.32800925926</v>
      </c>
      <c r="C998" s="1" t="n">
        <v>45928</v>
      </c>
      <c r="D998" t="inlineStr">
        <is>
          <t>VÄRMLANDS LÄN</t>
        </is>
      </c>
      <c r="E998" t="inlineStr">
        <is>
          <t>ÅRJÄNG</t>
        </is>
      </c>
      <c r="G998" t="n">
        <v>5.9</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45928</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15323-2025</t>
        </is>
      </c>
      <c r="B1000" s="1" t="n">
        <v>45747.32385416667</v>
      </c>
      <c r="C1000" s="1" t="n">
        <v>45928</v>
      </c>
      <c r="D1000" t="inlineStr">
        <is>
          <t>VÄRMLANDS LÄN</t>
        </is>
      </c>
      <c r="E1000" t="inlineStr">
        <is>
          <t>ÅRJÄNG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67134-2020</t>
        </is>
      </c>
      <c r="B1001" s="1" t="n">
        <v>44179</v>
      </c>
      <c r="C1001" s="1" t="n">
        <v>45928</v>
      </c>
      <c r="D1001" t="inlineStr">
        <is>
          <t>VÄRMLANDS LÄN</t>
        </is>
      </c>
      <c r="E1001" t="inlineStr">
        <is>
          <t>ÅRJÄNG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60909-2024</t>
        </is>
      </c>
      <c r="B1002" s="1" t="n">
        <v>45645</v>
      </c>
      <c r="C1002" s="1" t="n">
        <v>45928</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8357-2025</t>
        </is>
      </c>
      <c r="B1003" s="1" t="n">
        <v>45708.79896990741</v>
      </c>
      <c r="C1003" s="1" t="n">
        <v>45928</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10321-2025</t>
        </is>
      </c>
      <c r="B1004" s="1" t="n">
        <v>45720</v>
      </c>
      <c r="C1004" s="1" t="n">
        <v>45928</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56348-2024</t>
        </is>
      </c>
      <c r="B1005" s="1" t="n">
        <v>45624</v>
      </c>
      <c r="C1005" s="1" t="n">
        <v>45928</v>
      </c>
      <c r="D1005" t="inlineStr">
        <is>
          <t>VÄRMLANDS LÄN</t>
        </is>
      </c>
      <c r="E1005" t="inlineStr">
        <is>
          <t>ÅRJÄNG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26998-2025</t>
        </is>
      </c>
      <c r="B1006" s="1" t="n">
        <v>45811</v>
      </c>
      <c r="C1006" s="1" t="n">
        <v>45928</v>
      </c>
      <c r="D1006" t="inlineStr">
        <is>
          <t>VÄRMLANDS LÄN</t>
        </is>
      </c>
      <c r="E1006" t="inlineStr">
        <is>
          <t>ÅRJÄNG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38840-2023</t>
        </is>
      </c>
      <c r="B1007" s="1" t="n">
        <v>45163.48267361111</v>
      </c>
      <c r="C1007" s="1" t="n">
        <v>45928</v>
      </c>
      <c r="D1007" t="inlineStr">
        <is>
          <t>VÄRMLANDS LÄN</t>
        </is>
      </c>
      <c r="E1007" t="inlineStr">
        <is>
          <t>ÅRJÄNG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36195-2023</t>
        </is>
      </c>
      <c r="B1008" s="1" t="n">
        <v>45149</v>
      </c>
      <c r="C1008" s="1" t="n">
        <v>45928</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45928</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26959-2025</t>
        </is>
      </c>
      <c r="B1010" s="1" t="n">
        <v>45811.45909722222</v>
      </c>
      <c r="C1010" s="1" t="n">
        <v>45928</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27120-2025</t>
        </is>
      </c>
      <c r="B1011" s="1" t="n">
        <v>45811.76232638889</v>
      </c>
      <c r="C1011" s="1" t="n">
        <v>45928</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45928</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7445-2024</t>
        </is>
      </c>
      <c r="B1013" s="1" t="n">
        <v>45345.73023148148</v>
      </c>
      <c r="C1013" s="1" t="n">
        <v>45928</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45635-2024</t>
        </is>
      </c>
      <c r="B1014" s="1" t="n">
        <v>45579</v>
      </c>
      <c r="C1014" s="1" t="n">
        <v>45928</v>
      </c>
      <c r="D1014" t="inlineStr">
        <is>
          <t>VÄRMLANDS LÄN</t>
        </is>
      </c>
      <c r="E1014" t="inlineStr">
        <is>
          <t>ÅRJÄNG</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54382-2024</t>
        </is>
      </c>
      <c r="B1015" s="1" t="n">
        <v>45617.44510416667</v>
      </c>
      <c r="C1015" s="1" t="n">
        <v>45928</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56115-2024</t>
        </is>
      </c>
      <c r="B1016" s="1" t="n">
        <v>45624.45351851852</v>
      </c>
      <c r="C1016" s="1" t="n">
        <v>45928</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56116-2024</t>
        </is>
      </c>
      <c r="B1017" s="1" t="n">
        <v>45624.45506944445</v>
      </c>
      <c r="C1017" s="1" t="n">
        <v>45928</v>
      </c>
      <c r="D1017" t="inlineStr">
        <is>
          <t>VÄRMLANDS LÄN</t>
        </is>
      </c>
      <c r="E1017" t="inlineStr">
        <is>
          <t>ÅRJÄNG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8625-2022</t>
        </is>
      </c>
      <c r="B1018" s="1" t="n">
        <v>44613.61064814815</v>
      </c>
      <c r="C1018" s="1" t="n">
        <v>45928</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36017-2024</t>
        </is>
      </c>
      <c r="B1019" s="1" t="n">
        <v>45533</v>
      </c>
      <c r="C1019" s="1" t="n">
        <v>45928</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57152-2024</t>
        </is>
      </c>
      <c r="B1020" s="1" t="n">
        <v>45628</v>
      </c>
      <c r="C1020" s="1" t="n">
        <v>45928</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57158-2024</t>
        </is>
      </c>
      <c r="B1021" s="1" t="n">
        <v>45628</v>
      </c>
      <c r="C1021" s="1" t="n">
        <v>45928</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55686-2024</t>
        </is>
      </c>
      <c r="B1022" s="1" t="n">
        <v>45622</v>
      </c>
      <c r="C1022" s="1" t="n">
        <v>45928</v>
      </c>
      <c r="D1022" t="inlineStr">
        <is>
          <t>VÄRMLANDS LÄN</t>
        </is>
      </c>
      <c r="E1022" t="inlineStr">
        <is>
          <t>ÅRJÄNG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58540-2024</t>
        </is>
      </c>
      <c r="B1023" s="1" t="n">
        <v>45635</v>
      </c>
      <c r="C1023" s="1" t="n">
        <v>45928</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62720-2023</t>
        </is>
      </c>
      <c r="B1024" s="1" t="n">
        <v>45271.5799537037</v>
      </c>
      <c r="C1024" s="1" t="n">
        <v>45928</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47028-2024</t>
        </is>
      </c>
      <c r="B1025" s="1" t="n">
        <v>45586</v>
      </c>
      <c r="C1025" s="1" t="n">
        <v>45928</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37029-2024</t>
        </is>
      </c>
      <c r="B1026" s="1" t="n">
        <v>45539.38806712963</v>
      </c>
      <c r="C1026" s="1" t="n">
        <v>45928</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16012-2024</t>
        </is>
      </c>
      <c r="B1027" s="1" t="n">
        <v>45405.6524074074</v>
      </c>
      <c r="C1027" s="1" t="n">
        <v>45928</v>
      </c>
      <c r="D1027" t="inlineStr">
        <is>
          <t>VÄRMLANDS LÄN</t>
        </is>
      </c>
      <c r="E1027" t="inlineStr">
        <is>
          <t>ÅRJÄNG</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31794-2023</t>
        </is>
      </c>
      <c r="B1028" s="1" t="n">
        <v>45118.43856481482</v>
      </c>
      <c r="C1028" s="1" t="n">
        <v>45928</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4408-2025</t>
        </is>
      </c>
      <c r="B1029" s="1" t="n">
        <v>45686</v>
      </c>
      <c r="C1029" s="1" t="n">
        <v>45928</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28874-2025</t>
        </is>
      </c>
      <c r="B1030" s="1" t="n">
        <v>45820</v>
      </c>
      <c r="C1030" s="1" t="n">
        <v>45928</v>
      </c>
      <c r="D1030" t="inlineStr">
        <is>
          <t>VÄRMLANDS LÄN</t>
        </is>
      </c>
      <c r="E1030" t="inlineStr">
        <is>
          <t>ÅRJÄNG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28690-2025</t>
        </is>
      </c>
      <c r="B1031" s="1" t="n">
        <v>45819.73236111111</v>
      </c>
      <c r="C1031" s="1" t="n">
        <v>45928</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28711-2025</t>
        </is>
      </c>
      <c r="B1032" s="1" t="n">
        <v>45820.33701388889</v>
      </c>
      <c r="C1032" s="1" t="n">
        <v>45928</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28797-2025</t>
        </is>
      </c>
      <c r="B1033" s="1" t="n">
        <v>45820.48179398148</v>
      </c>
      <c r="C1033" s="1" t="n">
        <v>45928</v>
      </c>
      <c r="D1033" t="inlineStr">
        <is>
          <t>VÄRMLANDS LÄN</t>
        </is>
      </c>
      <c r="E1033" t="inlineStr">
        <is>
          <t>ÅRJÄNG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45928</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28790-2025</t>
        </is>
      </c>
      <c r="B1035" s="1" t="n">
        <v>45820.47377314815</v>
      </c>
      <c r="C1035" s="1" t="n">
        <v>45928</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28948-2025</t>
        </is>
      </c>
      <c r="B1036" s="1" t="n">
        <v>45820</v>
      </c>
      <c r="C1036" s="1" t="n">
        <v>45928</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28949-2025</t>
        </is>
      </c>
      <c r="B1037" s="1" t="n">
        <v>45820</v>
      </c>
      <c r="C1037" s="1" t="n">
        <v>45928</v>
      </c>
      <c r="D1037" t="inlineStr">
        <is>
          <t>VÄRMLANDS LÄN</t>
        </is>
      </c>
      <c r="E1037" t="inlineStr">
        <is>
          <t>ÅRJÄNG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28710-2025</t>
        </is>
      </c>
      <c r="B1038" s="1" t="n">
        <v>45820.32953703704</v>
      </c>
      <c r="C1038" s="1" t="n">
        <v>45928</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28554-2025</t>
        </is>
      </c>
      <c r="B1039" s="1" t="n">
        <v>45819.53761574074</v>
      </c>
      <c r="C1039" s="1" t="n">
        <v>45928</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29136-2025</t>
        </is>
      </c>
      <c r="B1040" s="1" t="n">
        <v>45821</v>
      </c>
      <c r="C1040" s="1" t="n">
        <v>45928</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29138-2025</t>
        </is>
      </c>
      <c r="B1041" s="1" t="n">
        <v>45821</v>
      </c>
      <c r="C1041" s="1" t="n">
        <v>45928</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29146-2025</t>
        </is>
      </c>
      <c r="B1042" s="1" t="n">
        <v>45821</v>
      </c>
      <c r="C1042" s="1" t="n">
        <v>45928</v>
      </c>
      <c r="D1042" t="inlineStr">
        <is>
          <t>VÄRMLANDS LÄN</t>
        </is>
      </c>
      <c r="E1042" t="inlineStr">
        <is>
          <t>ÅRJÄNG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29007-2025</t>
        </is>
      </c>
      <c r="B1043" s="1" t="n">
        <v>45821</v>
      </c>
      <c r="C1043" s="1" t="n">
        <v>45928</v>
      </c>
      <c r="D1043" t="inlineStr">
        <is>
          <t>VÄRMLANDS LÄN</t>
        </is>
      </c>
      <c r="E1043" t="inlineStr">
        <is>
          <t>ÅRJÄNG</t>
        </is>
      </c>
      <c r="F1043" t="inlineStr">
        <is>
          <t>Bergvik skog väst AB</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29026-2025</t>
        </is>
      </c>
      <c r="B1044" s="1" t="n">
        <v>45821</v>
      </c>
      <c r="C1044" s="1" t="n">
        <v>45928</v>
      </c>
      <c r="D1044" t="inlineStr">
        <is>
          <t>VÄRMLANDS LÄN</t>
        </is>
      </c>
      <c r="E1044" t="inlineStr">
        <is>
          <t>ÅRJÄNG</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29082-2025</t>
        </is>
      </c>
      <c r="B1045" s="1" t="n">
        <v>45821</v>
      </c>
      <c r="C1045" s="1" t="n">
        <v>45928</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29166-2025</t>
        </is>
      </c>
      <c r="B1046" s="1" t="n">
        <v>45821.68682870371</v>
      </c>
      <c r="C1046" s="1" t="n">
        <v>45928</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28992-2025</t>
        </is>
      </c>
      <c r="B1047" s="1" t="n">
        <v>45821</v>
      </c>
      <c r="C1047" s="1" t="n">
        <v>45928</v>
      </c>
      <c r="D1047" t="inlineStr">
        <is>
          <t>VÄRMLANDS LÄN</t>
        </is>
      </c>
      <c r="E1047" t="inlineStr">
        <is>
          <t>ÅRJÄNG</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29208-2025</t>
        </is>
      </c>
      <c r="B1048" s="1" t="n">
        <v>45823.80380787037</v>
      </c>
      <c r="C1048" s="1" t="n">
        <v>45928</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29169-2025</t>
        </is>
      </c>
      <c r="B1049" s="1" t="n">
        <v>45821.69650462963</v>
      </c>
      <c r="C1049" s="1" t="n">
        <v>45928</v>
      </c>
      <c r="D1049" t="inlineStr">
        <is>
          <t>VÄRMLANDS LÄN</t>
        </is>
      </c>
      <c r="E1049" t="inlineStr">
        <is>
          <t>ÅRJÄNG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45928</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45928</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57126-2024</t>
        </is>
      </c>
      <c r="B1052" s="1" t="n">
        <v>45629.37579861111</v>
      </c>
      <c r="C1052" s="1" t="n">
        <v>45928</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30134-2025</t>
        </is>
      </c>
      <c r="B1053" s="1" t="n">
        <v>45826</v>
      </c>
      <c r="C1053" s="1" t="n">
        <v>45928</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29783-2025</t>
        </is>
      </c>
      <c r="B1054" s="1" t="n">
        <v>45825</v>
      </c>
      <c r="C1054" s="1" t="n">
        <v>45928</v>
      </c>
      <c r="D1054" t="inlineStr">
        <is>
          <t>VÄRMLANDS LÄN</t>
        </is>
      </c>
      <c r="E1054" t="inlineStr">
        <is>
          <t>ÅRJÄNG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29624-2025</t>
        </is>
      </c>
      <c r="B1055" s="1" t="n">
        <v>45825.44246527777</v>
      </c>
      <c r="C1055" s="1" t="n">
        <v>45928</v>
      </c>
      <c r="D1055" t="inlineStr">
        <is>
          <t>VÄRMLANDS LÄN</t>
        </is>
      </c>
      <c r="E1055" t="inlineStr">
        <is>
          <t>ÅRJÄNG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58270-2024</t>
        </is>
      </c>
      <c r="B1056" s="1" t="n">
        <v>45632.56928240741</v>
      </c>
      <c r="C1056" s="1" t="n">
        <v>45928</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47981-2023</t>
        </is>
      </c>
      <c r="B1057" s="1" t="n">
        <v>45198</v>
      </c>
      <c r="C1057" s="1" t="n">
        <v>45928</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20463-2024</t>
        </is>
      </c>
      <c r="B1058" s="1" t="n">
        <v>45435</v>
      </c>
      <c r="C1058" s="1" t="n">
        <v>45928</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46957-2024</t>
        </is>
      </c>
      <c r="B1059" s="1" t="n">
        <v>45586</v>
      </c>
      <c r="C1059" s="1" t="n">
        <v>45928</v>
      </c>
      <c r="D1059" t="inlineStr">
        <is>
          <t>VÄRMLANDS LÄN</t>
        </is>
      </c>
      <c r="E1059" t="inlineStr">
        <is>
          <t>ÅRJÄNG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31111-2025</t>
        </is>
      </c>
      <c r="B1060" s="1" t="n">
        <v>45831</v>
      </c>
      <c r="C1060" s="1" t="n">
        <v>45928</v>
      </c>
      <c r="D1060" t="inlineStr">
        <is>
          <t>VÄRMLANDS LÄN</t>
        </is>
      </c>
      <c r="E1060" t="inlineStr">
        <is>
          <t>ÅRJÄNG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30761-2025</t>
        </is>
      </c>
      <c r="B1061" s="1" t="n">
        <v>45831</v>
      </c>
      <c r="C1061" s="1" t="n">
        <v>45928</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73363-2021</t>
        </is>
      </c>
      <c r="B1062" s="1" t="n">
        <v>44550</v>
      </c>
      <c r="C1062" s="1" t="n">
        <v>45928</v>
      </c>
      <c r="D1062" t="inlineStr">
        <is>
          <t>VÄRMLANDS LÄN</t>
        </is>
      </c>
      <c r="E1062" t="inlineStr">
        <is>
          <t>ÅRJÄNG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30579-2025</t>
        </is>
      </c>
      <c r="B1063" s="1" t="n">
        <v>45831.41965277777</v>
      </c>
      <c r="C1063" s="1" t="n">
        <v>45928</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30611-2025</t>
        </is>
      </c>
      <c r="B1064" s="1" t="n">
        <v>45831.46104166667</v>
      </c>
      <c r="C1064" s="1" t="n">
        <v>45928</v>
      </c>
      <c r="D1064" t="inlineStr">
        <is>
          <t>VÄRMLANDS LÄN</t>
        </is>
      </c>
      <c r="E1064" t="inlineStr">
        <is>
          <t>ÅRJÄNG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30658-2025</t>
        </is>
      </c>
      <c r="B1065" s="1" t="n">
        <v>45831.5072337963</v>
      </c>
      <c r="C1065" s="1" t="n">
        <v>45928</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31063-2025</t>
        </is>
      </c>
      <c r="B1066" s="1" t="n">
        <v>45831</v>
      </c>
      <c r="C1066" s="1" t="n">
        <v>45928</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31073-2025</t>
        </is>
      </c>
      <c r="B1067" s="1" t="n">
        <v>45831</v>
      </c>
      <c r="C1067" s="1" t="n">
        <v>45928</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37122-2022</t>
        </is>
      </c>
      <c r="B1068" s="1" t="n">
        <v>44806</v>
      </c>
      <c r="C1068" s="1" t="n">
        <v>45928</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30604-2025</t>
        </is>
      </c>
      <c r="B1069" s="1" t="n">
        <v>45831.45185185185</v>
      </c>
      <c r="C1069" s="1" t="n">
        <v>45928</v>
      </c>
      <c r="D1069" t="inlineStr">
        <is>
          <t>VÄRMLANDS LÄN</t>
        </is>
      </c>
      <c r="E1069" t="inlineStr">
        <is>
          <t>ÅRJÄNG</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59014-2024</t>
        </is>
      </c>
      <c r="B1070" s="1" t="n">
        <v>45636</v>
      </c>
      <c r="C1070" s="1" t="n">
        <v>45928</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37061-2023</t>
        </is>
      </c>
      <c r="B1071" s="1" t="n">
        <v>45155</v>
      </c>
      <c r="C1071" s="1" t="n">
        <v>45928</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31282-2025</t>
        </is>
      </c>
      <c r="B1072" s="1" t="n">
        <v>45833</v>
      </c>
      <c r="C1072" s="1" t="n">
        <v>45928</v>
      </c>
      <c r="D1072" t="inlineStr">
        <is>
          <t>VÄRMLANDS LÄN</t>
        </is>
      </c>
      <c r="E1072" t="inlineStr">
        <is>
          <t>ÅRJÄNG</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20028-2023</t>
        </is>
      </c>
      <c r="B1073" s="1" t="n">
        <v>45054.64534722222</v>
      </c>
      <c r="C1073" s="1" t="n">
        <v>45928</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31710-2025</t>
        </is>
      </c>
      <c r="B1074" s="1" t="n">
        <v>45834.4325462963</v>
      </c>
      <c r="C1074" s="1" t="n">
        <v>45928</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56644-2024</t>
        </is>
      </c>
      <c r="B1075" s="1" t="n">
        <v>45625</v>
      </c>
      <c r="C1075" s="1" t="n">
        <v>45928</v>
      </c>
      <c r="D1075" t="inlineStr">
        <is>
          <t>VÄRMLANDS LÄN</t>
        </is>
      </c>
      <c r="E1075" t="inlineStr">
        <is>
          <t>ÅRJÄNG</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40360-2024</t>
        </is>
      </c>
      <c r="B1076" s="1" t="n">
        <v>45555</v>
      </c>
      <c r="C1076" s="1" t="n">
        <v>45928</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45124-2024</t>
        </is>
      </c>
      <c r="B1077" s="1" t="n">
        <v>45575</v>
      </c>
      <c r="C1077" s="1" t="n">
        <v>45928</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31591-2025</t>
        </is>
      </c>
      <c r="B1078" s="1" t="n">
        <v>45833</v>
      </c>
      <c r="C1078" s="1" t="n">
        <v>45928</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5507-2024</t>
        </is>
      </c>
      <c r="B1079" s="1" t="n">
        <v>45334.36188657407</v>
      </c>
      <c r="C1079" s="1" t="n">
        <v>45928</v>
      </c>
      <c r="D1079" t="inlineStr">
        <is>
          <t>VÄRMLANDS LÄN</t>
        </is>
      </c>
      <c r="E1079" t="inlineStr">
        <is>
          <t>ÅRJÄNG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31433-2025</t>
        </is>
      </c>
      <c r="B1080" s="1" t="n">
        <v>45833</v>
      </c>
      <c r="C1080" s="1" t="n">
        <v>45928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31393-2025</t>
        </is>
      </c>
      <c r="B1081" s="1" t="n">
        <v>45833.46305555556</v>
      </c>
      <c r="C1081" s="1" t="n">
        <v>45928</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73623-2021</t>
        </is>
      </c>
      <c r="B1082" s="1" t="n">
        <v>44552</v>
      </c>
      <c r="C1082" s="1" t="n">
        <v>45928</v>
      </c>
      <c r="D1082" t="inlineStr">
        <is>
          <t>VÄRMLANDS LÄN</t>
        </is>
      </c>
      <c r="E1082" t="inlineStr">
        <is>
          <t>ÅRJÄNG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19313-2023</t>
        </is>
      </c>
      <c r="B1083" s="1" t="n">
        <v>45049</v>
      </c>
      <c r="C1083" s="1" t="n">
        <v>45928</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50918-2023</t>
        </is>
      </c>
      <c r="B1084" s="1" t="n">
        <v>45218.4339699074</v>
      </c>
      <c r="C1084" s="1" t="n">
        <v>45928</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56342-2024</t>
        </is>
      </c>
      <c r="B1085" s="1" t="n">
        <v>45624</v>
      </c>
      <c r="C1085" s="1" t="n">
        <v>45928</v>
      </c>
      <c r="D1085" t="inlineStr">
        <is>
          <t>VÄRMLANDS LÄN</t>
        </is>
      </c>
      <c r="E1085" t="inlineStr">
        <is>
          <t>ÅRJÄNG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56347-2024</t>
        </is>
      </c>
      <c r="B1086" s="1" t="n">
        <v>45624</v>
      </c>
      <c r="C1086" s="1" t="n">
        <v>45928</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23945-2023</t>
        </is>
      </c>
      <c r="B1087" s="1" t="n">
        <v>45075</v>
      </c>
      <c r="C1087" s="1" t="n">
        <v>45928</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58435-2024</t>
        </is>
      </c>
      <c r="B1088" s="1" t="n">
        <v>45634</v>
      </c>
      <c r="C1088" s="1" t="n">
        <v>45928</v>
      </c>
      <c r="D1088" t="inlineStr">
        <is>
          <t>VÄRMLANDS LÄN</t>
        </is>
      </c>
      <c r="E1088" t="inlineStr">
        <is>
          <t>ÅRJÄNG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32321-2025</t>
        </is>
      </c>
      <c r="B1089" s="1" t="n">
        <v>45836</v>
      </c>
      <c r="C1089" s="1" t="n">
        <v>45928</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32330-2025</t>
        </is>
      </c>
      <c r="B1090" s="1" t="n">
        <v>45836.50547453704</v>
      </c>
      <c r="C1090" s="1" t="n">
        <v>45928</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32324-2025</t>
        </is>
      </c>
      <c r="B1091" s="1" t="n">
        <v>45836.43634259259</v>
      </c>
      <c r="C1091" s="1" t="n">
        <v>45928</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45121.39616898148</v>
      </c>
      <c r="C1092" s="1" t="n">
        <v>45928</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11704-2025</t>
        </is>
      </c>
      <c r="B1093" s="1" t="n">
        <v>45727.57896990741</v>
      </c>
      <c r="C1093" s="1" t="n">
        <v>45928</v>
      </c>
      <c r="D1093" t="inlineStr">
        <is>
          <t>VÄRMLANDS LÄN</t>
        </is>
      </c>
      <c r="E1093" t="inlineStr">
        <is>
          <t>ÅRJÄNG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15903-2022</t>
        </is>
      </c>
      <c r="B1094" s="1" t="n">
        <v>44664.57841435185</v>
      </c>
      <c r="C1094" s="1" t="n">
        <v>45928</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32326-2025</t>
        </is>
      </c>
      <c r="B1095" s="1" t="n">
        <v>45836.44392361111</v>
      </c>
      <c r="C1095" s="1" t="n">
        <v>45928</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32920-2025</t>
        </is>
      </c>
      <c r="B1096" s="1" t="n">
        <v>45839</v>
      </c>
      <c r="C1096" s="1" t="n">
        <v>45928</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32730-2025</t>
        </is>
      </c>
      <c r="B1097" s="1" t="n">
        <v>45839.40315972222</v>
      </c>
      <c r="C1097" s="1" t="n">
        <v>45928</v>
      </c>
      <c r="D1097" t="inlineStr">
        <is>
          <t>VÄRMLANDS LÄN</t>
        </is>
      </c>
      <c r="E1097" t="inlineStr">
        <is>
          <t>ÅRJÄNG</t>
        </is>
      </c>
      <c r="F1097" t="inlineStr">
        <is>
          <t>Kyrkan</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57142-2024</t>
        </is>
      </c>
      <c r="B1098" s="1" t="n">
        <v>45628</v>
      </c>
      <c r="C1098" s="1" t="n">
        <v>45928</v>
      </c>
      <c r="D1098" t="inlineStr">
        <is>
          <t>VÄRMLANDS LÄN</t>
        </is>
      </c>
      <c r="E1098" t="inlineStr">
        <is>
          <t>ÅRJÄNG</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33237-2025</t>
        </is>
      </c>
      <c r="B1099" s="1" t="n">
        <v>45840</v>
      </c>
      <c r="C1099" s="1" t="n">
        <v>45928</v>
      </c>
      <c r="D1099" t="inlineStr">
        <is>
          <t>VÄRMLANDS LÄN</t>
        </is>
      </c>
      <c r="E1099" t="inlineStr">
        <is>
          <t>ÅRJÄNG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32924-2025</t>
        </is>
      </c>
      <c r="B1100" s="1" t="n">
        <v>45839.65589120371</v>
      </c>
      <c r="C1100" s="1" t="n">
        <v>45928</v>
      </c>
      <c r="D1100" t="inlineStr">
        <is>
          <t>VÄRMLANDS LÄN</t>
        </is>
      </c>
      <c r="E1100" t="inlineStr">
        <is>
          <t>ÅRJÄNG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37765-2023</t>
        </is>
      </c>
      <c r="B1101" s="1" t="n">
        <v>45159</v>
      </c>
      <c r="C1101" s="1" t="n">
        <v>45928</v>
      </c>
      <c r="D1101" t="inlineStr">
        <is>
          <t>VÄRMLANDS LÄN</t>
        </is>
      </c>
      <c r="E1101" t="inlineStr">
        <is>
          <t>ÅRJÄNG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33412-2025</t>
        </is>
      </c>
      <c r="B1102" s="1" t="n">
        <v>45841</v>
      </c>
      <c r="C1102" s="1" t="n">
        <v>45928</v>
      </c>
      <c r="D1102" t="inlineStr">
        <is>
          <t>VÄRMLANDS LÄN</t>
        </is>
      </c>
      <c r="E1102" t="inlineStr">
        <is>
          <t>ÅRJÄNG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61226-2024</t>
        </is>
      </c>
      <c r="B1103" s="1" t="n">
        <v>45645.66853009259</v>
      </c>
      <c r="C1103" s="1" t="n">
        <v>45928</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33526-2025</t>
        </is>
      </c>
      <c r="B1104" s="1" t="n">
        <v>45841.54869212963</v>
      </c>
      <c r="C1104" s="1" t="n">
        <v>45928</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33600-2025</t>
        </is>
      </c>
      <c r="B1105" s="1" t="n">
        <v>45841.60918981482</v>
      </c>
      <c r="C1105" s="1" t="n">
        <v>45928</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51157-2024</t>
        </is>
      </c>
      <c r="B1106" s="1" t="n">
        <v>45603</v>
      </c>
      <c r="C1106" s="1" t="n">
        <v>45928</v>
      </c>
      <c r="D1106" t="inlineStr">
        <is>
          <t>VÄRMLANDS LÄN</t>
        </is>
      </c>
      <c r="E1106" t="inlineStr">
        <is>
          <t>ÅRJÄNG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4798-2022</t>
        </is>
      </c>
      <c r="B1107" s="1" t="n">
        <v>44592.6534375</v>
      </c>
      <c r="C1107" s="1" t="n">
        <v>45928</v>
      </c>
      <c r="D1107" t="inlineStr">
        <is>
          <t>VÄRMLANDS LÄN</t>
        </is>
      </c>
      <c r="E1107" t="inlineStr">
        <is>
          <t>ÅRJÄNG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60020-2024</t>
        </is>
      </c>
      <c r="B1108" s="1" t="n">
        <v>45642.44655092592</v>
      </c>
      <c r="C1108" s="1" t="n">
        <v>45928</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33481-2025</t>
        </is>
      </c>
      <c r="B1109" s="1" t="n">
        <v>45841</v>
      </c>
      <c r="C1109" s="1" t="n">
        <v>45928</v>
      </c>
      <c r="D1109" t="inlineStr">
        <is>
          <t>VÄRMLANDS LÄN</t>
        </is>
      </c>
      <c r="E1109" t="inlineStr">
        <is>
          <t>ÅRJÄNG</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33832-2025</t>
        </is>
      </c>
      <c r="B1110" s="1" t="n">
        <v>45842.47506944444</v>
      </c>
      <c r="C1110" s="1" t="n">
        <v>45928</v>
      </c>
      <c r="D1110" t="inlineStr">
        <is>
          <t>VÄRMLANDS LÄN</t>
        </is>
      </c>
      <c r="E1110" t="inlineStr">
        <is>
          <t>ÅRJÄNG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1414-2025</t>
        </is>
      </c>
      <c r="B1111" s="1" t="n">
        <v>45668.32134259259</v>
      </c>
      <c r="C1111" s="1" t="n">
        <v>45928</v>
      </c>
      <c r="D1111" t="inlineStr">
        <is>
          <t>VÄRMLANDS LÄN</t>
        </is>
      </c>
      <c r="E1111" t="inlineStr">
        <is>
          <t>ÅRJÄNG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38742-2025</t>
        </is>
      </c>
      <c r="B1112" s="1" t="n">
        <v>45887.37425925926</v>
      </c>
      <c r="C1112" s="1" t="n">
        <v>45928</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20674-2023</t>
        </is>
      </c>
      <c r="B1113" s="1" t="n">
        <v>45058</v>
      </c>
      <c r="C1113" s="1" t="n">
        <v>45928</v>
      </c>
      <c r="D1113" t="inlineStr">
        <is>
          <t>VÄRMLANDS LÄN</t>
        </is>
      </c>
      <c r="E1113" t="inlineStr">
        <is>
          <t>ÅRJÄNG</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39096-2023</t>
        </is>
      </c>
      <c r="B1114" s="1" t="n">
        <v>45164.55570601852</v>
      </c>
      <c r="C1114" s="1" t="n">
        <v>45928</v>
      </c>
      <c r="D1114" t="inlineStr">
        <is>
          <t>VÄRMLANDS LÄN</t>
        </is>
      </c>
      <c r="E1114" t="inlineStr">
        <is>
          <t>ÅRJÄNG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23878-2023</t>
        </is>
      </c>
      <c r="B1115" s="1" t="n">
        <v>45078</v>
      </c>
      <c r="C1115" s="1" t="n">
        <v>45928</v>
      </c>
      <c r="D1115" t="inlineStr">
        <is>
          <t>VÄRMLANDS LÄN</t>
        </is>
      </c>
      <c r="E1115" t="inlineStr">
        <is>
          <t>ÅRJÄNG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39178-2023</t>
        </is>
      </c>
      <c r="B1116" s="1" t="n">
        <v>45166.38395833333</v>
      </c>
      <c r="C1116" s="1" t="n">
        <v>45928</v>
      </c>
      <c r="D1116" t="inlineStr">
        <is>
          <t>VÄRMLANDS LÄN</t>
        </is>
      </c>
      <c r="E1116" t="inlineStr">
        <is>
          <t>ÅRJÄNG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38867-2025</t>
        </is>
      </c>
      <c r="B1117" s="1" t="n">
        <v>45887</v>
      </c>
      <c r="C1117" s="1" t="n">
        <v>45928</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5332-2025</t>
        </is>
      </c>
      <c r="B1118" s="1" t="n">
        <v>45692.53978009259</v>
      </c>
      <c r="C1118" s="1" t="n">
        <v>45928</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39094-2025</t>
        </is>
      </c>
      <c r="B1119" s="1" t="n">
        <v>45888.4933912037</v>
      </c>
      <c r="C1119" s="1" t="n">
        <v>45928</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52574-2024</t>
        </is>
      </c>
      <c r="B1120" s="1" t="n">
        <v>45609</v>
      </c>
      <c r="C1120" s="1" t="n">
        <v>45928</v>
      </c>
      <c r="D1120" t="inlineStr">
        <is>
          <t>VÄRMLANDS LÄN</t>
        </is>
      </c>
      <c r="E1120" t="inlineStr">
        <is>
          <t>ÅRJÄNG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3656-2022</t>
        </is>
      </c>
      <c r="B1121" s="1" t="n">
        <v>44586</v>
      </c>
      <c r="C1121" s="1" t="n">
        <v>45928</v>
      </c>
      <c r="D1121" t="inlineStr">
        <is>
          <t>VÄRMLANDS LÄN</t>
        </is>
      </c>
      <c r="E1121" t="inlineStr">
        <is>
          <t>ÅRJÄNG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33993-2025</t>
        </is>
      </c>
      <c r="B1122" s="1" t="n">
        <v>45843.61189814815</v>
      </c>
      <c r="C1122" s="1" t="n">
        <v>45928</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34148-2025</t>
        </is>
      </c>
      <c r="B1123" s="1" t="n">
        <v>45844</v>
      </c>
      <c r="C1123" s="1" t="n">
        <v>45928</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11392-2024</t>
        </is>
      </c>
      <c r="B1124" s="1" t="n">
        <v>45372</v>
      </c>
      <c r="C1124" s="1" t="n">
        <v>45928</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33998-2025</t>
        </is>
      </c>
      <c r="B1125" s="1" t="n">
        <v>45843.99453703704</v>
      </c>
      <c r="C1125" s="1" t="n">
        <v>45928</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70461-2021</t>
        </is>
      </c>
      <c r="B1126" s="1" t="n">
        <v>44536</v>
      </c>
      <c r="C1126" s="1" t="n">
        <v>45928</v>
      </c>
      <c r="D1126" t="inlineStr">
        <is>
          <t>VÄRMLANDS LÄN</t>
        </is>
      </c>
      <c r="E1126" t="inlineStr">
        <is>
          <t>ÅRJÄNG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34243-2025</t>
        </is>
      </c>
      <c r="B1127" s="1" t="n">
        <v>45845</v>
      </c>
      <c r="C1127" s="1" t="n">
        <v>45928</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39096-2025</t>
        </is>
      </c>
      <c r="B1128" s="1" t="n">
        <v>45888.50145833333</v>
      </c>
      <c r="C1128" s="1" t="n">
        <v>45928</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45163.34018518519</v>
      </c>
      <c r="C1129" s="1" t="n">
        <v>45928</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34248-2025</t>
        </is>
      </c>
      <c r="B1130" s="1" t="n">
        <v>45845</v>
      </c>
      <c r="C1130" s="1" t="n">
        <v>45928</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34252-2025</t>
        </is>
      </c>
      <c r="B1131" s="1" t="n">
        <v>45845</v>
      </c>
      <c r="C1131" s="1" t="n">
        <v>45928</v>
      </c>
      <c r="D1131" t="inlineStr">
        <is>
          <t>VÄRMLANDS LÄN</t>
        </is>
      </c>
      <c r="E1131" t="inlineStr">
        <is>
          <t>ÅRJÄNG</t>
        </is>
      </c>
      <c r="G1131" t="n">
        <v>7.1</v>
      </c>
      <c r="H1131" t="n">
        <v>0</v>
      </c>
      <c r="I1131" t="n">
        <v>0</v>
      </c>
      <c r="J1131" t="n">
        <v>0</v>
      </c>
      <c r="K1131" t="n">
        <v>0</v>
      </c>
      <c r="L1131" t="n">
        <v>0</v>
      </c>
      <c r="M1131" t="n">
        <v>0</v>
      </c>
      <c r="N1131" t="n">
        <v>0</v>
      </c>
      <c r="O1131" t="n">
        <v>0</v>
      </c>
      <c r="P1131" t="n">
        <v>0</v>
      </c>
      <c r="Q1131" t="n">
        <v>0</v>
      </c>
      <c r="R1131" s="2" t="inlineStr"/>
      <c r="U1131">
        <f>HYPERLINK("https://klasma.github.io/Logging_1765/knärot/A 34252-2025 karta knärot.png", "A 34252-2025")</f>
        <v/>
      </c>
      <c r="V1131">
        <f>HYPERLINK("https://klasma.github.io/Logging_1765/klagomål/A 34252-2025 FSC-klagomål.docx", "A 34252-2025")</f>
        <v/>
      </c>
      <c r="W1131">
        <f>HYPERLINK("https://klasma.github.io/Logging_1765/klagomålsmail/A 34252-2025 FSC-klagomål mail.docx", "A 34252-2025")</f>
        <v/>
      </c>
      <c r="X1131">
        <f>HYPERLINK("https://klasma.github.io/Logging_1765/tillsyn/A 34252-2025 tillsynsbegäran.docx", "A 34252-2025")</f>
        <v/>
      </c>
      <c r="Y1131">
        <f>HYPERLINK("https://klasma.github.io/Logging_1765/tillsynsmail/A 34252-2025 tillsynsbegäran mail.docx", "A 34252-2025")</f>
        <v/>
      </c>
    </row>
    <row r="1132" ht="15" customHeight="1">
      <c r="A1132" t="inlineStr">
        <is>
          <t>A 34077-2025</t>
        </is>
      </c>
      <c r="B1132" s="1" t="n">
        <v>45845.45206018518</v>
      </c>
      <c r="C1132" s="1" t="n">
        <v>45928</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13784-2024</t>
        </is>
      </c>
      <c r="B1133" s="1" t="n">
        <v>45391.33817129629</v>
      </c>
      <c r="C1133" s="1" t="n">
        <v>45928</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45643-2023</t>
        </is>
      </c>
      <c r="B1134" s="1" t="n">
        <v>45194.69827546296</v>
      </c>
      <c r="C1134" s="1" t="n">
        <v>45928</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39079-2025</t>
        </is>
      </c>
      <c r="B1135" s="1" t="n">
        <v>45888.48422453704</v>
      </c>
      <c r="C1135" s="1" t="n">
        <v>45928</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34230-2025</t>
        </is>
      </c>
      <c r="B1136" s="1" t="n">
        <v>45845</v>
      </c>
      <c r="C1136" s="1" t="n">
        <v>45928</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34235-2025</t>
        </is>
      </c>
      <c r="B1137" s="1" t="n">
        <v>45845</v>
      </c>
      <c r="C1137" s="1" t="n">
        <v>45928</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55071-2024</t>
        </is>
      </c>
      <c r="B1138" s="1" t="n">
        <v>45621.41861111111</v>
      </c>
      <c r="C1138" s="1" t="n">
        <v>45928</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39578-2025</t>
        </is>
      </c>
      <c r="B1139" s="1" t="n">
        <v>45890.49292824074</v>
      </c>
      <c r="C1139" s="1" t="n">
        <v>45928</v>
      </c>
      <c r="D1139" t="inlineStr">
        <is>
          <t>VÄRMLANDS LÄN</t>
        </is>
      </c>
      <c r="E1139" t="inlineStr">
        <is>
          <t>ÅRJÄNG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52579-2024</t>
        </is>
      </c>
      <c r="B1140" s="1" t="n">
        <v>45609</v>
      </c>
      <c r="C1140" s="1" t="n">
        <v>45928</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44556-2023</t>
        </is>
      </c>
      <c r="B1141" s="1" t="n">
        <v>45189.53738425926</v>
      </c>
      <c r="C1141" s="1" t="n">
        <v>45928</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53742-2024</t>
        </is>
      </c>
      <c r="B1142" s="1" t="n">
        <v>45615.47130787037</v>
      </c>
      <c r="C1142" s="1" t="n">
        <v>45928</v>
      </c>
      <c r="D1142" t="inlineStr">
        <is>
          <t>VÄRMLANDS LÄN</t>
        </is>
      </c>
      <c r="E1142" t="inlineStr">
        <is>
          <t>ÅRJÄNG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56769-2024</t>
        </is>
      </c>
      <c r="B1143" s="1" t="n">
        <v>45628.41550925926</v>
      </c>
      <c r="C1143" s="1" t="n">
        <v>45928</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39369-2025</t>
        </is>
      </c>
      <c r="B1144" s="1" t="n">
        <v>45889.57848379629</v>
      </c>
      <c r="C1144" s="1" t="n">
        <v>45928</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4582-2025</t>
        </is>
      </c>
      <c r="B1145" s="1" t="n">
        <v>45687</v>
      </c>
      <c r="C1145" s="1" t="n">
        <v>45928</v>
      </c>
      <c r="D1145" t="inlineStr">
        <is>
          <t>VÄRMLANDS LÄN</t>
        </is>
      </c>
      <c r="E1145" t="inlineStr">
        <is>
          <t>ÅRJÄNG</t>
        </is>
      </c>
      <c r="F1145" t="inlineStr">
        <is>
          <t>Övriga Aktiebolag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44004-2023</t>
        </is>
      </c>
      <c r="B1146" s="1" t="n">
        <v>45188.30134259259</v>
      </c>
      <c r="C1146" s="1" t="n">
        <v>45928</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44007-2023</t>
        </is>
      </c>
      <c r="B1147" s="1" t="n">
        <v>45188.31231481482</v>
      </c>
      <c r="C1147" s="1" t="n">
        <v>45928</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5741-2025</t>
        </is>
      </c>
      <c r="B1148" s="1" t="n">
        <v>45694.52100694444</v>
      </c>
      <c r="C1148" s="1" t="n">
        <v>45928</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39905-2025</t>
        </is>
      </c>
      <c r="B1149" s="1" t="n">
        <v>45891.63949074074</v>
      </c>
      <c r="C1149" s="1" t="n">
        <v>45928</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39725-2025</t>
        </is>
      </c>
      <c r="B1150" s="1" t="n">
        <v>45891</v>
      </c>
      <c r="C1150" s="1" t="n">
        <v>45928</v>
      </c>
      <c r="D1150" t="inlineStr">
        <is>
          <t>VÄRMLANDS LÄN</t>
        </is>
      </c>
      <c r="E1150" t="inlineStr">
        <is>
          <t>ÅRJÄNG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40232-2025</t>
        </is>
      </c>
      <c r="B1151" s="1" t="n">
        <v>45894.7147800926</v>
      </c>
      <c r="C1151" s="1" t="n">
        <v>45928</v>
      </c>
      <c r="D1151" t="inlineStr">
        <is>
          <t>VÄRMLANDS LÄN</t>
        </is>
      </c>
      <c r="E1151" t="inlineStr">
        <is>
          <t>ÅRJÄNG</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34839-2025</t>
        </is>
      </c>
      <c r="B1152" s="1" t="n">
        <v>45849.39505787037</v>
      </c>
      <c r="C1152" s="1" t="n">
        <v>45928</v>
      </c>
      <c r="D1152" t="inlineStr">
        <is>
          <t>VÄRMLANDS LÄN</t>
        </is>
      </c>
      <c r="E1152" t="inlineStr">
        <is>
          <t>ÅRJÄNG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40219-2025</t>
        </is>
      </c>
      <c r="B1153" s="1" t="n">
        <v>45894.69025462963</v>
      </c>
      <c r="C1153" s="1" t="n">
        <v>45928</v>
      </c>
      <c r="D1153" t="inlineStr">
        <is>
          <t>VÄRMLANDS LÄN</t>
        </is>
      </c>
      <c r="E1153" t="inlineStr">
        <is>
          <t>ÅRJÄNG</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34840-2025</t>
        </is>
      </c>
      <c r="B1154" s="1" t="n">
        <v>45849</v>
      </c>
      <c r="C1154" s="1" t="n">
        <v>45928</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283-2025</t>
        </is>
      </c>
      <c r="B1155" s="1" t="n">
        <v>45656</v>
      </c>
      <c r="C1155" s="1" t="n">
        <v>45928</v>
      </c>
      <c r="D1155" t="inlineStr">
        <is>
          <t>VÄRMLANDS LÄN</t>
        </is>
      </c>
      <c r="E1155" t="inlineStr">
        <is>
          <t>ÅRJÄNG</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35104-2025</t>
        </is>
      </c>
      <c r="B1156" s="1" t="n">
        <v>45852.57070601852</v>
      </c>
      <c r="C1156" s="1" t="n">
        <v>45928</v>
      </c>
      <c r="D1156" t="inlineStr">
        <is>
          <t>VÄRMLANDS LÄN</t>
        </is>
      </c>
      <c r="E1156" t="inlineStr">
        <is>
          <t>ÅRJÄNG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5127-2025</t>
        </is>
      </c>
      <c r="B1157" s="1" t="n">
        <v>45691.56623842593</v>
      </c>
      <c r="C1157" s="1" t="n">
        <v>45928</v>
      </c>
      <c r="D1157" t="inlineStr">
        <is>
          <t>VÄRMLANDS LÄN</t>
        </is>
      </c>
      <c r="E1157" t="inlineStr">
        <is>
          <t>ÅRJÄNG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55422-2023</t>
        </is>
      </c>
      <c r="B1158" s="1" t="n">
        <v>45238.41858796297</v>
      </c>
      <c r="C1158" s="1" t="n">
        <v>45928</v>
      </c>
      <c r="D1158" t="inlineStr">
        <is>
          <t>VÄRMLANDS LÄN</t>
        </is>
      </c>
      <c r="E1158" t="inlineStr">
        <is>
          <t>ÅRJÄNG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8601-2022</t>
        </is>
      </c>
      <c r="B1159" s="1" t="n">
        <v>44613.57193287037</v>
      </c>
      <c r="C1159" s="1" t="n">
        <v>45928</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56060-2023</t>
        </is>
      </c>
      <c r="B1160" s="1" t="n">
        <v>45233</v>
      </c>
      <c r="C1160" s="1" t="n">
        <v>45928</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56655-2024</t>
        </is>
      </c>
      <c r="B1161" s="1" t="n">
        <v>45625</v>
      </c>
      <c r="C1161" s="1" t="n">
        <v>45928</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27240-2023</t>
        </is>
      </c>
      <c r="B1162" s="1" t="n">
        <v>45096</v>
      </c>
      <c r="C1162" s="1" t="n">
        <v>45928</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12137-2025</t>
        </is>
      </c>
      <c r="B1163" s="1" t="n">
        <v>45729.39879629629</v>
      </c>
      <c r="C1163" s="1" t="n">
        <v>45928</v>
      </c>
      <c r="D1163" t="inlineStr">
        <is>
          <t>VÄRMLANDS LÄN</t>
        </is>
      </c>
      <c r="E1163" t="inlineStr">
        <is>
          <t>ÅRJÄNG</t>
        </is>
      </c>
      <c r="G1163" t="n">
        <v>12.6</v>
      </c>
      <c r="H1163" t="n">
        <v>0</v>
      </c>
      <c r="I1163" t="n">
        <v>0</v>
      </c>
      <c r="J1163" t="n">
        <v>0</v>
      </c>
      <c r="K1163" t="n">
        <v>0</v>
      </c>
      <c r="L1163" t="n">
        <v>0</v>
      </c>
      <c r="M1163" t="n">
        <v>0</v>
      </c>
      <c r="N1163" t="n">
        <v>0</v>
      </c>
      <c r="O1163" t="n">
        <v>0</v>
      </c>
      <c r="P1163" t="n">
        <v>0</v>
      </c>
      <c r="Q1163" t="n">
        <v>0</v>
      </c>
      <c r="R1163" s="2" t="inlineStr"/>
    </row>
    <row r="1164" ht="15" customHeight="1">
      <c r="A1164" t="inlineStr">
        <is>
          <t>A 46351-2023</t>
        </is>
      </c>
      <c r="B1164" s="1" t="n">
        <v>45197.42811342593</v>
      </c>
      <c r="C1164" s="1" t="n">
        <v>45928</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17361-2022</t>
        </is>
      </c>
      <c r="B1165" s="1" t="n">
        <v>44678.6044675926</v>
      </c>
      <c r="C1165" s="1" t="n">
        <v>45928</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57546-2024</t>
        </is>
      </c>
      <c r="B1166" s="1" t="n">
        <v>45629</v>
      </c>
      <c r="C1166" s="1" t="n">
        <v>45928</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9427-2025</t>
        </is>
      </c>
      <c r="B1167" s="1" t="n">
        <v>45715</v>
      </c>
      <c r="C1167" s="1" t="n">
        <v>45928</v>
      </c>
      <c r="D1167" t="inlineStr">
        <is>
          <t>VÄRMLANDS LÄN</t>
        </is>
      </c>
      <c r="E1167" t="inlineStr">
        <is>
          <t>ÅRJÄNG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57306-2023</t>
        </is>
      </c>
      <c r="B1168" s="1" t="n">
        <v>45245.62431712963</v>
      </c>
      <c r="C1168" s="1" t="n">
        <v>45928</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48357-2023</t>
        </is>
      </c>
      <c r="B1169" s="1" t="n">
        <v>45202</v>
      </c>
      <c r="C1169" s="1" t="n">
        <v>45928</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39434-2023</t>
        </is>
      </c>
      <c r="B1170" s="1" t="n">
        <v>45166.69690972222</v>
      </c>
      <c r="C1170" s="1" t="n">
        <v>45928</v>
      </c>
      <c r="D1170" t="inlineStr">
        <is>
          <t>VÄRMLANDS LÄN</t>
        </is>
      </c>
      <c r="E1170" t="inlineStr">
        <is>
          <t>ÅRJÄNG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236-2025</t>
        </is>
      </c>
      <c r="B1171" s="1" t="n">
        <v>45653</v>
      </c>
      <c r="C1171" s="1" t="n">
        <v>45928</v>
      </c>
      <c r="D1171" t="inlineStr">
        <is>
          <t>VÄRMLANDS LÄN</t>
        </is>
      </c>
      <c r="E1171" t="inlineStr">
        <is>
          <t>ÅRJÄNG</t>
        </is>
      </c>
      <c r="F1171" t="inlineStr">
        <is>
          <t>Övriga Aktiebolag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1602-2025</t>
        </is>
      </c>
      <c r="B1172" s="1" t="n">
        <v>45670.59069444444</v>
      </c>
      <c r="C1172" s="1" t="n">
        <v>45928</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43253-2023</t>
        </is>
      </c>
      <c r="B1173" s="1" t="n">
        <v>45183.49578703703</v>
      </c>
      <c r="C1173" s="1" t="n">
        <v>45928</v>
      </c>
      <c r="D1173" t="inlineStr">
        <is>
          <t>VÄRMLANDS LÄN</t>
        </is>
      </c>
      <c r="E1173" t="inlineStr">
        <is>
          <t>ÅRJÄNG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17827-2025</t>
        </is>
      </c>
      <c r="B1174" s="1" t="n">
        <v>45758.57596064815</v>
      </c>
      <c r="C1174" s="1" t="n">
        <v>45928</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19920-2024</t>
        </is>
      </c>
      <c r="B1175" s="1" t="n">
        <v>45433.58947916667</v>
      </c>
      <c r="C1175" s="1" t="n">
        <v>45928</v>
      </c>
      <c r="D1175" t="inlineStr">
        <is>
          <t>VÄRMLANDS LÄN</t>
        </is>
      </c>
      <c r="E1175" t="inlineStr">
        <is>
          <t>ÅRJÄNG</t>
        </is>
      </c>
      <c r="F1175" t="inlineStr">
        <is>
          <t>Bergvik skog väst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32095-2024</t>
        </is>
      </c>
      <c r="B1176" s="1" t="n">
        <v>45511.39107638889</v>
      </c>
      <c r="C1176" s="1" t="n">
        <v>45928</v>
      </c>
      <c r="D1176" t="inlineStr">
        <is>
          <t>VÄRMLANDS LÄN</t>
        </is>
      </c>
      <c r="E1176" t="inlineStr">
        <is>
          <t>ÅRJÄNG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301-2025</t>
        </is>
      </c>
      <c r="B1177" s="1" t="n">
        <v>45660.56</v>
      </c>
      <c r="C1177" s="1" t="n">
        <v>45928</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14434-2025</t>
        </is>
      </c>
      <c r="B1178" s="1" t="n">
        <v>45741</v>
      </c>
      <c r="C1178" s="1" t="n">
        <v>45928</v>
      </c>
      <c r="D1178" t="inlineStr">
        <is>
          <t>VÄRMLANDS LÄN</t>
        </is>
      </c>
      <c r="E1178" t="inlineStr">
        <is>
          <t>ÅRJÄNG</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19248-2025</t>
        </is>
      </c>
      <c r="B1179" s="1" t="n">
        <v>45769.48710648148</v>
      </c>
      <c r="C1179" s="1" t="n">
        <v>45928</v>
      </c>
      <c r="D1179" t="inlineStr">
        <is>
          <t>VÄRMLANDS LÄN</t>
        </is>
      </c>
      <c r="E1179" t="inlineStr">
        <is>
          <t>ÅRJÄNG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6109-2025</t>
        </is>
      </c>
      <c r="B1180" s="1" t="n">
        <v>45698.31012731481</v>
      </c>
      <c r="C1180" s="1" t="n">
        <v>45928</v>
      </c>
      <c r="D1180" t="inlineStr">
        <is>
          <t>VÄRMLANDS LÄN</t>
        </is>
      </c>
      <c r="E1180" t="inlineStr">
        <is>
          <t>ÅRJÄNG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21443-2022</t>
        </is>
      </c>
      <c r="B1181" s="1" t="n">
        <v>44706.35293981482</v>
      </c>
      <c r="C1181" s="1" t="n">
        <v>45928</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45928</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42667-2023</t>
        </is>
      </c>
      <c r="B1183" s="1" t="n">
        <v>45176</v>
      </c>
      <c r="C1183" s="1" t="n">
        <v>45928</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13504-2025</t>
        </is>
      </c>
      <c r="B1184" s="1" t="n">
        <v>45736.46400462963</v>
      </c>
      <c r="C1184" s="1" t="n">
        <v>45928</v>
      </c>
      <c r="D1184" t="inlineStr">
        <is>
          <t>VÄRMLANDS LÄN</t>
        </is>
      </c>
      <c r="E1184" t="inlineStr">
        <is>
          <t>ÅRJÄNG</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16519-2025</t>
        </is>
      </c>
      <c r="B1185" s="1" t="n">
        <v>45751</v>
      </c>
      <c r="C1185" s="1" t="n">
        <v>45928</v>
      </c>
      <c r="D1185" t="inlineStr">
        <is>
          <t>VÄRMLANDS LÄN</t>
        </is>
      </c>
      <c r="E1185" t="inlineStr">
        <is>
          <t>ÅRJÄNG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53554-2023</t>
        </is>
      </c>
      <c r="B1186" s="1" t="n">
        <v>45230</v>
      </c>
      <c r="C1186" s="1" t="n">
        <v>45928</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55574-2023</t>
        </is>
      </c>
      <c r="B1187" s="1" t="n">
        <v>45232</v>
      </c>
      <c r="C1187" s="1" t="n">
        <v>45928</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3729-2025</t>
        </is>
      </c>
      <c r="B1188" s="1" t="n">
        <v>45681.5497800926</v>
      </c>
      <c r="C1188" s="1" t="n">
        <v>45928</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60207-2023</t>
        </is>
      </c>
      <c r="B1189" s="1" t="n">
        <v>45257</v>
      </c>
      <c r="C1189" s="1" t="n">
        <v>45928</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58434-2023</t>
        </is>
      </c>
      <c r="B1190" s="1" t="n">
        <v>45250</v>
      </c>
      <c r="C1190" s="1" t="n">
        <v>45928</v>
      </c>
      <c r="D1190" t="inlineStr">
        <is>
          <t>VÄRMLANDS LÄN</t>
        </is>
      </c>
      <c r="E1190" t="inlineStr">
        <is>
          <t>ÅRJÄNG</t>
        </is>
      </c>
      <c r="F1190" t="inlineStr">
        <is>
          <t>Naturvårdsverket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8356-2025</t>
        </is>
      </c>
      <c r="B1191" s="1" t="n">
        <v>45708.79752314815</v>
      </c>
      <c r="C1191" s="1" t="n">
        <v>45928</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18256-2024</t>
        </is>
      </c>
      <c r="B1192" s="1" t="n">
        <v>45421.52498842592</v>
      </c>
      <c r="C1192" s="1" t="n">
        <v>45928</v>
      </c>
      <c r="D1192" t="inlineStr">
        <is>
          <t>VÄRMLANDS LÄN</t>
        </is>
      </c>
      <c r="E1192" t="inlineStr">
        <is>
          <t>ÅRJÄNG</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24477-2022</t>
        </is>
      </c>
      <c r="B1193" s="1" t="n">
        <v>44726.65575231481</v>
      </c>
      <c r="C1193" s="1" t="n">
        <v>45928</v>
      </c>
      <c r="D1193" t="inlineStr">
        <is>
          <t>VÄRMLANDS LÄN</t>
        </is>
      </c>
      <c r="E1193" t="inlineStr">
        <is>
          <t>ÅRJÄNG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33525-2023</t>
        </is>
      </c>
      <c r="B1194" s="1" t="n">
        <v>45131.51326388889</v>
      </c>
      <c r="C1194" s="1" t="n">
        <v>45928</v>
      </c>
      <c r="D1194" t="inlineStr">
        <is>
          <t>VÄRMLANDS LÄN</t>
        </is>
      </c>
      <c r="E1194" t="inlineStr">
        <is>
          <t>ÅRJÄNG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46441-2023</t>
        </is>
      </c>
      <c r="B1195" s="1" t="n">
        <v>45197</v>
      </c>
      <c r="C1195" s="1" t="n">
        <v>45928</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59352-2022</t>
        </is>
      </c>
      <c r="B1196" s="1" t="n">
        <v>44904.7077199074</v>
      </c>
      <c r="C1196" s="1" t="n">
        <v>45928</v>
      </c>
      <c r="D1196" t="inlineStr">
        <is>
          <t>VÄRMLANDS LÄN</t>
        </is>
      </c>
      <c r="E1196" t="inlineStr">
        <is>
          <t>ÅRJÄNG</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1115-2024</t>
        </is>
      </c>
      <c r="B1197" s="1" t="n">
        <v>45302</v>
      </c>
      <c r="C1197" s="1" t="n">
        <v>45928</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45206.4346412037</v>
      </c>
      <c r="C1198" s="1" t="n">
        <v>45928</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59784-2023</t>
        </is>
      </c>
      <c r="B1199" s="1" t="n">
        <v>45257</v>
      </c>
      <c r="C1199" s="1" t="n">
        <v>45928</v>
      </c>
      <c r="D1199" t="inlineStr">
        <is>
          <t>VÄRMLANDS LÄN</t>
        </is>
      </c>
      <c r="E1199" t="inlineStr">
        <is>
          <t>ÅRJÄNG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59801-2023</t>
        </is>
      </c>
      <c r="B1200" s="1" t="n">
        <v>45254</v>
      </c>
      <c r="C1200" s="1" t="n">
        <v>45928</v>
      </c>
      <c r="D1200" t="inlineStr">
        <is>
          <t>VÄRMLANDS LÄN</t>
        </is>
      </c>
      <c r="E1200" t="inlineStr">
        <is>
          <t>ÅRJÄNG</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27311-2022</t>
        </is>
      </c>
      <c r="B1201" s="1" t="n">
        <v>44728</v>
      </c>
      <c r="C1201" s="1" t="n">
        <v>45928</v>
      </c>
      <c r="D1201" t="inlineStr">
        <is>
          <t>VÄRMLANDS LÄN</t>
        </is>
      </c>
      <c r="E1201" t="inlineStr">
        <is>
          <t>ÅRJÄNG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15954-2025</t>
        </is>
      </c>
      <c r="B1202" s="1" t="n">
        <v>45749</v>
      </c>
      <c r="C1202" s="1" t="n">
        <v>45928</v>
      </c>
      <c r="D1202" t="inlineStr">
        <is>
          <t>VÄRMLANDS LÄN</t>
        </is>
      </c>
      <c r="E1202" t="inlineStr">
        <is>
          <t>ÅRJÄNG</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687-2024</t>
        </is>
      </c>
      <c r="B1203" s="1" t="n">
        <v>45300.37333333334</v>
      </c>
      <c r="C1203" s="1" t="n">
        <v>45928</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713-2024</t>
        </is>
      </c>
      <c r="B1204" s="1" t="n">
        <v>45300.4261574074</v>
      </c>
      <c r="C1204" s="1" t="n">
        <v>45928</v>
      </c>
      <c r="D1204" t="inlineStr">
        <is>
          <t>VÄRMLANDS LÄN</t>
        </is>
      </c>
      <c r="E1204" t="inlineStr">
        <is>
          <t>ÅRJÄNG</t>
        </is>
      </c>
      <c r="F1204" t="inlineStr">
        <is>
          <t>Kyrkan</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8835-2025</t>
        </is>
      </c>
      <c r="B1205" s="1" t="n">
        <v>45712.92547453703</v>
      </c>
      <c r="C1205" s="1" t="n">
        <v>45928</v>
      </c>
      <c r="D1205" t="inlineStr">
        <is>
          <t>VÄRMLANDS LÄN</t>
        </is>
      </c>
      <c r="E1205" t="inlineStr">
        <is>
          <t>ÅRJÄNG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62288-2023</t>
        </is>
      </c>
      <c r="B1206" s="1" t="n">
        <v>45267.65707175926</v>
      </c>
      <c r="C1206" s="1" t="n">
        <v>45928</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18389-2022</t>
        </is>
      </c>
      <c r="B1207" s="1" t="n">
        <v>44685</v>
      </c>
      <c r="C1207" s="1" t="n">
        <v>45928</v>
      </c>
      <c r="D1207" t="inlineStr">
        <is>
          <t>VÄRMLANDS LÄN</t>
        </is>
      </c>
      <c r="E1207" t="inlineStr">
        <is>
          <t>ÅRJÄNG</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12993-2025</t>
        </is>
      </c>
      <c r="B1208" s="1" t="n">
        <v>45734.48583333333</v>
      </c>
      <c r="C1208" s="1" t="n">
        <v>45928</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9630-2025</t>
        </is>
      </c>
      <c r="B1209" s="1" t="n">
        <v>45715.71145833333</v>
      </c>
      <c r="C1209" s="1" t="n">
        <v>45928</v>
      </c>
      <c r="D1209" t="inlineStr">
        <is>
          <t>VÄRMLANDS LÄN</t>
        </is>
      </c>
      <c r="E1209" t="inlineStr">
        <is>
          <t>ÅRJÄNG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14446-2025</t>
        </is>
      </c>
      <c r="B1210" s="1" t="n">
        <v>45741.53552083333</v>
      </c>
      <c r="C1210" s="1" t="n">
        <v>45928</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8833-2025</t>
        </is>
      </c>
      <c r="B1211" s="1" t="n">
        <v>45712.91263888889</v>
      </c>
      <c r="C1211" s="1" t="n">
        <v>45928</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26265-2024</t>
        </is>
      </c>
      <c r="B1212" s="1" t="n">
        <v>45468</v>
      </c>
      <c r="C1212" s="1" t="n">
        <v>45928</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64381-2023</t>
        </is>
      </c>
      <c r="B1213" s="1" t="n">
        <v>45280</v>
      </c>
      <c r="C1213" s="1" t="n">
        <v>45928</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4545-2024</t>
        </is>
      </c>
      <c r="B1214" s="1" t="n">
        <v>45327</v>
      </c>
      <c r="C1214" s="1" t="n">
        <v>45928</v>
      </c>
      <c r="D1214" t="inlineStr">
        <is>
          <t>VÄRMLANDS LÄN</t>
        </is>
      </c>
      <c r="E1214" t="inlineStr">
        <is>
          <t>ÅRJÄNG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47332-2022</t>
        </is>
      </c>
      <c r="B1215" s="1" t="n">
        <v>44853</v>
      </c>
      <c r="C1215" s="1" t="n">
        <v>45928</v>
      </c>
      <c r="D1215" t="inlineStr">
        <is>
          <t>VÄRMLANDS LÄN</t>
        </is>
      </c>
      <c r="E1215" t="inlineStr">
        <is>
          <t>ÅRJÄNG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21145-2022</t>
        </is>
      </c>
      <c r="B1216" s="1" t="n">
        <v>44704</v>
      </c>
      <c r="C1216" s="1" t="n">
        <v>45928</v>
      </c>
      <c r="D1216" t="inlineStr">
        <is>
          <t>VÄRMLANDS LÄN</t>
        </is>
      </c>
      <c r="E1216" t="inlineStr">
        <is>
          <t>ÅRJÄNG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19621-2025</t>
        </is>
      </c>
      <c r="B1217" s="1" t="n">
        <v>45770</v>
      </c>
      <c r="C1217" s="1" t="n">
        <v>45928</v>
      </c>
      <c r="D1217" t="inlineStr">
        <is>
          <t>VÄRMLANDS LÄN</t>
        </is>
      </c>
      <c r="E1217" t="inlineStr">
        <is>
          <t>ÅRJÄNG</t>
        </is>
      </c>
      <c r="F1217" t="inlineStr">
        <is>
          <t>Övriga Aktiebolag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48389-2021</t>
        </is>
      </c>
      <c r="B1218" s="1" t="n">
        <v>44452.26943287037</v>
      </c>
      <c r="C1218" s="1" t="n">
        <v>45928</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9662-2024</t>
        </is>
      </c>
      <c r="B1219" s="1" t="n">
        <v>45362.43423611111</v>
      </c>
      <c r="C1219" s="1" t="n">
        <v>45928</v>
      </c>
      <c r="D1219" t="inlineStr">
        <is>
          <t>VÄRMLANDS LÄN</t>
        </is>
      </c>
      <c r="E1219" t="inlineStr">
        <is>
          <t>ÅRJÄNG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7794-2024</t>
        </is>
      </c>
      <c r="B1220" s="1" t="n">
        <v>45349</v>
      </c>
      <c r="C1220" s="1" t="n">
        <v>45928</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46096-2021</t>
        </is>
      </c>
      <c r="B1221" s="1" t="n">
        <v>44442</v>
      </c>
      <c r="C1221" s="1" t="n">
        <v>45928</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10338-2024</t>
        </is>
      </c>
      <c r="B1222" s="1" t="n">
        <v>45365.58712962963</v>
      </c>
      <c r="C1222" s="1" t="n">
        <v>45928</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51895-2022</t>
        </is>
      </c>
      <c r="B1223" s="1" t="n">
        <v>44872.61237268519</v>
      </c>
      <c r="C1223" s="1" t="n">
        <v>45928</v>
      </c>
      <c r="D1223" t="inlineStr">
        <is>
          <t>VÄRMLANDS LÄN</t>
        </is>
      </c>
      <c r="E1223" t="inlineStr">
        <is>
          <t>ÅRJÄNG</t>
        </is>
      </c>
      <c r="F1223" t="inlineStr">
        <is>
          <t>Kyrkan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13647-2025</t>
        </is>
      </c>
      <c r="B1224" s="1" t="n">
        <v>45736.69149305556</v>
      </c>
      <c r="C1224" s="1" t="n">
        <v>45928</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5256-2023</t>
        </is>
      </c>
      <c r="B1225" s="1" t="n">
        <v>44959.45520833333</v>
      </c>
      <c r="C1225" s="1" t="n">
        <v>45928</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59624-2022</t>
        </is>
      </c>
      <c r="B1226" s="1" t="n">
        <v>44907.90521990741</v>
      </c>
      <c r="C1226" s="1" t="n">
        <v>45928</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64229-2023</t>
        </is>
      </c>
      <c r="B1227" s="1" t="n">
        <v>45279</v>
      </c>
      <c r="C1227" s="1" t="n">
        <v>45928</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13029-2025</t>
        </is>
      </c>
      <c r="B1228" s="1" t="n">
        <v>45734.5703125</v>
      </c>
      <c r="C1228" s="1" t="n">
        <v>45928</v>
      </c>
      <c r="D1228" t="inlineStr">
        <is>
          <t>VÄRMLANDS LÄN</t>
        </is>
      </c>
      <c r="E1228" t="inlineStr">
        <is>
          <t>ÅRJÄNG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7443-2024</t>
        </is>
      </c>
      <c r="B1229" s="1" t="n">
        <v>45345.72207175926</v>
      </c>
      <c r="C1229" s="1" t="n">
        <v>45928</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58486-2023</t>
        </is>
      </c>
      <c r="B1230" s="1" t="n">
        <v>45246</v>
      </c>
      <c r="C1230" s="1" t="n">
        <v>45928</v>
      </c>
      <c r="D1230" t="inlineStr">
        <is>
          <t>VÄRMLANDS LÄN</t>
        </is>
      </c>
      <c r="E1230" t="inlineStr">
        <is>
          <t>ÅRJÄNG</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36587-2024</t>
        </is>
      </c>
      <c r="B1231" s="1" t="n">
        <v>45537</v>
      </c>
      <c r="C1231" s="1" t="n">
        <v>45928</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23971-2023</t>
        </is>
      </c>
      <c r="B1232" s="1" t="n">
        <v>45078.63996527778</v>
      </c>
      <c r="C1232" s="1" t="n">
        <v>45928</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57708-2024</t>
        </is>
      </c>
      <c r="B1233" s="1" t="n">
        <v>45630</v>
      </c>
      <c r="C1233" s="1" t="n">
        <v>45928</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15547-2025</t>
        </is>
      </c>
      <c r="B1234" s="1" t="n">
        <v>45747</v>
      </c>
      <c r="C1234" s="1" t="n">
        <v>45928</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15548-2025</t>
        </is>
      </c>
      <c r="B1235" s="1" t="n">
        <v>45747</v>
      </c>
      <c r="C1235" s="1" t="n">
        <v>45928</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6107-2024</t>
        </is>
      </c>
      <c r="B1236" s="1" t="n">
        <v>45337</v>
      </c>
      <c r="C1236" s="1" t="n">
        <v>45928</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c r="A1237" t="inlineStr">
        <is>
          <t>A 54013-2023</t>
        </is>
      </c>
      <c r="B1237" s="1" t="n">
        <v>45231.81550925926</v>
      </c>
      <c r="C1237" s="1" t="n">
        <v>45928</v>
      </c>
      <c r="D1237" t="inlineStr">
        <is>
          <t>VÄRMLANDS LÄN</t>
        </is>
      </c>
      <c r="E1237" t="inlineStr">
        <is>
          <t>ÅRJÄNG</t>
        </is>
      </c>
      <c r="G1237" t="n">
        <v>1.3</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2025-09-28T12:16:58Z</dcterms:created>
  <dcterms:modified xmlns:dcterms="http://purl.org/dc/terms/" xmlns:xsi="http://www.w3.org/2001/XMLSchema-instance" xsi:type="dcterms:W3CDTF">2025-09-28T12:16:59Z</dcterms:modified>
</cp:coreProperties>
</file>