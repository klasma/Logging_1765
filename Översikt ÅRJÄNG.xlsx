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46199</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46199</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46199</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46199</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46199</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46199</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46199</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46199</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46199</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46199</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46199</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46199</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46199</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46199</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46199</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46199</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46199</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33327-2021</t>
        </is>
      </c>
      <c r="B19" s="1" t="n">
        <v>44377</v>
      </c>
      <c r="C19" s="1" t="n">
        <v>46199</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45094-2024</t>
        </is>
      </c>
      <c r="B20" s="1" t="n">
        <v>45575</v>
      </c>
      <c r="C20" s="1" t="n">
        <v>46199</v>
      </c>
      <c r="D20" t="inlineStr">
        <is>
          <t>VÄRMLANDS LÄN</t>
        </is>
      </c>
      <c r="E20" t="inlineStr">
        <is>
          <t>ÅRJÄNG</t>
        </is>
      </c>
      <c r="F20" t="inlineStr">
        <is>
          <t>Bergvik skog väst AB</t>
        </is>
      </c>
      <c r="G20" t="n">
        <v>1.5</v>
      </c>
      <c r="H20" t="n">
        <v>1</v>
      </c>
      <c r="I20" t="n">
        <v>0</v>
      </c>
      <c r="J20" t="n">
        <v>2</v>
      </c>
      <c r="K20" t="n">
        <v>1</v>
      </c>
      <c r="L20" t="n">
        <v>0</v>
      </c>
      <c r="M20" t="n">
        <v>0</v>
      </c>
      <c r="N20" t="n">
        <v>0</v>
      </c>
      <c r="O20" t="n">
        <v>3</v>
      </c>
      <c r="P20" t="n">
        <v>1</v>
      </c>
      <c r="Q20" t="n">
        <v>4</v>
      </c>
      <c r="R20" s="2" t="inlineStr">
        <is>
          <t>Slåttergubbe
Jungfrulin
Svinrot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11156-2024</t>
        </is>
      </c>
      <c r="B21" s="1" t="n">
        <v>45371</v>
      </c>
      <c r="C21" s="1" t="n">
        <v>46199</v>
      </c>
      <c r="D21" t="inlineStr">
        <is>
          <t>VÄRMLANDS LÄN</t>
        </is>
      </c>
      <c r="E21" t="inlineStr">
        <is>
          <t>ÅRJÄNG</t>
        </is>
      </c>
      <c r="G21" t="n">
        <v>7.4</v>
      </c>
      <c r="H21" t="n">
        <v>3</v>
      </c>
      <c r="I21" t="n">
        <v>1</v>
      </c>
      <c r="J21" t="n">
        <v>0</v>
      </c>
      <c r="K21" t="n">
        <v>1</v>
      </c>
      <c r="L21" t="n">
        <v>0</v>
      </c>
      <c r="M21" t="n">
        <v>0</v>
      </c>
      <c r="N21" t="n">
        <v>0</v>
      </c>
      <c r="O21" t="n">
        <v>1</v>
      </c>
      <c r="P21" t="n">
        <v>1</v>
      </c>
      <c r="Q21" t="n">
        <v>4</v>
      </c>
      <c r="R21" s="2" t="inlineStr">
        <is>
          <t>Knärot
Vedticka
Mattlummer
Revlummer</t>
        </is>
      </c>
      <c r="S21">
        <f>HYPERLINK("https://klasma.github.io/Logging_1765/artfynd/A 11156-2024 artfynd.xlsx", "A 11156-2024")</f>
        <v/>
      </c>
      <c r="T21">
        <f>HYPERLINK("https://klasma.github.io/Logging_1765/kartor/A 11156-2024 karta.png", "A 11156-2024")</f>
        <v/>
      </c>
      <c r="U21">
        <f>HYPERLINK("https://klasma.github.io/Logging_1765/knärot/A 11156-2024 karta knärot.png", "A 11156-2024")</f>
        <v/>
      </c>
      <c r="V21">
        <f>HYPERLINK("https://klasma.github.io/Logging_1765/klagomål/A 11156-2024 FSC-klagomål.docx", "A 11156-2024")</f>
        <v/>
      </c>
      <c r="W21">
        <f>HYPERLINK("https://klasma.github.io/Logging_1765/klagomålsmail/A 11156-2024 FSC-klagomål mail.docx", "A 11156-2024")</f>
        <v/>
      </c>
      <c r="X21">
        <f>HYPERLINK("https://klasma.github.io/Logging_1765/tillsyn/A 11156-2024 tillsynsbegäran.docx", "A 11156-2024")</f>
        <v/>
      </c>
      <c r="Y21">
        <f>HYPERLINK("https://klasma.github.io/Logging_1765/tillsynsmail/A 11156-2024 tillsynsbegäran mail.docx", "A 11156-2024")</f>
        <v/>
      </c>
    </row>
    <row r="22" ht="15" customHeight="1">
      <c r="A22" t="inlineStr">
        <is>
          <t>A 53216-2025</t>
        </is>
      </c>
      <c r="B22" s="1" t="n">
        <v>45958</v>
      </c>
      <c r="C22" s="1" t="n">
        <v>46199</v>
      </c>
      <c r="D22" t="inlineStr">
        <is>
          <t>VÄRMLANDS LÄN</t>
        </is>
      </c>
      <c r="E22" t="inlineStr">
        <is>
          <t>ÅRJÄNG</t>
        </is>
      </c>
      <c r="G22" t="n">
        <v>7.1</v>
      </c>
      <c r="H22" t="n">
        <v>1</v>
      </c>
      <c r="I22" t="n">
        <v>0</v>
      </c>
      <c r="J22" t="n">
        <v>1</v>
      </c>
      <c r="K22" t="n">
        <v>3</v>
      </c>
      <c r="L22" t="n">
        <v>0</v>
      </c>
      <c r="M22" t="n">
        <v>0</v>
      </c>
      <c r="N22" t="n">
        <v>0</v>
      </c>
      <c r="O22" t="n">
        <v>4</v>
      </c>
      <c r="P22" t="n">
        <v>3</v>
      </c>
      <c r="Q22" t="n">
        <v>4</v>
      </c>
      <c r="R22" s="2" t="inlineStr">
        <is>
          <t>Garnlav
Gul taggsvamp
Knärot
Dropptaggsvamp</t>
        </is>
      </c>
      <c r="S22">
        <f>HYPERLINK("https://klasma.github.io/Logging_1765/artfynd/A 53216-2025 artfynd.xlsx", "A 53216-2025")</f>
        <v/>
      </c>
      <c r="T22">
        <f>HYPERLINK("https://klasma.github.io/Logging_1765/kartor/A 53216-2025 karta.png", "A 53216-2025")</f>
        <v/>
      </c>
      <c r="U22">
        <f>HYPERLINK("https://klasma.github.io/Logging_1765/knärot/A 53216-2025 karta knärot.png", "A 53216-2025")</f>
        <v/>
      </c>
      <c r="V22">
        <f>HYPERLINK("https://klasma.github.io/Logging_1765/klagomål/A 53216-2025 FSC-klagomål.docx", "A 53216-2025")</f>
        <v/>
      </c>
      <c r="W22">
        <f>HYPERLINK("https://klasma.github.io/Logging_1765/klagomålsmail/A 53216-2025 FSC-klagomål mail.docx", "A 53216-2025")</f>
        <v/>
      </c>
      <c r="X22">
        <f>HYPERLINK("https://klasma.github.io/Logging_1765/tillsyn/A 53216-2025 tillsynsbegäran.docx", "A 53216-2025")</f>
        <v/>
      </c>
      <c r="Y22">
        <f>HYPERLINK("https://klasma.github.io/Logging_1765/tillsynsmail/A 53216-2025 tillsynsbegäran mail.docx", "A 53216-2025")</f>
        <v/>
      </c>
    </row>
    <row r="23" ht="15" customHeight="1">
      <c r="A23" t="inlineStr">
        <is>
          <t>A 17268-2022</t>
        </is>
      </c>
      <c r="B23" s="1" t="n">
        <v>44678</v>
      </c>
      <c r="C23" s="1" t="n">
        <v>46199</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33525-2023</t>
        </is>
      </c>
      <c r="B24" s="1" t="n">
        <v>45131</v>
      </c>
      <c r="C24" s="1" t="n">
        <v>46199</v>
      </c>
      <c r="D24" t="inlineStr">
        <is>
          <t>VÄRMLANDS LÄN</t>
        </is>
      </c>
      <c r="E24" t="inlineStr">
        <is>
          <t>ÅRJÄNG</t>
        </is>
      </c>
      <c r="G24" t="n">
        <v>10.2</v>
      </c>
      <c r="H24" t="n">
        <v>0</v>
      </c>
      <c r="I24" t="n">
        <v>0</v>
      </c>
      <c r="J24" t="n">
        <v>3</v>
      </c>
      <c r="K24" t="n">
        <v>1</v>
      </c>
      <c r="L24" t="n">
        <v>0</v>
      </c>
      <c r="M24" t="n">
        <v>0</v>
      </c>
      <c r="N24" t="n">
        <v>0</v>
      </c>
      <c r="O24" t="n">
        <v>4</v>
      </c>
      <c r="P24" t="n">
        <v>1</v>
      </c>
      <c r="Q24" t="n">
        <v>4</v>
      </c>
      <c r="R24" s="2" t="inlineStr">
        <is>
          <t>Garnlav
Dropptaggsvamp
Orange taggsvamp
Tallfingersvamp</t>
        </is>
      </c>
      <c r="S24">
        <f>HYPERLINK("https://klasma.github.io/Logging_1765/artfynd/A 33525-2023 artfynd.xlsx", "A 33525-2023")</f>
        <v/>
      </c>
      <c r="T24">
        <f>HYPERLINK("https://klasma.github.io/Logging_1765/kartor/A 33525-2023 karta.png", "A 33525-2023")</f>
        <v/>
      </c>
      <c r="V24">
        <f>HYPERLINK("https://klasma.github.io/Logging_1765/klagomål/A 33525-2023 FSC-klagomål.docx", "A 33525-2023")</f>
        <v/>
      </c>
      <c r="W24">
        <f>HYPERLINK("https://klasma.github.io/Logging_1765/klagomålsmail/A 33525-2023 FSC-klagomål mail.docx", "A 33525-2023")</f>
        <v/>
      </c>
      <c r="X24">
        <f>HYPERLINK("https://klasma.github.io/Logging_1765/tillsyn/A 33525-2023 tillsynsbegäran.docx", "A 33525-2023")</f>
        <v/>
      </c>
      <c r="Y24">
        <f>HYPERLINK("https://klasma.github.io/Logging_1765/tillsynsmail/A 33525-2023 tillsynsbegäran mail.docx", "A 33525-2023")</f>
        <v/>
      </c>
    </row>
    <row r="25" ht="15" customHeight="1">
      <c r="A25" t="inlineStr">
        <is>
          <t>A 32762-2021</t>
        </is>
      </c>
      <c r="B25" s="1" t="n">
        <v>44375</v>
      </c>
      <c r="C25" s="1" t="n">
        <v>46199</v>
      </c>
      <c r="D25" t="inlineStr">
        <is>
          <t>VÄRMLANDS LÄN</t>
        </is>
      </c>
      <c r="E25" t="inlineStr">
        <is>
          <t>ÅRJÄNG</t>
        </is>
      </c>
      <c r="G25" t="n">
        <v>7.9</v>
      </c>
      <c r="H25" t="n">
        <v>1</v>
      </c>
      <c r="I25" t="n">
        <v>2</v>
      </c>
      <c r="J25" t="n">
        <v>2</v>
      </c>
      <c r="K25" t="n">
        <v>0</v>
      </c>
      <c r="L25" t="n">
        <v>0</v>
      </c>
      <c r="M25" t="n">
        <v>0</v>
      </c>
      <c r="N25" t="n">
        <v>0</v>
      </c>
      <c r="O25" t="n">
        <v>2</v>
      </c>
      <c r="P25" t="n">
        <v>0</v>
      </c>
      <c r="Q25" t="n">
        <v>4</v>
      </c>
      <c r="R25" s="2" t="inlineStr">
        <is>
          <t>Lunglav
Talltita
Korallblylav
Skinnlav</t>
        </is>
      </c>
      <c r="S25">
        <f>HYPERLINK("https://klasma.github.io/Logging_1765/artfynd/A 32762-2021 artfynd.xlsx", "A 32762-2021")</f>
        <v/>
      </c>
      <c r="T25">
        <f>HYPERLINK("https://klasma.github.io/Logging_1765/kartor/A 32762-2021 karta.png", "A 32762-2021")</f>
        <v/>
      </c>
      <c r="V25">
        <f>HYPERLINK("https://klasma.github.io/Logging_1765/klagomål/A 32762-2021 FSC-klagomål.docx", "A 32762-2021")</f>
        <v/>
      </c>
      <c r="W25">
        <f>HYPERLINK("https://klasma.github.io/Logging_1765/klagomålsmail/A 32762-2021 FSC-klagomål mail.docx", "A 32762-2021")</f>
        <v/>
      </c>
      <c r="X25">
        <f>HYPERLINK("https://klasma.github.io/Logging_1765/tillsyn/A 32762-2021 tillsynsbegäran.docx", "A 32762-2021")</f>
        <v/>
      </c>
      <c r="Y25">
        <f>HYPERLINK("https://klasma.github.io/Logging_1765/tillsynsmail/A 32762-2021 tillsynsbegäran mail.docx", "A 32762-2021")</f>
        <v/>
      </c>
      <c r="Z25">
        <f>HYPERLINK("https://klasma.github.io/Logging_1765/fåglar/A 32762-2021 prioriterade fågelarter.docx", "A 32762-2021")</f>
        <v/>
      </c>
    </row>
    <row r="26" ht="15" customHeight="1">
      <c r="A26" t="inlineStr">
        <is>
          <t>A 61045-2023</t>
        </is>
      </c>
      <c r="B26" s="1" t="n">
        <v>45260</v>
      </c>
      <c r="C26" s="1" t="n">
        <v>46199</v>
      </c>
      <c r="D26" t="inlineStr">
        <is>
          <t>VÄRMLANDS LÄN</t>
        </is>
      </c>
      <c r="E26" t="inlineStr">
        <is>
          <t>ÅRJÄNG</t>
        </is>
      </c>
      <c r="G26" t="n">
        <v>0.7</v>
      </c>
      <c r="H26" t="n">
        <v>1</v>
      </c>
      <c r="I26" t="n">
        <v>1</v>
      </c>
      <c r="J26" t="n">
        <v>1</v>
      </c>
      <c r="K26" t="n">
        <v>1</v>
      </c>
      <c r="L26" t="n">
        <v>0</v>
      </c>
      <c r="M26" t="n">
        <v>0</v>
      </c>
      <c r="N26" t="n">
        <v>0</v>
      </c>
      <c r="O26" t="n">
        <v>2</v>
      </c>
      <c r="P26" t="n">
        <v>1</v>
      </c>
      <c r="Q26" t="n">
        <v>3</v>
      </c>
      <c r="R26" s="2" t="inlineStr">
        <is>
          <t>Gränsticka
Tretåig hackspett
Vedticka</t>
        </is>
      </c>
      <c r="S26">
        <f>HYPERLINK("https://klasma.github.io/Logging_1765/artfynd/A 61045-2023 artfynd.xlsx", "A 61045-2023")</f>
        <v/>
      </c>
      <c r="T26">
        <f>HYPERLINK("https://klasma.github.io/Logging_1765/kartor/A 61045-2023 karta.png", "A 61045-2023")</f>
        <v/>
      </c>
      <c r="U26">
        <f>HYPERLINK("https://klasma.github.io/Logging_1765/knärot/A 61045-2023 karta knärot.png", "A 61045-2023")</f>
        <v/>
      </c>
      <c r="V26">
        <f>HYPERLINK("https://klasma.github.io/Logging_1765/klagomål/A 61045-2023 FSC-klagomål.docx", "A 61045-2023")</f>
        <v/>
      </c>
      <c r="W26">
        <f>HYPERLINK("https://klasma.github.io/Logging_1765/klagomålsmail/A 61045-2023 FSC-klagomål mail.docx", "A 61045-2023")</f>
        <v/>
      </c>
      <c r="X26">
        <f>HYPERLINK("https://klasma.github.io/Logging_1765/tillsyn/A 61045-2023 tillsynsbegäran.docx", "A 61045-2023")</f>
        <v/>
      </c>
      <c r="Y26">
        <f>HYPERLINK("https://klasma.github.io/Logging_1765/tillsynsmail/A 61045-2023 tillsynsbegäran mail.docx", "A 61045-2023")</f>
        <v/>
      </c>
      <c r="Z26">
        <f>HYPERLINK("https://klasma.github.io/Logging_1765/fåglar/A 61045-2023 prioriterade fågelarter.docx", "A 61045-2023")</f>
        <v/>
      </c>
    </row>
    <row r="27" ht="15" customHeight="1">
      <c r="A27" t="inlineStr">
        <is>
          <t>A 15730-2023</t>
        </is>
      </c>
      <c r="B27" s="1" t="n">
        <v>45021</v>
      </c>
      <c r="C27" s="1" t="n">
        <v>46199</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18741-2026</t>
        </is>
      </c>
      <c r="B28" s="1" t="n">
        <v>46128</v>
      </c>
      <c r="C28" s="1" t="n">
        <v>46199</v>
      </c>
      <c r="D28" t="inlineStr">
        <is>
          <t>VÄRMLANDS LÄN</t>
        </is>
      </c>
      <c r="E28" t="inlineStr">
        <is>
          <t>ÅRJÄNG</t>
        </is>
      </c>
      <c r="G28" t="n">
        <v>1.1</v>
      </c>
      <c r="H28" t="n">
        <v>0</v>
      </c>
      <c r="I28" t="n">
        <v>2</v>
      </c>
      <c r="J28" t="n">
        <v>1</v>
      </c>
      <c r="K28" t="n">
        <v>0</v>
      </c>
      <c r="L28" t="n">
        <v>0</v>
      </c>
      <c r="M28" t="n">
        <v>0</v>
      </c>
      <c r="N28" t="n">
        <v>0</v>
      </c>
      <c r="O28" t="n">
        <v>1</v>
      </c>
      <c r="P28" t="n">
        <v>0</v>
      </c>
      <c r="Q28" t="n">
        <v>3</v>
      </c>
      <c r="R28" s="2" t="inlineStr">
        <is>
          <t>Kattfotslav
Bronshjon
Vågbandad barkbock</t>
        </is>
      </c>
      <c r="S28">
        <f>HYPERLINK("https://klasma.github.io/Logging_1765/artfynd/A 18741-2026 artfynd.xlsx", "A 18741-2026")</f>
        <v/>
      </c>
      <c r="T28">
        <f>HYPERLINK("https://klasma.github.io/Logging_1765/kartor/A 18741-2026 karta.png", "A 18741-2026")</f>
        <v/>
      </c>
      <c r="V28">
        <f>HYPERLINK("https://klasma.github.io/Logging_1765/klagomål/A 18741-2026 FSC-klagomål.docx", "A 18741-2026")</f>
        <v/>
      </c>
      <c r="W28">
        <f>HYPERLINK("https://klasma.github.io/Logging_1765/klagomålsmail/A 18741-2026 FSC-klagomål mail.docx", "A 18741-2026")</f>
        <v/>
      </c>
      <c r="X28">
        <f>HYPERLINK("https://klasma.github.io/Logging_1765/tillsyn/A 18741-2026 tillsynsbegäran.docx", "A 18741-2026")</f>
        <v/>
      </c>
      <c r="Y28">
        <f>HYPERLINK("https://klasma.github.io/Logging_1765/tillsynsmail/A 18741-2026 tillsynsbegäran mail.docx", "A 18741-2026")</f>
        <v/>
      </c>
    </row>
    <row r="29" ht="15" customHeight="1">
      <c r="A29" t="inlineStr">
        <is>
          <t>A 2212-2025</t>
        </is>
      </c>
      <c r="B29" s="1" t="n">
        <v>45673</v>
      </c>
      <c r="C29" s="1" t="n">
        <v>46199</v>
      </c>
      <c r="D29" t="inlineStr">
        <is>
          <t>VÄRMLANDS LÄN</t>
        </is>
      </c>
      <c r="E29" t="inlineStr">
        <is>
          <t>ÅRJÄNG</t>
        </is>
      </c>
      <c r="G29" t="n">
        <v>10.7</v>
      </c>
      <c r="H29" t="n">
        <v>0</v>
      </c>
      <c r="I29" t="n">
        <v>1</v>
      </c>
      <c r="J29" t="n">
        <v>1</v>
      </c>
      <c r="K29" t="n">
        <v>1</v>
      </c>
      <c r="L29" t="n">
        <v>0</v>
      </c>
      <c r="M29" t="n">
        <v>0</v>
      </c>
      <c r="N29" t="n">
        <v>0</v>
      </c>
      <c r="O29" t="n">
        <v>2</v>
      </c>
      <c r="P29" t="n">
        <v>1</v>
      </c>
      <c r="Q29" t="n">
        <v>3</v>
      </c>
      <c r="R29" s="2" t="inlineStr">
        <is>
          <t>Garnlav
Dropptaggsvamp
Bårdlav</t>
        </is>
      </c>
      <c r="S29">
        <f>HYPERLINK("https://klasma.github.io/Logging_1765/artfynd/A 2212-2025 artfynd.xlsx", "A 2212-2025")</f>
        <v/>
      </c>
      <c r="T29">
        <f>HYPERLINK("https://klasma.github.io/Logging_1765/kartor/A 2212-2025 karta.png", "A 2212-2025")</f>
        <v/>
      </c>
      <c r="V29">
        <f>HYPERLINK("https://klasma.github.io/Logging_1765/klagomål/A 2212-2025 FSC-klagomål.docx", "A 2212-2025")</f>
        <v/>
      </c>
      <c r="W29">
        <f>HYPERLINK("https://klasma.github.io/Logging_1765/klagomålsmail/A 2212-2025 FSC-klagomål mail.docx", "A 2212-2025")</f>
        <v/>
      </c>
      <c r="X29">
        <f>HYPERLINK("https://klasma.github.io/Logging_1765/tillsyn/A 2212-2025 tillsynsbegäran.docx", "A 2212-2025")</f>
        <v/>
      </c>
      <c r="Y29">
        <f>HYPERLINK("https://klasma.github.io/Logging_1765/tillsynsmail/A 2212-2025 tillsynsbegäran mail.docx", "A 2212-2025")</f>
        <v/>
      </c>
    </row>
    <row r="30" ht="15" customHeight="1">
      <c r="A30" t="inlineStr">
        <is>
          <t>A 59466-2021</t>
        </is>
      </c>
      <c r="B30" s="1" t="n">
        <v>44491</v>
      </c>
      <c r="C30" s="1" t="n">
        <v>46199</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53611-2023</t>
        </is>
      </c>
      <c r="B31" s="1" t="n">
        <v>45230</v>
      </c>
      <c r="C31" s="1" t="n">
        <v>46199</v>
      </c>
      <c r="D31" t="inlineStr">
        <is>
          <t>VÄRMLANDS LÄN</t>
        </is>
      </c>
      <c r="E31" t="inlineStr">
        <is>
          <t>ÅRJÄNG</t>
        </is>
      </c>
      <c r="G31" t="n">
        <v>12.3</v>
      </c>
      <c r="H31" t="n">
        <v>1</v>
      </c>
      <c r="I31" t="n">
        <v>1</v>
      </c>
      <c r="J31" t="n">
        <v>0</v>
      </c>
      <c r="K31" t="n">
        <v>0</v>
      </c>
      <c r="L31" t="n">
        <v>0</v>
      </c>
      <c r="M31" t="n">
        <v>0</v>
      </c>
      <c r="N31" t="n">
        <v>0</v>
      </c>
      <c r="O31" t="n">
        <v>0</v>
      </c>
      <c r="P31" t="n">
        <v>0</v>
      </c>
      <c r="Q31" t="n">
        <v>2</v>
      </c>
      <c r="R31" s="2" t="inlineStr">
        <is>
          <t>Purpurmylia
Smålom</t>
        </is>
      </c>
      <c r="S31">
        <f>HYPERLINK("https://klasma.github.io/Logging_1765/artfynd/A 53611-2023 artfynd.xlsx", "A 53611-2023")</f>
        <v/>
      </c>
      <c r="T31">
        <f>HYPERLINK("https://klasma.github.io/Logging_1765/kartor/A 53611-2023 karta.png", "A 53611-2023")</f>
        <v/>
      </c>
      <c r="V31">
        <f>HYPERLINK("https://klasma.github.io/Logging_1765/klagomål/A 53611-2023 FSC-klagomål.docx", "A 53611-2023")</f>
        <v/>
      </c>
      <c r="W31">
        <f>HYPERLINK("https://klasma.github.io/Logging_1765/klagomålsmail/A 53611-2023 FSC-klagomål mail.docx", "A 53611-2023")</f>
        <v/>
      </c>
      <c r="X31">
        <f>HYPERLINK("https://klasma.github.io/Logging_1765/tillsyn/A 53611-2023 tillsynsbegäran.docx", "A 53611-2023")</f>
        <v/>
      </c>
      <c r="Y31">
        <f>HYPERLINK("https://klasma.github.io/Logging_1765/tillsynsmail/A 53611-2023 tillsynsbegäran mail.docx", "A 53611-2023")</f>
        <v/>
      </c>
      <c r="Z31">
        <f>HYPERLINK("https://klasma.github.io/Logging_1765/fåglar/A 53611-2023 prioriterade fågelarter.docx", "A 53611-2023")</f>
        <v/>
      </c>
    </row>
    <row r="32" ht="15" customHeight="1">
      <c r="A32" t="inlineStr">
        <is>
          <t>A 51928-2022</t>
        </is>
      </c>
      <c r="B32" s="1" t="n">
        <v>44872</v>
      </c>
      <c r="C32" s="1" t="n">
        <v>46199</v>
      </c>
      <c r="D32" t="inlineStr">
        <is>
          <t>VÄRMLANDS LÄN</t>
        </is>
      </c>
      <c r="E32" t="inlineStr">
        <is>
          <t>ÅRJÄNG</t>
        </is>
      </c>
      <c r="G32" t="n">
        <v>14.1</v>
      </c>
      <c r="H32" t="n">
        <v>1</v>
      </c>
      <c r="I32" t="n">
        <v>0</v>
      </c>
      <c r="J32" t="n">
        <v>1</v>
      </c>
      <c r="K32" t="n">
        <v>1</v>
      </c>
      <c r="L32" t="n">
        <v>0</v>
      </c>
      <c r="M32" t="n">
        <v>0</v>
      </c>
      <c r="N32" t="n">
        <v>0</v>
      </c>
      <c r="O32" t="n">
        <v>2</v>
      </c>
      <c r="P32" t="n">
        <v>1</v>
      </c>
      <c r="Q32" t="n">
        <v>2</v>
      </c>
      <c r="R32" s="2" t="inlineStr">
        <is>
          <t>Knärot
Dropptaggsvamp</t>
        </is>
      </c>
      <c r="S32">
        <f>HYPERLINK("https://klasma.github.io/Logging_1765/artfynd/A 51928-2022 artfynd.xlsx", "A 51928-2022")</f>
        <v/>
      </c>
      <c r="T32">
        <f>HYPERLINK("https://klasma.github.io/Logging_1765/kartor/A 51928-2022 karta.png", "A 51928-2022")</f>
        <v/>
      </c>
      <c r="U32">
        <f>HYPERLINK("https://klasma.github.io/Logging_1765/knärot/A 51928-2022 karta knärot.png", "A 51928-2022")</f>
        <v/>
      </c>
      <c r="V32">
        <f>HYPERLINK("https://klasma.github.io/Logging_1765/klagomål/A 51928-2022 FSC-klagomål.docx", "A 51928-2022")</f>
        <v/>
      </c>
      <c r="W32">
        <f>HYPERLINK("https://klasma.github.io/Logging_1765/klagomålsmail/A 51928-2022 FSC-klagomål mail.docx", "A 51928-2022")</f>
        <v/>
      </c>
      <c r="X32">
        <f>HYPERLINK("https://klasma.github.io/Logging_1765/tillsyn/A 51928-2022 tillsynsbegäran.docx", "A 51928-2022")</f>
        <v/>
      </c>
      <c r="Y32">
        <f>HYPERLINK("https://klasma.github.io/Logging_1765/tillsynsmail/A 51928-2022 tillsynsbegäran mail.docx", "A 51928-2022")</f>
        <v/>
      </c>
    </row>
    <row r="33" ht="15" customHeight="1">
      <c r="A33" t="inlineStr">
        <is>
          <t>A 58238-2024</t>
        </is>
      </c>
      <c r="B33" s="1" t="n">
        <v>45632</v>
      </c>
      <c r="C33" s="1" t="n">
        <v>46199</v>
      </c>
      <c r="D33" t="inlineStr">
        <is>
          <t>VÄRMLANDS LÄN</t>
        </is>
      </c>
      <c r="E33" t="inlineStr">
        <is>
          <t>ÅRJÄNG</t>
        </is>
      </c>
      <c r="G33" t="n">
        <v>4.1</v>
      </c>
      <c r="H33" t="n">
        <v>2</v>
      </c>
      <c r="I33" t="n">
        <v>0</v>
      </c>
      <c r="J33" t="n">
        <v>0</v>
      </c>
      <c r="K33" t="n">
        <v>0</v>
      </c>
      <c r="L33" t="n">
        <v>0</v>
      </c>
      <c r="M33" t="n">
        <v>0</v>
      </c>
      <c r="N33" t="n">
        <v>0</v>
      </c>
      <c r="O33" t="n">
        <v>0</v>
      </c>
      <c r="P33" t="n">
        <v>0</v>
      </c>
      <c r="Q33" t="n">
        <v>2</v>
      </c>
      <c r="R33" s="2" t="inlineStr">
        <is>
          <t>Revlummer
Äkta lopplummer</t>
        </is>
      </c>
      <c r="S33">
        <f>HYPERLINK("https://klasma.github.io/Logging_1765/artfynd/A 58238-2024 artfynd.xlsx", "A 58238-2024")</f>
        <v/>
      </c>
      <c r="T33">
        <f>HYPERLINK("https://klasma.github.io/Logging_1765/kartor/A 58238-2024 karta.png", "A 58238-2024")</f>
        <v/>
      </c>
      <c r="V33">
        <f>HYPERLINK("https://klasma.github.io/Logging_1765/klagomål/A 58238-2024 FSC-klagomål.docx", "A 58238-2024")</f>
        <v/>
      </c>
      <c r="W33">
        <f>HYPERLINK("https://klasma.github.io/Logging_1765/klagomålsmail/A 58238-2024 FSC-klagomål mail.docx", "A 58238-2024")</f>
        <v/>
      </c>
      <c r="X33">
        <f>HYPERLINK("https://klasma.github.io/Logging_1765/tillsyn/A 58238-2024 tillsynsbegäran.docx", "A 58238-2024")</f>
        <v/>
      </c>
      <c r="Y33">
        <f>HYPERLINK("https://klasma.github.io/Logging_1765/tillsynsmail/A 58238-2024 tillsynsbegäran mail.docx", "A 58238-2024")</f>
        <v/>
      </c>
    </row>
    <row r="34" ht="15" customHeight="1">
      <c r="A34" t="inlineStr">
        <is>
          <t>A 45329-2025</t>
        </is>
      </c>
      <c r="B34" s="1" t="n">
        <v>45922</v>
      </c>
      <c r="C34" s="1" t="n">
        <v>46199</v>
      </c>
      <c r="D34" t="inlineStr">
        <is>
          <t>VÄRMLANDS LÄN</t>
        </is>
      </c>
      <c r="E34" t="inlineStr">
        <is>
          <t>ÅRJÄNG</t>
        </is>
      </c>
      <c r="F34" t="inlineStr">
        <is>
          <t>Bergvik skog väst AB</t>
        </is>
      </c>
      <c r="G34" t="n">
        <v>1.3</v>
      </c>
      <c r="H34" t="n">
        <v>0</v>
      </c>
      <c r="I34" t="n">
        <v>1</v>
      </c>
      <c r="J34" t="n">
        <v>1</v>
      </c>
      <c r="K34" t="n">
        <v>0</v>
      </c>
      <c r="L34" t="n">
        <v>0</v>
      </c>
      <c r="M34" t="n">
        <v>0</v>
      </c>
      <c r="N34" t="n">
        <v>0</v>
      </c>
      <c r="O34" t="n">
        <v>1</v>
      </c>
      <c r="P34" t="n">
        <v>0</v>
      </c>
      <c r="Q34" t="n">
        <v>2</v>
      </c>
      <c r="R34" s="2" t="inlineStr">
        <is>
          <t>Kattfotslav
Mörk husmossa</t>
        </is>
      </c>
      <c r="S34">
        <f>HYPERLINK("https://klasma.github.io/Logging_1765/artfynd/A 45329-2025 artfynd.xlsx", "A 45329-2025")</f>
        <v/>
      </c>
      <c r="T34">
        <f>HYPERLINK("https://klasma.github.io/Logging_1765/kartor/A 45329-2025 karta.png", "A 45329-2025")</f>
        <v/>
      </c>
      <c r="V34">
        <f>HYPERLINK("https://klasma.github.io/Logging_1765/klagomål/A 45329-2025 FSC-klagomål.docx", "A 45329-2025")</f>
        <v/>
      </c>
      <c r="W34">
        <f>HYPERLINK("https://klasma.github.io/Logging_1765/klagomålsmail/A 45329-2025 FSC-klagomål mail.docx", "A 45329-2025")</f>
        <v/>
      </c>
      <c r="X34">
        <f>HYPERLINK("https://klasma.github.io/Logging_1765/tillsyn/A 45329-2025 tillsynsbegäran.docx", "A 45329-2025")</f>
        <v/>
      </c>
      <c r="Y34">
        <f>HYPERLINK("https://klasma.github.io/Logging_1765/tillsynsmail/A 45329-2025 tillsynsbegäran mail.docx", "A 45329-2025")</f>
        <v/>
      </c>
    </row>
    <row r="35" ht="15" customHeight="1">
      <c r="A35" t="inlineStr">
        <is>
          <t>A 40437-2025</t>
        </is>
      </c>
      <c r="B35" s="1" t="n">
        <v>45895</v>
      </c>
      <c r="C35" s="1" t="n">
        <v>46199</v>
      </c>
      <c r="D35" t="inlineStr">
        <is>
          <t>VÄRMLANDS LÄN</t>
        </is>
      </c>
      <c r="E35" t="inlineStr">
        <is>
          <t>ÅRJÄNG</t>
        </is>
      </c>
      <c r="G35" t="n">
        <v>8.1</v>
      </c>
      <c r="H35" t="n">
        <v>2</v>
      </c>
      <c r="I35" t="n">
        <v>0</v>
      </c>
      <c r="J35" t="n">
        <v>0</v>
      </c>
      <c r="K35" t="n">
        <v>0</v>
      </c>
      <c r="L35" t="n">
        <v>0</v>
      </c>
      <c r="M35" t="n">
        <v>0</v>
      </c>
      <c r="N35" t="n">
        <v>0</v>
      </c>
      <c r="O35" t="n">
        <v>0</v>
      </c>
      <c r="P35" t="n">
        <v>0</v>
      </c>
      <c r="Q35" t="n">
        <v>2</v>
      </c>
      <c r="R35" s="2" t="inlineStr">
        <is>
          <t>Spillkråka
Revlummer</t>
        </is>
      </c>
      <c r="S35">
        <f>HYPERLINK("https://klasma.github.io/Logging_1765/artfynd/A 40437-2025 artfynd.xlsx", "A 40437-2025")</f>
        <v/>
      </c>
      <c r="T35">
        <f>HYPERLINK("https://klasma.github.io/Logging_1765/kartor/A 40437-2025 karta.png", "A 40437-2025")</f>
        <v/>
      </c>
      <c r="V35">
        <f>HYPERLINK("https://klasma.github.io/Logging_1765/klagomål/A 40437-2025 FSC-klagomål.docx", "A 40437-2025")</f>
        <v/>
      </c>
      <c r="W35">
        <f>HYPERLINK("https://klasma.github.io/Logging_1765/klagomålsmail/A 40437-2025 FSC-klagomål mail.docx", "A 40437-2025")</f>
        <v/>
      </c>
      <c r="X35">
        <f>HYPERLINK("https://klasma.github.io/Logging_1765/tillsyn/A 40437-2025 tillsynsbegäran.docx", "A 40437-2025")</f>
        <v/>
      </c>
      <c r="Y35">
        <f>HYPERLINK("https://klasma.github.io/Logging_1765/tillsynsmail/A 40437-2025 tillsynsbegäran mail.docx", "A 40437-2025")</f>
        <v/>
      </c>
      <c r="Z35">
        <f>HYPERLINK("https://klasma.github.io/Logging_1765/fåglar/A 40437-2025 prioriterade fågelarter.docx", "A 40437-2025")</f>
        <v/>
      </c>
    </row>
    <row r="36" ht="15" customHeight="1">
      <c r="A36" t="inlineStr">
        <is>
          <t>A 47629-2025</t>
        </is>
      </c>
      <c r="B36" s="1" t="n">
        <v>45931</v>
      </c>
      <c r="C36" s="1" t="n">
        <v>46199</v>
      </c>
      <c r="D36" t="inlineStr">
        <is>
          <t>VÄRMLANDS LÄN</t>
        </is>
      </c>
      <c r="E36" t="inlineStr">
        <is>
          <t>ÅRJÄNG</t>
        </is>
      </c>
      <c r="F36" t="inlineStr">
        <is>
          <t>Bergvik skog väst AB</t>
        </is>
      </c>
      <c r="G36" t="n">
        <v>1.5</v>
      </c>
      <c r="H36" t="n">
        <v>1</v>
      </c>
      <c r="I36" t="n">
        <v>0</v>
      </c>
      <c r="J36" t="n">
        <v>0</v>
      </c>
      <c r="K36" t="n">
        <v>1</v>
      </c>
      <c r="L36" t="n">
        <v>0</v>
      </c>
      <c r="M36" t="n">
        <v>0</v>
      </c>
      <c r="N36" t="n">
        <v>0</v>
      </c>
      <c r="O36" t="n">
        <v>1</v>
      </c>
      <c r="P36" t="n">
        <v>1</v>
      </c>
      <c r="Q36" t="n">
        <v>2</v>
      </c>
      <c r="R36" s="2" t="inlineStr">
        <is>
          <t>Slåttergubbe
Fläcknycklar</t>
        </is>
      </c>
      <c r="S36">
        <f>HYPERLINK("https://klasma.github.io/Logging_1765/artfynd/A 47629-2025 artfynd.xlsx", "A 47629-2025")</f>
        <v/>
      </c>
      <c r="T36">
        <f>HYPERLINK("https://klasma.github.io/Logging_1765/kartor/A 47629-2025 karta.png", "A 47629-2025")</f>
        <v/>
      </c>
      <c r="V36">
        <f>HYPERLINK("https://klasma.github.io/Logging_1765/klagomål/A 47629-2025 FSC-klagomål.docx", "A 47629-2025")</f>
        <v/>
      </c>
      <c r="W36">
        <f>HYPERLINK("https://klasma.github.io/Logging_1765/klagomålsmail/A 47629-2025 FSC-klagomål mail.docx", "A 47629-2025")</f>
        <v/>
      </c>
      <c r="X36">
        <f>HYPERLINK("https://klasma.github.io/Logging_1765/tillsyn/A 47629-2025 tillsynsbegäran.docx", "A 47629-2025")</f>
        <v/>
      </c>
      <c r="Y36">
        <f>HYPERLINK("https://klasma.github.io/Logging_1765/tillsynsmail/A 47629-2025 tillsynsbegäran mail.docx", "A 47629-2025")</f>
        <v/>
      </c>
    </row>
    <row r="37" ht="15" customHeight="1">
      <c r="A37" t="inlineStr">
        <is>
          <t>A 60688-2023</t>
        </is>
      </c>
      <c r="B37" s="1" t="n">
        <v>45260</v>
      </c>
      <c r="C37" s="1" t="n">
        <v>46199</v>
      </c>
      <c r="D37" t="inlineStr">
        <is>
          <t>VÄRMLANDS LÄN</t>
        </is>
      </c>
      <c r="E37" t="inlineStr">
        <is>
          <t>ÅRJÄNG</t>
        </is>
      </c>
      <c r="G37" t="n">
        <v>4.2</v>
      </c>
      <c r="H37" t="n">
        <v>0</v>
      </c>
      <c r="I37" t="n">
        <v>0</v>
      </c>
      <c r="J37" t="n">
        <v>1</v>
      </c>
      <c r="K37" t="n">
        <v>1</v>
      </c>
      <c r="L37" t="n">
        <v>0</v>
      </c>
      <c r="M37" t="n">
        <v>0</v>
      </c>
      <c r="N37" t="n">
        <v>0</v>
      </c>
      <c r="O37" t="n">
        <v>2</v>
      </c>
      <c r="P37" t="n">
        <v>1</v>
      </c>
      <c r="Q37" t="n">
        <v>2</v>
      </c>
      <c r="R37" s="2" t="inlineStr">
        <is>
          <t>Garnlav
Vedskivlav</t>
        </is>
      </c>
      <c r="S37">
        <f>HYPERLINK("https://klasma.github.io/Logging_1765/artfynd/A 60688-2023 artfynd.xlsx", "A 60688-2023")</f>
        <v/>
      </c>
      <c r="T37">
        <f>HYPERLINK("https://klasma.github.io/Logging_1765/kartor/A 60688-2023 karta.png", "A 60688-2023")</f>
        <v/>
      </c>
      <c r="V37">
        <f>HYPERLINK("https://klasma.github.io/Logging_1765/klagomål/A 60688-2023 FSC-klagomål.docx", "A 60688-2023")</f>
        <v/>
      </c>
      <c r="W37">
        <f>HYPERLINK("https://klasma.github.io/Logging_1765/klagomålsmail/A 60688-2023 FSC-klagomål mail.docx", "A 60688-2023")</f>
        <v/>
      </c>
      <c r="X37">
        <f>HYPERLINK("https://klasma.github.io/Logging_1765/tillsyn/A 60688-2023 tillsynsbegäran.docx", "A 60688-2023")</f>
        <v/>
      </c>
      <c r="Y37">
        <f>HYPERLINK("https://klasma.github.io/Logging_1765/tillsynsmail/A 60688-2023 tillsynsbegäran mail.docx", "A 60688-2023")</f>
        <v/>
      </c>
    </row>
    <row r="38" ht="15" customHeight="1">
      <c r="A38" t="inlineStr">
        <is>
          <t>A 6134-2023</t>
        </is>
      </c>
      <c r="B38" s="1" t="n">
        <v>44964</v>
      </c>
      <c r="C38" s="1" t="n">
        <v>46199</v>
      </c>
      <c r="D38" t="inlineStr">
        <is>
          <t>VÄRMLANDS LÄN</t>
        </is>
      </c>
      <c r="E38" t="inlineStr">
        <is>
          <t>ÅRJÄNG</t>
        </is>
      </c>
      <c r="G38" t="n">
        <v>5.4</v>
      </c>
      <c r="H38" t="n">
        <v>0</v>
      </c>
      <c r="I38" t="n">
        <v>1</v>
      </c>
      <c r="J38" t="n">
        <v>0</v>
      </c>
      <c r="K38" t="n">
        <v>1</v>
      </c>
      <c r="L38" t="n">
        <v>0</v>
      </c>
      <c r="M38" t="n">
        <v>0</v>
      </c>
      <c r="N38" t="n">
        <v>0</v>
      </c>
      <c r="O38" t="n">
        <v>1</v>
      </c>
      <c r="P38" t="n">
        <v>1</v>
      </c>
      <c r="Q38" t="n">
        <v>2</v>
      </c>
      <c r="R38" s="2" t="inlineStr">
        <is>
          <t>Garnlav
Korallblylav</t>
        </is>
      </c>
      <c r="S38">
        <f>HYPERLINK("https://klasma.github.io/Logging_1765/artfynd/A 6134-2023 artfynd.xlsx", "A 6134-2023")</f>
        <v/>
      </c>
      <c r="T38">
        <f>HYPERLINK("https://klasma.github.io/Logging_1765/kartor/A 6134-2023 karta.png", "A 6134-2023")</f>
        <v/>
      </c>
      <c r="V38">
        <f>HYPERLINK("https://klasma.github.io/Logging_1765/klagomål/A 6134-2023 FSC-klagomål.docx", "A 6134-2023")</f>
        <v/>
      </c>
      <c r="W38">
        <f>HYPERLINK("https://klasma.github.io/Logging_1765/klagomålsmail/A 6134-2023 FSC-klagomål mail.docx", "A 6134-2023")</f>
        <v/>
      </c>
      <c r="X38">
        <f>HYPERLINK("https://klasma.github.io/Logging_1765/tillsyn/A 6134-2023 tillsynsbegäran.docx", "A 6134-2023")</f>
        <v/>
      </c>
      <c r="Y38">
        <f>HYPERLINK("https://klasma.github.io/Logging_1765/tillsynsmail/A 6134-2023 tillsynsbegäran mail.docx", "A 6134-2023")</f>
        <v/>
      </c>
    </row>
    <row r="39" ht="15" customHeight="1">
      <c r="A39" t="inlineStr">
        <is>
          <t>A 39251-2023</t>
        </is>
      </c>
      <c r="B39" s="1" t="n">
        <v>45166</v>
      </c>
      <c r="C39" s="1" t="n">
        <v>46199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60741-2023</t>
        </is>
      </c>
      <c r="B40" s="1" t="n">
        <v>45260</v>
      </c>
      <c r="C40" s="1" t="n">
        <v>46199</v>
      </c>
      <c r="D40" t="inlineStr">
        <is>
          <t>VÄRMLANDS LÄN</t>
        </is>
      </c>
      <c r="E40" t="inlineStr">
        <is>
          <t>ÅRJÄNG</t>
        </is>
      </c>
      <c r="G40" t="n">
        <v>2.7</v>
      </c>
      <c r="H40" t="n">
        <v>0</v>
      </c>
      <c r="I40" t="n">
        <v>0</v>
      </c>
      <c r="J40" t="n">
        <v>1</v>
      </c>
      <c r="K40" t="n">
        <v>1</v>
      </c>
      <c r="L40" t="n">
        <v>0</v>
      </c>
      <c r="M40" t="n">
        <v>0</v>
      </c>
      <c r="N40" t="n">
        <v>0</v>
      </c>
      <c r="O40" t="n">
        <v>2</v>
      </c>
      <c r="P40" t="n">
        <v>1</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51965-2022</t>
        </is>
      </c>
      <c r="B41" s="1" t="n">
        <v>44872</v>
      </c>
      <c r="C41" s="1" t="n">
        <v>46199</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46199</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46199</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34188-2021</t>
        </is>
      </c>
      <c r="B44" s="1" t="n">
        <v>44379</v>
      </c>
      <c r="C44" s="1" t="n">
        <v>46199</v>
      </c>
      <c r="D44" t="inlineStr">
        <is>
          <t>VÄRMLANDS LÄN</t>
        </is>
      </c>
      <c r="E44" t="inlineStr">
        <is>
          <t>ÅRJÄNG</t>
        </is>
      </c>
      <c r="G44" t="n">
        <v>5.5</v>
      </c>
      <c r="H44" t="n">
        <v>1</v>
      </c>
      <c r="I44" t="n">
        <v>0</v>
      </c>
      <c r="J44" t="n">
        <v>0</v>
      </c>
      <c r="K44" t="n">
        <v>0</v>
      </c>
      <c r="L44" t="n">
        <v>0</v>
      </c>
      <c r="M44" t="n">
        <v>0</v>
      </c>
      <c r="N44" t="n">
        <v>0</v>
      </c>
      <c r="O44" t="n">
        <v>0</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57430-2025</t>
        </is>
      </c>
      <c r="B45" s="1" t="n">
        <v>45980</v>
      </c>
      <c r="C45" s="1" t="n">
        <v>46199</v>
      </c>
      <c r="D45" t="inlineStr">
        <is>
          <t>VÄRMLANDS LÄN</t>
        </is>
      </c>
      <c r="E45" t="inlineStr">
        <is>
          <t>ÅRJÄNG</t>
        </is>
      </c>
      <c r="G45" t="n">
        <v>1.4</v>
      </c>
      <c r="H45" t="n">
        <v>1</v>
      </c>
      <c r="I45" t="n">
        <v>0</v>
      </c>
      <c r="J45" t="n">
        <v>0</v>
      </c>
      <c r="K45" t="n">
        <v>0</v>
      </c>
      <c r="L45" t="n">
        <v>0</v>
      </c>
      <c r="M45" t="n">
        <v>0</v>
      </c>
      <c r="N45" t="n">
        <v>0</v>
      </c>
      <c r="O45" t="n">
        <v>0</v>
      </c>
      <c r="P45" t="n">
        <v>0</v>
      </c>
      <c r="Q45" t="n">
        <v>1</v>
      </c>
      <c r="R45" s="2" t="inlineStr">
        <is>
          <t>Grönvit nattviol</t>
        </is>
      </c>
      <c r="S45">
        <f>HYPERLINK("https://klasma.github.io/Logging_1765/artfynd/A 57430-2025 artfynd.xlsx", "A 57430-2025")</f>
        <v/>
      </c>
      <c r="T45">
        <f>HYPERLINK("https://klasma.github.io/Logging_1765/kartor/A 57430-2025 karta.png", "A 57430-2025")</f>
        <v/>
      </c>
      <c r="V45">
        <f>HYPERLINK("https://klasma.github.io/Logging_1765/klagomål/A 57430-2025 FSC-klagomål.docx", "A 57430-2025")</f>
        <v/>
      </c>
      <c r="W45">
        <f>HYPERLINK("https://klasma.github.io/Logging_1765/klagomålsmail/A 57430-2025 FSC-klagomål mail.docx", "A 57430-2025")</f>
        <v/>
      </c>
      <c r="X45">
        <f>HYPERLINK("https://klasma.github.io/Logging_1765/tillsyn/A 57430-2025 tillsynsbegäran.docx", "A 57430-2025")</f>
        <v/>
      </c>
      <c r="Y45">
        <f>HYPERLINK("https://klasma.github.io/Logging_1765/tillsynsmail/A 57430-2025 tillsynsbegäran mail.docx", "A 57430-2025")</f>
        <v/>
      </c>
    </row>
    <row r="46" ht="15" customHeight="1">
      <c r="A46" t="inlineStr">
        <is>
          <t>A 57992-2023</t>
        </is>
      </c>
      <c r="B46" s="1" t="n">
        <v>45244</v>
      </c>
      <c r="C46" s="1" t="n">
        <v>46199</v>
      </c>
      <c r="D46" t="inlineStr">
        <is>
          <t>VÄRMLANDS LÄN</t>
        </is>
      </c>
      <c r="E46" t="inlineStr">
        <is>
          <t>ÅRJÄNG</t>
        </is>
      </c>
      <c r="G46" t="n">
        <v>1.9</v>
      </c>
      <c r="H46" t="n">
        <v>0</v>
      </c>
      <c r="I46" t="n">
        <v>0</v>
      </c>
      <c r="J46" t="n">
        <v>1</v>
      </c>
      <c r="K46" t="n">
        <v>0</v>
      </c>
      <c r="L46" t="n">
        <v>0</v>
      </c>
      <c r="M46" t="n">
        <v>0</v>
      </c>
      <c r="N46" t="n">
        <v>0</v>
      </c>
      <c r="O46" t="n">
        <v>1</v>
      </c>
      <c r="P46" t="n">
        <v>0</v>
      </c>
      <c r="Q46" t="n">
        <v>1</v>
      </c>
      <c r="R46" s="2" t="inlineStr">
        <is>
          <t>Dropptaggsvamp</t>
        </is>
      </c>
      <c r="S46">
        <f>HYPERLINK("https://klasma.github.io/Logging_1765/artfynd/A 57992-2023 artfynd.xlsx", "A 57992-2023")</f>
        <v/>
      </c>
      <c r="T46">
        <f>HYPERLINK("https://klasma.github.io/Logging_1765/kartor/A 57992-2023 karta.png", "A 57992-2023")</f>
        <v/>
      </c>
      <c r="V46">
        <f>HYPERLINK("https://klasma.github.io/Logging_1765/klagomål/A 57992-2023 FSC-klagomål.docx", "A 57992-2023")</f>
        <v/>
      </c>
      <c r="W46">
        <f>HYPERLINK("https://klasma.github.io/Logging_1765/klagomålsmail/A 57992-2023 FSC-klagomål mail.docx", "A 57992-2023")</f>
        <v/>
      </c>
      <c r="X46">
        <f>HYPERLINK("https://klasma.github.io/Logging_1765/tillsyn/A 57992-2023 tillsynsbegäran.docx", "A 57992-2023")</f>
        <v/>
      </c>
      <c r="Y46">
        <f>HYPERLINK("https://klasma.github.io/Logging_1765/tillsynsmail/A 57992-2023 tillsynsbegäran mail.docx", "A 57992-2023")</f>
        <v/>
      </c>
    </row>
    <row r="47" ht="15" customHeight="1">
      <c r="A47" t="inlineStr">
        <is>
          <t>A 62609-2023</t>
        </is>
      </c>
      <c r="B47" s="1" t="n">
        <v>45267</v>
      </c>
      <c r="C47" s="1" t="n">
        <v>46199</v>
      </c>
      <c r="D47" t="inlineStr">
        <is>
          <t>VÄRMLANDS LÄN</t>
        </is>
      </c>
      <c r="E47" t="inlineStr">
        <is>
          <t>ÅRJÄNG</t>
        </is>
      </c>
      <c r="G47" t="n">
        <v>14.4</v>
      </c>
      <c r="H47" t="n">
        <v>1</v>
      </c>
      <c r="I47" t="n">
        <v>0</v>
      </c>
      <c r="J47" t="n">
        <v>0</v>
      </c>
      <c r="K47" t="n">
        <v>0</v>
      </c>
      <c r="L47" t="n">
        <v>0</v>
      </c>
      <c r="M47" t="n">
        <v>0</v>
      </c>
      <c r="N47" t="n">
        <v>0</v>
      </c>
      <c r="O47" t="n">
        <v>0</v>
      </c>
      <c r="P47" t="n">
        <v>0</v>
      </c>
      <c r="Q47" t="n">
        <v>1</v>
      </c>
      <c r="R47" s="2" t="inlineStr">
        <is>
          <t>Vanlig snok</t>
        </is>
      </c>
      <c r="S47">
        <f>HYPERLINK("https://klasma.github.io/Logging_1765/artfynd/A 62609-2023 artfynd.xlsx", "A 62609-2023")</f>
        <v/>
      </c>
      <c r="T47">
        <f>HYPERLINK("https://klasma.github.io/Logging_1765/kartor/A 62609-2023 karta.png", "A 62609-2023")</f>
        <v/>
      </c>
      <c r="V47">
        <f>HYPERLINK("https://klasma.github.io/Logging_1765/klagomål/A 62609-2023 FSC-klagomål.docx", "A 62609-2023")</f>
        <v/>
      </c>
      <c r="W47">
        <f>HYPERLINK("https://klasma.github.io/Logging_1765/klagomålsmail/A 62609-2023 FSC-klagomål mail.docx", "A 62609-2023")</f>
        <v/>
      </c>
      <c r="X47">
        <f>HYPERLINK("https://klasma.github.io/Logging_1765/tillsyn/A 62609-2023 tillsynsbegäran.docx", "A 62609-2023")</f>
        <v/>
      </c>
      <c r="Y47">
        <f>HYPERLINK("https://klasma.github.io/Logging_1765/tillsynsmail/A 62609-2023 tillsynsbegäran mail.docx", "A 62609-2023")</f>
        <v/>
      </c>
    </row>
    <row r="48" ht="15" customHeight="1">
      <c r="A48" t="inlineStr">
        <is>
          <t>A 4135-2025</t>
        </is>
      </c>
      <c r="B48" s="1" t="n">
        <v>45685</v>
      </c>
      <c r="C48" s="1" t="n">
        <v>46199</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Tjäder</t>
        </is>
      </c>
      <c r="S48">
        <f>HYPERLINK("https://klasma.github.io/Logging_1765/artfynd/A 4135-2025 artfynd.xlsx", "A 4135-2025")</f>
        <v/>
      </c>
      <c r="T48">
        <f>HYPERLINK("https://klasma.github.io/Logging_1765/kartor/A 4135-2025 karta.png", "A 4135-2025")</f>
        <v/>
      </c>
      <c r="V48">
        <f>HYPERLINK("https://klasma.github.io/Logging_1765/klagomål/A 4135-2025 FSC-klagomål.docx", "A 4135-2025")</f>
        <v/>
      </c>
      <c r="W48">
        <f>HYPERLINK("https://klasma.github.io/Logging_1765/klagomålsmail/A 4135-2025 FSC-klagomål mail.docx", "A 4135-2025")</f>
        <v/>
      </c>
      <c r="X48">
        <f>HYPERLINK("https://klasma.github.io/Logging_1765/tillsyn/A 4135-2025 tillsynsbegäran.docx", "A 4135-2025")</f>
        <v/>
      </c>
      <c r="Y48">
        <f>HYPERLINK("https://klasma.github.io/Logging_1765/tillsynsmail/A 4135-2025 tillsynsbegäran mail.docx", "A 4135-2025")</f>
        <v/>
      </c>
      <c r="Z48">
        <f>HYPERLINK("https://klasma.github.io/Logging_1765/fåglar/A 4135-2025 prioriterade fågelarter.docx", "A 4135-2025")</f>
        <v/>
      </c>
    </row>
    <row r="49" ht="15" customHeight="1">
      <c r="A49" t="inlineStr">
        <is>
          <t>A 47476-2025</t>
        </is>
      </c>
      <c r="B49" s="1" t="n">
        <v>45930</v>
      </c>
      <c r="C49" s="1" t="n">
        <v>46199</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8818-2022</t>
        </is>
      </c>
      <c r="B50" s="1" t="n">
        <v>44614</v>
      </c>
      <c r="C50" s="1" t="n">
        <v>46199</v>
      </c>
      <c r="D50" t="inlineStr">
        <is>
          <t>VÄRMLANDS LÄN</t>
        </is>
      </c>
      <c r="E50" t="inlineStr">
        <is>
          <t>ÅRJÄNG</t>
        </is>
      </c>
      <c r="G50" t="n">
        <v>8.199999999999999</v>
      </c>
      <c r="H50" t="n">
        <v>1</v>
      </c>
      <c r="I50" t="n">
        <v>0</v>
      </c>
      <c r="J50" t="n">
        <v>1</v>
      </c>
      <c r="K50" t="n">
        <v>0</v>
      </c>
      <c r="L50" t="n">
        <v>0</v>
      </c>
      <c r="M50" t="n">
        <v>0</v>
      </c>
      <c r="N50" t="n">
        <v>0</v>
      </c>
      <c r="O50" t="n">
        <v>1</v>
      </c>
      <c r="P50" t="n">
        <v>0</v>
      </c>
      <c r="Q50" t="n">
        <v>1</v>
      </c>
      <c r="R50" s="2" t="inlineStr">
        <is>
          <t>Talltita</t>
        </is>
      </c>
      <c r="S50">
        <f>HYPERLINK("https://klasma.github.io/Logging_1765/artfynd/A 8818-2022 artfynd.xlsx", "A 8818-2022")</f>
        <v/>
      </c>
      <c r="T50">
        <f>HYPERLINK("https://klasma.github.io/Logging_1765/kartor/A 8818-2022 karta.png", "A 8818-2022")</f>
        <v/>
      </c>
      <c r="V50">
        <f>HYPERLINK("https://klasma.github.io/Logging_1765/klagomål/A 8818-2022 FSC-klagomål.docx", "A 8818-2022")</f>
        <v/>
      </c>
      <c r="W50">
        <f>HYPERLINK("https://klasma.github.io/Logging_1765/klagomålsmail/A 8818-2022 FSC-klagomål mail.docx", "A 8818-2022")</f>
        <v/>
      </c>
      <c r="X50">
        <f>HYPERLINK("https://klasma.github.io/Logging_1765/tillsyn/A 8818-2022 tillsynsbegäran.docx", "A 8818-2022")</f>
        <v/>
      </c>
      <c r="Y50">
        <f>HYPERLINK("https://klasma.github.io/Logging_1765/tillsynsmail/A 8818-2022 tillsynsbegäran mail.docx", "A 8818-2022")</f>
        <v/>
      </c>
      <c r="Z50">
        <f>HYPERLINK("https://klasma.github.io/Logging_1765/fåglar/A 8818-2022 prioriterade fågelarter.docx", "A 8818-2022")</f>
        <v/>
      </c>
    </row>
    <row r="51" ht="15" customHeight="1">
      <c r="A51" t="inlineStr">
        <is>
          <t>A 47631-2025</t>
        </is>
      </c>
      <c r="B51" s="1" t="n">
        <v>45931</v>
      </c>
      <c r="C51" s="1" t="n">
        <v>46199</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47695-2025</t>
        </is>
      </c>
      <c r="B52" s="1" t="n">
        <v>45931</v>
      </c>
      <c r="C52" s="1" t="n">
        <v>46199</v>
      </c>
      <c r="D52" t="inlineStr">
        <is>
          <t>VÄRMLANDS LÄN</t>
        </is>
      </c>
      <c r="E52" t="inlineStr">
        <is>
          <t>ÅRJÄNG</t>
        </is>
      </c>
      <c r="G52" t="n">
        <v>8.300000000000001</v>
      </c>
      <c r="H52" t="n">
        <v>0</v>
      </c>
      <c r="I52" t="n">
        <v>0</v>
      </c>
      <c r="J52" t="n">
        <v>0</v>
      </c>
      <c r="K52" t="n">
        <v>1</v>
      </c>
      <c r="L52" t="n">
        <v>0</v>
      </c>
      <c r="M52" t="n">
        <v>0</v>
      </c>
      <c r="N52" t="n">
        <v>0</v>
      </c>
      <c r="O52" t="n">
        <v>1</v>
      </c>
      <c r="P52" t="n">
        <v>1</v>
      </c>
      <c r="Q52" t="n">
        <v>1</v>
      </c>
      <c r="R52" s="2" t="inlineStr">
        <is>
          <t>Slåttergubbe</t>
        </is>
      </c>
      <c r="S52">
        <f>HYPERLINK("https://klasma.github.io/Logging_1765/artfynd/A 47695-2025 artfynd.xlsx", "A 47695-2025")</f>
        <v/>
      </c>
      <c r="T52">
        <f>HYPERLINK("https://klasma.github.io/Logging_1765/kartor/A 47695-2025 karta.png", "A 47695-2025")</f>
        <v/>
      </c>
      <c r="V52">
        <f>HYPERLINK("https://klasma.github.io/Logging_1765/klagomål/A 47695-2025 FSC-klagomål.docx", "A 47695-2025")</f>
        <v/>
      </c>
      <c r="W52">
        <f>HYPERLINK("https://klasma.github.io/Logging_1765/klagomålsmail/A 47695-2025 FSC-klagomål mail.docx", "A 47695-2025")</f>
        <v/>
      </c>
      <c r="X52">
        <f>HYPERLINK("https://klasma.github.io/Logging_1765/tillsyn/A 47695-2025 tillsynsbegäran.docx", "A 47695-2025")</f>
        <v/>
      </c>
      <c r="Y52">
        <f>HYPERLINK("https://klasma.github.io/Logging_1765/tillsynsmail/A 47695-2025 tillsynsbegäran mail.docx", "A 47695-2025")</f>
        <v/>
      </c>
    </row>
    <row r="53" ht="15" customHeight="1">
      <c r="A53" t="inlineStr">
        <is>
          <t>A 33237-2025</t>
        </is>
      </c>
      <c r="B53" s="1" t="n">
        <v>45840</v>
      </c>
      <c r="C53" s="1" t="n">
        <v>46199</v>
      </c>
      <c r="D53" t="inlineStr">
        <is>
          <t>VÄRMLANDS LÄN</t>
        </is>
      </c>
      <c r="E53" t="inlineStr">
        <is>
          <t>ÅRJÄNG</t>
        </is>
      </c>
      <c r="G53" t="n">
        <v>5.2</v>
      </c>
      <c r="H53" t="n">
        <v>0</v>
      </c>
      <c r="I53" t="n">
        <v>0</v>
      </c>
      <c r="J53" t="n">
        <v>1</v>
      </c>
      <c r="K53" t="n">
        <v>0</v>
      </c>
      <c r="L53" t="n">
        <v>0</v>
      </c>
      <c r="M53" t="n">
        <v>0</v>
      </c>
      <c r="N53" t="n">
        <v>0</v>
      </c>
      <c r="O53" t="n">
        <v>1</v>
      </c>
      <c r="P53" t="n">
        <v>0</v>
      </c>
      <c r="Q53" t="n">
        <v>1</v>
      </c>
      <c r="R53" s="2" t="inlineStr">
        <is>
          <t>Skogsklocka</t>
        </is>
      </c>
      <c r="S53">
        <f>HYPERLINK("https://klasma.github.io/Logging_1765/artfynd/A 33237-2025 artfynd.xlsx", "A 33237-2025")</f>
        <v/>
      </c>
      <c r="T53">
        <f>HYPERLINK("https://klasma.github.io/Logging_1765/kartor/A 33237-2025 karta.png", "A 33237-2025")</f>
        <v/>
      </c>
      <c r="V53">
        <f>HYPERLINK("https://klasma.github.io/Logging_1765/klagomål/A 33237-2025 FSC-klagomål.docx", "A 33237-2025")</f>
        <v/>
      </c>
      <c r="W53">
        <f>HYPERLINK("https://klasma.github.io/Logging_1765/klagomålsmail/A 33237-2025 FSC-klagomål mail.docx", "A 33237-2025")</f>
        <v/>
      </c>
      <c r="X53">
        <f>HYPERLINK("https://klasma.github.io/Logging_1765/tillsyn/A 33237-2025 tillsynsbegäran.docx", "A 33237-2025")</f>
        <v/>
      </c>
      <c r="Y53">
        <f>HYPERLINK("https://klasma.github.io/Logging_1765/tillsynsmail/A 33237-2025 tillsynsbegäran mail.docx", "A 33237-2025")</f>
        <v/>
      </c>
    </row>
    <row r="54" ht="15" customHeight="1">
      <c r="A54" t="inlineStr">
        <is>
          <t>A 33600-2025</t>
        </is>
      </c>
      <c r="B54" s="1" t="n">
        <v>45841</v>
      </c>
      <c r="C54" s="1" t="n">
        <v>46199</v>
      </c>
      <c r="D54" t="inlineStr">
        <is>
          <t>VÄRMLANDS LÄN</t>
        </is>
      </c>
      <c r="E54" t="inlineStr">
        <is>
          <t>ÅRJÄNG</t>
        </is>
      </c>
      <c r="G54" t="n">
        <v>1.3</v>
      </c>
      <c r="H54" t="n">
        <v>1</v>
      </c>
      <c r="I54" t="n">
        <v>0</v>
      </c>
      <c r="J54" t="n">
        <v>0</v>
      </c>
      <c r="K54" t="n">
        <v>0</v>
      </c>
      <c r="L54" t="n">
        <v>0</v>
      </c>
      <c r="M54" t="n">
        <v>0</v>
      </c>
      <c r="N54" t="n">
        <v>0</v>
      </c>
      <c r="O54" t="n">
        <v>0</v>
      </c>
      <c r="P54" t="n">
        <v>0</v>
      </c>
      <c r="Q54" t="n">
        <v>1</v>
      </c>
      <c r="R54" s="2" t="inlineStr">
        <is>
          <t>Större vattensalamander</t>
        </is>
      </c>
      <c r="S54">
        <f>HYPERLINK("https://klasma.github.io/Logging_1765/artfynd/A 33600-2025 artfynd.xlsx", "A 33600-2025")</f>
        <v/>
      </c>
      <c r="T54">
        <f>HYPERLINK("https://klasma.github.io/Logging_1765/kartor/A 33600-2025 karta.png", "A 33600-2025")</f>
        <v/>
      </c>
      <c r="V54">
        <f>HYPERLINK("https://klasma.github.io/Logging_1765/klagomål/A 33600-2025 FSC-klagomål.docx", "A 33600-2025")</f>
        <v/>
      </c>
      <c r="W54">
        <f>HYPERLINK("https://klasma.github.io/Logging_1765/klagomålsmail/A 33600-2025 FSC-klagomål mail.docx", "A 33600-2025")</f>
        <v/>
      </c>
      <c r="X54">
        <f>HYPERLINK("https://klasma.github.io/Logging_1765/tillsyn/A 33600-2025 tillsynsbegäran.docx", "A 33600-2025")</f>
        <v/>
      </c>
      <c r="Y54">
        <f>HYPERLINK("https://klasma.github.io/Logging_1765/tillsynsmail/A 33600-2025 tillsynsbegäran mail.docx", "A 33600-2025")</f>
        <v/>
      </c>
    </row>
    <row r="55" ht="15" customHeight="1">
      <c r="A55" t="inlineStr">
        <is>
          <t>A 33481-2025</t>
        </is>
      </c>
      <c r="B55" s="1" t="n">
        <v>45841</v>
      </c>
      <c r="C55" s="1" t="n">
        <v>46199</v>
      </c>
      <c r="D55" t="inlineStr">
        <is>
          <t>VÄRMLANDS LÄN</t>
        </is>
      </c>
      <c r="E55" t="inlineStr">
        <is>
          <t>ÅRJÄNG</t>
        </is>
      </c>
      <c r="G55" t="n">
        <v>10.3</v>
      </c>
      <c r="H55" t="n">
        <v>1</v>
      </c>
      <c r="I55" t="n">
        <v>0</v>
      </c>
      <c r="J55" t="n">
        <v>0</v>
      </c>
      <c r="K55" t="n">
        <v>0</v>
      </c>
      <c r="L55" t="n">
        <v>0</v>
      </c>
      <c r="M55" t="n">
        <v>0</v>
      </c>
      <c r="N55" t="n">
        <v>0</v>
      </c>
      <c r="O55" t="n">
        <v>0</v>
      </c>
      <c r="P55" t="n">
        <v>0</v>
      </c>
      <c r="Q55" t="n">
        <v>1</v>
      </c>
      <c r="R55" s="2" t="inlineStr">
        <is>
          <t>Blåsippa</t>
        </is>
      </c>
      <c r="S55">
        <f>HYPERLINK("https://klasma.github.io/Logging_1765/artfynd/A 33481-2025 artfynd.xlsx", "A 33481-2025")</f>
        <v/>
      </c>
      <c r="T55">
        <f>HYPERLINK("https://klasma.github.io/Logging_1765/kartor/A 33481-2025 karta.png", "A 33481-2025")</f>
        <v/>
      </c>
      <c r="V55">
        <f>HYPERLINK("https://klasma.github.io/Logging_1765/klagomål/A 33481-2025 FSC-klagomål.docx", "A 33481-2025")</f>
        <v/>
      </c>
      <c r="W55">
        <f>HYPERLINK("https://klasma.github.io/Logging_1765/klagomålsmail/A 33481-2025 FSC-klagomål mail.docx", "A 33481-2025")</f>
        <v/>
      </c>
      <c r="X55">
        <f>HYPERLINK("https://klasma.github.io/Logging_1765/tillsyn/A 33481-2025 tillsynsbegäran.docx", "A 33481-2025")</f>
        <v/>
      </c>
      <c r="Y55">
        <f>HYPERLINK("https://klasma.github.io/Logging_1765/tillsynsmail/A 33481-2025 tillsynsbegäran mail.docx", "A 33481-2025")</f>
        <v/>
      </c>
    </row>
    <row r="56" ht="15" customHeight="1">
      <c r="A56" t="inlineStr">
        <is>
          <t>A 21365-2022</t>
        </is>
      </c>
      <c r="B56" s="1" t="n">
        <v>44705</v>
      </c>
      <c r="C56" s="1" t="n">
        <v>46199</v>
      </c>
      <c r="D56" t="inlineStr">
        <is>
          <t>VÄRMLANDS LÄN</t>
        </is>
      </c>
      <c r="E56" t="inlineStr">
        <is>
          <t>ÅRJÄNG</t>
        </is>
      </c>
      <c r="G56" t="n">
        <v>1.8</v>
      </c>
      <c r="H56" t="n">
        <v>0</v>
      </c>
      <c r="I56" t="n">
        <v>0</v>
      </c>
      <c r="J56" t="n">
        <v>0</v>
      </c>
      <c r="K56" t="n">
        <v>0</v>
      </c>
      <c r="L56" t="n">
        <v>1</v>
      </c>
      <c r="M56" t="n">
        <v>0</v>
      </c>
      <c r="N56" t="n">
        <v>0</v>
      </c>
      <c r="O56" t="n">
        <v>1</v>
      </c>
      <c r="P56" t="n">
        <v>1</v>
      </c>
      <c r="Q56" t="n">
        <v>1</v>
      </c>
      <c r="R56" s="2" t="inlineStr">
        <is>
          <t>Ask</t>
        </is>
      </c>
      <c r="S56">
        <f>HYPERLINK("https://klasma.github.io/Logging_1765/artfynd/A 21365-2022 artfynd.xlsx", "A 21365-2022")</f>
        <v/>
      </c>
      <c r="T56">
        <f>HYPERLINK("https://klasma.github.io/Logging_1765/kartor/A 21365-2022 karta.png", "A 21365-2022")</f>
        <v/>
      </c>
      <c r="V56">
        <f>HYPERLINK("https://klasma.github.io/Logging_1765/klagomål/A 21365-2022 FSC-klagomål.docx", "A 21365-2022")</f>
        <v/>
      </c>
      <c r="W56">
        <f>HYPERLINK("https://klasma.github.io/Logging_1765/klagomålsmail/A 21365-2022 FSC-klagomål mail.docx", "A 21365-2022")</f>
        <v/>
      </c>
      <c r="X56">
        <f>HYPERLINK("https://klasma.github.io/Logging_1765/tillsyn/A 21365-2022 tillsynsbegäran.docx", "A 21365-2022")</f>
        <v/>
      </c>
      <c r="Y56">
        <f>HYPERLINK("https://klasma.github.io/Logging_1765/tillsynsmail/A 21365-2022 tillsynsbegäran mail.docx", "A 21365-2022")</f>
        <v/>
      </c>
    </row>
    <row r="57" ht="15" customHeight="1">
      <c r="A57" t="inlineStr">
        <is>
          <t>A 30550-2023</t>
        </is>
      </c>
      <c r="B57" s="1" t="n">
        <v>45111</v>
      </c>
      <c r="C57" s="1" t="n">
        <v>46199</v>
      </c>
      <c r="D57" t="inlineStr">
        <is>
          <t>VÄRMLANDS LÄN</t>
        </is>
      </c>
      <c r="E57" t="inlineStr">
        <is>
          <t>ÅRJÄNG</t>
        </is>
      </c>
      <c r="G57" t="n">
        <v>3</v>
      </c>
      <c r="H57" t="n">
        <v>0</v>
      </c>
      <c r="I57" t="n">
        <v>0</v>
      </c>
      <c r="J57" t="n">
        <v>1</v>
      </c>
      <c r="K57" t="n">
        <v>0</v>
      </c>
      <c r="L57" t="n">
        <v>0</v>
      </c>
      <c r="M57" t="n">
        <v>0</v>
      </c>
      <c r="N57" t="n">
        <v>0</v>
      </c>
      <c r="O57" t="n">
        <v>1</v>
      </c>
      <c r="P57" t="n">
        <v>0</v>
      </c>
      <c r="Q57" t="n">
        <v>1</v>
      </c>
      <c r="R57" s="2" t="inlineStr">
        <is>
          <t>Lunglav</t>
        </is>
      </c>
      <c r="S57">
        <f>HYPERLINK("https://klasma.github.io/Logging_1765/artfynd/A 30550-2023 artfynd.xlsx", "A 30550-2023")</f>
        <v/>
      </c>
      <c r="T57">
        <f>HYPERLINK("https://klasma.github.io/Logging_1765/kartor/A 30550-2023 karta.png", "A 30550-2023")</f>
        <v/>
      </c>
      <c r="V57">
        <f>HYPERLINK("https://klasma.github.io/Logging_1765/klagomål/A 30550-2023 FSC-klagomål.docx", "A 30550-2023")</f>
        <v/>
      </c>
      <c r="W57">
        <f>HYPERLINK("https://klasma.github.io/Logging_1765/klagomålsmail/A 30550-2023 FSC-klagomål mail.docx", "A 30550-2023")</f>
        <v/>
      </c>
      <c r="X57">
        <f>HYPERLINK("https://klasma.github.io/Logging_1765/tillsyn/A 30550-2023 tillsynsbegäran.docx", "A 30550-2023")</f>
        <v/>
      </c>
      <c r="Y57">
        <f>HYPERLINK("https://klasma.github.io/Logging_1765/tillsynsmail/A 30550-2023 tillsynsbegäran mail.docx", "A 30550-2023")</f>
        <v/>
      </c>
    </row>
    <row r="58" ht="15" customHeight="1">
      <c r="A58" t="inlineStr">
        <is>
          <t>A 36385-2025</t>
        </is>
      </c>
      <c r="B58" s="1" t="n">
        <v>45868</v>
      </c>
      <c r="C58" s="1" t="n">
        <v>46199</v>
      </c>
      <c r="D58" t="inlineStr">
        <is>
          <t>VÄRMLANDS LÄN</t>
        </is>
      </c>
      <c r="E58" t="inlineStr">
        <is>
          <t>ÅRJÄNG</t>
        </is>
      </c>
      <c r="G58" t="n">
        <v>2.9</v>
      </c>
      <c r="H58" t="n">
        <v>0</v>
      </c>
      <c r="I58" t="n">
        <v>1</v>
      </c>
      <c r="J58" t="n">
        <v>0</v>
      </c>
      <c r="K58" t="n">
        <v>0</v>
      </c>
      <c r="L58" t="n">
        <v>0</v>
      </c>
      <c r="M58" t="n">
        <v>0</v>
      </c>
      <c r="N58" t="n">
        <v>0</v>
      </c>
      <c r="O58" t="n">
        <v>0</v>
      </c>
      <c r="P58" t="n">
        <v>0</v>
      </c>
      <c r="Q58" t="n">
        <v>1</v>
      </c>
      <c r="R58" s="2" t="inlineStr">
        <is>
          <t>Grönpyrola</t>
        </is>
      </c>
      <c r="S58">
        <f>HYPERLINK("https://klasma.github.io/Logging_1765/artfynd/A 36385-2025 artfynd.xlsx", "A 36385-2025")</f>
        <v/>
      </c>
      <c r="T58">
        <f>HYPERLINK("https://klasma.github.io/Logging_1765/kartor/A 36385-2025 karta.png", "A 36385-2025")</f>
        <v/>
      </c>
      <c r="V58">
        <f>HYPERLINK("https://klasma.github.io/Logging_1765/klagomål/A 36385-2025 FSC-klagomål.docx", "A 36385-2025")</f>
        <v/>
      </c>
      <c r="W58">
        <f>HYPERLINK("https://klasma.github.io/Logging_1765/klagomålsmail/A 36385-2025 FSC-klagomål mail.docx", "A 36385-2025")</f>
        <v/>
      </c>
      <c r="X58">
        <f>HYPERLINK("https://klasma.github.io/Logging_1765/tillsyn/A 36385-2025 tillsynsbegäran.docx", "A 36385-2025")</f>
        <v/>
      </c>
      <c r="Y58">
        <f>HYPERLINK("https://klasma.github.io/Logging_1765/tillsynsmail/A 36385-2025 tillsynsbegäran mail.docx", "A 36385-2025")</f>
        <v/>
      </c>
    </row>
    <row r="59" ht="15" customHeight="1">
      <c r="A59" t="inlineStr">
        <is>
          <t>A 14917-2024</t>
        </is>
      </c>
      <c r="B59" s="1" t="n">
        <v>45398</v>
      </c>
      <c r="C59" s="1" t="n">
        <v>46199</v>
      </c>
      <c r="D59" t="inlineStr">
        <is>
          <t>VÄRMLANDS LÄN</t>
        </is>
      </c>
      <c r="E59" t="inlineStr">
        <is>
          <t>ÅRJÄNG</t>
        </is>
      </c>
      <c r="G59" t="n">
        <v>19.9</v>
      </c>
      <c r="H59" t="n">
        <v>0</v>
      </c>
      <c r="I59" t="n">
        <v>0</v>
      </c>
      <c r="J59" t="n">
        <v>0</v>
      </c>
      <c r="K59" t="n">
        <v>1</v>
      </c>
      <c r="L59" t="n">
        <v>0</v>
      </c>
      <c r="M59" t="n">
        <v>0</v>
      </c>
      <c r="N59" t="n">
        <v>0</v>
      </c>
      <c r="O59" t="n">
        <v>1</v>
      </c>
      <c r="P59" t="n">
        <v>1</v>
      </c>
      <c r="Q59" t="n">
        <v>1</v>
      </c>
      <c r="R59" s="2" t="inlineStr">
        <is>
          <t>Slåttergubbe</t>
        </is>
      </c>
      <c r="S59">
        <f>HYPERLINK("https://klasma.github.io/Logging_1765/artfynd/A 14917-2024 artfynd.xlsx", "A 14917-2024")</f>
        <v/>
      </c>
      <c r="T59">
        <f>HYPERLINK("https://klasma.github.io/Logging_1765/kartor/A 14917-2024 karta.png", "A 14917-2024")</f>
        <v/>
      </c>
      <c r="V59">
        <f>HYPERLINK("https://klasma.github.io/Logging_1765/klagomål/A 14917-2024 FSC-klagomål.docx", "A 14917-2024")</f>
        <v/>
      </c>
      <c r="W59">
        <f>HYPERLINK("https://klasma.github.io/Logging_1765/klagomålsmail/A 14917-2024 FSC-klagomål mail.docx", "A 14917-2024")</f>
        <v/>
      </c>
      <c r="X59">
        <f>HYPERLINK("https://klasma.github.io/Logging_1765/tillsyn/A 14917-2024 tillsynsbegäran.docx", "A 14917-2024")</f>
        <v/>
      </c>
      <c r="Y59">
        <f>HYPERLINK("https://klasma.github.io/Logging_1765/tillsynsmail/A 14917-2024 tillsynsbegäran mail.docx", "A 14917-2024")</f>
        <v/>
      </c>
    </row>
    <row r="60" ht="15" customHeight="1">
      <c r="A60" t="inlineStr">
        <is>
          <t>A 54950-2022</t>
        </is>
      </c>
      <c r="B60" s="1" t="n">
        <v>44886</v>
      </c>
      <c r="C60" s="1" t="n">
        <v>46199</v>
      </c>
      <c r="D60" t="inlineStr">
        <is>
          <t>VÄRMLANDS LÄN</t>
        </is>
      </c>
      <c r="E60" t="inlineStr">
        <is>
          <t>ÅRJÄNG</t>
        </is>
      </c>
      <c r="G60" t="n">
        <v>13</v>
      </c>
      <c r="H60" t="n">
        <v>0</v>
      </c>
      <c r="I60" t="n">
        <v>0</v>
      </c>
      <c r="J60" t="n">
        <v>1</v>
      </c>
      <c r="K60" t="n">
        <v>0</v>
      </c>
      <c r="L60" t="n">
        <v>0</v>
      </c>
      <c r="M60" t="n">
        <v>0</v>
      </c>
      <c r="N60" t="n">
        <v>0</v>
      </c>
      <c r="O60" t="n">
        <v>1</v>
      </c>
      <c r="P60" t="n">
        <v>0</v>
      </c>
      <c r="Q60" t="n">
        <v>1</v>
      </c>
      <c r="R60" s="2" t="inlineStr">
        <is>
          <t>Kandelabersvamp</t>
        </is>
      </c>
      <c r="S60">
        <f>HYPERLINK("https://klasma.github.io/Logging_1765/artfynd/A 54950-2022 artfynd.xlsx", "A 54950-2022")</f>
        <v/>
      </c>
      <c r="T60">
        <f>HYPERLINK("https://klasma.github.io/Logging_1765/kartor/A 54950-2022 karta.png", "A 54950-2022")</f>
        <v/>
      </c>
      <c r="V60">
        <f>HYPERLINK("https://klasma.github.io/Logging_1765/klagomål/A 54950-2022 FSC-klagomål.docx", "A 54950-2022")</f>
        <v/>
      </c>
      <c r="W60">
        <f>HYPERLINK("https://klasma.github.io/Logging_1765/klagomålsmail/A 54950-2022 FSC-klagomål mail.docx", "A 54950-2022")</f>
        <v/>
      </c>
      <c r="X60">
        <f>HYPERLINK("https://klasma.github.io/Logging_1765/tillsyn/A 54950-2022 tillsynsbegäran.docx", "A 54950-2022")</f>
        <v/>
      </c>
      <c r="Y60">
        <f>HYPERLINK("https://klasma.github.io/Logging_1765/tillsynsmail/A 54950-2022 tillsynsbegäran mail.docx", "A 54950-2022")</f>
        <v/>
      </c>
    </row>
    <row r="61" ht="15" customHeight="1">
      <c r="A61" t="inlineStr">
        <is>
          <t>A 24296-2026</t>
        </is>
      </c>
      <c r="B61" s="1" t="n">
        <v>46169</v>
      </c>
      <c r="C61" s="1" t="n">
        <v>46199</v>
      </c>
      <c r="D61" t="inlineStr">
        <is>
          <t>VÄRMLANDS LÄN</t>
        </is>
      </c>
      <c r="E61" t="inlineStr">
        <is>
          <t>ÅRJÄNG</t>
        </is>
      </c>
      <c r="G61" t="n">
        <v>3.6</v>
      </c>
      <c r="H61" t="n">
        <v>0</v>
      </c>
      <c r="I61" t="n">
        <v>0</v>
      </c>
      <c r="J61" t="n">
        <v>1</v>
      </c>
      <c r="K61" t="n">
        <v>0</v>
      </c>
      <c r="L61" t="n">
        <v>0</v>
      </c>
      <c r="M61" t="n">
        <v>0</v>
      </c>
      <c r="N61" t="n">
        <v>0</v>
      </c>
      <c r="O61" t="n">
        <v>1</v>
      </c>
      <c r="P61" t="n">
        <v>0</v>
      </c>
      <c r="Q61" t="n">
        <v>1</v>
      </c>
      <c r="R61" s="2" t="inlineStr">
        <is>
          <t>Blek tallfibbla</t>
        </is>
      </c>
      <c r="S61">
        <f>HYPERLINK("https://klasma.github.io/Logging_1765/artfynd/A 24296-2026 artfynd.xlsx", "A 24296-2026")</f>
        <v/>
      </c>
      <c r="T61">
        <f>HYPERLINK("https://klasma.github.io/Logging_1765/kartor/A 24296-2026 karta.png", "A 24296-2026")</f>
        <v/>
      </c>
      <c r="V61">
        <f>HYPERLINK("https://klasma.github.io/Logging_1765/klagomål/A 24296-2026 FSC-klagomål.docx", "A 24296-2026")</f>
        <v/>
      </c>
      <c r="W61">
        <f>HYPERLINK("https://klasma.github.io/Logging_1765/klagomålsmail/A 24296-2026 FSC-klagomål mail.docx", "A 24296-2026")</f>
        <v/>
      </c>
      <c r="X61">
        <f>HYPERLINK("https://klasma.github.io/Logging_1765/tillsyn/A 24296-2026 tillsynsbegäran.docx", "A 24296-2026")</f>
        <v/>
      </c>
      <c r="Y61">
        <f>HYPERLINK("https://klasma.github.io/Logging_1765/tillsynsmail/A 24296-2026 tillsynsbegäran mail.docx", "A 24296-2026")</f>
        <v/>
      </c>
    </row>
    <row r="62" ht="15" customHeight="1">
      <c r="A62" t="inlineStr">
        <is>
          <t>A 18744-2026</t>
        </is>
      </c>
      <c r="B62" s="1" t="n">
        <v>46128</v>
      </c>
      <c r="C62" s="1" t="n">
        <v>46199</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Mattlummer</t>
        </is>
      </c>
      <c r="S62">
        <f>HYPERLINK("https://klasma.github.io/Logging_1765/artfynd/A 18744-2026 artfynd.xlsx", "A 18744-2026")</f>
        <v/>
      </c>
      <c r="T62">
        <f>HYPERLINK("https://klasma.github.io/Logging_1765/kartor/A 18744-2026 karta.png", "A 18744-2026")</f>
        <v/>
      </c>
      <c r="V62">
        <f>HYPERLINK("https://klasma.github.io/Logging_1765/klagomål/A 18744-2026 FSC-klagomål.docx", "A 18744-2026")</f>
        <v/>
      </c>
      <c r="W62">
        <f>HYPERLINK("https://klasma.github.io/Logging_1765/klagomålsmail/A 18744-2026 FSC-klagomål mail.docx", "A 18744-2026")</f>
        <v/>
      </c>
      <c r="X62">
        <f>HYPERLINK("https://klasma.github.io/Logging_1765/tillsyn/A 18744-2026 tillsynsbegäran.docx", "A 18744-2026")</f>
        <v/>
      </c>
      <c r="Y62">
        <f>HYPERLINK("https://klasma.github.io/Logging_1765/tillsynsmail/A 18744-2026 tillsynsbegäran mail.docx", "A 18744-2026")</f>
        <v/>
      </c>
    </row>
    <row r="63" ht="15" customHeight="1">
      <c r="A63" t="inlineStr">
        <is>
          <t>A 24842-2026</t>
        </is>
      </c>
      <c r="B63" s="1" t="n">
        <v>46174</v>
      </c>
      <c r="C63" s="1" t="n">
        <v>46199</v>
      </c>
      <c r="D63" t="inlineStr">
        <is>
          <t>VÄRMLANDS LÄN</t>
        </is>
      </c>
      <c r="E63" t="inlineStr">
        <is>
          <t>ÅRJÄNG</t>
        </is>
      </c>
      <c r="G63" t="n">
        <v>2.2</v>
      </c>
      <c r="H63" t="n">
        <v>1</v>
      </c>
      <c r="I63" t="n">
        <v>0</v>
      </c>
      <c r="J63" t="n">
        <v>0</v>
      </c>
      <c r="K63" t="n">
        <v>0</v>
      </c>
      <c r="L63" t="n">
        <v>0</v>
      </c>
      <c r="M63" t="n">
        <v>0</v>
      </c>
      <c r="N63" t="n">
        <v>0</v>
      </c>
      <c r="O63" t="n">
        <v>0</v>
      </c>
      <c r="P63" t="n">
        <v>0</v>
      </c>
      <c r="Q63" t="n">
        <v>1</v>
      </c>
      <c r="R63" s="2" t="inlineStr">
        <is>
          <t>Grönvit nattviol</t>
        </is>
      </c>
      <c r="S63">
        <f>HYPERLINK("https://klasma.github.io/Logging_1765/artfynd/A 24842-2026 artfynd.xlsx", "A 24842-2026")</f>
        <v/>
      </c>
      <c r="T63">
        <f>HYPERLINK("https://klasma.github.io/Logging_1765/kartor/A 24842-2026 karta.png", "A 24842-2026")</f>
        <v/>
      </c>
      <c r="V63">
        <f>HYPERLINK("https://klasma.github.io/Logging_1765/klagomål/A 24842-2026 FSC-klagomål.docx", "A 24842-2026")</f>
        <v/>
      </c>
      <c r="W63">
        <f>HYPERLINK("https://klasma.github.io/Logging_1765/klagomålsmail/A 24842-2026 FSC-klagomål mail.docx", "A 24842-2026")</f>
        <v/>
      </c>
      <c r="X63">
        <f>HYPERLINK("https://klasma.github.io/Logging_1765/tillsyn/A 24842-2026 tillsynsbegäran.docx", "A 24842-2026")</f>
        <v/>
      </c>
      <c r="Y63">
        <f>HYPERLINK("https://klasma.github.io/Logging_1765/tillsynsmail/A 24842-2026 tillsynsbegäran mail.docx", "A 24842-2026")</f>
        <v/>
      </c>
    </row>
    <row r="64" ht="15" customHeight="1">
      <c r="A64" t="inlineStr">
        <is>
          <t>A 63796-2021</t>
        </is>
      </c>
      <c r="B64" s="1" t="n">
        <v>44509</v>
      </c>
      <c r="C64" s="1" t="n">
        <v>46199</v>
      </c>
      <c r="D64" t="inlineStr">
        <is>
          <t>VÄRMLANDS LÄN</t>
        </is>
      </c>
      <c r="E64" t="inlineStr">
        <is>
          <t>ÅRJÄNG</t>
        </is>
      </c>
      <c r="G64" t="n">
        <v>2.1</v>
      </c>
      <c r="H64" t="n">
        <v>1</v>
      </c>
      <c r="I64" t="n">
        <v>0</v>
      </c>
      <c r="J64" t="n">
        <v>1</v>
      </c>
      <c r="K64" t="n">
        <v>0</v>
      </c>
      <c r="L64" t="n">
        <v>0</v>
      </c>
      <c r="M64" t="n">
        <v>0</v>
      </c>
      <c r="N64" t="n">
        <v>0</v>
      </c>
      <c r="O64" t="n">
        <v>1</v>
      </c>
      <c r="P64" t="n">
        <v>0</v>
      </c>
      <c r="Q64" t="n">
        <v>1</v>
      </c>
      <c r="R64" s="2" t="inlineStr">
        <is>
          <t>Enkelbeckasin</t>
        </is>
      </c>
      <c r="S64">
        <f>HYPERLINK("https://klasma.github.io/Logging_1765/artfynd/A 63796-2021 artfynd.xlsx", "A 63796-2021")</f>
        <v/>
      </c>
      <c r="T64">
        <f>HYPERLINK("https://klasma.github.io/Logging_1765/kartor/A 63796-2021 karta.png", "A 63796-2021")</f>
        <v/>
      </c>
      <c r="V64">
        <f>HYPERLINK("https://klasma.github.io/Logging_1765/klagomål/A 63796-2021 FSC-klagomål.docx", "A 63796-2021")</f>
        <v/>
      </c>
      <c r="W64">
        <f>HYPERLINK("https://klasma.github.io/Logging_1765/klagomålsmail/A 63796-2021 FSC-klagomål mail.docx", "A 63796-2021")</f>
        <v/>
      </c>
      <c r="X64">
        <f>HYPERLINK("https://klasma.github.io/Logging_1765/tillsyn/A 63796-2021 tillsynsbegäran.docx", "A 63796-2021")</f>
        <v/>
      </c>
      <c r="Y64">
        <f>HYPERLINK("https://klasma.github.io/Logging_1765/tillsynsmail/A 63796-2021 tillsynsbegäran mail.docx", "A 63796-2021")</f>
        <v/>
      </c>
      <c r="Z64">
        <f>HYPERLINK("https://klasma.github.io/Logging_1765/fåglar/A 63796-2021 prioriterade fågelarter.docx", "A 63796-2021")</f>
        <v/>
      </c>
    </row>
    <row r="65" ht="15" customHeight="1">
      <c r="A65" t="inlineStr">
        <is>
          <t>A 28317-2023</t>
        </is>
      </c>
      <c r="B65" s="1" t="n">
        <v>45099</v>
      </c>
      <c r="C65" s="1" t="n">
        <v>46199</v>
      </c>
      <c r="D65" t="inlineStr">
        <is>
          <t>VÄRMLANDS LÄN</t>
        </is>
      </c>
      <c r="E65" t="inlineStr">
        <is>
          <t>ÅRJÄNG</t>
        </is>
      </c>
      <c r="G65" t="n">
        <v>10.2</v>
      </c>
      <c r="H65" t="n">
        <v>1</v>
      </c>
      <c r="I65" t="n">
        <v>0</v>
      </c>
      <c r="J65" t="n">
        <v>1</v>
      </c>
      <c r="K65" t="n">
        <v>0</v>
      </c>
      <c r="L65" t="n">
        <v>0</v>
      </c>
      <c r="M65" t="n">
        <v>0</v>
      </c>
      <c r="N65" t="n">
        <v>0</v>
      </c>
      <c r="O65" t="n">
        <v>1</v>
      </c>
      <c r="P65" t="n">
        <v>0</v>
      </c>
      <c r="Q65" t="n">
        <v>1</v>
      </c>
      <c r="R65" s="2" t="inlineStr">
        <is>
          <t>Duvhök</t>
        </is>
      </c>
      <c r="S65">
        <f>HYPERLINK("https://klasma.github.io/Logging_1765/artfynd/A 28317-2023 artfynd.xlsx", "A 28317-2023")</f>
        <v/>
      </c>
      <c r="T65">
        <f>HYPERLINK("https://klasma.github.io/Logging_1765/kartor/A 28317-2023 karta.png", "A 28317-2023")</f>
        <v/>
      </c>
      <c r="V65">
        <f>HYPERLINK("https://klasma.github.io/Logging_1765/klagomål/A 28317-2023 FSC-klagomål.docx", "A 28317-2023")</f>
        <v/>
      </c>
      <c r="W65">
        <f>HYPERLINK("https://klasma.github.io/Logging_1765/klagomålsmail/A 28317-2023 FSC-klagomål mail.docx", "A 28317-2023")</f>
        <v/>
      </c>
      <c r="X65">
        <f>HYPERLINK("https://klasma.github.io/Logging_1765/tillsyn/A 28317-2023 tillsynsbegäran.docx", "A 28317-2023")</f>
        <v/>
      </c>
      <c r="Y65">
        <f>HYPERLINK("https://klasma.github.io/Logging_1765/tillsynsmail/A 28317-2023 tillsynsbegäran mail.docx", "A 28317-2023")</f>
        <v/>
      </c>
      <c r="Z65">
        <f>HYPERLINK("https://klasma.github.io/Logging_1765/fåglar/A 28317-2023 prioriterade fågelarter.docx", "A 28317-2023")</f>
        <v/>
      </c>
    </row>
    <row r="66" ht="15" customHeight="1">
      <c r="A66" t="inlineStr">
        <is>
          <t>A 11682-2022</t>
        </is>
      </c>
      <c r="B66" s="1" t="n">
        <v>44631</v>
      </c>
      <c r="C66" s="1" t="n">
        <v>46199</v>
      </c>
      <c r="D66" t="inlineStr">
        <is>
          <t>VÄRMLANDS LÄN</t>
        </is>
      </c>
      <c r="E66" t="inlineStr">
        <is>
          <t>ÅRJÄNG</t>
        </is>
      </c>
      <c r="G66" t="n">
        <v>19.9</v>
      </c>
      <c r="H66" t="n">
        <v>0</v>
      </c>
      <c r="I66" t="n">
        <v>0</v>
      </c>
      <c r="J66" t="n">
        <v>1</v>
      </c>
      <c r="K66" t="n">
        <v>0</v>
      </c>
      <c r="L66" t="n">
        <v>0</v>
      </c>
      <c r="M66" t="n">
        <v>0</v>
      </c>
      <c r="N66" t="n">
        <v>0</v>
      </c>
      <c r="O66" t="n">
        <v>1</v>
      </c>
      <c r="P66" t="n">
        <v>0</v>
      </c>
      <c r="Q66" t="n">
        <v>1</v>
      </c>
      <c r="R66" s="2" t="inlineStr">
        <is>
          <t>Skogsklocka</t>
        </is>
      </c>
      <c r="S66">
        <f>HYPERLINK("https://klasma.github.io/Logging_1765/artfynd/A 11682-2022 artfynd.xlsx", "A 11682-2022")</f>
        <v/>
      </c>
      <c r="T66">
        <f>HYPERLINK("https://klasma.github.io/Logging_1765/kartor/A 11682-2022 karta.png", "A 11682-2022")</f>
        <v/>
      </c>
      <c r="V66">
        <f>HYPERLINK("https://klasma.github.io/Logging_1765/klagomål/A 11682-2022 FSC-klagomål.docx", "A 11682-2022")</f>
        <v/>
      </c>
      <c r="W66">
        <f>HYPERLINK("https://klasma.github.io/Logging_1765/klagomålsmail/A 11682-2022 FSC-klagomål mail.docx", "A 11682-2022")</f>
        <v/>
      </c>
      <c r="X66">
        <f>HYPERLINK("https://klasma.github.io/Logging_1765/tillsyn/A 11682-2022 tillsynsbegäran.docx", "A 11682-2022")</f>
        <v/>
      </c>
      <c r="Y66">
        <f>HYPERLINK("https://klasma.github.io/Logging_1765/tillsynsmail/A 11682-2022 tillsynsbegäran mail.docx", "A 11682-2022")</f>
        <v/>
      </c>
    </row>
    <row r="67" ht="15" customHeight="1">
      <c r="A67" t="inlineStr">
        <is>
          <t>A 8630-2025</t>
        </is>
      </c>
      <c r="B67" s="1" t="n">
        <v>45711</v>
      </c>
      <c r="C67" s="1" t="n">
        <v>46199</v>
      </c>
      <c r="D67" t="inlineStr">
        <is>
          <t>VÄRMLANDS LÄN</t>
        </is>
      </c>
      <c r="E67" t="inlineStr">
        <is>
          <t>ÅRJÄNG</t>
        </is>
      </c>
      <c r="G67" t="n">
        <v>3.1</v>
      </c>
      <c r="H67" t="n">
        <v>0</v>
      </c>
      <c r="I67" t="n">
        <v>0</v>
      </c>
      <c r="J67" t="n">
        <v>1</v>
      </c>
      <c r="K67" t="n">
        <v>0</v>
      </c>
      <c r="L67" t="n">
        <v>0</v>
      </c>
      <c r="M67" t="n">
        <v>0</v>
      </c>
      <c r="N67" t="n">
        <v>0</v>
      </c>
      <c r="O67" t="n">
        <v>1</v>
      </c>
      <c r="P67" t="n">
        <v>0</v>
      </c>
      <c r="Q67" t="n">
        <v>1</v>
      </c>
      <c r="R67" s="2" t="inlineStr">
        <is>
          <t>Dropptaggsvamp</t>
        </is>
      </c>
      <c r="S67">
        <f>HYPERLINK("https://klasma.github.io/Logging_1765/artfynd/A 8630-2025 artfynd.xlsx", "A 8630-2025")</f>
        <v/>
      </c>
      <c r="T67">
        <f>HYPERLINK("https://klasma.github.io/Logging_1765/kartor/A 8630-2025 karta.png", "A 8630-2025")</f>
        <v/>
      </c>
      <c r="V67">
        <f>HYPERLINK("https://klasma.github.io/Logging_1765/klagomål/A 8630-2025 FSC-klagomål.docx", "A 8630-2025")</f>
        <v/>
      </c>
      <c r="W67">
        <f>HYPERLINK("https://klasma.github.io/Logging_1765/klagomålsmail/A 8630-2025 FSC-klagomål mail.docx", "A 8630-2025")</f>
        <v/>
      </c>
      <c r="X67">
        <f>HYPERLINK("https://klasma.github.io/Logging_1765/tillsyn/A 8630-2025 tillsynsbegäran.docx", "A 8630-2025")</f>
        <v/>
      </c>
      <c r="Y67">
        <f>HYPERLINK("https://klasma.github.io/Logging_1765/tillsynsmail/A 8630-2025 tillsynsbegäran mail.docx", "A 8630-2025")</f>
        <v/>
      </c>
    </row>
    <row r="68" ht="15" customHeight="1">
      <c r="A68" t="inlineStr">
        <is>
          <t>A 12137-2025</t>
        </is>
      </c>
      <c r="B68" s="1" t="n">
        <v>45729</v>
      </c>
      <c r="C68" s="1" t="n">
        <v>46199</v>
      </c>
      <c r="D68" t="inlineStr">
        <is>
          <t>VÄRMLANDS LÄN</t>
        </is>
      </c>
      <c r="E68" t="inlineStr">
        <is>
          <t>ÅRJÄNG</t>
        </is>
      </c>
      <c r="G68" t="n">
        <v>12.6</v>
      </c>
      <c r="H68" t="n">
        <v>1</v>
      </c>
      <c r="I68" t="n">
        <v>0</v>
      </c>
      <c r="J68" t="n">
        <v>0</v>
      </c>
      <c r="K68" t="n">
        <v>0</v>
      </c>
      <c r="L68" t="n">
        <v>0</v>
      </c>
      <c r="M68" t="n">
        <v>0</v>
      </c>
      <c r="N68" t="n">
        <v>0</v>
      </c>
      <c r="O68" t="n">
        <v>0</v>
      </c>
      <c r="P68" t="n">
        <v>0</v>
      </c>
      <c r="Q68" t="n">
        <v>1</v>
      </c>
      <c r="R68" s="2" t="inlineStr">
        <is>
          <t>Fläcknycklar</t>
        </is>
      </c>
      <c r="S68">
        <f>HYPERLINK("https://klasma.github.io/Logging_1765/artfynd/A 12137-2025 artfynd.xlsx", "A 12137-2025")</f>
        <v/>
      </c>
      <c r="T68">
        <f>HYPERLINK("https://klasma.github.io/Logging_1765/kartor/A 12137-2025 karta.png", "A 12137-2025")</f>
        <v/>
      </c>
      <c r="V68">
        <f>HYPERLINK("https://klasma.github.io/Logging_1765/klagomål/A 12137-2025 FSC-klagomål.docx", "A 12137-2025")</f>
        <v/>
      </c>
      <c r="W68">
        <f>HYPERLINK("https://klasma.github.io/Logging_1765/klagomålsmail/A 12137-2025 FSC-klagomål mail.docx", "A 12137-2025")</f>
        <v/>
      </c>
      <c r="X68">
        <f>HYPERLINK("https://klasma.github.io/Logging_1765/tillsyn/A 12137-2025 tillsynsbegäran.docx", "A 12137-2025")</f>
        <v/>
      </c>
      <c r="Y68">
        <f>HYPERLINK("https://klasma.github.io/Logging_1765/tillsynsmail/A 12137-2025 tillsynsbegäran mail.docx", "A 12137-2025")</f>
        <v/>
      </c>
    </row>
    <row r="69" ht="15" customHeight="1">
      <c r="A69" t="inlineStr">
        <is>
          <t>A 11880-2025</t>
        </is>
      </c>
      <c r="B69" s="1" t="n">
        <v>45728</v>
      </c>
      <c r="C69" s="1" t="n">
        <v>46199</v>
      </c>
      <c r="D69" t="inlineStr">
        <is>
          <t>VÄRMLANDS LÄN</t>
        </is>
      </c>
      <c r="E69" t="inlineStr">
        <is>
          <t>ÅRJÄNG</t>
        </is>
      </c>
      <c r="F69" t="inlineStr">
        <is>
          <t>Övriga Aktiebolag</t>
        </is>
      </c>
      <c r="G69" t="n">
        <v>4.8</v>
      </c>
      <c r="H69" t="n">
        <v>0</v>
      </c>
      <c r="I69" t="n">
        <v>0</v>
      </c>
      <c r="J69" t="n">
        <v>1</v>
      </c>
      <c r="K69" t="n">
        <v>0</v>
      </c>
      <c r="L69" t="n">
        <v>0</v>
      </c>
      <c r="M69" t="n">
        <v>0</v>
      </c>
      <c r="N69" t="n">
        <v>0</v>
      </c>
      <c r="O69" t="n">
        <v>1</v>
      </c>
      <c r="P69" t="n">
        <v>0</v>
      </c>
      <c r="Q69" t="n">
        <v>1</v>
      </c>
      <c r="R69" s="2" t="inlineStr">
        <is>
          <t>Lunglav</t>
        </is>
      </c>
      <c r="S69">
        <f>HYPERLINK("https://klasma.github.io/Logging_1765/artfynd/A 11880-2025 artfynd.xlsx", "A 11880-2025")</f>
        <v/>
      </c>
      <c r="T69">
        <f>HYPERLINK("https://klasma.github.io/Logging_1765/kartor/A 11880-2025 karta.png", "A 11880-2025")</f>
        <v/>
      </c>
      <c r="V69">
        <f>HYPERLINK("https://klasma.github.io/Logging_1765/klagomål/A 11880-2025 FSC-klagomål.docx", "A 11880-2025")</f>
        <v/>
      </c>
      <c r="W69">
        <f>HYPERLINK("https://klasma.github.io/Logging_1765/klagomålsmail/A 11880-2025 FSC-klagomål mail.docx", "A 11880-2025")</f>
        <v/>
      </c>
      <c r="X69">
        <f>HYPERLINK("https://klasma.github.io/Logging_1765/tillsyn/A 11880-2025 tillsynsbegäran.docx", "A 11880-2025")</f>
        <v/>
      </c>
      <c r="Y69">
        <f>HYPERLINK("https://klasma.github.io/Logging_1765/tillsynsmail/A 11880-2025 tillsynsbegäran mail.docx", "A 11880-2025")</f>
        <v/>
      </c>
    </row>
    <row r="70" ht="15" customHeight="1">
      <c r="A70" t="inlineStr">
        <is>
          <t>A 26713-2026</t>
        </is>
      </c>
      <c r="B70" s="1" t="n">
        <v>46184</v>
      </c>
      <c r="C70" s="1" t="n">
        <v>46199</v>
      </c>
      <c r="D70" t="inlineStr">
        <is>
          <t>VÄRMLANDS LÄN</t>
        </is>
      </c>
      <c r="E70" t="inlineStr">
        <is>
          <t>ÅRJÄNG</t>
        </is>
      </c>
      <c r="G70" t="n">
        <v>2.4</v>
      </c>
      <c r="H70" t="n">
        <v>0</v>
      </c>
      <c r="I70" t="n">
        <v>0</v>
      </c>
      <c r="J70" t="n">
        <v>1</v>
      </c>
      <c r="K70" t="n">
        <v>0</v>
      </c>
      <c r="L70" t="n">
        <v>0</v>
      </c>
      <c r="M70" t="n">
        <v>0</v>
      </c>
      <c r="N70" t="n">
        <v>0</v>
      </c>
      <c r="O70" t="n">
        <v>1</v>
      </c>
      <c r="P70" t="n">
        <v>0</v>
      </c>
      <c r="Q70" t="n">
        <v>1</v>
      </c>
      <c r="R70" s="2" t="inlineStr">
        <is>
          <t>Blek tallfibbla</t>
        </is>
      </c>
      <c r="S70">
        <f>HYPERLINK("https://klasma.github.io/Logging_1765/artfynd/A 26713-2026 artfynd.xlsx", "A 26713-2026")</f>
        <v/>
      </c>
      <c r="T70">
        <f>HYPERLINK("https://klasma.github.io/Logging_1765/kartor/A 26713-2026 karta.png", "A 26713-2026")</f>
        <v/>
      </c>
      <c r="V70">
        <f>HYPERLINK("https://klasma.github.io/Logging_1765/klagomål/A 26713-2026 FSC-klagomål.docx", "A 26713-2026")</f>
        <v/>
      </c>
      <c r="W70">
        <f>HYPERLINK("https://klasma.github.io/Logging_1765/klagomålsmail/A 26713-2026 FSC-klagomål mail.docx", "A 26713-2026")</f>
        <v/>
      </c>
      <c r="X70">
        <f>HYPERLINK("https://klasma.github.io/Logging_1765/tillsyn/A 26713-2026 tillsynsbegäran.docx", "A 26713-2026")</f>
        <v/>
      </c>
      <c r="Y70">
        <f>HYPERLINK("https://klasma.github.io/Logging_1765/tillsynsmail/A 26713-2026 tillsynsbegäran mail.docx", "A 26713-2026")</f>
        <v/>
      </c>
    </row>
    <row r="71" ht="15" customHeight="1">
      <c r="A71" t="inlineStr">
        <is>
          <t>A 24003-2026</t>
        </is>
      </c>
      <c r="B71" s="1" t="n">
        <v>46167</v>
      </c>
      <c r="C71" s="1" t="n">
        <v>46199</v>
      </c>
      <c r="D71" t="inlineStr">
        <is>
          <t>VÄRMLANDS LÄN</t>
        </is>
      </c>
      <c r="E71" t="inlineStr">
        <is>
          <t>ÅRJÄNG</t>
        </is>
      </c>
      <c r="F71" t="inlineStr">
        <is>
          <t>Kyrkan</t>
        </is>
      </c>
      <c r="G71" t="n">
        <v>14.6</v>
      </c>
      <c r="H71" t="n">
        <v>1</v>
      </c>
      <c r="I71" t="n">
        <v>0</v>
      </c>
      <c r="J71" t="n">
        <v>0</v>
      </c>
      <c r="K71" t="n">
        <v>0</v>
      </c>
      <c r="L71" t="n">
        <v>0</v>
      </c>
      <c r="M71" t="n">
        <v>0</v>
      </c>
      <c r="N71" t="n">
        <v>0</v>
      </c>
      <c r="O71" t="n">
        <v>0</v>
      </c>
      <c r="P71" t="n">
        <v>0</v>
      </c>
      <c r="Q71" t="n">
        <v>1</v>
      </c>
      <c r="R71" s="2" t="inlineStr">
        <is>
          <t>Nattviol</t>
        </is>
      </c>
      <c r="S71">
        <f>HYPERLINK("https://klasma.github.io/Logging_1765/artfynd/A 24003-2026 artfynd.xlsx", "A 24003-2026")</f>
        <v/>
      </c>
      <c r="T71">
        <f>HYPERLINK("https://klasma.github.io/Logging_1765/kartor/A 24003-2026 karta.png", "A 24003-2026")</f>
        <v/>
      </c>
      <c r="V71">
        <f>HYPERLINK("https://klasma.github.io/Logging_1765/klagomål/A 24003-2026 FSC-klagomål.docx", "A 24003-2026")</f>
        <v/>
      </c>
      <c r="W71">
        <f>HYPERLINK("https://klasma.github.io/Logging_1765/klagomålsmail/A 24003-2026 FSC-klagomål mail.docx", "A 24003-2026")</f>
        <v/>
      </c>
      <c r="X71">
        <f>HYPERLINK("https://klasma.github.io/Logging_1765/tillsyn/A 24003-2026 tillsynsbegäran.docx", "A 24003-2026")</f>
        <v/>
      </c>
      <c r="Y71">
        <f>HYPERLINK("https://klasma.github.io/Logging_1765/tillsynsmail/A 24003-2026 tillsynsbegäran mail.docx", "A 24003-2026")</f>
        <v/>
      </c>
    </row>
    <row r="72" ht="15" customHeight="1">
      <c r="A72" t="inlineStr">
        <is>
          <t>A 42455-2024</t>
        </is>
      </c>
      <c r="B72" s="1" t="n">
        <v>45565</v>
      </c>
      <c r="C72" s="1" t="n">
        <v>46199</v>
      </c>
      <c r="D72" t="inlineStr">
        <is>
          <t>VÄRMLANDS LÄN</t>
        </is>
      </c>
      <c r="E72" t="inlineStr">
        <is>
          <t>ÅRJÄNG</t>
        </is>
      </c>
      <c r="G72" t="n">
        <v>0.7</v>
      </c>
      <c r="H72" t="n">
        <v>0</v>
      </c>
      <c r="I72" t="n">
        <v>0</v>
      </c>
      <c r="J72" t="n">
        <v>0</v>
      </c>
      <c r="K72" t="n">
        <v>1</v>
      </c>
      <c r="L72" t="n">
        <v>0</v>
      </c>
      <c r="M72" t="n">
        <v>0</v>
      </c>
      <c r="N72" t="n">
        <v>0</v>
      </c>
      <c r="O72" t="n">
        <v>1</v>
      </c>
      <c r="P72" t="n">
        <v>1</v>
      </c>
      <c r="Q72" t="n">
        <v>1</v>
      </c>
      <c r="R72" s="2" t="inlineStr">
        <is>
          <t>Rodnande lutvaxing</t>
        </is>
      </c>
      <c r="S72">
        <f>HYPERLINK("https://klasma.github.io/Logging_1765/artfynd/A 42455-2024 artfynd.xlsx", "A 42455-2024")</f>
        <v/>
      </c>
      <c r="T72">
        <f>HYPERLINK("https://klasma.github.io/Logging_1765/kartor/A 42455-2024 karta.png", "A 42455-2024")</f>
        <v/>
      </c>
      <c r="V72">
        <f>HYPERLINK("https://klasma.github.io/Logging_1765/klagomål/A 42455-2024 FSC-klagomål.docx", "A 42455-2024")</f>
        <v/>
      </c>
      <c r="W72">
        <f>HYPERLINK("https://klasma.github.io/Logging_1765/klagomålsmail/A 42455-2024 FSC-klagomål mail.docx", "A 42455-2024")</f>
        <v/>
      </c>
      <c r="X72">
        <f>HYPERLINK("https://klasma.github.io/Logging_1765/tillsyn/A 42455-2024 tillsynsbegäran.docx", "A 42455-2024")</f>
        <v/>
      </c>
      <c r="Y72">
        <f>HYPERLINK("https://klasma.github.io/Logging_1765/tillsynsmail/A 42455-2024 tillsynsbegäran mail.docx", "A 42455-2024")</f>
        <v/>
      </c>
    </row>
    <row r="73" ht="15" customHeight="1">
      <c r="A73" t="inlineStr">
        <is>
          <t>A 28384-2022</t>
        </is>
      </c>
      <c r="B73" s="1" t="n">
        <v>44747</v>
      </c>
      <c r="C73" s="1" t="n">
        <v>46199</v>
      </c>
      <c r="D73" t="inlineStr">
        <is>
          <t>VÄRMLANDS LÄN</t>
        </is>
      </c>
      <c r="E73" t="inlineStr">
        <is>
          <t>ÅRJÄNG</t>
        </is>
      </c>
      <c r="F73" t="inlineStr">
        <is>
          <t>Naturvårdsverket</t>
        </is>
      </c>
      <c r="G73" t="n">
        <v>1.7</v>
      </c>
      <c r="H73" t="n">
        <v>1</v>
      </c>
      <c r="I73" t="n">
        <v>0</v>
      </c>
      <c r="J73" t="n">
        <v>0</v>
      </c>
      <c r="K73" t="n">
        <v>0</v>
      </c>
      <c r="L73" t="n">
        <v>0</v>
      </c>
      <c r="M73" t="n">
        <v>0</v>
      </c>
      <c r="N73" t="n">
        <v>0</v>
      </c>
      <c r="O73" t="n">
        <v>0</v>
      </c>
      <c r="P73" t="n">
        <v>0</v>
      </c>
      <c r="Q73" t="n">
        <v>1</v>
      </c>
      <c r="R73" s="2" t="inlineStr">
        <is>
          <t>Tjäder</t>
        </is>
      </c>
      <c r="S73">
        <f>HYPERLINK("https://klasma.github.io/Logging_1765/artfynd/A 28384-2022 artfynd.xlsx", "A 28384-2022")</f>
        <v/>
      </c>
      <c r="T73">
        <f>HYPERLINK("https://klasma.github.io/Logging_1765/kartor/A 28384-2022 karta.png", "A 28384-2022")</f>
        <v/>
      </c>
      <c r="V73">
        <f>HYPERLINK("https://klasma.github.io/Logging_1765/klagomål/A 28384-2022 FSC-klagomål.docx", "A 28384-2022")</f>
        <v/>
      </c>
      <c r="W73">
        <f>HYPERLINK("https://klasma.github.io/Logging_1765/klagomålsmail/A 28384-2022 FSC-klagomål mail.docx", "A 28384-2022")</f>
        <v/>
      </c>
      <c r="X73">
        <f>HYPERLINK("https://klasma.github.io/Logging_1765/tillsyn/A 28384-2022 tillsynsbegäran.docx", "A 28384-2022")</f>
        <v/>
      </c>
      <c r="Y73">
        <f>HYPERLINK("https://klasma.github.io/Logging_1765/tillsynsmail/A 28384-2022 tillsynsbegäran mail.docx", "A 28384-2022")</f>
        <v/>
      </c>
      <c r="Z73">
        <f>HYPERLINK("https://klasma.github.io/Logging_1765/fåglar/A 28384-2022 prioriterade fågelarter.docx", "A 28384-2022")</f>
        <v/>
      </c>
    </row>
    <row r="74" ht="15" customHeight="1">
      <c r="A74" t="inlineStr">
        <is>
          <t>A 2253-2025</t>
        </is>
      </c>
      <c r="B74" s="1" t="n">
        <v>45673</v>
      </c>
      <c r="C74" s="1" t="n">
        <v>46199</v>
      </c>
      <c r="D74" t="inlineStr">
        <is>
          <t>VÄRMLANDS LÄN</t>
        </is>
      </c>
      <c r="E74" t="inlineStr">
        <is>
          <t>ÅRJÄNG</t>
        </is>
      </c>
      <c r="G74" t="n">
        <v>12.4</v>
      </c>
      <c r="H74" t="n">
        <v>1</v>
      </c>
      <c r="I74" t="n">
        <v>0</v>
      </c>
      <c r="J74" t="n">
        <v>0</v>
      </c>
      <c r="K74" t="n">
        <v>0</v>
      </c>
      <c r="L74" t="n">
        <v>0</v>
      </c>
      <c r="M74" t="n">
        <v>0</v>
      </c>
      <c r="N74" t="n">
        <v>0</v>
      </c>
      <c r="O74" t="n">
        <v>0</v>
      </c>
      <c r="P74" t="n">
        <v>0</v>
      </c>
      <c r="Q74" t="n">
        <v>1</v>
      </c>
      <c r="R74" s="2" t="inlineStr">
        <is>
          <t>Orre</t>
        </is>
      </c>
      <c r="S74">
        <f>HYPERLINK("https://klasma.github.io/Logging_1765/artfynd/A 2253-2025 artfynd.xlsx", "A 2253-2025")</f>
        <v/>
      </c>
      <c r="T74">
        <f>HYPERLINK("https://klasma.github.io/Logging_1765/kartor/A 2253-2025 karta.png", "A 2253-2025")</f>
        <v/>
      </c>
      <c r="V74">
        <f>HYPERLINK("https://klasma.github.io/Logging_1765/klagomål/A 2253-2025 FSC-klagomål.docx", "A 2253-2025")</f>
        <v/>
      </c>
      <c r="W74">
        <f>HYPERLINK("https://klasma.github.io/Logging_1765/klagomålsmail/A 2253-2025 FSC-klagomål mail.docx", "A 2253-2025")</f>
        <v/>
      </c>
      <c r="X74">
        <f>HYPERLINK("https://klasma.github.io/Logging_1765/tillsyn/A 2253-2025 tillsynsbegäran.docx", "A 2253-2025")</f>
        <v/>
      </c>
      <c r="Y74">
        <f>HYPERLINK("https://klasma.github.io/Logging_1765/tillsynsmail/A 2253-2025 tillsynsbegäran mail.docx", "A 2253-2025")</f>
        <v/>
      </c>
      <c r="Z74">
        <f>HYPERLINK("https://klasma.github.io/Logging_1765/fåglar/A 2253-2025 prioriterade fågelarter.docx", "A 2253-2025")</f>
        <v/>
      </c>
    </row>
    <row r="75" ht="15" customHeight="1">
      <c r="A75" t="inlineStr">
        <is>
          <t>A 1580-2025</t>
        </is>
      </c>
      <c r="B75" s="1" t="n">
        <v>45670</v>
      </c>
      <c r="C75" s="1" t="n">
        <v>46199</v>
      </c>
      <c r="D75" t="inlineStr">
        <is>
          <t>VÄRMLANDS LÄN</t>
        </is>
      </c>
      <c r="E75" t="inlineStr">
        <is>
          <t>ÅRJÄNG</t>
        </is>
      </c>
      <c r="G75" t="n">
        <v>2.8</v>
      </c>
      <c r="H75" t="n">
        <v>1</v>
      </c>
      <c r="I75" t="n">
        <v>0</v>
      </c>
      <c r="J75" t="n">
        <v>0</v>
      </c>
      <c r="K75" t="n">
        <v>0</v>
      </c>
      <c r="L75" t="n">
        <v>0</v>
      </c>
      <c r="M75" t="n">
        <v>0</v>
      </c>
      <c r="N75" t="n">
        <v>0</v>
      </c>
      <c r="O75" t="n">
        <v>0</v>
      </c>
      <c r="P75" t="n">
        <v>0</v>
      </c>
      <c r="Q75" t="n">
        <v>1</v>
      </c>
      <c r="R75" s="2" t="inlineStr">
        <is>
          <t>Revlummer</t>
        </is>
      </c>
      <c r="S75">
        <f>HYPERLINK("https://klasma.github.io/Logging_1765/artfynd/A 1580-2025 artfynd.xlsx", "A 1580-2025")</f>
        <v/>
      </c>
      <c r="T75">
        <f>HYPERLINK("https://klasma.github.io/Logging_1765/kartor/A 1580-2025 karta.png", "A 1580-2025")</f>
        <v/>
      </c>
      <c r="V75">
        <f>HYPERLINK("https://klasma.github.io/Logging_1765/klagomål/A 1580-2025 FSC-klagomål.docx", "A 1580-2025")</f>
        <v/>
      </c>
      <c r="W75">
        <f>HYPERLINK("https://klasma.github.io/Logging_1765/klagomålsmail/A 1580-2025 FSC-klagomål mail.docx", "A 1580-2025")</f>
        <v/>
      </c>
      <c r="X75">
        <f>HYPERLINK("https://klasma.github.io/Logging_1765/tillsyn/A 1580-2025 tillsynsbegäran.docx", "A 1580-2025")</f>
        <v/>
      </c>
      <c r="Y75">
        <f>HYPERLINK("https://klasma.github.io/Logging_1765/tillsynsmail/A 1580-2025 tillsynsbegäran mail.docx", "A 1580-2025")</f>
        <v/>
      </c>
    </row>
    <row r="76" ht="15" customHeight="1">
      <c r="A76" t="inlineStr">
        <is>
          <t>A 33017-2022</t>
        </is>
      </c>
      <c r="B76" s="1" t="n">
        <v>44785</v>
      </c>
      <c r="C76" s="1" t="n">
        <v>46199</v>
      </c>
      <c r="D76" t="inlineStr">
        <is>
          <t>VÄRMLANDS LÄN</t>
        </is>
      </c>
      <c r="E76" t="inlineStr">
        <is>
          <t>ÅRJÄNG</t>
        </is>
      </c>
      <c r="F76" t="inlineStr">
        <is>
          <t>Kyrkan</t>
        </is>
      </c>
      <c r="G76" t="n">
        <v>5.9</v>
      </c>
      <c r="H76" t="n">
        <v>1</v>
      </c>
      <c r="I76" t="n">
        <v>0</v>
      </c>
      <c r="J76" t="n">
        <v>0</v>
      </c>
      <c r="K76" t="n">
        <v>0</v>
      </c>
      <c r="L76" t="n">
        <v>0</v>
      </c>
      <c r="M76" t="n">
        <v>0</v>
      </c>
      <c r="N76" t="n">
        <v>0</v>
      </c>
      <c r="O76" t="n">
        <v>0</v>
      </c>
      <c r="P76" t="n">
        <v>0</v>
      </c>
      <c r="Q76" t="n">
        <v>1</v>
      </c>
      <c r="R76" s="2" t="inlineStr">
        <is>
          <t>Fläcknycklar</t>
        </is>
      </c>
      <c r="S76">
        <f>HYPERLINK("https://klasma.github.io/Logging_1765/artfynd/A 33017-2022 artfynd.xlsx", "A 33017-2022")</f>
        <v/>
      </c>
      <c r="T76">
        <f>HYPERLINK("https://klasma.github.io/Logging_1765/kartor/A 33017-2022 karta.png", "A 33017-2022")</f>
        <v/>
      </c>
      <c r="V76">
        <f>HYPERLINK("https://klasma.github.io/Logging_1765/klagomål/A 33017-2022 FSC-klagomål.docx", "A 33017-2022")</f>
        <v/>
      </c>
      <c r="W76">
        <f>HYPERLINK("https://klasma.github.io/Logging_1765/klagomålsmail/A 33017-2022 FSC-klagomål mail.docx", "A 33017-2022")</f>
        <v/>
      </c>
      <c r="X76">
        <f>HYPERLINK("https://klasma.github.io/Logging_1765/tillsyn/A 33017-2022 tillsynsbegäran.docx", "A 33017-2022")</f>
        <v/>
      </c>
      <c r="Y76">
        <f>HYPERLINK("https://klasma.github.io/Logging_1765/tillsynsmail/A 33017-2022 tillsynsbegäran mail.docx", "A 33017-2022")</f>
        <v/>
      </c>
    </row>
    <row r="77" ht="15" customHeight="1">
      <c r="A77" t="inlineStr">
        <is>
          <t>A 52826-2022</t>
        </is>
      </c>
      <c r="B77" s="1" t="n">
        <v>44875</v>
      </c>
      <c r="C77" s="1" t="n">
        <v>46199</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47642-2021</t>
        </is>
      </c>
      <c r="B78" s="1" t="n">
        <v>44448</v>
      </c>
      <c r="C78" s="1" t="n">
        <v>46199</v>
      </c>
      <c r="D78" t="inlineStr">
        <is>
          <t>VÄRMLANDS LÄN</t>
        </is>
      </c>
      <c r="E78" t="inlineStr">
        <is>
          <t>ÅRJÄNG</t>
        </is>
      </c>
      <c r="G78" t="n">
        <v>2.3</v>
      </c>
      <c r="H78" t="n">
        <v>0</v>
      </c>
      <c r="I78" t="n">
        <v>0</v>
      </c>
      <c r="J78" t="n">
        <v>0</v>
      </c>
      <c r="K78" t="n">
        <v>0</v>
      </c>
      <c r="L78" t="n">
        <v>0</v>
      </c>
      <c r="M78" t="n">
        <v>0</v>
      </c>
      <c r="N78" t="n">
        <v>0</v>
      </c>
      <c r="O78" t="n">
        <v>0</v>
      </c>
      <c r="P78" t="n">
        <v>0</v>
      </c>
      <c r="Q78" t="n">
        <v>0</v>
      </c>
      <c r="R78" s="2" t="inlineStr"/>
    </row>
    <row r="79" ht="15" customHeight="1">
      <c r="A79" t="inlineStr">
        <is>
          <t>A 5836-2022</t>
        </is>
      </c>
      <c r="B79" s="1" t="n">
        <v>44596</v>
      </c>
      <c r="C79" s="1" t="n">
        <v>46199</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19776-2022</t>
        </is>
      </c>
      <c r="B80" s="1" t="n">
        <v>44694</v>
      </c>
      <c r="C80" s="1" t="n">
        <v>46199</v>
      </c>
      <c r="D80" t="inlineStr">
        <is>
          <t>VÄRMLANDS LÄN</t>
        </is>
      </c>
      <c r="E80" t="inlineStr">
        <is>
          <t>ÅRJÄNG</t>
        </is>
      </c>
      <c r="G80" t="n">
        <v>9</v>
      </c>
      <c r="H80" t="n">
        <v>0</v>
      </c>
      <c r="I80" t="n">
        <v>0</v>
      </c>
      <c r="J80" t="n">
        <v>0</v>
      </c>
      <c r="K80" t="n">
        <v>0</v>
      </c>
      <c r="L80" t="n">
        <v>0</v>
      </c>
      <c r="M80" t="n">
        <v>0</v>
      </c>
      <c r="N80" t="n">
        <v>0</v>
      </c>
      <c r="O80" t="n">
        <v>0</v>
      </c>
      <c r="P80" t="n">
        <v>0</v>
      </c>
      <c r="Q80" t="n">
        <v>0</v>
      </c>
      <c r="R80" s="2" t="inlineStr"/>
    </row>
    <row r="81" ht="15" customHeight="1">
      <c r="A81" t="inlineStr">
        <is>
          <t>A 43578-2021</t>
        </is>
      </c>
      <c r="B81" s="1" t="n">
        <v>44433</v>
      </c>
      <c r="C81" s="1" t="n">
        <v>46199</v>
      </c>
      <c r="D81" t="inlineStr">
        <is>
          <t>VÄRMLANDS LÄN</t>
        </is>
      </c>
      <c r="E81" t="inlineStr">
        <is>
          <t>ÅRJÄNG</t>
        </is>
      </c>
      <c r="G81" t="n">
        <v>6.3</v>
      </c>
      <c r="H81" t="n">
        <v>0</v>
      </c>
      <c r="I81" t="n">
        <v>0</v>
      </c>
      <c r="J81" t="n">
        <v>0</v>
      </c>
      <c r="K81" t="n">
        <v>0</v>
      </c>
      <c r="L81" t="n">
        <v>0</v>
      </c>
      <c r="M81" t="n">
        <v>0</v>
      </c>
      <c r="N81" t="n">
        <v>0</v>
      </c>
      <c r="O81" t="n">
        <v>0</v>
      </c>
      <c r="P81" t="n">
        <v>0</v>
      </c>
      <c r="Q81" t="n">
        <v>0</v>
      </c>
      <c r="R81" s="2" t="inlineStr"/>
    </row>
    <row r="82" ht="15" customHeight="1">
      <c r="A82" t="inlineStr">
        <is>
          <t>A 13166-2022</t>
        </is>
      </c>
      <c r="B82" s="1" t="n">
        <v>44643</v>
      </c>
      <c r="C82" s="1" t="n">
        <v>46199</v>
      </c>
      <c r="D82" t="inlineStr">
        <is>
          <t>VÄRMLANDS LÄN</t>
        </is>
      </c>
      <c r="E82" t="inlineStr">
        <is>
          <t>ÅRJÄNG</t>
        </is>
      </c>
      <c r="G82" t="n">
        <v>7.3</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46199</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46199</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49680-2021</t>
        </is>
      </c>
      <c r="B85" s="1" t="n">
        <v>44455</v>
      </c>
      <c r="C85" s="1" t="n">
        <v>46199</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46644-2021</t>
        </is>
      </c>
      <c r="B86" s="1" t="n">
        <v>44445</v>
      </c>
      <c r="C86" s="1" t="n">
        <v>46199</v>
      </c>
      <c r="D86" t="inlineStr">
        <is>
          <t>VÄRMLANDS LÄN</t>
        </is>
      </c>
      <c r="E86" t="inlineStr">
        <is>
          <t>ÅRJÄNG</t>
        </is>
      </c>
      <c r="G86" t="n">
        <v>3.8</v>
      </c>
      <c r="H86" t="n">
        <v>0</v>
      </c>
      <c r="I86" t="n">
        <v>0</v>
      </c>
      <c r="J86" t="n">
        <v>0</v>
      </c>
      <c r="K86" t="n">
        <v>0</v>
      </c>
      <c r="L86" t="n">
        <v>0</v>
      </c>
      <c r="M86" t="n">
        <v>0</v>
      </c>
      <c r="N86" t="n">
        <v>0</v>
      </c>
      <c r="O86" t="n">
        <v>0</v>
      </c>
      <c r="P86" t="n">
        <v>0</v>
      </c>
      <c r="Q86" t="n">
        <v>0</v>
      </c>
      <c r="R86" s="2" t="inlineStr"/>
    </row>
    <row r="87" ht="15" customHeight="1">
      <c r="A87" t="inlineStr">
        <is>
          <t>A 11585-2022</t>
        </is>
      </c>
      <c r="B87" s="1" t="n">
        <v>44631</v>
      </c>
      <c r="C87" s="1" t="n">
        <v>46199</v>
      </c>
      <c r="D87" t="inlineStr">
        <is>
          <t>VÄRMLANDS LÄN</t>
        </is>
      </c>
      <c r="E87" t="inlineStr">
        <is>
          <t>ÅRJÄNG</t>
        </is>
      </c>
      <c r="F87" t="inlineStr">
        <is>
          <t>Bergvik skog väst AB</t>
        </is>
      </c>
      <c r="G87" t="n">
        <v>3.5</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46199</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64082-2021</t>
        </is>
      </c>
      <c r="B89" s="1" t="n">
        <v>44510</v>
      </c>
      <c r="C89" s="1" t="n">
        <v>46199</v>
      </c>
      <c r="D89" t="inlineStr">
        <is>
          <t>VÄRMLANDS LÄN</t>
        </is>
      </c>
      <c r="E89" t="inlineStr">
        <is>
          <t>ÅRJÄNG</t>
        </is>
      </c>
      <c r="G89" t="n">
        <v>1.3</v>
      </c>
      <c r="H89" t="n">
        <v>0</v>
      </c>
      <c r="I89" t="n">
        <v>0</v>
      </c>
      <c r="J89" t="n">
        <v>0</v>
      </c>
      <c r="K89" t="n">
        <v>0</v>
      </c>
      <c r="L89" t="n">
        <v>0</v>
      </c>
      <c r="M89" t="n">
        <v>0</v>
      </c>
      <c r="N89" t="n">
        <v>0</v>
      </c>
      <c r="O89" t="n">
        <v>0</v>
      </c>
      <c r="P89" t="n">
        <v>0</v>
      </c>
      <c r="Q89" t="n">
        <v>0</v>
      </c>
      <c r="R89" s="2" t="inlineStr"/>
    </row>
    <row r="90" ht="15" customHeight="1">
      <c r="A90" t="inlineStr">
        <is>
          <t>A 61252-2021</t>
        </is>
      </c>
      <c r="B90" s="1" t="n">
        <v>44496</v>
      </c>
      <c r="C90" s="1" t="n">
        <v>46199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61129-2021</t>
        </is>
      </c>
      <c r="B91" s="1" t="n">
        <v>44498</v>
      </c>
      <c r="C91" s="1" t="n">
        <v>46199</v>
      </c>
      <c r="D91" t="inlineStr">
        <is>
          <t>VÄRMLANDS LÄN</t>
        </is>
      </c>
      <c r="E91" t="inlineStr">
        <is>
          <t>ÅRJÄNG</t>
        </is>
      </c>
      <c r="G91" t="n">
        <v>0.5</v>
      </c>
      <c r="H91" t="n">
        <v>0</v>
      </c>
      <c r="I91" t="n">
        <v>0</v>
      </c>
      <c r="J91" t="n">
        <v>0</v>
      </c>
      <c r="K91" t="n">
        <v>0</v>
      </c>
      <c r="L91" t="n">
        <v>0</v>
      </c>
      <c r="M91" t="n">
        <v>0</v>
      </c>
      <c r="N91" t="n">
        <v>0</v>
      </c>
      <c r="O91" t="n">
        <v>0</v>
      </c>
      <c r="P91" t="n">
        <v>0</v>
      </c>
      <c r="Q91" t="n">
        <v>0</v>
      </c>
      <c r="R91" s="2" t="inlineStr"/>
    </row>
    <row r="92" ht="15" customHeight="1">
      <c r="A92" t="inlineStr">
        <is>
          <t>A 59009-2021</t>
        </is>
      </c>
      <c r="B92" s="1" t="n">
        <v>44490</v>
      </c>
      <c r="C92" s="1" t="n">
        <v>46199</v>
      </c>
      <c r="D92" t="inlineStr">
        <is>
          <t>VÄRMLANDS LÄN</t>
        </is>
      </c>
      <c r="E92" t="inlineStr">
        <is>
          <t>ÅRJÄNG</t>
        </is>
      </c>
      <c r="G92" t="n">
        <v>3</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46199</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74087-2021</t>
        </is>
      </c>
      <c r="B94" s="1" t="n">
        <v>44557</v>
      </c>
      <c r="C94" s="1" t="n">
        <v>46199</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11934-2022</t>
        </is>
      </c>
      <c r="B95" s="1" t="n">
        <v>44635</v>
      </c>
      <c r="C95" s="1" t="n">
        <v>46199</v>
      </c>
      <c r="D95" t="inlineStr">
        <is>
          <t>VÄRMLANDS LÄN</t>
        </is>
      </c>
      <c r="E95" t="inlineStr">
        <is>
          <t>ÅRJÄNG</t>
        </is>
      </c>
      <c r="G95" t="n">
        <v>0.9</v>
      </c>
      <c r="H95" t="n">
        <v>0</v>
      </c>
      <c r="I95" t="n">
        <v>0</v>
      </c>
      <c r="J95" t="n">
        <v>0</v>
      </c>
      <c r="K95" t="n">
        <v>0</v>
      </c>
      <c r="L95" t="n">
        <v>0</v>
      </c>
      <c r="M95" t="n">
        <v>0</v>
      </c>
      <c r="N95" t="n">
        <v>0</v>
      </c>
      <c r="O95" t="n">
        <v>0</v>
      </c>
      <c r="P95" t="n">
        <v>0</v>
      </c>
      <c r="Q95" t="n">
        <v>0</v>
      </c>
      <c r="R95" s="2" t="inlineStr"/>
    </row>
    <row r="96" ht="15" customHeight="1">
      <c r="A96" t="inlineStr">
        <is>
          <t>A 5830-2022</t>
        </is>
      </c>
      <c r="B96" s="1" t="n">
        <v>44596</v>
      </c>
      <c r="C96" s="1" t="n">
        <v>46199</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17352-2022</t>
        </is>
      </c>
      <c r="B97" s="1" t="n">
        <v>44678</v>
      </c>
      <c r="C97" s="1" t="n">
        <v>46199</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30450-2022</t>
        </is>
      </c>
      <c r="B98" s="1" t="n">
        <v>44761</v>
      </c>
      <c r="C98" s="1" t="n">
        <v>46199</v>
      </c>
      <c r="D98" t="inlineStr">
        <is>
          <t>VÄRMLANDS LÄN</t>
        </is>
      </c>
      <c r="E98" t="inlineStr">
        <is>
          <t>ÅRJÄNG</t>
        </is>
      </c>
      <c r="G98" t="n">
        <v>1.5</v>
      </c>
      <c r="H98" t="n">
        <v>0</v>
      </c>
      <c r="I98" t="n">
        <v>0</v>
      </c>
      <c r="J98" t="n">
        <v>0</v>
      </c>
      <c r="K98" t="n">
        <v>0</v>
      </c>
      <c r="L98" t="n">
        <v>0</v>
      </c>
      <c r="M98" t="n">
        <v>0</v>
      </c>
      <c r="N98" t="n">
        <v>0</v>
      </c>
      <c r="O98" t="n">
        <v>0</v>
      </c>
      <c r="P98" t="n">
        <v>0</v>
      </c>
      <c r="Q98" t="n">
        <v>0</v>
      </c>
      <c r="R98" s="2" t="inlineStr"/>
    </row>
    <row r="99" ht="15" customHeight="1">
      <c r="A99" t="inlineStr">
        <is>
          <t>A 6541-2022</t>
        </is>
      </c>
      <c r="B99" s="1" t="n">
        <v>44601</v>
      </c>
      <c r="C99" s="1" t="n">
        <v>46199</v>
      </c>
      <c r="D99" t="inlineStr">
        <is>
          <t>VÄRMLANDS LÄN</t>
        </is>
      </c>
      <c r="E99" t="inlineStr">
        <is>
          <t>ÅRJÄNG</t>
        </is>
      </c>
      <c r="G99" t="n">
        <v>1.2</v>
      </c>
      <c r="H99" t="n">
        <v>0</v>
      </c>
      <c r="I99" t="n">
        <v>0</v>
      </c>
      <c r="J99" t="n">
        <v>0</v>
      </c>
      <c r="K99" t="n">
        <v>0</v>
      </c>
      <c r="L99" t="n">
        <v>0</v>
      </c>
      <c r="M99" t="n">
        <v>0</v>
      </c>
      <c r="N99" t="n">
        <v>0</v>
      </c>
      <c r="O99" t="n">
        <v>0</v>
      </c>
      <c r="P99" t="n">
        <v>0</v>
      </c>
      <c r="Q99" t="n">
        <v>0</v>
      </c>
      <c r="R99" s="2" t="inlineStr"/>
    </row>
    <row r="100" ht="15" customHeight="1">
      <c r="A100" t="inlineStr">
        <is>
          <t>A 47230-2021</t>
        </is>
      </c>
      <c r="B100" s="1" t="n">
        <v>44446</v>
      </c>
      <c r="C100" s="1" t="n">
        <v>46199</v>
      </c>
      <c r="D100" t="inlineStr">
        <is>
          <t>VÄRMLANDS LÄN</t>
        </is>
      </c>
      <c r="E100" t="inlineStr">
        <is>
          <t>ÅRJÄNG</t>
        </is>
      </c>
      <c r="G100" t="n">
        <v>6.2</v>
      </c>
      <c r="H100" t="n">
        <v>0</v>
      </c>
      <c r="I100" t="n">
        <v>0</v>
      </c>
      <c r="J100" t="n">
        <v>0</v>
      </c>
      <c r="K100" t="n">
        <v>0</v>
      </c>
      <c r="L100" t="n">
        <v>0</v>
      </c>
      <c r="M100" t="n">
        <v>0</v>
      </c>
      <c r="N100" t="n">
        <v>0</v>
      </c>
      <c r="O100" t="n">
        <v>0</v>
      </c>
      <c r="P100" t="n">
        <v>0</v>
      </c>
      <c r="Q100" t="n">
        <v>0</v>
      </c>
      <c r="R100" s="2" t="inlineStr"/>
    </row>
    <row r="101" ht="15" customHeight="1">
      <c r="A101" t="inlineStr">
        <is>
          <t>A 46647-2021</t>
        </is>
      </c>
      <c r="B101" s="1" t="n">
        <v>44445</v>
      </c>
      <c r="C101" s="1" t="n">
        <v>46199</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46199</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46199</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46199</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46199</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41228-2022</t>
        </is>
      </c>
      <c r="B106" s="1" t="n">
        <v>44826</v>
      </c>
      <c r="C106" s="1" t="n">
        <v>46199</v>
      </c>
      <c r="D106" t="inlineStr">
        <is>
          <t>VÄRMLANDS LÄN</t>
        </is>
      </c>
      <c r="E106" t="inlineStr">
        <is>
          <t>ÅRJÄNG</t>
        </is>
      </c>
      <c r="G106" t="n">
        <v>3.6</v>
      </c>
      <c r="H106" t="n">
        <v>0</v>
      </c>
      <c r="I106" t="n">
        <v>0</v>
      </c>
      <c r="J106" t="n">
        <v>0</v>
      </c>
      <c r="K106" t="n">
        <v>0</v>
      </c>
      <c r="L106" t="n">
        <v>0</v>
      </c>
      <c r="M106" t="n">
        <v>0</v>
      </c>
      <c r="N106" t="n">
        <v>0</v>
      </c>
      <c r="O106" t="n">
        <v>0</v>
      </c>
      <c r="P106" t="n">
        <v>0</v>
      </c>
      <c r="Q106" t="n">
        <v>0</v>
      </c>
      <c r="R106" s="2" t="inlineStr"/>
    </row>
    <row r="107" ht="15" customHeight="1">
      <c r="A107" t="inlineStr">
        <is>
          <t>A 4942-2022</t>
        </is>
      </c>
      <c r="B107" s="1" t="n">
        <v>44593</v>
      </c>
      <c r="C107" s="1" t="n">
        <v>46199</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39752-2021</t>
        </is>
      </c>
      <c r="B108" s="1" t="n">
        <v>44417</v>
      </c>
      <c r="C108" s="1" t="n">
        <v>46199</v>
      </c>
      <c r="D108" t="inlineStr">
        <is>
          <t>VÄRMLANDS LÄN</t>
        </is>
      </c>
      <c r="E108" t="inlineStr">
        <is>
          <t>ÅRJÄNG</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46199</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46199</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46199</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46199</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46199</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46199</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46199</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46199</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46199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46199</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46199</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46199</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46199</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46199</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v>
      </c>
      <c r="C123" s="1" t="n">
        <v>46199</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46199</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v>
      </c>
      <c r="C125" s="1" t="n">
        <v>46199</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46199</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v>
      </c>
      <c r="C127" s="1" t="n">
        <v>46199</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46199</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46199</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46199</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46199</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v>
      </c>
      <c r="C132" s="1" t="n">
        <v>46199</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v>
      </c>
      <c r="C133" s="1" t="n">
        <v>46199</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46199</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46199</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46199</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46199</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61143-2021</t>
        </is>
      </c>
      <c r="B138" s="1" t="n">
        <v>44498</v>
      </c>
      <c r="C138" s="1" t="n">
        <v>46199</v>
      </c>
      <c r="D138" t="inlineStr">
        <is>
          <t>VÄRMLANDS LÄN</t>
        </is>
      </c>
      <c r="E138" t="inlineStr">
        <is>
          <t>ÅRJÄNG</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61240-2021</t>
        </is>
      </c>
      <c r="B139" s="1" t="n">
        <v>44496</v>
      </c>
      <c r="C139" s="1" t="n">
        <v>46199</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v>
      </c>
      <c r="C140" s="1" t="n">
        <v>46199</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46199</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3917-2022</t>
        </is>
      </c>
      <c r="B142" s="1" t="n">
        <v>44587</v>
      </c>
      <c r="C142" s="1" t="n">
        <v>46199</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46248-2021</t>
        </is>
      </c>
      <c r="B143" s="1" t="n">
        <v>44442</v>
      </c>
      <c r="C143" s="1" t="n">
        <v>46199</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46199</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33888-2022</t>
        </is>
      </c>
      <c r="B145" s="1" t="n">
        <v>44790</v>
      </c>
      <c r="C145" s="1" t="n">
        <v>46199</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56311-2021</t>
        </is>
      </c>
      <c r="B146" s="1" t="n">
        <v>44480</v>
      </c>
      <c r="C146" s="1" t="n">
        <v>46199</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516-2022</t>
        </is>
      </c>
      <c r="B147" s="1" t="n">
        <v>44566</v>
      </c>
      <c r="C147" s="1" t="n">
        <v>46199</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37697-2021</t>
        </is>
      </c>
      <c r="B148" s="1" t="n">
        <v>44400</v>
      </c>
      <c r="C148" s="1" t="n">
        <v>46199</v>
      </c>
      <c r="D148" t="inlineStr">
        <is>
          <t>VÄRMLANDS LÄN</t>
        </is>
      </c>
      <c r="E148" t="inlineStr">
        <is>
          <t>ÅRJÄNG</t>
        </is>
      </c>
      <c r="G148" t="n">
        <v>4.3</v>
      </c>
      <c r="H148" t="n">
        <v>0</v>
      </c>
      <c r="I148" t="n">
        <v>0</v>
      </c>
      <c r="J148" t="n">
        <v>0</v>
      </c>
      <c r="K148" t="n">
        <v>0</v>
      </c>
      <c r="L148" t="n">
        <v>0</v>
      </c>
      <c r="M148" t="n">
        <v>0</v>
      </c>
      <c r="N148" t="n">
        <v>0</v>
      </c>
      <c r="O148" t="n">
        <v>0</v>
      </c>
      <c r="P148" t="n">
        <v>0</v>
      </c>
      <c r="Q148" t="n">
        <v>0</v>
      </c>
      <c r="R148" s="2" t="inlineStr"/>
    </row>
    <row r="149" ht="15" customHeight="1">
      <c r="A149" t="inlineStr">
        <is>
          <t>A 42963-2021</t>
        </is>
      </c>
      <c r="B149" s="1" t="n">
        <v>44431</v>
      </c>
      <c r="C149" s="1" t="n">
        <v>46199</v>
      </c>
      <c r="D149" t="inlineStr">
        <is>
          <t>VÄRMLANDS LÄN</t>
        </is>
      </c>
      <c r="E149" t="inlineStr">
        <is>
          <t>ÅRJÄNG</t>
        </is>
      </c>
      <c r="G149" t="n">
        <v>5.6</v>
      </c>
      <c r="H149" t="n">
        <v>0</v>
      </c>
      <c r="I149" t="n">
        <v>0</v>
      </c>
      <c r="J149" t="n">
        <v>0</v>
      </c>
      <c r="K149" t="n">
        <v>0</v>
      </c>
      <c r="L149" t="n">
        <v>0</v>
      </c>
      <c r="M149" t="n">
        <v>0</v>
      </c>
      <c r="N149" t="n">
        <v>0</v>
      </c>
      <c r="O149" t="n">
        <v>0</v>
      </c>
      <c r="P149" t="n">
        <v>0</v>
      </c>
      <c r="Q149" t="n">
        <v>0</v>
      </c>
      <c r="R149" s="2" t="inlineStr"/>
    </row>
    <row r="150" ht="15" customHeight="1">
      <c r="A150" t="inlineStr">
        <is>
          <t>A 50858-2021</t>
        </is>
      </c>
      <c r="B150" s="1" t="n">
        <v>44459</v>
      </c>
      <c r="C150" s="1" t="n">
        <v>46199</v>
      </c>
      <c r="D150" t="inlineStr">
        <is>
          <t>VÄRMLANDS LÄN</t>
        </is>
      </c>
      <c r="E150" t="inlineStr">
        <is>
          <t>ÅRJÄNG</t>
        </is>
      </c>
      <c r="G150" t="n">
        <v>7.2</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46199</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46199</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46199</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46199</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46199</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53052-2021</t>
        </is>
      </c>
      <c r="B156" s="1" t="n">
        <v>44467</v>
      </c>
      <c r="C156" s="1" t="n">
        <v>46199</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63205-2021</t>
        </is>
      </c>
      <c r="B157" s="1" t="n">
        <v>44507</v>
      </c>
      <c r="C157" s="1" t="n">
        <v>46199</v>
      </c>
      <c r="D157" t="inlineStr">
        <is>
          <t>VÄRMLANDS LÄN</t>
        </is>
      </c>
      <c r="E157" t="inlineStr">
        <is>
          <t>ÅRJÄNG</t>
        </is>
      </c>
      <c r="G157" t="n">
        <v>1.8</v>
      </c>
      <c r="H157" t="n">
        <v>0</v>
      </c>
      <c r="I157" t="n">
        <v>0</v>
      </c>
      <c r="J157" t="n">
        <v>0</v>
      </c>
      <c r="K157" t="n">
        <v>0</v>
      </c>
      <c r="L157" t="n">
        <v>0</v>
      </c>
      <c r="M157" t="n">
        <v>0</v>
      </c>
      <c r="N157" t="n">
        <v>0</v>
      </c>
      <c r="O157" t="n">
        <v>0</v>
      </c>
      <c r="P157" t="n">
        <v>0</v>
      </c>
      <c r="Q157" t="n">
        <v>0</v>
      </c>
      <c r="R157" s="2" t="inlineStr"/>
    </row>
    <row r="158" ht="15" customHeight="1">
      <c r="A158" t="inlineStr">
        <is>
          <t>A 53722-2021</t>
        </is>
      </c>
      <c r="B158" s="1" t="n">
        <v>44469</v>
      </c>
      <c r="C158" s="1" t="n">
        <v>46199</v>
      </c>
      <c r="D158" t="inlineStr">
        <is>
          <t>VÄRMLANDS LÄN</t>
        </is>
      </c>
      <c r="E158" t="inlineStr">
        <is>
          <t>ÅRJÄNG</t>
        </is>
      </c>
      <c r="G158" t="n">
        <v>1</v>
      </c>
      <c r="H158" t="n">
        <v>0</v>
      </c>
      <c r="I158" t="n">
        <v>0</v>
      </c>
      <c r="J158" t="n">
        <v>0</v>
      </c>
      <c r="K158" t="n">
        <v>0</v>
      </c>
      <c r="L158" t="n">
        <v>0</v>
      </c>
      <c r="M158" t="n">
        <v>0</v>
      </c>
      <c r="N158" t="n">
        <v>0</v>
      </c>
      <c r="O158" t="n">
        <v>0</v>
      </c>
      <c r="P158" t="n">
        <v>0</v>
      </c>
      <c r="Q158" t="n">
        <v>0</v>
      </c>
      <c r="R158" s="2" t="inlineStr"/>
    </row>
    <row r="159" ht="15" customHeight="1">
      <c r="A159" t="inlineStr">
        <is>
          <t>A 53747-2021</t>
        </is>
      </c>
      <c r="B159" s="1" t="n">
        <v>44469</v>
      </c>
      <c r="C159" s="1" t="n">
        <v>46199</v>
      </c>
      <c r="D159" t="inlineStr">
        <is>
          <t>VÄRMLANDS LÄN</t>
        </is>
      </c>
      <c r="E159" t="inlineStr">
        <is>
          <t>ÅRJÄNG</t>
        </is>
      </c>
      <c r="G159" t="n">
        <v>11.3</v>
      </c>
      <c r="H159" t="n">
        <v>0</v>
      </c>
      <c r="I159" t="n">
        <v>0</v>
      </c>
      <c r="J159" t="n">
        <v>0</v>
      </c>
      <c r="K159" t="n">
        <v>0</v>
      </c>
      <c r="L159" t="n">
        <v>0</v>
      </c>
      <c r="M159" t="n">
        <v>0</v>
      </c>
      <c r="N159" t="n">
        <v>0</v>
      </c>
      <c r="O159" t="n">
        <v>0</v>
      </c>
      <c r="P159" t="n">
        <v>0</v>
      </c>
      <c r="Q159" t="n">
        <v>0</v>
      </c>
      <c r="R159" s="2" t="inlineStr"/>
    </row>
    <row r="160" ht="15" customHeight="1">
      <c r="A160" t="inlineStr">
        <is>
          <t>A 62984-2021</t>
        </is>
      </c>
      <c r="B160" s="1" t="n">
        <v>44505</v>
      </c>
      <c r="C160" s="1" t="n">
        <v>46199</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67023-2021</t>
        </is>
      </c>
      <c r="B161" s="1" t="n">
        <v>44522</v>
      </c>
      <c r="C161" s="1" t="n">
        <v>46199</v>
      </c>
      <c r="D161" t="inlineStr">
        <is>
          <t>VÄRMLANDS LÄN</t>
        </is>
      </c>
      <c r="E161" t="inlineStr">
        <is>
          <t>ÅRJÄNG</t>
        </is>
      </c>
      <c r="G161" t="n">
        <v>4.7</v>
      </c>
      <c r="H161" t="n">
        <v>0</v>
      </c>
      <c r="I161" t="n">
        <v>0</v>
      </c>
      <c r="J161" t="n">
        <v>0</v>
      </c>
      <c r="K161" t="n">
        <v>0</v>
      </c>
      <c r="L161" t="n">
        <v>0</v>
      </c>
      <c r="M161" t="n">
        <v>0</v>
      </c>
      <c r="N161" t="n">
        <v>0</v>
      </c>
      <c r="O161" t="n">
        <v>0</v>
      </c>
      <c r="P161" t="n">
        <v>0</v>
      </c>
      <c r="Q161" t="n">
        <v>0</v>
      </c>
      <c r="R161" s="2" t="inlineStr"/>
    </row>
    <row r="162" ht="15" customHeight="1">
      <c r="A162" t="inlineStr">
        <is>
          <t>A 72291-2021</t>
        </is>
      </c>
      <c r="B162" s="1" t="n">
        <v>44545</v>
      </c>
      <c r="C162" s="1" t="n">
        <v>46199</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5667-2022</t>
        </is>
      </c>
      <c r="B163" s="1" t="n">
        <v>44595</v>
      </c>
      <c r="C163" s="1" t="n">
        <v>46199</v>
      </c>
      <c r="D163" t="inlineStr">
        <is>
          <t>VÄRMLANDS LÄN</t>
        </is>
      </c>
      <c r="E163" t="inlineStr">
        <is>
          <t>ÅRJÄNG</t>
        </is>
      </c>
      <c r="G163" t="n">
        <v>4.4</v>
      </c>
      <c r="H163" t="n">
        <v>0</v>
      </c>
      <c r="I163" t="n">
        <v>0</v>
      </c>
      <c r="J163" t="n">
        <v>0</v>
      </c>
      <c r="K163" t="n">
        <v>0</v>
      </c>
      <c r="L163" t="n">
        <v>0</v>
      </c>
      <c r="M163" t="n">
        <v>0</v>
      </c>
      <c r="N163" t="n">
        <v>0</v>
      </c>
      <c r="O163" t="n">
        <v>0</v>
      </c>
      <c r="P163" t="n">
        <v>0</v>
      </c>
      <c r="Q163" t="n">
        <v>0</v>
      </c>
      <c r="R163" s="2" t="inlineStr"/>
    </row>
    <row r="164" ht="15" customHeight="1">
      <c r="A164" t="inlineStr">
        <is>
          <t>A 59341-2021</t>
        </is>
      </c>
      <c r="B164" s="1" t="n">
        <v>44491</v>
      </c>
      <c r="C164" s="1" t="n">
        <v>46199</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70883-2021</t>
        </is>
      </c>
      <c r="B165" s="1" t="n">
        <v>44538</v>
      </c>
      <c r="C165" s="1" t="n">
        <v>46199</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59143-2021</t>
        </is>
      </c>
      <c r="B166" s="1" t="n">
        <v>44490</v>
      </c>
      <c r="C166" s="1" t="n">
        <v>46199</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46199</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40439-2022</t>
        </is>
      </c>
      <c r="B168" s="1" t="n">
        <v>44823</v>
      </c>
      <c r="C168" s="1" t="n">
        <v>46199</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9630-2022</t>
        </is>
      </c>
      <c r="B169" s="1" t="n">
        <v>44617</v>
      </c>
      <c r="C169" s="1" t="n">
        <v>46199</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71837-2021</t>
        </is>
      </c>
      <c r="B170" s="1" t="n">
        <v>44543</v>
      </c>
      <c r="C170" s="1" t="n">
        <v>46199</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5346-2022</t>
        </is>
      </c>
      <c r="B171" s="1" t="n">
        <v>44594</v>
      </c>
      <c r="C171" s="1" t="n">
        <v>46199</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56993-2021</t>
        </is>
      </c>
      <c r="B172" s="1" t="n">
        <v>44482</v>
      </c>
      <c r="C172" s="1" t="n">
        <v>46199</v>
      </c>
      <c r="D172" t="inlineStr">
        <is>
          <t>VÄRMLANDS LÄN</t>
        </is>
      </c>
      <c r="E172" t="inlineStr">
        <is>
          <t>ÅRJÄNG</t>
        </is>
      </c>
      <c r="G172" t="n">
        <v>3.8</v>
      </c>
      <c r="H172" t="n">
        <v>0</v>
      </c>
      <c r="I172" t="n">
        <v>0</v>
      </c>
      <c r="J172" t="n">
        <v>0</v>
      </c>
      <c r="K172" t="n">
        <v>0</v>
      </c>
      <c r="L172" t="n">
        <v>0</v>
      </c>
      <c r="M172" t="n">
        <v>0</v>
      </c>
      <c r="N172" t="n">
        <v>0</v>
      </c>
      <c r="O172" t="n">
        <v>0</v>
      </c>
      <c r="P172" t="n">
        <v>0</v>
      </c>
      <c r="Q172" t="n">
        <v>0</v>
      </c>
      <c r="R172" s="2" t="inlineStr"/>
    </row>
    <row r="173" ht="15" customHeight="1">
      <c r="A173" t="inlineStr">
        <is>
          <t>A 71840-2021</t>
        </is>
      </c>
      <c r="B173" s="1" t="n">
        <v>44543</v>
      </c>
      <c r="C173" s="1" t="n">
        <v>46199</v>
      </c>
      <c r="D173" t="inlineStr">
        <is>
          <t>VÄRMLANDS LÄN</t>
        </is>
      </c>
      <c r="E173" t="inlineStr">
        <is>
          <t>ÅRJÄNG</t>
        </is>
      </c>
      <c r="G173" t="n">
        <v>6.5</v>
      </c>
      <c r="H173" t="n">
        <v>0</v>
      </c>
      <c r="I173" t="n">
        <v>0</v>
      </c>
      <c r="J173" t="n">
        <v>0</v>
      </c>
      <c r="K173" t="n">
        <v>0</v>
      </c>
      <c r="L173" t="n">
        <v>0</v>
      </c>
      <c r="M173" t="n">
        <v>0</v>
      </c>
      <c r="N173" t="n">
        <v>0</v>
      </c>
      <c r="O173" t="n">
        <v>0</v>
      </c>
      <c r="P173" t="n">
        <v>0</v>
      </c>
      <c r="Q173" t="n">
        <v>0</v>
      </c>
      <c r="R173" s="2" t="inlineStr"/>
    </row>
    <row r="174" ht="15" customHeight="1">
      <c r="A174" t="inlineStr">
        <is>
          <t>A 36087-2021</t>
        </is>
      </c>
      <c r="B174" s="1" t="n">
        <v>44389</v>
      </c>
      <c r="C174" s="1" t="n">
        <v>46199</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10612-2022</t>
        </is>
      </c>
      <c r="B175" s="1" t="n">
        <v>44624</v>
      </c>
      <c r="C175" s="1" t="n">
        <v>46199</v>
      </c>
      <c r="D175" t="inlineStr">
        <is>
          <t>VÄRMLANDS LÄN</t>
        </is>
      </c>
      <c r="E175" t="inlineStr">
        <is>
          <t>ÅRJÄNG</t>
        </is>
      </c>
      <c r="G175" t="n">
        <v>6.8</v>
      </c>
      <c r="H175" t="n">
        <v>0</v>
      </c>
      <c r="I175" t="n">
        <v>0</v>
      </c>
      <c r="J175" t="n">
        <v>0</v>
      </c>
      <c r="K175" t="n">
        <v>0</v>
      </c>
      <c r="L175" t="n">
        <v>0</v>
      </c>
      <c r="M175" t="n">
        <v>0</v>
      </c>
      <c r="N175" t="n">
        <v>0</v>
      </c>
      <c r="O175" t="n">
        <v>0</v>
      </c>
      <c r="P175" t="n">
        <v>0</v>
      </c>
      <c r="Q175" t="n">
        <v>0</v>
      </c>
      <c r="R175" s="2" t="inlineStr"/>
    </row>
    <row r="176" ht="15" customHeight="1">
      <c r="A176" t="inlineStr">
        <is>
          <t>A 71819-2021</t>
        </is>
      </c>
      <c r="B176" s="1" t="n">
        <v>44540</v>
      </c>
      <c r="C176" s="1" t="n">
        <v>46199</v>
      </c>
      <c r="D176" t="inlineStr">
        <is>
          <t>VÄRMLANDS LÄN</t>
        </is>
      </c>
      <c r="E176" t="inlineStr">
        <is>
          <t>ÅRJÄNG</t>
        </is>
      </c>
      <c r="F176" t="inlineStr">
        <is>
          <t>Övriga Aktiebolag</t>
        </is>
      </c>
      <c r="G176" t="n">
        <v>7.5</v>
      </c>
      <c r="H176" t="n">
        <v>0</v>
      </c>
      <c r="I176" t="n">
        <v>0</v>
      </c>
      <c r="J176" t="n">
        <v>0</v>
      </c>
      <c r="K176" t="n">
        <v>0</v>
      </c>
      <c r="L176" t="n">
        <v>0</v>
      </c>
      <c r="M176" t="n">
        <v>0</v>
      </c>
      <c r="N176" t="n">
        <v>0</v>
      </c>
      <c r="O176" t="n">
        <v>0</v>
      </c>
      <c r="P176" t="n">
        <v>0</v>
      </c>
      <c r="Q176" t="n">
        <v>0</v>
      </c>
      <c r="R176" s="2" t="inlineStr"/>
    </row>
    <row r="177" ht="15" customHeight="1">
      <c r="A177" t="inlineStr">
        <is>
          <t>A 74166-2021</t>
        </is>
      </c>
      <c r="B177" s="1" t="n">
        <v>44558</v>
      </c>
      <c r="C177" s="1" t="n">
        <v>46199</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73138-2021</t>
        </is>
      </c>
      <c r="B178" s="1" t="n">
        <v>44550</v>
      </c>
      <c r="C178" s="1" t="n">
        <v>46199</v>
      </c>
      <c r="D178" t="inlineStr">
        <is>
          <t>VÄRMLANDS LÄN</t>
        </is>
      </c>
      <c r="E178" t="inlineStr">
        <is>
          <t>ÅRJÄNG</t>
        </is>
      </c>
      <c r="G178" t="n">
        <v>4.3</v>
      </c>
      <c r="H178" t="n">
        <v>0</v>
      </c>
      <c r="I178" t="n">
        <v>0</v>
      </c>
      <c r="J178" t="n">
        <v>0</v>
      </c>
      <c r="K178" t="n">
        <v>0</v>
      </c>
      <c r="L178" t="n">
        <v>0</v>
      </c>
      <c r="M178" t="n">
        <v>0</v>
      </c>
      <c r="N178" t="n">
        <v>0</v>
      </c>
      <c r="O178" t="n">
        <v>0</v>
      </c>
      <c r="P178" t="n">
        <v>0</v>
      </c>
      <c r="Q178" t="n">
        <v>0</v>
      </c>
      <c r="R178" s="2" t="inlineStr"/>
    </row>
    <row r="179" ht="15" customHeight="1">
      <c r="A179" t="inlineStr">
        <is>
          <t>A 13156-2022</t>
        </is>
      </c>
      <c r="B179" s="1" t="n">
        <v>44643</v>
      </c>
      <c r="C179" s="1" t="n">
        <v>46199</v>
      </c>
      <c r="D179" t="inlineStr">
        <is>
          <t>VÄRMLANDS LÄN</t>
        </is>
      </c>
      <c r="E179" t="inlineStr">
        <is>
          <t>ÅRJÄNG</t>
        </is>
      </c>
      <c r="G179" t="n">
        <v>7.8</v>
      </c>
      <c r="H179" t="n">
        <v>0</v>
      </c>
      <c r="I179" t="n">
        <v>0</v>
      </c>
      <c r="J179" t="n">
        <v>0</v>
      </c>
      <c r="K179" t="n">
        <v>0</v>
      </c>
      <c r="L179" t="n">
        <v>0</v>
      </c>
      <c r="M179" t="n">
        <v>0</v>
      </c>
      <c r="N179" t="n">
        <v>0</v>
      </c>
      <c r="O179" t="n">
        <v>0</v>
      </c>
      <c r="P179" t="n">
        <v>0</v>
      </c>
      <c r="Q179" t="n">
        <v>0</v>
      </c>
      <c r="R179" s="2" t="inlineStr"/>
    </row>
    <row r="180" ht="15" customHeight="1">
      <c r="A180" t="inlineStr">
        <is>
          <t>A 47005-2021</t>
        </is>
      </c>
      <c r="B180" s="1" t="n">
        <v>44446</v>
      </c>
      <c r="C180" s="1" t="n">
        <v>46199</v>
      </c>
      <c r="D180" t="inlineStr">
        <is>
          <t>VÄRMLANDS LÄN</t>
        </is>
      </c>
      <c r="E180" t="inlineStr">
        <is>
          <t>ÅRJÄNG</t>
        </is>
      </c>
      <c r="G180" t="n">
        <v>6.3</v>
      </c>
      <c r="H180" t="n">
        <v>0</v>
      </c>
      <c r="I180" t="n">
        <v>0</v>
      </c>
      <c r="J180" t="n">
        <v>0</v>
      </c>
      <c r="K180" t="n">
        <v>0</v>
      </c>
      <c r="L180" t="n">
        <v>0</v>
      </c>
      <c r="M180" t="n">
        <v>0</v>
      </c>
      <c r="N180" t="n">
        <v>0</v>
      </c>
      <c r="O180" t="n">
        <v>0</v>
      </c>
      <c r="P180" t="n">
        <v>0</v>
      </c>
      <c r="Q180" t="n">
        <v>0</v>
      </c>
      <c r="R180" s="2" t="inlineStr"/>
    </row>
    <row r="181" ht="15" customHeight="1">
      <c r="A181" t="inlineStr">
        <is>
          <t>A 47033-2021</t>
        </is>
      </c>
      <c r="B181" s="1" t="n">
        <v>44446</v>
      </c>
      <c r="C181" s="1" t="n">
        <v>46199</v>
      </c>
      <c r="D181" t="inlineStr">
        <is>
          <t>VÄRMLANDS LÄN</t>
        </is>
      </c>
      <c r="E181" t="inlineStr">
        <is>
          <t>ÅRJÄNG</t>
        </is>
      </c>
      <c r="G181" t="n">
        <v>0.6</v>
      </c>
      <c r="H181" t="n">
        <v>0</v>
      </c>
      <c r="I181" t="n">
        <v>0</v>
      </c>
      <c r="J181" t="n">
        <v>0</v>
      </c>
      <c r="K181" t="n">
        <v>0</v>
      </c>
      <c r="L181" t="n">
        <v>0</v>
      </c>
      <c r="M181" t="n">
        <v>0</v>
      </c>
      <c r="N181" t="n">
        <v>0</v>
      </c>
      <c r="O181" t="n">
        <v>0</v>
      </c>
      <c r="P181" t="n">
        <v>0</v>
      </c>
      <c r="Q181" t="n">
        <v>0</v>
      </c>
      <c r="R181" s="2" t="inlineStr"/>
    </row>
    <row r="182" ht="15" customHeight="1">
      <c r="A182" t="inlineStr">
        <is>
          <t>A 60713-2021</t>
        </is>
      </c>
      <c r="B182" s="1" t="n">
        <v>44496</v>
      </c>
      <c r="C182" s="1" t="n">
        <v>46199</v>
      </c>
      <c r="D182" t="inlineStr">
        <is>
          <t>VÄRMLANDS LÄN</t>
        </is>
      </c>
      <c r="E182" t="inlineStr">
        <is>
          <t>ÅRJÄNG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9407-2022</t>
        </is>
      </c>
      <c r="B183" s="1" t="n">
        <v>44616</v>
      </c>
      <c r="C183" s="1" t="n">
        <v>46199</v>
      </c>
      <c r="D183" t="inlineStr">
        <is>
          <t>VÄRMLANDS LÄN</t>
        </is>
      </c>
      <c r="E183" t="inlineStr">
        <is>
          <t>ÅRJÄNG</t>
        </is>
      </c>
      <c r="G183" t="n">
        <v>0.9</v>
      </c>
      <c r="H183" t="n">
        <v>0</v>
      </c>
      <c r="I183" t="n">
        <v>0</v>
      </c>
      <c r="J183" t="n">
        <v>0</v>
      </c>
      <c r="K183" t="n">
        <v>0</v>
      </c>
      <c r="L183" t="n">
        <v>0</v>
      </c>
      <c r="M183" t="n">
        <v>0</v>
      </c>
      <c r="N183" t="n">
        <v>0</v>
      </c>
      <c r="O183" t="n">
        <v>0</v>
      </c>
      <c r="P183" t="n">
        <v>0</v>
      </c>
      <c r="Q183" t="n">
        <v>0</v>
      </c>
      <c r="R183" s="2" t="inlineStr"/>
    </row>
    <row r="184" ht="15" customHeight="1">
      <c r="A184" t="inlineStr">
        <is>
          <t>A 8938-2022</t>
        </is>
      </c>
      <c r="B184" s="1" t="n">
        <v>44614</v>
      </c>
      <c r="C184" s="1" t="n">
        <v>46199</v>
      </c>
      <c r="D184" t="inlineStr">
        <is>
          <t>VÄRMLANDS LÄN</t>
        </is>
      </c>
      <c r="E184" t="inlineStr">
        <is>
          <t>ÅRJÄNG</t>
        </is>
      </c>
      <c r="G184" t="n">
        <v>11.9</v>
      </c>
      <c r="H184" t="n">
        <v>0</v>
      </c>
      <c r="I184" t="n">
        <v>0</v>
      </c>
      <c r="J184" t="n">
        <v>0</v>
      </c>
      <c r="K184" t="n">
        <v>0</v>
      </c>
      <c r="L184" t="n">
        <v>0</v>
      </c>
      <c r="M184" t="n">
        <v>0</v>
      </c>
      <c r="N184" t="n">
        <v>0</v>
      </c>
      <c r="O184" t="n">
        <v>0</v>
      </c>
      <c r="P184" t="n">
        <v>0</v>
      </c>
      <c r="Q184" t="n">
        <v>0</v>
      </c>
      <c r="R184" s="2" t="inlineStr"/>
    </row>
    <row r="185" ht="15" customHeight="1">
      <c r="A185" t="inlineStr">
        <is>
          <t>A 74189-2021</t>
        </is>
      </c>
      <c r="B185" s="1" t="n">
        <v>44553</v>
      </c>
      <c r="C185" s="1" t="n">
        <v>46199</v>
      </c>
      <c r="D185" t="inlineStr">
        <is>
          <t>VÄRMLANDS LÄN</t>
        </is>
      </c>
      <c r="E185" t="inlineStr">
        <is>
          <t>ÅRJÄNG</t>
        </is>
      </c>
      <c r="G185" t="n">
        <v>1.9</v>
      </c>
      <c r="H185" t="n">
        <v>0</v>
      </c>
      <c r="I185" t="n">
        <v>0</v>
      </c>
      <c r="J185" t="n">
        <v>0</v>
      </c>
      <c r="K185" t="n">
        <v>0</v>
      </c>
      <c r="L185" t="n">
        <v>0</v>
      </c>
      <c r="M185" t="n">
        <v>0</v>
      </c>
      <c r="N185" t="n">
        <v>0</v>
      </c>
      <c r="O185" t="n">
        <v>0</v>
      </c>
      <c r="P185" t="n">
        <v>0</v>
      </c>
      <c r="Q185" t="n">
        <v>0</v>
      </c>
      <c r="R185" s="2" t="inlineStr"/>
    </row>
    <row r="186" ht="15" customHeight="1">
      <c r="A186" t="inlineStr">
        <is>
          <t>A 10898-2022</t>
        </is>
      </c>
      <c r="B186" s="1" t="n">
        <v>44627</v>
      </c>
      <c r="C186" s="1" t="n">
        <v>46199</v>
      </c>
      <c r="D186" t="inlineStr">
        <is>
          <t>VÄRMLANDS LÄN</t>
        </is>
      </c>
      <c r="E186" t="inlineStr">
        <is>
          <t>ÅRJÄNG</t>
        </is>
      </c>
      <c r="G186" t="n">
        <v>10.2</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46199</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4400-2022</t>
        </is>
      </c>
      <c r="B188" s="1" t="n">
        <v>44588</v>
      </c>
      <c r="C188" s="1" t="n">
        <v>46199</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14507-2022</t>
        </is>
      </c>
      <c r="B189" s="1" t="n">
        <v>44655</v>
      </c>
      <c r="C189" s="1" t="n">
        <v>46199</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35015-2021</t>
        </is>
      </c>
      <c r="B190" s="1" t="n">
        <v>44383</v>
      </c>
      <c r="C190" s="1" t="n">
        <v>46199</v>
      </c>
      <c r="D190" t="inlineStr">
        <is>
          <t>VÄRMLANDS LÄN</t>
        </is>
      </c>
      <c r="E190" t="inlineStr">
        <is>
          <t>ÅRJÄNG</t>
        </is>
      </c>
      <c r="G190" t="n">
        <v>3.9</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46199</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47013-2021</t>
        </is>
      </c>
      <c r="B192" s="1" t="n">
        <v>44446</v>
      </c>
      <c r="C192" s="1" t="n">
        <v>46199</v>
      </c>
      <c r="D192" t="inlineStr">
        <is>
          <t>VÄRMLANDS LÄN</t>
        </is>
      </c>
      <c r="E192" t="inlineStr">
        <is>
          <t>ÅRJÄNG</t>
        </is>
      </c>
      <c r="G192" t="n">
        <v>1.7</v>
      </c>
      <c r="H192" t="n">
        <v>0</v>
      </c>
      <c r="I192" t="n">
        <v>0</v>
      </c>
      <c r="J192" t="n">
        <v>0</v>
      </c>
      <c r="K192" t="n">
        <v>0</v>
      </c>
      <c r="L192" t="n">
        <v>0</v>
      </c>
      <c r="M192" t="n">
        <v>0</v>
      </c>
      <c r="N192" t="n">
        <v>0</v>
      </c>
      <c r="O192" t="n">
        <v>0</v>
      </c>
      <c r="P192" t="n">
        <v>0</v>
      </c>
      <c r="Q192" t="n">
        <v>0</v>
      </c>
      <c r="R192" s="2" t="inlineStr"/>
    </row>
    <row r="193" ht="15" customHeight="1">
      <c r="A193" t="inlineStr">
        <is>
          <t>A 36948-2021</t>
        </is>
      </c>
      <c r="B193" s="1" t="n">
        <v>44393</v>
      </c>
      <c r="C193" s="1" t="n">
        <v>46199</v>
      </c>
      <c r="D193" t="inlineStr">
        <is>
          <t>VÄRMLANDS LÄN</t>
        </is>
      </c>
      <c r="E193" t="inlineStr">
        <is>
          <t>ÅRJÄNG</t>
        </is>
      </c>
      <c r="G193" t="n">
        <v>4.4</v>
      </c>
      <c r="H193" t="n">
        <v>0</v>
      </c>
      <c r="I193" t="n">
        <v>0</v>
      </c>
      <c r="J193" t="n">
        <v>0</v>
      </c>
      <c r="K193" t="n">
        <v>0</v>
      </c>
      <c r="L193" t="n">
        <v>0</v>
      </c>
      <c r="M193" t="n">
        <v>0</v>
      </c>
      <c r="N193" t="n">
        <v>0</v>
      </c>
      <c r="O193" t="n">
        <v>0</v>
      </c>
      <c r="P193" t="n">
        <v>0</v>
      </c>
      <c r="Q193" t="n">
        <v>0</v>
      </c>
      <c r="R193" s="2" t="inlineStr"/>
    </row>
    <row r="194" ht="15" customHeight="1">
      <c r="A194" t="inlineStr">
        <is>
          <t>A 17135-2022</t>
        </is>
      </c>
      <c r="B194" s="1" t="n">
        <v>44677</v>
      </c>
      <c r="C194" s="1" t="n">
        <v>46199</v>
      </c>
      <c r="D194" t="inlineStr">
        <is>
          <t>VÄRMLANDS LÄN</t>
        </is>
      </c>
      <c r="E194" t="inlineStr">
        <is>
          <t>ÅRJÄNG</t>
        </is>
      </c>
      <c r="G194" t="n">
        <v>9</v>
      </c>
      <c r="H194" t="n">
        <v>0</v>
      </c>
      <c r="I194" t="n">
        <v>0</v>
      </c>
      <c r="J194" t="n">
        <v>0</v>
      </c>
      <c r="K194" t="n">
        <v>0</v>
      </c>
      <c r="L194" t="n">
        <v>0</v>
      </c>
      <c r="M194" t="n">
        <v>0</v>
      </c>
      <c r="N194" t="n">
        <v>0</v>
      </c>
      <c r="O194" t="n">
        <v>0</v>
      </c>
      <c r="P194" t="n">
        <v>0</v>
      </c>
      <c r="Q194" t="n">
        <v>0</v>
      </c>
      <c r="R194" s="2" t="inlineStr"/>
    </row>
    <row r="195" ht="15" customHeight="1">
      <c r="A195" t="inlineStr">
        <is>
          <t>A 40872-2022</t>
        </is>
      </c>
      <c r="B195" s="1" t="n">
        <v>44825</v>
      </c>
      <c r="C195" s="1" t="n">
        <v>46199</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59453-2021</t>
        </is>
      </c>
      <c r="B196" s="1" t="n">
        <v>44491</v>
      </c>
      <c r="C196" s="1" t="n">
        <v>46199</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46199</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41416-2021</t>
        </is>
      </c>
      <c r="B198" s="1" t="n">
        <v>44424</v>
      </c>
      <c r="C198" s="1" t="n">
        <v>46199</v>
      </c>
      <c r="D198" t="inlineStr">
        <is>
          <t>VÄRMLANDS LÄN</t>
        </is>
      </c>
      <c r="E198" t="inlineStr">
        <is>
          <t>ÅRJÄNG</t>
        </is>
      </c>
      <c r="G198" t="n">
        <v>10.4</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46199</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60715-2021</t>
        </is>
      </c>
      <c r="B200" s="1" t="n">
        <v>44496</v>
      </c>
      <c r="C200" s="1" t="n">
        <v>46199</v>
      </c>
      <c r="D200" t="inlineStr">
        <is>
          <t>VÄRMLANDS LÄN</t>
        </is>
      </c>
      <c r="E200" t="inlineStr">
        <is>
          <t>ÅRJÄNG</t>
        </is>
      </c>
      <c r="G200" t="n">
        <v>7.4</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46199</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57833-2021</t>
        </is>
      </c>
      <c r="B202" s="1" t="n">
        <v>44484</v>
      </c>
      <c r="C202" s="1" t="n">
        <v>46199</v>
      </c>
      <c r="D202" t="inlineStr">
        <is>
          <t>VÄRMLANDS LÄN</t>
        </is>
      </c>
      <c r="E202" t="inlineStr">
        <is>
          <t>ÅRJÄNG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46199</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51962-2022</t>
        </is>
      </c>
      <c r="B204" s="1" t="n">
        <v>44872</v>
      </c>
      <c r="C204" s="1" t="n">
        <v>46199</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1567-2022</t>
        </is>
      </c>
      <c r="B205" s="1" t="n">
        <v>44573</v>
      </c>
      <c r="C205" s="1" t="n">
        <v>46199</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46199</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52761-2022</t>
        </is>
      </c>
      <c r="B207" s="1" t="n">
        <v>44875</v>
      </c>
      <c r="C207" s="1" t="n">
        <v>46199</v>
      </c>
      <c r="D207" t="inlineStr">
        <is>
          <t>VÄRMLANDS LÄN</t>
        </is>
      </c>
      <c r="E207" t="inlineStr">
        <is>
          <t>ÅRJÄNG</t>
        </is>
      </c>
      <c r="G207" t="n">
        <v>2.7</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46199</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21939-2022</t>
        </is>
      </c>
      <c r="B209" s="1" t="n">
        <v>44711</v>
      </c>
      <c r="C209" s="1" t="n">
        <v>46199</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46199</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39661-2022</t>
        </is>
      </c>
      <c r="B212" s="1" t="n">
        <v>44818</v>
      </c>
      <c r="C212" s="1" t="n">
        <v>46199</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50569-2021</t>
        </is>
      </c>
      <c r="B213" s="1" t="n">
        <v>44459</v>
      </c>
      <c r="C213" s="1" t="n">
        <v>46199</v>
      </c>
      <c r="D213" t="inlineStr">
        <is>
          <t>VÄRMLANDS LÄN</t>
        </is>
      </c>
      <c r="E213" t="inlineStr">
        <is>
          <t>ÅRJÄNG</t>
        </is>
      </c>
      <c r="G213" t="n">
        <v>2.9</v>
      </c>
      <c r="H213" t="n">
        <v>0</v>
      </c>
      <c r="I213" t="n">
        <v>0</v>
      </c>
      <c r="J213" t="n">
        <v>0</v>
      </c>
      <c r="K213" t="n">
        <v>0</v>
      </c>
      <c r="L213" t="n">
        <v>0</v>
      </c>
      <c r="M213" t="n">
        <v>0</v>
      </c>
      <c r="N213" t="n">
        <v>0</v>
      </c>
      <c r="O213" t="n">
        <v>0</v>
      </c>
      <c r="P213" t="n">
        <v>0</v>
      </c>
      <c r="Q213" t="n">
        <v>0</v>
      </c>
      <c r="R213" s="2" t="inlineStr"/>
    </row>
    <row r="214" ht="15" customHeight="1">
      <c r="A214" t="inlineStr">
        <is>
          <t>A 7235-2022</t>
        </is>
      </c>
      <c r="B214" s="1" t="n">
        <v>44606</v>
      </c>
      <c r="C214" s="1" t="n">
        <v>46199</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72609-2021</t>
        </is>
      </c>
      <c r="B215" s="1" t="n">
        <v>44546</v>
      </c>
      <c r="C215" s="1" t="n">
        <v>46199</v>
      </c>
      <c r="D215" t="inlineStr">
        <is>
          <t>VÄRMLANDS LÄN</t>
        </is>
      </c>
      <c r="E215" t="inlineStr">
        <is>
          <t>ÅRJÄNG</t>
        </is>
      </c>
      <c r="F215" t="inlineStr">
        <is>
          <t>Kyrkan</t>
        </is>
      </c>
      <c r="G215" t="n">
        <v>1.8</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46199</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13152-2022</t>
        </is>
      </c>
      <c r="B217" s="1" t="n">
        <v>44643</v>
      </c>
      <c r="C217" s="1" t="n">
        <v>46199</v>
      </c>
      <c r="D217" t="inlineStr">
        <is>
          <t>VÄRMLANDS LÄN</t>
        </is>
      </c>
      <c r="E217" t="inlineStr">
        <is>
          <t>ÅRJÄNG</t>
        </is>
      </c>
      <c r="G217" t="n">
        <v>4</v>
      </c>
      <c r="H217" t="n">
        <v>0</v>
      </c>
      <c r="I217" t="n">
        <v>0</v>
      </c>
      <c r="J217" t="n">
        <v>0</v>
      </c>
      <c r="K217" t="n">
        <v>0</v>
      </c>
      <c r="L217" t="n">
        <v>0</v>
      </c>
      <c r="M217" t="n">
        <v>0</v>
      </c>
      <c r="N217" t="n">
        <v>0</v>
      </c>
      <c r="O217" t="n">
        <v>0</v>
      </c>
      <c r="P217" t="n">
        <v>0</v>
      </c>
      <c r="Q217" t="n">
        <v>0</v>
      </c>
      <c r="R217" s="2" t="inlineStr"/>
    </row>
    <row r="218" ht="15" customHeight="1">
      <c r="A218" t="inlineStr">
        <is>
          <t>A 29174-2022</t>
        </is>
      </c>
      <c r="B218" s="1" t="n">
        <v>44750</v>
      </c>
      <c r="C218" s="1" t="n">
        <v>46199</v>
      </c>
      <c r="D218" t="inlineStr">
        <is>
          <t>VÄRMLANDS LÄN</t>
        </is>
      </c>
      <c r="E218" t="inlineStr">
        <is>
          <t>ÅRJÄNG</t>
        </is>
      </c>
      <c r="G218" t="n">
        <v>0.1</v>
      </c>
      <c r="H218" t="n">
        <v>0</v>
      </c>
      <c r="I218" t="n">
        <v>0</v>
      </c>
      <c r="J218" t="n">
        <v>0</v>
      </c>
      <c r="K218" t="n">
        <v>0</v>
      </c>
      <c r="L218" t="n">
        <v>0</v>
      </c>
      <c r="M218" t="n">
        <v>0</v>
      </c>
      <c r="N218" t="n">
        <v>0</v>
      </c>
      <c r="O218" t="n">
        <v>0</v>
      </c>
      <c r="P218" t="n">
        <v>0</v>
      </c>
      <c r="Q218" t="n">
        <v>0</v>
      </c>
      <c r="R218" s="2" t="inlineStr"/>
    </row>
    <row r="219" ht="15" customHeight="1">
      <c r="A219" t="inlineStr">
        <is>
          <t>A 8408-2022</t>
        </is>
      </c>
      <c r="B219" s="1" t="n">
        <v>44610</v>
      </c>
      <c r="C219" s="1" t="n">
        <v>46199</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46199</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46199</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v>
      </c>
      <c r="C222" s="1" t="n">
        <v>46199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37949-2022</t>
        </is>
      </c>
      <c r="B223" s="1" t="n">
        <v>44811</v>
      </c>
      <c r="C223" s="1" t="n">
        <v>46199</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69024-2021</t>
        </is>
      </c>
      <c r="B224" s="1" t="n">
        <v>44530</v>
      </c>
      <c r="C224" s="1" t="n">
        <v>46199</v>
      </c>
      <c r="D224" t="inlineStr">
        <is>
          <t>VÄRMLANDS LÄN</t>
        </is>
      </c>
      <c r="E224" t="inlineStr">
        <is>
          <t>ÅRJÄNG</t>
        </is>
      </c>
      <c r="G224" t="n">
        <v>0.3</v>
      </c>
      <c r="H224" t="n">
        <v>0</v>
      </c>
      <c r="I224" t="n">
        <v>0</v>
      </c>
      <c r="J224" t="n">
        <v>0</v>
      </c>
      <c r="K224" t="n">
        <v>0</v>
      </c>
      <c r="L224" t="n">
        <v>0</v>
      </c>
      <c r="M224" t="n">
        <v>0</v>
      </c>
      <c r="N224" t="n">
        <v>0</v>
      </c>
      <c r="O224" t="n">
        <v>0</v>
      </c>
      <c r="P224" t="n">
        <v>0</v>
      </c>
      <c r="Q224" t="n">
        <v>0</v>
      </c>
      <c r="R224" s="2" t="inlineStr"/>
    </row>
    <row r="225" ht="15" customHeight="1">
      <c r="A225" t="inlineStr">
        <is>
          <t>A 40643-2022</t>
        </is>
      </c>
      <c r="B225" s="1" t="n">
        <v>44824</v>
      </c>
      <c r="C225" s="1" t="n">
        <v>46199</v>
      </c>
      <c r="D225" t="inlineStr">
        <is>
          <t>VÄRMLANDS LÄN</t>
        </is>
      </c>
      <c r="E225" t="inlineStr">
        <is>
          <t>ÅRJÄNG</t>
        </is>
      </c>
      <c r="G225" t="n">
        <v>0.4</v>
      </c>
      <c r="H225" t="n">
        <v>0</v>
      </c>
      <c r="I225" t="n">
        <v>0</v>
      </c>
      <c r="J225" t="n">
        <v>0</v>
      </c>
      <c r="K225" t="n">
        <v>0</v>
      </c>
      <c r="L225" t="n">
        <v>0</v>
      </c>
      <c r="M225" t="n">
        <v>0</v>
      </c>
      <c r="N225" t="n">
        <v>0</v>
      </c>
      <c r="O225" t="n">
        <v>0</v>
      </c>
      <c r="P225" t="n">
        <v>0</v>
      </c>
      <c r="Q225" t="n">
        <v>0</v>
      </c>
      <c r="R225" s="2" t="inlineStr"/>
    </row>
    <row r="226" ht="15" customHeight="1">
      <c r="A226" t="inlineStr">
        <is>
          <t>A 10518-2022</t>
        </is>
      </c>
      <c r="B226" s="1" t="n">
        <v>44623</v>
      </c>
      <c r="C226" s="1" t="n">
        <v>46199</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8438-2022</t>
        </is>
      </c>
      <c r="B227" s="1" t="n">
        <v>44612</v>
      </c>
      <c r="C227" s="1" t="n">
        <v>46199</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47035-2021</t>
        </is>
      </c>
      <c r="B228" s="1" t="n">
        <v>44446</v>
      </c>
      <c r="C228" s="1" t="n">
        <v>46199</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10899-2022</t>
        </is>
      </c>
      <c r="B229" s="1" t="n">
        <v>44627</v>
      </c>
      <c r="C229" s="1" t="n">
        <v>46199</v>
      </c>
      <c r="D229" t="inlineStr">
        <is>
          <t>VÄRMLANDS LÄN</t>
        </is>
      </c>
      <c r="E229" t="inlineStr">
        <is>
          <t>ÅRJÄNG</t>
        </is>
      </c>
      <c r="G229" t="n">
        <v>2.9</v>
      </c>
      <c r="H229" t="n">
        <v>0</v>
      </c>
      <c r="I229" t="n">
        <v>0</v>
      </c>
      <c r="J229" t="n">
        <v>0</v>
      </c>
      <c r="K229" t="n">
        <v>0</v>
      </c>
      <c r="L229" t="n">
        <v>0</v>
      </c>
      <c r="M229" t="n">
        <v>0</v>
      </c>
      <c r="N229" t="n">
        <v>0</v>
      </c>
      <c r="O229" t="n">
        <v>0</v>
      </c>
      <c r="P229" t="n">
        <v>0</v>
      </c>
      <c r="Q229" t="n">
        <v>0</v>
      </c>
      <c r="R229" s="2" t="inlineStr"/>
    </row>
    <row r="230" ht="15" customHeight="1">
      <c r="A230" t="inlineStr">
        <is>
          <t>A 33025-2021</t>
        </is>
      </c>
      <c r="B230" s="1" t="n">
        <v>44376</v>
      </c>
      <c r="C230" s="1" t="n">
        <v>46199</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28925-2022</t>
        </is>
      </c>
      <c r="B231" s="1" t="n">
        <v>44749</v>
      </c>
      <c r="C231" s="1" t="n">
        <v>46199</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53739-2021</t>
        </is>
      </c>
      <c r="B232" s="1" t="n">
        <v>44469</v>
      </c>
      <c r="C232" s="1" t="n">
        <v>46199</v>
      </c>
      <c r="D232" t="inlineStr">
        <is>
          <t>VÄRMLANDS LÄN</t>
        </is>
      </c>
      <c r="E232" t="inlineStr">
        <is>
          <t>ÅRJÄNG</t>
        </is>
      </c>
      <c r="G232" t="n">
        <v>15.9</v>
      </c>
      <c r="H232" t="n">
        <v>0</v>
      </c>
      <c r="I232" t="n">
        <v>0</v>
      </c>
      <c r="J232" t="n">
        <v>0</v>
      </c>
      <c r="K232" t="n">
        <v>0</v>
      </c>
      <c r="L232" t="n">
        <v>0</v>
      </c>
      <c r="M232" t="n">
        <v>0</v>
      </c>
      <c r="N232" t="n">
        <v>0</v>
      </c>
      <c r="O232" t="n">
        <v>0</v>
      </c>
      <c r="P232" t="n">
        <v>0</v>
      </c>
      <c r="Q232" t="n">
        <v>0</v>
      </c>
      <c r="R232" s="2" t="inlineStr"/>
    </row>
    <row r="233" ht="15" customHeight="1">
      <c r="A233" t="inlineStr">
        <is>
          <t>A 19964-2023</t>
        </is>
      </c>
      <c r="B233" s="1" t="n">
        <v>45051</v>
      </c>
      <c r="C233" s="1" t="n">
        <v>46199</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8831-2025</t>
        </is>
      </c>
      <c r="B234" s="1" t="n">
        <v>45712</v>
      </c>
      <c r="C234" s="1" t="n">
        <v>46199</v>
      </c>
      <c r="D234" t="inlineStr">
        <is>
          <t>VÄRMLANDS LÄN</t>
        </is>
      </c>
      <c r="E234" t="inlineStr">
        <is>
          <t>ÅRJÄNG</t>
        </is>
      </c>
      <c r="G234" t="n">
        <v>32.9</v>
      </c>
      <c r="H234" t="n">
        <v>0</v>
      </c>
      <c r="I234" t="n">
        <v>0</v>
      </c>
      <c r="J234" t="n">
        <v>0</v>
      </c>
      <c r="K234" t="n">
        <v>0</v>
      </c>
      <c r="L234" t="n">
        <v>0</v>
      </c>
      <c r="M234" t="n">
        <v>0</v>
      </c>
      <c r="N234" t="n">
        <v>0</v>
      </c>
      <c r="O234" t="n">
        <v>0</v>
      </c>
      <c r="P234" t="n">
        <v>0</v>
      </c>
      <c r="Q234" t="n">
        <v>0</v>
      </c>
      <c r="R234" s="2" t="inlineStr"/>
    </row>
    <row r="235" ht="15" customHeight="1">
      <c r="A235" t="inlineStr">
        <is>
          <t>A 8834-2025</t>
        </is>
      </c>
      <c r="B235" s="1" t="n">
        <v>45712</v>
      </c>
      <c r="C235" s="1" t="n">
        <v>46199</v>
      </c>
      <c r="D235" t="inlineStr">
        <is>
          <t>VÄRMLANDS LÄN</t>
        </is>
      </c>
      <c r="E235" t="inlineStr">
        <is>
          <t>ÅRJÄNG</t>
        </is>
      </c>
      <c r="G235" t="n">
        <v>2.2</v>
      </c>
      <c r="H235" t="n">
        <v>0</v>
      </c>
      <c r="I235" t="n">
        <v>0</v>
      </c>
      <c r="J235" t="n">
        <v>0</v>
      </c>
      <c r="K235" t="n">
        <v>0</v>
      </c>
      <c r="L235" t="n">
        <v>0</v>
      </c>
      <c r="M235" t="n">
        <v>0</v>
      </c>
      <c r="N235" t="n">
        <v>0</v>
      </c>
      <c r="O235" t="n">
        <v>0</v>
      </c>
      <c r="P235" t="n">
        <v>0</v>
      </c>
      <c r="Q235" t="n">
        <v>0</v>
      </c>
      <c r="R235" s="2" t="inlineStr"/>
    </row>
    <row r="236" ht="15" customHeight="1">
      <c r="A236" t="inlineStr">
        <is>
          <t>A 54961-2024</t>
        </is>
      </c>
      <c r="B236" s="1" t="n">
        <v>45619</v>
      </c>
      <c r="C236" s="1" t="n">
        <v>46199</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16079-2024</t>
        </is>
      </c>
      <c r="B237" s="1" t="n">
        <v>45406</v>
      </c>
      <c r="C237" s="1" t="n">
        <v>46199</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12072-2024</t>
        </is>
      </c>
      <c r="B238" s="1" t="n">
        <v>45377</v>
      </c>
      <c r="C238" s="1" t="n">
        <v>46199</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47228-2023</t>
        </is>
      </c>
      <c r="B239" s="1" t="n">
        <v>45202</v>
      </c>
      <c r="C239" s="1" t="n">
        <v>46199</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16791-2025</t>
        </is>
      </c>
      <c r="B240" s="1" t="n">
        <v>45754</v>
      </c>
      <c r="C240" s="1" t="n">
        <v>46199</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47688-2023</t>
        </is>
      </c>
      <c r="B241" s="1" t="n">
        <v>45203</v>
      </c>
      <c r="C241" s="1" t="n">
        <v>46199</v>
      </c>
      <c r="D241" t="inlineStr">
        <is>
          <t>VÄRMLANDS LÄN</t>
        </is>
      </c>
      <c r="E241" t="inlineStr">
        <is>
          <t>ÅRJÄNG</t>
        </is>
      </c>
      <c r="F241" t="inlineStr">
        <is>
          <t>Övriga Aktiebolag</t>
        </is>
      </c>
      <c r="G241" t="n">
        <v>20.3</v>
      </c>
      <c r="H241" t="n">
        <v>0</v>
      </c>
      <c r="I241" t="n">
        <v>0</v>
      </c>
      <c r="J241" t="n">
        <v>0</v>
      </c>
      <c r="K241" t="n">
        <v>0</v>
      </c>
      <c r="L241" t="n">
        <v>0</v>
      </c>
      <c r="M241" t="n">
        <v>0</v>
      </c>
      <c r="N241" t="n">
        <v>0</v>
      </c>
      <c r="O241" t="n">
        <v>0</v>
      </c>
      <c r="P241" t="n">
        <v>0</v>
      </c>
      <c r="Q241" t="n">
        <v>0</v>
      </c>
      <c r="R241" s="2" t="inlineStr"/>
    </row>
    <row r="242" ht="15" customHeight="1">
      <c r="A242" t="inlineStr">
        <is>
          <t>A 7444-2024</t>
        </is>
      </c>
      <c r="B242" s="1" t="n">
        <v>45345</v>
      </c>
      <c r="C242" s="1" t="n">
        <v>46199</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30459-2022</t>
        </is>
      </c>
      <c r="B243" s="1" t="n">
        <v>44761</v>
      </c>
      <c r="C243" s="1" t="n">
        <v>46199</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40490-2022</t>
        </is>
      </c>
      <c r="B244" s="1" t="n">
        <v>44823</v>
      </c>
      <c r="C244" s="1" t="n">
        <v>46199</v>
      </c>
      <c r="D244" t="inlineStr">
        <is>
          <t>VÄRMLANDS LÄN</t>
        </is>
      </c>
      <c r="E244" t="inlineStr">
        <is>
          <t>ÅRJÄNG</t>
        </is>
      </c>
      <c r="G244" t="n">
        <v>1.4</v>
      </c>
      <c r="H244" t="n">
        <v>0</v>
      </c>
      <c r="I244" t="n">
        <v>0</v>
      </c>
      <c r="J244" t="n">
        <v>0</v>
      </c>
      <c r="K244" t="n">
        <v>0</v>
      </c>
      <c r="L244" t="n">
        <v>0</v>
      </c>
      <c r="M244" t="n">
        <v>0</v>
      </c>
      <c r="N244" t="n">
        <v>0</v>
      </c>
      <c r="O244" t="n">
        <v>0</v>
      </c>
      <c r="P244" t="n">
        <v>0</v>
      </c>
      <c r="Q244" t="n">
        <v>0</v>
      </c>
      <c r="R244" s="2" t="inlineStr"/>
    </row>
    <row r="245" ht="15" customHeight="1">
      <c r="A245" t="inlineStr">
        <is>
          <t>A 5122-2025</t>
        </is>
      </c>
      <c r="B245" s="1" t="n">
        <v>45691</v>
      </c>
      <c r="C245" s="1" t="n">
        <v>46199</v>
      </c>
      <c r="D245" t="inlineStr">
        <is>
          <t>VÄRMLANDS LÄN</t>
        </is>
      </c>
      <c r="E245" t="inlineStr">
        <is>
          <t>ÅRJÄNG</t>
        </is>
      </c>
      <c r="G245" t="n">
        <v>5.7</v>
      </c>
      <c r="H245" t="n">
        <v>0</v>
      </c>
      <c r="I245" t="n">
        <v>0</v>
      </c>
      <c r="J245" t="n">
        <v>0</v>
      </c>
      <c r="K245" t="n">
        <v>0</v>
      </c>
      <c r="L245" t="n">
        <v>0</v>
      </c>
      <c r="M245" t="n">
        <v>0</v>
      </c>
      <c r="N245" t="n">
        <v>0</v>
      </c>
      <c r="O245" t="n">
        <v>0</v>
      </c>
      <c r="P245" t="n">
        <v>0</v>
      </c>
      <c r="Q245" t="n">
        <v>0</v>
      </c>
      <c r="R245" s="2" t="inlineStr"/>
    </row>
    <row r="246" ht="15" customHeight="1">
      <c r="A246" t="inlineStr">
        <is>
          <t>A 19511-2024</t>
        </is>
      </c>
      <c r="B246" s="1" t="n">
        <v>45429</v>
      </c>
      <c r="C246" s="1" t="n">
        <v>46199</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19516-2024</t>
        </is>
      </c>
      <c r="B247" s="1" t="n">
        <v>45429</v>
      </c>
      <c r="C247" s="1" t="n">
        <v>46199</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59385-2023</t>
        </is>
      </c>
      <c r="B248" s="1" t="n">
        <v>45253</v>
      </c>
      <c r="C248" s="1" t="n">
        <v>46199</v>
      </c>
      <c r="D248" t="inlineStr">
        <is>
          <t>VÄRMLANDS LÄN</t>
        </is>
      </c>
      <c r="E248" t="inlineStr">
        <is>
          <t>ÅRJÄNG</t>
        </is>
      </c>
      <c r="G248" t="n">
        <v>2.2</v>
      </c>
      <c r="H248" t="n">
        <v>0</v>
      </c>
      <c r="I248" t="n">
        <v>0</v>
      </c>
      <c r="J248" t="n">
        <v>0</v>
      </c>
      <c r="K248" t="n">
        <v>0</v>
      </c>
      <c r="L248" t="n">
        <v>0</v>
      </c>
      <c r="M248" t="n">
        <v>0</v>
      </c>
      <c r="N248" t="n">
        <v>0</v>
      </c>
      <c r="O248" t="n">
        <v>0</v>
      </c>
      <c r="P248" t="n">
        <v>0</v>
      </c>
      <c r="Q248" t="n">
        <v>0</v>
      </c>
      <c r="R248" s="2" t="inlineStr"/>
    </row>
    <row r="249" ht="15" customHeight="1">
      <c r="A249" t="inlineStr">
        <is>
          <t>A 13734-2024</t>
        </is>
      </c>
      <c r="B249" s="1" t="n">
        <v>45387</v>
      </c>
      <c r="C249" s="1" t="n">
        <v>46199</v>
      </c>
      <c r="D249" t="inlineStr">
        <is>
          <t>VÄRMLANDS LÄN</t>
        </is>
      </c>
      <c r="E249" t="inlineStr">
        <is>
          <t>ÅRJÄNG</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13824-2024</t>
        </is>
      </c>
      <c r="B250" s="1" t="n">
        <v>45391</v>
      </c>
      <c r="C250" s="1" t="n">
        <v>46199</v>
      </c>
      <c r="D250" t="inlineStr">
        <is>
          <t>VÄRMLANDS LÄN</t>
        </is>
      </c>
      <c r="E250" t="inlineStr">
        <is>
          <t>ÅRJÄNG</t>
        </is>
      </c>
      <c r="G250" t="n">
        <v>1.9</v>
      </c>
      <c r="H250" t="n">
        <v>0</v>
      </c>
      <c r="I250" t="n">
        <v>0</v>
      </c>
      <c r="J250" t="n">
        <v>0</v>
      </c>
      <c r="K250" t="n">
        <v>0</v>
      </c>
      <c r="L250" t="n">
        <v>0</v>
      </c>
      <c r="M250" t="n">
        <v>0</v>
      </c>
      <c r="N250" t="n">
        <v>0</v>
      </c>
      <c r="O250" t="n">
        <v>0</v>
      </c>
      <c r="P250" t="n">
        <v>0</v>
      </c>
      <c r="Q250" t="n">
        <v>0</v>
      </c>
      <c r="R250" s="2" t="inlineStr"/>
    </row>
    <row r="251" ht="15" customHeight="1">
      <c r="A251" t="inlineStr">
        <is>
          <t>A 74430-2021</t>
        </is>
      </c>
      <c r="B251" s="1" t="n">
        <v>44560</v>
      </c>
      <c r="C251" s="1" t="n">
        <v>46199</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15148-2025</t>
        </is>
      </c>
      <c r="B252" s="1" t="n">
        <v>45744</v>
      </c>
      <c r="C252" s="1" t="n">
        <v>46199</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9909-2024</t>
        </is>
      </c>
      <c r="B253" s="1" t="n">
        <v>45363</v>
      </c>
      <c r="C253" s="1" t="n">
        <v>46199</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51109-2022</t>
        </is>
      </c>
      <c r="B254" s="1" t="n">
        <v>44868</v>
      </c>
      <c r="C254" s="1" t="n">
        <v>46199</v>
      </c>
      <c r="D254" t="inlineStr">
        <is>
          <t>VÄRMLANDS LÄN</t>
        </is>
      </c>
      <c r="E254" t="inlineStr">
        <is>
          <t>ÅRJÄNG</t>
        </is>
      </c>
      <c r="G254" t="n">
        <v>4.3</v>
      </c>
      <c r="H254" t="n">
        <v>0</v>
      </c>
      <c r="I254" t="n">
        <v>0</v>
      </c>
      <c r="J254" t="n">
        <v>0</v>
      </c>
      <c r="K254" t="n">
        <v>0</v>
      </c>
      <c r="L254" t="n">
        <v>0</v>
      </c>
      <c r="M254" t="n">
        <v>0</v>
      </c>
      <c r="N254" t="n">
        <v>0</v>
      </c>
      <c r="O254" t="n">
        <v>0</v>
      </c>
      <c r="P254" t="n">
        <v>0</v>
      </c>
      <c r="Q254" t="n">
        <v>0</v>
      </c>
      <c r="R254" s="2" t="inlineStr"/>
    </row>
    <row r="255" ht="15" customHeight="1">
      <c r="A255" t="inlineStr">
        <is>
          <t>A 41986-2022</t>
        </is>
      </c>
      <c r="B255" s="1" t="n">
        <v>44830</v>
      </c>
      <c r="C255" s="1" t="n">
        <v>46199</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26880-2023</t>
        </is>
      </c>
      <c r="B256" s="1" t="n">
        <v>45093</v>
      </c>
      <c r="C256" s="1" t="n">
        <v>46199</v>
      </c>
      <c r="D256" t="inlineStr">
        <is>
          <t>VÄRMLANDS LÄN</t>
        </is>
      </c>
      <c r="E256" t="inlineStr">
        <is>
          <t>ÅRJÄNG</t>
        </is>
      </c>
      <c r="G256" t="n">
        <v>3.6</v>
      </c>
      <c r="H256" t="n">
        <v>0</v>
      </c>
      <c r="I256" t="n">
        <v>0</v>
      </c>
      <c r="J256" t="n">
        <v>0</v>
      </c>
      <c r="K256" t="n">
        <v>0</v>
      </c>
      <c r="L256" t="n">
        <v>0</v>
      </c>
      <c r="M256" t="n">
        <v>0</v>
      </c>
      <c r="N256" t="n">
        <v>0</v>
      </c>
      <c r="O256" t="n">
        <v>0</v>
      </c>
      <c r="P256" t="n">
        <v>0</v>
      </c>
      <c r="Q256" t="n">
        <v>0</v>
      </c>
      <c r="R256" s="2" t="inlineStr"/>
    </row>
    <row r="257" ht="15" customHeight="1">
      <c r="A257" t="inlineStr">
        <is>
          <t>A 13998-2024</t>
        </is>
      </c>
      <c r="B257" s="1" t="n">
        <v>45392</v>
      </c>
      <c r="C257" s="1" t="n">
        <v>46199</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15953-2025</t>
        </is>
      </c>
      <c r="B258" s="1" t="n">
        <v>45749</v>
      </c>
      <c r="C258" s="1" t="n">
        <v>46199</v>
      </c>
      <c r="D258" t="inlineStr">
        <is>
          <t>VÄRMLANDS LÄN</t>
        </is>
      </c>
      <c r="E258" t="inlineStr">
        <is>
          <t>ÅRJÄNG</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56629-2025</t>
        </is>
      </c>
      <c r="B259" s="1" t="n">
        <v>45975</v>
      </c>
      <c r="C259" s="1" t="n">
        <v>46199</v>
      </c>
      <c r="D259" t="inlineStr">
        <is>
          <t>VÄRMLANDS LÄN</t>
        </is>
      </c>
      <c r="E259" t="inlineStr">
        <is>
          <t>ÅRJÄNG</t>
        </is>
      </c>
      <c r="F259" t="inlineStr">
        <is>
          <t>Övriga Aktiebolag</t>
        </is>
      </c>
      <c r="G259" t="n">
        <v>2.7</v>
      </c>
      <c r="H259" t="n">
        <v>0</v>
      </c>
      <c r="I259" t="n">
        <v>0</v>
      </c>
      <c r="J259" t="n">
        <v>0</v>
      </c>
      <c r="K259" t="n">
        <v>0</v>
      </c>
      <c r="L259" t="n">
        <v>0</v>
      </c>
      <c r="M259" t="n">
        <v>0</v>
      </c>
      <c r="N259" t="n">
        <v>0</v>
      </c>
      <c r="O259" t="n">
        <v>0</v>
      </c>
      <c r="P259" t="n">
        <v>0</v>
      </c>
      <c r="Q259" t="n">
        <v>0</v>
      </c>
      <c r="R259" s="2" t="inlineStr"/>
    </row>
    <row r="260" ht="15" customHeight="1">
      <c r="A260" t="inlineStr">
        <is>
          <t>A 63203-2021</t>
        </is>
      </c>
      <c r="B260" s="1" t="n">
        <v>44507</v>
      </c>
      <c r="C260" s="1" t="n">
        <v>46199</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44647-2021</t>
        </is>
      </c>
      <c r="B261" s="1" t="n">
        <v>44437</v>
      </c>
      <c r="C261" s="1" t="n">
        <v>46199</v>
      </c>
      <c r="D261" t="inlineStr">
        <is>
          <t>VÄRMLANDS LÄN</t>
        </is>
      </c>
      <c r="E261" t="inlineStr">
        <is>
          <t>ÅRJÄNG</t>
        </is>
      </c>
      <c r="G261" t="n">
        <v>3</v>
      </c>
      <c r="H261" t="n">
        <v>0</v>
      </c>
      <c r="I261" t="n">
        <v>0</v>
      </c>
      <c r="J261" t="n">
        <v>0</v>
      </c>
      <c r="K261" t="n">
        <v>0</v>
      </c>
      <c r="L261" t="n">
        <v>0</v>
      </c>
      <c r="M261" t="n">
        <v>0</v>
      </c>
      <c r="N261" t="n">
        <v>0</v>
      </c>
      <c r="O261" t="n">
        <v>0</v>
      </c>
      <c r="P261" t="n">
        <v>0</v>
      </c>
      <c r="Q261" t="n">
        <v>0</v>
      </c>
      <c r="R261" s="2" t="inlineStr"/>
    </row>
    <row r="262" ht="15" customHeight="1">
      <c r="A262" t="inlineStr">
        <is>
          <t>A 8094-2025</t>
        </is>
      </c>
      <c r="B262" s="1" t="n">
        <v>45707</v>
      </c>
      <c r="C262" s="1" t="n">
        <v>46199</v>
      </c>
      <c r="D262" t="inlineStr">
        <is>
          <t>VÄRMLANDS LÄN</t>
        </is>
      </c>
      <c r="E262" t="inlineStr">
        <is>
          <t>ÅRJÄNG</t>
        </is>
      </c>
      <c r="G262" t="n">
        <v>12.6</v>
      </c>
      <c r="H262" t="n">
        <v>0</v>
      </c>
      <c r="I262" t="n">
        <v>0</v>
      </c>
      <c r="J262" t="n">
        <v>0</v>
      </c>
      <c r="K262" t="n">
        <v>0</v>
      </c>
      <c r="L262" t="n">
        <v>0</v>
      </c>
      <c r="M262" t="n">
        <v>0</v>
      </c>
      <c r="N262" t="n">
        <v>0</v>
      </c>
      <c r="O262" t="n">
        <v>0</v>
      </c>
      <c r="P262" t="n">
        <v>0</v>
      </c>
      <c r="Q262" t="n">
        <v>0</v>
      </c>
      <c r="R262" s="2" t="inlineStr"/>
    </row>
    <row r="263" ht="15" customHeight="1">
      <c r="A263" t="inlineStr">
        <is>
          <t>A 42241-2024</t>
        </is>
      </c>
      <c r="B263" s="1" t="n">
        <v>45562</v>
      </c>
      <c r="C263" s="1" t="n">
        <v>46199</v>
      </c>
      <c r="D263" t="inlineStr">
        <is>
          <t>VÄRMLANDS LÄN</t>
        </is>
      </c>
      <c r="E263" t="inlineStr">
        <is>
          <t>ÅRJÄNG</t>
        </is>
      </c>
      <c r="G263" t="n">
        <v>4</v>
      </c>
      <c r="H263" t="n">
        <v>0</v>
      </c>
      <c r="I263" t="n">
        <v>0</v>
      </c>
      <c r="J263" t="n">
        <v>0</v>
      </c>
      <c r="K263" t="n">
        <v>0</v>
      </c>
      <c r="L263" t="n">
        <v>0</v>
      </c>
      <c r="M263" t="n">
        <v>0</v>
      </c>
      <c r="N263" t="n">
        <v>0</v>
      </c>
      <c r="O263" t="n">
        <v>0</v>
      </c>
      <c r="P263" t="n">
        <v>0</v>
      </c>
      <c r="Q263" t="n">
        <v>0</v>
      </c>
      <c r="R263" s="2" t="inlineStr"/>
    </row>
    <row r="264" ht="15" customHeight="1">
      <c r="A264" t="inlineStr">
        <is>
          <t>A 540-2024</t>
        </is>
      </c>
      <c r="B264" s="1" t="n">
        <v>45299</v>
      </c>
      <c r="C264" s="1" t="n">
        <v>46199</v>
      </c>
      <c r="D264" t="inlineStr">
        <is>
          <t>VÄRMLANDS LÄN</t>
        </is>
      </c>
      <c r="E264" t="inlineStr">
        <is>
          <t>ÅRJÄNG</t>
        </is>
      </c>
      <c r="F264" t="inlineStr">
        <is>
          <t>Kyrkan</t>
        </is>
      </c>
      <c r="G264" t="n">
        <v>7</v>
      </c>
      <c r="H264" t="n">
        <v>0</v>
      </c>
      <c r="I264" t="n">
        <v>0</v>
      </c>
      <c r="J264" t="n">
        <v>0</v>
      </c>
      <c r="K264" t="n">
        <v>0</v>
      </c>
      <c r="L264" t="n">
        <v>0</v>
      </c>
      <c r="M264" t="n">
        <v>0</v>
      </c>
      <c r="N264" t="n">
        <v>0</v>
      </c>
      <c r="O264" t="n">
        <v>0</v>
      </c>
      <c r="P264" t="n">
        <v>0</v>
      </c>
      <c r="Q264" t="n">
        <v>0</v>
      </c>
      <c r="R264" s="2" t="inlineStr"/>
    </row>
    <row r="265" ht="15" customHeight="1">
      <c r="A265" t="inlineStr">
        <is>
          <t>A 19410-2024</t>
        </is>
      </c>
      <c r="B265" s="1" t="n">
        <v>45429</v>
      </c>
      <c r="C265" s="1" t="n">
        <v>46199</v>
      </c>
      <c r="D265" t="inlineStr">
        <is>
          <t>VÄRMLANDS LÄN</t>
        </is>
      </c>
      <c r="E265" t="inlineStr">
        <is>
          <t>ÅRJÄNG</t>
        </is>
      </c>
      <c r="G265" t="n">
        <v>7.9</v>
      </c>
      <c r="H265" t="n">
        <v>0</v>
      </c>
      <c r="I265" t="n">
        <v>0</v>
      </c>
      <c r="J265" t="n">
        <v>0</v>
      </c>
      <c r="K265" t="n">
        <v>0</v>
      </c>
      <c r="L265" t="n">
        <v>0</v>
      </c>
      <c r="M265" t="n">
        <v>0</v>
      </c>
      <c r="N265" t="n">
        <v>0</v>
      </c>
      <c r="O265" t="n">
        <v>0</v>
      </c>
      <c r="P265" t="n">
        <v>0</v>
      </c>
      <c r="Q265" t="n">
        <v>0</v>
      </c>
      <c r="R265" s="2" t="inlineStr"/>
    </row>
    <row r="266" ht="15" customHeight="1">
      <c r="A266" t="inlineStr">
        <is>
          <t>A 26259-2024</t>
        </is>
      </c>
      <c r="B266" s="1" t="n">
        <v>45468</v>
      </c>
      <c r="C266" s="1" t="n">
        <v>46199</v>
      </c>
      <c r="D266" t="inlineStr">
        <is>
          <t>VÄRMLANDS LÄN</t>
        </is>
      </c>
      <c r="E266" t="inlineStr">
        <is>
          <t>ÅRJÄNG</t>
        </is>
      </c>
      <c r="G266" t="n">
        <v>4.3</v>
      </c>
      <c r="H266" t="n">
        <v>0</v>
      </c>
      <c r="I266" t="n">
        <v>0</v>
      </c>
      <c r="J266" t="n">
        <v>0</v>
      </c>
      <c r="K266" t="n">
        <v>0</v>
      </c>
      <c r="L266" t="n">
        <v>0</v>
      </c>
      <c r="M266" t="n">
        <v>0</v>
      </c>
      <c r="N266" t="n">
        <v>0</v>
      </c>
      <c r="O266" t="n">
        <v>0</v>
      </c>
      <c r="P266" t="n">
        <v>0</v>
      </c>
      <c r="Q266" t="n">
        <v>0</v>
      </c>
      <c r="R266" s="2" t="inlineStr"/>
    </row>
    <row r="267" ht="15" customHeight="1">
      <c r="A267" t="inlineStr">
        <is>
          <t>A 57240-2025</t>
        </is>
      </c>
      <c r="B267" s="1" t="n">
        <v>45979</v>
      </c>
      <c r="C267" s="1" t="n">
        <v>46199</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57301-2025</t>
        </is>
      </c>
      <c r="B268" s="1" t="n">
        <v>45979</v>
      </c>
      <c r="C268" s="1" t="n">
        <v>46199</v>
      </c>
      <c r="D268" t="inlineStr">
        <is>
          <t>VÄRMLANDS LÄN</t>
        </is>
      </c>
      <c r="E268" t="inlineStr">
        <is>
          <t>ÅRJÄNG</t>
        </is>
      </c>
      <c r="G268" t="n">
        <v>1.6</v>
      </c>
      <c r="H268" t="n">
        <v>0</v>
      </c>
      <c r="I268" t="n">
        <v>0</v>
      </c>
      <c r="J268" t="n">
        <v>0</v>
      </c>
      <c r="K268" t="n">
        <v>0</v>
      </c>
      <c r="L268" t="n">
        <v>0</v>
      </c>
      <c r="M268" t="n">
        <v>0</v>
      </c>
      <c r="N268" t="n">
        <v>0</v>
      </c>
      <c r="O268" t="n">
        <v>0</v>
      </c>
      <c r="P268" t="n">
        <v>0</v>
      </c>
      <c r="Q268" t="n">
        <v>0</v>
      </c>
      <c r="R268" s="2" t="inlineStr"/>
    </row>
    <row r="269" ht="15" customHeight="1">
      <c r="A269" t="inlineStr">
        <is>
          <t>A 59336-2025</t>
        </is>
      </c>
      <c r="B269" s="1" t="n">
        <v>45979</v>
      </c>
      <c r="C269" s="1" t="n">
        <v>46199</v>
      </c>
      <c r="D269" t="inlineStr">
        <is>
          <t>VÄRMLANDS LÄN</t>
        </is>
      </c>
      <c r="E269" t="inlineStr">
        <is>
          <t>ÅRJÄNG</t>
        </is>
      </c>
      <c r="G269" t="n">
        <v>0.6</v>
      </c>
      <c r="H269" t="n">
        <v>0</v>
      </c>
      <c r="I269" t="n">
        <v>0</v>
      </c>
      <c r="J269" t="n">
        <v>0</v>
      </c>
      <c r="K269" t="n">
        <v>0</v>
      </c>
      <c r="L269" t="n">
        <v>0</v>
      </c>
      <c r="M269" t="n">
        <v>0</v>
      </c>
      <c r="N269" t="n">
        <v>0</v>
      </c>
      <c r="O269" t="n">
        <v>0</v>
      </c>
      <c r="P269" t="n">
        <v>0</v>
      </c>
      <c r="Q269" t="n">
        <v>0</v>
      </c>
      <c r="R269" s="2" t="inlineStr"/>
    </row>
    <row r="270" ht="15" customHeight="1">
      <c r="A270" t="inlineStr">
        <is>
          <t>A 57273-2025</t>
        </is>
      </c>
      <c r="B270" s="1" t="n">
        <v>45979</v>
      </c>
      <c r="C270" s="1" t="n">
        <v>46199</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57439-2025</t>
        </is>
      </c>
      <c r="B271" s="1" t="n">
        <v>45980</v>
      </c>
      <c r="C271" s="1" t="n">
        <v>46199</v>
      </c>
      <c r="D271" t="inlineStr">
        <is>
          <t>VÄRMLANDS LÄN</t>
        </is>
      </c>
      <c r="E271" t="inlineStr">
        <is>
          <t>ÅRJÄNG</t>
        </is>
      </c>
      <c r="G271" t="n">
        <v>4.4</v>
      </c>
      <c r="H271" t="n">
        <v>0</v>
      </c>
      <c r="I271" t="n">
        <v>0</v>
      </c>
      <c r="J271" t="n">
        <v>0</v>
      </c>
      <c r="K271" t="n">
        <v>0</v>
      </c>
      <c r="L271" t="n">
        <v>0</v>
      </c>
      <c r="M271" t="n">
        <v>0</v>
      </c>
      <c r="N271" t="n">
        <v>0</v>
      </c>
      <c r="O271" t="n">
        <v>0</v>
      </c>
      <c r="P271" t="n">
        <v>0</v>
      </c>
      <c r="Q271" t="n">
        <v>0</v>
      </c>
      <c r="R271" s="2" t="inlineStr"/>
    </row>
    <row r="272" ht="15" customHeight="1">
      <c r="A272" t="inlineStr">
        <is>
          <t>A 57062-2022</t>
        </is>
      </c>
      <c r="B272" s="1" t="n">
        <v>44895</v>
      </c>
      <c r="C272" s="1" t="n">
        <v>46199</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24893-2024</t>
        </is>
      </c>
      <c r="B273" s="1" t="n">
        <v>45461</v>
      </c>
      <c r="C273" s="1" t="n">
        <v>46199</v>
      </c>
      <c r="D273" t="inlineStr">
        <is>
          <t>VÄRMLANDS LÄN</t>
        </is>
      </c>
      <c r="E273" t="inlineStr">
        <is>
          <t>ÅRJÄNG</t>
        </is>
      </c>
      <c r="G273" t="n">
        <v>3.1</v>
      </c>
      <c r="H273" t="n">
        <v>0</v>
      </c>
      <c r="I273" t="n">
        <v>0</v>
      </c>
      <c r="J273" t="n">
        <v>0</v>
      </c>
      <c r="K273" t="n">
        <v>0</v>
      </c>
      <c r="L273" t="n">
        <v>0</v>
      </c>
      <c r="M273" t="n">
        <v>0</v>
      </c>
      <c r="N273" t="n">
        <v>0</v>
      </c>
      <c r="O273" t="n">
        <v>0</v>
      </c>
      <c r="P273" t="n">
        <v>0</v>
      </c>
      <c r="Q273" t="n">
        <v>0</v>
      </c>
      <c r="R273" s="2" t="inlineStr"/>
    </row>
    <row r="274" ht="15" customHeight="1">
      <c r="A274" t="inlineStr">
        <is>
          <t>A 34032-2021</t>
        </is>
      </c>
      <c r="B274" s="1" t="n">
        <v>44378</v>
      </c>
      <c r="C274" s="1" t="n">
        <v>46199</v>
      </c>
      <c r="D274" t="inlineStr">
        <is>
          <t>VÄRMLANDS LÄN</t>
        </is>
      </c>
      <c r="E274" t="inlineStr">
        <is>
          <t>ÅRJÄNG</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23039-2025</t>
        </is>
      </c>
      <c r="B275" s="1" t="n">
        <v>45790</v>
      </c>
      <c r="C275" s="1" t="n">
        <v>46199</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50537-2023</t>
        </is>
      </c>
      <c r="B276" s="1" t="n">
        <v>45217</v>
      </c>
      <c r="C276" s="1" t="n">
        <v>46199</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4404-2025</t>
        </is>
      </c>
      <c r="B277" s="1" t="n">
        <v>45686</v>
      </c>
      <c r="C277" s="1" t="n">
        <v>46199</v>
      </c>
      <c r="D277" t="inlineStr">
        <is>
          <t>VÄRMLANDS LÄN</t>
        </is>
      </c>
      <c r="E277" t="inlineStr">
        <is>
          <t>ÅRJÄNG</t>
        </is>
      </c>
      <c r="F277" t="inlineStr">
        <is>
          <t>Kyrkan</t>
        </is>
      </c>
      <c r="G277" t="n">
        <v>4.8</v>
      </c>
      <c r="H277" t="n">
        <v>0</v>
      </c>
      <c r="I277" t="n">
        <v>0</v>
      </c>
      <c r="J277" t="n">
        <v>0</v>
      </c>
      <c r="K277" t="n">
        <v>0</v>
      </c>
      <c r="L277" t="n">
        <v>0</v>
      </c>
      <c r="M277" t="n">
        <v>0</v>
      </c>
      <c r="N277" t="n">
        <v>0</v>
      </c>
      <c r="O277" t="n">
        <v>0</v>
      </c>
      <c r="P277" t="n">
        <v>0</v>
      </c>
      <c r="Q277" t="n">
        <v>0</v>
      </c>
      <c r="R277" s="2" t="inlineStr"/>
    </row>
    <row r="278" ht="15" customHeight="1">
      <c r="A278" t="inlineStr">
        <is>
          <t>A 43027-2021</t>
        </is>
      </c>
      <c r="B278" s="1" t="n">
        <v>44431</v>
      </c>
      <c r="C278" s="1" t="n">
        <v>46199</v>
      </c>
      <c r="D278" t="inlineStr">
        <is>
          <t>VÄRMLANDS LÄN</t>
        </is>
      </c>
      <c r="E278" t="inlineStr">
        <is>
          <t>ÅRJÄNG</t>
        </is>
      </c>
      <c r="G278" t="n">
        <v>1.6</v>
      </c>
      <c r="H278" t="n">
        <v>0</v>
      </c>
      <c r="I278" t="n">
        <v>0</v>
      </c>
      <c r="J278" t="n">
        <v>0</v>
      </c>
      <c r="K278" t="n">
        <v>0</v>
      </c>
      <c r="L278" t="n">
        <v>0</v>
      </c>
      <c r="M278" t="n">
        <v>0</v>
      </c>
      <c r="N278" t="n">
        <v>0</v>
      </c>
      <c r="O278" t="n">
        <v>0</v>
      </c>
      <c r="P278" t="n">
        <v>0</v>
      </c>
      <c r="Q278" t="n">
        <v>0</v>
      </c>
      <c r="R278" s="2" t="inlineStr"/>
    </row>
    <row r="279" ht="15" customHeight="1">
      <c r="A279" t="inlineStr">
        <is>
          <t>A 24281-2024</t>
        </is>
      </c>
      <c r="B279" s="1" t="n">
        <v>45457</v>
      </c>
      <c r="C279" s="1" t="n">
        <v>46199</v>
      </c>
      <c r="D279" t="inlineStr">
        <is>
          <t>VÄRMLANDS LÄN</t>
        </is>
      </c>
      <c r="E279" t="inlineStr">
        <is>
          <t>ÅRJÄNG</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57078-2025</t>
        </is>
      </c>
      <c r="B280" s="1" t="n">
        <v>45979</v>
      </c>
      <c r="C280" s="1" t="n">
        <v>46199</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21081-2023</t>
        </is>
      </c>
      <c r="B281" s="1" t="n">
        <v>45057</v>
      </c>
      <c r="C281" s="1" t="n">
        <v>46199</v>
      </c>
      <c r="D281" t="inlineStr">
        <is>
          <t>VÄRMLANDS LÄN</t>
        </is>
      </c>
      <c r="E281" t="inlineStr">
        <is>
          <t>ÅRJÄNG</t>
        </is>
      </c>
      <c r="G281" t="n">
        <v>5.1</v>
      </c>
      <c r="H281" t="n">
        <v>0</v>
      </c>
      <c r="I281" t="n">
        <v>0</v>
      </c>
      <c r="J281" t="n">
        <v>0</v>
      </c>
      <c r="K281" t="n">
        <v>0</v>
      </c>
      <c r="L281" t="n">
        <v>0</v>
      </c>
      <c r="M281" t="n">
        <v>0</v>
      </c>
      <c r="N281" t="n">
        <v>0</v>
      </c>
      <c r="O281" t="n">
        <v>0</v>
      </c>
      <c r="P281" t="n">
        <v>0</v>
      </c>
      <c r="Q281" t="n">
        <v>0</v>
      </c>
      <c r="R281" s="2" t="inlineStr"/>
    </row>
    <row r="282" ht="15" customHeight="1">
      <c r="A282" t="inlineStr">
        <is>
          <t>A 22727-2025</t>
        </is>
      </c>
      <c r="B282" s="1" t="n">
        <v>45789</v>
      </c>
      <c r="C282" s="1" t="n">
        <v>46199</v>
      </c>
      <c r="D282" t="inlineStr">
        <is>
          <t>VÄRMLANDS LÄN</t>
        </is>
      </c>
      <c r="E282" t="inlineStr">
        <is>
          <t>ÅRJÄNG</t>
        </is>
      </c>
      <c r="G282" t="n">
        <v>1.4</v>
      </c>
      <c r="H282" t="n">
        <v>0</v>
      </c>
      <c r="I282" t="n">
        <v>0</v>
      </c>
      <c r="J282" t="n">
        <v>0</v>
      </c>
      <c r="K282" t="n">
        <v>0</v>
      </c>
      <c r="L282" t="n">
        <v>0</v>
      </c>
      <c r="M282" t="n">
        <v>0</v>
      </c>
      <c r="N282" t="n">
        <v>0</v>
      </c>
      <c r="O282" t="n">
        <v>0</v>
      </c>
      <c r="P282" t="n">
        <v>0</v>
      </c>
      <c r="Q282" t="n">
        <v>0</v>
      </c>
      <c r="R282" s="2" t="inlineStr"/>
    </row>
    <row r="283" ht="15" customHeight="1">
      <c r="A283" t="inlineStr">
        <is>
          <t>A 43659-2024</t>
        </is>
      </c>
      <c r="B283" s="1" t="n">
        <v>45569</v>
      </c>
      <c r="C283" s="1" t="n">
        <v>46199</v>
      </c>
      <c r="D283" t="inlineStr">
        <is>
          <t>VÄRMLANDS LÄN</t>
        </is>
      </c>
      <c r="E283" t="inlineStr">
        <is>
          <t>ÅRJÄNG</t>
        </is>
      </c>
      <c r="G283" t="n">
        <v>6</v>
      </c>
      <c r="H283" t="n">
        <v>0</v>
      </c>
      <c r="I283" t="n">
        <v>0</v>
      </c>
      <c r="J283" t="n">
        <v>0</v>
      </c>
      <c r="K283" t="n">
        <v>0</v>
      </c>
      <c r="L283" t="n">
        <v>0</v>
      </c>
      <c r="M283" t="n">
        <v>0</v>
      </c>
      <c r="N283" t="n">
        <v>0</v>
      </c>
      <c r="O283" t="n">
        <v>0</v>
      </c>
      <c r="P283" t="n">
        <v>0</v>
      </c>
      <c r="Q283" t="n">
        <v>0</v>
      </c>
      <c r="R283" s="2" t="inlineStr"/>
    </row>
    <row r="284" ht="15" customHeight="1">
      <c r="A284" t="inlineStr">
        <is>
          <t>A 57218-2025</t>
        </is>
      </c>
      <c r="B284" s="1" t="n">
        <v>45979</v>
      </c>
      <c r="C284" s="1" t="n">
        <v>46199</v>
      </c>
      <c r="D284" t="inlineStr">
        <is>
          <t>VÄRMLANDS LÄN</t>
        </is>
      </c>
      <c r="E284" t="inlineStr">
        <is>
          <t>ÅRJÄNG</t>
        </is>
      </c>
      <c r="G284" t="n">
        <v>2.9</v>
      </c>
      <c r="H284" t="n">
        <v>0</v>
      </c>
      <c r="I284" t="n">
        <v>0</v>
      </c>
      <c r="J284" t="n">
        <v>0</v>
      </c>
      <c r="K284" t="n">
        <v>0</v>
      </c>
      <c r="L284" t="n">
        <v>0</v>
      </c>
      <c r="M284" t="n">
        <v>0</v>
      </c>
      <c r="N284" t="n">
        <v>0</v>
      </c>
      <c r="O284" t="n">
        <v>0</v>
      </c>
      <c r="P284" t="n">
        <v>0</v>
      </c>
      <c r="Q284" t="n">
        <v>0</v>
      </c>
      <c r="R284" s="2" t="inlineStr"/>
    </row>
    <row r="285" ht="15" customHeight="1">
      <c r="A285" t="inlineStr">
        <is>
          <t>A 23216-2023</t>
        </is>
      </c>
      <c r="B285" s="1" t="n">
        <v>45075</v>
      </c>
      <c r="C285" s="1" t="n">
        <v>46199</v>
      </c>
      <c r="D285" t="inlineStr">
        <is>
          <t>VÄRMLANDS LÄN</t>
        </is>
      </c>
      <c r="E285" t="inlineStr">
        <is>
          <t>ÅRJÄNG</t>
        </is>
      </c>
      <c r="G285" t="n">
        <v>3</v>
      </c>
      <c r="H285" t="n">
        <v>0</v>
      </c>
      <c r="I285" t="n">
        <v>0</v>
      </c>
      <c r="J285" t="n">
        <v>0</v>
      </c>
      <c r="K285" t="n">
        <v>0</v>
      </c>
      <c r="L285" t="n">
        <v>0</v>
      </c>
      <c r="M285" t="n">
        <v>0</v>
      </c>
      <c r="N285" t="n">
        <v>0</v>
      </c>
      <c r="O285" t="n">
        <v>0</v>
      </c>
      <c r="P285" t="n">
        <v>0</v>
      </c>
      <c r="Q285" t="n">
        <v>0</v>
      </c>
      <c r="R285" s="2" t="inlineStr"/>
    </row>
    <row r="286" ht="15" customHeight="1">
      <c r="A286" t="inlineStr">
        <is>
          <t>A 57003-2025</t>
        </is>
      </c>
      <c r="B286" s="1" t="n">
        <v>45978</v>
      </c>
      <c r="C286" s="1" t="n">
        <v>46199</v>
      </c>
      <c r="D286" t="inlineStr">
        <is>
          <t>VÄRMLANDS LÄN</t>
        </is>
      </c>
      <c r="E286" t="inlineStr">
        <is>
          <t>ÅRJÄNG</t>
        </is>
      </c>
      <c r="G286" t="n">
        <v>3</v>
      </c>
      <c r="H286" t="n">
        <v>0</v>
      </c>
      <c r="I286" t="n">
        <v>0</v>
      </c>
      <c r="J286" t="n">
        <v>0</v>
      </c>
      <c r="K286" t="n">
        <v>0</v>
      </c>
      <c r="L286" t="n">
        <v>0</v>
      </c>
      <c r="M286" t="n">
        <v>0</v>
      </c>
      <c r="N286" t="n">
        <v>0</v>
      </c>
      <c r="O286" t="n">
        <v>0</v>
      </c>
      <c r="P286" t="n">
        <v>0</v>
      </c>
      <c r="Q286" t="n">
        <v>0</v>
      </c>
      <c r="R286" s="2" t="inlineStr"/>
    </row>
    <row r="287" ht="15" customHeight="1">
      <c r="A287" t="inlineStr">
        <is>
          <t>A 58436-2023</t>
        </is>
      </c>
      <c r="B287" s="1" t="n">
        <v>45250</v>
      </c>
      <c r="C287" s="1" t="n">
        <v>46199</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62266-2023</t>
        </is>
      </c>
      <c r="B288" s="1" t="n">
        <v>45266</v>
      </c>
      <c r="C288" s="1" t="n">
        <v>46199</v>
      </c>
      <c r="D288" t="inlineStr">
        <is>
          <t>VÄRMLANDS LÄN</t>
        </is>
      </c>
      <c r="E288" t="inlineStr">
        <is>
          <t>ÅRJÄNG</t>
        </is>
      </c>
      <c r="G288" t="n">
        <v>10.5</v>
      </c>
      <c r="H288" t="n">
        <v>0</v>
      </c>
      <c r="I288" t="n">
        <v>0</v>
      </c>
      <c r="J288" t="n">
        <v>0</v>
      </c>
      <c r="K288" t="n">
        <v>0</v>
      </c>
      <c r="L288" t="n">
        <v>0</v>
      </c>
      <c r="M288" t="n">
        <v>0</v>
      </c>
      <c r="N288" t="n">
        <v>0</v>
      </c>
      <c r="O288" t="n">
        <v>0</v>
      </c>
      <c r="P288" t="n">
        <v>0</v>
      </c>
      <c r="Q288" t="n">
        <v>0</v>
      </c>
      <c r="R288" s="2" t="inlineStr"/>
    </row>
    <row r="289" ht="15" customHeight="1">
      <c r="A289" t="inlineStr">
        <is>
          <t>A 57004-2025</t>
        </is>
      </c>
      <c r="B289" s="1" t="n">
        <v>45978</v>
      </c>
      <c r="C289" s="1" t="n">
        <v>46199</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57005-2025</t>
        </is>
      </c>
      <c r="B290" s="1" t="n">
        <v>45978</v>
      </c>
      <c r="C290" s="1" t="n">
        <v>46199</v>
      </c>
      <c r="D290" t="inlineStr">
        <is>
          <t>VÄRMLANDS LÄN</t>
        </is>
      </c>
      <c r="E290" t="inlineStr">
        <is>
          <t>ÅRJÄNG</t>
        </is>
      </c>
      <c r="G290" t="n">
        <v>1.8</v>
      </c>
      <c r="H290" t="n">
        <v>0</v>
      </c>
      <c r="I290" t="n">
        <v>0</v>
      </c>
      <c r="J290" t="n">
        <v>0</v>
      </c>
      <c r="K290" t="n">
        <v>0</v>
      </c>
      <c r="L290" t="n">
        <v>0</v>
      </c>
      <c r="M290" t="n">
        <v>0</v>
      </c>
      <c r="N290" t="n">
        <v>0</v>
      </c>
      <c r="O290" t="n">
        <v>0</v>
      </c>
      <c r="P290" t="n">
        <v>0</v>
      </c>
      <c r="Q290" t="n">
        <v>0</v>
      </c>
      <c r="R290" s="2" t="inlineStr"/>
    </row>
    <row r="291" ht="15" customHeight="1">
      <c r="A291" t="inlineStr">
        <is>
          <t>A 74086-2021</t>
        </is>
      </c>
      <c r="B291" s="1" t="n">
        <v>44557</v>
      </c>
      <c r="C291" s="1" t="n">
        <v>46199</v>
      </c>
      <c r="D291" t="inlineStr">
        <is>
          <t>VÄRMLANDS LÄN</t>
        </is>
      </c>
      <c r="E291" t="inlineStr">
        <is>
          <t>ÅRJÄNG</t>
        </is>
      </c>
      <c r="G291" t="n">
        <v>3.6</v>
      </c>
      <c r="H291" t="n">
        <v>0</v>
      </c>
      <c r="I291" t="n">
        <v>0</v>
      </c>
      <c r="J291" t="n">
        <v>0</v>
      </c>
      <c r="K291" t="n">
        <v>0</v>
      </c>
      <c r="L291" t="n">
        <v>0</v>
      </c>
      <c r="M291" t="n">
        <v>0</v>
      </c>
      <c r="N291" t="n">
        <v>0</v>
      </c>
      <c r="O291" t="n">
        <v>0</v>
      </c>
      <c r="P291" t="n">
        <v>0</v>
      </c>
      <c r="Q291" t="n">
        <v>0</v>
      </c>
      <c r="R291" s="2" t="inlineStr"/>
    </row>
    <row r="292" ht="15" customHeight="1">
      <c r="A292" t="inlineStr">
        <is>
          <t>A 19850-2025</t>
        </is>
      </c>
      <c r="B292" s="1" t="n">
        <v>45771</v>
      </c>
      <c r="C292" s="1" t="n">
        <v>46199</v>
      </c>
      <c r="D292" t="inlineStr">
        <is>
          <t>VÄRMLANDS LÄN</t>
        </is>
      </c>
      <c r="E292" t="inlineStr">
        <is>
          <t>ÅRJÄNG</t>
        </is>
      </c>
      <c r="G292" t="n">
        <v>14</v>
      </c>
      <c r="H292" t="n">
        <v>0</v>
      </c>
      <c r="I292" t="n">
        <v>0</v>
      </c>
      <c r="J292" t="n">
        <v>0</v>
      </c>
      <c r="K292" t="n">
        <v>0</v>
      </c>
      <c r="L292" t="n">
        <v>0</v>
      </c>
      <c r="M292" t="n">
        <v>0</v>
      </c>
      <c r="N292" t="n">
        <v>0</v>
      </c>
      <c r="O292" t="n">
        <v>0</v>
      </c>
      <c r="P292" t="n">
        <v>0</v>
      </c>
      <c r="Q292" t="n">
        <v>0</v>
      </c>
      <c r="R292" s="2" t="inlineStr"/>
    </row>
    <row r="293" ht="15" customHeight="1">
      <c r="A293" t="inlineStr">
        <is>
          <t>A 62261-2023</t>
        </is>
      </c>
      <c r="B293" s="1" t="n">
        <v>45266</v>
      </c>
      <c r="C293" s="1" t="n">
        <v>46199</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49641-2021</t>
        </is>
      </c>
      <c r="B294" s="1" t="n">
        <v>44455</v>
      </c>
      <c r="C294" s="1" t="n">
        <v>46199</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5863-2023</t>
        </is>
      </c>
      <c r="B295" s="1" t="n">
        <v>44963</v>
      </c>
      <c r="C295" s="1" t="n">
        <v>46199</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19877-2025</t>
        </is>
      </c>
      <c r="B296" s="1" t="n">
        <v>45771</v>
      </c>
      <c r="C296" s="1" t="n">
        <v>46199</v>
      </c>
      <c r="D296" t="inlineStr">
        <is>
          <t>VÄRMLANDS LÄN</t>
        </is>
      </c>
      <c r="E296" t="inlineStr">
        <is>
          <t>ÅRJÄNG</t>
        </is>
      </c>
      <c r="G296" t="n">
        <v>6.3</v>
      </c>
      <c r="H296" t="n">
        <v>0</v>
      </c>
      <c r="I296" t="n">
        <v>0</v>
      </c>
      <c r="J296" t="n">
        <v>0</v>
      </c>
      <c r="K296" t="n">
        <v>0</v>
      </c>
      <c r="L296" t="n">
        <v>0</v>
      </c>
      <c r="M296" t="n">
        <v>0</v>
      </c>
      <c r="N296" t="n">
        <v>0</v>
      </c>
      <c r="O296" t="n">
        <v>0</v>
      </c>
      <c r="P296" t="n">
        <v>0</v>
      </c>
      <c r="Q296" t="n">
        <v>0</v>
      </c>
      <c r="R296" s="2" t="inlineStr"/>
    </row>
    <row r="297" ht="15" customHeight="1">
      <c r="A297" t="inlineStr">
        <is>
          <t>A 1289-2025</t>
        </is>
      </c>
      <c r="B297" s="1" t="n">
        <v>45667</v>
      </c>
      <c r="C297" s="1" t="n">
        <v>46199</v>
      </c>
      <c r="D297" t="inlineStr">
        <is>
          <t>VÄRMLANDS LÄN</t>
        </is>
      </c>
      <c r="E297" t="inlineStr">
        <is>
          <t>ÅRJÄNG</t>
        </is>
      </c>
      <c r="G297" t="n">
        <v>2.6</v>
      </c>
      <c r="H297" t="n">
        <v>0</v>
      </c>
      <c r="I297" t="n">
        <v>0</v>
      </c>
      <c r="J297" t="n">
        <v>0</v>
      </c>
      <c r="K297" t="n">
        <v>0</v>
      </c>
      <c r="L297" t="n">
        <v>0</v>
      </c>
      <c r="M297" t="n">
        <v>0</v>
      </c>
      <c r="N297" t="n">
        <v>0</v>
      </c>
      <c r="O297" t="n">
        <v>0</v>
      </c>
      <c r="P297" t="n">
        <v>0</v>
      </c>
      <c r="Q297" t="n">
        <v>0</v>
      </c>
      <c r="R297" s="2" t="inlineStr"/>
    </row>
    <row r="298" ht="15" customHeight="1">
      <c r="A298" t="inlineStr">
        <is>
          <t>A 30993-2024</t>
        </is>
      </c>
      <c r="B298" s="1" t="n">
        <v>45499</v>
      </c>
      <c r="C298" s="1" t="n">
        <v>46199</v>
      </c>
      <c r="D298" t="inlineStr">
        <is>
          <t>VÄRMLANDS LÄN</t>
        </is>
      </c>
      <c r="E298" t="inlineStr">
        <is>
          <t>ÅRJÄNG</t>
        </is>
      </c>
      <c r="F298" t="inlineStr">
        <is>
          <t>Kyrkan</t>
        </is>
      </c>
      <c r="G298" t="n">
        <v>4.7</v>
      </c>
      <c r="H298" t="n">
        <v>0</v>
      </c>
      <c r="I298" t="n">
        <v>0</v>
      </c>
      <c r="J298" t="n">
        <v>0</v>
      </c>
      <c r="K298" t="n">
        <v>0</v>
      </c>
      <c r="L298" t="n">
        <v>0</v>
      </c>
      <c r="M298" t="n">
        <v>0</v>
      </c>
      <c r="N298" t="n">
        <v>0</v>
      </c>
      <c r="O298" t="n">
        <v>0</v>
      </c>
      <c r="P298" t="n">
        <v>0</v>
      </c>
      <c r="Q298" t="n">
        <v>0</v>
      </c>
      <c r="R298" s="2" t="inlineStr"/>
    </row>
    <row r="299" ht="15" customHeight="1">
      <c r="A299" t="inlineStr">
        <is>
          <t>A 13155-2024</t>
        </is>
      </c>
      <c r="B299" s="1" t="n">
        <v>45386</v>
      </c>
      <c r="C299" s="1" t="n">
        <v>46199</v>
      </c>
      <c r="D299" t="inlineStr">
        <is>
          <t>VÄRMLANDS LÄN</t>
        </is>
      </c>
      <c r="E299" t="inlineStr">
        <is>
          <t>ÅRJÄNG</t>
        </is>
      </c>
      <c r="G299" t="n">
        <v>2.2</v>
      </c>
      <c r="H299" t="n">
        <v>0</v>
      </c>
      <c r="I299" t="n">
        <v>0</v>
      </c>
      <c r="J299" t="n">
        <v>0</v>
      </c>
      <c r="K299" t="n">
        <v>0</v>
      </c>
      <c r="L299" t="n">
        <v>0</v>
      </c>
      <c r="M299" t="n">
        <v>0</v>
      </c>
      <c r="N299" t="n">
        <v>0</v>
      </c>
      <c r="O299" t="n">
        <v>0</v>
      </c>
      <c r="P299" t="n">
        <v>0</v>
      </c>
      <c r="Q299" t="n">
        <v>0</v>
      </c>
      <c r="R299" s="2" t="inlineStr"/>
    </row>
    <row r="300" ht="15" customHeight="1">
      <c r="A300" t="inlineStr">
        <is>
          <t>A 57740-2025</t>
        </is>
      </c>
      <c r="B300" s="1" t="n">
        <v>45981</v>
      </c>
      <c r="C300" s="1" t="n">
        <v>46199</v>
      </c>
      <c r="D300" t="inlineStr">
        <is>
          <t>VÄRMLANDS LÄN</t>
        </is>
      </c>
      <c r="E300" t="inlineStr">
        <is>
          <t>ÅRJÄNG</t>
        </is>
      </c>
      <c r="G300" t="n">
        <v>6.4</v>
      </c>
      <c r="H300" t="n">
        <v>0</v>
      </c>
      <c r="I300" t="n">
        <v>0</v>
      </c>
      <c r="J300" t="n">
        <v>0</v>
      </c>
      <c r="K300" t="n">
        <v>0</v>
      </c>
      <c r="L300" t="n">
        <v>0</v>
      </c>
      <c r="M300" t="n">
        <v>0</v>
      </c>
      <c r="N300" t="n">
        <v>0</v>
      </c>
      <c r="O300" t="n">
        <v>0</v>
      </c>
      <c r="P300" t="n">
        <v>0</v>
      </c>
      <c r="Q300" t="n">
        <v>0</v>
      </c>
      <c r="R300" s="2" t="inlineStr"/>
    </row>
    <row r="301" ht="15" customHeight="1">
      <c r="A301" t="inlineStr">
        <is>
          <t>A 521-2025</t>
        </is>
      </c>
      <c r="B301" s="1" t="n">
        <v>45664</v>
      </c>
      <c r="C301" s="1" t="n">
        <v>46199</v>
      </c>
      <c r="D301" t="inlineStr">
        <is>
          <t>VÄRMLANDS LÄN</t>
        </is>
      </c>
      <c r="E301" t="inlineStr">
        <is>
          <t>ÅRJÄNG</t>
        </is>
      </c>
      <c r="G301" t="n">
        <v>2.7</v>
      </c>
      <c r="H301" t="n">
        <v>0</v>
      </c>
      <c r="I301" t="n">
        <v>0</v>
      </c>
      <c r="J301" t="n">
        <v>0</v>
      </c>
      <c r="K301" t="n">
        <v>0</v>
      </c>
      <c r="L301" t="n">
        <v>0</v>
      </c>
      <c r="M301" t="n">
        <v>0</v>
      </c>
      <c r="N301" t="n">
        <v>0</v>
      </c>
      <c r="O301" t="n">
        <v>0</v>
      </c>
      <c r="P301" t="n">
        <v>0</v>
      </c>
      <c r="Q301" t="n">
        <v>0</v>
      </c>
      <c r="R301" s="2" t="inlineStr"/>
    </row>
    <row r="302" ht="15" customHeight="1">
      <c r="A302" t="inlineStr">
        <is>
          <t>A 38742-2025</t>
        </is>
      </c>
      <c r="B302" s="1" t="n">
        <v>45887</v>
      </c>
      <c r="C302" s="1" t="n">
        <v>46199</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34643-2024</t>
        </is>
      </c>
      <c r="B303" s="1" t="n">
        <v>45526</v>
      </c>
      <c r="C303" s="1" t="n">
        <v>46199</v>
      </c>
      <c r="D303" t="inlineStr">
        <is>
          <t>VÄRMLANDS LÄN</t>
        </is>
      </c>
      <c r="E303" t="inlineStr">
        <is>
          <t>ÅRJÄNG</t>
        </is>
      </c>
      <c r="G303" t="n">
        <v>3.4</v>
      </c>
      <c r="H303" t="n">
        <v>0</v>
      </c>
      <c r="I303" t="n">
        <v>0</v>
      </c>
      <c r="J303" t="n">
        <v>0</v>
      </c>
      <c r="K303" t="n">
        <v>0</v>
      </c>
      <c r="L303" t="n">
        <v>0</v>
      </c>
      <c r="M303" t="n">
        <v>0</v>
      </c>
      <c r="N303" t="n">
        <v>0</v>
      </c>
      <c r="O303" t="n">
        <v>0</v>
      </c>
      <c r="P303" t="n">
        <v>0</v>
      </c>
      <c r="Q303" t="n">
        <v>0</v>
      </c>
      <c r="R303" s="2" t="inlineStr"/>
    </row>
    <row r="304" ht="15" customHeight="1">
      <c r="A304" t="inlineStr">
        <is>
          <t>A 49701-2022</t>
        </is>
      </c>
      <c r="B304" s="1" t="n">
        <v>44862</v>
      </c>
      <c r="C304" s="1" t="n">
        <v>46199</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16562-2024</t>
        </is>
      </c>
      <c r="B305" s="1" t="n">
        <v>45408</v>
      </c>
      <c r="C305" s="1" t="n">
        <v>46199</v>
      </c>
      <c r="D305" t="inlineStr">
        <is>
          <t>VÄRMLANDS LÄN</t>
        </is>
      </c>
      <c r="E305" t="inlineStr">
        <is>
          <t>ÅRJÄNG</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57752-2025</t>
        </is>
      </c>
      <c r="B306" s="1" t="n">
        <v>45981</v>
      </c>
      <c r="C306" s="1" t="n">
        <v>46199</v>
      </c>
      <c r="D306" t="inlineStr">
        <is>
          <t>VÄRMLANDS LÄN</t>
        </is>
      </c>
      <c r="E306" t="inlineStr">
        <is>
          <t>ÅRJÄNG</t>
        </is>
      </c>
      <c r="G306" t="n">
        <v>4.3</v>
      </c>
      <c r="H306" t="n">
        <v>0</v>
      </c>
      <c r="I306" t="n">
        <v>0</v>
      </c>
      <c r="J306" t="n">
        <v>0</v>
      </c>
      <c r="K306" t="n">
        <v>0</v>
      </c>
      <c r="L306" t="n">
        <v>0</v>
      </c>
      <c r="M306" t="n">
        <v>0</v>
      </c>
      <c r="N306" t="n">
        <v>0</v>
      </c>
      <c r="O306" t="n">
        <v>0</v>
      </c>
      <c r="P306" t="n">
        <v>0</v>
      </c>
      <c r="Q306" t="n">
        <v>0</v>
      </c>
      <c r="R306" s="2" t="inlineStr"/>
    </row>
    <row r="307" ht="15" customHeight="1">
      <c r="A307" t="inlineStr">
        <is>
          <t>A 26781-2025</t>
        </is>
      </c>
      <c r="B307" s="1" t="n">
        <v>45810</v>
      </c>
      <c r="C307" s="1" t="n">
        <v>46199</v>
      </c>
      <c r="D307" t="inlineStr">
        <is>
          <t>VÄRMLANDS LÄN</t>
        </is>
      </c>
      <c r="E307" t="inlineStr">
        <is>
          <t>ÅRJÄNG</t>
        </is>
      </c>
      <c r="G307" t="n">
        <v>4.2</v>
      </c>
      <c r="H307" t="n">
        <v>0</v>
      </c>
      <c r="I307" t="n">
        <v>0</v>
      </c>
      <c r="J307" t="n">
        <v>0</v>
      </c>
      <c r="K307" t="n">
        <v>0</v>
      </c>
      <c r="L307" t="n">
        <v>0</v>
      </c>
      <c r="M307" t="n">
        <v>0</v>
      </c>
      <c r="N307" t="n">
        <v>0</v>
      </c>
      <c r="O307" t="n">
        <v>0</v>
      </c>
      <c r="P307" t="n">
        <v>0</v>
      </c>
      <c r="Q307" t="n">
        <v>0</v>
      </c>
      <c r="R307" s="2" t="inlineStr"/>
    </row>
    <row r="308" ht="15" customHeight="1">
      <c r="A308" t="inlineStr">
        <is>
          <t>A 4606-2024</t>
        </is>
      </c>
      <c r="B308" s="1" t="n">
        <v>45328</v>
      </c>
      <c r="C308" s="1" t="n">
        <v>46199</v>
      </c>
      <c r="D308" t="inlineStr">
        <is>
          <t>VÄRMLANDS LÄN</t>
        </is>
      </c>
      <c r="E308" t="inlineStr">
        <is>
          <t>ÅRJÄNG</t>
        </is>
      </c>
      <c r="G308" t="n">
        <v>3.9</v>
      </c>
      <c r="H308" t="n">
        <v>0</v>
      </c>
      <c r="I308" t="n">
        <v>0</v>
      </c>
      <c r="J308" t="n">
        <v>0</v>
      </c>
      <c r="K308" t="n">
        <v>0</v>
      </c>
      <c r="L308" t="n">
        <v>0</v>
      </c>
      <c r="M308" t="n">
        <v>0</v>
      </c>
      <c r="N308" t="n">
        <v>0</v>
      </c>
      <c r="O308" t="n">
        <v>0</v>
      </c>
      <c r="P308" t="n">
        <v>0</v>
      </c>
      <c r="Q308" t="n">
        <v>0</v>
      </c>
      <c r="R308" s="2" t="inlineStr"/>
    </row>
    <row r="309" ht="15" customHeight="1">
      <c r="A309" t="inlineStr">
        <is>
          <t>A 53332-2023</t>
        </is>
      </c>
      <c r="B309" s="1" t="n">
        <v>45229</v>
      </c>
      <c r="C309" s="1" t="n">
        <v>46199</v>
      </c>
      <c r="D309" t="inlineStr">
        <is>
          <t>VÄRMLANDS LÄN</t>
        </is>
      </c>
      <c r="E309" t="inlineStr">
        <is>
          <t>ÅRJÄNG</t>
        </is>
      </c>
      <c r="G309" t="n">
        <v>1.9</v>
      </c>
      <c r="H309" t="n">
        <v>0</v>
      </c>
      <c r="I309" t="n">
        <v>0</v>
      </c>
      <c r="J309" t="n">
        <v>0</v>
      </c>
      <c r="K309" t="n">
        <v>0</v>
      </c>
      <c r="L309" t="n">
        <v>0</v>
      </c>
      <c r="M309" t="n">
        <v>0</v>
      </c>
      <c r="N309" t="n">
        <v>0</v>
      </c>
      <c r="O309" t="n">
        <v>0</v>
      </c>
      <c r="P309" t="n">
        <v>0</v>
      </c>
      <c r="Q309" t="n">
        <v>0</v>
      </c>
      <c r="R309" s="2" t="inlineStr"/>
    </row>
    <row r="310" ht="15" customHeight="1">
      <c r="A310" t="inlineStr">
        <is>
          <t>A 60172-2023</t>
        </is>
      </c>
      <c r="B310" s="1" t="n">
        <v>45257</v>
      </c>
      <c r="C310" s="1" t="n">
        <v>46199</v>
      </c>
      <c r="D310" t="inlineStr">
        <is>
          <t>VÄRMLANDS LÄN</t>
        </is>
      </c>
      <c r="E310" t="inlineStr">
        <is>
          <t>ÅRJÄNG</t>
        </is>
      </c>
      <c r="G310" t="n">
        <v>2.1</v>
      </c>
      <c r="H310" t="n">
        <v>0</v>
      </c>
      <c r="I310" t="n">
        <v>0</v>
      </c>
      <c r="J310" t="n">
        <v>0</v>
      </c>
      <c r="K310" t="n">
        <v>0</v>
      </c>
      <c r="L310" t="n">
        <v>0</v>
      </c>
      <c r="M310" t="n">
        <v>0</v>
      </c>
      <c r="N310" t="n">
        <v>0</v>
      </c>
      <c r="O310" t="n">
        <v>0</v>
      </c>
      <c r="P310" t="n">
        <v>0</v>
      </c>
      <c r="Q310" t="n">
        <v>0</v>
      </c>
      <c r="R310" s="2" t="inlineStr"/>
    </row>
    <row r="311" ht="15" customHeight="1">
      <c r="A311" t="inlineStr">
        <is>
          <t>A 9425-2025</t>
        </is>
      </c>
      <c r="B311" s="1" t="n">
        <v>45715</v>
      </c>
      <c r="C311" s="1" t="n">
        <v>46199</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24252-2025</t>
        </is>
      </c>
      <c r="B312" s="1" t="n">
        <v>45797</v>
      </c>
      <c r="C312" s="1" t="n">
        <v>46199</v>
      </c>
      <c r="D312" t="inlineStr">
        <is>
          <t>VÄRMLANDS LÄN</t>
        </is>
      </c>
      <c r="E312" t="inlineStr">
        <is>
          <t>ÅRJÄNG</t>
        </is>
      </c>
      <c r="G312" t="n">
        <v>0.7</v>
      </c>
      <c r="H312" t="n">
        <v>0</v>
      </c>
      <c r="I312" t="n">
        <v>0</v>
      </c>
      <c r="J312" t="n">
        <v>0</v>
      </c>
      <c r="K312" t="n">
        <v>0</v>
      </c>
      <c r="L312" t="n">
        <v>0</v>
      </c>
      <c r="M312" t="n">
        <v>0</v>
      </c>
      <c r="N312" t="n">
        <v>0</v>
      </c>
      <c r="O312" t="n">
        <v>0</v>
      </c>
      <c r="P312" t="n">
        <v>0</v>
      </c>
      <c r="Q312" t="n">
        <v>0</v>
      </c>
      <c r="R312" s="2" t="inlineStr"/>
    </row>
    <row r="313" ht="15" customHeight="1">
      <c r="A313" t="inlineStr">
        <is>
          <t>A 39369-2025</t>
        </is>
      </c>
      <c r="B313" s="1" t="n">
        <v>45889</v>
      </c>
      <c r="C313" s="1" t="n">
        <v>46199</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41201-2024</t>
        </is>
      </c>
      <c r="B314" s="1" t="n">
        <v>45559</v>
      </c>
      <c r="C314" s="1" t="n">
        <v>46199</v>
      </c>
      <c r="D314" t="inlineStr">
        <is>
          <t>VÄRMLANDS LÄN</t>
        </is>
      </c>
      <c r="E314" t="inlineStr">
        <is>
          <t>ÅRJÄNG</t>
        </is>
      </c>
      <c r="G314" t="n">
        <v>4.1</v>
      </c>
      <c r="H314" t="n">
        <v>0</v>
      </c>
      <c r="I314" t="n">
        <v>0</v>
      </c>
      <c r="J314" t="n">
        <v>0</v>
      </c>
      <c r="K314" t="n">
        <v>0</v>
      </c>
      <c r="L314" t="n">
        <v>0</v>
      </c>
      <c r="M314" t="n">
        <v>0</v>
      </c>
      <c r="N314" t="n">
        <v>0</v>
      </c>
      <c r="O314" t="n">
        <v>0</v>
      </c>
      <c r="P314" t="n">
        <v>0</v>
      </c>
      <c r="Q314" t="n">
        <v>0</v>
      </c>
      <c r="R314" s="2" t="inlineStr"/>
    </row>
    <row r="315" ht="15" customHeight="1">
      <c r="A315" t="inlineStr">
        <is>
          <t>A 26833-2024</t>
        </is>
      </c>
      <c r="B315" s="1" t="n">
        <v>45470</v>
      </c>
      <c r="C315" s="1" t="n">
        <v>46199</v>
      </c>
      <c r="D315" t="inlineStr">
        <is>
          <t>VÄRMLANDS LÄN</t>
        </is>
      </c>
      <c r="E315" t="inlineStr">
        <is>
          <t>ÅRJÄNG</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24983-2025</t>
        </is>
      </c>
      <c r="B316" s="1" t="n">
        <v>45799</v>
      </c>
      <c r="C316" s="1" t="n">
        <v>46199</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57924-2025</t>
        </is>
      </c>
      <c r="B317" s="1" t="n">
        <v>45981</v>
      </c>
      <c r="C317" s="1" t="n">
        <v>46199</v>
      </c>
      <c r="D317" t="inlineStr">
        <is>
          <t>VÄRMLANDS LÄN</t>
        </is>
      </c>
      <c r="E317" t="inlineStr">
        <is>
          <t>ÅRJÄNG</t>
        </is>
      </c>
      <c r="G317" t="n">
        <v>3</v>
      </c>
      <c r="H317" t="n">
        <v>0</v>
      </c>
      <c r="I317" t="n">
        <v>0</v>
      </c>
      <c r="J317" t="n">
        <v>0</v>
      </c>
      <c r="K317" t="n">
        <v>0</v>
      </c>
      <c r="L317" t="n">
        <v>0</v>
      </c>
      <c r="M317" t="n">
        <v>0</v>
      </c>
      <c r="N317" t="n">
        <v>0</v>
      </c>
      <c r="O317" t="n">
        <v>0</v>
      </c>
      <c r="P317" t="n">
        <v>0</v>
      </c>
      <c r="Q317" t="n">
        <v>0</v>
      </c>
      <c r="R317" s="2" t="inlineStr"/>
    </row>
    <row r="318" ht="15" customHeight="1">
      <c r="A318" t="inlineStr">
        <is>
          <t>A 23690-2024</t>
        </is>
      </c>
      <c r="B318" s="1" t="n">
        <v>45454</v>
      </c>
      <c r="C318" s="1" t="n">
        <v>46199</v>
      </c>
      <c r="D318" t="inlineStr">
        <is>
          <t>VÄRMLANDS LÄN</t>
        </is>
      </c>
      <c r="E318" t="inlineStr">
        <is>
          <t>ÅRJÄNG</t>
        </is>
      </c>
      <c r="G318" t="n">
        <v>2.4</v>
      </c>
      <c r="H318" t="n">
        <v>0</v>
      </c>
      <c r="I318" t="n">
        <v>0</v>
      </c>
      <c r="J318" t="n">
        <v>0</v>
      </c>
      <c r="K318" t="n">
        <v>0</v>
      </c>
      <c r="L318" t="n">
        <v>0</v>
      </c>
      <c r="M318" t="n">
        <v>0</v>
      </c>
      <c r="N318" t="n">
        <v>0</v>
      </c>
      <c r="O318" t="n">
        <v>0</v>
      </c>
      <c r="P318" t="n">
        <v>0</v>
      </c>
      <c r="Q318" t="n">
        <v>0</v>
      </c>
      <c r="R318" s="2" t="inlineStr"/>
    </row>
    <row r="319" ht="15" customHeight="1">
      <c r="A319" t="inlineStr">
        <is>
          <t>A 57925-2025</t>
        </is>
      </c>
      <c r="B319" s="1" t="n">
        <v>45981</v>
      </c>
      <c r="C319" s="1" t="n">
        <v>46199</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57929-2025</t>
        </is>
      </c>
      <c r="B320" s="1" t="n">
        <v>45981</v>
      </c>
      <c r="C320" s="1" t="n">
        <v>46199</v>
      </c>
      <c r="D320" t="inlineStr">
        <is>
          <t>VÄRMLANDS LÄN</t>
        </is>
      </c>
      <c r="E320" t="inlineStr">
        <is>
          <t>ÅRJÄNG</t>
        </is>
      </c>
      <c r="G320" t="n">
        <v>2.3</v>
      </c>
      <c r="H320" t="n">
        <v>0</v>
      </c>
      <c r="I320" t="n">
        <v>0</v>
      </c>
      <c r="J320" t="n">
        <v>0</v>
      </c>
      <c r="K320" t="n">
        <v>0</v>
      </c>
      <c r="L320" t="n">
        <v>0</v>
      </c>
      <c r="M320" t="n">
        <v>0</v>
      </c>
      <c r="N320" t="n">
        <v>0</v>
      </c>
      <c r="O320" t="n">
        <v>0</v>
      </c>
      <c r="P320" t="n">
        <v>0</v>
      </c>
      <c r="Q320" t="n">
        <v>0</v>
      </c>
      <c r="R320" s="2" t="inlineStr"/>
    </row>
    <row r="321" ht="15" customHeight="1">
      <c r="A321" t="inlineStr">
        <is>
          <t>A 40232-2025</t>
        </is>
      </c>
      <c r="B321" s="1" t="n">
        <v>45894</v>
      </c>
      <c r="C321" s="1" t="n">
        <v>46199</v>
      </c>
      <c r="D321" t="inlineStr">
        <is>
          <t>VÄRMLANDS LÄN</t>
        </is>
      </c>
      <c r="E321" t="inlineStr">
        <is>
          <t>ÅRJÄNG</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40219-2025</t>
        </is>
      </c>
      <c r="B322" s="1" t="n">
        <v>45894</v>
      </c>
      <c r="C322" s="1" t="n">
        <v>46199</v>
      </c>
      <c r="D322" t="inlineStr">
        <is>
          <t>VÄRMLANDS LÄN</t>
        </is>
      </c>
      <c r="E322" t="inlineStr">
        <is>
          <t>ÅRJÄNG</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51269-2022</t>
        </is>
      </c>
      <c r="B323" s="1" t="n">
        <v>44868</v>
      </c>
      <c r="C323" s="1" t="n">
        <v>46199</v>
      </c>
      <c r="D323" t="inlineStr">
        <is>
          <t>VÄRMLANDS LÄN</t>
        </is>
      </c>
      <c r="E323" t="inlineStr">
        <is>
          <t>ÅRJÄNG</t>
        </is>
      </c>
      <c r="G323" t="n">
        <v>2.1</v>
      </c>
      <c r="H323" t="n">
        <v>0</v>
      </c>
      <c r="I323" t="n">
        <v>0</v>
      </c>
      <c r="J323" t="n">
        <v>0</v>
      </c>
      <c r="K323" t="n">
        <v>0</v>
      </c>
      <c r="L323" t="n">
        <v>0</v>
      </c>
      <c r="M323" t="n">
        <v>0</v>
      </c>
      <c r="N323" t="n">
        <v>0</v>
      </c>
      <c r="O323" t="n">
        <v>0</v>
      </c>
      <c r="P323" t="n">
        <v>0</v>
      </c>
      <c r="Q323" t="n">
        <v>0</v>
      </c>
      <c r="R323" s="2" t="inlineStr"/>
    </row>
    <row r="324" ht="15" customHeight="1">
      <c r="A324" t="inlineStr">
        <is>
          <t>A 58571-2025</t>
        </is>
      </c>
      <c r="B324" s="1" t="n">
        <v>45986</v>
      </c>
      <c r="C324" s="1" t="n">
        <v>46199</v>
      </c>
      <c r="D324" t="inlineStr">
        <is>
          <t>VÄRMLANDS LÄN</t>
        </is>
      </c>
      <c r="E324" t="inlineStr">
        <is>
          <t>ÅRJÄNG</t>
        </is>
      </c>
      <c r="G324" t="n">
        <v>3</v>
      </c>
      <c r="H324" t="n">
        <v>0</v>
      </c>
      <c r="I324" t="n">
        <v>0</v>
      </c>
      <c r="J324" t="n">
        <v>0</v>
      </c>
      <c r="K324" t="n">
        <v>0</v>
      </c>
      <c r="L324" t="n">
        <v>0</v>
      </c>
      <c r="M324" t="n">
        <v>0</v>
      </c>
      <c r="N324" t="n">
        <v>0</v>
      </c>
      <c r="O324" t="n">
        <v>0</v>
      </c>
      <c r="P324" t="n">
        <v>0</v>
      </c>
      <c r="Q324" t="n">
        <v>0</v>
      </c>
      <c r="R324" s="2" t="inlineStr"/>
    </row>
    <row r="325" ht="15" customHeight="1">
      <c r="A325" t="inlineStr">
        <is>
          <t>A 39779-2025</t>
        </is>
      </c>
      <c r="B325" s="1" t="n">
        <v>45891</v>
      </c>
      <c r="C325" s="1" t="n">
        <v>46199</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34526-2023</t>
        </is>
      </c>
      <c r="B326" s="1" t="n">
        <v>45140</v>
      </c>
      <c r="C326" s="1" t="n">
        <v>46199</v>
      </c>
      <c r="D326" t="inlineStr">
        <is>
          <t>VÄRMLANDS LÄN</t>
        </is>
      </c>
      <c r="E326" t="inlineStr">
        <is>
          <t>ÅRJÄNG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40449-2025</t>
        </is>
      </c>
      <c r="B327" s="1" t="n">
        <v>45895</v>
      </c>
      <c r="C327" s="1" t="n">
        <v>46199</v>
      </c>
      <c r="D327" t="inlineStr">
        <is>
          <t>VÄRMLANDS LÄN</t>
        </is>
      </c>
      <c r="E327" t="inlineStr">
        <is>
          <t>ÅRJÄNG</t>
        </is>
      </c>
      <c r="G327" t="n">
        <v>2.5</v>
      </c>
      <c r="H327" t="n">
        <v>0</v>
      </c>
      <c r="I327" t="n">
        <v>0</v>
      </c>
      <c r="J327" t="n">
        <v>0</v>
      </c>
      <c r="K327" t="n">
        <v>0</v>
      </c>
      <c r="L327" t="n">
        <v>0</v>
      </c>
      <c r="M327" t="n">
        <v>0</v>
      </c>
      <c r="N327" t="n">
        <v>0</v>
      </c>
      <c r="O327" t="n">
        <v>0</v>
      </c>
      <c r="P327" t="n">
        <v>0</v>
      </c>
      <c r="Q327" t="n">
        <v>0</v>
      </c>
      <c r="R327" s="2" t="inlineStr"/>
    </row>
    <row r="328" ht="15" customHeight="1">
      <c r="A328" t="inlineStr">
        <is>
          <t>A 24339-2024</t>
        </is>
      </c>
      <c r="B328" s="1" t="n">
        <v>45457</v>
      </c>
      <c r="C328" s="1" t="n">
        <v>46199</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58577-2025</t>
        </is>
      </c>
      <c r="B329" s="1" t="n">
        <v>45986</v>
      </c>
      <c r="C329" s="1" t="n">
        <v>46199</v>
      </c>
      <c r="D329" t="inlineStr">
        <is>
          <t>VÄRMLANDS LÄN</t>
        </is>
      </c>
      <c r="E329" t="inlineStr">
        <is>
          <t>ÅRJÄNG</t>
        </is>
      </c>
      <c r="G329" t="n">
        <v>2</v>
      </c>
      <c r="H329" t="n">
        <v>0</v>
      </c>
      <c r="I329" t="n">
        <v>0</v>
      </c>
      <c r="J329" t="n">
        <v>0</v>
      </c>
      <c r="K329" t="n">
        <v>0</v>
      </c>
      <c r="L329" t="n">
        <v>0</v>
      </c>
      <c r="M329" t="n">
        <v>0</v>
      </c>
      <c r="N329" t="n">
        <v>0</v>
      </c>
      <c r="O329" t="n">
        <v>0</v>
      </c>
      <c r="P329" t="n">
        <v>0</v>
      </c>
      <c r="Q329" t="n">
        <v>0</v>
      </c>
      <c r="R329" s="2" t="inlineStr"/>
    </row>
    <row r="330" ht="15" customHeight="1">
      <c r="A330" t="inlineStr">
        <is>
          <t>A 40602-2025</t>
        </is>
      </c>
      <c r="B330" s="1" t="n">
        <v>45896</v>
      </c>
      <c r="C330" s="1" t="n">
        <v>46199</v>
      </c>
      <c r="D330" t="inlineStr">
        <is>
          <t>VÄRMLANDS LÄN</t>
        </is>
      </c>
      <c r="E330" t="inlineStr">
        <is>
          <t>ÅRJÄNG</t>
        </is>
      </c>
      <c r="G330" t="n">
        <v>1.8</v>
      </c>
      <c r="H330" t="n">
        <v>0</v>
      </c>
      <c r="I330" t="n">
        <v>0</v>
      </c>
      <c r="J330" t="n">
        <v>0</v>
      </c>
      <c r="K330" t="n">
        <v>0</v>
      </c>
      <c r="L330" t="n">
        <v>0</v>
      </c>
      <c r="M330" t="n">
        <v>0</v>
      </c>
      <c r="N330" t="n">
        <v>0</v>
      </c>
      <c r="O330" t="n">
        <v>0</v>
      </c>
      <c r="P330" t="n">
        <v>0</v>
      </c>
      <c r="Q330" t="n">
        <v>0</v>
      </c>
      <c r="R330" s="2" t="inlineStr"/>
    </row>
    <row r="331" ht="15" customHeight="1">
      <c r="A331" t="inlineStr">
        <is>
          <t>A 58518-2025</t>
        </is>
      </c>
      <c r="B331" s="1" t="n">
        <v>45985</v>
      </c>
      <c r="C331" s="1" t="n">
        <v>46199</v>
      </c>
      <c r="D331" t="inlineStr">
        <is>
          <t>VÄRMLANDS LÄN</t>
        </is>
      </c>
      <c r="E331" t="inlineStr">
        <is>
          <t>ÅRJÄNG</t>
        </is>
      </c>
      <c r="G331" t="n">
        <v>13</v>
      </c>
      <c r="H331" t="n">
        <v>0</v>
      </c>
      <c r="I331" t="n">
        <v>0</v>
      </c>
      <c r="J331" t="n">
        <v>0</v>
      </c>
      <c r="K331" t="n">
        <v>0</v>
      </c>
      <c r="L331" t="n">
        <v>0</v>
      </c>
      <c r="M331" t="n">
        <v>0</v>
      </c>
      <c r="N331" t="n">
        <v>0</v>
      </c>
      <c r="O331" t="n">
        <v>0</v>
      </c>
      <c r="P331" t="n">
        <v>0</v>
      </c>
      <c r="Q331" t="n">
        <v>0</v>
      </c>
      <c r="R331" s="2" t="inlineStr"/>
    </row>
    <row r="332" ht="15" customHeight="1">
      <c r="A332" t="inlineStr">
        <is>
          <t>A 41229-2025</t>
        </is>
      </c>
      <c r="B332" s="1" t="n">
        <v>45898</v>
      </c>
      <c r="C332" s="1" t="n">
        <v>46199</v>
      </c>
      <c r="D332" t="inlineStr">
        <is>
          <t>VÄRMLANDS LÄN</t>
        </is>
      </c>
      <c r="E332" t="inlineStr">
        <is>
          <t>ÅRJÄNG</t>
        </is>
      </c>
      <c r="G332" t="n">
        <v>2.6</v>
      </c>
      <c r="H332" t="n">
        <v>0</v>
      </c>
      <c r="I332" t="n">
        <v>0</v>
      </c>
      <c r="J332" t="n">
        <v>0</v>
      </c>
      <c r="K332" t="n">
        <v>0</v>
      </c>
      <c r="L332" t="n">
        <v>0</v>
      </c>
      <c r="M332" t="n">
        <v>0</v>
      </c>
      <c r="N332" t="n">
        <v>0</v>
      </c>
      <c r="O332" t="n">
        <v>0</v>
      </c>
      <c r="P332" t="n">
        <v>0</v>
      </c>
      <c r="Q332" t="n">
        <v>0</v>
      </c>
      <c r="R332" s="2" t="inlineStr"/>
    </row>
    <row r="333" ht="15" customHeight="1">
      <c r="A333" t="inlineStr">
        <is>
          <t>A 40699-2025</t>
        </is>
      </c>
      <c r="B333" s="1" t="n">
        <v>45897</v>
      </c>
      <c r="C333" s="1" t="n">
        <v>46199</v>
      </c>
      <c r="D333" t="inlineStr">
        <is>
          <t>VÄRMLANDS LÄN</t>
        </is>
      </c>
      <c r="E333" t="inlineStr">
        <is>
          <t>ÅRJÄNG</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58141-2023</t>
        </is>
      </c>
      <c r="B334" s="1" t="n">
        <v>45245</v>
      </c>
      <c r="C334" s="1" t="n">
        <v>46199</v>
      </c>
      <c r="D334" t="inlineStr">
        <is>
          <t>VÄRMLANDS LÄN</t>
        </is>
      </c>
      <c r="E334" t="inlineStr">
        <is>
          <t>ÅRJÄNG</t>
        </is>
      </c>
      <c r="G334" t="n">
        <v>6.2</v>
      </c>
      <c r="H334" t="n">
        <v>0</v>
      </c>
      <c r="I334" t="n">
        <v>0</v>
      </c>
      <c r="J334" t="n">
        <v>0</v>
      </c>
      <c r="K334" t="n">
        <v>0</v>
      </c>
      <c r="L334" t="n">
        <v>0</v>
      </c>
      <c r="M334" t="n">
        <v>0</v>
      </c>
      <c r="N334" t="n">
        <v>0</v>
      </c>
      <c r="O334" t="n">
        <v>0</v>
      </c>
      <c r="P334" t="n">
        <v>0</v>
      </c>
      <c r="Q334" t="n">
        <v>0</v>
      </c>
      <c r="R334" s="2" t="inlineStr"/>
    </row>
    <row r="335" ht="15" customHeight="1">
      <c r="A335" t="inlineStr">
        <is>
          <t>A 27138-2024</t>
        </is>
      </c>
      <c r="B335" s="1" t="n">
        <v>45471</v>
      </c>
      <c r="C335" s="1" t="n">
        <v>46199</v>
      </c>
      <c r="D335" t="inlineStr">
        <is>
          <t>VÄRMLANDS LÄN</t>
        </is>
      </c>
      <c r="E335" t="inlineStr">
        <is>
          <t>ÅRJÄNG</t>
        </is>
      </c>
      <c r="G335" t="n">
        <v>5.7</v>
      </c>
      <c r="H335" t="n">
        <v>0</v>
      </c>
      <c r="I335" t="n">
        <v>0</v>
      </c>
      <c r="J335" t="n">
        <v>0</v>
      </c>
      <c r="K335" t="n">
        <v>0</v>
      </c>
      <c r="L335" t="n">
        <v>0</v>
      </c>
      <c r="M335" t="n">
        <v>0</v>
      </c>
      <c r="N335" t="n">
        <v>0</v>
      </c>
      <c r="O335" t="n">
        <v>0</v>
      </c>
      <c r="P335" t="n">
        <v>0</v>
      </c>
      <c r="Q335" t="n">
        <v>0</v>
      </c>
      <c r="R335" s="2" t="inlineStr"/>
    </row>
    <row r="336" ht="15" customHeight="1">
      <c r="A336" t="inlineStr">
        <is>
          <t>A 33304-2021</t>
        </is>
      </c>
      <c r="B336" s="1" t="n">
        <v>44377</v>
      </c>
      <c r="C336" s="1" t="n">
        <v>46199</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17426-2025</t>
        </is>
      </c>
      <c r="B337" s="1" t="n">
        <v>45757</v>
      </c>
      <c r="C337" s="1" t="n">
        <v>46199</v>
      </c>
      <c r="D337" t="inlineStr">
        <is>
          <t>VÄRMLANDS LÄN</t>
        </is>
      </c>
      <c r="E337" t="inlineStr">
        <is>
          <t>ÅRJÄNG</t>
        </is>
      </c>
      <c r="G337" t="n">
        <v>1.6</v>
      </c>
      <c r="H337" t="n">
        <v>0</v>
      </c>
      <c r="I337" t="n">
        <v>0</v>
      </c>
      <c r="J337" t="n">
        <v>0</v>
      </c>
      <c r="K337" t="n">
        <v>0</v>
      </c>
      <c r="L337" t="n">
        <v>0</v>
      </c>
      <c r="M337" t="n">
        <v>0</v>
      </c>
      <c r="N337" t="n">
        <v>0</v>
      </c>
      <c r="O337" t="n">
        <v>0</v>
      </c>
      <c r="P337" t="n">
        <v>0</v>
      </c>
      <c r="Q337" t="n">
        <v>0</v>
      </c>
      <c r="R337" s="2" t="inlineStr"/>
    </row>
    <row r="338" ht="15" customHeight="1">
      <c r="A338" t="inlineStr">
        <is>
          <t>A 72476-2021</t>
        </is>
      </c>
      <c r="B338" s="1" t="n">
        <v>44545</v>
      </c>
      <c r="C338" s="1" t="n">
        <v>46199</v>
      </c>
      <c r="D338" t="inlineStr">
        <is>
          <t>VÄRMLANDS LÄN</t>
        </is>
      </c>
      <c r="E338" t="inlineStr">
        <is>
          <t>ÅRJÄNG</t>
        </is>
      </c>
      <c r="G338" t="n">
        <v>1.9</v>
      </c>
      <c r="H338" t="n">
        <v>0</v>
      </c>
      <c r="I338" t="n">
        <v>0</v>
      </c>
      <c r="J338" t="n">
        <v>0</v>
      </c>
      <c r="K338" t="n">
        <v>0</v>
      </c>
      <c r="L338" t="n">
        <v>0</v>
      </c>
      <c r="M338" t="n">
        <v>0</v>
      </c>
      <c r="N338" t="n">
        <v>0</v>
      </c>
      <c r="O338" t="n">
        <v>0</v>
      </c>
      <c r="P338" t="n">
        <v>0</v>
      </c>
      <c r="Q338" t="n">
        <v>0</v>
      </c>
      <c r="R338" s="2" t="inlineStr"/>
    </row>
    <row r="339" ht="15" customHeight="1">
      <c r="A339" t="inlineStr">
        <is>
          <t>A 41467-2025</t>
        </is>
      </c>
      <c r="B339" s="1" t="n">
        <v>45901</v>
      </c>
      <c r="C339" s="1" t="n">
        <v>46199</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58392-2025</t>
        </is>
      </c>
      <c r="B340" s="1" t="n">
        <v>45985</v>
      </c>
      <c r="C340" s="1" t="n">
        <v>46199</v>
      </c>
      <c r="D340" t="inlineStr">
        <is>
          <t>VÄRMLANDS LÄN</t>
        </is>
      </c>
      <c r="E340" t="inlineStr">
        <is>
          <t>ÅRJÄNG</t>
        </is>
      </c>
      <c r="G340" t="n">
        <v>1</v>
      </c>
      <c r="H340" t="n">
        <v>0</v>
      </c>
      <c r="I340" t="n">
        <v>0</v>
      </c>
      <c r="J340" t="n">
        <v>0</v>
      </c>
      <c r="K340" t="n">
        <v>0</v>
      </c>
      <c r="L340" t="n">
        <v>0</v>
      </c>
      <c r="M340" t="n">
        <v>0</v>
      </c>
      <c r="N340" t="n">
        <v>0</v>
      </c>
      <c r="O340" t="n">
        <v>0</v>
      </c>
      <c r="P340" t="n">
        <v>0</v>
      </c>
      <c r="Q340" t="n">
        <v>0</v>
      </c>
      <c r="R340" s="2" t="inlineStr"/>
    </row>
    <row r="341" ht="15" customHeight="1">
      <c r="A341" t="inlineStr">
        <is>
          <t>A 41763-2025</t>
        </is>
      </c>
      <c r="B341" s="1" t="n">
        <v>45902</v>
      </c>
      <c r="C341" s="1" t="n">
        <v>46199</v>
      </c>
      <c r="D341" t="inlineStr">
        <is>
          <t>VÄRMLANDS LÄN</t>
        </is>
      </c>
      <c r="E341" t="inlineStr">
        <is>
          <t>ÅRJÄNG</t>
        </is>
      </c>
      <c r="G341" t="n">
        <v>3.4</v>
      </c>
      <c r="H341" t="n">
        <v>0</v>
      </c>
      <c r="I341" t="n">
        <v>0</v>
      </c>
      <c r="J341" t="n">
        <v>0</v>
      </c>
      <c r="K341" t="n">
        <v>0</v>
      </c>
      <c r="L341" t="n">
        <v>0</v>
      </c>
      <c r="M341" t="n">
        <v>0</v>
      </c>
      <c r="N341" t="n">
        <v>0</v>
      </c>
      <c r="O341" t="n">
        <v>0</v>
      </c>
      <c r="P341" t="n">
        <v>0</v>
      </c>
      <c r="Q341" t="n">
        <v>0</v>
      </c>
      <c r="R341" s="2" t="inlineStr"/>
    </row>
    <row r="342" ht="15" customHeight="1">
      <c r="A342" t="inlineStr">
        <is>
          <t>A 41488-2025</t>
        </is>
      </c>
      <c r="B342" s="1" t="n">
        <v>45901</v>
      </c>
      <c r="C342" s="1" t="n">
        <v>46199</v>
      </c>
      <c r="D342" t="inlineStr">
        <is>
          <t>VÄRMLANDS LÄN</t>
        </is>
      </c>
      <c r="E342" t="inlineStr">
        <is>
          <t>ÅRJÄNG</t>
        </is>
      </c>
      <c r="G342" t="n">
        <v>0.8</v>
      </c>
      <c r="H342" t="n">
        <v>0</v>
      </c>
      <c r="I342" t="n">
        <v>0</v>
      </c>
      <c r="J342" t="n">
        <v>0</v>
      </c>
      <c r="K342" t="n">
        <v>0</v>
      </c>
      <c r="L342" t="n">
        <v>0</v>
      </c>
      <c r="M342" t="n">
        <v>0</v>
      </c>
      <c r="N342" t="n">
        <v>0</v>
      </c>
      <c r="O342" t="n">
        <v>0</v>
      </c>
      <c r="P342" t="n">
        <v>0</v>
      </c>
      <c r="Q342" t="n">
        <v>0</v>
      </c>
      <c r="R342" s="2" t="inlineStr"/>
    </row>
    <row r="343" ht="15" customHeight="1">
      <c r="A343" t="inlineStr">
        <is>
          <t>A 39008-2023</t>
        </is>
      </c>
      <c r="B343" s="1" t="n">
        <v>45162</v>
      </c>
      <c r="C343" s="1" t="n">
        <v>46199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58578-2025</t>
        </is>
      </c>
      <c r="B344" s="1" t="n">
        <v>45986</v>
      </c>
      <c r="C344" s="1" t="n">
        <v>46199</v>
      </c>
      <c r="D344" t="inlineStr">
        <is>
          <t>VÄRMLANDS LÄN</t>
        </is>
      </c>
      <c r="E344" t="inlineStr">
        <is>
          <t>ÅRJÄNG</t>
        </is>
      </c>
      <c r="G344" t="n">
        <v>0.6</v>
      </c>
      <c r="H344" t="n">
        <v>0</v>
      </c>
      <c r="I344" t="n">
        <v>0</v>
      </c>
      <c r="J344" t="n">
        <v>0</v>
      </c>
      <c r="K344" t="n">
        <v>0</v>
      </c>
      <c r="L344" t="n">
        <v>0</v>
      </c>
      <c r="M344" t="n">
        <v>0</v>
      </c>
      <c r="N344" t="n">
        <v>0</v>
      </c>
      <c r="O344" t="n">
        <v>0</v>
      </c>
      <c r="P344" t="n">
        <v>0</v>
      </c>
      <c r="Q344" t="n">
        <v>0</v>
      </c>
      <c r="R344" s="2" t="inlineStr"/>
    </row>
    <row r="345" ht="15" customHeight="1">
      <c r="A345" t="inlineStr">
        <is>
          <t>A 19246-2024</t>
        </is>
      </c>
      <c r="B345" s="1" t="n">
        <v>45428</v>
      </c>
      <c r="C345" s="1" t="n">
        <v>46199</v>
      </c>
      <c r="D345" t="inlineStr">
        <is>
          <t>VÄRMLANDS LÄN</t>
        </is>
      </c>
      <c r="E345" t="inlineStr">
        <is>
          <t>ÅRJÄNG</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41725-2025</t>
        </is>
      </c>
      <c r="B346" s="1" t="n">
        <v>45902</v>
      </c>
      <c r="C346" s="1" t="n">
        <v>46199</v>
      </c>
      <c r="D346" t="inlineStr">
        <is>
          <t>VÄRMLANDS LÄN</t>
        </is>
      </c>
      <c r="E346" t="inlineStr">
        <is>
          <t>ÅRJÄNG</t>
        </is>
      </c>
      <c r="G346" t="n">
        <v>1.2</v>
      </c>
      <c r="H346" t="n">
        <v>0</v>
      </c>
      <c r="I346" t="n">
        <v>0</v>
      </c>
      <c r="J346" t="n">
        <v>0</v>
      </c>
      <c r="K346" t="n">
        <v>0</v>
      </c>
      <c r="L346" t="n">
        <v>0</v>
      </c>
      <c r="M346" t="n">
        <v>0</v>
      </c>
      <c r="N346" t="n">
        <v>0</v>
      </c>
      <c r="O346" t="n">
        <v>0</v>
      </c>
      <c r="P346" t="n">
        <v>0</v>
      </c>
      <c r="Q346" t="n">
        <v>0</v>
      </c>
      <c r="R346" s="2" t="inlineStr"/>
    </row>
    <row r="347" ht="15" customHeight="1">
      <c r="A347" t="inlineStr">
        <is>
          <t>A 1665-2023</t>
        </is>
      </c>
      <c r="B347" s="1" t="n">
        <v>44938</v>
      </c>
      <c r="C347" s="1" t="n">
        <v>46199</v>
      </c>
      <c r="D347" t="inlineStr">
        <is>
          <t>VÄRMLANDS LÄN</t>
        </is>
      </c>
      <c r="E347" t="inlineStr">
        <is>
          <t>ÅRJÄNG</t>
        </is>
      </c>
      <c r="G347" t="n">
        <v>5.1</v>
      </c>
      <c r="H347" t="n">
        <v>0</v>
      </c>
      <c r="I347" t="n">
        <v>0</v>
      </c>
      <c r="J347" t="n">
        <v>0</v>
      </c>
      <c r="K347" t="n">
        <v>0</v>
      </c>
      <c r="L347" t="n">
        <v>0</v>
      </c>
      <c r="M347" t="n">
        <v>0</v>
      </c>
      <c r="N347" t="n">
        <v>0</v>
      </c>
      <c r="O347" t="n">
        <v>0</v>
      </c>
      <c r="P347" t="n">
        <v>0</v>
      </c>
      <c r="Q347" t="n">
        <v>0</v>
      </c>
      <c r="R347" s="2" t="inlineStr"/>
    </row>
    <row r="348" ht="15" customHeight="1">
      <c r="A348" t="inlineStr">
        <is>
          <t>A 38158-2023</t>
        </is>
      </c>
      <c r="B348" s="1" t="n">
        <v>45161</v>
      </c>
      <c r="C348" s="1" t="n">
        <v>46199</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28733-2024</t>
        </is>
      </c>
      <c r="B349" s="1" t="n">
        <v>45478</v>
      </c>
      <c r="C349" s="1" t="n">
        <v>46199</v>
      </c>
      <c r="D349" t="inlineStr">
        <is>
          <t>VÄRMLANDS LÄN</t>
        </is>
      </c>
      <c r="E349" t="inlineStr">
        <is>
          <t>ÅRJÄNG</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42333-2025</t>
        </is>
      </c>
      <c r="B350" s="1" t="n">
        <v>45904</v>
      </c>
      <c r="C350" s="1" t="n">
        <v>46199</v>
      </c>
      <c r="D350" t="inlineStr">
        <is>
          <t>VÄRMLANDS LÄN</t>
        </is>
      </c>
      <c r="E350" t="inlineStr">
        <is>
          <t>ÅRJÄNG</t>
        </is>
      </c>
      <c r="G350" t="n">
        <v>3.8</v>
      </c>
      <c r="H350" t="n">
        <v>0</v>
      </c>
      <c r="I350" t="n">
        <v>0</v>
      </c>
      <c r="J350" t="n">
        <v>0</v>
      </c>
      <c r="K350" t="n">
        <v>0</v>
      </c>
      <c r="L350" t="n">
        <v>0</v>
      </c>
      <c r="M350" t="n">
        <v>0</v>
      </c>
      <c r="N350" t="n">
        <v>0</v>
      </c>
      <c r="O350" t="n">
        <v>0</v>
      </c>
      <c r="P350" t="n">
        <v>0</v>
      </c>
      <c r="Q350" t="n">
        <v>0</v>
      </c>
      <c r="R350" s="2" t="inlineStr"/>
    </row>
    <row r="351" ht="15" customHeight="1">
      <c r="A351" t="inlineStr">
        <is>
          <t>A 58573-2025</t>
        </is>
      </c>
      <c r="B351" s="1" t="n">
        <v>45986</v>
      </c>
      <c r="C351" s="1" t="n">
        <v>46199</v>
      </c>
      <c r="D351" t="inlineStr">
        <is>
          <t>VÄRMLANDS LÄN</t>
        </is>
      </c>
      <c r="E351" t="inlineStr">
        <is>
          <t>ÅRJÄNG</t>
        </is>
      </c>
      <c r="G351" t="n">
        <v>1.6</v>
      </c>
      <c r="H351" t="n">
        <v>0</v>
      </c>
      <c r="I351" t="n">
        <v>0</v>
      </c>
      <c r="J351" t="n">
        <v>0</v>
      </c>
      <c r="K351" t="n">
        <v>0</v>
      </c>
      <c r="L351" t="n">
        <v>0</v>
      </c>
      <c r="M351" t="n">
        <v>0</v>
      </c>
      <c r="N351" t="n">
        <v>0</v>
      </c>
      <c r="O351" t="n">
        <v>0</v>
      </c>
      <c r="P351" t="n">
        <v>0</v>
      </c>
      <c r="Q351" t="n">
        <v>0</v>
      </c>
      <c r="R351" s="2" t="inlineStr"/>
    </row>
    <row r="352" ht="15" customHeight="1">
      <c r="A352" t="inlineStr">
        <is>
          <t>A 26258-2025</t>
        </is>
      </c>
      <c r="B352" s="1" t="n">
        <v>45805</v>
      </c>
      <c r="C352" s="1" t="n">
        <v>46199</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5319-2025</t>
        </is>
      </c>
      <c r="B353" s="1" t="n">
        <v>45692</v>
      </c>
      <c r="C353" s="1" t="n">
        <v>46199</v>
      </c>
      <c r="D353" t="inlineStr">
        <is>
          <t>VÄRMLANDS LÄN</t>
        </is>
      </c>
      <c r="E353" t="inlineStr">
        <is>
          <t>ÅRJÄNG</t>
        </is>
      </c>
      <c r="G353" t="n">
        <v>1.8</v>
      </c>
      <c r="H353" t="n">
        <v>0</v>
      </c>
      <c r="I353" t="n">
        <v>0</v>
      </c>
      <c r="J353" t="n">
        <v>0</v>
      </c>
      <c r="K353" t="n">
        <v>0</v>
      </c>
      <c r="L353" t="n">
        <v>0</v>
      </c>
      <c r="M353" t="n">
        <v>0</v>
      </c>
      <c r="N353" t="n">
        <v>0</v>
      </c>
      <c r="O353" t="n">
        <v>0</v>
      </c>
      <c r="P353" t="n">
        <v>0</v>
      </c>
      <c r="Q353" t="n">
        <v>0</v>
      </c>
      <c r="R353" s="2" t="inlineStr"/>
    </row>
    <row r="354" ht="15" customHeight="1">
      <c r="A354" t="inlineStr">
        <is>
          <t>A 6577-2025</t>
        </is>
      </c>
      <c r="B354" s="1" t="n">
        <v>45699</v>
      </c>
      <c r="C354" s="1" t="n">
        <v>46199</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12840-2025</t>
        </is>
      </c>
      <c r="B355" s="1" t="n">
        <v>45733</v>
      </c>
      <c r="C355" s="1" t="n">
        <v>46199</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8146-2024</t>
        </is>
      </c>
      <c r="B356" s="1" t="n">
        <v>45351</v>
      </c>
      <c r="C356" s="1" t="n">
        <v>46199</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92-2022</t>
        </is>
      </c>
      <c r="B357" s="1" t="n">
        <v>44564</v>
      </c>
      <c r="C357" s="1" t="n">
        <v>46199</v>
      </c>
      <c r="D357" t="inlineStr">
        <is>
          <t>VÄRMLANDS LÄN</t>
        </is>
      </c>
      <c r="E357" t="inlineStr">
        <is>
          <t>ÅRJÄNG</t>
        </is>
      </c>
      <c r="G357" t="n">
        <v>10.4</v>
      </c>
      <c r="H357" t="n">
        <v>0</v>
      </c>
      <c r="I357" t="n">
        <v>0</v>
      </c>
      <c r="J357" t="n">
        <v>0</v>
      </c>
      <c r="K357" t="n">
        <v>0</v>
      </c>
      <c r="L357" t="n">
        <v>0</v>
      </c>
      <c r="M357" t="n">
        <v>0</v>
      </c>
      <c r="N357" t="n">
        <v>0</v>
      </c>
      <c r="O357" t="n">
        <v>0</v>
      </c>
      <c r="P357" t="n">
        <v>0</v>
      </c>
      <c r="Q357" t="n">
        <v>0</v>
      </c>
      <c r="R357" s="2" t="inlineStr"/>
    </row>
    <row r="358" ht="15" customHeight="1">
      <c r="A358" t="inlineStr">
        <is>
          <t>A 42562-2025</t>
        </is>
      </c>
      <c r="B358" s="1" t="n">
        <v>45905</v>
      </c>
      <c r="C358" s="1" t="n">
        <v>46199</v>
      </c>
      <c r="D358" t="inlineStr">
        <is>
          <t>VÄRMLANDS LÄN</t>
        </is>
      </c>
      <c r="E358" t="inlineStr">
        <is>
          <t>ÅRJÄNG</t>
        </is>
      </c>
      <c r="G358" t="n">
        <v>2.3</v>
      </c>
      <c r="H358" t="n">
        <v>0</v>
      </c>
      <c r="I358" t="n">
        <v>0</v>
      </c>
      <c r="J358" t="n">
        <v>0</v>
      </c>
      <c r="K358" t="n">
        <v>0</v>
      </c>
      <c r="L358" t="n">
        <v>0</v>
      </c>
      <c r="M358" t="n">
        <v>0</v>
      </c>
      <c r="N358" t="n">
        <v>0</v>
      </c>
      <c r="O358" t="n">
        <v>0</v>
      </c>
      <c r="P358" t="n">
        <v>0</v>
      </c>
      <c r="Q358" t="n">
        <v>0</v>
      </c>
      <c r="R358" s="2" t="inlineStr"/>
    </row>
    <row r="359" ht="15" customHeight="1">
      <c r="A359" t="inlineStr">
        <is>
          <t>A 26728-2025</t>
        </is>
      </c>
      <c r="B359" s="1" t="n">
        <v>45810</v>
      </c>
      <c r="C359" s="1" t="n">
        <v>46199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9489-2023</t>
        </is>
      </c>
      <c r="B360" s="1" t="n">
        <v>44981</v>
      </c>
      <c r="C360" s="1" t="n">
        <v>46199</v>
      </c>
      <c r="D360" t="inlineStr">
        <is>
          <t>VÄRMLANDS LÄN</t>
        </is>
      </c>
      <c r="E360" t="inlineStr">
        <is>
          <t>ÅRJÄNG</t>
        </is>
      </c>
      <c r="G360" t="n">
        <v>0.8</v>
      </c>
      <c r="H360" t="n">
        <v>0</v>
      </c>
      <c r="I360" t="n">
        <v>0</v>
      </c>
      <c r="J360" t="n">
        <v>0</v>
      </c>
      <c r="K360" t="n">
        <v>0</v>
      </c>
      <c r="L360" t="n">
        <v>0</v>
      </c>
      <c r="M360" t="n">
        <v>0</v>
      </c>
      <c r="N360" t="n">
        <v>0</v>
      </c>
      <c r="O360" t="n">
        <v>0</v>
      </c>
      <c r="P360" t="n">
        <v>0</v>
      </c>
      <c r="Q360" t="n">
        <v>0</v>
      </c>
      <c r="R360" s="2" t="inlineStr"/>
    </row>
    <row r="361" ht="15" customHeight="1">
      <c r="A361" t="inlineStr">
        <is>
          <t>A 36642-2021</t>
        </is>
      </c>
      <c r="B361" s="1" t="n">
        <v>44392</v>
      </c>
      <c r="C361" s="1" t="n">
        <v>46199</v>
      </c>
      <c r="D361" t="inlineStr">
        <is>
          <t>VÄRMLANDS LÄN</t>
        </is>
      </c>
      <c r="E361" t="inlineStr">
        <is>
          <t>ÅRJÄNG</t>
        </is>
      </c>
      <c r="G361" t="n">
        <v>6.1</v>
      </c>
      <c r="H361" t="n">
        <v>0</v>
      </c>
      <c r="I361" t="n">
        <v>0</v>
      </c>
      <c r="J361" t="n">
        <v>0</v>
      </c>
      <c r="K361" t="n">
        <v>0</v>
      </c>
      <c r="L361" t="n">
        <v>0</v>
      </c>
      <c r="M361" t="n">
        <v>0</v>
      </c>
      <c r="N361" t="n">
        <v>0</v>
      </c>
      <c r="O361" t="n">
        <v>0</v>
      </c>
      <c r="P361" t="n">
        <v>0</v>
      </c>
      <c r="Q361" t="n">
        <v>0</v>
      </c>
      <c r="R361" s="2" t="inlineStr"/>
    </row>
    <row r="362" ht="15" customHeight="1">
      <c r="A362" t="inlineStr">
        <is>
          <t>A 38057-2024</t>
        </is>
      </c>
      <c r="B362" s="1" t="n">
        <v>45544</v>
      </c>
      <c r="C362" s="1" t="n">
        <v>46199</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24789-2024</t>
        </is>
      </c>
      <c r="B363" s="1" t="n">
        <v>45460</v>
      </c>
      <c r="C363" s="1" t="n">
        <v>46199</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43012-2025</t>
        </is>
      </c>
      <c r="B364" s="1" t="n">
        <v>45909</v>
      </c>
      <c r="C364" s="1" t="n">
        <v>46199</v>
      </c>
      <c r="D364" t="inlineStr">
        <is>
          <t>VÄRMLANDS LÄN</t>
        </is>
      </c>
      <c r="E364" t="inlineStr">
        <is>
          <t>ÅRJÄNG</t>
        </is>
      </c>
      <c r="G364" t="n">
        <v>3.1</v>
      </c>
      <c r="H364" t="n">
        <v>0</v>
      </c>
      <c r="I364" t="n">
        <v>0</v>
      </c>
      <c r="J364" t="n">
        <v>0</v>
      </c>
      <c r="K364" t="n">
        <v>0</v>
      </c>
      <c r="L364" t="n">
        <v>0</v>
      </c>
      <c r="M364" t="n">
        <v>0</v>
      </c>
      <c r="N364" t="n">
        <v>0</v>
      </c>
      <c r="O364" t="n">
        <v>0</v>
      </c>
      <c r="P364" t="n">
        <v>0</v>
      </c>
      <c r="Q364" t="n">
        <v>0</v>
      </c>
      <c r="R364" s="2" t="inlineStr"/>
    </row>
    <row r="365" ht="15" customHeight="1">
      <c r="A365" t="inlineStr">
        <is>
          <t>A 42971-2025</t>
        </is>
      </c>
      <c r="B365" s="1" t="n">
        <v>45909</v>
      </c>
      <c r="C365" s="1" t="n">
        <v>46199</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43162-2025</t>
        </is>
      </c>
      <c r="B366" s="1" t="n">
        <v>45910</v>
      </c>
      <c r="C366" s="1" t="n">
        <v>46199</v>
      </c>
      <c r="D366" t="inlineStr">
        <is>
          <t>VÄRMLANDS LÄN</t>
        </is>
      </c>
      <c r="E366" t="inlineStr">
        <is>
          <t>ÅRJÄNG</t>
        </is>
      </c>
      <c r="F366" t="inlineStr">
        <is>
          <t>Bergvik skog väst AB</t>
        </is>
      </c>
      <c r="G366" t="n">
        <v>12.9</v>
      </c>
      <c r="H366" t="n">
        <v>0</v>
      </c>
      <c r="I366" t="n">
        <v>0</v>
      </c>
      <c r="J366" t="n">
        <v>0</v>
      </c>
      <c r="K366" t="n">
        <v>0</v>
      </c>
      <c r="L366" t="n">
        <v>0</v>
      </c>
      <c r="M366" t="n">
        <v>0</v>
      </c>
      <c r="N366" t="n">
        <v>0</v>
      </c>
      <c r="O366" t="n">
        <v>0</v>
      </c>
      <c r="P366" t="n">
        <v>0</v>
      </c>
      <c r="Q366" t="n">
        <v>0</v>
      </c>
      <c r="R366" s="2" t="inlineStr"/>
    </row>
    <row r="367" ht="15" customHeight="1">
      <c r="A367" t="inlineStr">
        <is>
          <t>A 55432-2024</t>
        </is>
      </c>
      <c r="B367" s="1" t="n">
        <v>45622</v>
      </c>
      <c r="C367" s="1" t="n">
        <v>46199</v>
      </c>
      <c r="D367" t="inlineStr">
        <is>
          <t>VÄRMLANDS LÄN</t>
        </is>
      </c>
      <c r="E367" t="inlineStr">
        <is>
          <t>ÅRJÄNG</t>
        </is>
      </c>
      <c r="G367" t="n">
        <v>6.9</v>
      </c>
      <c r="H367" t="n">
        <v>0</v>
      </c>
      <c r="I367" t="n">
        <v>0</v>
      </c>
      <c r="J367" t="n">
        <v>0</v>
      </c>
      <c r="K367" t="n">
        <v>0</v>
      </c>
      <c r="L367" t="n">
        <v>0</v>
      </c>
      <c r="M367" t="n">
        <v>0</v>
      </c>
      <c r="N367" t="n">
        <v>0</v>
      </c>
      <c r="O367" t="n">
        <v>0</v>
      </c>
      <c r="P367" t="n">
        <v>0</v>
      </c>
      <c r="Q367" t="n">
        <v>0</v>
      </c>
      <c r="R367" s="2" t="inlineStr"/>
    </row>
    <row r="368" ht="15" customHeight="1">
      <c r="A368" t="inlineStr">
        <is>
          <t>A 51265-2024</t>
        </is>
      </c>
      <c r="B368" s="1" t="n">
        <v>45602</v>
      </c>
      <c r="C368" s="1" t="n">
        <v>46199</v>
      </c>
      <c r="D368" t="inlineStr">
        <is>
          <t>VÄRMLANDS LÄN</t>
        </is>
      </c>
      <c r="E368" t="inlineStr">
        <is>
          <t>ÅRJÄNG</t>
        </is>
      </c>
      <c r="G368" t="n">
        <v>2.5</v>
      </c>
      <c r="H368" t="n">
        <v>0</v>
      </c>
      <c r="I368" t="n">
        <v>0</v>
      </c>
      <c r="J368" t="n">
        <v>0</v>
      </c>
      <c r="K368" t="n">
        <v>0</v>
      </c>
      <c r="L368" t="n">
        <v>0</v>
      </c>
      <c r="M368" t="n">
        <v>0</v>
      </c>
      <c r="N368" t="n">
        <v>0</v>
      </c>
      <c r="O368" t="n">
        <v>0</v>
      </c>
      <c r="P368" t="n">
        <v>0</v>
      </c>
      <c r="Q368" t="n">
        <v>0</v>
      </c>
      <c r="R368" s="2" t="inlineStr"/>
    </row>
    <row r="369" ht="15" customHeight="1">
      <c r="A369" t="inlineStr">
        <is>
          <t>A 4865-2024</t>
        </is>
      </c>
      <c r="B369" s="1" t="n">
        <v>45329</v>
      </c>
      <c r="C369" s="1" t="n">
        <v>46199</v>
      </c>
      <c r="D369" t="inlineStr">
        <is>
          <t>VÄRMLANDS LÄN</t>
        </is>
      </c>
      <c r="E369" t="inlineStr">
        <is>
          <t>ÅRJÄNG</t>
        </is>
      </c>
      <c r="G369" t="n">
        <v>0.8</v>
      </c>
      <c r="H369" t="n">
        <v>0</v>
      </c>
      <c r="I369" t="n">
        <v>0</v>
      </c>
      <c r="J369" t="n">
        <v>0</v>
      </c>
      <c r="K369" t="n">
        <v>0</v>
      </c>
      <c r="L369" t="n">
        <v>0</v>
      </c>
      <c r="M369" t="n">
        <v>0</v>
      </c>
      <c r="N369" t="n">
        <v>0</v>
      </c>
      <c r="O369" t="n">
        <v>0</v>
      </c>
      <c r="P369" t="n">
        <v>0</v>
      </c>
      <c r="Q369" t="n">
        <v>0</v>
      </c>
      <c r="R369" s="2" t="inlineStr"/>
    </row>
    <row r="370" ht="15" customHeight="1">
      <c r="A370" t="inlineStr">
        <is>
          <t>A 26783-2024</t>
        </is>
      </c>
      <c r="B370" s="1" t="n">
        <v>45470</v>
      </c>
      <c r="C370" s="1" t="n">
        <v>46199</v>
      </c>
      <c r="D370" t="inlineStr">
        <is>
          <t>VÄRMLANDS LÄN</t>
        </is>
      </c>
      <c r="E370" t="inlineStr">
        <is>
          <t>ÅRJÄNG</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18718-2023</t>
        </is>
      </c>
      <c r="B371" s="1" t="n">
        <v>45043</v>
      </c>
      <c r="C371" s="1" t="n">
        <v>46199</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19245-2024</t>
        </is>
      </c>
      <c r="B372" s="1" t="n">
        <v>45428</v>
      </c>
      <c r="C372" s="1" t="n">
        <v>46199</v>
      </c>
      <c r="D372" t="inlineStr">
        <is>
          <t>VÄRMLANDS LÄN</t>
        </is>
      </c>
      <c r="E372" t="inlineStr">
        <is>
          <t>ÅRJÄNG</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26434-2025</t>
        </is>
      </c>
      <c r="B373" s="1" t="n">
        <v>45807</v>
      </c>
      <c r="C373" s="1" t="n">
        <v>46199</v>
      </c>
      <c r="D373" t="inlineStr">
        <is>
          <t>VÄRMLANDS LÄN</t>
        </is>
      </c>
      <c r="E373" t="inlineStr">
        <is>
          <t>ÅRJÄNG</t>
        </is>
      </c>
      <c r="G373" t="n">
        <v>2.2</v>
      </c>
      <c r="H373" t="n">
        <v>0</v>
      </c>
      <c r="I373" t="n">
        <v>0</v>
      </c>
      <c r="J373" t="n">
        <v>0</v>
      </c>
      <c r="K373" t="n">
        <v>0</v>
      </c>
      <c r="L373" t="n">
        <v>0</v>
      </c>
      <c r="M373" t="n">
        <v>0</v>
      </c>
      <c r="N373" t="n">
        <v>0</v>
      </c>
      <c r="O373" t="n">
        <v>0</v>
      </c>
      <c r="P373" t="n">
        <v>0</v>
      </c>
      <c r="Q373" t="n">
        <v>0</v>
      </c>
      <c r="R373" s="2" t="inlineStr"/>
    </row>
    <row r="374" ht="15" customHeight="1">
      <c r="A374" t="inlineStr">
        <is>
          <t>A 43025-2025</t>
        </is>
      </c>
      <c r="B374" s="1" t="n">
        <v>45909</v>
      </c>
      <c r="C374" s="1" t="n">
        <v>46199</v>
      </c>
      <c r="D374" t="inlineStr">
        <is>
          <t>VÄRMLANDS LÄN</t>
        </is>
      </c>
      <c r="E374" t="inlineStr">
        <is>
          <t>ÅRJÄNG</t>
        </is>
      </c>
      <c r="G374" t="n">
        <v>3.8</v>
      </c>
      <c r="H374" t="n">
        <v>0</v>
      </c>
      <c r="I374" t="n">
        <v>0</v>
      </c>
      <c r="J374" t="n">
        <v>0</v>
      </c>
      <c r="K374" t="n">
        <v>0</v>
      </c>
      <c r="L374" t="n">
        <v>0</v>
      </c>
      <c r="M374" t="n">
        <v>0</v>
      </c>
      <c r="N374" t="n">
        <v>0</v>
      </c>
      <c r="O374" t="n">
        <v>0</v>
      </c>
      <c r="P374" t="n">
        <v>0</v>
      </c>
      <c r="Q374" t="n">
        <v>0</v>
      </c>
      <c r="R374" s="2" t="inlineStr"/>
    </row>
    <row r="375" ht="15" customHeight="1">
      <c r="A375" t="inlineStr">
        <is>
          <t>A 43047-2025</t>
        </is>
      </c>
      <c r="B375" s="1" t="n">
        <v>45909</v>
      </c>
      <c r="C375" s="1" t="n">
        <v>46199</v>
      </c>
      <c r="D375" t="inlineStr">
        <is>
          <t>VÄRMLANDS LÄN</t>
        </is>
      </c>
      <c r="E375" t="inlineStr">
        <is>
          <t>ÅRJÄNG</t>
        </is>
      </c>
      <c r="G375" t="n">
        <v>6.3</v>
      </c>
      <c r="H375" t="n">
        <v>0</v>
      </c>
      <c r="I375" t="n">
        <v>0</v>
      </c>
      <c r="J375" t="n">
        <v>0</v>
      </c>
      <c r="K375" t="n">
        <v>0</v>
      </c>
      <c r="L375" t="n">
        <v>0</v>
      </c>
      <c r="M375" t="n">
        <v>0</v>
      </c>
      <c r="N375" t="n">
        <v>0</v>
      </c>
      <c r="O375" t="n">
        <v>0</v>
      </c>
      <c r="P375" t="n">
        <v>0</v>
      </c>
      <c r="Q375" t="n">
        <v>0</v>
      </c>
      <c r="R375" s="2" t="inlineStr"/>
    </row>
    <row r="376" ht="15" customHeight="1">
      <c r="A376" t="inlineStr">
        <is>
          <t>A 61154-2021</t>
        </is>
      </c>
      <c r="B376" s="1" t="n">
        <v>44497</v>
      </c>
      <c r="C376" s="1" t="n">
        <v>46199</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43050-2025</t>
        </is>
      </c>
      <c r="B377" s="1" t="n">
        <v>45909</v>
      </c>
      <c r="C377" s="1" t="n">
        <v>46199</v>
      </c>
      <c r="D377" t="inlineStr">
        <is>
          <t>VÄRMLANDS LÄN</t>
        </is>
      </c>
      <c r="E377" t="inlineStr">
        <is>
          <t>ÅRJÄNG</t>
        </is>
      </c>
      <c r="G377" t="n">
        <v>4.8</v>
      </c>
      <c r="H377" t="n">
        <v>0</v>
      </c>
      <c r="I377" t="n">
        <v>0</v>
      </c>
      <c r="J377" t="n">
        <v>0</v>
      </c>
      <c r="K377" t="n">
        <v>0</v>
      </c>
      <c r="L377" t="n">
        <v>0</v>
      </c>
      <c r="M377" t="n">
        <v>0</v>
      </c>
      <c r="N377" t="n">
        <v>0</v>
      </c>
      <c r="O377" t="n">
        <v>0</v>
      </c>
      <c r="P377" t="n">
        <v>0</v>
      </c>
      <c r="Q377" t="n">
        <v>0</v>
      </c>
      <c r="R377" s="2" t="inlineStr"/>
    </row>
    <row r="378" ht="15" customHeight="1">
      <c r="A378" t="inlineStr">
        <is>
          <t>A 4137-2025</t>
        </is>
      </c>
      <c r="B378" s="1" t="n">
        <v>45685</v>
      </c>
      <c r="C378" s="1" t="n">
        <v>46199</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43517-2024</t>
        </is>
      </c>
      <c r="B379" s="1" t="n">
        <v>45569</v>
      </c>
      <c r="C379" s="1" t="n">
        <v>46199</v>
      </c>
      <c r="D379" t="inlineStr">
        <is>
          <t>VÄRMLANDS LÄN</t>
        </is>
      </c>
      <c r="E379" t="inlineStr">
        <is>
          <t>ÅRJÄNG</t>
        </is>
      </c>
      <c r="G379" t="n">
        <v>5.9</v>
      </c>
      <c r="H379" t="n">
        <v>0</v>
      </c>
      <c r="I379" t="n">
        <v>0</v>
      </c>
      <c r="J379" t="n">
        <v>0</v>
      </c>
      <c r="K379" t="n">
        <v>0</v>
      </c>
      <c r="L379" t="n">
        <v>0</v>
      </c>
      <c r="M379" t="n">
        <v>0</v>
      </c>
      <c r="N379" t="n">
        <v>0</v>
      </c>
      <c r="O379" t="n">
        <v>0</v>
      </c>
      <c r="P379" t="n">
        <v>0</v>
      </c>
      <c r="Q379" t="n">
        <v>0</v>
      </c>
      <c r="R379" s="2" t="inlineStr"/>
    </row>
    <row r="380" ht="15" customHeight="1">
      <c r="A380" t="inlineStr">
        <is>
          <t>A 15323-2025</t>
        </is>
      </c>
      <c r="B380" s="1" t="n">
        <v>45747</v>
      </c>
      <c r="C380" s="1" t="n">
        <v>46199</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43426-2025</t>
        </is>
      </c>
      <c r="B381" s="1" t="n">
        <v>45911</v>
      </c>
      <c r="C381" s="1" t="n">
        <v>46199</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43484-2025</t>
        </is>
      </c>
      <c r="B382" s="1" t="n">
        <v>45911</v>
      </c>
      <c r="C382" s="1" t="n">
        <v>46199</v>
      </c>
      <c r="D382" t="inlineStr">
        <is>
          <t>VÄRMLANDS LÄN</t>
        </is>
      </c>
      <c r="E382" t="inlineStr">
        <is>
          <t>ÅRJÄNG</t>
        </is>
      </c>
      <c r="G382" t="n">
        <v>1.8</v>
      </c>
      <c r="H382" t="n">
        <v>0</v>
      </c>
      <c r="I382" t="n">
        <v>0</v>
      </c>
      <c r="J382" t="n">
        <v>0</v>
      </c>
      <c r="K382" t="n">
        <v>0</v>
      </c>
      <c r="L382" t="n">
        <v>0</v>
      </c>
      <c r="M382" t="n">
        <v>0</v>
      </c>
      <c r="N382" t="n">
        <v>0</v>
      </c>
      <c r="O382" t="n">
        <v>0</v>
      </c>
      <c r="P382" t="n">
        <v>0</v>
      </c>
      <c r="Q382" t="n">
        <v>0</v>
      </c>
      <c r="R382" s="2" t="inlineStr"/>
    </row>
    <row r="383" ht="15" customHeight="1">
      <c r="A383" t="inlineStr">
        <is>
          <t>A 60909-2024</t>
        </is>
      </c>
      <c r="B383" s="1" t="n">
        <v>45645</v>
      </c>
      <c r="C383" s="1" t="n">
        <v>46199</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8357-2025</t>
        </is>
      </c>
      <c r="B384" s="1" t="n">
        <v>45708</v>
      </c>
      <c r="C384" s="1" t="n">
        <v>46199</v>
      </c>
      <c r="D384" t="inlineStr">
        <is>
          <t>VÄRMLANDS LÄN</t>
        </is>
      </c>
      <c r="E384" t="inlineStr">
        <is>
          <t>ÅRJÄNG</t>
        </is>
      </c>
      <c r="G384" t="n">
        <v>3.4</v>
      </c>
      <c r="H384" t="n">
        <v>0</v>
      </c>
      <c r="I384" t="n">
        <v>0</v>
      </c>
      <c r="J384" t="n">
        <v>0</v>
      </c>
      <c r="K384" t="n">
        <v>0</v>
      </c>
      <c r="L384" t="n">
        <v>0</v>
      </c>
      <c r="M384" t="n">
        <v>0</v>
      </c>
      <c r="N384" t="n">
        <v>0</v>
      </c>
      <c r="O384" t="n">
        <v>0</v>
      </c>
      <c r="P384" t="n">
        <v>0</v>
      </c>
      <c r="Q384" t="n">
        <v>0</v>
      </c>
      <c r="R384" s="2" t="inlineStr"/>
    </row>
    <row r="385" ht="15" customHeight="1">
      <c r="A385" t="inlineStr">
        <is>
          <t>A 10321-2025</t>
        </is>
      </c>
      <c r="B385" s="1" t="n">
        <v>45720</v>
      </c>
      <c r="C385" s="1" t="n">
        <v>46199</v>
      </c>
      <c r="D385" t="inlineStr">
        <is>
          <t>VÄRMLANDS LÄN</t>
        </is>
      </c>
      <c r="E385" t="inlineStr">
        <is>
          <t>ÅRJÄNG</t>
        </is>
      </c>
      <c r="G385" t="n">
        <v>3.4</v>
      </c>
      <c r="H385" t="n">
        <v>0</v>
      </c>
      <c r="I385" t="n">
        <v>0</v>
      </c>
      <c r="J385" t="n">
        <v>0</v>
      </c>
      <c r="K385" t="n">
        <v>0</v>
      </c>
      <c r="L385" t="n">
        <v>0</v>
      </c>
      <c r="M385" t="n">
        <v>0</v>
      </c>
      <c r="N385" t="n">
        <v>0</v>
      </c>
      <c r="O385" t="n">
        <v>0</v>
      </c>
      <c r="P385" t="n">
        <v>0</v>
      </c>
      <c r="Q385" t="n">
        <v>0</v>
      </c>
      <c r="R385" s="2" t="inlineStr"/>
    </row>
    <row r="386" ht="15" customHeight="1">
      <c r="A386" t="inlineStr">
        <is>
          <t>A 2969-2022</t>
        </is>
      </c>
      <c r="B386" s="1" t="n">
        <v>44581</v>
      </c>
      <c r="C386" s="1" t="n">
        <v>46199</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56348-2024</t>
        </is>
      </c>
      <c r="B387" s="1" t="n">
        <v>45624</v>
      </c>
      <c r="C387" s="1" t="n">
        <v>46199</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26998-2025</t>
        </is>
      </c>
      <c r="B388" s="1" t="n">
        <v>45811</v>
      </c>
      <c r="C388" s="1" t="n">
        <v>46199</v>
      </c>
      <c r="D388" t="inlineStr">
        <is>
          <t>VÄRMLANDS LÄN</t>
        </is>
      </c>
      <c r="E388" t="inlineStr">
        <is>
          <t>ÅRJÄNG</t>
        </is>
      </c>
      <c r="G388" t="n">
        <v>1.8</v>
      </c>
      <c r="H388" t="n">
        <v>0</v>
      </c>
      <c r="I388" t="n">
        <v>0</v>
      </c>
      <c r="J388" t="n">
        <v>0</v>
      </c>
      <c r="K388" t="n">
        <v>0</v>
      </c>
      <c r="L388" t="n">
        <v>0</v>
      </c>
      <c r="M388" t="n">
        <v>0</v>
      </c>
      <c r="N388" t="n">
        <v>0</v>
      </c>
      <c r="O388" t="n">
        <v>0</v>
      </c>
      <c r="P388" t="n">
        <v>0</v>
      </c>
      <c r="Q388" t="n">
        <v>0</v>
      </c>
      <c r="R388" s="2" t="inlineStr"/>
    </row>
    <row r="389" ht="15" customHeight="1">
      <c r="A389" t="inlineStr">
        <is>
          <t>A 24964-2025</t>
        </is>
      </c>
      <c r="B389" s="1" t="n">
        <v>45799</v>
      </c>
      <c r="C389" s="1" t="n">
        <v>46199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26959-2025</t>
        </is>
      </c>
      <c r="B390" s="1" t="n">
        <v>45811</v>
      </c>
      <c r="C390" s="1" t="n">
        <v>46199</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43434-2025</t>
        </is>
      </c>
      <c r="B391" s="1" t="n">
        <v>45911</v>
      </c>
      <c r="C391" s="1" t="n">
        <v>46199</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74448-2021</t>
        </is>
      </c>
      <c r="B392" s="1" t="n">
        <v>44560</v>
      </c>
      <c r="C392" s="1" t="n">
        <v>46199</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61295-2022</t>
        </is>
      </c>
      <c r="B393" s="1" t="n">
        <v>44915</v>
      </c>
      <c r="C393" s="1" t="n">
        <v>46199</v>
      </c>
      <c r="D393" t="inlineStr">
        <is>
          <t>VÄRMLANDS LÄN</t>
        </is>
      </c>
      <c r="E393" t="inlineStr">
        <is>
          <t>ÅRJÄNG</t>
        </is>
      </c>
      <c r="G393" t="n">
        <v>0.4</v>
      </c>
      <c r="H393" t="n">
        <v>0</v>
      </c>
      <c r="I393" t="n">
        <v>0</v>
      </c>
      <c r="J393" t="n">
        <v>0</v>
      </c>
      <c r="K393" t="n">
        <v>0</v>
      </c>
      <c r="L393" t="n">
        <v>0</v>
      </c>
      <c r="M393" t="n">
        <v>0</v>
      </c>
      <c r="N393" t="n">
        <v>0</v>
      </c>
      <c r="O393" t="n">
        <v>0</v>
      </c>
      <c r="P393" t="n">
        <v>0</v>
      </c>
      <c r="Q393" t="n">
        <v>0</v>
      </c>
      <c r="R393" s="2" t="inlineStr"/>
    </row>
    <row r="394" ht="15" customHeight="1">
      <c r="A394" t="inlineStr">
        <is>
          <t>A 10648-2023</t>
        </is>
      </c>
      <c r="B394" s="1" t="n">
        <v>44984</v>
      </c>
      <c r="C394" s="1" t="n">
        <v>46199</v>
      </c>
      <c r="D394" t="inlineStr">
        <is>
          <t>VÄRMLANDS LÄN</t>
        </is>
      </c>
      <c r="E394" t="inlineStr">
        <is>
          <t>ÅRJÄNG</t>
        </is>
      </c>
      <c r="G394" t="n">
        <v>0.6</v>
      </c>
      <c r="H394" t="n">
        <v>0</v>
      </c>
      <c r="I394" t="n">
        <v>0</v>
      </c>
      <c r="J394" t="n">
        <v>0</v>
      </c>
      <c r="K394" t="n">
        <v>0</v>
      </c>
      <c r="L394" t="n">
        <v>0</v>
      </c>
      <c r="M394" t="n">
        <v>0</v>
      </c>
      <c r="N394" t="n">
        <v>0</v>
      </c>
      <c r="O394" t="n">
        <v>0</v>
      </c>
      <c r="P394" t="n">
        <v>0</v>
      </c>
      <c r="Q394" t="n">
        <v>0</v>
      </c>
      <c r="R394" s="2" t="inlineStr"/>
    </row>
    <row r="395" ht="15" customHeight="1">
      <c r="A395" t="inlineStr">
        <is>
          <t>A 36282-2024</t>
        </is>
      </c>
      <c r="B395" s="1" t="n">
        <v>45534</v>
      </c>
      <c r="C395" s="1" t="n">
        <v>46199</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27247-2025</t>
        </is>
      </c>
      <c r="B396" s="1" t="n">
        <v>45812</v>
      </c>
      <c r="C396" s="1" t="n">
        <v>46199</v>
      </c>
      <c r="D396" t="inlineStr">
        <is>
          <t>VÄRMLANDS LÄN</t>
        </is>
      </c>
      <c r="E396" t="inlineStr">
        <is>
          <t>ÅRJÄNG</t>
        </is>
      </c>
      <c r="G396" t="n">
        <v>2.9</v>
      </c>
      <c r="H396" t="n">
        <v>0</v>
      </c>
      <c r="I396" t="n">
        <v>0</v>
      </c>
      <c r="J396" t="n">
        <v>0</v>
      </c>
      <c r="K396" t="n">
        <v>0</v>
      </c>
      <c r="L396" t="n">
        <v>0</v>
      </c>
      <c r="M396" t="n">
        <v>0</v>
      </c>
      <c r="N396" t="n">
        <v>0</v>
      </c>
      <c r="O396" t="n">
        <v>0</v>
      </c>
      <c r="P396" t="n">
        <v>0</v>
      </c>
      <c r="Q396" t="n">
        <v>0</v>
      </c>
      <c r="R396" s="2" t="inlineStr"/>
    </row>
    <row r="397" ht="15" customHeight="1">
      <c r="A397" t="inlineStr">
        <is>
          <t>A 61545-2024</t>
        </is>
      </c>
      <c r="B397" s="1" t="n">
        <v>45646</v>
      </c>
      <c r="C397" s="1" t="n">
        <v>46199</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56566-2022</t>
        </is>
      </c>
      <c r="B398" s="1" t="n">
        <v>44893</v>
      </c>
      <c r="C398" s="1" t="n">
        <v>46199</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44300-2025</t>
        </is>
      </c>
      <c r="B399" s="1" t="n">
        <v>45916</v>
      </c>
      <c r="C399" s="1" t="n">
        <v>46199</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37347-2024</t>
        </is>
      </c>
      <c r="B400" s="1" t="n">
        <v>45540</v>
      </c>
      <c r="C400" s="1" t="n">
        <v>46199</v>
      </c>
      <c r="D400" t="inlineStr">
        <is>
          <t>VÄRMLANDS LÄN</t>
        </is>
      </c>
      <c r="E400" t="inlineStr">
        <is>
          <t>ÅRJÄNG</t>
        </is>
      </c>
      <c r="G400" t="n">
        <v>1.9</v>
      </c>
      <c r="H400" t="n">
        <v>0</v>
      </c>
      <c r="I400" t="n">
        <v>0</v>
      </c>
      <c r="J400" t="n">
        <v>0</v>
      </c>
      <c r="K400" t="n">
        <v>0</v>
      </c>
      <c r="L400" t="n">
        <v>0</v>
      </c>
      <c r="M400" t="n">
        <v>0</v>
      </c>
      <c r="N400" t="n">
        <v>0</v>
      </c>
      <c r="O400" t="n">
        <v>0</v>
      </c>
      <c r="P400" t="n">
        <v>0</v>
      </c>
      <c r="Q400" t="n">
        <v>0</v>
      </c>
      <c r="R400" s="2" t="inlineStr"/>
    </row>
    <row r="401" ht="15" customHeight="1">
      <c r="A401" t="inlineStr">
        <is>
          <t>A 7700-2023</t>
        </is>
      </c>
      <c r="B401" s="1" t="n">
        <v>44967</v>
      </c>
      <c r="C401" s="1" t="n">
        <v>46199</v>
      </c>
      <c r="D401" t="inlineStr">
        <is>
          <t>VÄRMLANDS LÄN</t>
        </is>
      </c>
      <c r="E401" t="inlineStr">
        <is>
          <t>ÅRJÄNG</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37356-2024</t>
        </is>
      </c>
      <c r="B402" s="1" t="n">
        <v>45540</v>
      </c>
      <c r="C402" s="1" t="n">
        <v>46199</v>
      </c>
      <c r="D402" t="inlineStr">
        <is>
          <t>VÄRMLANDS LÄN</t>
        </is>
      </c>
      <c r="E402" t="inlineStr">
        <is>
          <t>ÅRJÄNG</t>
        </is>
      </c>
      <c r="G402" t="n">
        <v>3.4</v>
      </c>
      <c r="H402" t="n">
        <v>0</v>
      </c>
      <c r="I402" t="n">
        <v>0</v>
      </c>
      <c r="J402" t="n">
        <v>0</v>
      </c>
      <c r="K402" t="n">
        <v>0</v>
      </c>
      <c r="L402" t="n">
        <v>0</v>
      </c>
      <c r="M402" t="n">
        <v>0</v>
      </c>
      <c r="N402" t="n">
        <v>0</v>
      </c>
      <c r="O402" t="n">
        <v>0</v>
      </c>
      <c r="P402" t="n">
        <v>0</v>
      </c>
      <c r="Q402" t="n">
        <v>0</v>
      </c>
      <c r="R402" s="2" t="inlineStr"/>
    </row>
    <row r="403" ht="15" customHeight="1">
      <c r="A403" t="inlineStr">
        <is>
          <t>A 62720-2023</t>
        </is>
      </c>
      <c r="B403" s="1" t="n">
        <v>45271</v>
      </c>
      <c r="C403" s="1" t="n">
        <v>46199</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45037-2025</t>
        </is>
      </c>
      <c r="B404" s="1" t="n">
        <v>45918</v>
      </c>
      <c r="C404" s="1" t="n">
        <v>46199</v>
      </c>
      <c r="D404" t="inlineStr">
        <is>
          <t>VÄRMLANDS LÄN</t>
        </is>
      </c>
      <c r="E404" t="inlineStr">
        <is>
          <t>ÅRJÄNG</t>
        </is>
      </c>
      <c r="G404" t="n">
        <v>8.5</v>
      </c>
      <c r="H404" t="n">
        <v>0</v>
      </c>
      <c r="I404" t="n">
        <v>0</v>
      </c>
      <c r="J404" t="n">
        <v>0</v>
      </c>
      <c r="K404" t="n">
        <v>0</v>
      </c>
      <c r="L404" t="n">
        <v>0</v>
      </c>
      <c r="M404" t="n">
        <v>0</v>
      </c>
      <c r="N404" t="n">
        <v>0</v>
      </c>
      <c r="O404" t="n">
        <v>0</v>
      </c>
      <c r="P404" t="n">
        <v>0</v>
      </c>
      <c r="Q404" t="n">
        <v>0</v>
      </c>
      <c r="R404" s="2" t="inlineStr"/>
    </row>
    <row r="405" ht="15" customHeight="1">
      <c r="A405" t="inlineStr">
        <is>
          <t>A 68328-2021</t>
        </is>
      </c>
      <c r="B405" s="1" t="n">
        <v>44527</v>
      </c>
      <c r="C405" s="1" t="n">
        <v>46199</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45099-2025</t>
        </is>
      </c>
      <c r="B406" s="1" t="n">
        <v>45919</v>
      </c>
      <c r="C406" s="1" t="n">
        <v>46199</v>
      </c>
      <c r="D406" t="inlineStr">
        <is>
          <t>VÄRMLANDS LÄN</t>
        </is>
      </c>
      <c r="E406" t="inlineStr">
        <is>
          <t>ÅRJÄNG</t>
        </is>
      </c>
      <c r="F406" t="inlineStr">
        <is>
          <t>Övriga Aktiebolag</t>
        </is>
      </c>
      <c r="G406" t="n">
        <v>4.7</v>
      </c>
      <c r="H406" t="n">
        <v>0</v>
      </c>
      <c r="I406" t="n">
        <v>0</v>
      </c>
      <c r="J406" t="n">
        <v>0</v>
      </c>
      <c r="K406" t="n">
        <v>0</v>
      </c>
      <c r="L406" t="n">
        <v>0</v>
      </c>
      <c r="M406" t="n">
        <v>0</v>
      </c>
      <c r="N406" t="n">
        <v>0</v>
      </c>
      <c r="O406" t="n">
        <v>0</v>
      </c>
      <c r="P406" t="n">
        <v>0</v>
      </c>
      <c r="Q406" t="n">
        <v>0</v>
      </c>
      <c r="R406" s="2" t="inlineStr"/>
    </row>
    <row r="407" ht="15" customHeight="1">
      <c r="A407" t="inlineStr">
        <is>
          <t>A 52741-2024</t>
        </is>
      </c>
      <c r="B407" s="1" t="n">
        <v>45610</v>
      </c>
      <c r="C407" s="1" t="n">
        <v>46199</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44934-2024</t>
        </is>
      </c>
      <c r="B408" s="1" t="n">
        <v>45575</v>
      </c>
      <c r="C408" s="1" t="n">
        <v>46199</v>
      </c>
      <c r="D408" t="inlineStr">
        <is>
          <t>VÄRMLANDS LÄN</t>
        </is>
      </c>
      <c r="E408" t="inlineStr">
        <is>
          <t>ÅRJÄNG</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45130-2025</t>
        </is>
      </c>
      <c r="B409" s="1" t="n">
        <v>45919</v>
      </c>
      <c r="C409" s="1" t="n">
        <v>46199</v>
      </c>
      <c r="D409" t="inlineStr">
        <is>
          <t>VÄRMLANDS LÄN</t>
        </is>
      </c>
      <c r="E409" t="inlineStr">
        <is>
          <t>ÅRJÄNG</t>
        </is>
      </c>
      <c r="F409" t="inlineStr">
        <is>
          <t>Övriga Aktiebolag</t>
        </is>
      </c>
      <c r="G409" t="n">
        <v>1.2</v>
      </c>
      <c r="H409" t="n">
        <v>0</v>
      </c>
      <c r="I409" t="n">
        <v>0</v>
      </c>
      <c r="J409" t="n">
        <v>0</v>
      </c>
      <c r="K409" t="n">
        <v>0</v>
      </c>
      <c r="L409" t="n">
        <v>0</v>
      </c>
      <c r="M409" t="n">
        <v>0</v>
      </c>
      <c r="N409" t="n">
        <v>0</v>
      </c>
      <c r="O409" t="n">
        <v>0</v>
      </c>
      <c r="P409" t="n">
        <v>0</v>
      </c>
      <c r="Q409" t="n">
        <v>0</v>
      </c>
      <c r="R409" s="2" t="inlineStr"/>
    </row>
    <row r="410" ht="15" customHeight="1">
      <c r="A410" t="inlineStr">
        <is>
          <t>A 4408-2025</t>
        </is>
      </c>
      <c r="B410" s="1" t="n">
        <v>45686</v>
      </c>
      <c r="C410" s="1" t="n">
        <v>46199</v>
      </c>
      <c r="D410" t="inlineStr">
        <is>
          <t>VÄRMLANDS LÄN</t>
        </is>
      </c>
      <c r="E410" t="inlineStr">
        <is>
          <t>ÅRJÄNG</t>
        </is>
      </c>
      <c r="G410" t="n">
        <v>2</v>
      </c>
      <c r="H410" t="n">
        <v>0</v>
      </c>
      <c r="I410" t="n">
        <v>0</v>
      </c>
      <c r="J410" t="n">
        <v>0</v>
      </c>
      <c r="K410" t="n">
        <v>0</v>
      </c>
      <c r="L410" t="n">
        <v>0</v>
      </c>
      <c r="M410" t="n">
        <v>0</v>
      </c>
      <c r="N410" t="n">
        <v>0</v>
      </c>
      <c r="O410" t="n">
        <v>0</v>
      </c>
      <c r="P410" t="n">
        <v>0</v>
      </c>
      <c r="Q410" t="n">
        <v>0</v>
      </c>
      <c r="R410" s="2" t="inlineStr"/>
    </row>
    <row r="411" ht="15" customHeight="1">
      <c r="A411" t="inlineStr">
        <is>
          <t>A 45137-2025</t>
        </is>
      </c>
      <c r="B411" s="1" t="n">
        <v>45919</v>
      </c>
      <c r="C411" s="1" t="n">
        <v>46199</v>
      </c>
      <c r="D411" t="inlineStr">
        <is>
          <t>VÄRMLANDS LÄN</t>
        </is>
      </c>
      <c r="E411" t="inlineStr">
        <is>
          <t>ÅRJÄNG</t>
        </is>
      </c>
      <c r="F411" t="inlineStr">
        <is>
          <t>Övriga Aktiebolag</t>
        </is>
      </c>
      <c r="G411" t="n">
        <v>1.9</v>
      </c>
      <c r="H411" t="n">
        <v>0</v>
      </c>
      <c r="I411" t="n">
        <v>0</v>
      </c>
      <c r="J411" t="n">
        <v>0</v>
      </c>
      <c r="K411" t="n">
        <v>0</v>
      </c>
      <c r="L411" t="n">
        <v>0</v>
      </c>
      <c r="M411" t="n">
        <v>0</v>
      </c>
      <c r="N411" t="n">
        <v>0</v>
      </c>
      <c r="O411" t="n">
        <v>0</v>
      </c>
      <c r="P411" t="n">
        <v>0</v>
      </c>
      <c r="Q411" t="n">
        <v>0</v>
      </c>
      <c r="R411" s="2" t="inlineStr"/>
    </row>
    <row r="412" ht="15" customHeight="1">
      <c r="A412" t="inlineStr">
        <is>
          <t>A 45332-2025</t>
        </is>
      </c>
      <c r="B412" s="1" t="n">
        <v>45922</v>
      </c>
      <c r="C412" s="1" t="n">
        <v>46199</v>
      </c>
      <c r="D412" t="inlineStr">
        <is>
          <t>VÄRMLANDS LÄN</t>
        </is>
      </c>
      <c r="E412" t="inlineStr">
        <is>
          <t>ÅRJÄNG</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43794-2024</t>
        </is>
      </c>
      <c r="B413" s="1" t="n">
        <v>45571</v>
      </c>
      <c r="C413" s="1" t="n">
        <v>46199</v>
      </c>
      <c r="D413" t="inlineStr">
        <is>
          <t>VÄRMLANDS LÄN</t>
        </is>
      </c>
      <c r="E413" t="inlineStr">
        <is>
          <t>ÅRJÄNG</t>
        </is>
      </c>
      <c r="G413" t="n">
        <v>0.6</v>
      </c>
      <c r="H413" t="n">
        <v>0</v>
      </c>
      <c r="I413" t="n">
        <v>0</v>
      </c>
      <c r="J413" t="n">
        <v>0</v>
      </c>
      <c r="K413" t="n">
        <v>0</v>
      </c>
      <c r="L413" t="n">
        <v>0</v>
      </c>
      <c r="M413" t="n">
        <v>0</v>
      </c>
      <c r="N413" t="n">
        <v>0</v>
      </c>
      <c r="O413" t="n">
        <v>0</v>
      </c>
      <c r="P413" t="n">
        <v>0</v>
      </c>
      <c r="Q413" t="n">
        <v>0</v>
      </c>
      <c r="R413" s="2" t="inlineStr"/>
    </row>
    <row r="414" ht="15" customHeight="1">
      <c r="A414" t="inlineStr">
        <is>
          <t>A 28874-2025</t>
        </is>
      </c>
      <c r="B414" s="1" t="n">
        <v>45820</v>
      </c>
      <c r="C414" s="1" t="n">
        <v>46199</v>
      </c>
      <c r="D414" t="inlineStr">
        <is>
          <t>VÄRMLANDS LÄN</t>
        </is>
      </c>
      <c r="E414" t="inlineStr">
        <is>
          <t>ÅRJÄNG</t>
        </is>
      </c>
      <c r="G414" t="n">
        <v>0.4</v>
      </c>
      <c r="H414" t="n">
        <v>0</v>
      </c>
      <c r="I414" t="n">
        <v>0</v>
      </c>
      <c r="J414" t="n">
        <v>0</v>
      </c>
      <c r="K414" t="n">
        <v>0</v>
      </c>
      <c r="L414" t="n">
        <v>0</v>
      </c>
      <c r="M414" t="n">
        <v>0</v>
      </c>
      <c r="N414" t="n">
        <v>0</v>
      </c>
      <c r="O414" t="n">
        <v>0</v>
      </c>
      <c r="P414" t="n">
        <v>0</v>
      </c>
      <c r="Q414" t="n">
        <v>0</v>
      </c>
      <c r="R414" s="2" t="inlineStr"/>
    </row>
    <row r="415" ht="15" customHeight="1">
      <c r="A415" t="inlineStr">
        <is>
          <t>A 45192-2025</t>
        </is>
      </c>
      <c r="B415" s="1" t="n">
        <v>45919</v>
      </c>
      <c r="C415" s="1" t="n">
        <v>46199</v>
      </c>
      <c r="D415" t="inlineStr">
        <is>
          <t>VÄRMLANDS LÄN</t>
        </is>
      </c>
      <c r="E415" t="inlineStr">
        <is>
          <t>ÅRJÄNG</t>
        </is>
      </c>
      <c r="F415" t="inlineStr">
        <is>
          <t>Bergvik skog väst AB</t>
        </is>
      </c>
      <c r="G415" t="n">
        <v>3.8</v>
      </c>
      <c r="H415" t="n">
        <v>0</v>
      </c>
      <c r="I415" t="n">
        <v>0</v>
      </c>
      <c r="J415" t="n">
        <v>0</v>
      </c>
      <c r="K415" t="n">
        <v>0</v>
      </c>
      <c r="L415" t="n">
        <v>0</v>
      </c>
      <c r="M415" t="n">
        <v>0</v>
      </c>
      <c r="N415" t="n">
        <v>0</v>
      </c>
      <c r="O415" t="n">
        <v>0</v>
      </c>
      <c r="P415" t="n">
        <v>0</v>
      </c>
      <c r="Q415" t="n">
        <v>0</v>
      </c>
      <c r="R415" s="2" t="inlineStr"/>
    </row>
    <row r="416" ht="15" customHeight="1">
      <c r="A416" t="inlineStr">
        <is>
          <t>A 45515-2025</t>
        </is>
      </c>
      <c r="B416" s="1" t="n">
        <v>45922</v>
      </c>
      <c r="C416" s="1" t="n">
        <v>46199</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33738-2021</t>
        </is>
      </c>
      <c r="B417" s="1" t="n">
        <v>44378</v>
      </c>
      <c r="C417" s="1" t="n">
        <v>46199</v>
      </c>
      <c r="D417" t="inlineStr">
        <is>
          <t>VÄRMLANDS LÄN</t>
        </is>
      </c>
      <c r="E417" t="inlineStr">
        <is>
          <t>ÅRJÄNG</t>
        </is>
      </c>
      <c r="G417" t="n">
        <v>1.2</v>
      </c>
      <c r="H417" t="n">
        <v>0</v>
      </c>
      <c r="I417" t="n">
        <v>0</v>
      </c>
      <c r="J417" t="n">
        <v>0</v>
      </c>
      <c r="K417" t="n">
        <v>0</v>
      </c>
      <c r="L417" t="n">
        <v>0</v>
      </c>
      <c r="M417" t="n">
        <v>0</v>
      </c>
      <c r="N417" t="n">
        <v>0</v>
      </c>
      <c r="O417" t="n">
        <v>0</v>
      </c>
      <c r="P417" t="n">
        <v>0</v>
      </c>
      <c r="Q417" t="n">
        <v>0</v>
      </c>
      <c r="R417" s="2" t="inlineStr"/>
    </row>
    <row r="418" ht="15" customHeight="1">
      <c r="A418" t="inlineStr">
        <is>
          <t>A 45590-2025</t>
        </is>
      </c>
      <c r="B418" s="1" t="n">
        <v>45922</v>
      </c>
      <c r="C418" s="1" t="n">
        <v>46199</v>
      </c>
      <c r="D418" t="inlineStr">
        <is>
          <t>VÄRMLANDS LÄN</t>
        </is>
      </c>
      <c r="E418" t="inlineStr">
        <is>
          <t>ÅRJÄNG</t>
        </is>
      </c>
      <c r="G418" t="n">
        <v>3.2</v>
      </c>
      <c r="H418" t="n">
        <v>0</v>
      </c>
      <c r="I418" t="n">
        <v>0</v>
      </c>
      <c r="J418" t="n">
        <v>0</v>
      </c>
      <c r="K418" t="n">
        <v>0</v>
      </c>
      <c r="L418" t="n">
        <v>0</v>
      </c>
      <c r="M418" t="n">
        <v>0</v>
      </c>
      <c r="N418" t="n">
        <v>0</v>
      </c>
      <c r="O418" t="n">
        <v>0</v>
      </c>
      <c r="P418" t="n">
        <v>0</v>
      </c>
      <c r="Q418" t="n">
        <v>0</v>
      </c>
      <c r="R418" s="2" t="inlineStr"/>
    </row>
    <row r="419" ht="15" customHeight="1">
      <c r="A419" t="inlineStr">
        <is>
          <t>A 45599-2025</t>
        </is>
      </c>
      <c r="B419" s="1" t="n">
        <v>45922</v>
      </c>
      <c r="C419" s="1" t="n">
        <v>46199</v>
      </c>
      <c r="D419" t="inlineStr">
        <is>
          <t>VÄRMLANDS LÄN</t>
        </is>
      </c>
      <c r="E419" t="inlineStr">
        <is>
          <t>ÅRJÄNG</t>
        </is>
      </c>
      <c r="G419" t="n">
        <v>6.7</v>
      </c>
      <c r="H419" t="n">
        <v>0</v>
      </c>
      <c r="I419" t="n">
        <v>0</v>
      </c>
      <c r="J419" t="n">
        <v>0</v>
      </c>
      <c r="K419" t="n">
        <v>0</v>
      </c>
      <c r="L419" t="n">
        <v>0</v>
      </c>
      <c r="M419" t="n">
        <v>0</v>
      </c>
      <c r="N419" t="n">
        <v>0</v>
      </c>
      <c r="O419" t="n">
        <v>0</v>
      </c>
      <c r="P419" t="n">
        <v>0</v>
      </c>
      <c r="Q419" t="n">
        <v>0</v>
      </c>
      <c r="R419" s="2" t="inlineStr"/>
    </row>
    <row r="420" ht="15" customHeight="1">
      <c r="A420" t="inlineStr">
        <is>
          <t>A 45203-2025</t>
        </is>
      </c>
      <c r="B420" s="1" t="n">
        <v>45919</v>
      </c>
      <c r="C420" s="1" t="n">
        <v>46199</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45159-2025</t>
        </is>
      </c>
      <c r="B421" s="1" t="n">
        <v>45919</v>
      </c>
      <c r="C421" s="1" t="n">
        <v>46199</v>
      </c>
      <c r="D421" t="inlineStr">
        <is>
          <t>VÄRMLANDS LÄN</t>
        </is>
      </c>
      <c r="E421" t="inlineStr">
        <is>
          <t>ÅRJÄNG</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45162-2025</t>
        </is>
      </c>
      <c r="B422" s="1" t="n">
        <v>45919</v>
      </c>
      <c r="C422" s="1" t="n">
        <v>46199</v>
      </c>
      <c r="D422" t="inlineStr">
        <is>
          <t>VÄRMLANDS LÄN</t>
        </is>
      </c>
      <c r="E422" t="inlineStr">
        <is>
          <t>ÅRJÄNG</t>
        </is>
      </c>
      <c r="G422" t="n">
        <v>3.3</v>
      </c>
      <c r="H422" t="n">
        <v>0</v>
      </c>
      <c r="I422" t="n">
        <v>0</v>
      </c>
      <c r="J422" t="n">
        <v>0</v>
      </c>
      <c r="K422" t="n">
        <v>0</v>
      </c>
      <c r="L422" t="n">
        <v>0</v>
      </c>
      <c r="M422" t="n">
        <v>0</v>
      </c>
      <c r="N422" t="n">
        <v>0</v>
      </c>
      <c r="O422" t="n">
        <v>0</v>
      </c>
      <c r="P422" t="n">
        <v>0</v>
      </c>
      <c r="Q422" t="n">
        <v>0</v>
      </c>
      <c r="R422" s="2" t="inlineStr"/>
    </row>
    <row r="423" ht="15" customHeight="1">
      <c r="A423" t="inlineStr">
        <is>
          <t>A 45581-2025</t>
        </is>
      </c>
      <c r="B423" s="1" t="n">
        <v>45922</v>
      </c>
      <c r="C423" s="1" t="n">
        <v>46199</v>
      </c>
      <c r="D423" t="inlineStr">
        <is>
          <t>VÄRMLANDS LÄN</t>
        </is>
      </c>
      <c r="E423" t="inlineStr">
        <is>
          <t>ÅRJÄNG</t>
        </is>
      </c>
      <c r="G423" t="n">
        <v>1.2</v>
      </c>
      <c r="H423" t="n">
        <v>0</v>
      </c>
      <c r="I423" t="n">
        <v>0</v>
      </c>
      <c r="J423" t="n">
        <v>0</v>
      </c>
      <c r="K423" t="n">
        <v>0</v>
      </c>
      <c r="L423" t="n">
        <v>0</v>
      </c>
      <c r="M423" t="n">
        <v>0</v>
      </c>
      <c r="N423" t="n">
        <v>0</v>
      </c>
      <c r="O423" t="n">
        <v>0</v>
      </c>
      <c r="P423" t="n">
        <v>0</v>
      </c>
      <c r="Q423" t="n">
        <v>0</v>
      </c>
      <c r="R423" s="2" t="inlineStr"/>
    </row>
    <row r="424" ht="15" customHeight="1">
      <c r="A424" t="inlineStr">
        <is>
          <t>A 28949-2025</t>
        </is>
      </c>
      <c r="B424" s="1" t="n">
        <v>45820</v>
      </c>
      <c r="C424" s="1" t="n">
        <v>46199</v>
      </c>
      <c r="D424" t="inlineStr">
        <is>
          <t>VÄRMLANDS LÄN</t>
        </is>
      </c>
      <c r="E424" t="inlineStr">
        <is>
          <t>ÅRJÄNG</t>
        </is>
      </c>
      <c r="G424" t="n">
        <v>0.3</v>
      </c>
      <c r="H424" t="n">
        <v>0</v>
      </c>
      <c r="I424" t="n">
        <v>0</v>
      </c>
      <c r="J424" t="n">
        <v>0</v>
      </c>
      <c r="K424" t="n">
        <v>0</v>
      </c>
      <c r="L424" t="n">
        <v>0</v>
      </c>
      <c r="M424" t="n">
        <v>0</v>
      </c>
      <c r="N424" t="n">
        <v>0</v>
      </c>
      <c r="O424" t="n">
        <v>0</v>
      </c>
      <c r="P424" t="n">
        <v>0</v>
      </c>
      <c r="Q424" t="n">
        <v>0</v>
      </c>
      <c r="R424" s="2" t="inlineStr"/>
    </row>
    <row r="425" ht="15" customHeight="1">
      <c r="A425" t="inlineStr">
        <is>
          <t>A 38065-2024</t>
        </is>
      </c>
      <c r="B425" s="1" t="n">
        <v>45544</v>
      </c>
      <c r="C425" s="1" t="n">
        <v>46199</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28554-2025</t>
        </is>
      </c>
      <c r="B426" s="1" t="n">
        <v>45819</v>
      </c>
      <c r="C426" s="1" t="n">
        <v>46199</v>
      </c>
      <c r="D426" t="inlineStr">
        <is>
          <t>VÄRMLANDS LÄN</t>
        </is>
      </c>
      <c r="E426" t="inlineStr">
        <is>
          <t>ÅRJÄNG</t>
        </is>
      </c>
      <c r="G426" t="n">
        <v>1.5</v>
      </c>
      <c r="H426" t="n">
        <v>0</v>
      </c>
      <c r="I426" t="n">
        <v>0</v>
      </c>
      <c r="J426" t="n">
        <v>0</v>
      </c>
      <c r="K426" t="n">
        <v>0</v>
      </c>
      <c r="L426" t="n">
        <v>0</v>
      </c>
      <c r="M426" t="n">
        <v>0</v>
      </c>
      <c r="N426" t="n">
        <v>0</v>
      </c>
      <c r="O426" t="n">
        <v>0</v>
      </c>
      <c r="P426" t="n">
        <v>0</v>
      </c>
      <c r="Q426" t="n">
        <v>0</v>
      </c>
      <c r="R426" s="2" t="inlineStr"/>
    </row>
    <row r="427" ht="15" customHeight="1">
      <c r="A427" t="inlineStr">
        <is>
          <t>A 44257-2025</t>
        </is>
      </c>
      <c r="B427" s="1" t="n">
        <v>45915</v>
      </c>
      <c r="C427" s="1" t="n">
        <v>46199</v>
      </c>
      <c r="D427" t="inlineStr">
        <is>
          <t>VÄRMLANDS LÄN</t>
        </is>
      </c>
      <c r="E427" t="inlineStr">
        <is>
          <t>ÅRJÄNG</t>
        </is>
      </c>
      <c r="G427" t="n">
        <v>3.6</v>
      </c>
      <c r="H427" t="n">
        <v>0</v>
      </c>
      <c r="I427" t="n">
        <v>0</v>
      </c>
      <c r="J427" t="n">
        <v>0</v>
      </c>
      <c r="K427" t="n">
        <v>0</v>
      </c>
      <c r="L427" t="n">
        <v>0</v>
      </c>
      <c r="M427" t="n">
        <v>0</v>
      </c>
      <c r="N427" t="n">
        <v>0</v>
      </c>
      <c r="O427" t="n">
        <v>0</v>
      </c>
      <c r="P427" t="n">
        <v>0</v>
      </c>
      <c r="Q427" t="n">
        <v>0</v>
      </c>
      <c r="R427" s="2" t="inlineStr"/>
    </row>
    <row r="428" ht="15" customHeight="1">
      <c r="A428" t="inlineStr">
        <is>
          <t>A 29007-2025</t>
        </is>
      </c>
      <c r="B428" s="1" t="n">
        <v>45821</v>
      </c>
      <c r="C428" s="1" t="n">
        <v>46199</v>
      </c>
      <c r="D428" t="inlineStr">
        <is>
          <t>VÄRMLANDS LÄN</t>
        </is>
      </c>
      <c r="E428" t="inlineStr">
        <is>
          <t>ÅRJÄNG</t>
        </is>
      </c>
      <c r="F428" t="inlineStr">
        <is>
          <t>Bergvik skog väst AB</t>
        </is>
      </c>
      <c r="G428" t="n">
        <v>6.2</v>
      </c>
      <c r="H428" t="n">
        <v>0</v>
      </c>
      <c r="I428" t="n">
        <v>0</v>
      </c>
      <c r="J428" t="n">
        <v>0</v>
      </c>
      <c r="K428" t="n">
        <v>0</v>
      </c>
      <c r="L428" t="n">
        <v>0</v>
      </c>
      <c r="M428" t="n">
        <v>0</v>
      </c>
      <c r="N428" t="n">
        <v>0</v>
      </c>
      <c r="O428" t="n">
        <v>0</v>
      </c>
      <c r="P428" t="n">
        <v>0</v>
      </c>
      <c r="Q428" t="n">
        <v>0</v>
      </c>
      <c r="R428" s="2" t="inlineStr"/>
    </row>
    <row r="429" ht="15" customHeight="1">
      <c r="A429" t="inlineStr">
        <is>
          <t>A 29166-2025</t>
        </is>
      </c>
      <c r="B429" s="1" t="n">
        <v>45821</v>
      </c>
      <c r="C429" s="1" t="n">
        <v>46199</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9749-2024</t>
        </is>
      </c>
      <c r="B430" s="1" t="n">
        <v>45362</v>
      </c>
      <c r="C430" s="1" t="n">
        <v>46199</v>
      </c>
      <c r="D430" t="inlineStr">
        <is>
          <t>VÄRMLANDS LÄN</t>
        </is>
      </c>
      <c r="E430" t="inlineStr">
        <is>
          <t>ÅRJÄNG</t>
        </is>
      </c>
      <c r="F430" t="inlineStr">
        <is>
          <t>Kyrkan</t>
        </is>
      </c>
      <c r="G430" t="n">
        <v>0.5</v>
      </c>
      <c r="H430" t="n">
        <v>0</v>
      </c>
      <c r="I430" t="n">
        <v>0</v>
      </c>
      <c r="J430" t="n">
        <v>0</v>
      </c>
      <c r="K430" t="n">
        <v>0</v>
      </c>
      <c r="L430" t="n">
        <v>0</v>
      </c>
      <c r="M430" t="n">
        <v>0</v>
      </c>
      <c r="N430" t="n">
        <v>0</v>
      </c>
      <c r="O430" t="n">
        <v>0</v>
      </c>
      <c r="P430" t="n">
        <v>0</v>
      </c>
      <c r="Q430" t="n">
        <v>0</v>
      </c>
      <c r="R430" s="2" t="inlineStr"/>
    </row>
    <row r="431" ht="15" customHeight="1">
      <c r="A431" t="inlineStr">
        <is>
          <t>A 8614-2023</t>
        </is>
      </c>
      <c r="B431" s="1" t="n">
        <v>44977</v>
      </c>
      <c r="C431" s="1" t="n">
        <v>46199</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28992-2025</t>
        </is>
      </c>
      <c r="B432" s="1" t="n">
        <v>45821</v>
      </c>
      <c r="C432" s="1" t="n">
        <v>46199</v>
      </c>
      <c r="D432" t="inlineStr">
        <is>
          <t>VÄRMLANDS LÄN</t>
        </is>
      </c>
      <c r="E432" t="inlineStr">
        <is>
          <t>ÅRJÄNG</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29208-2025</t>
        </is>
      </c>
      <c r="B433" s="1" t="n">
        <v>45823</v>
      </c>
      <c r="C433" s="1" t="n">
        <v>46199</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40458-2023</t>
        </is>
      </c>
      <c r="B434" s="1" t="n">
        <v>45170</v>
      </c>
      <c r="C434" s="1" t="n">
        <v>46199</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29169-2025</t>
        </is>
      </c>
      <c r="B435" s="1" t="n">
        <v>45821</v>
      </c>
      <c r="C435" s="1" t="n">
        <v>46199</v>
      </c>
      <c r="D435" t="inlineStr">
        <is>
          <t>VÄRMLANDS LÄN</t>
        </is>
      </c>
      <c r="E435" t="inlineStr">
        <is>
          <t>ÅRJÄNG</t>
        </is>
      </c>
      <c r="G435" t="n">
        <v>3.6</v>
      </c>
      <c r="H435" t="n">
        <v>0</v>
      </c>
      <c r="I435" t="n">
        <v>0</v>
      </c>
      <c r="J435" t="n">
        <v>0</v>
      </c>
      <c r="K435" t="n">
        <v>0</v>
      </c>
      <c r="L435" t="n">
        <v>0</v>
      </c>
      <c r="M435" t="n">
        <v>0</v>
      </c>
      <c r="N435" t="n">
        <v>0</v>
      </c>
      <c r="O435" t="n">
        <v>0</v>
      </c>
      <c r="P435" t="n">
        <v>0</v>
      </c>
      <c r="Q435" t="n">
        <v>0</v>
      </c>
      <c r="R435" s="2" t="inlineStr"/>
    </row>
    <row r="436" ht="15" customHeight="1">
      <c r="A436" t="inlineStr">
        <is>
          <t>A 29100-2025</t>
        </is>
      </c>
      <c r="B436" s="1" t="n">
        <v>45821</v>
      </c>
      <c r="C436" s="1" t="n">
        <v>46199</v>
      </c>
      <c r="D436" t="inlineStr">
        <is>
          <t>VÄRMLANDS LÄN</t>
        </is>
      </c>
      <c r="E436" t="inlineStr">
        <is>
          <t>ÅRJÄNG</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29139-2025</t>
        </is>
      </c>
      <c r="B437" s="1" t="n">
        <v>45821</v>
      </c>
      <c r="C437" s="1" t="n">
        <v>46199</v>
      </c>
      <c r="D437" t="inlineStr">
        <is>
          <t>VÄRMLANDS LÄN</t>
        </is>
      </c>
      <c r="E437" t="inlineStr">
        <is>
          <t>ÅRJÄNG</t>
        </is>
      </c>
      <c r="G437" t="n">
        <v>0.5</v>
      </c>
      <c r="H437" t="n">
        <v>0</v>
      </c>
      <c r="I437" t="n">
        <v>0</v>
      </c>
      <c r="J437" t="n">
        <v>0</v>
      </c>
      <c r="K437" t="n">
        <v>0</v>
      </c>
      <c r="L437" t="n">
        <v>0</v>
      </c>
      <c r="M437" t="n">
        <v>0</v>
      </c>
      <c r="N437" t="n">
        <v>0</v>
      </c>
      <c r="O437" t="n">
        <v>0</v>
      </c>
      <c r="P437" t="n">
        <v>0</v>
      </c>
      <c r="Q437" t="n">
        <v>0</v>
      </c>
      <c r="R437" s="2" t="inlineStr"/>
    </row>
    <row r="438" ht="15" customHeight="1">
      <c r="A438" t="inlineStr">
        <is>
          <t>A 45907-2025</t>
        </is>
      </c>
      <c r="B438" s="1" t="n">
        <v>45923</v>
      </c>
      <c r="C438" s="1" t="n">
        <v>46199</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16010-2024</t>
        </is>
      </c>
      <c r="B439" s="1" t="n">
        <v>45405</v>
      </c>
      <c r="C439" s="1" t="n">
        <v>46199</v>
      </c>
      <c r="D439" t="inlineStr">
        <is>
          <t>VÄRMLANDS LÄN</t>
        </is>
      </c>
      <c r="E439" t="inlineStr">
        <is>
          <t>ÅRJÄNG</t>
        </is>
      </c>
      <c r="G439" t="n">
        <v>4.6</v>
      </c>
      <c r="H439" t="n">
        <v>0</v>
      </c>
      <c r="I439" t="n">
        <v>0</v>
      </c>
      <c r="J439" t="n">
        <v>0</v>
      </c>
      <c r="K439" t="n">
        <v>0</v>
      </c>
      <c r="L439" t="n">
        <v>0</v>
      </c>
      <c r="M439" t="n">
        <v>0</v>
      </c>
      <c r="N439" t="n">
        <v>0</v>
      </c>
      <c r="O439" t="n">
        <v>0</v>
      </c>
      <c r="P439" t="n">
        <v>0</v>
      </c>
      <c r="Q439" t="n">
        <v>0</v>
      </c>
      <c r="R439" s="2" t="inlineStr"/>
    </row>
    <row r="440" ht="15" customHeight="1">
      <c r="A440" t="inlineStr">
        <is>
          <t>A 62966-2023</t>
        </is>
      </c>
      <c r="B440" s="1" t="n">
        <v>45272</v>
      </c>
      <c r="C440" s="1" t="n">
        <v>46199</v>
      </c>
      <c r="D440" t="inlineStr">
        <is>
          <t>VÄRMLANDS LÄN</t>
        </is>
      </c>
      <c r="E440" t="inlineStr">
        <is>
          <t>ÅRJÄNG</t>
        </is>
      </c>
      <c r="G440" t="n">
        <v>4.5</v>
      </c>
      <c r="H440" t="n">
        <v>0</v>
      </c>
      <c r="I440" t="n">
        <v>0</v>
      </c>
      <c r="J440" t="n">
        <v>0</v>
      </c>
      <c r="K440" t="n">
        <v>0</v>
      </c>
      <c r="L440" t="n">
        <v>0</v>
      </c>
      <c r="M440" t="n">
        <v>0</v>
      </c>
      <c r="N440" t="n">
        <v>0</v>
      </c>
      <c r="O440" t="n">
        <v>0</v>
      </c>
      <c r="P440" t="n">
        <v>0</v>
      </c>
      <c r="Q440" t="n">
        <v>0</v>
      </c>
      <c r="R440" s="2" t="inlineStr"/>
    </row>
    <row r="441" ht="15" customHeight="1">
      <c r="A441" t="inlineStr">
        <is>
          <t>A 46301-2025</t>
        </is>
      </c>
      <c r="B441" s="1" t="n">
        <v>45925</v>
      </c>
      <c r="C441" s="1" t="n">
        <v>46199</v>
      </c>
      <c r="D441" t="inlineStr">
        <is>
          <t>VÄRMLANDS LÄN</t>
        </is>
      </c>
      <c r="E441" t="inlineStr">
        <is>
          <t>ÅRJÄNG</t>
        </is>
      </c>
      <c r="G441" t="n">
        <v>3.8</v>
      </c>
      <c r="H441" t="n">
        <v>0</v>
      </c>
      <c r="I441" t="n">
        <v>0</v>
      </c>
      <c r="J441" t="n">
        <v>0</v>
      </c>
      <c r="K441" t="n">
        <v>0</v>
      </c>
      <c r="L441" t="n">
        <v>0</v>
      </c>
      <c r="M441" t="n">
        <v>0</v>
      </c>
      <c r="N441" t="n">
        <v>0</v>
      </c>
      <c r="O441" t="n">
        <v>0</v>
      </c>
      <c r="P441" t="n">
        <v>0</v>
      </c>
      <c r="Q441" t="n">
        <v>0</v>
      </c>
      <c r="R441" s="2" t="inlineStr"/>
    </row>
    <row r="442" ht="15" customHeight="1">
      <c r="A442" t="inlineStr">
        <is>
          <t>A 46645-2025</t>
        </is>
      </c>
      <c r="B442" s="1" t="n">
        <v>45926</v>
      </c>
      <c r="C442" s="1" t="n">
        <v>46199</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58924-2025</t>
        </is>
      </c>
      <c r="B443" s="1" t="n">
        <v>45986</v>
      </c>
      <c r="C443" s="1" t="n">
        <v>46199</v>
      </c>
      <c r="D443" t="inlineStr">
        <is>
          <t>VÄRMLANDS LÄN</t>
        </is>
      </c>
      <c r="E443" t="inlineStr">
        <is>
          <t>ÅRJÄNG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60289-2025</t>
        </is>
      </c>
      <c r="B444" s="1" t="n">
        <v>45994</v>
      </c>
      <c r="C444" s="1" t="n">
        <v>46199</v>
      </c>
      <c r="D444" t="inlineStr">
        <is>
          <t>VÄRMLANDS LÄN</t>
        </is>
      </c>
      <c r="E444" t="inlineStr">
        <is>
          <t>ÅRJÄNG</t>
        </is>
      </c>
      <c r="G444" t="n">
        <v>5.4</v>
      </c>
      <c r="H444" t="n">
        <v>0</v>
      </c>
      <c r="I444" t="n">
        <v>0</v>
      </c>
      <c r="J444" t="n">
        <v>0</v>
      </c>
      <c r="K444" t="n">
        <v>0</v>
      </c>
      <c r="L444" t="n">
        <v>0</v>
      </c>
      <c r="M444" t="n">
        <v>0</v>
      </c>
      <c r="N444" t="n">
        <v>0</v>
      </c>
      <c r="O444" t="n">
        <v>0</v>
      </c>
      <c r="P444" t="n">
        <v>0</v>
      </c>
      <c r="Q444" t="n">
        <v>0</v>
      </c>
      <c r="R444" s="2" t="inlineStr"/>
    </row>
    <row r="445" ht="15" customHeight="1">
      <c r="A445" t="inlineStr">
        <is>
          <t>A 60194-2025</t>
        </is>
      </c>
      <c r="B445" s="1" t="n">
        <v>45994</v>
      </c>
      <c r="C445" s="1" t="n">
        <v>46199</v>
      </c>
      <c r="D445" t="inlineStr">
        <is>
          <t>VÄRMLANDS LÄN</t>
        </is>
      </c>
      <c r="E445" t="inlineStr">
        <is>
          <t>ÅRJÄNG</t>
        </is>
      </c>
      <c r="G445" t="n">
        <v>7.3</v>
      </c>
      <c r="H445" t="n">
        <v>0</v>
      </c>
      <c r="I445" t="n">
        <v>0</v>
      </c>
      <c r="J445" t="n">
        <v>0</v>
      </c>
      <c r="K445" t="n">
        <v>0</v>
      </c>
      <c r="L445" t="n">
        <v>0</v>
      </c>
      <c r="M445" t="n">
        <v>0</v>
      </c>
      <c r="N445" t="n">
        <v>0</v>
      </c>
      <c r="O445" t="n">
        <v>0</v>
      </c>
      <c r="P445" t="n">
        <v>0</v>
      </c>
      <c r="Q445" t="n">
        <v>0</v>
      </c>
      <c r="R445" s="2" t="inlineStr"/>
    </row>
    <row r="446" ht="15" customHeight="1">
      <c r="A446" t="inlineStr">
        <is>
          <t>A 60279-2025</t>
        </is>
      </c>
      <c r="B446" s="1" t="n">
        <v>45994</v>
      </c>
      <c r="C446" s="1" t="n">
        <v>46199</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60283-2025</t>
        </is>
      </c>
      <c r="B447" s="1" t="n">
        <v>45994</v>
      </c>
      <c r="C447" s="1" t="n">
        <v>46199</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60265-2025</t>
        </is>
      </c>
      <c r="B448" s="1" t="n">
        <v>45994</v>
      </c>
      <c r="C448" s="1" t="n">
        <v>46199</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40628-2024</t>
        </is>
      </c>
      <c r="B449" s="1" t="n">
        <v>45557</v>
      </c>
      <c r="C449" s="1" t="n">
        <v>46199</v>
      </c>
      <c r="D449" t="inlineStr">
        <is>
          <t>VÄRMLANDS LÄN</t>
        </is>
      </c>
      <c r="E449" t="inlineStr">
        <is>
          <t>ÅRJÄNG</t>
        </is>
      </c>
      <c r="G449" t="n">
        <v>3.3</v>
      </c>
      <c r="H449" t="n">
        <v>0</v>
      </c>
      <c r="I449" t="n">
        <v>0</v>
      </c>
      <c r="J449" t="n">
        <v>0</v>
      </c>
      <c r="K449" t="n">
        <v>0</v>
      </c>
      <c r="L449" t="n">
        <v>0</v>
      </c>
      <c r="M449" t="n">
        <v>0</v>
      </c>
      <c r="N449" t="n">
        <v>0</v>
      </c>
      <c r="O449" t="n">
        <v>0</v>
      </c>
      <c r="P449" t="n">
        <v>0</v>
      </c>
      <c r="Q449" t="n">
        <v>0</v>
      </c>
      <c r="R449" s="2" t="inlineStr"/>
    </row>
    <row r="450" ht="15" customHeight="1">
      <c r="A450" t="inlineStr">
        <is>
          <t>A 60659-2025</t>
        </is>
      </c>
      <c r="B450" s="1" t="n">
        <v>45996</v>
      </c>
      <c r="C450" s="1" t="n">
        <v>46199</v>
      </c>
      <c r="D450" t="inlineStr">
        <is>
          <t>VÄRMLANDS LÄN</t>
        </is>
      </c>
      <c r="E450" t="inlineStr">
        <is>
          <t>ÅRJÄNG</t>
        </is>
      </c>
      <c r="G450" t="n">
        <v>10.2</v>
      </c>
      <c r="H450" t="n">
        <v>0</v>
      </c>
      <c r="I450" t="n">
        <v>0</v>
      </c>
      <c r="J450" t="n">
        <v>0</v>
      </c>
      <c r="K450" t="n">
        <v>0</v>
      </c>
      <c r="L450" t="n">
        <v>0</v>
      </c>
      <c r="M450" t="n">
        <v>0</v>
      </c>
      <c r="N450" t="n">
        <v>0</v>
      </c>
      <c r="O450" t="n">
        <v>0</v>
      </c>
      <c r="P450" t="n">
        <v>0</v>
      </c>
      <c r="Q450" t="n">
        <v>0</v>
      </c>
      <c r="R450" s="2" t="inlineStr"/>
    </row>
    <row r="451" ht="15" customHeight="1">
      <c r="A451" t="inlineStr">
        <is>
          <t>A 61050-2025</t>
        </is>
      </c>
      <c r="B451" s="1" t="n">
        <v>46000</v>
      </c>
      <c r="C451" s="1" t="n">
        <v>46199</v>
      </c>
      <c r="D451" t="inlineStr">
        <is>
          <t>VÄRMLANDS LÄN</t>
        </is>
      </c>
      <c r="E451" t="inlineStr">
        <is>
          <t>ÅRJÄNG</t>
        </is>
      </c>
      <c r="G451" t="n">
        <v>0.7</v>
      </c>
      <c r="H451" t="n">
        <v>0</v>
      </c>
      <c r="I451" t="n">
        <v>0</v>
      </c>
      <c r="J451" t="n">
        <v>0</v>
      </c>
      <c r="K451" t="n">
        <v>0</v>
      </c>
      <c r="L451" t="n">
        <v>0</v>
      </c>
      <c r="M451" t="n">
        <v>0</v>
      </c>
      <c r="N451" t="n">
        <v>0</v>
      </c>
      <c r="O451" t="n">
        <v>0</v>
      </c>
      <c r="P451" t="n">
        <v>0</v>
      </c>
      <c r="Q451" t="n">
        <v>0</v>
      </c>
      <c r="R451" s="2" t="inlineStr"/>
    </row>
    <row r="452" ht="15" customHeight="1">
      <c r="A452" t="inlineStr">
        <is>
          <t>A 61097-2025</t>
        </is>
      </c>
      <c r="B452" s="1" t="n">
        <v>46000</v>
      </c>
      <c r="C452" s="1" t="n">
        <v>46199</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61126-2025</t>
        </is>
      </c>
      <c r="B453" s="1" t="n">
        <v>46000</v>
      </c>
      <c r="C453" s="1" t="n">
        <v>46199</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46957-2024</t>
        </is>
      </c>
      <c r="B454" s="1" t="n">
        <v>45586</v>
      </c>
      <c r="C454" s="1" t="n">
        <v>46199</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5106-2023</t>
        </is>
      </c>
      <c r="B455" s="1" t="n">
        <v>44953</v>
      </c>
      <c r="C455" s="1" t="n">
        <v>46199</v>
      </c>
      <c r="D455" t="inlineStr">
        <is>
          <t>VÄRMLANDS LÄN</t>
        </is>
      </c>
      <c r="E455" t="inlineStr">
        <is>
          <t>ÅRJÄNG</t>
        </is>
      </c>
      <c r="G455" t="n">
        <v>0.6</v>
      </c>
      <c r="H455" t="n">
        <v>0</v>
      </c>
      <c r="I455" t="n">
        <v>0</v>
      </c>
      <c r="J455" t="n">
        <v>0</v>
      </c>
      <c r="K455" t="n">
        <v>0</v>
      </c>
      <c r="L455" t="n">
        <v>0</v>
      </c>
      <c r="M455" t="n">
        <v>0</v>
      </c>
      <c r="N455" t="n">
        <v>0</v>
      </c>
      <c r="O455" t="n">
        <v>0</v>
      </c>
      <c r="P455" t="n">
        <v>0</v>
      </c>
      <c r="Q455" t="n">
        <v>0</v>
      </c>
      <c r="R455" s="2" t="inlineStr"/>
    </row>
    <row r="456" ht="15" customHeight="1">
      <c r="A456" t="inlineStr">
        <is>
          <t>A 60801-2025</t>
        </is>
      </c>
      <c r="B456" s="1" t="n">
        <v>45999</v>
      </c>
      <c r="C456" s="1" t="n">
        <v>46199</v>
      </c>
      <c r="D456" t="inlineStr">
        <is>
          <t>VÄRMLANDS LÄN</t>
        </is>
      </c>
      <c r="E456" t="inlineStr">
        <is>
          <t>ÅRJÄNG</t>
        </is>
      </c>
      <c r="G456" t="n">
        <v>3.8</v>
      </c>
      <c r="H456" t="n">
        <v>0</v>
      </c>
      <c r="I456" t="n">
        <v>0</v>
      </c>
      <c r="J456" t="n">
        <v>0</v>
      </c>
      <c r="K456" t="n">
        <v>0</v>
      </c>
      <c r="L456" t="n">
        <v>0</v>
      </c>
      <c r="M456" t="n">
        <v>0</v>
      </c>
      <c r="N456" t="n">
        <v>0</v>
      </c>
      <c r="O456" t="n">
        <v>0</v>
      </c>
      <c r="P456" t="n">
        <v>0</v>
      </c>
      <c r="Q456" t="n">
        <v>0</v>
      </c>
      <c r="R456" s="2" t="inlineStr"/>
    </row>
    <row r="457" ht="15" customHeight="1">
      <c r="A457" t="inlineStr">
        <is>
          <t>A 60826-2025</t>
        </is>
      </c>
      <c r="B457" s="1" t="n">
        <v>45999</v>
      </c>
      <c r="C457" s="1" t="n">
        <v>46199</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15951-2025</t>
        </is>
      </c>
      <c r="B458" s="1" t="n">
        <v>45749</v>
      </c>
      <c r="C458" s="1" t="n">
        <v>46199</v>
      </c>
      <c r="D458" t="inlineStr">
        <is>
          <t>VÄRMLANDS LÄN</t>
        </is>
      </c>
      <c r="E458" t="inlineStr">
        <is>
          <t>ÅRJÄNG</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15248-2025</t>
        </is>
      </c>
      <c r="B459" s="1" t="n">
        <v>45744</v>
      </c>
      <c r="C459" s="1" t="n">
        <v>46199</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61113-2025</t>
        </is>
      </c>
      <c r="B460" s="1" t="n">
        <v>45999</v>
      </c>
      <c r="C460" s="1" t="n">
        <v>46199</v>
      </c>
      <c r="D460" t="inlineStr">
        <is>
          <t>VÄRMLANDS LÄN</t>
        </is>
      </c>
      <c r="E460" t="inlineStr">
        <is>
          <t>ÅRJÄNG</t>
        </is>
      </c>
      <c r="G460" t="n">
        <v>7.6</v>
      </c>
      <c r="H460" t="n">
        <v>0</v>
      </c>
      <c r="I460" t="n">
        <v>0</v>
      </c>
      <c r="J460" t="n">
        <v>0</v>
      </c>
      <c r="K460" t="n">
        <v>0</v>
      </c>
      <c r="L460" t="n">
        <v>0</v>
      </c>
      <c r="M460" t="n">
        <v>0</v>
      </c>
      <c r="N460" t="n">
        <v>0</v>
      </c>
      <c r="O460" t="n">
        <v>0</v>
      </c>
      <c r="P460" t="n">
        <v>0</v>
      </c>
      <c r="Q460" t="n">
        <v>0</v>
      </c>
      <c r="R460" s="2" t="inlineStr"/>
    </row>
    <row r="461" ht="15" customHeight="1">
      <c r="A461" t="inlineStr">
        <is>
          <t>A 61116-2025</t>
        </is>
      </c>
      <c r="B461" s="1" t="n">
        <v>45999</v>
      </c>
      <c r="C461" s="1" t="n">
        <v>46199</v>
      </c>
      <c r="D461" t="inlineStr">
        <is>
          <t>VÄRMLANDS LÄN</t>
        </is>
      </c>
      <c r="E461" t="inlineStr">
        <is>
          <t>ÅRJÄNG</t>
        </is>
      </c>
      <c r="G461" t="n">
        <v>4.4</v>
      </c>
      <c r="H461" t="n">
        <v>0</v>
      </c>
      <c r="I461" t="n">
        <v>0</v>
      </c>
      <c r="J461" t="n">
        <v>0</v>
      </c>
      <c r="K461" t="n">
        <v>0</v>
      </c>
      <c r="L461" t="n">
        <v>0</v>
      </c>
      <c r="M461" t="n">
        <v>0</v>
      </c>
      <c r="N461" t="n">
        <v>0</v>
      </c>
      <c r="O461" t="n">
        <v>0</v>
      </c>
      <c r="P461" t="n">
        <v>0</v>
      </c>
      <c r="Q461" t="n">
        <v>0</v>
      </c>
      <c r="R461" s="2" t="inlineStr"/>
    </row>
    <row r="462" ht="15" customHeight="1">
      <c r="A462" t="inlineStr">
        <is>
          <t>A 31111-2025</t>
        </is>
      </c>
      <c r="B462" s="1" t="n">
        <v>45831</v>
      </c>
      <c r="C462" s="1" t="n">
        <v>46199</v>
      </c>
      <c r="D462" t="inlineStr">
        <is>
          <t>VÄRMLANDS LÄN</t>
        </is>
      </c>
      <c r="E462" t="inlineStr">
        <is>
          <t>ÅRJÄNG</t>
        </is>
      </c>
      <c r="G462" t="n">
        <v>6</v>
      </c>
      <c r="H462" t="n">
        <v>0</v>
      </c>
      <c r="I462" t="n">
        <v>0</v>
      </c>
      <c r="J462" t="n">
        <v>0</v>
      </c>
      <c r="K462" t="n">
        <v>0</v>
      </c>
      <c r="L462" t="n">
        <v>0</v>
      </c>
      <c r="M462" t="n">
        <v>0</v>
      </c>
      <c r="N462" t="n">
        <v>0</v>
      </c>
      <c r="O462" t="n">
        <v>0</v>
      </c>
      <c r="P462" t="n">
        <v>0</v>
      </c>
      <c r="Q462" t="n">
        <v>0</v>
      </c>
      <c r="R462" s="2" t="inlineStr"/>
    </row>
    <row r="463" ht="15" customHeight="1">
      <c r="A463" t="inlineStr">
        <is>
          <t>A 47426-2025</t>
        </is>
      </c>
      <c r="B463" s="1" t="n">
        <v>45930</v>
      </c>
      <c r="C463" s="1" t="n">
        <v>46199</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61006-2025</t>
        </is>
      </c>
      <c r="B464" s="1" t="n">
        <v>45997</v>
      </c>
      <c r="C464" s="1" t="n">
        <v>46199</v>
      </c>
      <c r="D464" t="inlineStr">
        <is>
          <t>VÄRMLANDS LÄN</t>
        </is>
      </c>
      <c r="E464" t="inlineStr">
        <is>
          <t>ÅRJÄNG</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47211-2025</t>
        </is>
      </c>
      <c r="B465" s="1" t="n">
        <v>45930</v>
      </c>
      <c r="C465" s="1" t="n">
        <v>46199</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30761-2025</t>
        </is>
      </c>
      <c r="B466" s="1" t="n">
        <v>45831</v>
      </c>
      <c r="C466" s="1" t="n">
        <v>46199</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61263-2025</t>
        </is>
      </c>
      <c r="B467" s="1" t="n">
        <v>46000</v>
      </c>
      <c r="C467" s="1" t="n">
        <v>46199</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30658-2025</t>
        </is>
      </c>
      <c r="B468" s="1" t="n">
        <v>45831</v>
      </c>
      <c r="C468" s="1" t="n">
        <v>46199</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42233-2024</t>
        </is>
      </c>
      <c r="B469" s="1" t="n">
        <v>45562</v>
      </c>
      <c r="C469" s="1" t="n">
        <v>46199</v>
      </c>
      <c r="D469" t="inlineStr">
        <is>
          <t>VÄRMLANDS LÄN</t>
        </is>
      </c>
      <c r="E469" t="inlineStr">
        <is>
          <t>ÅRJÄNG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46023-2025</t>
        </is>
      </c>
      <c r="B470" s="1" t="n">
        <v>45924</v>
      </c>
      <c r="C470" s="1" t="n">
        <v>46199</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34181-2024</t>
        </is>
      </c>
      <c r="B471" s="1" t="n">
        <v>45524</v>
      </c>
      <c r="C471" s="1" t="n">
        <v>46199</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34184-2024</t>
        </is>
      </c>
      <c r="B472" s="1" t="n">
        <v>45524</v>
      </c>
      <c r="C472" s="1" t="n">
        <v>46199</v>
      </c>
      <c r="D472" t="inlineStr">
        <is>
          <t>VÄRMLANDS LÄN</t>
        </is>
      </c>
      <c r="E472" t="inlineStr">
        <is>
          <t>ÅRJÄNG</t>
        </is>
      </c>
      <c r="G472" t="n">
        <v>0.6</v>
      </c>
      <c r="H472" t="n">
        <v>0</v>
      </c>
      <c r="I472" t="n">
        <v>0</v>
      </c>
      <c r="J472" t="n">
        <v>0</v>
      </c>
      <c r="K472" t="n">
        <v>0</v>
      </c>
      <c r="L472" t="n">
        <v>0</v>
      </c>
      <c r="M472" t="n">
        <v>0</v>
      </c>
      <c r="N472" t="n">
        <v>0</v>
      </c>
      <c r="O472" t="n">
        <v>0</v>
      </c>
      <c r="P472" t="n">
        <v>0</v>
      </c>
      <c r="Q472" t="n">
        <v>0</v>
      </c>
      <c r="R472" s="2" t="inlineStr"/>
    </row>
    <row r="473" ht="15" customHeight="1">
      <c r="A473" t="inlineStr">
        <is>
          <t>A 31063-2025</t>
        </is>
      </c>
      <c r="B473" s="1" t="n">
        <v>45831</v>
      </c>
      <c r="C473" s="1" t="n">
        <v>46199</v>
      </c>
      <c r="D473" t="inlineStr">
        <is>
          <t>VÄRMLANDS LÄN</t>
        </is>
      </c>
      <c r="E473" t="inlineStr">
        <is>
          <t>ÅRJÄNG</t>
        </is>
      </c>
      <c r="G473" t="n">
        <v>0.6</v>
      </c>
      <c r="H473" t="n">
        <v>0</v>
      </c>
      <c r="I473" t="n">
        <v>0</v>
      </c>
      <c r="J473" t="n">
        <v>0</v>
      </c>
      <c r="K473" t="n">
        <v>0</v>
      </c>
      <c r="L473" t="n">
        <v>0</v>
      </c>
      <c r="M473" t="n">
        <v>0</v>
      </c>
      <c r="N473" t="n">
        <v>0</v>
      </c>
      <c r="O473" t="n">
        <v>0</v>
      </c>
      <c r="P473" t="n">
        <v>0</v>
      </c>
      <c r="Q473" t="n">
        <v>0</v>
      </c>
      <c r="R473" s="2" t="inlineStr"/>
    </row>
    <row r="474" ht="15" customHeight="1">
      <c r="A474" t="inlineStr">
        <is>
          <t>A 45994-2025</t>
        </is>
      </c>
      <c r="B474" s="1" t="n">
        <v>45924</v>
      </c>
      <c r="C474" s="1" t="n">
        <v>46199</v>
      </c>
      <c r="D474" t="inlineStr">
        <is>
          <t>VÄRMLANDS LÄN</t>
        </is>
      </c>
      <c r="E474" t="inlineStr">
        <is>
          <t>ÅRJÄNG</t>
        </is>
      </c>
      <c r="G474" t="n">
        <v>4</v>
      </c>
      <c r="H474" t="n">
        <v>0</v>
      </c>
      <c r="I474" t="n">
        <v>0</v>
      </c>
      <c r="J474" t="n">
        <v>0</v>
      </c>
      <c r="K474" t="n">
        <v>0</v>
      </c>
      <c r="L474" t="n">
        <v>0</v>
      </c>
      <c r="M474" t="n">
        <v>0</v>
      </c>
      <c r="N474" t="n">
        <v>0</v>
      </c>
      <c r="O474" t="n">
        <v>0</v>
      </c>
      <c r="P474" t="n">
        <v>0</v>
      </c>
      <c r="Q474" t="n">
        <v>0</v>
      </c>
      <c r="R474" s="2" t="inlineStr"/>
    </row>
    <row r="475" ht="15" customHeight="1">
      <c r="A475" t="inlineStr">
        <is>
          <t>A 46942-2025</t>
        </is>
      </c>
      <c r="B475" s="1" t="n">
        <v>45929</v>
      </c>
      <c r="C475" s="1" t="n">
        <v>46199</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47007-2025</t>
        </is>
      </c>
      <c r="B476" s="1" t="n">
        <v>45929</v>
      </c>
      <c r="C476" s="1" t="n">
        <v>46199</v>
      </c>
      <c r="D476" t="inlineStr">
        <is>
          <t>VÄRMLANDS LÄN</t>
        </is>
      </c>
      <c r="E476" t="inlineStr">
        <is>
          <t>ÅRJÄNG</t>
        </is>
      </c>
      <c r="G476" t="n">
        <v>0.5</v>
      </c>
      <c r="H476" t="n">
        <v>0</v>
      </c>
      <c r="I476" t="n">
        <v>0</v>
      </c>
      <c r="J476" t="n">
        <v>0</v>
      </c>
      <c r="K476" t="n">
        <v>0</v>
      </c>
      <c r="L476" t="n">
        <v>0</v>
      </c>
      <c r="M476" t="n">
        <v>0</v>
      </c>
      <c r="N476" t="n">
        <v>0</v>
      </c>
      <c r="O476" t="n">
        <v>0</v>
      </c>
      <c r="P476" t="n">
        <v>0</v>
      </c>
      <c r="Q476" t="n">
        <v>0</v>
      </c>
      <c r="R476" s="2" t="inlineStr"/>
    </row>
    <row r="477" ht="15" customHeight="1">
      <c r="A477" t="inlineStr">
        <is>
          <t>A 47112-2025</t>
        </is>
      </c>
      <c r="B477" s="1" t="n">
        <v>45929</v>
      </c>
      <c r="C477" s="1" t="n">
        <v>46199</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31282-2025</t>
        </is>
      </c>
      <c r="B478" s="1" t="n">
        <v>45833</v>
      </c>
      <c r="C478" s="1" t="n">
        <v>46199</v>
      </c>
      <c r="D478" t="inlineStr">
        <is>
          <t>VÄRMLANDS LÄN</t>
        </is>
      </c>
      <c r="E478" t="inlineStr">
        <is>
          <t>ÅRJÄNG</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31710-2025</t>
        </is>
      </c>
      <c r="B479" s="1" t="n">
        <v>45834</v>
      </c>
      <c r="C479" s="1" t="n">
        <v>46199</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61548-2025</t>
        </is>
      </c>
      <c r="B480" s="1" t="n">
        <v>46001</v>
      </c>
      <c r="C480" s="1" t="n">
        <v>46199</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61631-2025</t>
        </is>
      </c>
      <c r="B481" s="1" t="n">
        <v>46002</v>
      </c>
      <c r="C481" s="1" t="n">
        <v>46199</v>
      </c>
      <c r="D481" t="inlineStr">
        <is>
          <t>VÄRMLANDS LÄN</t>
        </is>
      </c>
      <c r="E481" t="inlineStr">
        <is>
          <t>ÅRJÄNG</t>
        </is>
      </c>
      <c r="G481" t="n">
        <v>1.8</v>
      </c>
      <c r="H481" t="n">
        <v>0</v>
      </c>
      <c r="I481" t="n">
        <v>0</v>
      </c>
      <c r="J481" t="n">
        <v>0</v>
      </c>
      <c r="K481" t="n">
        <v>0</v>
      </c>
      <c r="L481" t="n">
        <v>0</v>
      </c>
      <c r="M481" t="n">
        <v>0</v>
      </c>
      <c r="N481" t="n">
        <v>0</v>
      </c>
      <c r="O481" t="n">
        <v>0</v>
      </c>
      <c r="P481" t="n">
        <v>0</v>
      </c>
      <c r="Q481" t="n">
        <v>0</v>
      </c>
      <c r="R481" s="2" t="inlineStr"/>
    </row>
    <row r="482" ht="15" customHeight="1">
      <c r="A482" t="inlineStr">
        <is>
          <t>A 34205-2025</t>
        </is>
      </c>
      <c r="B482" s="1" t="n">
        <v>45845</v>
      </c>
      <c r="C482" s="1" t="n">
        <v>46199</v>
      </c>
      <c r="D482" t="inlineStr">
        <is>
          <t>VÄRMLANDS LÄN</t>
        </is>
      </c>
      <c r="E482" t="inlineStr">
        <is>
          <t>ÅRJÄNG</t>
        </is>
      </c>
      <c r="G482" t="n">
        <v>4.4</v>
      </c>
      <c r="H482" t="n">
        <v>0</v>
      </c>
      <c r="I482" t="n">
        <v>0</v>
      </c>
      <c r="J482" t="n">
        <v>0</v>
      </c>
      <c r="K482" t="n">
        <v>0</v>
      </c>
      <c r="L482" t="n">
        <v>0</v>
      </c>
      <c r="M482" t="n">
        <v>0</v>
      </c>
      <c r="N482" t="n">
        <v>0</v>
      </c>
      <c r="O482" t="n">
        <v>0</v>
      </c>
      <c r="P482" t="n">
        <v>0</v>
      </c>
      <c r="Q482" t="n">
        <v>0</v>
      </c>
      <c r="R482" s="2" t="inlineStr"/>
    </row>
    <row r="483" ht="15" customHeight="1">
      <c r="A483" t="inlineStr">
        <is>
          <t>A 61547-2025</t>
        </is>
      </c>
      <c r="B483" s="1" t="n">
        <v>46001</v>
      </c>
      <c r="C483" s="1" t="n">
        <v>46199</v>
      </c>
      <c r="D483" t="inlineStr">
        <is>
          <t>VÄRMLANDS LÄN</t>
        </is>
      </c>
      <c r="E483" t="inlineStr">
        <is>
          <t>ÅRJÄNG</t>
        </is>
      </c>
      <c r="G483" t="n">
        <v>5.2</v>
      </c>
      <c r="H483" t="n">
        <v>0</v>
      </c>
      <c r="I483" t="n">
        <v>0</v>
      </c>
      <c r="J483" t="n">
        <v>0</v>
      </c>
      <c r="K483" t="n">
        <v>0</v>
      </c>
      <c r="L483" t="n">
        <v>0</v>
      </c>
      <c r="M483" t="n">
        <v>0</v>
      </c>
      <c r="N483" t="n">
        <v>0</v>
      </c>
      <c r="O483" t="n">
        <v>0</v>
      </c>
      <c r="P483" t="n">
        <v>0</v>
      </c>
      <c r="Q483" t="n">
        <v>0</v>
      </c>
      <c r="R483" s="2" t="inlineStr"/>
    </row>
    <row r="484" ht="15" customHeight="1">
      <c r="A484" t="inlineStr">
        <is>
          <t>A 31591-2025</t>
        </is>
      </c>
      <c r="B484" s="1" t="n">
        <v>45833</v>
      </c>
      <c r="C484" s="1" t="n">
        <v>46199</v>
      </c>
      <c r="D484" t="inlineStr">
        <is>
          <t>VÄRMLANDS LÄN</t>
        </is>
      </c>
      <c r="E484" t="inlineStr">
        <is>
          <t>ÅRJÄNG</t>
        </is>
      </c>
      <c r="G484" t="n">
        <v>1.2</v>
      </c>
      <c r="H484" t="n">
        <v>0</v>
      </c>
      <c r="I484" t="n">
        <v>0</v>
      </c>
      <c r="J484" t="n">
        <v>0</v>
      </c>
      <c r="K484" t="n">
        <v>0</v>
      </c>
      <c r="L484" t="n">
        <v>0</v>
      </c>
      <c r="M484" t="n">
        <v>0</v>
      </c>
      <c r="N484" t="n">
        <v>0</v>
      </c>
      <c r="O484" t="n">
        <v>0</v>
      </c>
      <c r="P484" t="n">
        <v>0</v>
      </c>
      <c r="Q484" t="n">
        <v>0</v>
      </c>
      <c r="R484" s="2" t="inlineStr"/>
    </row>
    <row r="485" ht="15" customHeight="1">
      <c r="A485" t="inlineStr">
        <is>
          <t>A 62086-2025</t>
        </is>
      </c>
      <c r="B485" s="1" t="n">
        <v>46006</v>
      </c>
      <c r="C485" s="1" t="n">
        <v>46199</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47604-2025</t>
        </is>
      </c>
      <c r="B486" s="1" t="n">
        <v>45931</v>
      </c>
      <c r="C486" s="1" t="n">
        <v>46199</v>
      </c>
      <c r="D486" t="inlineStr">
        <is>
          <t>VÄRMLANDS LÄN</t>
        </is>
      </c>
      <c r="E486" t="inlineStr">
        <is>
          <t>ÅRJÄNG</t>
        </is>
      </c>
      <c r="G486" t="n">
        <v>0.4</v>
      </c>
      <c r="H486" t="n">
        <v>0</v>
      </c>
      <c r="I486" t="n">
        <v>0</v>
      </c>
      <c r="J486" t="n">
        <v>0</v>
      </c>
      <c r="K486" t="n">
        <v>0</v>
      </c>
      <c r="L486" t="n">
        <v>0</v>
      </c>
      <c r="M486" t="n">
        <v>0</v>
      </c>
      <c r="N486" t="n">
        <v>0</v>
      </c>
      <c r="O486" t="n">
        <v>0</v>
      </c>
      <c r="P486" t="n">
        <v>0</v>
      </c>
      <c r="Q486" t="n">
        <v>0</v>
      </c>
      <c r="R486" s="2" t="inlineStr"/>
    </row>
    <row r="487" ht="15" customHeight="1">
      <c r="A487" t="inlineStr">
        <is>
          <t>A 47502-2025</t>
        </is>
      </c>
      <c r="B487" s="1" t="n">
        <v>45930</v>
      </c>
      <c r="C487" s="1" t="n">
        <v>46199</v>
      </c>
      <c r="D487" t="inlineStr">
        <is>
          <t>VÄRMLANDS LÄN</t>
        </is>
      </c>
      <c r="E487" t="inlineStr">
        <is>
          <t>ÅRJÄNG</t>
        </is>
      </c>
      <c r="G487" t="n">
        <v>10.5</v>
      </c>
      <c r="H487" t="n">
        <v>0</v>
      </c>
      <c r="I487" t="n">
        <v>0</v>
      </c>
      <c r="J487" t="n">
        <v>0</v>
      </c>
      <c r="K487" t="n">
        <v>0</v>
      </c>
      <c r="L487" t="n">
        <v>0</v>
      </c>
      <c r="M487" t="n">
        <v>0</v>
      </c>
      <c r="N487" t="n">
        <v>0</v>
      </c>
      <c r="O487" t="n">
        <v>0</v>
      </c>
      <c r="P487" t="n">
        <v>0</v>
      </c>
      <c r="Q487" t="n">
        <v>0</v>
      </c>
      <c r="R487" s="2" t="inlineStr"/>
    </row>
    <row r="488" ht="15" customHeight="1">
      <c r="A488" t="inlineStr">
        <is>
          <t>A 62804-2025</t>
        </is>
      </c>
      <c r="B488" s="1" t="n">
        <v>46008</v>
      </c>
      <c r="C488" s="1" t="n">
        <v>46199</v>
      </c>
      <c r="D488" t="inlineStr">
        <is>
          <t>VÄRMLANDS LÄN</t>
        </is>
      </c>
      <c r="E488" t="inlineStr">
        <is>
          <t>ÅRJÄNG</t>
        </is>
      </c>
      <c r="F488" t="inlineStr">
        <is>
          <t>Kyrkan</t>
        </is>
      </c>
      <c r="G488" t="n">
        <v>10.4</v>
      </c>
      <c r="H488" t="n">
        <v>0</v>
      </c>
      <c r="I488" t="n">
        <v>0</v>
      </c>
      <c r="J488" t="n">
        <v>0</v>
      </c>
      <c r="K488" t="n">
        <v>0</v>
      </c>
      <c r="L488" t="n">
        <v>0</v>
      </c>
      <c r="M488" t="n">
        <v>0</v>
      </c>
      <c r="N488" t="n">
        <v>0</v>
      </c>
      <c r="O488" t="n">
        <v>0</v>
      </c>
      <c r="P488" t="n">
        <v>0</v>
      </c>
      <c r="Q488" t="n">
        <v>0</v>
      </c>
      <c r="R488" s="2" t="inlineStr"/>
    </row>
    <row r="489" ht="15" customHeight="1">
      <c r="A489" t="inlineStr">
        <is>
          <t>A 47572-2025</t>
        </is>
      </c>
      <c r="B489" s="1" t="n">
        <v>45931</v>
      </c>
      <c r="C489" s="1" t="n">
        <v>46199</v>
      </c>
      <c r="D489" t="inlineStr">
        <is>
          <t>VÄRMLANDS LÄN</t>
        </is>
      </c>
      <c r="E489" t="inlineStr">
        <is>
          <t>ÅRJÄNG</t>
        </is>
      </c>
      <c r="G489" t="n">
        <v>0.7</v>
      </c>
      <c r="H489" t="n">
        <v>0</v>
      </c>
      <c r="I489" t="n">
        <v>0</v>
      </c>
      <c r="J489" t="n">
        <v>0</v>
      </c>
      <c r="K489" t="n">
        <v>0</v>
      </c>
      <c r="L489" t="n">
        <v>0</v>
      </c>
      <c r="M489" t="n">
        <v>0</v>
      </c>
      <c r="N489" t="n">
        <v>0</v>
      </c>
      <c r="O489" t="n">
        <v>0</v>
      </c>
      <c r="P489" t="n">
        <v>0</v>
      </c>
      <c r="Q489" t="n">
        <v>0</v>
      </c>
      <c r="R489" s="2" t="inlineStr"/>
    </row>
    <row r="490" ht="15" customHeight="1">
      <c r="A490" t="inlineStr">
        <is>
          <t>A 47623-2025</t>
        </is>
      </c>
      <c r="B490" s="1" t="n">
        <v>45931</v>
      </c>
      <c r="C490" s="1" t="n">
        <v>46199</v>
      </c>
      <c r="D490" t="inlineStr">
        <is>
          <t>VÄRMLANDS LÄN</t>
        </is>
      </c>
      <c r="E490" t="inlineStr">
        <is>
          <t>ÅRJÄNG</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13196-2023</t>
        </is>
      </c>
      <c r="B491" s="1" t="n">
        <v>45002</v>
      </c>
      <c r="C491" s="1" t="n">
        <v>46199</v>
      </c>
      <c r="D491" t="inlineStr">
        <is>
          <t>VÄRMLANDS LÄN</t>
        </is>
      </c>
      <c r="E491" t="inlineStr">
        <is>
          <t>ÅRJÄNG</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32321-2025</t>
        </is>
      </c>
      <c r="B492" s="1" t="n">
        <v>45836</v>
      </c>
      <c r="C492" s="1" t="n">
        <v>46199</v>
      </c>
      <c r="D492" t="inlineStr">
        <is>
          <t>VÄRMLANDS LÄN</t>
        </is>
      </c>
      <c r="E492" t="inlineStr">
        <is>
          <t>ÅRJÄNG</t>
        </is>
      </c>
      <c r="G492" t="n">
        <v>2.4</v>
      </c>
      <c r="H492" t="n">
        <v>0</v>
      </c>
      <c r="I492" t="n">
        <v>0</v>
      </c>
      <c r="J492" t="n">
        <v>0</v>
      </c>
      <c r="K492" t="n">
        <v>0</v>
      </c>
      <c r="L492" t="n">
        <v>0</v>
      </c>
      <c r="M492" t="n">
        <v>0</v>
      </c>
      <c r="N492" t="n">
        <v>0</v>
      </c>
      <c r="O492" t="n">
        <v>0</v>
      </c>
      <c r="P492" t="n">
        <v>0</v>
      </c>
      <c r="Q492" t="n">
        <v>0</v>
      </c>
      <c r="R492" s="2" t="inlineStr"/>
    </row>
    <row r="493" ht="15" customHeight="1">
      <c r="A493" t="inlineStr">
        <is>
          <t>A 48206-2025</t>
        </is>
      </c>
      <c r="B493" s="1" t="n">
        <v>45933</v>
      </c>
      <c r="C493" s="1" t="n">
        <v>46199</v>
      </c>
      <c r="D493" t="inlineStr">
        <is>
          <t>VÄRMLANDS LÄN</t>
        </is>
      </c>
      <c r="E493" t="inlineStr">
        <is>
          <t>ÅRJÄNG</t>
        </is>
      </c>
      <c r="G493" t="n">
        <v>1.1</v>
      </c>
      <c r="H493" t="n">
        <v>0</v>
      </c>
      <c r="I493" t="n">
        <v>0</v>
      </c>
      <c r="J493" t="n">
        <v>0</v>
      </c>
      <c r="K493" t="n">
        <v>0</v>
      </c>
      <c r="L493" t="n">
        <v>0</v>
      </c>
      <c r="M493" t="n">
        <v>0</v>
      </c>
      <c r="N493" t="n">
        <v>0</v>
      </c>
      <c r="O493" t="n">
        <v>0</v>
      </c>
      <c r="P493" t="n">
        <v>0</v>
      </c>
      <c r="Q493" t="n">
        <v>0</v>
      </c>
      <c r="R493" s="2" t="inlineStr"/>
    </row>
    <row r="494" ht="15" customHeight="1">
      <c r="A494" t="inlineStr">
        <is>
          <t>A 16613-2022</t>
        </is>
      </c>
      <c r="B494" s="1" t="n">
        <v>44672</v>
      </c>
      <c r="C494" s="1" t="n">
        <v>46199</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48658-2025</t>
        </is>
      </c>
      <c r="B495" s="1" t="n">
        <v>45936</v>
      </c>
      <c r="C495" s="1" t="n">
        <v>46199</v>
      </c>
      <c r="D495" t="inlineStr">
        <is>
          <t>VÄRMLANDS LÄN</t>
        </is>
      </c>
      <c r="E495" t="inlineStr">
        <is>
          <t>ÅRJÄNG</t>
        </is>
      </c>
      <c r="G495" t="n">
        <v>1.6</v>
      </c>
      <c r="H495" t="n">
        <v>0</v>
      </c>
      <c r="I495" t="n">
        <v>0</v>
      </c>
      <c r="J495" t="n">
        <v>0</v>
      </c>
      <c r="K495" t="n">
        <v>0</v>
      </c>
      <c r="L495" t="n">
        <v>0</v>
      </c>
      <c r="M495" t="n">
        <v>0</v>
      </c>
      <c r="N495" t="n">
        <v>0</v>
      </c>
      <c r="O495" t="n">
        <v>0</v>
      </c>
      <c r="P495" t="n">
        <v>0</v>
      </c>
      <c r="Q495" t="n">
        <v>0</v>
      </c>
      <c r="R495" s="2" t="inlineStr"/>
    </row>
    <row r="496" ht="15" customHeight="1">
      <c r="A496" t="inlineStr">
        <is>
          <t>A 48567-2025</t>
        </is>
      </c>
      <c r="B496" s="1" t="n">
        <v>45936</v>
      </c>
      <c r="C496" s="1" t="n">
        <v>46199</v>
      </c>
      <c r="D496" t="inlineStr">
        <is>
          <t>VÄRMLANDS LÄN</t>
        </is>
      </c>
      <c r="E496" t="inlineStr">
        <is>
          <t>ÅRJÄNG</t>
        </is>
      </c>
      <c r="G496" t="n">
        <v>4</v>
      </c>
      <c r="H496" t="n">
        <v>0</v>
      </c>
      <c r="I496" t="n">
        <v>0</v>
      </c>
      <c r="J496" t="n">
        <v>0</v>
      </c>
      <c r="K496" t="n">
        <v>0</v>
      </c>
      <c r="L496" t="n">
        <v>0</v>
      </c>
      <c r="M496" t="n">
        <v>0</v>
      </c>
      <c r="N496" t="n">
        <v>0</v>
      </c>
      <c r="O496" t="n">
        <v>0</v>
      </c>
      <c r="P496" t="n">
        <v>0</v>
      </c>
      <c r="Q496" t="n">
        <v>0</v>
      </c>
      <c r="R496" s="2" t="inlineStr"/>
    </row>
    <row r="497" ht="15" customHeight="1">
      <c r="A497" t="inlineStr">
        <is>
          <t>A 34387-2023</t>
        </is>
      </c>
      <c r="B497" s="1" t="n">
        <v>45139</v>
      </c>
      <c r="C497" s="1" t="n">
        <v>46199</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48225-2025</t>
        </is>
      </c>
      <c r="B498" s="1" t="n">
        <v>45933</v>
      </c>
      <c r="C498" s="1" t="n">
        <v>46199</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32326-2025</t>
        </is>
      </c>
      <c r="B499" s="1" t="n">
        <v>45836</v>
      </c>
      <c r="C499" s="1" t="n">
        <v>46199</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49424-2025</t>
        </is>
      </c>
      <c r="B500" s="1" t="n">
        <v>45938</v>
      </c>
      <c r="C500" s="1" t="n">
        <v>46199</v>
      </c>
      <c r="D500" t="inlineStr">
        <is>
          <t>VÄRMLANDS LÄN</t>
        </is>
      </c>
      <c r="E500" t="inlineStr">
        <is>
          <t>ÅRJÄNG</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52382-2024</t>
        </is>
      </c>
      <c r="B501" s="1" t="n">
        <v>45608</v>
      </c>
      <c r="C501" s="1" t="n">
        <v>46199</v>
      </c>
      <c r="D501" t="inlineStr">
        <is>
          <t>VÄRMLANDS LÄN</t>
        </is>
      </c>
      <c r="E501" t="inlineStr">
        <is>
          <t>ÅRJÄNG</t>
        </is>
      </c>
      <c r="G501" t="n">
        <v>8.9</v>
      </c>
      <c r="H501" t="n">
        <v>0</v>
      </c>
      <c r="I501" t="n">
        <v>0</v>
      </c>
      <c r="J501" t="n">
        <v>0</v>
      </c>
      <c r="K501" t="n">
        <v>0</v>
      </c>
      <c r="L501" t="n">
        <v>0</v>
      </c>
      <c r="M501" t="n">
        <v>0</v>
      </c>
      <c r="N501" t="n">
        <v>0</v>
      </c>
      <c r="O501" t="n">
        <v>0</v>
      </c>
      <c r="P501" t="n">
        <v>0</v>
      </c>
      <c r="Q501" t="n">
        <v>0</v>
      </c>
      <c r="R501" s="2" t="inlineStr"/>
    </row>
    <row r="502" ht="15" customHeight="1">
      <c r="A502" t="inlineStr">
        <is>
          <t>A 32730-2025</t>
        </is>
      </c>
      <c r="B502" s="1" t="n">
        <v>45839</v>
      </c>
      <c r="C502" s="1" t="n">
        <v>46199</v>
      </c>
      <c r="D502" t="inlineStr">
        <is>
          <t>VÄRMLANDS LÄN</t>
        </is>
      </c>
      <c r="E502" t="inlineStr">
        <is>
          <t>ÅRJÄNG</t>
        </is>
      </c>
      <c r="F502" t="inlineStr">
        <is>
          <t>Kyrkan</t>
        </is>
      </c>
      <c r="G502" t="n">
        <v>5.9</v>
      </c>
      <c r="H502" t="n">
        <v>0</v>
      </c>
      <c r="I502" t="n">
        <v>0</v>
      </c>
      <c r="J502" t="n">
        <v>0</v>
      </c>
      <c r="K502" t="n">
        <v>0</v>
      </c>
      <c r="L502" t="n">
        <v>0</v>
      </c>
      <c r="M502" t="n">
        <v>0</v>
      </c>
      <c r="N502" t="n">
        <v>0</v>
      </c>
      <c r="O502" t="n">
        <v>0</v>
      </c>
      <c r="P502" t="n">
        <v>0</v>
      </c>
      <c r="Q502" t="n">
        <v>0</v>
      </c>
      <c r="R502" s="2" t="inlineStr"/>
    </row>
    <row r="503" ht="15" customHeight="1">
      <c r="A503" t="inlineStr">
        <is>
          <t>A 57142-2024</t>
        </is>
      </c>
      <c r="B503" s="1" t="n">
        <v>45628</v>
      </c>
      <c r="C503" s="1" t="n">
        <v>46199</v>
      </c>
      <c r="D503" t="inlineStr">
        <is>
          <t>VÄRMLANDS LÄN</t>
        </is>
      </c>
      <c r="E503" t="inlineStr">
        <is>
          <t>ÅRJÄNG</t>
        </is>
      </c>
      <c r="G503" t="n">
        <v>5.4</v>
      </c>
      <c r="H503" t="n">
        <v>0</v>
      </c>
      <c r="I503" t="n">
        <v>0</v>
      </c>
      <c r="J503" t="n">
        <v>0</v>
      </c>
      <c r="K503" t="n">
        <v>0</v>
      </c>
      <c r="L503" t="n">
        <v>0</v>
      </c>
      <c r="M503" t="n">
        <v>0</v>
      </c>
      <c r="N503" t="n">
        <v>0</v>
      </c>
      <c r="O503" t="n">
        <v>0</v>
      </c>
      <c r="P503" t="n">
        <v>0</v>
      </c>
      <c r="Q503" t="n">
        <v>0</v>
      </c>
      <c r="R503" s="2" t="inlineStr"/>
    </row>
    <row r="504" ht="15" customHeight="1">
      <c r="A504" t="inlineStr">
        <is>
          <t>A 49439-2025</t>
        </is>
      </c>
      <c r="B504" s="1" t="n">
        <v>45938</v>
      </c>
      <c r="C504" s="1" t="n">
        <v>46199</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49914-2025</t>
        </is>
      </c>
      <c r="B505" s="1" t="n">
        <v>45940</v>
      </c>
      <c r="C505" s="1" t="n">
        <v>46199</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49441-2025</t>
        </is>
      </c>
      <c r="B506" s="1" t="n">
        <v>45938</v>
      </c>
      <c r="C506" s="1" t="n">
        <v>46199</v>
      </c>
      <c r="D506" t="inlineStr">
        <is>
          <t>VÄRMLANDS LÄN</t>
        </is>
      </c>
      <c r="E506" t="inlineStr">
        <is>
          <t>ÅRJÄNG</t>
        </is>
      </c>
      <c r="G506" t="n">
        <v>2.9</v>
      </c>
      <c r="H506" t="n">
        <v>0</v>
      </c>
      <c r="I506" t="n">
        <v>0</v>
      </c>
      <c r="J506" t="n">
        <v>0</v>
      </c>
      <c r="K506" t="n">
        <v>0</v>
      </c>
      <c r="L506" t="n">
        <v>0</v>
      </c>
      <c r="M506" t="n">
        <v>0</v>
      </c>
      <c r="N506" t="n">
        <v>0</v>
      </c>
      <c r="O506" t="n">
        <v>0</v>
      </c>
      <c r="P506" t="n">
        <v>0</v>
      </c>
      <c r="Q506" t="n">
        <v>0</v>
      </c>
      <c r="R506" s="2" t="inlineStr"/>
    </row>
    <row r="507" ht="15" customHeight="1">
      <c r="A507" t="inlineStr">
        <is>
          <t>A 49442-2025</t>
        </is>
      </c>
      <c r="B507" s="1" t="n">
        <v>45938</v>
      </c>
      <c r="C507" s="1" t="n">
        <v>46199</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1200-2023</t>
        </is>
      </c>
      <c r="B508" s="1" t="n">
        <v>44935</v>
      </c>
      <c r="C508" s="1" t="n">
        <v>46199</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49936-2025</t>
        </is>
      </c>
      <c r="B509" s="1" t="n">
        <v>45940</v>
      </c>
      <c r="C509" s="1" t="n">
        <v>46199</v>
      </c>
      <c r="D509" t="inlineStr">
        <is>
          <t>VÄRMLANDS LÄN</t>
        </is>
      </c>
      <c r="E509" t="inlineStr">
        <is>
          <t>ÅRJÄNG</t>
        </is>
      </c>
      <c r="F509" t="inlineStr">
        <is>
          <t>Kyrkan</t>
        </is>
      </c>
      <c r="G509" t="n">
        <v>5.3</v>
      </c>
      <c r="H509" t="n">
        <v>0</v>
      </c>
      <c r="I509" t="n">
        <v>0</v>
      </c>
      <c r="J509" t="n">
        <v>0</v>
      </c>
      <c r="K509" t="n">
        <v>0</v>
      </c>
      <c r="L509" t="n">
        <v>0</v>
      </c>
      <c r="M509" t="n">
        <v>0</v>
      </c>
      <c r="N509" t="n">
        <v>0</v>
      </c>
      <c r="O509" t="n">
        <v>0</v>
      </c>
      <c r="P509" t="n">
        <v>0</v>
      </c>
      <c r="Q509" t="n">
        <v>0</v>
      </c>
      <c r="R509" s="2" t="inlineStr"/>
    </row>
    <row r="510" ht="15" customHeight="1">
      <c r="A510" t="inlineStr">
        <is>
          <t>A 33412-2025</t>
        </is>
      </c>
      <c r="B510" s="1" t="n">
        <v>45841</v>
      </c>
      <c r="C510" s="1" t="n">
        <v>46199</v>
      </c>
      <c r="D510" t="inlineStr">
        <is>
          <t>VÄRMLANDS LÄN</t>
        </is>
      </c>
      <c r="E510" t="inlineStr">
        <is>
          <t>ÅRJÄNG</t>
        </is>
      </c>
      <c r="G510" t="n">
        <v>4.1</v>
      </c>
      <c r="H510" t="n">
        <v>0</v>
      </c>
      <c r="I510" t="n">
        <v>0</v>
      </c>
      <c r="J510" t="n">
        <v>0</v>
      </c>
      <c r="K510" t="n">
        <v>0</v>
      </c>
      <c r="L510" t="n">
        <v>0</v>
      </c>
      <c r="M510" t="n">
        <v>0</v>
      </c>
      <c r="N510" t="n">
        <v>0</v>
      </c>
      <c r="O510" t="n">
        <v>0</v>
      </c>
      <c r="P510" t="n">
        <v>0</v>
      </c>
      <c r="Q510" t="n">
        <v>0</v>
      </c>
      <c r="R510" s="2" t="inlineStr"/>
    </row>
    <row r="511" ht="15" customHeight="1">
      <c r="A511" t="inlineStr">
        <is>
          <t>A 49540-2025</t>
        </is>
      </c>
      <c r="B511" s="1" t="n">
        <v>45939</v>
      </c>
      <c r="C511" s="1" t="n">
        <v>46199</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33526-2025</t>
        </is>
      </c>
      <c r="B512" s="1" t="n">
        <v>45841</v>
      </c>
      <c r="C512" s="1" t="n">
        <v>46199</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50187-2025</t>
        </is>
      </c>
      <c r="B513" s="1" t="n">
        <v>45943</v>
      </c>
      <c r="C513" s="1" t="n">
        <v>46199</v>
      </c>
      <c r="D513" t="inlineStr">
        <is>
          <t>VÄRMLANDS LÄN</t>
        </is>
      </c>
      <c r="E513" t="inlineStr">
        <is>
          <t>ÅRJÄNG</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50295-2025</t>
        </is>
      </c>
      <c r="B514" s="1" t="n">
        <v>45944</v>
      </c>
      <c r="C514" s="1" t="n">
        <v>46199</v>
      </c>
      <c r="D514" t="inlineStr">
        <is>
          <t>VÄRMLANDS LÄN</t>
        </is>
      </c>
      <c r="E514" t="inlineStr">
        <is>
          <t>ÅRJÄNG</t>
        </is>
      </c>
      <c r="G514" t="n">
        <v>6</v>
      </c>
      <c r="H514" t="n">
        <v>0</v>
      </c>
      <c r="I514" t="n">
        <v>0</v>
      </c>
      <c r="J514" t="n">
        <v>0</v>
      </c>
      <c r="K514" t="n">
        <v>0</v>
      </c>
      <c r="L514" t="n">
        <v>0</v>
      </c>
      <c r="M514" t="n">
        <v>0</v>
      </c>
      <c r="N514" t="n">
        <v>0</v>
      </c>
      <c r="O514" t="n">
        <v>0</v>
      </c>
      <c r="P514" t="n">
        <v>0</v>
      </c>
      <c r="Q514" t="n">
        <v>0</v>
      </c>
      <c r="R514" s="2" t="inlineStr"/>
    </row>
    <row r="515" ht="15" customHeight="1">
      <c r="A515" t="inlineStr">
        <is>
          <t>A 50114-2025</t>
        </is>
      </c>
      <c r="B515" s="1" t="n">
        <v>45943</v>
      </c>
      <c r="C515" s="1" t="n">
        <v>46199</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50108-2025</t>
        </is>
      </c>
      <c r="B516" s="1" t="n">
        <v>45943</v>
      </c>
      <c r="C516" s="1" t="n">
        <v>46199</v>
      </c>
      <c r="D516" t="inlineStr">
        <is>
          <t>VÄRMLANDS LÄN</t>
        </is>
      </c>
      <c r="E516" t="inlineStr">
        <is>
          <t>ÅRJÄNG</t>
        </is>
      </c>
      <c r="G516" t="n">
        <v>2.1</v>
      </c>
      <c r="H516" t="n">
        <v>0</v>
      </c>
      <c r="I516" t="n">
        <v>0</v>
      </c>
      <c r="J516" t="n">
        <v>0</v>
      </c>
      <c r="K516" t="n">
        <v>0</v>
      </c>
      <c r="L516" t="n">
        <v>0</v>
      </c>
      <c r="M516" t="n">
        <v>0</v>
      </c>
      <c r="N516" t="n">
        <v>0</v>
      </c>
      <c r="O516" t="n">
        <v>0</v>
      </c>
      <c r="P516" t="n">
        <v>0</v>
      </c>
      <c r="Q516" t="n">
        <v>0</v>
      </c>
      <c r="R516" s="2" t="inlineStr"/>
    </row>
    <row r="517" ht="15" customHeight="1">
      <c r="A517" t="inlineStr">
        <is>
          <t>A 50118-2025</t>
        </is>
      </c>
      <c r="B517" s="1" t="n">
        <v>45943</v>
      </c>
      <c r="C517" s="1" t="n">
        <v>46199</v>
      </c>
      <c r="D517" t="inlineStr">
        <is>
          <t>VÄRMLANDS LÄN</t>
        </is>
      </c>
      <c r="E517" t="inlineStr">
        <is>
          <t>ÅRJÄNG</t>
        </is>
      </c>
      <c r="G517" t="n">
        <v>7.7</v>
      </c>
      <c r="H517" t="n">
        <v>0</v>
      </c>
      <c r="I517" t="n">
        <v>0</v>
      </c>
      <c r="J517" t="n">
        <v>0</v>
      </c>
      <c r="K517" t="n">
        <v>0</v>
      </c>
      <c r="L517" t="n">
        <v>0</v>
      </c>
      <c r="M517" t="n">
        <v>0</v>
      </c>
      <c r="N517" t="n">
        <v>0</v>
      </c>
      <c r="O517" t="n">
        <v>0</v>
      </c>
      <c r="P517" t="n">
        <v>0</v>
      </c>
      <c r="Q517" t="n">
        <v>0</v>
      </c>
      <c r="R517" s="2" t="inlineStr"/>
    </row>
    <row r="518" ht="15" customHeight="1">
      <c r="A518" t="inlineStr">
        <is>
          <t>A 61868-2024</t>
        </is>
      </c>
      <c r="B518" s="1" t="n">
        <v>45651</v>
      </c>
      <c r="C518" s="1" t="n">
        <v>46199</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49958-2025</t>
        </is>
      </c>
      <c r="B519" s="1" t="n">
        <v>45941</v>
      </c>
      <c r="C519" s="1" t="n">
        <v>46199</v>
      </c>
      <c r="D519" t="inlineStr">
        <is>
          <t>VÄRMLANDS LÄN</t>
        </is>
      </c>
      <c r="E519" t="inlineStr">
        <is>
          <t>ÅRJÄNG</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49959-2025</t>
        </is>
      </c>
      <c r="B520" s="1" t="n">
        <v>45941</v>
      </c>
      <c r="C520" s="1" t="n">
        <v>46199</v>
      </c>
      <c r="D520" t="inlineStr">
        <is>
          <t>VÄRMLANDS LÄN</t>
        </is>
      </c>
      <c r="E520" t="inlineStr">
        <is>
          <t>ÅRJÄNG</t>
        </is>
      </c>
      <c r="F520" t="inlineStr">
        <is>
          <t>Bergvik skog väst AB</t>
        </is>
      </c>
      <c r="G520" t="n">
        <v>3.7</v>
      </c>
      <c r="H520" t="n">
        <v>0</v>
      </c>
      <c r="I520" t="n">
        <v>0</v>
      </c>
      <c r="J520" t="n">
        <v>0</v>
      </c>
      <c r="K520" t="n">
        <v>0</v>
      </c>
      <c r="L520" t="n">
        <v>0</v>
      </c>
      <c r="M520" t="n">
        <v>0</v>
      </c>
      <c r="N520" t="n">
        <v>0</v>
      </c>
      <c r="O520" t="n">
        <v>0</v>
      </c>
      <c r="P520" t="n">
        <v>0</v>
      </c>
      <c r="Q520" t="n">
        <v>0</v>
      </c>
      <c r="R520" s="2" t="inlineStr"/>
    </row>
    <row r="521" ht="15" customHeight="1">
      <c r="A521" t="inlineStr">
        <is>
          <t>A 50112-2025</t>
        </is>
      </c>
      <c r="B521" s="1" t="n">
        <v>45943</v>
      </c>
      <c r="C521" s="1" t="n">
        <v>46199</v>
      </c>
      <c r="D521" t="inlineStr">
        <is>
          <t>VÄRMLANDS LÄN</t>
        </is>
      </c>
      <c r="E521" t="inlineStr">
        <is>
          <t>ÅRJÄNG</t>
        </is>
      </c>
      <c r="G521" t="n">
        <v>2.2</v>
      </c>
      <c r="H521" t="n">
        <v>0</v>
      </c>
      <c r="I521" t="n">
        <v>0</v>
      </c>
      <c r="J521" t="n">
        <v>0</v>
      </c>
      <c r="K521" t="n">
        <v>0</v>
      </c>
      <c r="L521" t="n">
        <v>0</v>
      </c>
      <c r="M521" t="n">
        <v>0</v>
      </c>
      <c r="N521" t="n">
        <v>0</v>
      </c>
      <c r="O521" t="n">
        <v>0</v>
      </c>
      <c r="P521" t="n">
        <v>0</v>
      </c>
      <c r="Q521" t="n">
        <v>0</v>
      </c>
      <c r="R521" s="2" t="inlineStr"/>
    </row>
    <row r="522" ht="15" customHeight="1">
      <c r="A522" t="inlineStr">
        <is>
          <t>A 50050-2025</t>
        </is>
      </c>
      <c r="B522" s="1" t="n">
        <v>45942</v>
      </c>
      <c r="C522" s="1" t="n">
        <v>46199</v>
      </c>
      <c r="D522" t="inlineStr">
        <is>
          <t>VÄRMLANDS LÄN</t>
        </is>
      </c>
      <c r="E522" t="inlineStr">
        <is>
          <t>ÅRJÄNG</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50304-2025</t>
        </is>
      </c>
      <c r="B523" s="1" t="n">
        <v>45944</v>
      </c>
      <c r="C523" s="1" t="n">
        <v>46199</v>
      </c>
      <c r="D523" t="inlineStr">
        <is>
          <t>VÄRMLANDS LÄN</t>
        </is>
      </c>
      <c r="E523" t="inlineStr">
        <is>
          <t>ÅRJÄNG</t>
        </is>
      </c>
      <c r="G523" t="n">
        <v>4.7</v>
      </c>
      <c r="H523" t="n">
        <v>0</v>
      </c>
      <c r="I523" t="n">
        <v>0</v>
      </c>
      <c r="J523" t="n">
        <v>0</v>
      </c>
      <c r="K523" t="n">
        <v>0</v>
      </c>
      <c r="L523" t="n">
        <v>0</v>
      </c>
      <c r="M523" t="n">
        <v>0</v>
      </c>
      <c r="N523" t="n">
        <v>0</v>
      </c>
      <c r="O523" t="n">
        <v>0</v>
      </c>
      <c r="P523" t="n">
        <v>0</v>
      </c>
      <c r="Q523" t="n">
        <v>0</v>
      </c>
      <c r="R523" s="2" t="inlineStr"/>
    </row>
    <row r="524" ht="15" customHeight="1">
      <c r="A524" t="inlineStr">
        <is>
          <t>A 50931-2025</t>
        </is>
      </c>
      <c r="B524" s="1" t="n">
        <v>45946</v>
      </c>
      <c r="C524" s="1" t="n">
        <v>46199</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50624-2025</t>
        </is>
      </c>
      <c r="B525" s="1" t="n">
        <v>45945</v>
      </c>
      <c r="C525" s="1" t="n">
        <v>46199</v>
      </c>
      <c r="D525" t="inlineStr">
        <is>
          <t>VÄRMLANDS LÄN</t>
        </is>
      </c>
      <c r="E525" t="inlineStr">
        <is>
          <t>ÅRJÄNG</t>
        </is>
      </c>
      <c r="G525" t="n">
        <v>3.4</v>
      </c>
      <c r="H525" t="n">
        <v>0</v>
      </c>
      <c r="I525" t="n">
        <v>0</v>
      </c>
      <c r="J525" t="n">
        <v>0</v>
      </c>
      <c r="K525" t="n">
        <v>0</v>
      </c>
      <c r="L525" t="n">
        <v>0</v>
      </c>
      <c r="M525" t="n">
        <v>0</v>
      </c>
      <c r="N525" t="n">
        <v>0</v>
      </c>
      <c r="O525" t="n">
        <v>0</v>
      </c>
      <c r="P525" t="n">
        <v>0</v>
      </c>
      <c r="Q525" t="n">
        <v>0</v>
      </c>
      <c r="R525" s="2" t="inlineStr"/>
    </row>
    <row r="526" ht="15" customHeight="1">
      <c r="A526" t="inlineStr">
        <is>
          <t>A 50841-2025</t>
        </is>
      </c>
      <c r="B526" s="1" t="n">
        <v>45946</v>
      </c>
      <c r="C526" s="1" t="n">
        <v>46199</v>
      </c>
      <c r="D526" t="inlineStr">
        <is>
          <t>VÄRMLANDS LÄN</t>
        </is>
      </c>
      <c r="E526" t="inlineStr">
        <is>
          <t>ÅRJÄNG</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50847-2025</t>
        </is>
      </c>
      <c r="B527" s="1" t="n">
        <v>45946</v>
      </c>
      <c r="C527" s="1" t="n">
        <v>46199</v>
      </c>
      <c r="D527" t="inlineStr">
        <is>
          <t>VÄRMLANDS LÄN</t>
        </is>
      </c>
      <c r="E527" t="inlineStr">
        <is>
          <t>ÅRJÄNG</t>
        </is>
      </c>
      <c r="F527" t="inlineStr">
        <is>
          <t>Kyrkan</t>
        </is>
      </c>
      <c r="G527" t="n">
        <v>4.3</v>
      </c>
      <c r="H527" t="n">
        <v>0</v>
      </c>
      <c r="I527" t="n">
        <v>0</v>
      </c>
      <c r="J527" t="n">
        <v>0</v>
      </c>
      <c r="K527" t="n">
        <v>0</v>
      </c>
      <c r="L527" t="n">
        <v>0</v>
      </c>
      <c r="M527" t="n">
        <v>0</v>
      </c>
      <c r="N527" t="n">
        <v>0</v>
      </c>
      <c r="O527" t="n">
        <v>0</v>
      </c>
      <c r="P527" t="n">
        <v>0</v>
      </c>
      <c r="Q527" t="n">
        <v>0</v>
      </c>
      <c r="R527" s="2" t="inlineStr"/>
    </row>
    <row r="528" ht="15" customHeight="1">
      <c r="A528" t="inlineStr">
        <is>
          <t>A 63844-2025</t>
        </is>
      </c>
      <c r="B528" s="1" t="n">
        <v>46020</v>
      </c>
      <c r="C528" s="1" t="n">
        <v>46199</v>
      </c>
      <c r="D528" t="inlineStr">
        <is>
          <t>VÄRMLANDS LÄN</t>
        </is>
      </c>
      <c r="E528" t="inlineStr">
        <is>
          <t>ÅRJÄNG</t>
        </is>
      </c>
      <c r="G528" t="n">
        <v>3.2</v>
      </c>
      <c r="H528" t="n">
        <v>0</v>
      </c>
      <c r="I528" t="n">
        <v>0</v>
      </c>
      <c r="J528" t="n">
        <v>0</v>
      </c>
      <c r="K528" t="n">
        <v>0</v>
      </c>
      <c r="L528" t="n">
        <v>0</v>
      </c>
      <c r="M528" t="n">
        <v>0</v>
      </c>
      <c r="N528" t="n">
        <v>0</v>
      </c>
      <c r="O528" t="n">
        <v>0</v>
      </c>
      <c r="P528" t="n">
        <v>0</v>
      </c>
      <c r="Q528" t="n">
        <v>0</v>
      </c>
      <c r="R528" s="2" t="inlineStr"/>
    </row>
    <row r="529" ht="15" customHeight="1">
      <c r="A529" t="inlineStr">
        <is>
          <t>A 34148-2025</t>
        </is>
      </c>
      <c r="B529" s="1" t="n">
        <v>45844</v>
      </c>
      <c r="C529" s="1" t="n">
        <v>46199</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63858-2025</t>
        </is>
      </c>
      <c r="B530" s="1" t="n">
        <v>46020</v>
      </c>
      <c r="C530" s="1" t="n">
        <v>46199</v>
      </c>
      <c r="D530" t="inlineStr">
        <is>
          <t>VÄRMLANDS LÄN</t>
        </is>
      </c>
      <c r="E530" t="inlineStr">
        <is>
          <t>ÅRJÄNG</t>
        </is>
      </c>
      <c r="G530" t="n">
        <v>1.8</v>
      </c>
      <c r="H530" t="n">
        <v>0</v>
      </c>
      <c r="I530" t="n">
        <v>0</v>
      </c>
      <c r="J530" t="n">
        <v>0</v>
      </c>
      <c r="K530" t="n">
        <v>0</v>
      </c>
      <c r="L530" t="n">
        <v>0</v>
      </c>
      <c r="M530" t="n">
        <v>0</v>
      </c>
      <c r="N530" t="n">
        <v>0</v>
      </c>
      <c r="O530" t="n">
        <v>0</v>
      </c>
      <c r="P530" t="n">
        <v>0</v>
      </c>
      <c r="Q530" t="n">
        <v>0</v>
      </c>
      <c r="R530" s="2" t="inlineStr"/>
    </row>
    <row r="531" ht="15" customHeight="1">
      <c r="A531" t="inlineStr">
        <is>
          <t>A 24444-2025</t>
        </is>
      </c>
      <c r="B531" s="1" t="n">
        <v>45798</v>
      </c>
      <c r="C531" s="1" t="n">
        <v>46199</v>
      </c>
      <c r="D531" t="inlineStr">
        <is>
          <t>VÄRMLANDS LÄN</t>
        </is>
      </c>
      <c r="E531" t="inlineStr">
        <is>
          <t>ÅRJÄNG</t>
        </is>
      </c>
      <c r="G531" t="n">
        <v>5.1</v>
      </c>
      <c r="H531" t="n">
        <v>0</v>
      </c>
      <c r="I531" t="n">
        <v>0</v>
      </c>
      <c r="J531" t="n">
        <v>0</v>
      </c>
      <c r="K531" t="n">
        <v>0</v>
      </c>
      <c r="L531" t="n">
        <v>0</v>
      </c>
      <c r="M531" t="n">
        <v>0</v>
      </c>
      <c r="N531" t="n">
        <v>0</v>
      </c>
      <c r="O531" t="n">
        <v>0</v>
      </c>
      <c r="P531" t="n">
        <v>0</v>
      </c>
      <c r="Q531" t="n">
        <v>0</v>
      </c>
      <c r="R531" s="2" t="inlineStr"/>
    </row>
    <row r="532" ht="15" customHeight="1">
      <c r="A532" t="inlineStr">
        <is>
          <t>A 63836-2025</t>
        </is>
      </c>
      <c r="B532" s="1" t="n">
        <v>46020</v>
      </c>
      <c r="C532" s="1" t="n">
        <v>46199</v>
      </c>
      <c r="D532" t="inlineStr">
        <is>
          <t>VÄRMLANDS LÄN</t>
        </is>
      </c>
      <c r="E532" t="inlineStr">
        <is>
          <t>ÅRJÄNG</t>
        </is>
      </c>
      <c r="G532" t="n">
        <v>12.7</v>
      </c>
      <c r="H532" t="n">
        <v>0</v>
      </c>
      <c r="I532" t="n">
        <v>0</v>
      </c>
      <c r="J532" t="n">
        <v>0</v>
      </c>
      <c r="K532" t="n">
        <v>0</v>
      </c>
      <c r="L532" t="n">
        <v>0</v>
      </c>
      <c r="M532" t="n">
        <v>0</v>
      </c>
      <c r="N532" t="n">
        <v>0</v>
      </c>
      <c r="O532" t="n">
        <v>0</v>
      </c>
      <c r="P532" t="n">
        <v>0</v>
      </c>
      <c r="Q532" t="n">
        <v>0</v>
      </c>
      <c r="R532" s="2" t="inlineStr"/>
    </row>
    <row r="533" ht="15" customHeight="1">
      <c r="A533" t="inlineStr">
        <is>
          <t>A 33998-2025</t>
        </is>
      </c>
      <c r="B533" s="1" t="n">
        <v>45843</v>
      </c>
      <c r="C533" s="1" t="n">
        <v>46199</v>
      </c>
      <c r="D533" t="inlineStr">
        <is>
          <t>VÄRMLANDS LÄN</t>
        </is>
      </c>
      <c r="E533" t="inlineStr">
        <is>
          <t>ÅRJÄNG</t>
        </is>
      </c>
      <c r="F533" t="inlineStr">
        <is>
          <t>Kyrkan</t>
        </is>
      </c>
      <c r="G533" t="n">
        <v>2</v>
      </c>
      <c r="H533" t="n">
        <v>0</v>
      </c>
      <c r="I533" t="n">
        <v>0</v>
      </c>
      <c r="J533" t="n">
        <v>0</v>
      </c>
      <c r="K533" t="n">
        <v>0</v>
      </c>
      <c r="L533" t="n">
        <v>0</v>
      </c>
      <c r="M533" t="n">
        <v>0</v>
      </c>
      <c r="N533" t="n">
        <v>0</v>
      </c>
      <c r="O533" t="n">
        <v>0</v>
      </c>
      <c r="P533" t="n">
        <v>0</v>
      </c>
      <c r="Q533" t="n">
        <v>0</v>
      </c>
      <c r="R533" s="2" t="inlineStr"/>
    </row>
    <row r="534" ht="15" customHeight="1">
      <c r="A534" t="inlineStr">
        <is>
          <t>A 50620-2025</t>
        </is>
      </c>
      <c r="B534" s="1" t="n">
        <v>45945</v>
      </c>
      <c r="C534" s="1" t="n">
        <v>46199</v>
      </c>
      <c r="D534" t="inlineStr">
        <is>
          <t>VÄRMLANDS LÄN</t>
        </is>
      </c>
      <c r="E534" t="inlineStr">
        <is>
          <t>ÅRJÄNG</t>
        </is>
      </c>
      <c r="G534" t="n">
        <v>7.7</v>
      </c>
      <c r="H534" t="n">
        <v>0</v>
      </c>
      <c r="I534" t="n">
        <v>0</v>
      </c>
      <c r="J534" t="n">
        <v>0</v>
      </c>
      <c r="K534" t="n">
        <v>0</v>
      </c>
      <c r="L534" t="n">
        <v>0</v>
      </c>
      <c r="M534" t="n">
        <v>0</v>
      </c>
      <c r="N534" t="n">
        <v>0</v>
      </c>
      <c r="O534" t="n">
        <v>0</v>
      </c>
      <c r="P534" t="n">
        <v>0</v>
      </c>
      <c r="Q534" t="n">
        <v>0</v>
      </c>
      <c r="R534" s="2" t="inlineStr"/>
    </row>
    <row r="535" ht="15" customHeight="1">
      <c r="A535" t="inlineStr">
        <is>
          <t>A 63837-2025</t>
        </is>
      </c>
      <c r="B535" s="1" t="n">
        <v>46020</v>
      </c>
      <c r="C535" s="1" t="n">
        <v>46199</v>
      </c>
      <c r="D535" t="inlineStr">
        <is>
          <t>VÄRMLANDS LÄN</t>
        </is>
      </c>
      <c r="E535" t="inlineStr">
        <is>
          <t>ÅRJÄNG</t>
        </is>
      </c>
      <c r="G535" t="n">
        <v>5.6</v>
      </c>
      <c r="H535" t="n">
        <v>0</v>
      </c>
      <c r="I535" t="n">
        <v>0</v>
      </c>
      <c r="J535" t="n">
        <v>0</v>
      </c>
      <c r="K535" t="n">
        <v>0</v>
      </c>
      <c r="L535" t="n">
        <v>0</v>
      </c>
      <c r="M535" t="n">
        <v>0</v>
      </c>
      <c r="N535" t="n">
        <v>0</v>
      </c>
      <c r="O535" t="n">
        <v>0</v>
      </c>
      <c r="P535" t="n">
        <v>0</v>
      </c>
      <c r="Q535" t="n">
        <v>0</v>
      </c>
      <c r="R535" s="2" t="inlineStr"/>
    </row>
    <row r="536" ht="15" customHeight="1">
      <c r="A536" t="inlineStr">
        <is>
          <t>A 63830-2025</t>
        </is>
      </c>
      <c r="B536" s="1" t="n">
        <v>46020</v>
      </c>
      <c r="C536" s="1" t="n">
        <v>46199</v>
      </c>
      <c r="D536" t="inlineStr">
        <is>
          <t>VÄRMLANDS LÄN</t>
        </is>
      </c>
      <c r="E536" t="inlineStr">
        <is>
          <t>ÅRJÄNG</t>
        </is>
      </c>
      <c r="G536" t="n">
        <v>7.3</v>
      </c>
      <c r="H536" t="n">
        <v>0</v>
      </c>
      <c r="I536" t="n">
        <v>0</v>
      </c>
      <c r="J536" t="n">
        <v>0</v>
      </c>
      <c r="K536" t="n">
        <v>0</v>
      </c>
      <c r="L536" t="n">
        <v>0</v>
      </c>
      <c r="M536" t="n">
        <v>0</v>
      </c>
      <c r="N536" t="n">
        <v>0</v>
      </c>
      <c r="O536" t="n">
        <v>0</v>
      </c>
      <c r="P536" t="n">
        <v>0</v>
      </c>
      <c r="Q536" t="n">
        <v>0</v>
      </c>
      <c r="R536" s="2" t="inlineStr"/>
    </row>
    <row r="537" ht="15" customHeight="1">
      <c r="A537" t="inlineStr">
        <is>
          <t>A 13784-2024</t>
        </is>
      </c>
      <c r="B537" s="1" t="n">
        <v>45391</v>
      </c>
      <c r="C537" s="1" t="n">
        <v>46199</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50554-2025</t>
        </is>
      </c>
      <c r="B538" s="1" t="n">
        <v>45945</v>
      </c>
      <c r="C538" s="1" t="n">
        <v>46199</v>
      </c>
      <c r="D538" t="inlineStr">
        <is>
          <t>VÄRMLANDS LÄN</t>
        </is>
      </c>
      <c r="E538" t="inlineStr">
        <is>
          <t>ÅRJÄNG</t>
        </is>
      </c>
      <c r="G538" t="n">
        <v>1.5</v>
      </c>
      <c r="H538" t="n">
        <v>0</v>
      </c>
      <c r="I538" t="n">
        <v>0</v>
      </c>
      <c r="J538" t="n">
        <v>0</v>
      </c>
      <c r="K538" t="n">
        <v>0</v>
      </c>
      <c r="L538" t="n">
        <v>0</v>
      </c>
      <c r="M538" t="n">
        <v>0</v>
      </c>
      <c r="N538" t="n">
        <v>0</v>
      </c>
      <c r="O538" t="n">
        <v>0</v>
      </c>
      <c r="P538" t="n">
        <v>0</v>
      </c>
      <c r="Q538" t="n">
        <v>0</v>
      </c>
      <c r="R538" s="2" t="inlineStr"/>
    </row>
    <row r="539" ht="15" customHeight="1">
      <c r="A539" t="inlineStr">
        <is>
          <t>A 24445-2025</t>
        </is>
      </c>
      <c r="B539" s="1" t="n">
        <v>45798</v>
      </c>
      <c r="C539" s="1" t="n">
        <v>46199</v>
      </c>
      <c r="D539" t="inlineStr">
        <is>
          <t>VÄRMLANDS LÄN</t>
        </is>
      </c>
      <c r="E539" t="inlineStr">
        <is>
          <t>ÅRJÄNG</t>
        </is>
      </c>
      <c r="G539" t="n">
        <v>6.4</v>
      </c>
      <c r="H539" t="n">
        <v>0</v>
      </c>
      <c r="I539" t="n">
        <v>0</v>
      </c>
      <c r="J539" t="n">
        <v>0</v>
      </c>
      <c r="K539" t="n">
        <v>0</v>
      </c>
      <c r="L539" t="n">
        <v>0</v>
      </c>
      <c r="M539" t="n">
        <v>0</v>
      </c>
      <c r="N539" t="n">
        <v>0</v>
      </c>
      <c r="O539" t="n">
        <v>0</v>
      </c>
      <c r="P539" t="n">
        <v>0</v>
      </c>
      <c r="Q539" t="n">
        <v>0</v>
      </c>
      <c r="R539" s="2" t="inlineStr"/>
    </row>
    <row r="540" ht="15" customHeight="1">
      <c r="A540" t="inlineStr">
        <is>
          <t>A 34235-2025</t>
        </is>
      </c>
      <c r="B540" s="1" t="n">
        <v>45845</v>
      </c>
      <c r="C540" s="1" t="n">
        <v>46199</v>
      </c>
      <c r="D540" t="inlineStr">
        <is>
          <t>VÄRMLANDS LÄN</t>
        </is>
      </c>
      <c r="E540" t="inlineStr">
        <is>
          <t>ÅRJÄNG</t>
        </is>
      </c>
      <c r="G540" t="n">
        <v>3.5</v>
      </c>
      <c r="H540" t="n">
        <v>0</v>
      </c>
      <c r="I540" t="n">
        <v>0</v>
      </c>
      <c r="J540" t="n">
        <v>0</v>
      </c>
      <c r="K540" t="n">
        <v>0</v>
      </c>
      <c r="L540" t="n">
        <v>0</v>
      </c>
      <c r="M540" t="n">
        <v>0</v>
      </c>
      <c r="N540" t="n">
        <v>0</v>
      </c>
      <c r="O540" t="n">
        <v>0</v>
      </c>
      <c r="P540" t="n">
        <v>0</v>
      </c>
      <c r="Q540" t="n">
        <v>0</v>
      </c>
      <c r="R540" s="2" t="inlineStr"/>
    </row>
    <row r="541" ht="15" customHeight="1">
      <c r="A541" t="inlineStr">
        <is>
          <t>A 50545-2025</t>
        </is>
      </c>
      <c r="B541" s="1" t="n">
        <v>45945</v>
      </c>
      <c r="C541" s="1" t="n">
        <v>46199</v>
      </c>
      <c r="D541" t="inlineStr">
        <is>
          <t>VÄRMLANDS LÄN</t>
        </is>
      </c>
      <c r="E541" t="inlineStr">
        <is>
          <t>ÅRJÄNG</t>
        </is>
      </c>
      <c r="G541" t="n">
        <v>0.7</v>
      </c>
      <c r="H541" t="n">
        <v>0</v>
      </c>
      <c r="I541" t="n">
        <v>0</v>
      </c>
      <c r="J541" t="n">
        <v>0</v>
      </c>
      <c r="K541" t="n">
        <v>0</v>
      </c>
      <c r="L541" t="n">
        <v>0</v>
      </c>
      <c r="M541" t="n">
        <v>0</v>
      </c>
      <c r="N541" t="n">
        <v>0</v>
      </c>
      <c r="O541" t="n">
        <v>0</v>
      </c>
      <c r="P541" t="n">
        <v>0</v>
      </c>
      <c r="Q541" t="n">
        <v>0</v>
      </c>
      <c r="R541" s="2" t="inlineStr"/>
    </row>
    <row r="542" ht="15" customHeight="1">
      <c r="A542" t="inlineStr">
        <is>
          <t>A 50551-2025</t>
        </is>
      </c>
      <c r="B542" s="1" t="n">
        <v>45945</v>
      </c>
      <c r="C542" s="1" t="n">
        <v>46199</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40349-2024</t>
        </is>
      </c>
      <c r="B543" s="1" t="n">
        <v>45555</v>
      </c>
      <c r="C543" s="1" t="n">
        <v>46199</v>
      </c>
      <c r="D543" t="inlineStr">
        <is>
          <t>VÄRMLANDS LÄN</t>
        </is>
      </c>
      <c r="E543" t="inlineStr">
        <is>
          <t>ÅRJÄNG</t>
        </is>
      </c>
      <c r="G543" t="n">
        <v>0.6</v>
      </c>
      <c r="H543" t="n">
        <v>0</v>
      </c>
      <c r="I543" t="n">
        <v>0</v>
      </c>
      <c r="J543" t="n">
        <v>0</v>
      </c>
      <c r="K543" t="n">
        <v>0</v>
      </c>
      <c r="L543" t="n">
        <v>0</v>
      </c>
      <c r="M543" t="n">
        <v>0</v>
      </c>
      <c r="N543" t="n">
        <v>0</v>
      </c>
      <c r="O543" t="n">
        <v>0</v>
      </c>
      <c r="P543" t="n">
        <v>0</v>
      </c>
      <c r="Q543" t="n">
        <v>0</v>
      </c>
      <c r="R543" s="2" t="inlineStr"/>
    </row>
    <row r="544" ht="15" customHeight="1">
      <c r="A544" t="inlineStr">
        <is>
          <t>A 50498-2025</t>
        </is>
      </c>
      <c r="B544" s="1" t="n">
        <v>45945</v>
      </c>
      <c r="C544" s="1" t="n">
        <v>46199</v>
      </c>
      <c r="D544" t="inlineStr">
        <is>
          <t>VÄRMLANDS LÄN</t>
        </is>
      </c>
      <c r="E544" t="inlineStr">
        <is>
          <t>ÅRJÄNG</t>
        </is>
      </c>
      <c r="G544" t="n">
        <v>4.5</v>
      </c>
      <c r="H544" t="n">
        <v>0</v>
      </c>
      <c r="I544" t="n">
        <v>0</v>
      </c>
      <c r="J544" t="n">
        <v>0</v>
      </c>
      <c r="K544" t="n">
        <v>0</v>
      </c>
      <c r="L544" t="n">
        <v>0</v>
      </c>
      <c r="M544" t="n">
        <v>0</v>
      </c>
      <c r="N544" t="n">
        <v>0</v>
      </c>
      <c r="O544" t="n">
        <v>0</v>
      </c>
      <c r="P544" t="n">
        <v>0</v>
      </c>
      <c r="Q544" t="n">
        <v>0</v>
      </c>
      <c r="R544" s="2" t="inlineStr"/>
    </row>
    <row r="545" ht="15" customHeight="1">
      <c r="A545" t="inlineStr">
        <is>
          <t>A 37191-2023</t>
        </is>
      </c>
      <c r="B545" s="1" t="n">
        <v>45154</v>
      </c>
      <c r="C545" s="1" t="n">
        <v>46199</v>
      </c>
      <c r="D545" t="inlineStr">
        <is>
          <t>VÄRMLANDS LÄN</t>
        </is>
      </c>
      <c r="E545" t="inlineStr">
        <is>
          <t>ÅRJÄNG</t>
        </is>
      </c>
      <c r="G545" t="n">
        <v>0.7</v>
      </c>
      <c r="H545" t="n">
        <v>0</v>
      </c>
      <c r="I545" t="n">
        <v>0</v>
      </c>
      <c r="J545" t="n">
        <v>0</v>
      </c>
      <c r="K545" t="n">
        <v>0</v>
      </c>
      <c r="L545" t="n">
        <v>0</v>
      </c>
      <c r="M545" t="n">
        <v>0</v>
      </c>
      <c r="N545" t="n">
        <v>0</v>
      </c>
      <c r="O545" t="n">
        <v>0</v>
      </c>
      <c r="P545" t="n">
        <v>0</v>
      </c>
      <c r="Q545" t="n">
        <v>0</v>
      </c>
      <c r="R545" s="2" t="inlineStr"/>
    </row>
    <row r="546" ht="15" customHeight="1">
      <c r="A546" t="inlineStr">
        <is>
          <t>A 53468-2021</t>
        </is>
      </c>
      <c r="B546" s="1" t="n">
        <v>44468</v>
      </c>
      <c r="C546" s="1" t="n">
        <v>46199</v>
      </c>
      <c r="D546" t="inlineStr">
        <is>
          <t>VÄRMLANDS LÄN</t>
        </is>
      </c>
      <c r="E546" t="inlineStr">
        <is>
          <t>ÅRJÄNG</t>
        </is>
      </c>
      <c r="G546" t="n">
        <v>2.1</v>
      </c>
      <c r="H546" t="n">
        <v>0</v>
      </c>
      <c r="I546" t="n">
        <v>0</v>
      </c>
      <c r="J546" t="n">
        <v>0</v>
      </c>
      <c r="K546" t="n">
        <v>0</v>
      </c>
      <c r="L546" t="n">
        <v>0</v>
      </c>
      <c r="M546" t="n">
        <v>0</v>
      </c>
      <c r="N546" t="n">
        <v>0</v>
      </c>
      <c r="O546" t="n">
        <v>0</v>
      </c>
      <c r="P546" t="n">
        <v>0</v>
      </c>
      <c r="Q546" t="n">
        <v>0</v>
      </c>
      <c r="R546" s="2" t="inlineStr"/>
    </row>
    <row r="547" ht="15" customHeight="1">
      <c r="A547" t="inlineStr">
        <is>
          <t>A 34839-2025</t>
        </is>
      </c>
      <c r="B547" s="1" t="n">
        <v>45849</v>
      </c>
      <c r="C547" s="1" t="n">
        <v>46199</v>
      </c>
      <c r="D547" t="inlineStr">
        <is>
          <t>VÄRMLANDS LÄN</t>
        </is>
      </c>
      <c r="E547" t="inlineStr">
        <is>
          <t>ÅRJÄNG</t>
        </is>
      </c>
      <c r="G547" t="n">
        <v>3.7</v>
      </c>
      <c r="H547" t="n">
        <v>0</v>
      </c>
      <c r="I547" t="n">
        <v>0</v>
      </c>
      <c r="J547" t="n">
        <v>0</v>
      </c>
      <c r="K547" t="n">
        <v>0</v>
      </c>
      <c r="L547" t="n">
        <v>0</v>
      </c>
      <c r="M547" t="n">
        <v>0</v>
      </c>
      <c r="N547" t="n">
        <v>0</v>
      </c>
      <c r="O547" t="n">
        <v>0</v>
      </c>
      <c r="P547" t="n">
        <v>0</v>
      </c>
      <c r="Q547" t="n">
        <v>0</v>
      </c>
      <c r="R547" s="2" t="inlineStr"/>
    </row>
    <row r="548" ht="15" customHeight="1">
      <c r="A548" t="inlineStr">
        <is>
          <t>A 51282-2025</t>
        </is>
      </c>
      <c r="B548" s="1" t="n">
        <v>45950</v>
      </c>
      <c r="C548" s="1" t="n">
        <v>46199</v>
      </c>
      <c r="D548" t="inlineStr">
        <is>
          <t>VÄRMLANDS LÄN</t>
        </is>
      </c>
      <c r="E548" t="inlineStr">
        <is>
          <t>ÅRJÄNG</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34840-2025</t>
        </is>
      </c>
      <c r="B549" s="1" t="n">
        <v>45849</v>
      </c>
      <c r="C549" s="1" t="n">
        <v>46199</v>
      </c>
      <c r="D549" t="inlineStr">
        <is>
          <t>VÄRMLANDS LÄN</t>
        </is>
      </c>
      <c r="E549" t="inlineStr">
        <is>
          <t>ÅRJÄNG</t>
        </is>
      </c>
      <c r="G549" t="n">
        <v>2.3</v>
      </c>
      <c r="H549" t="n">
        <v>0</v>
      </c>
      <c r="I549" t="n">
        <v>0</v>
      </c>
      <c r="J549" t="n">
        <v>0</v>
      </c>
      <c r="K549" t="n">
        <v>0</v>
      </c>
      <c r="L549" t="n">
        <v>0</v>
      </c>
      <c r="M549" t="n">
        <v>0</v>
      </c>
      <c r="N549" t="n">
        <v>0</v>
      </c>
      <c r="O549" t="n">
        <v>0</v>
      </c>
      <c r="P549" t="n">
        <v>0</v>
      </c>
      <c r="Q549" t="n">
        <v>0</v>
      </c>
      <c r="R549" s="2" t="inlineStr"/>
    </row>
    <row r="550" ht="15" customHeight="1">
      <c r="A550" t="inlineStr">
        <is>
          <t>A 35104-2025</t>
        </is>
      </c>
      <c r="B550" s="1" t="n">
        <v>45852</v>
      </c>
      <c r="C550" s="1" t="n">
        <v>46199</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3861-2025</t>
        </is>
      </c>
      <c r="B551" s="1" t="n">
        <v>45683</v>
      </c>
      <c r="C551" s="1" t="n">
        <v>46199</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51430-2025</t>
        </is>
      </c>
      <c r="B552" s="1" t="n">
        <v>45950</v>
      </c>
      <c r="C552" s="1" t="n">
        <v>46199</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51435-2025</t>
        </is>
      </c>
      <c r="B553" s="1" t="n">
        <v>45950</v>
      </c>
      <c r="C553" s="1" t="n">
        <v>46199</v>
      </c>
      <c r="D553" t="inlineStr">
        <is>
          <t>VÄRMLANDS LÄN</t>
        </is>
      </c>
      <c r="E553" t="inlineStr">
        <is>
          <t>ÅRJÄNG</t>
        </is>
      </c>
      <c r="G553" t="n">
        <v>1.3</v>
      </c>
      <c r="H553" t="n">
        <v>0</v>
      </c>
      <c r="I553" t="n">
        <v>0</v>
      </c>
      <c r="J553" t="n">
        <v>0</v>
      </c>
      <c r="K553" t="n">
        <v>0</v>
      </c>
      <c r="L553" t="n">
        <v>0</v>
      </c>
      <c r="M553" t="n">
        <v>0</v>
      </c>
      <c r="N553" t="n">
        <v>0</v>
      </c>
      <c r="O553" t="n">
        <v>0</v>
      </c>
      <c r="P553" t="n">
        <v>0</v>
      </c>
      <c r="Q553" t="n">
        <v>0</v>
      </c>
      <c r="R553" s="2" t="inlineStr"/>
    </row>
    <row r="554" ht="15" customHeight="1">
      <c r="A554" t="inlineStr">
        <is>
          <t>A 34831-2025</t>
        </is>
      </c>
      <c r="B554" s="1" t="n">
        <v>45849</v>
      </c>
      <c r="C554" s="1" t="n">
        <v>46199</v>
      </c>
      <c r="D554" t="inlineStr">
        <is>
          <t>VÄRMLANDS LÄN</t>
        </is>
      </c>
      <c r="E554" t="inlineStr">
        <is>
          <t>ÅRJÄNG</t>
        </is>
      </c>
      <c r="G554" t="n">
        <v>5.4</v>
      </c>
      <c r="H554" t="n">
        <v>0</v>
      </c>
      <c r="I554" t="n">
        <v>0</v>
      </c>
      <c r="J554" t="n">
        <v>0</v>
      </c>
      <c r="K554" t="n">
        <v>0</v>
      </c>
      <c r="L554" t="n">
        <v>0</v>
      </c>
      <c r="M554" t="n">
        <v>0</v>
      </c>
      <c r="N554" t="n">
        <v>0</v>
      </c>
      <c r="O554" t="n">
        <v>0</v>
      </c>
      <c r="P554" t="n">
        <v>0</v>
      </c>
      <c r="Q554" t="n">
        <v>0</v>
      </c>
      <c r="R554" s="2" t="inlineStr"/>
    </row>
    <row r="555" ht="15" customHeight="1">
      <c r="A555" t="inlineStr">
        <is>
          <t>A 397-2026</t>
        </is>
      </c>
      <c r="B555" s="1" t="n">
        <v>46028</v>
      </c>
      <c r="C555" s="1" t="n">
        <v>46199</v>
      </c>
      <c r="D555" t="inlineStr">
        <is>
          <t>VÄRMLANDS LÄN</t>
        </is>
      </c>
      <c r="E555" t="inlineStr">
        <is>
          <t>ÅRJÄNG</t>
        </is>
      </c>
      <c r="G555" t="n">
        <v>0.8</v>
      </c>
      <c r="H555" t="n">
        <v>0</v>
      </c>
      <c r="I555" t="n">
        <v>0</v>
      </c>
      <c r="J555" t="n">
        <v>0</v>
      </c>
      <c r="K555" t="n">
        <v>0</v>
      </c>
      <c r="L555" t="n">
        <v>0</v>
      </c>
      <c r="M555" t="n">
        <v>0</v>
      </c>
      <c r="N555" t="n">
        <v>0</v>
      </c>
      <c r="O555" t="n">
        <v>0</v>
      </c>
      <c r="P555" t="n">
        <v>0</v>
      </c>
      <c r="Q555" t="n">
        <v>0</v>
      </c>
      <c r="R555" s="2" t="inlineStr"/>
    </row>
    <row r="556" ht="15" customHeight="1">
      <c r="A556" t="inlineStr">
        <is>
          <t>A 34163-2025</t>
        </is>
      </c>
      <c r="B556" s="1" t="n">
        <v>45844</v>
      </c>
      <c r="C556" s="1" t="n">
        <v>46199</v>
      </c>
      <c r="D556" t="inlineStr">
        <is>
          <t>VÄRMLANDS LÄN</t>
        </is>
      </c>
      <c r="E556" t="inlineStr">
        <is>
          <t>ÅRJÄNG</t>
        </is>
      </c>
      <c r="G556" t="n">
        <v>4.5</v>
      </c>
      <c r="H556" t="n">
        <v>0</v>
      </c>
      <c r="I556" t="n">
        <v>0</v>
      </c>
      <c r="J556" t="n">
        <v>0</v>
      </c>
      <c r="K556" t="n">
        <v>0</v>
      </c>
      <c r="L556" t="n">
        <v>0</v>
      </c>
      <c r="M556" t="n">
        <v>0</v>
      </c>
      <c r="N556" t="n">
        <v>0</v>
      </c>
      <c r="O556" t="n">
        <v>0</v>
      </c>
      <c r="P556" t="n">
        <v>0</v>
      </c>
      <c r="Q556" t="n">
        <v>0</v>
      </c>
      <c r="R556" s="2" t="inlineStr"/>
    </row>
    <row r="557" ht="15" customHeight="1">
      <c r="A557" t="inlineStr">
        <is>
          <t>A 34159-2025</t>
        </is>
      </c>
      <c r="B557" s="1" t="n">
        <v>45844</v>
      </c>
      <c r="C557" s="1" t="n">
        <v>46199</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365-2026</t>
        </is>
      </c>
      <c r="B558" s="1" t="n">
        <v>46027</v>
      </c>
      <c r="C558" s="1" t="n">
        <v>46199</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43650-2024</t>
        </is>
      </c>
      <c r="B559" s="1" t="n">
        <v>45569</v>
      </c>
      <c r="C559" s="1" t="n">
        <v>46199</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1760-2026</t>
        </is>
      </c>
      <c r="B560" s="1" t="n">
        <v>46030</v>
      </c>
      <c r="C560" s="1" t="n">
        <v>46199</v>
      </c>
      <c r="D560" t="inlineStr">
        <is>
          <t>VÄRMLANDS LÄN</t>
        </is>
      </c>
      <c r="E560" t="inlineStr">
        <is>
          <t>ÅRJÄNG</t>
        </is>
      </c>
      <c r="F560" t="inlineStr">
        <is>
          <t>Övriga Aktiebolag</t>
        </is>
      </c>
      <c r="G560" t="n">
        <v>2</v>
      </c>
      <c r="H560" t="n">
        <v>0</v>
      </c>
      <c r="I560" t="n">
        <v>0</v>
      </c>
      <c r="J560" t="n">
        <v>0</v>
      </c>
      <c r="K560" t="n">
        <v>0</v>
      </c>
      <c r="L560" t="n">
        <v>0</v>
      </c>
      <c r="M560" t="n">
        <v>0</v>
      </c>
      <c r="N560" t="n">
        <v>0</v>
      </c>
      <c r="O560" t="n">
        <v>0</v>
      </c>
      <c r="P560" t="n">
        <v>0</v>
      </c>
      <c r="Q560" t="n">
        <v>0</v>
      </c>
      <c r="R560" s="2" t="inlineStr"/>
    </row>
    <row r="561" ht="15" customHeight="1">
      <c r="A561" t="inlineStr">
        <is>
          <t>A 1211-2026</t>
        </is>
      </c>
      <c r="B561" s="1" t="n">
        <v>46030</v>
      </c>
      <c r="C561" s="1" t="n">
        <v>46199</v>
      </c>
      <c r="D561" t="inlineStr">
        <is>
          <t>VÄRMLANDS LÄN</t>
        </is>
      </c>
      <c r="E561" t="inlineStr">
        <is>
          <t>ÅRJÄNG</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14509-2022</t>
        </is>
      </c>
      <c r="B562" s="1" t="n">
        <v>44655</v>
      </c>
      <c r="C562" s="1" t="n">
        <v>46199</v>
      </c>
      <c r="D562" t="inlineStr">
        <is>
          <t>VÄRMLANDS LÄN</t>
        </is>
      </c>
      <c r="E562" t="inlineStr">
        <is>
          <t>ÅRJÄNG</t>
        </is>
      </c>
      <c r="G562" t="n">
        <v>0.2</v>
      </c>
      <c r="H562" t="n">
        <v>0</v>
      </c>
      <c r="I562" t="n">
        <v>0</v>
      </c>
      <c r="J562" t="n">
        <v>0</v>
      </c>
      <c r="K562" t="n">
        <v>0</v>
      </c>
      <c r="L562" t="n">
        <v>0</v>
      </c>
      <c r="M562" t="n">
        <v>0</v>
      </c>
      <c r="N562" t="n">
        <v>0</v>
      </c>
      <c r="O562" t="n">
        <v>0</v>
      </c>
      <c r="P562" t="n">
        <v>0</v>
      </c>
      <c r="Q562" t="n">
        <v>0</v>
      </c>
      <c r="R562" s="2" t="inlineStr"/>
    </row>
    <row r="563" ht="15" customHeight="1">
      <c r="A563" t="inlineStr">
        <is>
          <t>A 35414-2025</t>
        </is>
      </c>
      <c r="B563" s="1" t="n">
        <v>45855</v>
      </c>
      <c r="C563" s="1" t="n">
        <v>46199</v>
      </c>
      <c r="D563" t="inlineStr">
        <is>
          <t>VÄRMLANDS LÄN</t>
        </is>
      </c>
      <c r="E563" t="inlineStr">
        <is>
          <t>ÅRJÄNG</t>
        </is>
      </c>
      <c r="F563" t="inlineStr">
        <is>
          <t>Bergvik skog väst AB</t>
        </is>
      </c>
      <c r="G563" t="n">
        <v>6.8</v>
      </c>
      <c r="H563" t="n">
        <v>0</v>
      </c>
      <c r="I563" t="n">
        <v>0</v>
      </c>
      <c r="J563" t="n">
        <v>0</v>
      </c>
      <c r="K563" t="n">
        <v>0</v>
      </c>
      <c r="L563" t="n">
        <v>0</v>
      </c>
      <c r="M563" t="n">
        <v>0</v>
      </c>
      <c r="N563" t="n">
        <v>0</v>
      </c>
      <c r="O563" t="n">
        <v>0</v>
      </c>
      <c r="P563" t="n">
        <v>0</v>
      </c>
      <c r="Q563" t="n">
        <v>0</v>
      </c>
      <c r="R563" s="2" t="inlineStr"/>
    </row>
    <row r="564" ht="15" customHeight="1">
      <c r="A564" t="inlineStr">
        <is>
          <t>A 947-2026</t>
        </is>
      </c>
      <c r="B564" s="1" t="n">
        <v>46030</v>
      </c>
      <c r="C564" s="1" t="n">
        <v>46199</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49780-2024</t>
        </is>
      </c>
      <c r="B565" s="1" t="n">
        <v>45597</v>
      </c>
      <c r="C565" s="1" t="n">
        <v>46199</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53103-2025</t>
        </is>
      </c>
      <c r="B566" s="1" t="n">
        <v>45958</v>
      </c>
      <c r="C566" s="1" t="n">
        <v>46199</v>
      </c>
      <c r="D566" t="inlineStr">
        <is>
          <t>VÄRMLANDS LÄN</t>
        </is>
      </c>
      <c r="E566" t="inlineStr">
        <is>
          <t>ÅRJÄNG</t>
        </is>
      </c>
      <c r="G566" t="n">
        <v>1.2</v>
      </c>
      <c r="H566" t="n">
        <v>0</v>
      </c>
      <c r="I566" t="n">
        <v>0</v>
      </c>
      <c r="J566" t="n">
        <v>0</v>
      </c>
      <c r="K566" t="n">
        <v>0</v>
      </c>
      <c r="L566" t="n">
        <v>0</v>
      </c>
      <c r="M566" t="n">
        <v>0</v>
      </c>
      <c r="N566" t="n">
        <v>0</v>
      </c>
      <c r="O566" t="n">
        <v>0</v>
      </c>
      <c r="P566" t="n">
        <v>0</v>
      </c>
      <c r="Q566" t="n">
        <v>0</v>
      </c>
      <c r="R566" s="2" t="inlineStr"/>
    </row>
    <row r="567" ht="15" customHeight="1">
      <c r="A567" t="inlineStr">
        <is>
          <t>A 59384-2023</t>
        </is>
      </c>
      <c r="B567" s="1" t="n">
        <v>45253</v>
      </c>
      <c r="C567" s="1" t="n">
        <v>46199</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60903-2023</t>
        </is>
      </c>
      <c r="B568" s="1" t="n">
        <v>45261</v>
      </c>
      <c r="C568" s="1" t="n">
        <v>46199</v>
      </c>
      <c r="D568" t="inlineStr">
        <is>
          <t>VÄRMLANDS LÄN</t>
        </is>
      </c>
      <c r="E568" t="inlineStr">
        <is>
          <t>ÅRJÄNG</t>
        </is>
      </c>
      <c r="G568" t="n">
        <v>2.1</v>
      </c>
      <c r="H568" t="n">
        <v>0</v>
      </c>
      <c r="I568" t="n">
        <v>0</v>
      </c>
      <c r="J568" t="n">
        <v>0</v>
      </c>
      <c r="K568" t="n">
        <v>0</v>
      </c>
      <c r="L568" t="n">
        <v>0</v>
      </c>
      <c r="M568" t="n">
        <v>0</v>
      </c>
      <c r="N568" t="n">
        <v>0</v>
      </c>
      <c r="O568" t="n">
        <v>0</v>
      </c>
      <c r="P568" t="n">
        <v>0</v>
      </c>
      <c r="Q568" t="n">
        <v>0</v>
      </c>
      <c r="R568" s="2" t="inlineStr"/>
    </row>
    <row r="569" ht="15" customHeight="1">
      <c r="A569" t="inlineStr">
        <is>
          <t>A 951-2026</t>
        </is>
      </c>
      <c r="B569" s="1" t="n">
        <v>46030</v>
      </c>
      <c r="C569" s="1" t="n">
        <v>46199</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15718-2023</t>
        </is>
      </c>
      <c r="B570" s="1" t="n">
        <v>45021</v>
      </c>
      <c r="C570" s="1" t="n">
        <v>46199</v>
      </c>
      <c r="D570" t="inlineStr">
        <is>
          <t>VÄRMLANDS LÄN</t>
        </is>
      </c>
      <c r="E570" t="inlineStr">
        <is>
          <t>ÅRJÄNG</t>
        </is>
      </c>
      <c r="G570" t="n">
        <v>2.9</v>
      </c>
      <c r="H570" t="n">
        <v>0</v>
      </c>
      <c r="I570" t="n">
        <v>0</v>
      </c>
      <c r="J570" t="n">
        <v>0</v>
      </c>
      <c r="K570" t="n">
        <v>0</v>
      </c>
      <c r="L570" t="n">
        <v>0</v>
      </c>
      <c r="M570" t="n">
        <v>0</v>
      </c>
      <c r="N570" t="n">
        <v>0</v>
      </c>
      <c r="O570" t="n">
        <v>0</v>
      </c>
      <c r="P570" t="n">
        <v>0</v>
      </c>
      <c r="Q570" t="n">
        <v>0</v>
      </c>
      <c r="R570" s="2" t="inlineStr"/>
    </row>
    <row r="571" ht="15" customHeight="1">
      <c r="A571" t="inlineStr">
        <is>
          <t>A 53024-2025</t>
        </is>
      </c>
      <c r="B571" s="1" t="n">
        <v>45958</v>
      </c>
      <c r="C571" s="1" t="n">
        <v>46199</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449-2026</t>
        </is>
      </c>
      <c r="B572" s="1" t="n">
        <v>46029</v>
      </c>
      <c r="C572" s="1" t="n">
        <v>46199</v>
      </c>
      <c r="D572" t="inlineStr">
        <is>
          <t>VÄRMLANDS LÄN</t>
        </is>
      </c>
      <c r="E572" t="inlineStr">
        <is>
          <t>ÅRJÄNG</t>
        </is>
      </c>
      <c r="G572" t="n">
        <v>1.6</v>
      </c>
      <c r="H572" t="n">
        <v>0</v>
      </c>
      <c r="I572" t="n">
        <v>0</v>
      </c>
      <c r="J572" t="n">
        <v>0</v>
      </c>
      <c r="K572" t="n">
        <v>0</v>
      </c>
      <c r="L572" t="n">
        <v>0</v>
      </c>
      <c r="M572" t="n">
        <v>0</v>
      </c>
      <c r="N572" t="n">
        <v>0</v>
      </c>
      <c r="O572" t="n">
        <v>0</v>
      </c>
      <c r="P572" t="n">
        <v>0</v>
      </c>
      <c r="Q572" t="n">
        <v>0</v>
      </c>
      <c r="R572" s="2" t="inlineStr"/>
    </row>
    <row r="573" ht="15" customHeight="1">
      <c r="A573" t="inlineStr">
        <is>
          <t>A 483-2026</t>
        </is>
      </c>
      <c r="B573" s="1" t="n">
        <v>46029</v>
      </c>
      <c r="C573" s="1" t="n">
        <v>46199</v>
      </c>
      <c r="D573" t="inlineStr">
        <is>
          <t>VÄRMLANDS LÄN</t>
        </is>
      </c>
      <c r="E573" t="inlineStr">
        <is>
          <t>ÅRJÄNG</t>
        </is>
      </c>
      <c r="G573" t="n">
        <v>0.6</v>
      </c>
      <c r="H573" t="n">
        <v>0</v>
      </c>
      <c r="I573" t="n">
        <v>0</v>
      </c>
      <c r="J573" t="n">
        <v>0</v>
      </c>
      <c r="K573" t="n">
        <v>0</v>
      </c>
      <c r="L573" t="n">
        <v>0</v>
      </c>
      <c r="M573" t="n">
        <v>0</v>
      </c>
      <c r="N573" t="n">
        <v>0</v>
      </c>
      <c r="O573" t="n">
        <v>0</v>
      </c>
      <c r="P573" t="n">
        <v>0</v>
      </c>
      <c r="Q573" t="n">
        <v>0</v>
      </c>
      <c r="R573" s="2" t="inlineStr"/>
    </row>
    <row r="574" ht="15" customHeight="1">
      <c r="A574" t="inlineStr">
        <is>
          <t>A 486-2026</t>
        </is>
      </c>
      <c r="B574" s="1" t="n">
        <v>46029</v>
      </c>
      <c r="C574" s="1" t="n">
        <v>46199</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35869-2025</t>
        </is>
      </c>
      <c r="B575" s="1" t="n">
        <v>45862</v>
      </c>
      <c r="C575" s="1" t="n">
        <v>46199</v>
      </c>
      <c r="D575" t="inlineStr">
        <is>
          <t>VÄRMLANDS LÄN</t>
        </is>
      </c>
      <c r="E575" t="inlineStr">
        <is>
          <t>ÅRJÄNG</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1636-2026</t>
        </is>
      </c>
      <c r="B576" s="1" t="n">
        <v>46034</v>
      </c>
      <c r="C576" s="1" t="n">
        <v>46199</v>
      </c>
      <c r="D576" t="inlineStr">
        <is>
          <t>VÄRMLANDS LÄN</t>
        </is>
      </c>
      <c r="E576" t="inlineStr">
        <is>
          <t>ÅRJÄNG</t>
        </is>
      </c>
      <c r="G576" t="n">
        <v>4.4</v>
      </c>
      <c r="H576" t="n">
        <v>0</v>
      </c>
      <c r="I576" t="n">
        <v>0</v>
      </c>
      <c r="J576" t="n">
        <v>0</v>
      </c>
      <c r="K576" t="n">
        <v>0</v>
      </c>
      <c r="L576" t="n">
        <v>0</v>
      </c>
      <c r="M576" t="n">
        <v>0</v>
      </c>
      <c r="N576" t="n">
        <v>0</v>
      </c>
      <c r="O576" t="n">
        <v>0</v>
      </c>
      <c r="P576" t="n">
        <v>0</v>
      </c>
      <c r="Q576" t="n">
        <v>0</v>
      </c>
      <c r="R576" s="2" t="inlineStr"/>
    </row>
    <row r="577" ht="15" customHeight="1">
      <c r="A577" t="inlineStr">
        <is>
          <t>A 48805-2022</t>
        </is>
      </c>
      <c r="B577" s="1" t="n">
        <v>44854</v>
      </c>
      <c r="C577" s="1" t="n">
        <v>46199</v>
      </c>
      <c r="D577" t="inlineStr">
        <is>
          <t>VÄRMLANDS LÄN</t>
        </is>
      </c>
      <c r="E577" t="inlineStr">
        <is>
          <t>ÅRJÄNG</t>
        </is>
      </c>
      <c r="G577" t="n">
        <v>4</v>
      </c>
      <c r="H577" t="n">
        <v>0</v>
      </c>
      <c r="I577" t="n">
        <v>0</v>
      </c>
      <c r="J577" t="n">
        <v>0</v>
      </c>
      <c r="K577" t="n">
        <v>0</v>
      </c>
      <c r="L577" t="n">
        <v>0</v>
      </c>
      <c r="M577" t="n">
        <v>0</v>
      </c>
      <c r="N577" t="n">
        <v>0</v>
      </c>
      <c r="O577" t="n">
        <v>0</v>
      </c>
      <c r="P577" t="n">
        <v>0</v>
      </c>
      <c r="Q577" t="n">
        <v>0</v>
      </c>
      <c r="R577" s="2" t="inlineStr"/>
    </row>
    <row r="578" ht="15" customHeight="1">
      <c r="A578" t="inlineStr">
        <is>
          <t>A 36143-2025</t>
        </is>
      </c>
      <c r="B578" s="1" t="n">
        <v>45866</v>
      </c>
      <c r="C578" s="1" t="n">
        <v>46199</v>
      </c>
      <c r="D578" t="inlineStr">
        <is>
          <t>VÄRMLANDS LÄN</t>
        </is>
      </c>
      <c r="E578" t="inlineStr">
        <is>
          <t>ÅRJÄNG</t>
        </is>
      </c>
      <c r="G578" t="n">
        <v>1</v>
      </c>
      <c r="H578" t="n">
        <v>0</v>
      </c>
      <c r="I578" t="n">
        <v>0</v>
      </c>
      <c r="J578" t="n">
        <v>0</v>
      </c>
      <c r="K578" t="n">
        <v>0</v>
      </c>
      <c r="L578" t="n">
        <v>0</v>
      </c>
      <c r="M578" t="n">
        <v>0</v>
      </c>
      <c r="N578" t="n">
        <v>0</v>
      </c>
      <c r="O578" t="n">
        <v>0</v>
      </c>
      <c r="P578" t="n">
        <v>0</v>
      </c>
      <c r="Q578" t="n">
        <v>0</v>
      </c>
      <c r="R578" s="2" t="inlineStr"/>
    </row>
    <row r="579" ht="15" customHeight="1">
      <c r="A579" t="inlineStr">
        <is>
          <t>A 1324-2026</t>
        </is>
      </c>
      <c r="B579" s="1" t="n">
        <v>46031</v>
      </c>
      <c r="C579" s="1" t="n">
        <v>46199</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53160-2025</t>
        </is>
      </c>
      <c r="B580" s="1" t="n">
        <v>45958</v>
      </c>
      <c r="C580" s="1" t="n">
        <v>46199</v>
      </c>
      <c r="D580" t="inlineStr">
        <is>
          <t>VÄRMLANDS LÄN</t>
        </is>
      </c>
      <c r="E580" t="inlineStr">
        <is>
          <t>ÅRJÄNG</t>
        </is>
      </c>
      <c r="G580" t="n">
        <v>1.9</v>
      </c>
      <c r="H580" t="n">
        <v>0</v>
      </c>
      <c r="I580" t="n">
        <v>0</v>
      </c>
      <c r="J580" t="n">
        <v>0</v>
      </c>
      <c r="K580" t="n">
        <v>0</v>
      </c>
      <c r="L580" t="n">
        <v>0</v>
      </c>
      <c r="M580" t="n">
        <v>0</v>
      </c>
      <c r="N580" t="n">
        <v>0</v>
      </c>
      <c r="O580" t="n">
        <v>0</v>
      </c>
      <c r="P580" t="n">
        <v>0</v>
      </c>
      <c r="Q580" t="n">
        <v>0</v>
      </c>
      <c r="R580" s="2" t="inlineStr"/>
    </row>
    <row r="581" ht="15" customHeight="1">
      <c r="A581" t="inlineStr">
        <is>
          <t>A 53073-2025</t>
        </is>
      </c>
      <c r="B581" s="1" t="n">
        <v>45958</v>
      </c>
      <c r="C581" s="1" t="n">
        <v>46199</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48911-2024</t>
        </is>
      </c>
      <c r="B582" s="1" t="n">
        <v>45594</v>
      </c>
      <c r="C582" s="1" t="n">
        <v>46199</v>
      </c>
      <c r="D582" t="inlineStr">
        <is>
          <t>VÄRMLANDS LÄN</t>
        </is>
      </c>
      <c r="E582" t="inlineStr">
        <is>
          <t>ÅRJÄNG</t>
        </is>
      </c>
      <c r="G582" t="n">
        <v>2.3</v>
      </c>
      <c r="H582" t="n">
        <v>0</v>
      </c>
      <c r="I582" t="n">
        <v>0</v>
      </c>
      <c r="J582" t="n">
        <v>0</v>
      </c>
      <c r="K582" t="n">
        <v>0</v>
      </c>
      <c r="L582" t="n">
        <v>0</v>
      </c>
      <c r="M582" t="n">
        <v>0</v>
      </c>
      <c r="N582" t="n">
        <v>0</v>
      </c>
      <c r="O582" t="n">
        <v>0</v>
      </c>
      <c r="P582" t="n">
        <v>0</v>
      </c>
      <c r="Q582" t="n">
        <v>0</v>
      </c>
      <c r="R582" s="2" t="inlineStr"/>
    </row>
    <row r="583" ht="15" customHeight="1">
      <c r="A583" t="inlineStr">
        <is>
          <t>A 53158-2025</t>
        </is>
      </c>
      <c r="B583" s="1" t="n">
        <v>45958</v>
      </c>
      <c r="C583" s="1" t="n">
        <v>46199</v>
      </c>
      <c r="D583" t="inlineStr">
        <is>
          <t>VÄRMLANDS LÄN</t>
        </is>
      </c>
      <c r="E583" t="inlineStr">
        <is>
          <t>ÅRJÄNG</t>
        </is>
      </c>
      <c r="G583" t="n">
        <v>1</v>
      </c>
      <c r="H583" t="n">
        <v>0</v>
      </c>
      <c r="I583" t="n">
        <v>0</v>
      </c>
      <c r="J583" t="n">
        <v>0</v>
      </c>
      <c r="K583" t="n">
        <v>0</v>
      </c>
      <c r="L583" t="n">
        <v>0</v>
      </c>
      <c r="M583" t="n">
        <v>0</v>
      </c>
      <c r="N583" t="n">
        <v>0</v>
      </c>
      <c r="O583" t="n">
        <v>0</v>
      </c>
      <c r="P583" t="n">
        <v>0</v>
      </c>
      <c r="Q583" t="n">
        <v>0</v>
      </c>
      <c r="R583" s="2" t="inlineStr"/>
    </row>
    <row r="584" ht="15" customHeight="1">
      <c r="A584" t="inlineStr">
        <is>
          <t>A 8215-2025</t>
        </is>
      </c>
      <c r="B584" s="1" t="n">
        <v>45708</v>
      </c>
      <c r="C584" s="1" t="n">
        <v>46199</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1257-2026</t>
        </is>
      </c>
      <c r="B585" s="1" t="n">
        <v>46031</v>
      </c>
      <c r="C585" s="1" t="n">
        <v>46199</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8230-2025</t>
        </is>
      </c>
      <c r="B586" s="1" t="n">
        <v>45708</v>
      </c>
      <c r="C586" s="1" t="n">
        <v>46199</v>
      </c>
      <c r="D586" t="inlineStr">
        <is>
          <t>VÄRMLANDS LÄN</t>
        </is>
      </c>
      <c r="E586" t="inlineStr">
        <is>
          <t>ÅRJÄNG</t>
        </is>
      </c>
      <c r="G586" t="n">
        <v>2.5</v>
      </c>
      <c r="H586" t="n">
        <v>0</v>
      </c>
      <c r="I586" t="n">
        <v>0</v>
      </c>
      <c r="J586" t="n">
        <v>0</v>
      </c>
      <c r="K586" t="n">
        <v>0</v>
      </c>
      <c r="L586" t="n">
        <v>0</v>
      </c>
      <c r="M586" t="n">
        <v>0</v>
      </c>
      <c r="N586" t="n">
        <v>0</v>
      </c>
      <c r="O586" t="n">
        <v>0</v>
      </c>
      <c r="P586" t="n">
        <v>0</v>
      </c>
      <c r="Q586" t="n">
        <v>0</v>
      </c>
      <c r="R586" s="2" t="inlineStr"/>
    </row>
    <row r="587" ht="15" customHeight="1">
      <c r="A587" t="inlineStr">
        <is>
          <t>A 52855-2025</t>
        </is>
      </c>
      <c r="B587" s="1" t="n">
        <v>45957</v>
      </c>
      <c r="C587" s="1" t="n">
        <v>46199</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40346-2024</t>
        </is>
      </c>
      <c r="B588" s="1" t="n">
        <v>45555</v>
      </c>
      <c r="C588" s="1" t="n">
        <v>46199</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1936-2026</t>
        </is>
      </c>
      <c r="B589" s="1" t="n">
        <v>46035</v>
      </c>
      <c r="C589" s="1" t="n">
        <v>46199</v>
      </c>
      <c r="D589" t="inlineStr">
        <is>
          <t>VÄRMLANDS LÄN</t>
        </is>
      </c>
      <c r="E589" t="inlineStr">
        <is>
          <t>ÅRJÄNG</t>
        </is>
      </c>
      <c r="G589" t="n">
        <v>1.4</v>
      </c>
      <c r="H589" t="n">
        <v>0</v>
      </c>
      <c r="I589" t="n">
        <v>0</v>
      </c>
      <c r="J589" t="n">
        <v>0</v>
      </c>
      <c r="K589" t="n">
        <v>0</v>
      </c>
      <c r="L589" t="n">
        <v>0</v>
      </c>
      <c r="M589" t="n">
        <v>0</v>
      </c>
      <c r="N589" t="n">
        <v>0</v>
      </c>
      <c r="O589" t="n">
        <v>0</v>
      </c>
      <c r="P589" t="n">
        <v>0</v>
      </c>
      <c r="Q589" t="n">
        <v>0</v>
      </c>
      <c r="R589" s="2" t="inlineStr"/>
    </row>
    <row r="590" ht="15" customHeight="1">
      <c r="A590" t="inlineStr">
        <is>
          <t>A 36461-2025</t>
        </is>
      </c>
      <c r="B590" s="1" t="n">
        <v>45869</v>
      </c>
      <c r="C590" s="1" t="n">
        <v>46199</v>
      </c>
      <c r="D590" t="inlineStr">
        <is>
          <t>VÄRMLANDS LÄN</t>
        </is>
      </c>
      <c r="E590" t="inlineStr">
        <is>
          <t>ÅRJÄNG</t>
        </is>
      </c>
      <c r="G590" t="n">
        <v>3.7</v>
      </c>
      <c r="H590" t="n">
        <v>0</v>
      </c>
      <c r="I590" t="n">
        <v>0</v>
      </c>
      <c r="J590" t="n">
        <v>0</v>
      </c>
      <c r="K590" t="n">
        <v>0</v>
      </c>
      <c r="L590" t="n">
        <v>0</v>
      </c>
      <c r="M590" t="n">
        <v>0</v>
      </c>
      <c r="N590" t="n">
        <v>0</v>
      </c>
      <c r="O590" t="n">
        <v>0</v>
      </c>
      <c r="P590" t="n">
        <v>0</v>
      </c>
      <c r="Q590" t="n">
        <v>0</v>
      </c>
      <c r="R590" s="2" t="inlineStr"/>
    </row>
    <row r="591" ht="15" customHeight="1">
      <c r="A591" t="inlineStr">
        <is>
          <t>A 57917-2025</t>
        </is>
      </c>
      <c r="B591" s="1" t="n">
        <v>45981</v>
      </c>
      <c r="C591" s="1" t="n">
        <v>46199</v>
      </c>
      <c r="D591" t="inlineStr">
        <is>
          <t>VÄRMLANDS LÄN</t>
        </is>
      </c>
      <c r="E591" t="inlineStr">
        <is>
          <t>ÅRJÄNG</t>
        </is>
      </c>
      <c r="G591" t="n">
        <v>5.5</v>
      </c>
      <c r="H591" t="n">
        <v>0</v>
      </c>
      <c r="I591" t="n">
        <v>0</v>
      </c>
      <c r="J591" t="n">
        <v>0</v>
      </c>
      <c r="K591" t="n">
        <v>0</v>
      </c>
      <c r="L591" t="n">
        <v>0</v>
      </c>
      <c r="M591" t="n">
        <v>0</v>
      </c>
      <c r="N591" t="n">
        <v>0</v>
      </c>
      <c r="O591" t="n">
        <v>0</v>
      </c>
      <c r="P591" t="n">
        <v>0</v>
      </c>
      <c r="Q591" t="n">
        <v>0</v>
      </c>
      <c r="R591" s="2" t="inlineStr"/>
    </row>
    <row r="592" ht="15" customHeight="1">
      <c r="A592" t="inlineStr">
        <is>
          <t>A 36450-2025</t>
        </is>
      </c>
      <c r="B592" s="1" t="n">
        <v>45869</v>
      </c>
      <c r="C592" s="1" t="n">
        <v>46199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53751-2025</t>
        </is>
      </c>
      <c r="B593" s="1" t="n">
        <v>45960</v>
      </c>
      <c r="C593" s="1" t="n">
        <v>46199</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53752-2025</t>
        </is>
      </c>
      <c r="B594" s="1" t="n">
        <v>45960</v>
      </c>
      <c r="C594" s="1" t="n">
        <v>46199</v>
      </c>
      <c r="D594" t="inlineStr">
        <is>
          <t>VÄRMLANDS LÄN</t>
        </is>
      </c>
      <c r="E594" t="inlineStr">
        <is>
          <t>ÅRJÄNG</t>
        </is>
      </c>
      <c r="G594" t="n">
        <v>1.8</v>
      </c>
      <c r="H594" t="n">
        <v>0</v>
      </c>
      <c r="I594" t="n">
        <v>0</v>
      </c>
      <c r="J594" t="n">
        <v>0</v>
      </c>
      <c r="K594" t="n">
        <v>0</v>
      </c>
      <c r="L594" t="n">
        <v>0</v>
      </c>
      <c r="M594" t="n">
        <v>0</v>
      </c>
      <c r="N594" t="n">
        <v>0</v>
      </c>
      <c r="O594" t="n">
        <v>0</v>
      </c>
      <c r="P594" t="n">
        <v>0</v>
      </c>
      <c r="Q594" t="n">
        <v>0</v>
      </c>
      <c r="R594" s="2" t="inlineStr"/>
    </row>
    <row r="595" ht="15" customHeight="1">
      <c r="A595" t="inlineStr">
        <is>
          <t>A 2994-2026</t>
        </is>
      </c>
      <c r="B595" s="1" t="n">
        <v>46038</v>
      </c>
      <c r="C595" s="1" t="n">
        <v>46199</v>
      </c>
      <c r="D595" t="inlineStr">
        <is>
          <t>VÄRMLANDS LÄN</t>
        </is>
      </c>
      <c r="E595" t="inlineStr">
        <is>
          <t>ÅRJÄNG</t>
        </is>
      </c>
      <c r="G595" t="n">
        <v>5.6</v>
      </c>
      <c r="H595" t="n">
        <v>0</v>
      </c>
      <c r="I595" t="n">
        <v>0</v>
      </c>
      <c r="J595" t="n">
        <v>0</v>
      </c>
      <c r="K595" t="n">
        <v>0</v>
      </c>
      <c r="L595" t="n">
        <v>0</v>
      </c>
      <c r="M595" t="n">
        <v>0</v>
      </c>
      <c r="N595" t="n">
        <v>0</v>
      </c>
      <c r="O595" t="n">
        <v>0</v>
      </c>
      <c r="P595" t="n">
        <v>0</v>
      </c>
      <c r="Q595" t="n">
        <v>0</v>
      </c>
      <c r="R595" s="2" t="inlineStr"/>
    </row>
    <row r="596" ht="15" customHeight="1">
      <c r="A596" t="inlineStr">
        <is>
          <t>A 53929-2025</t>
        </is>
      </c>
      <c r="B596" s="1" t="n">
        <v>45961</v>
      </c>
      <c r="C596" s="1" t="n">
        <v>46199</v>
      </c>
      <c r="D596" t="inlineStr">
        <is>
          <t>VÄRMLANDS LÄN</t>
        </is>
      </c>
      <c r="E596" t="inlineStr">
        <is>
          <t>ÅRJÄNG</t>
        </is>
      </c>
      <c r="F596" t="inlineStr">
        <is>
          <t>Bergvik skog väst AB</t>
        </is>
      </c>
      <c r="G596" t="n">
        <v>34.3</v>
      </c>
      <c r="H596" t="n">
        <v>0</v>
      </c>
      <c r="I596" t="n">
        <v>0</v>
      </c>
      <c r="J596" t="n">
        <v>0</v>
      </c>
      <c r="K596" t="n">
        <v>0</v>
      </c>
      <c r="L596" t="n">
        <v>0</v>
      </c>
      <c r="M596" t="n">
        <v>0</v>
      </c>
      <c r="N596" t="n">
        <v>0</v>
      </c>
      <c r="O596" t="n">
        <v>0</v>
      </c>
      <c r="P596" t="n">
        <v>0</v>
      </c>
      <c r="Q596" t="n">
        <v>0</v>
      </c>
      <c r="R596" s="2" t="inlineStr"/>
    </row>
    <row r="597" ht="15" customHeight="1">
      <c r="A597" t="inlineStr">
        <is>
          <t>A 54111-2025</t>
        </is>
      </c>
      <c r="B597" s="1" t="n">
        <v>45964</v>
      </c>
      <c r="C597" s="1" t="n">
        <v>46199</v>
      </c>
      <c r="D597" t="inlineStr">
        <is>
          <t>VÄRMLANDS LÄN</t>
        </is>
      </c>
      <c r="E597" t="inlineStr">
        <is>
          <t>ÅRJÄNG</t>
        </is>
      </c>
      <c r="G597" t="n">
        <v>3.2</v>
      </c>
      <c r="H597" t="n">
        <v>0</v>
      </c>
      <c r="I597" t="n">
        <v>0</v>
      </c>
      <c r="J597" t="n">
        <v>0</v>
      </c>
      <c r="K597" t="n">
        <v>0</v>
      </c>
      <c r="L597" t="n">
        <v>0</v>
      </c>
      <c r="M597" t="n">
        <v>0</v>
      </c>
      <c r="N597" t="n">
        <v>0</v>
      </c>
      <c r="O597" t="n">
        <v>0</v>
      </c>
      <c r="P597" t="n">
        <v>0</v>
      </c>
      <c r="Q597" t="n">
        <v>0</v>
      </c>
      <c r="R597" s="2" t="inlineStr"/>
    </row>
    <row r="598" ht="15" customHeight="1">
      <c r="A598" t="inlineStr">
        <is>
          <t>A 54159-2025</t>
        </is>
      </c>
      <c r="B598" s="1" t="n">
        <v>45964</v>
      </c>
      <c r="C598" s="1" t="n">
        <v>46199</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2889-2026</t>
        </is>
      </c>
      <c r="B599" s="1" t="n">
        <v>46038</v>
      </c>
      <c r="C599" s="1" t="n">
        <v>46199</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2866-2026</t>
        </is>
      </c>
      <c r="B600" s="1" t="n">
        <v>46038</v>
      </c>
      <c r="C600" s="1" t="n">
        <v>46199</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2895-2026</t>
        </is>
      </c>
      <c r="B601" s="1" t="n">
        <v>46038</v>
      </c>
      <c r="C601" s="1" t="n">
        <v>46199</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2583-2026</t>
        </is>
      </c>
      <c r="B602" s="1" t="n">
        <v>46037</v>
      </c>
      <c r="C602" s="1" t="n">
        <v>46199</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2572-2026</t>
        </is>
      </c>
      <c r="B603" s="1" t="n">
        <v>46037</v>
      </c>
      <c r="C603" s="1" t="n">
        <v>46199</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29792-2022</t>
        </is>
      </c>
      <c r="B604" s="1" t="n">
        <v>44755</v>
      </c>
      <c r="C604" s="1" t="n">
        <v>46199</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36819-2025</t>
        </is>
      </c>
      <c r="B605" s="1" t="n">
        <v>45873</v>
      </c>
      <c r="C605" s="1" t="n">
        <v>46199</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30346-2022</t>
        </is>
      </c>
      <c r="B606" s="1" t="n">
        <v>44760</v>
      </c>
      <c r="C606" s="1" t="n">
        <v>46199</v>
      </c>
      <c r="D606" t="inlineStr">
        <is>
          <t>VÄRMLANDS LÄN</t>
        </is>
      </c>
      <c r="E606" t="inlineStr">
        <is>
          <t>ÅRJÄNG</t>
        </is>
      </c>
      <c r="G606" t="n">
        <v>6</v>
      </c>
      <c r="H606" t="n">
        <v>0</v>
      </c>
      <c r="I606" t="n">
        <v>0</v>
      </c>
      <c r="J606" t="n">
        <v>0</v>
      </c>
      <c r="K606" t="n">
        <v>0</v>
      </c>
      <c r="L606" t="n">
        <v>0</v>
      </c>
      <c r="M606" t="n">
        <v>0</v>
      </c>
      <c r="N606" t="n">
        <v>0</v>
      </c>
      <c r="O606" t="n">
        <v>0</v>
      </c>
      <c r="P606" t="n">
        <v>0</v>
      </c>
      <c r="Q606" t="n">
        <v>0</v>
      </c>
      <c r="R606" s="2" t="inlineStr"/>
    </row>
    <row r="607" ht="15" customHeight="1">
      <c r="A607" t="inlineStr">
        <is>
          <t>A 36752-2025</t>
        </is>
      </c>
      <c r="B607" s="1" t="n">
        <v>45873</v>
      </c>
      <c r="C607" s="1" t="n">
        <v>46199</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3424-2026</t>
        </is>
      </c>
      <c r="B608" s="1" t="n">
        <v>46042</v>
      </c>
      <c r="C608" s="1" t="n">
        <v>46199</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10126-2023</t>
        </is>
      </c>
      <c r="B609" s="1" t="n">
        <v>44980</v>
      </c>
      <c r="C609" s="1" t="n">
        <v>46199</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34889-2022</t>
        </is>
      </c>
      <c r="B610" s="1" t="n">
        <v>44796</v>
      </c>
      <c r="C610" s="1" t="n">
        <v>46199</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14310-2022</t>
        </is>
      </c>
      <c r="B611" s="1" t="n">
        <v>44652</v>
      </c>
      <c r="C611" s="1" t="n">
        <v>46199</v>
      </c>
      <c r="D611" t="inlineStr">
        <is>
          <t>VÄRMLANDS LÄN</t>
        </is>
      </c>
      <c r="E611" t="inlineStr">
        <is>
          <t>ÅRJÄNG</t>
        </is>
      </c>
      <c r="G611" t="n">
        <v>2.5</v>
      </c>
      <c r="H611" t="n">
        <v>0</v>
      </c>
      <c r="I611" t="n">
        <v>0</v>
      </c>
      <c r="J611" t="n">
        <v>0</v>
      </c>
      <c r="K611" t="n">
        <v>0</v>
      </c>
      <c r="L611" t="n">
        <v>0</v>
      </c>
      <c r="M611" t="n">
        <v>0</v>
      </c>
      <c r="N611" t="n">
        <v>0</v>
      </c>
      <c r="O611" t="n">
        <v>0</v>
      </c>
      <c r="P611" t="n">
        <v>0</v>
      </c>
      <c r="Q611" t="n">
        <v>0</v>
      </c>
      <c r="R611" s="2" t="inlineStr"/>
    </row>
    <row r="612" ht="15" customHeight="1">
      <c r="A612" t="inlineStr">
        <is>
          <t>A 3986-2026</t>
        </is>
      </c>
      <c r="B612" s="1" t="n">
        <v>46044</v>
      </c>
      <c r="C612" s="1" t="n">
        <v>46199</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36751-2025</t>
        </is>
      </c>
      <c r="B613" s="1" t="n">
        <v>45873</v>
      </c>
      <c r="C613" s="1" t="n">
        <v>46199</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36827-2025</t>
        </is>
      </c>
      <c r="B614" s="1" t="n">
        <v>45874</v>
      </c>
      <c r="C614" s="1" t="n">
        <v>46199</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36780-2025</t>
        </is>
      </c>
      <c r="B615" s="1" t="n">
        <v>45873</v>
      </c>
      <c r="C615" s="1" t="n">
        <v>46199</v>
      </c>
      <c r="D615" t="inlineStr">
        <is>
          <t>VÄRMLANDS LÄN</t>
        </is>
      </c>
      <c r="E615" t="inlineStr">
        <is>
          <t>ÅRJÄNG</t>
        </is>
      </c>
      <c r="G615" t="n">
        <v>0.7</v>
      </c>
      <c r="H615" t="n">
        <v>0</v>
      </c>
      <c r="I615" t="n">
        <v>0</v>
      </c>
      <c r="J615" t="n">
        <v>0</v>
      </c>
      <c r="K615" t="n">
        <v>0</v>
      </c>
      <c r="L615" t="n">
        <v>0</v>
      </c>
      <c r="M615" t="n">
        <v>0</v>
      </c>
      <c r="N615" t="n">
        <v>0</v>
      </c>
      <c r="O615" t="n">
        <v>0</v>
      </c>
      <c r="P615" t="n">
        <v>0</v>
      </c>
      <c r="Q615" t="n">
        <v>0</v>
      </c>
      <c r="R615" s="2" t="inlineStr"/>
    </row>
    <row r="616" ht="15" customHeight="1">
      <c r="A616" t="inlineStr">
        <is>
          <t>A 36831-2025</t>
        </is>
      </c>
      <c r="B616" s="1" t="n">
        <v>45874</v>
      </c>
      <c r="C616" s="1" t="n">
        <v>46199</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36865-2025</t>
        </is>
      </c>
      <c r="B617" s="1" t="n">
        <v>45874</v>
      </c>
      <c r="C617" s="1" t="n">
        <v>46199</v>
      </c>
      <c r="D617" t="inlineStr">
        <is>
          <t>VÄRMLANDS LÄN</t>
        </is>
      </c>
      <c r="E617" t="inlineStr">
        <is>
          <t>ÅRJÄNG</t>
        </is>
      </c>
      <c r="G617" t="n">
        <v>1.6</v>
      </c>
      <c r="H617" t="n">
        <v>0</v>
      </c>
      <c r="I617" t="n">
        <v>0</v>
      </c>
      <c r="J617" t="n">
        <v>0</v>
      </c>
      <c r="K617" t="n">
        <v>0</v>
      </c>
      <c r="L617" t="n">
        <v>0</v>
      </c>
      <c r="M617" t="n">
        <v>0</v>
      </c>
      <c r="N617" t="n">
        <v>0</v>
      </c>
      <c r="O617" t="n">
        <v>0</v>
      </c>
      <c r="P617" t="n">
        <v>0</v>
      </c>
      <c r="Q617" t="n">
        <v>0</v>
      </c>
      <c r="R617" s="2" t="inlineStr"/>
    </row>
    <row r="618" ht="15" customHeight="1">
      <c r="A618" t="inlineStr">
        <is>
          <t>A 53793-2024</t>
        </is>
      </c>
      <c r="B618" s="1" t="n">
        <v>45615</v>
      </c>
      <c r="C618" s="1" t="n">
        <v>46199</v>
      </c>
      <c r="D618" t="inlineStr">
        <is>
          <t>VÄRMLANDS LÄN</t>
        </is>
      </c>
      <c r="E618" t="inlineStr">
        <is>
          <t>ÅRJÄNG</t>
        </is>
      </c>
      <c r="G618" t="n">
        <v>4.9</v>
      </c>
      <c r="H618" t="n">
        <v>0</v>
      </c>
      <c r="I618" t="n">
        <v>0</v>
      </c>
      <c r="J618" t="n">
        <v>0</v>
      </c>
      <c r="K618" t="n">
        <v>0</v>
      </c>
      <c r="L618" t="n">
        <v>0</v>
      </c>
      <c r="M618" t="n">
        <v>0</v>
      </c>
      <c r="N618" t="n">
        <v>0</v>
      </c>
      <c r="O618" t="n">
        <v>0</v>
      </c>
      <c r="P618" t="n">
        <v>0</v>
      </c>
      <c r="Q618" t="n">
        <v>0</v>
      </c>
      <c r="R618" s="2" t="inlineStr"/>
    </row>
    <row r="619" ht="15" customHeight="1">
      <c r="A619" t="inlineStr">
        <is>
          <t>A 54418-2025</t>
        </is>
      </c>
      <c r="B619" s="1" t="n">
        <v>45965</v>
      </c>
      <c r="C619" s="1" t="n">
        <v>46199</v>
      </c>
      <c r="D619" t="inlineStr">
        <is>
          <t>VÄRMLANDS LÄN</t>
        </is>
      </c>
      <c r="E619" t="inlineStr">
        <is>
          <t>ÅRJÄNG</t>
        </is>
      </c>
      <c r="G619" t="n">
        <v>1.6</v>
      </c>
      <c r="H619" t="n">
        <v>0</v>
      </c>
      <c r="I619" t="n">
        <v>0</v>
      </c>
      <c r="J619" t="n">
        <v>0</v>
      </c>
      <c r="K619" t="n">
        <v>0</v>
      </c>
      <c r="L619" t="n">
        <v>0</v>
      </c>
      <c r="M619" t="n">
        <v>0</v>
      </c>
      <c r="N619" t="n">
        <v>0</v>
      </c>
      <c r="O619" t="n">
        <v>0</v>
      </c>
      <c r="P619" t="n">
        <v>0</v>
      </c>
      <c r="Q619" t="n">
        <v>0</v>
      </c>
      <c r="R619" s="2" t="inlineStr"/>
    </row>
    <row r="620" ht="15" customHeight="1">
      <c r="A620" t="inlineStr">
        <is>
          <t>A 54420-2025</t>
        </is>
      </c>
      <c r="B620" s="1" t="n">
        <v>45965</v>
      </c>
      <c r="C620" s="1" t="n">
        <v>46199</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37247-2025</t>
        </is>
      </c>
      <c r="B621" s="1" t="n">
        <v>45876</v>
      </c>
      <c r="C621" s="1" t="n">
        <v>46199</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15537-2024</t>
        </is>
      </c>
      <c r="B622" s="1" t="n">
        <v>45401</v>
      </c>
      <c r="C622" s="1" t="n">
        <v>46199</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37071-2025</t>
        </is>
      </c>
      <c r="B623" s="1" t="n">
        <v>45875</v>
      </c>
      <c r="C623" s="1" t="n">
        <v>46199</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3772-2026</t>
        </is>
      </c>
      <c r="B624" s="1" t="n">
        <v>46043</v>
      </c>
      <c r="C624" s="1" t="n">
        <v>46199</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60975-2022</t>
        </is>
      </c>
      <c r="B625" s="1" t="n">
        <v>44914</v>
      </c>
      <c r="C625" s="1" t="n">
        <v>46199</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39156-2024</t>
        </is>
      </c>
      <c r="B626" s="1" t="n">
        <v>45548</v>
      </c>
      <c r="C626" s="1" t="n">
        <v>46199</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37484-2025</t>
        </is>
      </c>
      <c r="B627" s="1" t="n">
        <v>45877</v>
      </c>
      <c r="C627" s="1" t="n">
        <v>46199</v>
      </c>
      <c r="D627" t="inlineStr">
        <is>
          <t>VÄRMLANDS LÄN</t>
        </is>
      </c>
      <c r="E627" t="inlineStr">
        <is>
          <t>ÅRJÄNG</t>
        </is>
      </c>
      <c r="G627" t="n">
        <v>2.2</v>
      </c>
      <c r="H627" t="n">
        <v>0</v>
      </c>
      <c r="I627" t="n">
        <v>0</v>
      </c>
      <c r="J627" t="n">
        <v>0</v>
      </c>
      <c r="K627" t="n">
        <v>0</v>
      </c>
      <c r="L627" t="n">
        <v>0</v>
      </c>
      <c r="M627" t="n">
        <v>0</v>
      </c>
      <c r="N627" t="n">
        <v>0</v>
      </c>
      <c r="O627" t="n">
        <v>0</v>
      </c>
      <c r="P627" t="n">
        <v>0</v>
      </c>
      <c r="Q627" t="n">
        <v>0</v>
      </c>
      <c r="R627" s="2" t="inlineStr"/>
    </row>
    <row r="628" ht="15" customHeight="1">
      <c r="A628" t="inlineStr">
        <is>
          <t>A 37507-2025</t>
        </is>
      </c>
      <c r="B628" s="1" t="n">
        <v>45877</v>
      </c>
      <c r="C628" s="1" t="n">
        <v>46199</v>
      </c>
      <c r="D628" t="inlineStr">
        <is>
          <t>VÄRMLANDS LÄN</t>
        </is>
      </c>
      <c r="E628" t="inlineStr">
        <is>
          <t>ÅRJÄNG</t>
        </is>
      </c>
      <c r="G628" t="n">
        <v>1.1</v>
      </c>
      <c r="H628" t="n">
        <v>0</v>
      </c>
      <c r="I628" t="n">
        <v>0</v>
      </c>
      <c r="J628" t="n">
        <v>0</v>
      </c>
      <c r="K628" t="n">
        <v>0</v>
      </c>
      <c r="L628" t="n">
        <v>0</v>
      </c>
      <c r="M628" t="n">
        <v>0</v>
      </c>
      <c r="N628" t="n">
        <v>0</v>
      </c>
      <c r="O628" t="n">
        <v>0</v>
      </c>
      <c r="P628" t="n">
        <v>0</v>
      </c>
      <c r="Q628" t="n">
        <v>0</v>
      </c>
      <c r="R628" s="2" t="inlineStr"/>
    </row>
    <row r="629" ht="15" customHeight="1">
      <c r="A629" t="inlineStr">
        <is>
          <t>A 37416-2025</t>
        </is>
      </c>
      <c r="B629" s="1" t="n">
        <v>45877</v>
      </c>
      <c r="C629" s="1" t="n">
        <v>46199</v>
      </c>
      <c r="D629" t="inlineStr">
        <is>
          <t>VÄRMLANDS LÄN</t>
        </is>
      </c>
      <c r="E629" t="inlineStr">
        <is>
          <t>ÅRJÄNG</t>
        </is>
      </c>
      <c r="G629" t="n">
        <v>3.8</v>
      </c>
      <c r="H629" t="n">
        <v>0</v>
      </c>
      <c r="I629" t="n">
        <v>0</v>
      </c>
      <c r="J629" t="n">
        <v>0</v>
      </c>
      <c r="K629" t="n">
        <v>0</v>
      </c>
      <c r="L629" t="n">
        <v>0</v>
      </c>
      <c r="M629" t="n">
        <v>0</v>
      </c>
      <c r="N629" t="n">
        <v>0</v>
      </c>
      <c r="O629" t="n">
        <v>0</v>
      </c>
      <c r="P629" t="n">
        <v>0</v>
      </c>
      <c r="Q629" t="n">
        <v>0</v>
      </c>
      <c r="R629" s="2" t="inlineStr"/>
    </row>
    <row r="630" ht="15" customHeight="1">
      <c r="A630" t="inlineStr">
        <is>
          <t>A 54962-2025</t>
        </is>
      </c>
      <c r="B630" s="1" t="n">
        <v>45967</v>
      </c>
      <c r="C630" s="1" t="n">
        <v>46199</v>
      </c>
      <c r="D630" t="inlineStr">
        <is>
          <t>VÄRMLANDS LÄN</t>
        </is>
      </c>
      <c r="E630" t="inlineStr">
        <is>
          <t>ÅRJÄNG</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40447-2022</t>
        </is>
      </c>
      <c r="B631" s="1" t="n">
        <v>44823</v>
      </c>
      <c r="C631" s="1" t="n">
        <v>46199</v>
      </c>
      <c r="D631" t="inlineStr">
        <is>
          <t>VÄRMLANDS LÄN</t>
        </is>
      </c>
      <c r="E631" t="inlineStr">
        <is>
          <t>ÅRJÄNG</t>
        </is>
      </c>
      <c r="G631" t="n">
        <v>10.4</v>
      </c>
      <c r="H631" t="n">
        <v>0</v>
      </c>
      <c r="I631" t="n">
        <v>0</v>
      </c>
      <c r="J631" t="n">
        <v>0</v>
      </c>
      <c r="K631" t="n">
        <v>0</v>
      </c>
      <c r="L631" t="n">
        <v>0</v>
      </c>
      <c r="M631" t="n">
        <v>0</v>
      </c>
      <c r="N631" t="n">
        <v>0</v>
      </c>
      <c r="O631" t="n">
        <v>0</v>
      </c>
      <c r="P631" t="n">
        <v>0</v>
      </c>
      <c r="Q631" t="n">
        <v>0</v>
      </c>
      <c r="R631" s="2" t="inlineStr"/>
    </row>
    <row r="632" ht="15" customHeight="1">
      <c r="A632" t="inlineStr">
        <is>
          <t>A 54990-2025</t>
        </is>
      </c>
      <c r="B632" s="1" t="n">
        <v>45967</v>
      </c>
      <c r="C632" s="1" t="n">
        <v>46199</v>
      </c>
      <c r="D632" t="inlineStr">
        <is>
          <t>VÄRMLANDS LÄN</t>
        </is>
      </c>
      <c r="E632" t="inlineStr">
        <is>
          <t>ÅRJÄNG</t>
        </is>
      </c>
      <c r="G632" t="n">
        <v>2.9</v>
      </c>
      <c r="H632" t="n">
        <v>0</v>
      </c>
      <c r="I632" t="n">
        <v>0</v>
      </c>
      <c r="J632" t="n">
        <v>0</v>
      </c>
      <c r="K632" t="n">
        <v>0</v>
      </c>
      <c r="L632" t="n">
        <v>0</v>
      </c>
      <c r="M632" t="n">
        <v>0</v>
      </c>
      <c r="N632" t="n">
        <v>0</v>
      </c>
      <c r="O632" t="n">
        <v>0</v>
      </c>
      <c r="P632" t="n">
        <v>0</v>
      </c>
      <c r="Q632" t="n">
        <v>0</v>
      </c>
      <c r="R632" s="2" t="inlineStr"/>
    </row>
    <row r="633" ht="15" customHeight="1">
      <c r="A633" t="inlineStr">
        <is>
          <t>A 37662-2025</t>
        </is>
      </c>
      <c r="B633" s="1" t="n">
        <v>45880</v>
      </c>
      <c r="C633" s="1" t="n">
        <v>46199</v>
      </c>
      <c r="D633" t="inlineStr">
        <is>
          <t>VÄRMLANDS LÄN</t>
        </is>
      </c>
      <c r="E633" t="inlineStr">
        <is>
          <t>ÅRJÄNG</t>
        </is>
      </c>
      <c r="G633" t="n">
        <v>1.8</v>
      </c>
      <c r="H633" t="n">
        <v>0</v>
      </c>
      <c r="I633" t="n">
        <v>0</v>
      </c>
      <c r="J633" t="n">
        <v>0</v>
      </c>
      <c r="K633" t="n">
        <v>0</v>
      </c>
      <c r="L633" t="n">
        <v>0</v>
      </c>
      <c r="M633" t="n">
        <v>0</v>
      </c>
      <c r="N633" t="n">
        <v>0</v>
      </c>
      <c r="O633" t="n">
        <v>0</v>
      </c>
      <c r="P633" t="n">
        <v>0</v>
      </c>
      <c r="Q633" t="n">
        <v>0</v>
      </c>
      <c r="R633" s="2" t="inlineStr"/>
    </row>
    <row r="634" ht="15" customHeight="1">
      <c r="A634" t="inlineStr">
        <is>
          <t>A 37680-2025</t>
        </is>
      </c>
      <c r="B634" s="1" t="n">
        <v>45880</v>
      </c>
      <c r="C634" s="1" t="n">
        <v>46199</v>
      </c>
      <c r="D634" t="inlineStr">
        <is>
          <t>VÄRMLANDS LÄN</t>
        </is>
      </c>
      <c r="E634" t="inlineStr">
        <is>
          <t>ÅRJÄNG</t>
        </is>
      </c>
      <c r="G634" t="n">
        <v>2</v>
      </c>
      <c r="H634" t="n">
        <v>0</v>
      </c>
      <c r="I634" t="n">
        <v>0</v>
      </c>
      <c r="J634" t="n">
        <v>0</v>
      </c>
      <c r="K634" t="n">
        <v>0</v>
      </c>
      <c r="L634" t="n">
        <v>0</v>
      </c>
      <c r="M634" t="n">
        <v>0</v>
      </c>
      <c r="N634" t="n">
        <v>0</v>
      </c>
      <c r="O634" t="n">
        <v>0</v>
      </c>
      <c r="P634" t="n">
        <v>0</v>
      </c>
      <c r="Q634" t="n">
        <v>0</v>
      </c>
      <c r="R634" s="2" t="inlineStr"/>
    </row>
    <row r="635" ht="15" customHeight="1">
      <c r="A635" t="inlineStr">
        <is>
          <t>A 37681-2025</t>
        </is>
      </c>
      <c r="B635" s="1" t="n">
        <v>45880</v>
      </c>
      <c r="C635" s="1" t="n">
        <v>46199</v>
      </c>
      <c r="D635" t="inlineStr">
        <is>
          <t>VÄRMLANDS LÄN</t>
        </is>
      </c>
      <c r="E635" t="inlineStr">
        <is>
          <t>ÅRJÄNG</t>
        </is>
      </c>
      <c r="G635" t="n">
        <v>1.9</v>
      </c>
      <c r="H635" t="n">
        <v>0</v>
      </c>
      <c r="I635" t="n">
        <v>0</v>
      </c>
      <c r="J635" t="n">
        <v>0</v>
      </c>
      <c r="K635" t="n">
        <v>0</v>
      </c>
      <c r="L635" t="n">
        <v>0</v>
      </c>
      <c r="M635" t="n">
        <v>0</v>
      </c>
      <c r="N635" t="n">
        <v>0</v>
      </c>
      <c r="O635" t="n">
        <v>0</v>
      </c>
      <c r="P635" t="n">
        <v>0</v>
      </c>
      <c r="Q635" t="n">
        <v>0</v>
      </c>
      <c r="R635" s="2" t="inlineStr"/>
    </row>
    <row r="636" ht="15" customHeight="1">
      <c r="A636" t="inlineStr">
        <is>
          <t>A 37555-2025</t>
        </is>
      </c>
      <c r="B636" s="1" t="n">
        <v>45880</v>
      </c>
      <c r="C636" s="1" t="n">
        <v>46199</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55017-2025</t>
        </is>
      </c>
      <c r="B637" s="1" t="n">
        <v>45967</v>
      </c>
      <c r="C637" s="1" t="n">
        <v>46199</v>
      </c>
      <c r="D637" t="inlineStr">
        <is>
          <t>VÄRMLANDS LÄN</t>
        </is>
      </c>
      <c r="E637" t="inlineStr">
        <is>
          <t>ÅRJÄNG</t>
        </is>
      </c>
      <c r="G637" t="n">
        <v>10.2</v>
      </c>
      <c r="H637" t="n">
        <v>0</v>
      </c>
      <c r="I637" t="n">
        <v>0</v>
      </c>
      <c r="J637" t="n">
        <v>0</v>
      </c>
      <c r="K637" t="n">
        <v>0</v>
      </c>
      <c r="L637" t="n">
        <v>0</v>
      </c>
      <c r="M637" t="n">
        <v>0</v>
      </c>
      <c r="N637" t="n">
        <v>0</v>
      </c>
      <c r="O637" t="n">
        <v>0</v>
      </c>
      <c r="P637" t="n">
        <v>0</v>
      </c>
      <c r="Q637" t="n">
        <v>0</v>
      </c>
      <c r="R637" s="2" t="inlineStr"/>
    </row>
    <row r="638" ht="15" customHeight="1">
      <c r="A638" t="inlineStr">
        <is>
          <t>A 8685-2024</t>
        </is>
      </c>
      <c r="B638" s="1" t="n">
        <v>45356</v>
      </c>
      <c r="C638" s="1" t="n">
        <v>46199</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28314-2025</t>
        </is>
      </c>
      <c r="B639" s="1" t="n">
        <v>45818</v>
      </c>
      <c r="C639" s="1" t="n">
        <v>46199</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37655-2025</t>
        </is>
      </c>
      <c r="B640" s="1" t="n">
        <v>45880</v>
      </c>
      <c r="C640" s="1" t="n">
        <v>46199</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49057-2024</t>
        </is>
      </c>
      <c r="B641" s="1" t="n">
        <v>45594</v>
      </c>
      <c r="C641" s="1" t="n">
        <v>46199</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55540-2025</t>
        </is>
      </c>
      <c r="B642" s="1" t="n">
        <v>45971</v>
      </c>
      <c r="C642" s="1" t="n">
        <v>46199</v>
      </c>
      <c r="D642" t="inlineStr">
        <is>
          <t>VÄRMLANDS LÄN</t>
        </is>
      </c>
      <c r="E642" t="inlineStr">
        <is>
          <t>ÅRJÄNG</t>
        </is>
      </c>
      <c r="G642" t="n">
        <v>4.7</v>
      </c>
      <c r="H642" t="n">
        <v>0</v>
      </c>
      <c r="I642" t="n">
        <v>0</v>
      </c>
      <c r="J642" t="n">
        <v>0</v>
      </c>
      <c r="K642" t="n">
        <v>0</v>
      </c>
      <c r="L642" t="n">
        <v>0</v>
      </c>
      <c r="M642" t="n">
        <v>0</v>
      </c>
      <c r="N642" t="n">
        <v>0</v>
      </c>
      <c r="O642" t="n">
        <v>0</v>
      </c>
      <c r="P642" t="n">
        <v>0</v>
      </c>
      <c r="Q642" t="n">
        <v>0</v>
      </c>
      <c r="R642" s="2" t="inlineStr"/>
    </row>
    <row r="643" ht="15" customHeight="1">
      <c r="A643" t="inlineStr">
        <is>
          <t>A 55285-2025</t>
        </is>
      </c>
      <c r="B643" s="1" t="n">
        <v>45968</v>
      </c>
      <c r="C643" s="1" t="n">
        <v>46199</v>
      </c>
      <c r="D643" t="inlineStr">
        <is>
          <t>VÄRMLANDS LÄN</t>
        </is>
      </c>
      <c r="E643" t="inlineStr">
        <is>
          <t>ÅRJÄNG</t>
        </is>
      </c>
      <c r="G643" t="n">
        <v>2</v>
      </c>
      <c r="H643" t="n">
        <v>0</v>
      </c>
      <c r="I643" t="n">
        <v>0</v>
      </c>
      <c r="J643" t="n">
        <v>0</v>
      </c>
      <c r="K643" t="n">
        <v>0</v>
      </c>
      <c r="L643" t="n">
        <v>0</v>
      </c>
      <c r="M643" t="n">
        <v>0</v>
      </c>
      <c r="N643" t="n">
        <v>0</v>
      </c>
      <c r="O643" t="n">
        <v>0</v>
      </c>
      <c r="P643" t="n">
        <v>0</v>
      </c>
      <c r="Q643" t="n">
        <v>0</v>
      </c>
      <c r="R643" s="2" t="inlineStr"/>
    </row>
    <row r="644" ht="15" customHeight="1">
      <c r="A644" t="inlineStr">
        <is>
          <t>A 55592-2025</t>
        </is>
      </c>
      <c r="B644" s="1" t="n">
        <v>45971</v>
      </c>
      <c r="C644" s="1" t="n">
        <v>46199</v>
      </c>
      <c r="D644" t="inlineStr">
        <is>
          <t>VÄRMLANDS LÄN</t>
        </is>
      </c>
      <c r="E644" t="inlineStr">
        <is>
          <t>ÅRJÄNG</t>
        </is>
      </c>
      <c r="G644" t="n">
        <v>2.4</v>
      </c>
      <c r="H644" t="n">
        <v>0</v>
      </c>
      <c r="I644" t="n">
        <v>0</v>
      </c>
      <c r="J644" t="n">
        <v>0</v>
      </c>
      <c r="K644" t="n">
        <v>0</v>
      </c>
      <c r="L644" t="n">
        <v>0</v>
      </c>
      <c r="M644" t="n">
        <v>0</v>
      </c>
      <c r="N644" t="n">
        <v>0</v>
      </c>
      <c r="O644" t="n">
        <v>0</v>
      </c>
      <c r="P644" t="n">
        <v>0</v>
      </c>
      <c r="Q644" t="n">
        <v>0</v>
      </c>
      <c r="R644" s="2" t="inlineStr"/>
    </row>
    <row r="645" ht="15" customHeight="1">
      <c r="A645" t="inlineStr">
        <is>
          <t>A 4923-2026</t>
        </is>
      </c>
      <c r="B645" s="1" t="n">
        <v>46045</v>
      </c>
      <c r="C645" s="1" t="n">
        <v>46199</v>
      </c>
      <c r="D645" t="inlineStr">
        <is>
          <t>VÄRMLANDS LÄN</t>
        </is>
      </c>
      <c r="E645" t="inlineStr">
        <is>
          <t>ÅRJÄNG</t>
        </is>
      </c>
      <c r="F645" t="inlineStr">
        <is>
          <t>Övriga Aktiebolag</t>
        </is>
      </c>
      <c r="G645" t="n">
        <v>11.4</v>
      </c>
      <c r="H645" t="n">
        <v>0</v>
      </c>
      <c r="I645" t="n">
        <v>0</v>
      </c>
      <c r="J645" t="n">
        <v>0</v>
      </c>
      <c r="K645" t="n">
        <v>0</v>
      </c>
      <c r="L645" t="n">
        <v>0</v>
      </c>
      <c r="M645" t="n">
        <v>0</v>
      </c>
      <c r="N645" t="n">
        <v>0</v>
      </c>
      <c r="O645" t="n">
        <v>0</v>
      </c>
      <c r="P645" t="n">
        <v>0</v>
      </c>
      <c r="Q645" t="n">
        <v>0</v>
      </c>
      <c r="R645" s="2" t="inlineStr"/>
    </row>
    <row r="646" ht="15" customHeight="1">
      <c r="A646" t="inlineStr">
        <is>
          <t>A 55662-2025</t>
        </is>
      </c>
      <c r="B646" s="1" t="n">
        <v>45972</v>
      </c>
      <c r="C646" s="1" t="n">
        <v>46199</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55277-2025</t>
        </is>
      </c>
      <c r="B647" s="1" t="n">
        <v>45968</v>
      </c>
      <c r="C647" s="1" t="n">
        <v>46199</v>
      </c>
      <c r="D647" t="inlineStr">
        <is>
          <t>VÄRMLANDS LÄN</t>
        </is>
      </c>
      <c r="E647" t="inlineStr">
        <is>
          <t>ÅRJÄNG</t>
        </is>
      </c>
      <c r="G647" t="n">
        <v>3.8</v>
      </c>
      <c r="H647" t="n">
        <v>0</v>
      </c>
      <c r="I647" t="n">
        <v>0</v>
      </c>
      <c r="J647" t="n">
        <v>0</v>
      </c>
      <c r="K647" t="n">
        <v>0</v>
      </c>
      <c r="L647" t="n">
        <v>0</v>
      </c>
      <c r="M647" t="n">
        <v>0</v>
      </c>
      <c r="N647" t="n">
        <v>0</v>
      </c>
      <c r="O647" t="n">
        <v>0</v>
      </c>
      <c r="P647" t="n">
        <v>0</v>
      </c>
      <c r="Q647" t="n">
        <v>0</v>
      </c>
      <c r="R647" s="2" t="inlineStr"/>
    </row>
    <row r="648" ht="15" customHeight="1">
      <c r="A648" t="inlineStr">
        <is>
          <t>A 55534-2025</t>
        </is>
      </c>
      <c r="B648" s="1" t="n">
        <v>45971</v>
      </c>
      <c r="C648" s="1" t="n">
        <v>46199</v>
      </c>
      <c r="D648" t="inlineStr">
        <is>
          <t>VÄRMLANDS LÄN</t>
        </is>
      </c>
      <c r="E648" t="inlineStr">
        <is>
          <t>ÅRJÄNG</t>
        </is>
      </c>
      <c r="G648" t="n">
        <v>4.7</v>
      </c>
      <c r="H648" t="n">
        <v>0</v>
      </c>
      <c r="I648" t="n">
        <v>0</v>
      </c>
      <c r="J648" t="n">
        <v>0</v>
      </c>
      <c r="K648" t="n">
        <v>0</v>
      </c>
      <c r="L648" t="n">
        <v>0</v>
      </c>
      <c r="M648" t="n">
        <v>0</v>
      </c>
      <c r="N648" t="n">
        <v>0</v>
      </c>
      <c r="O648" t="n">
        <v>0</v>
      </c>
      <c r="P648" t="n">
        <v>0</v>
      </c>
      <c r="Q648" t="n">
        <v>0</v>
      </c>
      <c r="R648" s="2" t="inlineStr"/>
    </row>
    <row r="649" ht="15" customHeight="1">
      <c r="A649" t="inlineStr">
        <is>
          <t>A 5214-2026</t>
        </is>
      </c>
      <c r="B649" s="1" t="n">
        <v>46049</v>
      </c>
      <c r="C649" s="1" t="n">
        <v>46199</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5216-2026</t>
        </is>
      </c>
      <c r="B650" s="1" t="n">
        <v>46049</v>
      </c>
      <c r="C650" s="1" t="n">
        <v>46199</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5217-2026</t>
        </is>
      </c>
      <c r="B651" s="1" t="n">
        <v>46049</v>
      </c>
      <c r="C651" s="1" t="n">
        <v>46199</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5146-2026</t>
        </is>
      </c>
      <c r="B652" s="1" t="n">
        <v>46049</v>
      </c>
      <c r="C652" s="1" t="n">
        <v>46199</v>
      </c>
      <c r="D652" t="inlineStr">
        <is>
          <t>VÄRMLANDS LÄN</t>
        </is>
      </c>
      <c r="E652" t="inlineStr">
        <is>
          <t>ÅRJÄNG</t>
        </is>
      </c>
      <c r="G652" t="n">
        <v>4.8</v>
      </c>
      <c r="H652" t="n">
        <v>0</v>
      </c>
      <c r="I652" t="n">
        <v>0</v>
      </c>
      <c r="J652" t="n">
        <v>0</v>
      </c>
      <c r="K652" t="n">
        <v>0</v>
      </c>
      <c r="L652" t="n">
        <v>0</v>
      </c>
      <c r="M652" t="n">
        <v>0</v>
      </c>
      <c r="N652" t="n">
        <v>0</v>
      </c>
      <c r="O652" t="n">
        <v>0</v>
      </c>
      <c r="P652" t="n">
        <v>0</v>
      </c>
      <c r="Q652" t="n">
        <v>0</v>
      </c>
      <c r="R652" s="2" t="inlineStr"/>
    </row>
    <row r="653" ht="15" customHeight="1">
      <c r="A653" t="inlineStr">
        <is>
          <t>A 5169-2026</t>
        </is>
      </c>
      <c r="B653" s="1" t="n">
        <v>46049</v>
      </c>
      <c r="C653" s="1" t="n">
        <v>46199</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5593-2026</t>
        </is>
      </c>
      <c r="B654" s="1" t="n">
        <v>46051</v>
      </c>
      <c r="C654" s="1" t="n">
        <v>46199</v>
      </c>
      <c r="D654" t="inlineStr">
        <is>
          <t>VÄRMLANDS LÄN</t>
        </is>
      </c>
      <c r="E654" t="inlineStr">
        <is>
          <t>ÅRJÄNG</t>
        </is>
      </c>
      <c r="G654" t="n">
        <v>4</v>
      </c>
      <c r="H654" t="n">
        <v>0</v>
      </c>
      <c r="I654" t="n">
        <v>0</v>
      </c>
      <c r="J654" t="n">
        <v>0</v>
      </c>
      <c r="K654" t="n">
        <v>0</v>
      </c>
      <c r="L654" t="n">
        <v>0</v>
      </c>
      <c r="M654" t="n">
        <v>0</v>
      </c>
      <c r="N654" t="n">
        <v>0</v>
      </c>
      <c r="O654" t="n">
        <v>0</v>
      </c>
      <c r="P654" t="n">
        <v>0</v>
      </c>
      <c r="Q654" t="n">
        <v>0</v>
      </c>
      <c r="R654" s="2" t="inlineStr"/>
    </row>
    <row r="655" ht="15" customHeight="1">
      <c r="A655" t="inlineStr">
        <is>
          <t>A 55276-2025</t>
        </is>
      </c>
      <c r="B655" s="1" t="n">
        <v>45968</v>
      </c>
      <c r="C655" s="1" t="n">
        <v>46199</v>
      </c>
      <c r="D655" t="inlineStr">
        <is>
          <t>VÄRMLANDS LÄN</t>
        </is>
      </c>
      <c r="E655" t="inlineStr">
        <is>
          <t>ÅRJÄNG</t>
        </is>
      </c>
      <c r="G655" t="n">
        <v>2.8</v>
      </c>
      <c r="H655" t="n">
        <v>0</v>
      </c>
      <c r="I655" t="n">
        <v>0</v>
      </c>
      <c r="J655" t="n">
        <v>0</v>
      </c>
      <c r="K655" t="n">
        <v>0</v>
      </c>
      <c r="L655" t="n">
        <v>0</v>
      </c>
      <c r="M655" t="n">
        <v>0</v>
      </c>
      <c r="N655" t="n">
        <v>0</v>
      </c>
      <c r="O655" t="n">
        <v>0</v>
      </c>
      <c r="P655" t="n">
        <v>0</v>
      </c>
      <c r="Q655" t="n">
        <v>0</v>
      </c>
      <c r="R655" s="2" t="inlineStr"/>
    </row>
    <row r="656" ht="15" customHeight="1">
      <c r="A656" t="inlineStr">
        <is>
          <t>A 56096-2025</t>
        </is>
      </c>
      <c r="B656" s="1" t="n">
        <v>45973</v>
      </c>
      <c r="C656" s="1" t="n">
        <v>46199</v>
      </c>
      <c r="D656" t="inlineStr">
        <is>
          <t>VÄRMLANDS LÄN</t>
        </is>
      </c>
      <c r="E656" t="inlineStr">
        <is>
          <t>ÅRJÄNG</t>
        </is>
      </c>
      <c r="F656" t="inlineStr">
        <is>
          <t>Kyrkan</t>
        </is>
      </c>
      <c r="G656" t="n">
        <v>10.5</v>
      </c>
      <c r="H656" t="n">
        <v>0</v>
      </c>
      <c r="I656" t="n">
        <v>0</v>
      </c>
      <c r="J656" t="n">
        <v>0</v>
      </c>
      <c r="K656" t="n">
        <v>0</v>
      </c>
      <c r="L656" t="n">
        <v>0</v>
      </c>
      <c r="M656" t="n">
        <v>0</v>
      </c>
      <c r="N656" t="n">
        <v>0</v>
      </c>
      <c r="O656" t="n">
        <v>0</v>
      </c>
      <c r="P656" t="n">
        <v>0</v>
      </c>
      <c r="Q656" t="n">
        <v>0</v>
      </c>
      <c r="R656" s="2" t="inlineStr"/>
    </row>
    <row r="657" ht="15" customHeight="1">
      <c r="A657" t="inlineStr">
        <is>
          <t>A 64690-2023</t>
        </is>
      </c>
      <c r="B657" s="1" t="n">
        <v>45281</v>
      </c>
      <c r="C657" s="1" t="n">
        <v>46199</v>
      </c>
      <c r="D657" t="inlineStr">
        <is>
          <t>VÄRMLANDS LÄN</t>
        </is>
      </c>
      <c r="E657" t="inlineStr">
        <is>
          <t>ÅRJÄNG</t>
        </is>
      </c>
      <c r="G657" t="n">
        <v>2.1</v>
      </c>
      <c r="H657" t="n">
        <v>0</v>
      </c>
      <c r="I657" t="n">
        <v>0</v>
      </c>
      <c r="J657" t="n">
        <v>0</v>
      </c>
      <c r="K657" t="n">
        <v>0</v>
      </c>
      <c r="L657" t="n">
        <v>0</v>
      </c>
      <c r="M657" t="n">
        <v>0</v>
      </c>
      <c r="N657" t="n">
        <v>0</v>
      </c>
      <c r="O657" t="n">
        <v>0</v>
      </c>
      <c r="P657" t="n">
        <v>0</v>
      </c>
      <c r="Q657" t="n">
        <v>0</v>
      </c>
      <c r="R657" s="2" t="inlineStr"/>
    </row>
    <row r="658" ht="15" customHeight="1">
      <c r="A658" t="inlineStr">
        <is>
          <t>A 56027-2025</t>
        </is>
      </c>
      <c r="B658" s="1" t="n">
        <v>45973</v>
      </c>
      <c r="C658" s="1" t="n">
        <v>46199</v>
      </c>
      <c r="D658" t="inlineStr">
        <is>
          <t>VÄRMLANDS LÄN</t>
        </is>
      </c>
      <c r="E658" t="inlineStr">
        <is>
          <t>ÅRJÄNG</t>
        </is>
      </c>
      <c r="G658" t="n">
        <v>2.7</v>
      </c>
      <c r="H658" t="n">
        <v>0</v>
      </c>
      <c r="I658" t="n">
        <v>0</v>
      </c>
      <c r="J658" t="n">
        <v>0</v>
      </c>
      <c r="K658" t="n">
        <v>0</v>
      </c>
      <c r="L658" t="n">
        <v>0</v>
      </c>
      <c r="M658" t="n">
        <v>0</v>
      </c>
      <c r="N658" t="n">
        <v>0</v>
      </c>
      <c r="O658" t="n">
        <v>0</v>
      </c>
      <c r="P658" t="n">
        <v>0</v>
      </c>
      <c r="Q658" t="n">
        <v>0</v>
      </c>
      <c r="R658" s="2" t="inlineStr"/>
    </row>
    <row r="659" ht="15" customHeight="1">
      <c r="A659" t="inlineStr">
        <is>
          <t>A 65844-2021</t>
        </is>
      </c>
      <c r="B659" s="1" t="n">
        <v>44517</v>
      </c>
      <c r="C659" s="1" t="n">
        <v>46199</v>
      </c>
      <c r="D659" t="inlineStr">
        <is>
          <t>VÄRMLANDS LÄN</t>
        </is>
      </c>
      <c r="E659" t="inlineStr">
        <is>
          <t>ÅRJÄNG</t>
        </is>
      </c>
      <c r="G659" t="n">
        <v>4.6</v>
      </c>
      <c r="H659" t="n">
        <v>0</v>
      </c>
      <c r="I659" t="n">
        <v>0</v>
      </c>
      <c r="J659" t="n">
        <v>0</v>
      </c>
      <c r="K659" t="n">
        <v>0</v>
      </c>
      <c r="L659" t="n">
        <v>0</v>
      </c>
      <c r="M659" t="n">
        <v>0</v>
      </c>
      <c r="N659" t="n">
        <v>0</v>
      </c>
      <c r="O659" t="n">
        <v>0</v>
      </c>
      <c r="P659" t="n">
        <v>0</v>
      </c>
      <c r="Q659" t="n">
        <v>0</v>
      </c>
      <c r="R659" s="2" t="inlineStr"/>
    </row>
    <row r="660" ht="15" customHeight="1">
      <c r="A660" t="inlineStr">
        <is>
          <t>A 60886-2023</t>
        </is>
      </c>
      <c r="B660" s="1" t="n">
        <v>45261</v>
      </c>
      <c r="C660" s="1" t="n">
        <v>46199</v>
      </c>
      <c r="D660" t="inlineStr">
        <is>
          <t>VÄRMLANDS LÄN</t>
        </is>
      </c>
      <c r="E660" t="inlineStr">
        <is>
          <t>ÅRJÄNG</t>
        </is>
      </c>
      <c r="G660" t="n">
        <v>2.9</v>
      </c>
      <c r="H660" t="n">
        <v>0</v>
      </c>
      <c r="I660" t="n">
        <v>0</v>
      </c>
      <c r="J660" t="n">
        <v>0</v>
      </c>
      <c r="K660" t="n">
        <v>0</v>
      </c>
      <c r="L660" t="n">
        <v>0</v>
      </c>
      <c r="M660" t="n">
        <v>0</v>
      </c>
      <c r="N660" t="n">
        <v>0</v>
      </c>
      <c r="O660" t="n">
        <v>0</v>
      </c>
      <c r="P660" t="n">
        <v>0</v>
      </c>
      <c r="Q660" t="n">
        <v>0</v>
      </c>
      <c r="R660" s="2" t="inlineStr"/>
    </row>
    <row r="661" ht="15" customHeight="1">
      <c r="A661" t="inlineStr">
        <is>
          <t>A 24216-2024</t>
        </is>
      </c>
      <c r="B661" s="1" t="n">
        <v>45457</v>
      </c>
      <c r="C661" s="1" t="n">
        <v>46199</v>
      </c>
      <c r="D661" t="inlineStr">
        <is>
          <t>VÄRMLANDS LÄN</t>
        </is>
      </c>
      <c r="E661" t="inlineStr">
        <is>
          <t>ÅRJÄNG</t>
        </is>
      </c>
      <c r="G661" t="n">
        <v>2</v>
      </c>
      <c r="H661" t="n">
        <v>0</v>
      </c>
      <c r="I661" t="n">
        <v>0</v>
      </c>
      <c r="J661" t="n">
        <v>0</v>
      </c>
      <c r="K661" t="n">
        <v>0</v>
      </c>
      <c r="L661" t="n">
        <v>0</v>
      </c>
      <c r="M661" t="n">
        <v>0</v>
      </c>
      <c r="N661" t="n">
        <v>0</v>
      </c>
      <c r="O661" t="n">
        <v>0</v>
      </c>
      <c r="P661" t="n">
        <v>0</v>
      </c>
      <c r="Q661" t="n">
        <v>0</v>
      </c>
      <c r="R661" s="2" t="inlineStr"/>
    </row>
    <row r="662" ht="15" customHeight="1">
      <c r="A662" t="inlineStr">
        <is>
          <t>A 7160-2026</t>
        </is>
      </c>
      <c r="B662" s="1" t="n">
        <v>46058</v>
      </c>
      <c r="C662" s="1" t="n">
        <v>46199</v>
      </c>
      <c r="D662" t="inlineStr">
        <is>
          <t>VÄRMLANDS LÄN</t>
        </is>
      </c>
      <c r="E662" t="inlineStr">
        <is>
          <t>ÅRJÄNG</t>
        </is>
      </c>
      <c r="G662" t="n">
        <v>4.8</v>
      </c>
      <c r="H662" t="n">
        <v>0</v>
      </c>
      <c r="I662" t="n">
        <v>0</v>
      </c>
      <c r="J662" t="n">
        <v>0</v>
      </c>
      <c r="K662" t="n">
        <v>0</v>
      </c>
      <c r="L662" t="n">
        <v>0</v>
      </c>
      <c r="M662" t="n">
        <v>0</v>
      </c>
      <c r="N662" t="n">
        <v>0</v>
      </c>
      <c r="O662" t="n">
        <v>0</v>
      </c>
      <c r="P662" t="n">
        <v>0</v>
      </c>
      <c r="Q662" t="n">
        <v>0</v>
      </c>
      <c r="R662" s="2" t="inlineStr"/>
    </row>
    <row r="663" ht="15" customHeight="1">
      <c r="A663" t="inlineStr">
        <is>
          <t>A 7803-2026</t>
        </is>
      </c>
      <c r="B663" s="1" t="n">
        <v>46059</v>
      </c>
      <c r="C663" s="1" t="n">
        <v>46199</v>
      </c>
      <c r="D663" t="inlineStr">
        <is>
          <t>VÄRMLANDS LÄN</t>
        </is>
      </c>
      <c r="E663" t="inlineStr">
        <is>
          <t>ÅRJÄNG</t>
        </is>
      </c>
      <c r="G663" t="n">
        <v>5.6</v>
      </c>
      <c r="H663" t="n">
        <v>0</v>
      </c>
      <c r="I663" t="n">
        <v>0</v>
      </c>
      <c r="J663" t="n">
        <v>0</v>
      </c>
      <c r="K663" t="n">
        <v>0</v>
      </c>
      <c r="L663" t="n">
        <v>0</v>
      </c>
      <c r="M663" t="n">
        <v>0</v>
      </c>
      <c r="N663" t="n">
        <v>0</v>
      </c>
      <c r="O663" t="n">
        <v>0</v>
      </c>
      <c r="P663" t="n">
        <v>0</v>
      </c>
      <c r="Q663" t="n">
        <v>0</v>
      </c>
      <c r="R663" s="2" t="inlineStr"/>
    </row>
    <row r="664" ht="15" customHeight="1">
      <c r="A664" t="inlineStr">
        <is>
          <t>A 7518-2026</t>
        </is>
      </c>
      <c r="B664" s="1" t="n">
        <v>46059</v>
      </c>
      <c r="C664" s="1" t="n">
        <v>46199</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50112-2024</t>
        </is>
      </c>
      <c r="B665" s="1" t="n">
        <v>45600</v>
      </c>
      <c r="C665" s="1" t="n">
        <v>46199</v>
      </c>
      <c r="D665" t="inlineStr">
        <is>
          <t>VÄRMLANDS LÄN</t>
        </is>
      </c>
      <c r="E665" t="inlineStr">
        <is>
          <t>ÅRJÄNG</t>
        </is>
      </c>
      <c r="G665" t="n">
        <v>2.8</v>
      </c>
      <c r="H665" t="n">
        <v>0</v>
      </c>
      <c r="I665" t="n">
        <v>0</v>
      </c>
      <c r="J665" t="n">
        <v>0</v>
      </c>
      <c r="K665" t="n">
        <v>0</v>
      </c>
      <c r="L665" t="n">
        <v>0</v>
      </c>
      <c r="M665" t="n">
        <v>0</v>
      </c>
      <c r="N665" t="n">
        <v>0</v>
      </c>
      <c r="O665" t="n">
        <v>0</v>
      </c>
      <c r="P665" t="n">
        <v>0</v>
      </c>
      <c r="Q665" t="n">
        <v>0</v>
      </c>
      <c r="R665" s="2" t="inlineStr"/>
    </row>
    <row r="666" ht="15" customHeight="1">
      <c r="A666" t="inlineStr">
        <is>
          <t>A 18388-2025</t>
        </is>
      </c>
      <c r="B666" s="1" t="n">
        <v>45762</v>
      </c>
      <c r="C666" s="1" t="n">
        <v>46199</v>
      </c>
      <c r="D666" t="inlineStr">
        <is>
          <t>VÄRMLANDS LÄN</t>
        </is>
      </c>
      <c r="E666" t="inlineStr">
        <is>
          <t>ÅRJÄNG</t>
        </is>
      </c>
      <c r="G666" t="n">
        <v>0.5</v>
      </c>
      <c r="H666" t="n">
        <v>0</v>
      </c>
      <c r="I666" t="n">
        <v>0</v>
      </c>
      <c r="J666" t="n">
        <v>0</v>
      </c>
      <c r="K666" t="n">
        <v>0</v>
      </c>
      <c r="L666" t="n">
        <v>0</v>
      </c>
      <c r="M666" t="n">
        <v>0</v>
      </c>
      <c r="N666" t="n">
        <v>0</v>
      </c>
      <c r="O666" t="n">
        <v>0</v>
      </c>
      <c r="P666" t="n">
        <v>0</v>
      </c>
      <c r="Q666" t="n">
        <v>0</v>
      </c>
      <c r="R666" s="2" t="inlineStr"/>
    </row>
    <row r="667" ht="15" customHeight="1">
      <c r="A667" t="inlineStr">
        <is>
          <t>A 56168-2024</t>
        </is>
      </c>
      <c r="B667" s="1" t="n">
        <v>45623</v>
      </c>
      <c r="C667" s="1" t="n">
        <v>46199</v>
      </c>
      <c r="D667" t="inlineStr">
        <is>
          <t>VÄRMLANDS LÄN</t>
        </is>
      </c>
      <c r="E667" t="inlineStr">
        <is>
          <t>ÅRJÄNG</t>
        </is>
      </c>
      <c r="G667" t="n">
        <v>2.3</v>
      </c>
      <c r="H667" t="n">
        <v>0</v>
      </c>
      <c r="I667" t="n">
        <v>0</v>
      </c>
      <c r="J667" t="n">
        <v>0</v>
      </c>
      <c r="K667" t="n">
        <v>0</v>
      </c>
      <c r="L667" t="n">
        <v>0</v>
      </c>
      <c r="M667" t="n">
        <v>0</v>
      </c>
      <c r="N667" t="n">
        <v>0</v>
      </c>
      <c r="O667" t="n">
        <v>0</v>
      </c>
      <c r="P667" t="n">
        <v>0</v>
      </c>
      <c r="Q667" t="n">
        <v>0</v>
      </c>
      <c r="R667" s="2" t="inlineStr"/>
    </row>
    <row r="668" ht="15" customHeight="1">
      <c r="A668" t="inlineStr">
        <is>
          <t>A 5168-2026</t>
        </is>
      </c>
      <c r="B668" s="1" t="n">
        <v>46049</v>
      </c>
      <c r="C668" s="1" t="n">
        <v>46199</v>
      </c>
      <c r="D668" t="inlineStr">
        <is>
          <t>VÄRMLANDS LÄN</t>
        </is>
      </c>
      <c r="E668" t="inlineStr">
        <is>
          <t>ÅRJÄNG</t>
        </is>
      </c>
      <c r="G668" t="n">
        <v>0.3</v>
      </c>
      <c r="H668" t="n">
        <v>0</v>
      </c>
      <c r="I668" t="n">
        <v>0</v>
      </c>
      <c r="J668" t="n">
        <v>0</v>
      </c>
      <c r="K668" t="n">
        <v>0</v>
      </c>
      <c r="L668" t="n">
        <v>0</v>
      </c>
      <c r="M668" t="n">
        <v>0</v>
      </c>
      <c r="N668" t="n">
        <v>0</v>
      </c>
      <c r="O668" t="n">
        <v>0</v>
      </c>
      <c r="P668" t="n">
        <v>0</v>
      </c>
      <c r="Q668" t="n">
        <v>0</v>
      </c>
      <c r="R668" s="2" t="inlineStr"/>
    </row>
    <row r="669" ht="15" customHeight="1">
      <c r="A669" t="inlineStr">
        <is>
          <t>A 1912-2024</t>
        </is>
      </c>
      <c r="B669" s="1" t="n">
        <v>45308</v>
      </c>
      <c r="C669" s="1" t="n">
        <v>46199</v>
      </c>
      <c r="D669" t="inlineStr">
        <is>
          <t>VÄRMLANDS LÄN</t>
        </is>
      </c>
      <c r="E669" t="inlineStr">
        <is>
          <t>ÅRJÄNG</t>
        </is>
      </c>
      <c r="G669" t="n">
        <v>0.9</v>
      </c>
      <c r="H669" t="n">
        <v>0</v>
      </c>
      <c r="I669" t="n">
        <v>0</v>
      </c>
      <c r="J669" t="n">
        <v>0</v>
      </c>
      <c r="K669" t="n">
        <v>0</v>
      </c>
      <c r="L669" t="n">
        <v>0</v>
      </c>
      <c r="M669" t="n">
        <v>0</v>
      </c>
      <c r="N669" t="n">
        <v>0</v>
      </c>
      <c r="O669" t="n">
        <v>0</v>
      </c>
      <c r="P669" t="n">
        <v>0</v>
      </c>
      <c r="Q669" t="n">
        <v>0</v>
      </c>
      <c r="R669" s="2" t="inlineStr"/>
    </row>
    <row r="670" ht="15" customHeight="1">
      <c r="A670" t="inlineStr">
        <is>
          <t>A 38167-2022</t>
        </is>
      </c>
      <c r="B670" s="1" t="n">
        <v>44812</v>
      </c>
      <c r="C670" s="1" t="n">
        <v>46199</v>
      </c>
      <c r="D670" t="inlineStr">
        <is>
          <t>VÄRMLANDS LÄN</t>
        </is>
      </c>
      <c r="E670" t="inlineStr">
        <is>
          <t>ÅRJÄNG</t>
        </is>
      </c>
      <c r="G670" t="n">
        <v>10.5</v>
      </c>
      <c r="H670" t="n">
        <v>0</v>
      </c>
      <c r="I670" t="n">
        <v>0</v>
      </c>
      <c r="J670" t="n">
        <v>0</v>
      </c>
      <c r="K670" t="n">
        <v>0</v>
      </c>
      <c r="L670" t="n">
        <v>0</v>
      </c>
      <c r="M670" t="n">
        <v>0</v>
      </c>
      <c r="N670" t="n">
        <v>0</v>
      </c>
      <c r="O670" t="n">
        <v>0</v>
      </c>
      <c r="P670" t="n">
        <v>0</v>
      </c>
      <c r="Q670" t="n">
        <v>0</v>
      </c>
      <c r="R670" s="2" t="inlineStr"/>
    </row>
    <row r="671" ht="15" customHeight="1">
      <c r="A671" t="inlineStr">
        <is>
          <t>A 57161-2024</t>
        </is>
      </c>
      <c r="B671" s="1" t="n">
        <v>45628</v>
      </c>
      <c r="C671" s="1" t="n">
        <v>46199</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60202-2023</t>
        </is>
      </c>
      <c r="B672" s="1" t="n">
        <v>45257</v>
      </c>
      <c r="C672" s="1" t="n">
        <v>46199</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42236-2024</t>
        </is>
      </c>
      <c r="B673" s="1" t="n">
        <v>45562</v>
      </c>
      <c r="C673" s="1" t="n">
        <v>46199</v>
      </c>
      <c r="D673" t="inlineStr">
        <is>
          <t>VÄRMLANDS LÄN</t>
        </is>
      </c>
      <c r="E673" t="inlineStr">
        <is>
          <t>ÅRJÄNG</t>
        </is>
      </c>
      <c r="G673" t="n">
        <v>3</v>
      </c>
      <c r="H673" t="n">
        <v>0</v>
      </c>
      <c r="I673" t="n">
        <v>0</v>
      </c>
      <c r="J673" t="n">
        <v>0</v>
      </c>
      <c r="K673" t="n">
        <v>0</v>
      </c>
      <c r="L673" t="n">
        <v>0</v>
      </c>
      <c r="M673" t="n">
        <v>0</v>
      </c>
      <c r="N673" t="n">
        <v>0</v>
      </c>
      <c r="O673" t="n">
        <v>0</v>
      </c>
      <c r="P673" t="n">
        <v>0</v>
      </c>
      <c r="Q673" t="n">
        <v>0</v>
      </c>
      <c r="R673" s="2" t="inlineStr"/>
    </row>
    <row r="674" ht="15" customHeight="1">
      <c r="A674" t="inlineStr">
        <is>
          <t>A 59484-2024</t>
        </is>
      </c>
      <c r="B674" s="1" t="n">
        <v>45638</v>
      </c>
      <c r="C674" s="1" t="n">
        <v>46199</v>
      </c>
      <c r="D674" t="inlineStr">
        <is>
          <t>VÄRMLANDS LÄN</t>
        </is>
      </c>
      <c r="E674" t="inlineStr">
        <is>
          <t>ÅRJÄNG</t>
        </is>
      </c>
      <c r="G674" t="n">
        <v>2.9</v>
      </c>
      <c r="H674" t="n">
        <v>0</v>
      </c>
      <c r="I674" t="n">
        <v>0</v>
      </c>
      <c r="J674" t="n">
        <v>0</v>
      </c>
      <c r="K674" t="n">
        <v>0</v>
      </c>
      <c r="L674" t="n">
        <v>0</v>
      </c>
      <c r="M674" t="n">
        <v>0</v>
      </c>
      <c r="N674" t="n">
        <v>0</v>
      </c>
      <c r="O674" t="n">
        <v>0</v>
      </c>
      <c r="P674" t="n">
        <v>0</v>
      </c>
      <c r="Q674" t="n">
        <v>0</v>
      </c>
      <c r="R674" s="2" t="inlineStr"/>
    </row>
    <row r="675" ht="15" customHeight="1">
      <c r="A675" t="inlineStr">
        <is>
          <t>A 29570-2023</t>
        </is>
      </c>
      <c r="B675" s="1" t="n">
        <v>45106</v>
      </c>
      <c r="C675" s="1" t="n">
        <v>46199</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8510-2026</t>
        </is>
      </c>
      <c r="B676" s="1" t="n">
        <v>46065</v>
      </c>
      <c r="C676" s="1" t="n">
        <v>46199</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4088-2025</t>
        </is>
      </c>
      <c r="B677" s="1" t="n">
        <v>45684</v>
      </c>
      <c r="C677" s="1" t="n">
        <v>46199</v>
      </c>
      <c r="D677" t="inlineStr">
        <is>
          <t>VÄRMLANDS LÄN</t>
        </is>
      </c>
      <c r="E677" t="inlineStr">
        <is>
          <t>ÅRJÄNG</t>
        </is>
      </c>
      <c r="G677" t="n">
        <v>4.1</v>
      </c>
      <c r="H677" t="n">
        <v>0</v>
      </c>
      <c r="I677" t="n">
        <v>0</v>
      </c>
      <c r="J677" t="n">
        <v>0</v>
      </c>
      <c r="K677" t="n">
        <v>0</v>
      </c>
      <c r="L677" t="n">
        <v>0</v>
      </c>
      <c r="M677" t="n">
        <v>0</v>
      </c>
      <c r="N677" t="n">
        <v>0</v>
      </c>
      <c r="O677" t="n">
        <v>0</v>
      </c>
      <c r="P677" t="n">
        <v>0</v>
      </c>
      <c r="Q677" t="n">
        <v>0</v>
      </c>
      <c r="R677" s="2" t="inlineStr"/>
    </row>
    <row r="678" ht="15" customHeight="1">
      <c r="A678" t="inlineStr">
        <is>
          <t>A 18796-2023</t>
        </is>
      </c>
      <c r="B678" s="1" t="n">
        <v>45044</v>
      </c>
      <c r="C678" s="1" t="n">
        <v>46199</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65849-2021</t>
        </is>
      </c>
      <c r="B679" s="1" t="n">
        <v>44517</v>
      </c>
      <c r="C679" s="1" t="n">
        <v>46199</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8509-2026</t>
        </is>
      </c>
      <c r="B680" s="1" t="n">
        <v>46065</v>
      </c>
      <c r="C680" s="1" t="n">
        <v>46199</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8507-2026</t>
        </is>
      </c>
      <c r="B681" s="1" t="n">
        <v>46065</v>
      </c>
      <c r="C681" s="1" t="n">
        <v>46199</v>
      </c>
      <c r="D681" t="inlineStr">
        <is>
          <t>VÄRMLANDS LÄN</t>
        </is>
      </c>
      <c r="E681" t="inlineStr">
        <is>
          <t>ÅRJÄNG</t>
        </is>
      </c>
      <c r="G681" t="n">
        <v>5</v>
      </c>
      <c r="H681" t="n">
        <v>0</v>
      </c>
      <c r="I681" t="n">
        <v>0</v>
      </c>
      <c r="J681" t="n">
        <v>0</v>
      </c>
      <c r="K681" t="n">
        <v>0</v>
      </c>
      <c r="L681" t="n">
        <v>0</v>
      </c>
      <c r="M681" t="n">
        <v>0</v>
      </c>
      <c r="N681" t="n">
        <v>0</v>
      </c>
      <c r="O681" t="n">
        <v>0</v>
      </c>
      <c r="P681" t="n">
        <v>0</v>
      </c>
      <c r="Q681" t="n">
        <v>0</v>
      </c>
      <c r="R681" s="2" t="inlineStr"/>
    </row>
    <row r="682" ht="15" customHeight="1">
      <c r="A682" t="inlineStr">
        <is>
          <t>A 8868-2026</t>
        </is>
      </c>
      <c r="B682" s="1" t="n">
        <v>46066</v>
      </c>
      <c r="C682" s="1" t="n">
        <v>46199</v>
      </c>
      <c r="D682" t="inlineStr">
        <is>
          <t>VÄRMLANDS LÄN</t>
        </is>
      </c>
      <c r="E682" t="inlineStr">
        <is>
          <t>ÅRJÄNG</t>
        </is>
      </c>
      <c r="G682" t="n">
        <v>2.4</v>
      </c>
      <c r="H682" t="n">
        <v>0</v>
      </c>
      <c r="I682" t="n">
        <v>0</v>
      </c>
      <c r="J682" t="n">
        <v>0</v>
      </c>
      <c r="K682" t="n">
        <v>0</v>
      </c>
      <c r="L682" t="n">
        <v>0</v>
      </c>
      <c r="M682" t="n">
        <v>0</v>
      </c>
      <c r="N682" t="n">
        <v>0</v>
      </c>
      <c r="O682" t="n">
        <v>0</v>
      </c>
      <c r="P682" t="n">
        <v>0</v>
      </c>
      <c r="Q682" t="n">
        <v>0</v>
      </c>
      <c r="R682" s="2" t="inlineStr"/>
    </row>
    <row r="683" ht="15" customHeight="1">
      <c r="A683" t="inlineStr">
        <is>
          <t>A 1153-2023</t>
        </is>
      </c>
      <c r="B683" s="1" t="n">
        <v>44935</v>
      </c>
      <c r="C683" s="1" t="n">
        <v>46199</v>
      </c>
      <c r="D683" t="inlineStr">
        <is>
          <t>VÄRMLANDS LÄN</t>
        </is>
      </c>
      <c r="E683" t="inlineStr">
        <is>
          <t>ÅRJÄNG</t>
        </is>
      </c>
      <c r="G683" t="n">
        <v>3.2</v>
      </c>
      <c r="H683" t="n">
        <v>0</v>
      </c>
      <c r="I683" t="n">
        <v>0</v>
      </c>
      <c r="J683" t="n">
        <v>0</v>
      </c>
      <c r="K683" t="n">
        <v>0</v>
      </c>
      <c r="L683" t="n">
        <v>0</v>
      </c>
      <c r="M683" t="n">
        <v>0</v>
      </c>
      <c r="N683" t="n">
        <v>0</v>
      </c>
      <c r="O683" t="n">
        <v>0</v>
      </c>
      <c r="P683" t="n">
        <v>0</v>
      </c>
      <c r="Q683" t="n">
        <v>0</v>
      </c>
      <c r="R683" s="2" t="inlineStr"/>
    </row>
    <row r="684" ht="15" customHeight="1">
      <c r="A684" t="inlineStr">
        <is>
          <t>A 14340-2023</t>
        </is>
      </c>
      <c r="B684" s="1" t="n">
        <v>45012</v>
      </c>
      <c r="C684" s="1" t="n">
        <v>46199</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24342-2024</t>
        </is>
      </c>
      <c r="B685" s="1" t="n">
        <v>45457</v>
      </c>
      <c r="C685" s="1" t="n">
        <v>46199</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10220-2026</t>
        </is>
      </c>
      <c r="B686" s="1" t="n">
        <v>46076</v>
      </c>
      <c r="C686" s="1" t="n">
        <v>46199</v>
      </c>
      <c r="D686" t="inlineStr">
        <is>
          <t>VÄRMLANDS LÄN</t>
        </is>
      </c>
      <c r="E686" t="inlineStr">
        <is>
          <t>ÅRJÄNG</t>
        </is>
      </c>
      <c r="G686" t="n">
        <v>0.8</v>
      </c>
      <c r="H686" t="n">
        <v>0</v>
      </c>
      <c r="I686" t="n">
        <v>0</v>
      </c>
      <c r="J686" t="n">
        <v>0</v>
      </c>
      <c r="K686" t="n">
        <v>0</v>
      </c>
      <c r="L686" t="n">
        <v>0</v>
      </c>
      <c r="M686" t="n">
        <v>0</v>
      </c>
      <c r="N686" t="n">
        <v>0</v>
      </c>
      <c r="O686" t="n">
        <v>0</v>
      </c>
      <c r="P686" t="n">
        <v>0</v>
      </c>
      <c r="Q686" t="n">
        <v>0</v>
      </c>
      <c r="R686" s="2" t="inlineStr"/>
    </row>
    <row r="687" ht="15" customHeight="1">
      <c r="A687" t="inlineStr">
        <is>
          <t>A 53726-2021</t>
        </is>
      </c>
      <c r="B687" s="1" t="n">
        <v>44469</v>
      </c>
      <c r="C687" s="1" t="n">
        <v>46199</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9979-2026</t>
        </is>
      </c>
      <c r="B688" s="1" t="n">
        <v>46073</v>
      </c>
      <c r="C688" s="1" t="n">
        <v>46199</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10168-2026</t>
        </is>
      </c>
      <c r="B689" s="1" t="n">
        <v>46076</v>
      </c>
      <c r="C689" s="1" t="n">
        <v>46199</v>
      </c>
      <c r="D689" t="inlineStr">
        <is>
          <t>VÄRMLANDS LÄN</t>
        </is>
      </c>
      <c r="E689" t="inlineStr">
        <is>
          <t>ÅRJÄNG</t>
        </is>
      </c>
      <c r="G689" t="n">
        <v>1.1</v>
      </c>
      <c r="H689" t="n">
        <v>0</v>
      </c>
      <c r="I689" t="n">
        <v>0</v>
      </c>
      <c r="J689" t="n">
        <v>0</v>
      </c>
      <c r="K689" t="n">
        <v>0</v>
      </c>
      <c r="L689" t="n">
        <v>0</v>
      </c>
      <c r="M689" t="n">
        <v>0</v>
      </c>
      <c r="N689" t="n">
        <v>0</v>
      </c>
      <c r="O689" t="n">
        <v>0</v>
      </c>
      <c r="P689" t="n">
        <v>0</v>
      </c>
      <c r="Q689" t="n">
        <v>0</v>
      </c>
      <c r="R689" s="2" t="inlineStr"/>
    </row>
    <row r="690" ht="15" customHeight="1">
      <c r="A690" t="inlineStr">
        <is>
          <t>A 10215-2026</t>
        </is>
      </c>
      <c r="B690" s="1" t="n">
        <v>46076</v>
      </c>
      <c r="C690" s="1" t="n">
        <v>46199</v>
      </c>
      <c r="D690" t="inlineStr">
        <is>
          <t>VÄRMLANDS LÄN</t>
        </is>
      </c>
      <c r="E690" t="inlineStr">
        <is>
          <t>ÅRJÄNG</t>
        </is>
      </c>
      <c r="G690" t="n">
        <v>1.4</v>
      </c>
      <c r="H690" t="n">
        <v>0</v>
      </c>
      <c r="I690" t="n">
        <v>0</v>
      </c>
      <c r="J690" t="n">
        <v>0</v>
      </c>
      <c r="K690" t="n">
        <v>0</v>
      </c>
      <c r="L690" t="n">
        <v>0</v>
      </c>
      <c r="M690" t="n">
        <v>0</v>
      </c>
      <c r="N690" t="n">
        <v>0</v>
      </c>
      <c r="O690" t="n">
        <v>0</v>
      </c>
      <c r="P690" t="n">
        <v>0</v>
      </c>
      <c r="Q690" t="n">
        <v>0</v>
      </c>
      <c r="R690" s="2" t="inlineStr"/>
    </row>
    <row r="691" ht="15" customHeight="1">
      <c r="A691" t="inlineStr">
        <is>
          <t>A 10919-2026</t>
        </is>
      </c>
      <c r="B691" s="1" t="n">
        <v>46079</v>
      </c>
      <c r="C691" s="1" t="n">
        <v>46199</v>
      </c>
      <c r="D691" t="inlineStr">
        <is>
          <t>VÄRMLANDS LÄN</t>
        </is>
      </c>
      <c r="E691" t="inlineStr">
        <is>
          <t>ÅRJÄNG</t>
        </is>
      </c>
      <c r="G691" t="n">
        <v>0.9</v>
      </c>
      <c r="H691" t="n">
        <v>0</v>
      </c>
      <c r="I691" t="n">
        <v>0</v>
      </c>
      <c r="J691" t="n">
        <v>0</v>
      </c>
      <c r="K691" t="n">
        <v>0</v>
      </c>
      <c r="L691" t="n">
        <v>0</v>
      </c>
      <c r="M691" t="n">
        <v>0</v>
      </c>
      <c r="N691" t="n">
        <v>0</v>
      </c>
      <c r="O691" t="n">
        <v>0</v>
      </c>
      <c r="P691" t="n">
        <v>0</v>
      </c>
      <c r="Q691" t="n">
        <v>0</v>
      </c>
      <c r="R691" s="2" t="inlineStr"/>
    </row>
    <row r="692" ht="15" customHeight="1">
      <c r="A692" t="inlineStr">
        <is>
          <t>A 11052-2026</t>
        </is>
      </c>
      <c r="B692" s="1" t="n">
        <v>46079</v>
      </c>
      <c r="C692" s="1" t="n">
        <v>46199</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10884-2026</t>
        </is>
      </c>
      <c r="B693" s="1" t="n">
        <v>46078</v>
      </c>
      <c r="C693" s="1" t="n">
        <v>46199</v>
      </c>
      <c r="D693" t="inlineStr">
        <is>
          <t>VÄRMLANDS LÄN</t>
        </is>
      </c>
      <c r="E693" t="inlineStr">
        <is>
          <t>ÅRJÄNG</t>
        </is>
      </c>
      <c r="G693" t="n">
        <v>5</v>
      </c>
      <c r="H693" t="n">
        <v>0</v>
      </c>
      <c r="I693" t="n">
        <v>0</v>
      </c>
      <c r="J693" t="n">
        <v>0</v>
      </c>
      <c r="K693" t="n">
        <v>0</v>
      </c>
      <c r="L693" t="n">
        <v>0</v>
      </c>
      <c r="M693" t="n">
        <v>0</v>
      </c>
      <c r="N693" t="n">
        <v>0</v>
      </c>
      <c r="O693" t="n">
        <v>0</v>
      </c>
      <c r="P693" t="n">
        <v>0</v>
      </c>
      <c r="Q693" t="n">
        <v>0</v>
      </c>
      <c r="R693" s="2" t="inlineStr"/>
    </row>
    <row r="694" ht="15" customHeight="1">
      <c r="A694" t="inlineStr">
        <is>
          <t>A 10885-2026</t>
        </is>
      </c>
      <c r="B694" s="1" t="n">
        <v>46078</v>
      </c>
      <c r="C694" s="1" t="n">
        <v>46199</v>
      </c>
      <c r="D694" t="inlineStr">
        <is>
          <t>VÄRMLANDS LÄN</t>
        </is>
      </c>
      <c r="E694" t="inlineStr">
        <is>
          <t>ÅRJÄNG</t>
        </is>
      </c>
      <c r="G694" t="n">
        <v>3</v>
      </c>
      <c r="H694" t="n">
        <v>0</v>
      </c>
      <c r="I694" t="n">
        <v>0</v>
      </c>
      <c r="J694" t="n">
        <v>0</v>
      </c>
      <c r="K694" t="n">
        <v>0</v>
      </c>
      <c r="L694" t="n">
        <v>0</v>
      </c>
      <c r="M694" t="n">
        <v>0</v>
      </c>
      <c r="N694" t="n">
        <v>0</v>
      </c>
      <c r="O694" t="n">
        <v>0</v>
      </c>
      <c r="P694" t="n">
        <v>0</v>
      </c>
      <c r="Q694" t="n">
        <v>0</v>
      </c>
      <c r="R694" s="2" t="inlineStr"/>
    </row>
    <row r="695" ht="15" customHeight="1">
      <c r="A695" t="inlineStr">
        <is>
          <t>A 13157-2024</t>
        </is>
      </c>
      <c r="B695" s="1" t="n">
        <v>45386</v>
      </c>
      <c r="C695" s="1" t="n">
        <v>46199</v>
      </c>
      <c r="D695" t="inlineStr">
        <is>
          <t>VÄRMLANDS LÄN</t>
        </is>
      </c>
      <c r="E695" t="inlineStr">
        <is>
          <t>ÅRJÄNG</t>
        </is>
      </c>
      <c r="G695" t="n">
        <v>1.8</v>
      </c>
      <c r="H695" t="n">
        <v>0</v>
      </c>
      <c r="I695" t="n">
        <v>0</v>
      </c>
      <c r="J695" t="n">
        <v>0</v>
      </c>
      <c r="K695" t="n">
        <v>0</v>
      </c>
      <c r="L695" t="n">
        <v>0</v>
      </c>
      <c r="M695" t="n">
        <v>0</v>
      </c>
      <c r="N695" t="n">
        <v>0</v>
      </c>
      <c r="O695" t="n">
        <v>0</v>
      </c>
      <c r="P695" t="n">
        <v>0</v>
      </c>
      <c r="Q695" t="n">
        <v>0</v>
      </c>
      <c r="R695" s="2" t="inlineStr"/>
    </row>
    <row r="696" ht="15" customHeight="1">
      <c r="A696" t="inlineStr">
        <is>
          <t>A 32773-2024</t>
        </is>
      </c>
      <c r="B696" s="1" t="n">
        <v>45516</v>
      </c>
      <c r="C696" s="1" t="n">
        <v>46199</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11536-2026</t>
        </is>
      </c>
      <c r="B697" s="1" t="n">
        <v>46083</v>
      </c>
      <c r="C697" s="1" t="n">
        <v>46199</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11376-2026</t>
        </is>
      </c>
      <c r="B698" s="1" t="n">
        <v>46083</v>
      </c>
      <c r="C698" s="1" t="n">
        <v>46199</v>
      </c>
      <c r="D698" t="inlineStr">
        <is>
          <t>VÄRMLANDS LÄN</t>
        </is>
      </c>
      <c r="E698" t="inlineStr">
        <is>
          <t>ÅRJÄNG</t>
        </is>
      </c>
      <c r="G698" t="n">
        <v>7.4</v>
      </c>
      <c r="H698" t="n">
        <v>0</v>
      </c>
      <c r="I698" t="n">
        <v>0</v>
      </c>
      <c r="J698" t="n">
        <v>0</v>
      </c>
      <c r="K698" t="n">
        <v>0</v>
      </c>
      <c r="L698" t="n">
        <v>0</v>
      </c>
      <c r="M698" t="n">
        <v>0</v>
      </c>
      <c r="N698" t="n">
        <v>0</v>
      </c>
      <c r="O698" t="n">
        <v>0</v>
      </c>
      <c r="P698" t="n">
        <v>0</v>
      </c>
      <c r="Q698" t="n">
        <v>0</v>
      </c>
      <c r="R698" s="2" t="inlineStr"/>
    </row>
    <row r="699" ht="15" customHeight="1">
      <c r="A699" t="inlineStr">
        <is>
          <t>A 11874-2025</t>
        </is>
      </c>
      <c r="B699" s="1" t="n">
        <v>45728</v>
      </c>
      <c r="C699" s="1" t="n">
        <v>46199</v>
      </c>
      <c r="D699" t="inlineStr">
        <is>
          <t>VÄRMLANDS LÄN</t>
        </is>
      </c>
      <c r="E699" t="inlineStr">
        <is>
          <t>ÅRJÄNG</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15949-2025</t>
        </is>
      </c>
      <c r="B700" s="1" t="n">
        <v>45749</v>
      </c>
      <c r="C700" s="1" t="n">
        <v>46199</v>
      </c>
      <c r="D700" t="inlineStr">
        <is>
          <t>VÄRMLANDS LÄN</t>
        </is>
      </c>
      <c r="E700" t="inlineStr">
        <is>
          <t>ÅRJÄNG</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8246-2025</t>
        </is>
      </c>
      <c r="B701" s="1" t="n">
        <v>45708</v>
      </c>
      <c r="C701" s="1" t="n">
        <v>46199</v>
      </c>
      <c r="D701" t="inlineStr">
        <is>
          <t>VÄRMLANDS LÄN</t>
        </is>
      </c>
      <c r="E701" t="inlineStr">
        <is>
          <t>ÅRJÄNG</t>
        </is>
      </c>
      <c r="G701" t="n">
        <v>1.1</v>
      </c>
      <c r="H701" t="n">
        <v>0</v>
      </c>
      <c r="I701" t="n">
        <v>0</v>
      </c>
      <c r="J701" t="n">
        <v>0</v>
      </c>
      <c r="K701" t="n">
        <v>0</v>
      </c>
      <c r="L701" t="n">
        <v>0</v>
      </c>
      <c r="M701" t="n">
        <v>0</v>
      </c>
      <c r="N701" t="n">
        <v>0</v>
      </c>
      <c r="O701" t="n">
        <v>0</v>
      </c>
      <c r="P701" t="n">
        <v>0</v>
      </c>
      <c r="Q701" t="n">
        <v>0</v>
      </c>
      <c r="R701" s="2" t="inlineStr"/>
    </row>
    <row r="702" ht="15" customHeight="1">
      <c r="A702" t="inlineStr">
        <is>
          <t>A 35726-2022</t>
        </is>
      </c>
      <c r="B702" s="1" t="n">
        <v>44799</v>
      </c>
      <c r="C702" s="1" t="n">
        <v>46199</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60000-2024</t>
        </is>
      </c>
      <c r="B703" s="1" t="n">
        <v>45642</v>
      </c>
      <c r="C703" s="1" t="n">
        <v>46199</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11625-2026</t>
        </is>
      </c>
      <c r="B704" s="1" t="n">
        <v>46084</v>
      </c>
      <c r="C704" s="1" t="n">
        <v>46199</v>
      </c>
      <c r="D704" t="inlineStr">
        <is>
          <t>VÄRMLANDS LÄN</t>
        </is>
      </c>
      <c r="E704" t="inlineStr">
        <is>
          <t>ÅRJÄNG</t>
        </is>
      </c>
      <c r="G704" t="n">
        <v>3.9</v>
      </c>
      <c r="H704" t="n">
        <v>0</v>
      </c>
      <c r="I704" t="n">
        <v>0</v>
      </c>
      <c r="J704" t="n">
        <v>0</v>
      </c>
      <c r="K704" t="n">
        <v>0</v>
      </c>
      <c r="L704" t="n">
        <v>0</v>
      </c>
      <c r="M704" t="n">
        <v>0</v>
      </c>
      <c r="N704" t="n">
        <v>0</v>
      </c>
      <c r="O704" t="n">
        <v>0</v>
      </c>
      <c r="P704" t="n">
        <v>0</v>
      </c>
      <c r="Q704" t="n">
        <v>0</v>
      </c>
      <c r="R704" s="2" t="inlineStr"/>
    </row>
    <row r="705" ht="15" customHeight="1">
      <c r="A705" t="inlineStr">
        <is>
          <t>A 11953-2026</t>
        </is>
      </c>
      <c r="B705" s="1" t="n">
        <v>46085</v>
      </c>
      <c r="C705" s="1" t="n">
        <v>46199</v>
      </c>
      <c r="D705" t="inlineStr">
        <is>
          <t>VÄRMLANDS LÄN</t>
        </is>
      </c>
      <c r="E705" t="inlineStr">
        <is>
          <t>ÅRJÄNG</t>
        </is>
      </c>
      <c r="G705" t="n">
        <v>3.8</v>
      </c>
      <c r="H705" t="n">
        <v>0</v>
      </c>
      <c r="I705" t="n">
        <v>0</v>
      </c>
      <c r="J705" t="n">
        <v>0</v>
      </c>
      <c r="K705" t="n">
        <v>0</v>
      </c>
      <c r="L705" t="n">
        <v>0</v>
      </c>
      <c r="M705" t="n">
        <v>0</v>
      </c>
      <c r="N705" t="n">
        <v>0</v>
      </c>
      <c r="O705" t="n">
        <v>0</v>
      </c>
      <c r="P705" t="n">
        <v>0</v>
      </c>
      <c r="Q705" t="n">
        <v>0</v>
      </c>
      <c r="R705" s="2" t="inlineStr"/>
    </row>
    <row r="706" ht="15" customHeight="1">
      <c r="A706" t="inlineStr">
        <is>
          <t>A 11623-2026</t>
        </is>
      </c>
      <c r="B706" s="1" t="n">
        <v>46084</v>
      </c>
      <c r="C706" s="1" t="n">
        <v>46199</v>
      </c>
      <c r="D706" t="inlineStr">
        <is>
          <t>VÄRMLANDS LÄN</t>
        </is>
      </c>
      <c r="E706" t="inlineStr">
        <is>
          <t>ÅRJÄNG</t>
        </is>
      </c>
      <c r="G706" t="n">
        <v>2.7</v>
      </c>
      <c r="H706" t="n">
        <v>0</v>
      </c>
      <c r="I706" t="n">
        <v>0</v>
      </c>
      <c r="J706" t="n">
        <v>0</v>
      </c>
      <c r="K706" t="n">
        <v>0</v>
      </c>
      <c r="L706" t="n">
        <v>0</v>
      </c>
      <c r="M706" t="n">
        <v>0</v>
      </c>
      <c r="N706" t="n">
        <v>0</v>
      </c>
      <c r="O706" t="n">
        <v>0</v>
      </c>
      <c r="P706" t="n">
        <v>0</v>
      </c>
      <c r="Q706" t="n">
        <v>0</v>
      </c>
      <c r="R706" s="2" t="inlineStr"/>
    </row>
    <row r="707" ht="15" customHeight="1">
      <c r="A707" t="inlineStr">
        <is>
          <t>A 11921-2026</t>
        </is>
      </c>
      <c r="B707" s="1" t="n">
        <v>46085</v>
      </c>
      <c r="C707" s="1" t="n">
        <v>46199</v>
      </c>
      <c r="D707" t="inlineStr">
        <is>
          <t>VÄRMLANDS LÄN</t>
        </is>
      </c>
      <c r="E707" t="inlineStr">
        <is>
          <t>ÅRJÄNG</t>
        </is>
      </c>
      <c r="G707" t="n">
        <v>3.6</v>
      </c>
      <c r="H707" t="n">
        <v>0</v>
      </c>
      <c r="I707" t="n">
        <v>0</v>
      </c>
      <c r="J707" t="n">
        <v>0</v>
      </c>
      <c r="K707" t="n">
        <v>0</v>
      </c>
      <c r="L707" t="n">
        <v>0</v>
      </c>
      <c r="M707" t="n">
        <v>0</v>
      </c>
      <c r="N707" t="n">
        <v>0</v>
      </c>
      <c r="O707" t="n">
        <v>0</v>
      </c>
      <c r="P707" t="n">
        <v>0</v>
      </c>
      <c r="Q707" t="n">
        <v>0</v>
      </c>
      <c r="R707" s="2" t="inlineStr"/>
    </row>
    <row r="708" ht="15" customHeight="1">
      <c r="A708" t="inlineStr">
        <is>
          <t>A 11958-2026</t>
        </is>
      </c>
      <c r="B708" s="1" t="n">
        <v>46085</v>
      </c>
      <c r="C708" s="1" t="n">
        <v>46199</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11962-2026</t>
        </is>
      </c>
      <c r="B709" s="1" t="n">
        <v>46085</v>
      </c>
      <c r="C709" s="1" t="n">
        <v>46199</v>
      </c>
      <c r="D709" t="inlineStr">
        <is>
          <t>VÄRMLANDS LÄN</t>
        </is>
      </c>
      <c r="E709" t="inlineStr">
        <is>
          <t>ÅRJÄNG</t>
        </is>
      </c>
      <c r="G709" t="n">
        <v>6</v>
      </c>
      <c r="H709" t="n">
        <v>0</v>
      </c>
      <c r="I709" t="n">
        <v>0</v>
      </c>
      <c r="J709" t="n">
        <v>0</v>
      </c>
      <c r="K709" t="n">
        <v>0</v>
      </c>
      <c r="L709" t="n">
        <v>0</v>
      </c>
      <c r="M709" t="n">
        <v>0</v>
      </c>
      <c r="N709" t="n">
        <v>0</v>
      </c>
      <c r="O709" t="n">
        <v>0</v>
      </c>
      <c r="P709" t="n">
        <v>0</v>
      </c>
      <c r="Q709" t="n">
        <v>0</v>
      </c>
      <c r="R709" s="2" t="inlineStr"/>
    </row>
    <row r="710" ht="15" customHeight="1">
      <c r="A710" t="inlineStr">
        <is>
          <t>A 61119-2024</t>
        </is>
      </c>
      <c r="B710" s="1" t="n">
        <v>45645</v>
      </c>
      <c r="C710" s="1" t="n">
        <v>46199</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28382-2022</t>
        </is>
      </c>
      <c r="B711" s="1" t="n">
        <v>44747</v>
      </c>
      <c r="C711" s="1" t="n">
        <v>46199</v>
      </c>
      <c r="D711" t="inlineStr">
        <is>
          <t>VÄRMLANDS LÄN</t>
        </is>
      </c>
      <c r="E711" t="inlineStr">
        <is>
          <t>ÅRJÄNG</t>
        </is>
      </c>
      <c r="F711" t="inlineStr">
        <is>
          <t>Naturvårdsverket</t>
        </is>
      </c>
      <c r="G711" t="n">
        <v>1</v>
      </c>
      <c r="H711" t="n">
        <v>0</v>
      </c>
      <c r="I711" t="n">
        <v>0</v>
      </c>
      <c r="J711" t="n">
        <v>0</v>
      </c>
      <c r="K711" t="n">
        <v>0</v>
      </c>
      <c r="L711" t="n">
        <v>0</v>
      </c>
      <c r="M711" t="n">
        <v>0</v>
      </c>
      <c r="N711" t="n">
        <v>0</v>
      </c>
      <c r="O711" t="n">
        <v>0</v>
      </c>
      <c r="P711" t="n">
        <v>0</v>
      </c>
      <c r="Q711" t="n">
        <v>0</v>
      </c>
      <c r="R711" s="2" t="inlineStr"/>
    </row>
    <row r="712" ht="15" customHeight="1">
      <c r="A712" t="inlineStr">
        <is>
          <t>A 28439-2022</t>
        </is>
      </c>
      <c r="B712" s="1" t="n">
        <v>44747</v>
      </c>
      <c r="C712" s="1" t="n">
        <v>46199</v>
      </c>
      <c r="D712" t="inlineStr">
        <is>
          <t>VÄRMLANDS LÄN</t>
        </is>
      </c>
      <c r="E712" t="inlineStr">
        <is>
          <t>ÅRJÄNG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12603-2026</t>
        </is>
      </c>
      <c r="B713" s="1" t="n">
        <v>46091</v>
      </c>
      <c r="C713" s="1" t="n">
        <v>46199</v>
      </c>
      <c r="D713" t="inlineStr">
        <is>
          <t>VÄRMLANDS LÄN</t>
        </is>
      </c>
      <c r="E713" t="inlineStr">
        <is>
          <t>ÅRJÄNG</t>
        </is>
      </c>
      <c r="G713" t="n">
        <v>1.8</v>
      </c>
      <c r="H713" t="n">
        <v>0</v>
      </c>
      <c r="I713" t="n">
        <v>0</v>
      </c>
      <c r="J713" t="n">
        <v>0</v>
      </c>
      <c r="K713" t="n">
        <v>0</v>
      </c>
      <c r="L713" t="n">
        <v>0</v>
      </c>
      <c r="M713" t="n">
        <v>0</v>
      </c>
      <c r="N713" t="n">
        <v>0</v>
      </c>
      <c r="O713" t="n">
        <v>0</v>
      </c>
      <c r="P713" t="n">
        <v>0</v>
      </c>
      <c r="Q713" t="n">
        <v>0</v>
      </c>
      <c r="R713" s="2" t="inlineStr"/>
    </row>
    <row r="714" ht="15" customHeight="1">
      <c r="A714" t="inlineStr">
        <is>
          <t>A 12667-2026</t>
        </is>
      </c>
      <c r="B714" s="1" t="n">
        <v>46091</v>
      </c>
      <c r="C714" s="1" t="n">
        <v>46199</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12600-2026</t>
        </is>
      </c>
      <c r="B715" s="1" t="n">
        <v>46091</v>
      </c>
      <c r="C715" s="1" t="n">
        <v>46199</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12737-2026</t>
        </is>
      </c>
      <c r="B716" s="1" t="n">
        <v>46091</v>
      </c>
      <c r="C716" s="1" t="n">
        <v>46199</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12898-2026</t>
        </is>
      </c>
      <c r="B717" s="1" t="n">
        <v>46092</v>
      </c>
      <c r="C717" s="1" t="n">
        <v>46199</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34803-2021</t>
        </is>
      </c>
      <c r="B718" s="1" t="n">
        <v>44383</v>
      </c>
      <c r="C718" s="1" t="n">
        <v>46199</v>
      </c>
      <c r="D718" t="inlineStr">
        <is>
          <t>VÄRMLANDS LÄN</t>
        </is>
      </c>
      <c r="E718" t="inlineStr">
        <is>
          <t>ÅRJÄNG</t>
        </is>
      </c>
      <c r="G718" t="n">
        <v>0.7</v>
      </c>
      <c r="H718" t="n">
        <v>0</v>
      </c>
      <c r="I718" t="n">
        <v>0</v>
      </c>
      <c r="J718" t="n">
        <v>0</v>
      </c>
      <c r="K718" t="n">
        <v>0</v>
      </c>
      <c r="L718" t="n">
        <v>0</v>
      </c>
      <c r="M718" t="n">
        <v>0</v>
      </c>
      <c r="N718" t="n">
        <v>0</v>
      </c>
      <c r="O718" t="n">
        <v>0</v>
      </c>
      <c r="P718" t="n">
        <v>0</v>
      </c>
      <c r="Q718" t="n">
        <v>0</v>
      </c>
      <c r="R718" s="2" t="inlineStr"/>
    </row>
    <row r="719" ht="15" customHeight="1">
      <c r="A719" t="inlineStr">
        <is>
          <t>A 10180-2023</t>
        </is>
      </c>
      <c r="B719" s="1" t="n">
        <v>44986</v>
      </c>
      <c r="C719" s="1" t="n">
        <v>46199</v>
      </c>
      <c r="D719" t="inlineStr">
        <is>
          <t>VÄRMLANDS LÄN</t>
        </is>
      </c>
      <c r="E719" t="inlineStr">
        <is>
          <t>ÅRJÄNG</t>
        </is>
      </c>
      <c r="G719" t="n">
        <v>4.6</v>
      </c>
      <c r="H719" t="n">
        <v>0</v>
      </c>
      <c r="I719" t="n">
        <v>0</v>
      </c>
      <c r="J719" t="n">
        <v>0</v>
      </c>
      <c r="K719" t="n">
        <v>0</v>
      </c>
      <c r="L719" t="n">
        <v>0</v>
      </c>
      <c r="M719" t="n">
        <v>0</v>
      </c>
      <c r="N719" t="n">
        <v>0</v>
      </c>
      <c r="O719" t="n">
        <v>0</v>
      </c>
      <c r="P719" t="n">
        <v>0</v>
      </c>
      <c r="Q719" t="n">
        <v>0</v>
      </c>
      <c r="R719" s="2" t="inlineStr"/>
    </row>
    <row r="720" ht="15" customHeight="1">
      <c r="A720" t="inlineStr">
        <is>
          <t>A 69862-2021</t>
        </is>
      </c>
      <c r="B720" s="1" t="n">
        <v>44532</v>
      </c>
      <c r="C720" s="1" t="n">
        <v>46199</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29558-2024</t>
        </is>
      </c>
      <c r="B721" s="1" t="n">
        <v>45484</v>
      </c>
      <c r="C721" s="1" t="n">
        <v>46199</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23754-2024</t>
        </is>
      </c>
      <c r="B722" s="1" t="n">
        <v>45455</v>
      </c>
      <c r="C722" s="1" t="n">
        <v>46199</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99-2025</t>
        </is>
      </c>
      <c r="B723" s="1" t="n">
        <v>45649</v>
      </c>
      <c r="C723" s="1" t="n">
        <v>46199</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40465-2023</t>
        </is>
      </c>
      <c r="B724" s="1" t="n">
        <v>45170</v>
      </c>
      <c r="C724" s="1" t="n">
        <v>46199</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40366-2022</t>
        </is>
      </c>
      <c r="B725" s="1" t="n">
        <v>44823</v>
      </c>
      <c r="C725" s="1" t="n">
        <v>46199</v>
      </c>
      <c r="D725" t="inlineStr">
        <is>
          <t>VÄRMLANDS LÄN</t>
        </is>
      </c>
      <c r="E725" t="inlineStr">
        <is>
          <t>ÅRJÄNG</t>
        </is>
      </c>
      <c r="G725" t="n">
        <v>3.2</v>
      </c>
      <c r="H725" t="n">
        <v>0</v>
      </c>
      <c r="I725" t="n">
        <v>0</v>
      </c>
      <c r="J725" t="n">
        <v>0</v>
      </c>
      <c r="K725" t="n">
        <v>0</v>
      </c>
      <c r="L725" t="n">
        <v>0</v>
      </c>
      <c r="M725" t="n">
        <v>0</v>
      </c>
      <c r="N725" t="n">
        <v>0</v>
      </c>
      <c r="O725" t="n">
        <v>0</v>
      </c>
      <c r="P725" t="n">
        <v>0</v>
      </c>
      <c r="Q725" t="n">
        <v>0</v>
      </c>
      <c r="R725" s="2" t="inlineStr"/>
    </row>
    <row r="726" ht="15" customHeight="1">
      <c r="A726" t="inlineStr">
        <is>
          <t>A 1279-2025</t>
        </is>
      </c>
      <c r="B726" s="1" t="n">
        <v>45667</v>
      </c>
      <c r="C726" s="1" t="n">
        <v>46199</v>
      </c>
      <c r="D726" t="inlineStr">
        <is>
          <t>VÄRMLANDS LÄN</t>
        </is>
      </c>
      <c r="E726" t="inlineStr">
        <is>
          <t>ÅRJÄNG</t>
        </is>
      </c>
      <c r="G726" t="n">
        <v>2.6</v>
      </c>
      <c r="H726" t="n">
        <v>0</v>
      </c>
      <c r="I726" t="n">
        <v>0</v>
      </c>
      <c r="J726" t="n">
        <v>0</v>
      </c>
      <c r="K726" t="n">
        <v>0</v>
      </c>
      <c r="L726" t="n">
        <v>0</v>
      </c>
      <c r="M726" t="n">
        <v>0</v>
      </c>
      <c r="N726" t="n">
        <v>0</v>
      </c>
      <c r="O726" t="n">
        <v>0</v>
      </c>
      <c r="P726" t="n">
        <v>0</v>
      </c>
      <c r="Q726" t="n">
        <v>0</v>
      </c>
      <c r="R726" s="2" t="inlineStr"/>
    </row>
    <row r="727" ht="15" customHeight="1">
      <c r="A727" t="inlineStr">
        <is>
          <t>A 10873-2023</t>
        </is>
      </c>
      <c r="B727" s="1" t="n">
        <v>44991</v>
      </c>
      <c r="C727" s="1" t="n">
        <v>46199</v>
      </c>
      <c r="D727" t="inlineStr">
        <is>
          <t>VÄRMLANDS LÄN</t>
        </is>
      </c>
      <c r="E727" t="inlineStr">
        <is>
          <t>ÅRJÄNG</t>
        </is>
      </c>
      <c r="G727" t="n">
        <v>2</v>
      </c>
      <c r="H727" t="n">
        <v>0</v>
      </c>
      <c r="I727" t="n">
        <v>0</v>
      </c>
      <c r="J727" t="n">
        <v>0</v>
      </c>
      <c r="K727" t="n">
        <v>0</v>
      </c>
      <c r="L727" t="n">
        <v>0</v>
      </c>
      <c r="M727" t="n">
        <v>0</v>
      </c>
      <c r="N727" t="n">
        <v>0</v>
      </c>
      <c r="O727" t="n">
        <v>0</v>
      </c>
      <c r="P727" t="n">
        <v>0</v>
      </c>
      <c r="Q727" t="n">
        <v>0</v>
      </c>
      <c r="R727" s="2" t="inlineStr"/>
    </row>
    <row r="728" ht="15" customHeight="1">
      <c r="A728" t="inlineStr">
        <is>
          <t>A 13979-2026</t>
        </is>
      </c>
      <c r="B728" s="1" t="n">
        <v>46098</v>
      </c>
      <c r="C728" s="1" t="n">
        <v>46199</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35157-2021</t>
        </is>
      </c>
      <c r="B729" s="1" t="n">
        <v>44383</v>
      </c>
      <c r="C729" s="1" t="n">
        <v>46199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21706-2024</t>
        </is>
      </c>
      <c r="B730" s="1" t="n">
        <v>45442</v>
      </c>
      <c r="C730" s="1" t="n">
        <v>46199</v>
      </c>
      <c r="D730" t="inlineStr">
        <is>
          <t>VÄRMLANDS LÄN</t>
        </is>
      </c>
      <c r="E730" t="inlineStr">
        <is>
          <t>ÅRJÄNG</t>
        </is>
      </c>
      <c r="G730" t="n">
        <v>10.4</v>
      </c>
      <c r="H730" t="n">
        <v>0</v>
      </c>
      <c r="I730" t="n">
        <v>0</v>
      </c>
      <c r="J730" t="n">
        <v>0</v>
      </c>
      <c r="K730" t="n">
        <v>0</v>
      </c>
      <c r="L730" t="n">
        <v>0</v>
      </c>
      <c r="M730" t="n">
        <v>0</v>
      </c>
      <c r="N730" t="n">
        <v>0</v>
      </c>
      <c r="O730" t="n">
        <v>0</v>
      </c>
      <c r="P730" t="n">
        <v>0</v>
      </c>
      <c r="Q730" t="n">
        <v>0</v>
      </c>
      <c r="R730" s="2" t="inlineStr"/>
    </row>
    <row r="731" ht="15" customHeight="1">
      <c r="A731" t="inlineStr">
        <is>
          <t>A 43040-2023</t>
        </is>
      </c>
      <c r="B731" s="1" t="n">
        <v>45182</v>
      </c>
      <c r="C731" s="1" t="n">
        <v>46199</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10510-2023</t>
        </is>
      </c>
      <c r="B732" s="1" t="n">
        <v>44987</v>
      </c>
      <c r="C732" s="1" t="n">
        <v>46199</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3458-2025</t>
        </is>
      </c>
      <c r="B733" s="1" t="n">
        <v>45680</v>
      </c>
      <c r="C733" s="1" t="n">
        <v>46199</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3479-2025</t>
        </is>
      </c>
      <c r="B734" s="1" t="n">
        <v>45680</v>
      </c>
      <c r="C734" s="1" t="n">
        <v>46199</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10574-2023</t>
        </is>
      </c>
      <c r="B735" s="1" t="n">
        <v>44984</v>
      </c>
      <c r="C735" s="1" t="n">
        <v>46199</v>
      </c>
      <c r="D735" t="inlineStr">
        <is>
          <t>VÄRMLANDS LÄN</t>
        </is>
      </c>
      <c r="E735" t="inlineStr">
        <is>
          <t>ÅRJÄNG</t>
        </is>
      </c>
      <c r="G735" t="n">
        <v>1.7</v>
      </c>
      <c r="H735" t="n">
        <v>0</v>
      </c>
      <c r="I735" t="n">
        <v>0</v>
      </c>
      <c r="J735" t="n">
        <v>0</v>
      </c>
      <c r="K735" t="n">
        <v>0</v>
      </c>
      <c r="L735" t="n">
        <v>0</v>
      </c>
      <c r="M735" t="n">
        <v>0</v>
      </c>
      <c r="N735" t="n">
        <v>0</v>
      </c>
      <c r="O735" t="n">
        <v>0</v>
      </c>
      <c r="P735" t="n">
        <v>0</v>
      </c>
      <c r="Q735" t="n">
        <v>0</v>
      </c>
      <c r="R735" s="2" t="inlineStr"/>
    </row>
    <row r="736" ht="15" customHeight="1">
      <c r="A736" t="inlineStr">
        <is>
          <t>A 62901-2021</t>
        </is>
      </c>
      <c r="B736" s="1" t="n">
        <v>44504</v>
      </c>
      <c r="C736" s="1" t="n">
        <v>46199</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33831-2023</t>
        </is>
      </c>
      <c r="B737" s="1" t="n">
        <v>45121</v>
      </c>
      <c r="C737" s="1" t="n">
        <v>46199</v>
      </c>
      <c r="D737" t="inlineStr">
        <is>
          <t>VÄRMLANDS LÄN</t>
        </is>
      </c>
      <c r="E737" t="inlineStr">
        <is>
          <t>ÅRJÄNG</t>
        </is>
      </c>
      <c r="G737" t="n">
        <v>2.3</v>
      </c>
      <c r="H737" t="n">
        <v>0</v>
      </c>
      <c r="I737" t="n">
        <v>0</v>
      </c>
      <c r="J737" t="n">
        <v>0</v>
      </c>
      <c r="K737" t="n">
        <v>0</v>
      </c>
      <c r="L737" t="n">
        <v>0</v>
      </c>
      <c r="M737" t="n">
        <v>0</v>
      </c>
      <c r="N737" t="n">
        <v>0</v>
      </c>
      <c r="O737" t="n">
        <v>0</v>
      </c>
      <c r="P737" t="n">
        <v>0</v>
      </c>
      <c r="Q737" t="n">
        <v>0</v>
      </c>
      <c r="R737" s="2" t="inlineStr"/>
    </row>
    <row r="738" ht="15" customHeight="1">
      <c r="A738" t="inlineStr">
        <is>
          <t>A 29603-2024</t>
        </is>
      </c>
      <c r="B738" s="1" t="n">
        <v>45484</v>
      </c>
      <c r="C738" s="1" t="n">
        <v>46199</v>
      </c>
      <c r="D738" t="inlineStr">
        <is>
          <t>VÄRMLANDS LÄN</t>
        </is>
      </c>
      <c r="E738" t="inlineStr">
        <is>
          <t>ÅRJÄNG</t>
        </is>
      </c>
      <c r="G738" t="n">
        <v>7.5</v>
      </c>
      <c r="H738" t="n">
        <v>0</v>
      </c>
      <c r="I738" t="n">
        <v>0</v>
      </c>
      <c r="J738" t="n">
        <v>0</v>
      </c>
      <c r="K738" t="n">
        <v>0</v>
      </c>
      <c r="L738" t="n">
        <v>0</v>
      </c>
      <c r="M738" t="n">
        <v>0</v>
      </c>
      <c r="N738" t="n">
        <v>0</v>
      </c>
      <c r="O738" t="n">
        <v>0</v>
      </c>
      <c r="P738" t="n">
        <v>0</v>
      </c>
      <c r="Q738" t="n">
        <v>0</v>
      </c>
      <c r="R738" s="2" t="inlineStr"/>
    </row>
    <row r="739" ht="15" customHeight="1">
      <c r="A739" t="inlineStr">
        <is>
          <t>A 15212-2026</t>
        </is>
      </c>
      <c r="B739" s="1" t="n">
        <v>46105</v>
      </c>
      <c r="C739" s="1" t="n">
        <v>46199</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15546-2025</t>
        </is>
      </c>
      <c r="B740" s="1" t="n">
        <v>45747</v>
      </c>
      <c r="C740" s="1" t="n">
        <v>46199</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52278-2023</t>
        </is>
      </c>
      <c r="B741" s="1" t="n">
        <v>45224</v>
      </c>
      <c r="C741" s="1" t="n">
        <v>46199</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48130-2023</t>
        </is>
      </c>
      <c r="B742" s="1" t="n">
        <v>45201</v>
      </c>
      <c r="C742" s="1" t="n">
        <v>46199</v>
      </c>
      <c r="D742" t="inlineStr">
        <is>
          <t>VÄRMLANDS LÄN</t>
        </is>
      </c>
      <c r="E742" t="inlineStr">
        <is>
          <t>ÅRJÄNG</t>
        </is>
      </c>
      <c r="G742" t="n">
        <v>3</v>
      </c>
      <c r="H742" t="n">
        <v>0</v>
      </c>
      <c r="I742" t="n">
        <v>0</v>
      </c>
      <c r="J742" t="n">
        <v>0</v>
      </c>
      <c r="K742" t="n">
        <v>0</v>
      </c>
      <c r="L742" t="n">
        <v>0</v>
      </c>
      <c r="M742" t="n">
        <v>0</v>
      </c>
      <c r="N742" t="n">
        <v>0</v>
      </c>
      <c r="O742" t="n">
        <v>0</v>
      </c>
      <c r="P742" t="n">
        <v>0</v>
      </c>
      <c r="Q742" t="n">
        <v>0</v>
      </c>
      <c r="R742" s="2" t="inlineStr"/>
    </row>
    <row r="743" ht="15" customHeight="1">
      <c r="A743" t="inlineStr">
        <is>
          <t>A 8918-2025</t>
        </is>
      </c>
      <c r="B743" s="1" t="n">
        <v>45713</v>
      </c>
      <c r="C743" s="1" t="n">
        <v>46199</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36641-2021</t>
        </is>
      </c>
      <c r="B744" s="1" t="n">
        <v>44392</v>
      </c>
      <c r="C744" s="1" t="n">
        <v>46199</v>
      </c>
      <c r="D744" t="inlineStr">
        <is>
          <t>VÄRMLANDS LÄN</t>
        </is>
      </c>
      <c r="E744" t="inlineStr">
        <is>
          <t>ÅRJÄNG</t>
        </is>
      </c>
      <c r="G744" t="n">
        <v>1.5</v>
      </c>
      <c r="H744" t="n">
        <v>0</v>
      </c>
      <c r="I744" t="n">
        <v>0</v>
      </c>
      <c r="J744" t="n">
        <v>0</v>
      </c>
      <c r="K744" t="n">
        <v>0</v>
      </c>
      <c r="L744" t="n">
        <v>0</v>
      </c>
      <c r="M744" t="n">
        <v>0</v>
      </c>
      <c r="N744" t="n">
        <v>0</v>
      </c>
      <c r="O744" t="n">
        <v>0</v>
      </c>
      <c r="P744" t="n">
        <v>0</v>
      </c>
      <c r="Q744" t="n">
        <v>0</v>
      </c>
      <c r="R744" s="2" t="inlineStr"/>
    </row>
    <row r="745" ht="15" customHeight="1">
      <c r="A745" t="inlineStr">
        <is>
          <t>A 42576-2021</t>
        </is>
      </c>
      <c r="B745" s="1" t="n">
        <v>44428</v>
      </c>
      <c r="C745" s="1" t="n">
        <v>46199</v>
      </c>
      <c r="D745" t="inlineStr">
        <is>
          <t>VÄRMLANDS LÄN</t>
        </is>
      </c>
      <c r="E745" t="inlineStr">
        <is>
          <t>ÅRJÄNG</t>
        </is>
      </c>
      <c r="G745" t="n">
        <v>1.7</v>
      </c>
      <c r="H745" t="n">
        <v>0</v>
      </c>
      <c r="I745" t="n">
        <v>0</v>
      </c>
      <c r="J745" t="n">
        <v>0</v>
      </c>
      <c r="K745" t="n">
        <v>0</v>
      </c>
      <c r="L745" t="n">
        <v>0</v>
      </c>
      <c r="M745" t="n">
        <v>0</v>
      </c>
      <c r="N745" t="n">
        <v>0</v>
      </c>
      <c r="O745" t="n">
        <v>0</v>
      </c>
      <c r="P745" t="n">
        <v>0</v>
      </c>
      <c r="Q745" t="n">
        <v>0</v>
      </c>
      <c r="R745" s="2" t="inlineStr"/>
    </row>
    <row r="746" ht="15" customHeight="1">
      <c r="A746" t="inlineStr">
        <is>
          <t>A 33525-2022</t>
        </is>
      </c>
      <c r="B746" s="1" t="n">
        <v>44789</v>
      </c>
      <c r="C746" s="1" t="n">
        <v>46199</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15576-2026</t>
        </is>
      </c>
      <c r="B747" s="1" t="n">
        <v>46106</v>
      </c>
      <c r="C747" s="1" t="n">
        <v>46199</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4763-2023</t>
        </is>
      </c>
      <c r="B748" s="1" t="n">
        <v>44957</v>
      </c>
      <c r="C748" s="1" t="n">
        <v>46199</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7877-2025</t>
        </is>
      </c>
      <c r="B749" s="1" t="n">
        <v>45706</v>
      </c>
      <c r="C749" s="1" t="n">
        <v>46199</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19242-2025</t>
        </is>
      </c>
      <c r="B750" s="1" t="n">
        <v>45769</v>
      </c>
      <c r="C750" s="1" t="n">
        <v>46199</v>
      </c>
      <c r="D750" t="inlineStr">
        <is>
          <t>VÄRMLANDS LÄN</t>
        </is>
      </c>
      <c r="E750" t="inlineStr">
        <is>
          <t>ÅRJÄNG</t>
        </is>
      </c>
      <c r="G750" t="n">
        <v>17.5</v>
      </c>
      <c r="H750" t="n">
        <v>0</v>
      </c>
      <c r="I750" t="n">
        <v>0</v>
      </c>
      <c r="J750" t="n">
        <v>0</v>
      </c>
      <c r="K750" t="n">
        <v>0</v>
      </c>
      <c r="L750" t="n">
        <v>0</v>
      </c>
      <c r="M750" t="n">
        <v>0</v>
      </c>
      <c r="N750" t="n">
        <v>0</v>
      </c>
      <c r="O750" t="n">
        <v>0</v>
      </c>
      <c r="P750" t="n">
        <v>0</v>
      </c>
      <c r="Q750" t="n">
        <v>0</v>
      </c>
      <c r="R750" s="2" t="inlineStr"/>
    </row>
    <row r="751" ht="15" customHeight="1">
      <c r="A751" t="inlineStr">
        <is>
          <t>A 16977-2025</t>
        </is>
      </c>
      <c r="B751" s="1" t="n">
        <v>45755</v>
      </c>
      <c r="C751" s="1" t="n">
        <v>46199</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51493-2023</t>
        </is>
      </c>
      <c r="B752" s="1" t="n">
        <v>45215</v>
      </c>
      <c r="C752" s="1" t="n">
        <v>46199</v>
      </c>
      <c r="D752" t="inlineStr">
        <is>
          <t>VÄRMLANDS LÄN</t>
        </is>
      </c>
      <c r="E752" t="inlineStr">
        <is>
          <t>ÅRJÄNG</t>
        </is>
      </c>
      <c r="F752" t="inlineStr">
        <is>
          <t>Övriga Aktiebolag</t>
        </is>
      </c>
      <c r="G752" t="n">
        <v>9.1</v>
      </c>
      <c r="H752" t="n">
        <v>0</v>
      </c>
      <c r="I752" t="n">
        <v>0</v>
      </c>
      <c r="J752" t="n">
        <v>0</v>
      </c>
      <c r="K752" t="n">
        <v>0</v>
      </c>
      <c r="L752" t="n">
        <v>0</v>
      </c>
      <c r="M752" t="n">
        <v>0</v>
      </c>
      <c r="N752" t="n">
        <v>0</v>
      </c>
      <c r="O752" t="n">
        <v>0</v>
      </c>
      <c r="P752" t="n">
        <v>0</v>
      </c>
      <c r="Q752" t="n">
        <v>0</v>
      </c>
      <c r="R752" s="2" t="inlineStr"/>
    </row>
    <row r="753" ht="15" customHeight="1">
      <c r="A753" t="inlineStr">
        <is>
          <t>A 18309-2025</t>
        </is>
      </c>
      <c r="B753" s="1" t="n">
        <v>45762</v>
      </c>
      <c r="C753" s="1" t="n">
        <v>46199</v>
      </c>
      <c r="D753" t="inlineStr">
        <is>
          <t>VÄRMLANDS LÄN</t>
        </is>
      </c>
      <c r="E753" t="inlineStr">
        <is>
          <t>ÅRJÄNG</t>
        </is>
      </c>
      <c r="G753" t="n">
        <v>6.2</v>
      </c>
      <c r="H753" t="n">
        <v>0</v>
      </c>
      <c r="I753" t="n">
        <v>0</v>
      </c>
      <c r="J753" t="n">
        <v>0</v>
      </c>
      <c r="K753" t="n">
        <v>0</v>
      </c>
      <c r="L753" t="n">
        <v>0</v>
      </c>
      <c r="M753" t="n">
        <v>0</v>
      </c>
      <c r="N753" t="n">
        <v>0</v>
      </c>
      <c r="O753" t="n">
        <v>0</v>
      </c>
      <c r="P753" t="n">
        <v>0</v>
      </c>
      <c r="Q753" t="n">
        <v>0</v>
      </c>
      <c r="R753" s="2" t="inlineStr"/>
    </row>
    <row r="754" ht="15" customHeight="1">
      <c r="A754" t="inlineStr">
        <is>
          <t>A 17109-2026</t>
        </is>
      </c>
      <c r="B754" s="1" t="n">
        <v>46114</v>
      </c>
      <c r="C754" s="1" t="n">
        <v>46199</v>
      </c>
      <c r="D754" t="inlineStr">
        <is>
          <t>VÄRMLANDS LÄN</t>
        </is>
      </c>
      <c r="E754" t="inlineStr">
        <is>
          <t>ÅRJÄNG</t>
        </is>
      </c>
      <c r="G754" t="n">
        <v>2</v>
      </c>
      <c r="H754" t="n">
        <v>0</v>
      </c>
      <c r="I754" t="n">
        <v>0</v>
      </c>
      <c r="J754" t="n">
        <v>0</v>
      </c>
      <c r="K754" t="n">
        <v>0</v>
      </c>
      <c r="L754" t="n">
        <v>0</v>
      </c>
      <c r="M754" t="n">
        <v>0</v>
      </c>
      <c r="N754" t="n">
        <v>0</v>
      </c>
      <c r="O754" t="n">
        <v>0</v>
      </c>
      <c r="P754" t="n">
        <v>0</v>
      </c>
      <c r="Q754" t="n">
        <v>0</v>
      </c>
      <c r="R754" s="2" t="inlineStr"/>
    </row>
    <row r="755" ht="15" customHeight="1">
      <c r="A755" t="inlineStr">
        <is>
          <t>A 1717-2025</t>
        </is>
      </c>
      <c r="B755" s="1" t="n">
        <v>45671</v>
      </c>
      <c r="C755" s="1" t="n">
        <v>46199</v>
      </c>
      <c r="D755" t="inlineStr">
        <is>
          <t>VÄRMLANDS LÄN</t>
        </is>
      </c>
      <c r="E755" t="inlineStr">
        <is>
          <t>ÅRJÄNG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62240-2022</t>
        </is>
      </c>
      <c r="B756" s="1" t="n">
        <v>44922</v>
      </c>
      <c r="C756" s="1" t="n">
        <v>46199</v>
      </c>
      <c r="D756" t="inlineStr">
        <is>
          <t>VÄRMLANDS LÄN</t>
        </is>
      </c>
      <c r="E756" t="inlineStr">
        <is>
          <t>ÅRJÄNG</t>
        </is>
      </c>
      <c r="G756" t="n">
        <v>0.5</v>
      </c>
      <c r="H756" t="n">
        <v>0</v>
      </c>
      <c r="I756" t="n">
        <v>0</v>
      </c>
      <c r="J756" t="n">
        <v>0</v>
      </c>
      <c r="K756" t="n">
        <v>0</v>
      </c>
      <c r="L756" t="n">
        <v>0</v>
      </c>
      <c r="M756" t="n">
        <v>0</v>
      </c>
      <c r="N756" t="n">
        <v>0</v>
      </c>
      <c r="O756" t="n">
        <v>0</v>
      </c>
      <c r="P756" t="n">
        <v>0</v>
      </c>
      <c r="Q756" t="n">
        <v>0</v>
      </c>
      <c r="R756" s="2" t="inlineStr"/>
    </row>
    <row r="757" ht="15" customHeight="1">
      <c r="A757" t="inlineStr">
        <is>
          <t>A 17152-2026</t>
        </is>
      </c>
      <c r="B757" s="1" t="n">
        <v>46115</v>
      </c>
      <c r="C757" s="1" t="n">
        <v>46199</v>
      </c>
      <c r="D757" t="inlineStr">
        <is>
          <t>VÄRMLANDS LÄN</t>
        </is>
      </c>
      <c r="E757" t="inlineStr">
        <is>
          <t>ÅRJÄNG</t>
        </is>
      </c>
      <c r="G757" t="n">
        <v>1.3</v>
      </c>
      <c r="H757" t="n">
        <v>0</v>
      </c>
      <c r="I757" t="n">
        <v>0</v>
      </c>
      <c r="J757" t="n">
        <v>0</v>
      </c>
      <c r="K757" t="n">
        <v>0</v>
      </c>
      <c r="L757" t="n">
        <v>0</v>
      </c>
      <c r="M757" t="n">
        <v>0</v>
      </c>
      <c r="N757" t="n">
        <v>0</v>
      </c>
      <c r="O757" t="n">
        <v>0</v>
      </c>
      <c r="P757" t="n">
        <v>0</v>
      </c>
      <c r="Q757" t="n">
        <v>0</v>
      </c>
      <c r="R757" s="2" t="inlineStr"/>
    </row>
    <row r="758" ht="15" customHeight="1">
      <c r="A758" t="inlineStr">
        <is>
          <t>A 59746-2023</t>
        </is>
      </c>
      <c r="B758" s="1" t="n">
        <v>45254</v>
      </c>
      <c r="C758" s="1" t="n">
        <v>46199</v>
      </c>
      <c r="D758" t="inlineStr">
        <is>
          <t>VÄRMLANDS LÄN</t>
        </is>
      </c>
      <c r="E758" t="inlineStr">
        <is>
          <t>ÅRJÄNG</t>
        </is>
      </c>
      <c r="G758" t="n">
        <v>4.4</v>
      </c>
      <c r="H758" t="n">
        <v>0</v>
      </c>
      <c r="I758" t="n">
        <v>0</v>
      </c>
      <c r="J758" t="n">
        <v>0</v>
      </c>
      <c r="K758" t="n">
        <v>0</v>
      </c>
      <c r="L758" t="n">
        <v>0</v>
      </c>
      <c r="M758" t="n">
        <v>0</v>
      </c>
      <c r="N758" t="n">
        <v>0</v>
      </c>
      <c r="O758" t="n">
        <v>0</v>
      </c>
      <c r="P758" t="n">
        <v>0</v>
      </c>
      <c r="Q758" t="n">
        <v>0</v>
      </c>
      <c r="R758" s="2" t="inlineStr"/>
    </row>
    <row r="759" ht="15" customHeight="1">
      <c r="A759" t="inlineStr">
        <is>
          <t>A 55091-2023</t>
        </is>
      </c>
      <c r="B759" s="1" t="n">
        <v>45237</v>
      </c>
      <c r="C759" s="1" t="n">
        <v>46199</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22915-2026</t>
        </is>
      </c>
      <c r="B760" s="1" t="n">
        <v>46159</v>
      </c>
      <c r="C760" s="1" t="n">
        <v>46199</v>
      </c>
      <c r="D760" t="inlineStr">
        <is>
          <t>VÄRMLANDS LÄN</t>
        </is>
      </c>
      <c r="E760" t="inlineStr">
        <is>
          <t>ÅRJÄNG</t>
        </is>
      </c>
      <c r="F760" t="inlineStr">
        <is>
          <t>Övriga Aktiebolag</t>
        </is>
      </c>
      <c r="G760" t="n">
        <v>2.5</v>
      </c>
      <c r="H760" t="n">
        <v>0</v>
      </c>
      <c r="I760" t="n">
        <v>0</v>
      </c>
      <c r="J760" t="n">
        <v>0</v>
      </c>
      <c r="K760" t="n">
        <v>0</v>
      </c>
      <c r="L760" t="n">
        <v>0</v>
      </c>
      <c r="M760" t="n">
        <v>0</v>
      </c>
      <c r="N760" t="n">
        <v>0</v>
      </c>
      <c r="O760" t="n">
        <v>0</v>
      </c>
      <c r="P760" t="n">
        <v>0</v>
      </c>
      <c r="Q760" t="n">
        <v>0</v>
      </c>
      <c r="R760" s="2" t="inlineStr"/>
    </row>
    <row r="761" ht="15" customHeight="1">
      <c r="A761" t="inlineStr">
        <is>
          <t>A 23207-2026</t>
        </is>
      </c>
      <c r="B761" s="1" t="n">
        <v>46162</v>
      </c>
      <c r="C761" s="1" t="n">
        <v>46199</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55517-2023</t>
        </is>
      </c>
      <c r="B762" s="1" t="n">
        <v>45232</v>
      </c>
      <c r="C762" s="1" t="n">
        <v>46199</v>
      </c>
      <c r="D762" t="inlineStr">
        <is>
          <t>VÄRMLANDS LÄN</t>
        </is>
      </c>
      <c r="E762" t="inlineStr">
        <is>
          <t>ÅRJÄNG</t>
        </is>
      </c>
      <c r="G762" t="n">
        <v>1.5</v>
      </c>
      <c r="H762" t="n">
        <v>0</v>
      </c>
      <c r="I762" t="n">
        <v>0</v>
      </c>
      <c r="J762" t="n">
        <v>0</v>
      </c>
      <c r="K762" t="n">
        <v>0</v>
      </c>
      <c r="L762" t="n">
        <v>0</v>
      </c>
      <c r="M762" t="n">
        <v>0</v>
      </c>
      <c r="N762" t="n">
        <v>0</v>
      </c>
      <c r="O762" t="n">
        <v>0</v>
      </c>
      <c r="P762" t="n">
        <v>0</v>
      </c>
      <c r="Q762" t="n">
        <v>0</v>
      </c>
      <c r="R762" s="2" t="inlineStr"/>
    </row>
    <row r="763" ht="15" customHeight="1">
      <c r="A763" t="inlineStr">
        <is>
          <t>A 5472-2026</t>
        </is>
      </c>
      <c r="B763" s="1" t="n">
        <v>46050</v>
      </c>
      <c r="C763" s="1" t="n">
        <v>46199</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32950-2024</t>
        </is>
      </c>
      <c r="B764" s="1" t="n">
        <v>45517</v>
      </c>
      <c r="C764" s="1" t="n">
        <v>46199</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5095-2023</t>
        </is>
      </c>
      <c r="B765" s="1" t="n">
        <v>44953</v>
      </c>
      <c r="C765" s="1" t="n">
        <v>46199</v>
      </c>
      <c r="D765" t="inlineStr">
        <is>
          <t>VÄRMLANDS LÄN</t>
        </is>
      </c>
      <c r="E765" t="inlineStr">
        <is>
          <t>ÅRJÄNG</t>
        </is>
      </c>
      <c r="G765" t="n">
        <v>1.5</v>
      </c>
      <c r="H765" t="n">
        <v>0</v>
      </c>
      <c r="I765" t="n">
        <v>0</v>
      </c>
      <c r="J765" t="n">
        <v>0</v>
      </c>
      <c r="K765" t="n">
        <v>0</v>
      </c>
      <c r="L765" t="n">
        <v>0</v>
      </c>
      <c r="M765" t="n">
        <v>0</v>
      </c>
      <c r="N765" t="n">
        <v>0</v>
      </c>
      <c r="O765" t="n">
        <v>0</v>
      </c>
      <c r="P765" t="n">
        <v>0</v>
      </c>
      <c r="Q765" t="n">
        <v>0</v>
      </c>
      <c r="R765" s="2" t="inlineStr"/>
    </row>
    <row r="766" ht="15" customHeight="1">
      <c r="A766" t="inlineStr">
        <is>
          <t>A 23447-2026</t>
        </is>
      </c>
      <c r="B766" s="1" t="n">
        <v>46162</v>
      </c>
      <c r="C766" s="1" t="n">
        <v>46199</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37325-2024</t>
        </is>
      </c>
      <c r="B767" s="1" t="n">
        <v>45540</v>
      </c>
      <c r="C767" s="1" t="n">
        <v>46199</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12659-2025</t>
        </is>
      </c>
      <c r="B768" s="1" t="n">
        <v>45733</v>
      </c>
      <c r="C768" s="1" t="n">
        <v>46199</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23287-2026</t>
        </is>
      </c>
      <c r="B769" s="1" t="n">
        <v>46162</v>
      </c>
      <c r="C769" s="1" t="n">
        <v>46199</v>
      </c>
      <c r="D769" t="inlineStr">
        <is>
          <t>VÄRMLANDS LÄN</t>
        </is>
      </c>
      <c r="E769" t="inlineStr">
        <is>
          <t>ÅRJÄNG</t>
        </is>
      </c>
      <c r="G769" t="n">
        <v>1.3</v>
      </c>
      <c r="H769" t="n">
        <v>0</v>
      </c>
      <c r="I769" t="n">
        <v>0</v>
      </c>
      <c r="J769" t="n">
        <v>0</v>
      </c>
      <c r="K769" t="n">
        <v>0</v>
      </c>
      <c r="L769" t="n">
        <v>0</v>
      </c>
      <c r="M769" t="n">
        <v>0</v>
      </c>
      <c r="N769" t="n">
        <v>0</v>
      </c>
      <c r="O769" t="n">
        <v>0</v>
      </c>
      <c r="P769" t="n">
        <v>0</v>
      </c>
      <c r="Q769" t="n">
        <v>0</v>
      </c>
      <c r="R769" s="2" t="inlineStr"/>
    </row>
    <row r="770" ht="15" customHeight="1">
      <c r="A770" t="inlineStr">
        <is>
          <t>A 60377-2023</t>
        </is>
      </c>
      <c r="B770" s="1" t="n">
        <v>45259</v>
      </c>
      <c r="C770" s="1" t="n">
        <v>46199</v>
      </c>
      <c r="D770" t="inlineStr">
        <is>
          <t>VÄRMLANDS LÄN</t>
        </is>
      </c>
      <c r="E770" t="inlineStr">
        <is>
          <t>ÅRJÄNG</t>
        </is>
      </c>
      <c r="G770" t="n">
        <v>3.1</v>
      </c>
      <c r="H770" t="n">
        <v>0</v>
      </c>
      <c r="I770" t="n">
        <v>0</v>
      </c>
      <c r="J770" t="n">
        <v>0</v>
      </c>
      <c r="K770" t="n">
        <v>0</v>
      </c>
      <c r="L770" t="n">
        <v>0</v>
      </c>
      <c r="M770" t="n">
        <v>0</v>
      </c>
      <c r="N770" t="n">
        <v>0</v>
      </c>
      <c r="O770" t="n">
        <v>0</v>
      </c>
      <c r="P770" t="n">
        <v>0</v>
      </c>
      <c r="Q770" t="n">
        <v>0</v>
      </c>
      <c r="R770" s="2" t="inlineStr"/>
    </row>
    <row r="771" ht="15" customHeight="1">
      <c r="A771" t="inlineStr">
        <is>
          <t>A 23334-2023</t>
        </is>
      </c>
      <c r="B771" s="1" t="n">
        <v>45076</v>
      </c>
      <c r="C771" s="1" t="n">
        <v>46199</v>
      </c>
      <c r="D771" t="inlineStr">
        <is>
          <t>VÄRMLANDS LÄN</t>
        </is>
      </c>
      <c r="E771" t="inlineStr">
        <is>
          <t>ÅRJÄNG</t>
        </is>
      </c>
      <c r="G771" t="n">
        <v>0.8</v>
      </c>
      <c r="H771" t="n">
        <v>0</v>
      </c>
      <c r="I771" t="n">
        <v>0</v>
      </c>
      <c r="J771" t="n">
        <v>0</v>
      </c>
      <c r="K771" t="n">
        <v>0</v>
      </c>
      <c r="L771" t="n">
        <v>0</v>
      </c>
      <c r="M771" t="n">
        <v>0</v>
      </c>
      <c r="N771" t="n">
        <v>0</v>
      </c>
      <c r="O771" t="n">
        <v>0</v>
      </c>
      <c r="P771" t="n">
        <v>0</v>
      </c>
      <c r="Q771" t="n">
        <v>0</v>
      </c>
      <c r="R771" s="2" t="inlineStr"/>
    </row>
    <row r="772" ht="15" customHeight="1">
      <c r="A772" t="inlineStr">
        <is>
          <t>A 37353-2024</t>
        </is>
      </c>
      <c r="B772" s="1" t="n">
        <v>45540</v>
      </c>
      <c r="C772" s="1" t="n">
        <v>46199</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54425-2021</t>
        </is>
      </c>
      <c r="B773" s="1" t="n">
        <v>44459</v>
      </c>
      <c r="C773" s="1" t="n">
        <v>46199</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36706-2024</t>
        </is>
      </c>
      <c r="B774" s="1" t="n">
        <v>45537</v>
      </c>
      <c r="C774" s="1" t="n">
        <v>46199</v>
      </c>
      <c r="D774" t="inlineStr">
        <is>
          <t>VÄRMLANDS LÄN</t>
        </is>
      </c>
      <c r="E774" t="inlineStr">
        <is>
          <t>ÅRJÄNG</t>
        </is>
      </c>
      <c r="G774" t="n">
        <v>5.3</v>
      </c>
      <c r="H774" t="n">
        <v>0</v>
      </c>
      <c r="I774" t="n">
        <v>0</v>
      </c>
      <c r="J774" t="n">
        <v>0</v>
      </c>
      <c r="K774" t="n">
        <v>0</v>
      </c>
      <c r="L774" t="n">
        <v>0</v>
      </c>
      <c r="M774" t="n">
        <v>0</v>
      </c>
      <c r="N774" t="n">
        <v>0</v>
      </c>
      <c r="O774" t="n">
        <v>0</v>
      </c>
      <c r="P774" t="n">
        <v>0</v>
      </c>
      <c r="Q774" t="n">
        <v>0</v>
      </c>
      <c r="R774" s="2" t="inlineStr"/>
    </row>
    <row r="775" ht="15" customHeight="1">
      <c r="A775" t="inlineStr">
        <is>
          <t>A 74463-2021</t>
        </is>
      </c>
      <c r="B775" s="1" t="n">
        <v>44560</v>
      </c>
      <c r="C775" s="1" t="n">
        <v>46199</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18873-2026</t>
        </is>
      </c>
      <c r="B776" s="1" t="n">
        <v>46127</v>
      </c>
      <c r="C776" s="1" t="n">
        <v>46199</v>
      </c>
      <c r="D776" t="inlineStr">
        <is>
          <t>VÄRMLANDS LÄN</t>
        </is>
      </c>
      <c r="E776" t="inlineStr">
        <is>
          <t>ÅRJÄNG</t>
        </is>
      </c>
      <c r="G776" t="n">
        <v>4.4</v>
      </c>
      <c r="H776" t="n">
        <v>0</v>
      </c>
      <c r="I776" t="n">
        <v>0</v>
      </c>
      <c r="J776" t="n">
        <v>0</v>
      </c>
      <c r="K776" t="n">
        <v>0</v>
      </c>
      <c r="L776" t="n">
        <v>0</v>
      </c>
      <c r="M776" t="n">
        <v>0</v>
      </c>
      <c r="N776" t="n">
        <v>0</v>
      </c>
      <c r="O776" t="n">
        <v>0</v>
      </c>
      <c r="P776" t="n">
        <v>0</v>
      </c>
      <c r="Q776" t="n">
        <v>0</v>
      </c>
      <c r="R776" s="2" t="inlineStr"/>
    </row>
    <row r="777" ht="15" customHeight="1">
      <c r="A777" t="inlineStr">
        <is>
          <t>A 62963-2023</t>
        </is>
      </c>
      <c r="B777" s="1" t="n">
        <v>45271</v>
      </c>
      <c r="C777" s="1" t="n">
        <v>46199</v>
      </c>
      <c r="D777" t="inlineStr">
        <is>
          <t>VÄRMLANDS LÄN</t>
        </is>
      </c>
      <c r="E777" t="inlineStr">
        <is>
          <t>ÅRJÄNG</t>
        </is>
      </c>
      <c r="G777" t="n">
        <v>0.5</v>
      </c>
      <c r="H777" t="n">
        <v>0</v>
      </c>
      <c r="I777" t="n">
        <v>0</v>
      </c>
      <c r="J777" t="n">
        <v>0</v>
      </c>
      <c r="K777" t="n">
        <v>0</v>
      </c>
      <c r="L777" t="n">
        <v>0</v>
      </c>
      <c r="M777" t="n">
        <v>0</v>
      </c>
      <c r="N777" t="n">
        <v>0</v>
      </c>
      <c r="O777" t="n">
        <v>0</v>
      </c>
      <c r="P777" t="n">
        <v>0</v>
      </c>
      <c r="Q777" t="n">
        <v>0</v>
      </c>
      <c r="R777" s="2" t="inlineStr"/>
    </row>
    <row r="778" ht="15" customHeight="1">
      <c r="A778" t="inlineStr">
        <is>
          <t>A 18200-2026</t>
        </is>
      </c>
      <c r="B778" s="1" t="n">
        <v>46125</v>
      </c>
      <c r="C778" s="1" t="n">
        <v>46199</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59479-2024</t>
        </is>
      </c>
      <c r="B779" s="1" t="n">
        <v>45638</v>
      </c>
      <c r="C779" s="1" t="n">
        <v>46199</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34144-2022</t>
        </is>
      </c>
      <c r="B780" s="1" t="n">
        <v>44791</v>
      </c>
      <c r="C780" s="1" t="n">
        <v>46199</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61814-2024</t>
        </is>
      </c>
      <c r="B781" s="1" t="n">
        <v>45646</v>
      </c>
      <c r="C781" s="1" t="n">
        <v>46199</v>
      </c>
      <c r="D781" t="inlineStr">
        <is>
          <t>VÄRMLANDS LÄN</t>
        </is>
      </c>
      <c r="E781" t="inlineStr">
        <is>
          <t>ÅRJÄNG</t>
        </is>
      </c>
      <c r="G781" t="n">
        <v>5.3</v>
      </c>
      <c r="H781" t="n">
        <v>0</v>
      </c>
      <c r="I781" t="n">
        <v>0</v>
      </c>
      <c r="J781" t="n">
        <v>0</v>
      </c>
      <c r="K781" t="n">
        <v>0</v>
      </c>
      <c r="L781" t="n">
        <v>0</v>
      </c>
      <c r="M781" t="n">
        <v>0</v>
      </c>
      <c r="N781" t="n">
        <v>0</v>
      </c>
      <c r="O781" t="n">
        <v>0</v>
      </c>
      <c r="P781" t="n">
        <v>0</v>
      </c>
      <c r="Q781" t="n">
        <v>0</v>
      </c>
      <c r="R781" s="2" t="inlineStr"/>
    </row>
    <row r="782" ht="15" customHeight="1">
      <c r="A782" t="inlineStr">
        <is>
          <t>A 15575-2025</t>
        </is>
      </c>
      <c r="B782" s="1" t="n">
        <v>45747</v>
      </c>
      <c r="C782" s="1" t="n">
        <v>46199</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15577-2025</t>
        </is>
      </c>
      <c r="B783" s="1" t="n">
        <v>45747</v>
      </c>
      <c r="C783" s="1" t="n">
        <v>46199</v>
      </c>
      <c r="D783" t="inlineStr">
        <is>
          <t>VÄRMLANDS LÄN</t>
        </is>
      </c>
      <c r="E783" t="inlineStr">
        <is>
          <t>ÅRJÄNG</t>
        </is>
      </c>
      <c r="G783" t="n">
        <v>2.4</v>
      </c>
      <c r="H783" t="n">
        <v>0</v>
      </c>
      <c r="I783" t="n">
        <v>0</v>
      </c>
      <c r="J783" t="n">
        <v>0</v>
      </c>
      <c r="K783" t="n">
        <v>0</v>
      </c>
      <c r="L783" t="n">
        <v>0</v>
      </c>
      <c r="M783" t="n">
        <v>0</v>
      </c>
      <c r="N783" t="n">
        <v>0</v>
      </c>
      <c r="O783" t="n">
        <v>0</v>
      </c>
      <c r="P783" t="n">
        <v>0</v>
      </c>
      <c r="Q783" t="n">
        <v>0</v>
      </c>
      <c r="R783" s="2" t="inlineStr"/>
    </row>
    <row r="784" ht="15" customHeight="1">
      <c r="A784" t="inlineStr">
        <is>
          <t>A 18199-2026</t>
        </is>
      </c>
      <c r="B784" s="1" t="n">
        <v>46125</v>
      </c>
      <c r="C784" s="1" t="n">
        <v>46199</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18202-2026</t>
        </is>
      </c>
      <c r="B785" s="1" t="n">
        <v>46125</v>
      </c>
      <c r="C785" s="1" t="n">
        <v>46199</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23871-2023</t>
        </is>
      </c>
      <c r="B786" s="1" t="n">
        <v>45078</v>
      </c>
      <c r="C786" s="1" t="n">
        <v>46199</v>
      </c>
      <c r="D786" t="inlineStr">
        <is>
          <t>VÄRMLANDS LÄN</t>
        </is>
      </c>
      <c r="E786" t="inlineStr">
        <is>
          <t>ÅRJÄNG</t>
        </is>
      </c>
      <c r="G786" t="n">
        <v>4</v>
      </c>
      <c r="H786" t="n">
        <v>0</v>
      </c>
      <c r="I786" t="n">
        <v>0</v>
      </c>
      <c r="J786" t="n">
        <v>0</v>
      </c>
      <c r="K786" t="n">
        <v>0</v>
      </c>
      <c r="L786" t="n">
        <v>0</v>
      </c>
      <c r="M786" t="n">
        <v>0</v>
      </c>
      <c r="N786" t="n">
        <v>0</v>
      </c>
      <c r="O786" t="n">
        <v>0</v>
      </c>
      <c r="P786" t="n">
        <v>0</v>
      </c>
      <c r="Q786" t="n">
        <v>0</v>
      </c>
      <c r="R786" s="2" t="inlineStr"/>
    </row>
    <row r="787" ht="15" customHeight="1">
      <c r="A787" t="inlineStr">
        <is>
          <t>A 15237-2025</t>
        </is>
      </c>
      <c r="B787" s="1" t="n">
        <v>45744</v>
      </c>
      <c r="C787" s="1" t="n">
        <v>46199</v>
      </c>
      <c r="D787" t="inlineStr">
        <is>
          <t>VÄRMLANDS LÄN</t>
        </is>
      </c>
      <c r="E787" t="inlineStr">
        <is>
          <t>ÅRJÄNG</t>
        </is>
      </c>
      <c r="G787" t="n">
        <v>29.5</v>
      </c>
      <c r="H787" t="n">
        <v>0</v>
      </c>
      <c r="I787" t="n">
        <v>0</v>
      </c>
      <c r="J787" t="n">
        <v>0</v>
      </c>
      <c r="K787" t="n">
        <v>0</v>
      </c>
      <c r="L787" t="n">
        <v>0</v>
      </c>
      <c r="M787" t="n">
        <v>0</v>
      </c>
      <c r="N787" t="n">
        <v>0</v>
      </c>
      <c r="O787" t="n">
        <v>0</v>
      </c>
      <c r="P787" t="n">
        <v>0</v>
      </c>
      <c r="Q787" t="n">
        <v>0</v>
      </c>
      <c r="R787" s="2" t="inlineStr"/>
    </row>
    <row r="788" ht="15" customHeight="1">
      <c r="A788" t="inlineStr">
        <is>
          <t>A 6354-2024</t>
        </is>
      </c>
      <c r="B788" s="1" t="n">
        <v>45338</v>
      </c>
      <c r="C788" s="1" t="n">
        <v>46199</v>
      </c>
      <c r="D788" t="inlineStr">
        <is>
          <t>VÄRMLANDS LÄN</t>
        </is>
      </c>
      <c r="E788" t="inlineStr">
        <is>
          <t>ÅRJÄNG</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18201-2026</t>
        </is>
      </c>
      <c r="B789" s="1" t="n">
        <v>46125</v>
      </c>
      <c r="C789" s="1" t="n">
        <v>46199</v>
      </c>
      <c r="D789" t="inlineStr">
        <is>
          <t>VÄRMLANDS LÄN</t>
        </is>
      </c>
      <c r="E789" t="inlineStr">
        <is>
          <t>ÅRJÄNG</t>
        </is>
      </c>
      <c r="G789" t="n">
        <v>3.7</v>
      </c>
      <c r="H789" t="n">
        <v>0</v>
      </c>
      <c r="I789" t="n">
        <v>0</v>
      </c>
      <c r="J789" t="n">
        <v>0</v>
      </c>
      <c r="K789" t="n">
        <v>0</v>
      </c>
      <c r="L789" t="n">
        <v>0</v>
      </c>
      <c r="M789" t="n">
        <v>0</v>
      </c>
      <c r="N789" t="n">
        <v>0</v>
      </c>
      <c r="O789" t="n">
        <v>0</v>
      </c>
      <c r="P789" t="n">
        <v>0</v>
      </c>
      <c r="Q789" t="n">
        <v>0</v>
      </c>
      <c r="R789" s="2" t="inlineStr"/>
    </row>
    <row r="790" ht="15" customHeight="1">
      <c r="A790" t="inlineStr">
        <is>
          <t>A 21519-2024</t>
        </is>
      </c>
      <c r="B790" s="1" t="n">
        <v>45441</v>
      </c>
      <c r="C790" s="1" t="n">
        <v>46199</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11776-2025</t>
        </is>
      </c>
      <c r="B791" s="1" t="n">
        <v>45727</v>
      </c>
      <c r="C791" s="1" t="n">
        <v>46199</v>
      </c>
      <c r="D791" t="inlineStr">
        <is>
          <t>VÄRMLANDS LÄN</t>
        </is>
      </c>
      <c r="E791" t="inlineStr">
        <is>
          <t>ÅRJÄNG</t>
        </is>
      </c>
      <c r="G791" t="n">
        <v>7.2</v>
      </c>
      <c r="H791" t="n">
        <v>0</v>
      </c>
      <c r="I791" t="n">
        <v>0</v>
      </c>
      <c r="J791" t="n">
        <v>0</v>
      </c>
      <c r="K791" t="n">
        <v>0</v>
      </c>
      <c r="L791" t="n">
        <v>0</v>
      </c>
      <c r="M791" t="n">
        <v>0</v>
      </c>
      <c r="N791" t="n">
        <v>0</v>
      </c>
      <c r="O791" t="n">
        <v>0</v>
      </c>
      <c r="P791" t="n">
        <v>0</v>
      </c>
      <c r="Q791" t="n">
        <v>0</v>
      </c>
      <c r="R791" s="2" t="inlineStr"/>
    </row>
    <row r="792" ht="15" customHeight="1">
      <c r="A792" t="inlineStr">
        <is>
          <t>A 18204-2026</t>
        </is>
      </c>
      <c r="B792" s="1" t="n">
        <v>46125</v>
      </c>
      <c r="C792" s="1" t="n">
        <v>46199</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18868-2026</t>
        </is>
      </c>
      <c r="B793" s="1" t="n">
        <v>46127</v>
      </c>
      <c r="C793" s="1" t="n">
        <v>46199</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20337-2023</t>
        </is>
      </c>
      <c r="B794" s="1" t="n">
        <v>45056</v>
      </c>
      <c r="C794" s="1" t="n">
        <v>46199</v>
      </c>
      <c r="D794" t="inlineStr">
        <is>
          <t>VÄRMLANDS LÄN</t>
        </is>
      </c>
      <c r="E794" t="inlineStr">
        <is>
          <t>ÅRJÄNG</t>
        </is>
      </c>
      <c r="G794" t="n">
        <v>3.1</v>
      </c>
      <c r="H794" t="n">
        <v>0</v>
      </c>
      <c r="I794" t="n">
        <v>0</v>
      </c>
      <c r="J794" t="n">
        <v>0</v>
      </c>
      <c r="K794" t="n">
        <v>0</v>
      </c>
      <c r="L794" t="n">
        <v>0</v>
      </c>
      <c r="M794" t="n">
        <v>0</v>
      </c>
      <c r="N794" t="n">
        <v>0</v>
      </c>
      <c r="O794" t="n">
        <v>0</v>
      </c>
      <c r="P794" t="n">
        <v>0</v>
      </c>
      <c r="Q794" t="n">
        <v>0</v>
      </c>
      <c r="R794" s="2" t="inlineStr"/>
    </row>
    <row r="795" ht="15" customHeight="1">
      <c r="A795" t="inlineStr">
        <is>
          <t>A 42045-2024</t>
        </is>
      </c>
      <c r="B795" s="1" t="n">
        <v>45561</v>
      </c>
      <c r="C795" s="1" t="n">
        <v>46199</v>
      </c>
      <c r="D795" t="inlineStr">
        <is>
          <t>VÄRMLANDS LÄN</t>
        </is>
      </c>
      <c r="E795" t="inlineStr">
        <is>
          <t>ÅRJÄNG</t>
        </is>
      </c>
      <c r="G795" t="n">
        <v>1.9</v>
      </c>
      <c r="H795" t="n">
        <v>0</v>
      </c>
      <c r="I795" t="n">
        <v>0</v>
      </c>
      <c r="J795" t="n">
        <v>0</v>
      </c>
      <c r="K795" t="n">
        <v>0</v>
      </c>
      <c r="L795" t="n">
        <v>0</v>
      </c>
      <c r="M795" t="n">
        <v>0</v>
      </c>
      <c r="N795" t="n">
        <v>0</v>
      </c>
      <c r="O795" t="n">
        <v>0</v>
      </c>
      <c r="P795" t="n">
        <v>0</v>
      </c>
      <c r="Q795" t="n">
        <v>0</v>
      </c>
      <c r="R795" s="2" t="inlineStr"/>
    </row>
    <row r="796" ht="15" customHeight="1">
      <c r="A796" t="inlineStr">
        <is>
          <t>A 24445-2026</t>
        </is>
      </c>
      <c r="B796" s="1" t="n">
        <v>46170</v>
      </c>
      <c r="C796" s="1" t="n">
        <v>46199</v>
      </c>
      <c r="D796" t="inlineStr">
        <is>
          <t>VÄRMLANDS LÄN</t>
        </is>
      </c>
      <c r="E796" t="inlineStr">
        <is>
          <t>ÅRJÄNG</t>
        </is>
      </c>
      <c r="G796" t="n">
        <v>1.9</v>
      </c>
      <c r="H796" t="n">
        <v>0</v>
      </c>
      <c r="I796" t="n">
        <v>0</v>
      </c>
      <c r="J796" t="n">
        <v>0</v>
      </c>
      <c r="K796" t="n">
        <v>0</v>
      </c>
      <c r="L796" t="n">
        <v>0</v>
      </c>
      <c r="M796" t="n">
        <v>0</v>
      </c>
      <c r="N796" t="n">
        <v>0</v>
      </c>
      <c r="O796" t="n">
        <v>0</v>
      </c>
      <c r="P796" t="n">
        <v>0</v>
      </c>
      <c r="Q796" t="n">
        <v>0</v>
      </c>
      <c r="R796" s="2" t="inlineStr"/>
    </row>
    <row r="797" ht="15" customHeight="1">
      <c r="A797" t="inlineStr">
        <is>
          <t>A 23684-2026</t>
        </is>
      </c>
      <c r="B797" s="1" t="n">
        <v>46164</v>
      </c>
      <c r="C797" s="1" t="n">
        <v>46199</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25495-2024</t>
        </is>
      </c>
      <c r="B798" s="1" t="n">
        <v>45463</v>
      </c>
      <c r="C798" s="1" t="n">
        <v>46199</v>
      </c>
      <c r="D798" t="inlineStr">
        <is>
          <t>VÄRMLANDS LÄN</t>
        </is>
      </c>
      <c r="E798" t="inlineStr">
        <is>
          <t>ÅRJÄNG</t>
        </is>
      </c>
      <c r="F798" t="inlineStr">
        <is>
          <t>Kyrkan</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11793-2023</t>
        </is>
      </c>
      <c r="B799" s="1" t="n">
        <v>44993</v>
      </c>
      <c r="C799" s="1" t="n">
        <v>46199</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23691-2026</t>
        </is>
      </c>
      <c r="B800" s="1" t="n">
        <v>46164</v>
      </c>
      <c r="C800" s="1" t="n">
        <v>46199</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22032-2023</t>
        </is>
      </c>
      <c r="B801" s="1" t="n">
        <v>45069</v>
      </c>
      <c r="C801" s="1" t="n">
        <v>46199</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19364-2026</t>
        </is>
      </c>
      <c r="B802" s="1" t="n">
        <v>46129</v>
      </c>
      <c r="C802" s="1" t="n">
        <v>46199</v>
      </c>
      <c r="D802" t="inlineStr">
        <is>
          <t>VÄRMLANDS LÄN</t>
        </is>
      </c>
      <c r="E802" t="inlineStr">
        <is>
          <t>ÅRJÄNG</t>
        </is>
      </c>
      <c r="G802" t="n">
        <v>2.6</v>
      </c>
      <c r="H802" t="n">
        <v>0</v>
      </c>
      <c r="I802" t="n">
        <v>0</v>
      </c>
      <c r="J802" t="n">
        <v>0</v>
      </c>
      <c r="K802" t="n">
        <v>0</v>
      </c>
      <c r="L802" t="n">
        <v>0</v>
      </c>
      <c r="M802" t="n">
        <v>0</v>
      </c>
      <c r="N802" t="n">
        <v>0</v>
      </c>
      <c r="O802" t="n">
        <v>0</v>
      </c>
      <c r="P802" t="n">
        <v>0</v>
      </c>
      <c r="Q802" t="n">
        <v>0</v>
      </c>
      <c r="R802" s="2" t="inlineStr"/>
    </row>
    <row r="803" ht="15" customHeight="1">
      <c r="A803" t="inlineStr">
        <is>
          <t>A 32367-2023</t>
        </is>
      </c>
      <c r="B803" s="1" t="n">
        <v>45120</v>
      </c>
      <c r="C803" s="1" t="n">
        <v>46199</v>
      </c>
      <c r="D803" t="inlineStr">
        <is>
          <t>VÄRMLANDS LÄN</t>
        </is>
      </c>
      <c r="E803" t="inlineStr">
        <is>
          <t>ÅRJÄNG</t>
        </is>
      </c>
      <c r="G803" t="n">
        <v>2.8</v>
      </c>
      <c r="H803" t="n">
        <v>0</v>
      </c>
      <c r="I803" t="n">
        <v>0</v>
      </c>
      <c r="J803" t="n">
        <v>0</v>
      </c>
      <c r="K803" t="n">
        <v>0</v>
      </c>
      <c r="L803" t="n">
        <v>0</v>
      </c>
      <c r="M803" t="n">
        <v>0</v>
      </c>
      <c r="N803" t="n">
        <v>0</v>
      </c>
      <c r="O803" t="n">
        <v>0</v>
      </c>
      <c r="P803" t="n">
        <v>0</v>
      </c>
      <c r="Q803" t="n">
        <v>0</v>
      </c>
      <c r="R803" s="2" t="inlineStr"/>
    </row>
    <row r="804" ht="15" customHeight="1">
      <c r="A804" t="inlineStr">
        <is>
          <t>A 32373-2023</t>
        </is>
      </c>
      <c r="B804" s="1" t="n">
        <v>45120</v>
      </c>
      <c r="C804" s="1" t="n">
        <v>46199</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56682-2021</t>
        </is>
      </c>
      <c r="B805" s="1" t="n">
        <v>44481</v>
      </c>
      <c r="C805" s="1" t="n">
        <v>46199</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23254-2026</t>
        </is>
      </c>
      <c r="B806" s="1" t="n">
        <v>46162</v>
      </c>
      <c r="C806" s="1" t="n">
        <v>46199</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52773-2022</t>
        </is>
      </c>
      <c r="B807" s="1" t="n">
        <v>44875</v>
      </c>
      <c r="C807" s="1" t="n">
        <v>46199</v>
      </c>
      <c r="D807" t="inlineStr">
        <is>
          <t>VÄRMLANDS LÄN</t>
        </is>
      </c>
      <c r="E807" t="inlineStr">
        <is>
          <t>ÅRJÄNG</t>
        </is>
      </c>
      <c r="G807" t="n">
        <v>4.1</v>
      </c>
      <c r="H807" t="n">
        <v>0</v>
      </c>
      <c r="I807" t="n">
        <v>0</v>
      </c>
      <c r="J807" t="n">
        <v>0</v>
      </c>
      <c r="K807" t="n">
        <v>0</v>
      </c>
      <c r="L807" t="n">
        <v>0</v>
      </c>
      <c r="M807" t="n">
        <v>0</v>
      </c>
      <c r="N807" t="n">
        <v>0</v>
      </c>
      <c r="O807" t="n">
        <v>0</v>
      </c>
      <c r="P807" t="n">
        <v>0</v>
      </c>
      <c r="Q807" t="n">
        <v>0</v>
      </c>
      <c r="R807" s="2" t="inlineStr"/>
    </row>
    <row r="808" ht="15" customHeight="1">
      <c r="A808" t="inlineStr">
        <is>
          <t>A 18740-2026</t>
        </is>
      </c>
      <c r="B808" s="1" t="n">
        <v>46128</v>
      </c>
      <c r="C808" s="1" t="n">
        <v>46199</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6562-2023</t>
        </is>
      </c>
      <c r="B809" s="1" t="n">
        <v>44966</v>
      </c>
      <c r="C809" s="1" t="n">
        <v>46199</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24861-2026</t>
        </is>
      </c>
      <c r="B810" s="1" t="n">
        <v>46174</v>
      </c>
      <c r="C810" s="1" t="n">
        <v>46199</v>
      </c>
      <c r="D810" t="inlineStr">
        <is>
          <t>VÄRMLANDS LÄN</t>
        </is>
      </c>
      <c r="E810" t="inlineStr">
        <is>
          <t>ÅRJÄNG</t>
        </is>
      </c>
      <c r="G810" t="n">
        <v>5.1</v>
      </c>
      <c r="H810" t="n">
        <v>0</v>
      </c>
      <c r="I810" t="n">
        <v>0</v>
      </c>
      <c r="J810" t="n">
        <v>0</v>
      </c>
      <c r="K810" t="n">
        <v>0</v>
      </c>
      <c r="L810" t="n">
        <v>0</v>
      </c>
      <c r="M810" t="n">
        <v>0</v>
      </c>
      <c r="N810" t="n">
        <v>0</v>
      </c>
      <c r="O810" t="n">
        <v>0</v>
      </c>
      <c r="P810" t="n">
        <v>0</v>
      </c>
      <c r="Q810" t="n">
        <v>0</v>
      </c>
      <c r="R810" s="2" t="inlineStr"/>
    </row>
    <row r="811" ht="15" customHeight="1">
      <c r="A811" t="inlineStr">
        <is>
          <t>A 24877-2026</t>
        </is>
      </c>
      <c r="B811" s="1" t="n">
        <v>46174</v>
      </c>
      <c r="C811" s="1" t="n">
        <v>46199</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57178-2023</t>
        </is>
      </c>
      <c r="B812" s="1" t="n">
        <v>45240</v>
      </c>
      <c r="C812" s="1" t="n">
        <v>46199</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15574-2025</t>
        </is>
      </c>
      <c r="B813" s="1" t="n">
        <v>45747</v>
      </c>
      <c r="C813" s="1" t="n">
        <v>46199</v>
      </c>
      <c r="D813" t="inlineStr">
        <is>
          <t>VÄRMLANDS LÄN</t>
        </is>
      </c>
      <c r="E813" t="inlineStr">
        <is>
          <t>ÅRJÄNG</t>
        </is>
      </c>
      <c r="G813" t="n">
        <v>2.4</v>
      </c>
      <c r="H813" t="n">
        <v>0</v>
      </c>
      <c r="I813" t="n">
        <v>0</v>
      </c>
      <c r="J813" t="n">
        <v>0</v>
      </c>
      <c r="K813" t="n">
        <v>0</v>
      </c>
      <c r="L813" t="n">
        <v>0</v>
      </c>
      <c r="M813" t="n">
        <v>0</v>
      </c>
      <c r="N813" t="n">
        <v>0</v>
      </c>
      <c r="O813" t="n">
        <v>0</v>
      </c>
      <c r="P813" t="n">
        <v>0</v>
      </c>
      <c r="Q813" t="n">
        <v>0</v>
      </c>
      <c r="R813" s="2" t="inlineStr"/>
    </row>
    <row r="814" ht="15" customHeight="1">
      <c r="A814" t="inlineStr">
        <is>
          <t>A 19242-2026</t>
        </is>
      </c>
      <c r="B814" s="1" t="n">
        <v>46132</v>
      </c>
      <c r="C814" s="1" t="n">
        <v>46199</v>
      </c>
      <c r="D814" t="inlineStr">
        <is>
          <t>VÄRMLANDS LÄN</t>
        </is>
      </c>
      <c r="E814" t="inlineStr">
        <is>
          <t>ÅRJÄNG</t>
        </is>
      </c>
      <c r="G814" t="n">
        <v>7.3</v>
      </c>
      <c r="H814" t="n">
        <v>0</v>
      </c>
      <c r="I814" t="n">
        <v>0</v>
      </c>
      <c r="J814" t="n">
        <v>0</v>
      </c>
      <c r="K814" t="n">
        <v>0</v>
      </c>
      <c r="L814" t="n">
        <v>0</v>
      </c>
      <c r="M814" t="n">
        <v>0</v>
      </c>
      <c r="N814" t="n">
        <v>0</v>
      </c>
      <c r="O814" t="n">
        <v>0</v>
      </c>
      <c r="P814" t="n">
        <v>0</v>
      </c>
      <c r="Q814" t="n">
        <v>0</v>
      </c>
      <c r="R814" s="2" t="inlineStr"/>
    </row>
    <row r="815" ht="15" customHeight="1">
      <c r="A815" t="inlineStr">
        <is>
          <t>A 19368-2026</t>
        </is>
      </c>
      <c r="B815" s="1" t="n">
        <v>46129</v>
      </c>
      <c r="C815" s="1" t="n">
        <v>46199</v>
      </c>
      <c r="D815" t="inlineStr">
        <is>
          <t>VÄRMLANDS LÄN</t>
        </is>
      </c>
      <c r="E815" t="inlineStr">
        <is>
          <t>ÅRJÄNG</t>
        </is>
      </c>
      <c r="G815" t="n">
        <v>3.6</v>
      </c>
      <c r="H815" t="n">
        <v>0</v>
      </c>
      <c r="I815" t="n">
        <v>0</v>
      </c>
      <c r="J815" t="n">
        <v>0</v>
      </c>
      <c r="K815" t="n">
        <v>0</v>
      </c>
      <c r="L815" t="n">
        <v>0</v>
      </c>
      <c r="M815" t="n">
        <v>0</v>
      </c>
      <c r="N815" t="n">
        <v>0</v>
      </c>
      <c r="O815" t="n">
        <v>0</v>
      </c>
      <c r="P815" t="n">
        <v>0</v>
      </c>
      <c r="Q815" t="n">
        <v>0</v>
      </c>
      <c r="R815" s="2" t="inlineStr"/>
    </row>
    <row r="816" ht="15" customHeight="1">
      <c r="A816" t="inlineStr">
        <is>
          <t>A 71472-2021</t>
        </is>
      </c>
      <c r="B816" s="1" t="n">
        <v>44540</v>
      </c>
      <c r="C816" s="1" t="n">
        <v>46199</v>
      </c>
      <c r="D816" t="inlineStr">
        <is>
          <t>VÄRMLANDS LÄN</t>
        </is>
      </c>
      <c r="E816" t="inlineStr">
        <is>
          <t>ÅRJÄNG</t>
        </is>
      </c>
      <c r="G816" t="n">
        <v>1.9</v>
      </c>
      <c r="H816" t="n">
        <v>0</v>
      </c>
      <c r="I816" t="n">
        <v>0</v>
      </c>
      <c r="J816" t="n">
        <v>0</v>
      </c>
      <c r="K816" t="n">
        <v>0</v>
      </c>
      <c r="L816" t="n">
        <v>0</v>
      </c>
      <c r="M816" t="n">
        <v>0</v>
      </c>
      <c r="N816" t="n">
        <v>0</v>
      </c>
      <c r="O816" t="n">
        <v>0</v>
      </c>
      <c r="P816" t="n">
        <v>0</v>
      </c>
      <c r="Q816" t="n">
        <v>0</v>
      </c>
      <c r="R816" s="2" t="inlineStr"/>
    </row>
    <row r="817" ht="15" customHeight="1">
      <c r="A817" t="inlineStr">
        <is>
          <t>A 56329-2024</t>
        </is>
      </c>
      <c r="B817" s="1" t="n">
        <v>45624</v>
      </c>
      <c r="C817" s="1" t="n">
        <v>46199</v>
      </c>
      <c r="D817" t="inlineStr">
        <is>
          <t>VÄRMLANDS LÄN</t>
        </is>
      </c>
      <c r="E817" t="inlineStr">
        <is>
          <t>ÅRJÄNG</t>
        </is>
      </c>
      <c r="G817" t="n">
        <v>4.6</v>
      </c>
      <c r="H817" t="n">
        <v>0</v>
      </c>
      <c r="I817" t="n">
        <v>0</v>
      </c>
      <c r="J817" t="n">
        <v>0</v>
      </c>
      <c r="K817" t="n">
        <v>0</v>
      </c>
      <c r="L817" t="n">
        <v>0</v>
      </c>
      <c r="M817" t="n">
        <v>0</v>
      </c>
      <c r="N817" t="n">
        <v>0</v>
      </c>
      <c r="O817" t="n">
        <v>0</v>
      </c>
      <c r="P817" t="n">
        <v>0</v>
      </c>
      <c r="Q817" t="n">
        <v>0</v>
      </c>
      <c r="R817" s="2" t="inlineStr"/>
    </row>
    <row r="818" ht="15" customHeight="1">
      <c r="A818" t="inlineStr">
        <is>
          <t>A 19232-2026</t>
        </is>
      </c>
      <c r="B818" s="1" t="n">
        <v>46132</v>
      </c>
      <c r="C818" s="1" t="n">
        <v>46199</v>
      </c>
      <c r="D818" t="inlineStr">
        <is>
          <t>VÄRMLANDS LÄN</t>
        </is>
      </c>
      <c r="E818" t="inlineStr">
        <is>
          <t>ÅRJÄNG</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7098-2024</t>
        </is>
      </c>
      <c r="B819" s="1" t="n">
        <v>45343</v>
      </c>
      <c r="C819" s="1" t="n">
        <v>46199</v>
      </c>
      <c r="D819" t="inlineStr">
        <is>
          <t>VÄRMLANDS LÄN</t>
        </is>
      </c>
      <c r="E819" t="inlineStr">
        <is>
          <t>ÅRJÄNG</t>
        </is>
      </c>
      <c r="G819" t="n">
        <v>5</v>
      </c>
      <c r="H819" t="n">
        <v>0</v>
      </c>
      <c r="I819" t="n">
        <v>0</v>
      </c>
      <c r="J819" t="n">
        <v>0</v>
      </c>
      <c r="K819" t="n">
        <v>0</v>
      </c>
      <c r="L819" t="n">
        <v>0</v>
      </c>
      <c r="M819" t="n">
        <v>0</v>
      </c>
      <c r="N819" t="n">
        <v>0</v>
      </c>
      <c r="O819" t="n">
        <v>0</v>
      </c>
      <c r="P819" t="n">
        <v>0</v>
      </c>
      <c r="Q819" t="n">
        <v>0</v>
      </c>
      <c r="R819" s="2" t="inlineStr"/>
    </row>
    <row r="820" ht="15" customHeight="1">
      <c r="A820" t="inlineStr">
        <is>
          <t>A 7100-2024</t>
        </is>
      </c>
      <c r="B820" s="1" t="n">
        <v>45343</v>
      </c>
      <c r="C820" s="1" t="n">
        <v>46199</v>
      </c>
      <c r="D820" t="inlineStr">
        <is>
          <t>VÄRMLANDS LÄN</t>
        </is>
      </c>
      <c r="E820" t="inlineStr">
        <is>
          <t>ÅRJÄNG</t>
        </is>
      </c>
      <c r="G820" t="n">
        <v>6.5</v>
      </c>
      <c r="H820" t="n">
        <v>0</v>
      </c>
      <c r="I820" t="n">
        <v>0</v>
      </c>
      <c r="J820" t="n">
        <v>0</v>
      </c>
      <c r="K820" t="n">
        <v>0</v>
      </c>
      <c r="L820" t="n">
        <v>0</v>
      </c>
      <c r="M820" t="n">
        <v>0</v>
      </c>
      <c r="N820" t="n">
        <v>0</v>
      </c>
      <c r="O820" t="n">
        <v>0</v>
      </c>
      <c r="P820" t="n">
        <v>0</v>
      </c>
      <c r="Q820" t="n">
        <v>0</v>
      </c>
      <c r="R820" s="2" t="inlineStr"/>
    </row>
    <row r="821" ht="15" customHeight="1">
      <c r="A821" t="inlineStr">
        <is>
          <t>A 70591-2021</t>
        </is>
      </c>
      <c r="B821" s="1" t="n">
        <v>44537</v>
      </c>
      <c r="C821" s="1" t="n">
        <v>46199</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56897-2025</t>
        </is>
      </c>
      <c r="B822" s="1" t="n">
        <v>45978</v>
      </c>
      <c r="C822" s="1" t="n">
        <v>46199</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56909-2025</t>
        </is>
      </c>
      <c r="B823" s="1" t="n">
        <v>45978</v>
      </c>
      <c r="C823" s="1" t="n">
        <v>46199</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36563-2024</t>
        </is>
      </c>
      <c r="B824" s="1" t="n">
        <v>45537</v>
      </c>
      <c r="C824" s="1" t="n">
        <v>46199</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58491-2023</t>
        </is>
      </c>
      <c r="B825" s="1" t="n">
        <v>45246</v>
      </c>
      <c r="C825" s="1" t="n">
        <v>46199</v>
      </c>
      <c r="D825" t="inlineStr">
        <is>
          <t>VÄRMLANDS LÄN</t>
        </is>
      </c>
      <c r="E825" t="inlineStr">
        <is>
          <t>ÅRJÄNG</t>
        </is>
      </c>
      <c r="G825" t="n">
        <v>11.4</v>
      </c>
      <c r="H825" t="n">
        <v>0</v>
      </c>
      <c r="I825" t="n">
        <v>0</v>
      </c>
      <c r="J825" t="n">
        <v>0</v>
      </c>
      <c r="K825" t="n">
        <v>0</v>
      </c>
      <c r="L825" t="n">
        <v>0</v>
      </c>
      <c r="M825" t="n">
        <v>0</v>
      </c>
      <c r="N825" t="n">
        <v>0</v>
      </c>
      <c r="O825" t="n">
        <v>0</v>
      </c>
      <c r="P825" t="n">
        <v>0</v>
      </c>
      <c r="Q825" t="n">
        <v>0</v>
      </c>
      <c r="R825" s="2" t="inlineStr"/>
    </row>
    <row r="826" ht="15" customHeight="1">
      <c r="A826" t="inlineStr">
        <is>
          <t>A 19742-2026</t>
        </is>
      </c>
      <c r="B826" s="1" t="n">
        <v>46133</v>
      </c>
      <c r="C826" s="1" t="n">
        <v>46199</v>
      </c>
      <c r="D826" t="inlineStr">
        <is>
          <t>VÄRMLANDS LÄN</t>
        </is>
      </c>
      <c r="E826" t="inlineStr">
        <is>
          <t>ÅRJÄNG</t>
        </is>
      </c>
      <c r="G826" t="n">
        <v>1.9</v>
      </c>
      <c r="H826" t="n">
        <v>0</v>
      </c>
      <c r="I826" t="n">
        <v>0</v>
      </c>
      <c r="J826" t="n">
        <v>0</v>
      </c>
      <c r="K826" t="n">
        <v>0</v>
      </c>
      <c r="L826" t="n">
        <v>0</v>
      </c>
      <c r="M826" t="n">
        <v>0</v>
      </c>
      <c r="N826" t="n">
        <v>0</v>
      </c>
      <c r="O826" t="n">
        <v>0</v>
      </c>
      <c r="P826" t="n">
        <v>0</v>
      </c>
      <c r="Q826" t="n">
        <v>0</v>
      </c>
      <c r="R826" s="2" t="inlineStr"/>
    </row>
    <row r="827" ht="15" customHeight="1">
      <c r="A827" t="inlineStr">
        <is>
          <t>A 60191-2023</t>
        </is>
      </c>
      <c r="B827" s="1" t="n">
        <v>45257</v>
      </c>
      <c r="C827" s="1" t="n">
        <v>46199</v>
      </c>
      <c r="D827" t="inlineStr">
        <is>
          <t>VÄRMLANDS LÄN</t>
        </is>
      </c>
      <c r="E827" t="inlineStr">
        <is>
          <t>ÅRJÄNG</t>
        </is>
      </c>
      <c r="G827" t="n">
        <v>7.6</v>
      </c>
      <c r="H827" t="n">
        <v>0</v>
      </c>
      <c r="I827" t="n">
        <v>0</v>
      </c>
      <c r="J827" t="n">
        <v>0</v>
      </c>
      <c r="K827" t="n">
        <v>0</v>
      </c>
      <c r="L827" t="n">
        <v>0</v>
      </c>
      <c r="M827" t="n">
        <v>0</v>
      </c>
      <c r="N827" t="n">
        <v>0</v>
      </c>
      <c r="O827" t="n">
        <v>0</v>
      </c>
      <c r="P827" t="n">
        <v>0</v>
      </c>
      <c r="Q827" t="n">
        <v>0</v>
      </c>
      <c r="R827" s="2" t="inlineStr"/>
    </row>
    <row r="828" ht="15" customHeight="1">
      <c r="A828" t="inlineStr">
        <is>
          <t>A 4784-2023</t>
        </is>
      </c>
      <c r="B828" s="1" t="n">
        <v>44957</v>
      </c>
      <c r="C828" s="1" t="n">
        <v>46199</v>
      </c>
      <c r="D828" t="inlineStr">
        <is>
          <t>VÄRMLANDS LÄN</t>
        </is>
      </c>
      <c r="E828" t="inlineStr">
        <is>
          <t>ÅRJÄNG</t>
        </is>
      </c>
      <c r="G828" t="n">
        <v>0.9</v>
      </c>
      <c r="H828" t="n">
        <v>0</v>
      </c>
      <c r="I828" t="n">
        <v>0</v>
      </c>
      <c r="J828" t="n">
        <v>0</v>
      </c>
      <c r="K828" t="n">
        <v>0</v>
      </c>
      <c r="L828" t="n">
        <v>0</v>
      </c>
      <c r="M828" t="n">
        <v>0</v>
      </c>
      <c r="N828" t="n">
        <v>0</v>
      </c>
      <c r="O828" t="n">
        <v>0</v>
      </c>
      <c r="P828" t="n">
        <v>0</v>
      </c>
      <c r="Q828" t="n">
        <v>0</v>
      </c>
      <c r="R828" s="2" t="inlineStr"/>
    </row>
    <row r="829" ht="15" customHeight="1">
      <c r="A829" t="inlineStr">
        <is>
          <t>A 43029-2021</t>
        </is>
      </c>
      <c r="B829" s="1" t="n">
        <v>44431</v>
      </c>
      <c r="C829" s="1" t="n">
        <v>46199</v>
      </c>
      <c r="D829" t="inlineStr">
        <is>
          <t>VÄRMLANDS LÄN</t>
        </is>
      </c>
      <c r="E829" t="inlineStr">
        <is>
          <t>ÅRJÄNG</t>
        </is>
      </c>
      <c r="G829" t="n">
        <v>5.5</v>
      </c>
      <c r="H829" t="n">
        <v>0</v>
      </c>
      <c r="I829" t="n">
        <v>0</v>
      </c>
      <c r="J829" t="n">
        <v>0</v>
      </c>
      <c r="K829" t="n">
        <v>0</v>
      </c>
      <c r="L829" t="n">
        <v>0</v>
      </c>
      <c r="M829" t="n">
        <v>0</v>
      </c>
      <c r="N829" t="n">
        <v>0</v>
      </c>
      <c r="O829" t="n">
        <v>0</v>
      </c>
      <c r="P829" t="n">
        <v>0</v>
      </c>
      <c r="Q829" t="n">
        <v>0</v>
      </c>
      <c r="R829" s="2" t="inlineStr"/>
    </row>
    <row r="830" ht="15" customHeight="1">
      <c r="A830" t="inlineStr">
        <is>
          <t>A 25310-2026</t>
        </is>
      </c>
      <c r="B830" s="1" t="n">
        <v>46176</v>
      </c>
      <c r="C830" s="1" t="n">
        <v>46199</v>
      </c>
      <c r="D830" t="inlineStr">
        <is>
          <t>VÄRMLANDS LÄN</t>
        </is>
      </c>
      <c r="E830" t="inlineStr">
        <is>
          <t>ÅRJÄNG</t>
        </is>
      </c>
      <c r="G830" t="n">
        <v>3.8</v>
      </c>
      <c r="H830" t="n">
        <v>0</v>
      </c>
      <c r="I830" t="n">
        <v>0</v>
      </c>
      <c r="J830" t="n">
        <v>0</v>
      </c>
      <c r="K830" t="n">
        <v>0</v>
      </c>
      <c r="L830" t="n">
        <v>0</v>
      </c>
      <c r="M830" t="n">
        <v>0</v>
      </c>
      <c r="N830" t="n">
        <v>0</v>
      </c>
      <c r="O830" t="n">
        <v>0</v>
      </c>
      <c r="P830" t="n">
        <v>0</v>
      </c>
      <c r="Q830" t="n">
        <v>0</v>
      </c>
      <c r="R830" s="2" t="inlineStr"/>
    </row>
    <row r="831" ht="15" customHeight="1">
      <c r="A831" t="inlineStr">
        <is>
          <t>A 25314-2026</t>
        </is>
      </c>
      <c r="B831" s="1" t="n">
        <v>46176</v>
      </c>
      <c r="C831" s="1" t="n">
        <v>46199</v>
      </c>
      <c r="D831" t="inlineStr">
        <is>
          <t>VÄRMLANDS LÄN</t>
        </is>
      </c>
      <c r="E831" t="inlineStr">
        <is>
          <t>ÅRJÄNG</t>
        </is>
      </c>
      <c r="G831" t="n">
        <v>3.3</v>
      </c>
      <c r="H831" t="n">
        <v>0</v>
      </c>
      <c r="I831" t="n">
        <v>0</v>
      </c>
      <c r="J831" t="n">
        <v>0</v>
      </c>
      <c r="K831" t="n">
        <v>0</v>
      </c>
      <c r="L831" t="n">
        <v>0</v>
      </c>
      <c r="M831" t="n">
        <v>0</v>
      </c>
      <c r="N831" t="n">
        <v>0</v>
      </c>
      <c r="O831" t="n">
        <v>0</v>
      </c>
      <c r="P831" t="n">
        <v>0</v>
      </c>
      <c r="Q831" t="n">
        <v>0</v>
      </c>
      <c r="R831" s="2" t="inlineStr"/>
    </row>
    <row r="832" ht="15" customHeight="1">
      <c r="A832" t="inlineStr">
        <is>
          <t>A 25325-2026</t>
        </is>
      </c>
      <c r="B832" s="1" t="n">
        <v>46176</v>
      </c>
      <c r="C832" s="1" t="n">
        <v>46199</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25113-2026</t>
        </is>
      </c>
      <c r="B833" s="1" t="n">
        <v>46175</v>
      </c>
      <c r="C833" s="1" t="n">
        <v>46199</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69839-2021</t>
        </is>
      </c>
      <c r="B834" s="1" t="n">
        <v>44532</v>
      </c>
      <c r="C834" s="1" t="n">
        <v>46199</v>
      </c>
      <c r="D834" t="inlineStr">
        <is>
          <t>VÄRMLANDS LÄN</t>
        </is>
      </c>
      <c r="E834" t="inlineStr">
        <is>
          <t>ÅRJÄNG</t>
        </is>
      </c>
      <c r="G834" t="n">
        <v>3.1</v>
      </c>
      <c r="H834" t="n">
        <v>0</v>
      </c>
      <c r="I834" t="n">
        <v>0</v>
      </c>
      <c r="J834" t="n">
        <v>0</v>
      </c>
      <c r="K834" t="n">
        <v>0</v>
      </c>
      <c r="L834" t="n">
        <v>0</v>
      </c>
      <c r="M834" t="n">
        <v>0</v>
      </c>
      <c r="N834" t="n">
        <v>0</v>
      </c>
      <c r="O834" t="n">
        <v>0</v>
      </c>
      <c r="P834" t="n">
        <v>0</v>
      </c>
      <c r="Q834" t="n">
        <v>0</v>
      </c>
      <c r="R834" s="2" t="inlineStr"/>
    </row>
    <row r="835" ht="15" customHeight="1">
      <c r="A835" t="inlineStr">
        <is>
          <t>A 1377-2023</t>
        </is>
      </c>
      <c r="B835" s="1" t="n">
        <v>44936</v>
      </c>
      <c r="C835" s="1" t="n">
        <v>46199</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34350-2023</t>
        </is>
      </c>
      <c r="B836" s="1" t="n">
        <v>45139</v>
      </c>
      <c r="C836" s="1" t="n">
        <v>46199</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7619-2023</t>
        </is>
      </c>
      <c r="B837" s="1" t="n">
        <v>44967</v>
      </c>
      <c r="C837" s="1" t="n">
        <v>46199</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60377-2022</t>
        </is>
      </c>
      <c r="B838" s="1" t="n">
        <v>44904</v>
      </c>
      <c r="C838" s="1" t="n">
        <v>46199</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65844-2021</t>
        </is>
      </c>
      <c r="B839" s="1" t="n">
        <v>44517</v>
      </c>
      <c r="C839" s="1" t="n">
        <v>46199</v>
      </c>
      <c r="D839" t="inlineStr">
        <is>
          <t>VÄRMLANDS LÄN</t>
        </is>
      </c>
      <c r="E839" t="inlineStr">
        <is>
          <t>ÅRJÄNG</t>
        </is>
      </c>
      <c r="G839" t="n">
        <v>4.6</v>
      </c>
      <c r="H839" t="n">
        <v>0</v>
      </c>
      <c r="I839" t="n">
        <v>0</v>
      </c>
      <c r="J839" t="n">
        <v>0</v>
      </c>
      <c r="K839" t="n">
        <v>0</v>
      </c>
      <c r="L839" t="n">
        <v>0</v>
      </c>
      <c r="M839" t="n">
        <v>0</v>
      </c>
      <c r="N839" t="n">
        <v>0</v>
      </c>
      <c r="O839" t="n">
        <v>0</v>
      </c>
      <c r="P839" t="n">
        <v>0</v>
      </c>
      <c r="Q839" t="n">
        <v>0</v>
      </c>
      <c r="R839" s="2" t="inlineStr"/>
    </row>
    <row r="840" ht="15" customHeight="1">
      <c r="A840" t="inlineStr">
        <is>
          <t>A 46315-2024</t>
        </is>
      </c>
      <c r="B840" s="1" t="n">
        <v>45581</v>
      </c>
      <c r="C840" s="1" t="n">
        <v>46199</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14910-2025</t>
        </is>
      </c>
      <c r="B841" s="1" t="n">
        <v>45743</v>
      </c>
      <c r="C841" s="1" t="n">
        <v>46199</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15210-2025</t>
        </is>
      </c>
      <c r="B842" s="1" t="n">
        <v>45744</v>
      </c>
      <c r="C842" s="1" t="n">
        <v>46199</v>
      </c>
      <c r="D842" t="inlineStr">
        <is>
          <t>VÄRMLANDS LÄN</t>
        </is>
      </c>
      <c r="E842" t="inlineStr">
        <is>
          <t>ÅRJÄNG</t>
        </is>
      </c>
      <c r="G842" t="n">
        <v>2.7</v>
      </c>
      <c r="H842" t="n">
        <v>0</v>
      </c>
      <c r="I842" t="n">
        <v>0</v>
      </c>
      <c r="J842" t="n">
        <v>0</v>
      </c>
      <c r="K842" t="n">
        <v>0</v>
      </c>
      <c r="L842" t="n">
        <v>0</v>
      </c>
      <c r="M842" t="n">
        <v>0</v>
      </c>
      <c r="N842" t="n">
        <v>0</v>
      </c>
      <c r="O842" t="n">
        <v>0</v>
      </c>
      <c r="P842" t="n">
        <v>0</v>
      </c>
      <c r="Q842" t="n">
        <v>0</v>
      </c>
      <c r="R842" s="2" t="inlineStr"/>
    </row>
    <row r="843" ht="15" customHeight="1">
      <c r="A843" t="inlineStr">
        <is>
          <t>A 37220-2024</t>
        </is>
      </c>
      <c r="B843" s="1" t="n">
        <v>45539</v>
      </c>
      <c r="C843" s="1" t="n">
        <v>46199</v>
      </c>
      <c r="D843" t="inlineStr">
        <is>
          <t>VÄRMLANDS LÄN</t>
        </is>
      </c>
      <c r="E843" t="inlineStr">
        <is>
          <t>ÅRJÄNG</t>
        </is>
      </c>
      <c r="G843" t="n">
        <v>3.5</v>
      </c>
      <c r="H843" t="n">
        <v>0</v>
      </c>
      <c r="I843" t="n">
        <v>0</v>
      </c>
      <c r="J843" t="n">
        <v>0</v>
      </c>
      <c r="K843" t="n">
        <v>0</v>
      </c>
      <c r="L843" t="n">
        <v>0</v>
      </c>
      <c r="M843" t="n">
        <v>0</v>
      </c>
      <c r="N843" t="n">
        <v>0</v>
      </c>
      <c r="O843" t="n">
        <v>0</v>
      </c>
      <c r="P843" t="n">
        <v>0</v>
      </c>
      <c r="Q843" t="n">
        <v>0</v>
      </c>
      <c r="R843" s="2" t="inlineStr"/>
    </row>
    <row r="844" ht="15" customHeight="1">
      <c r="A844" t="inlineStr">
        <is>
          <t>A 12006-2023</t>
        </is>
      </c>
      <c r="B844" s="1" t="n">
        <v>44995</v>
      </c>
      <c r="C844" s="1" t="n">
        <v>46199</v>
      </c>
      <c r="D844" t="inlineStr">
        <is>
          <t>VÄRMLANDS LÄN</t>
        </is>
      </c>
      <c r="E844" t="inlineStr">
        <is>
          <t>ÅRJÄNG</t>
        </is>
      </c>
      <c r="G844" t="n">
        <v>0.9</v>
      </c>
      <c r="H844" t="n">
        <v>0</v>
      </c>
      <c r="I844" t="n">
        <v>0</v>
      </c>
      <c r="J844" t="n">
        <v>0</v>
      </c>
      <c r="K844" t="n">
        <v>0</v>
      </c>
      <c r="L844" t="n">
        <v>0</v>
      </c>
      <c r="M844" t="n">
        <v>0</v>
      </c>
      <c r="N844" t="n">
        <v>0</v>
      </c>
      <c r="O844" t="n">
        <v>0</v>
      </c>
      <c r="P844" t="n">
        <v>0</v>
      </c>
      <c r="Q844" t="n">
        <v>0</v>
      </c>
      <c r="R844" s="2" t="inlineStr"/>
    </row>
    <row r="845" ht="15" customHeight="1">
      <c r="A845" t="inlineStr">
        <is>
          <t>A 25639-2026</t>
        </is>
      </c>
      <c r="B845" s="1" t="n">
        <v>46175</v>
      </c>
      <c r="C845" s="1" t="n">
        <v>46199</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39905-2025</t>
        </is>
      </c>
      <c r="B846" s="1" t="n">
        <v>45891</v>
      </c>
      <c r="C846" s="1" t="n">
        <v>46199</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59068-2024</t>
        </is>
      </c>
      <c r="B847" s="1" t="n">
        <v>45636</v>
      </c>
      <c r="C847" s="1" t="n">
        <v>46199</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29138-2025</t>
        </is>
      </c>
      <c r="B848" s="1" t="n">
        <v>45821</v>
      </c>
      <c r="C848" s="1" t="n">
        <v>46199</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52803-2024</t>
        </is>
      </c>
      <c r="B849" s="1" t="n">
        <v>45610</v>
      </c>
      <c r="C849" s="1" t="n">
        <v>46199</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52730-2021</t>
        </is>
      </c>
      <c r="B850" s="1" t="n">
        <v>44467</v>
      </c>
      <c r="C850" s="1" t="n">
        <v>46199</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6405-2024</t>
        </is>
      </c>
      <c r="B851" s="1" t="n">
        <v>45338</v>
      </c>
      <c r="C851" s="1" t="n">
        <v>46199</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13859-2023</t>
        </is>
      </c>
      <c r="B852" s="1" t="n">
        <v>45007</v>
      </c>
      <c r="C852" s="1" t="n">
        <v>46199</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50941-2023</t>
        </is>
      </c>
      <c r="B853" s="1" t="n">
        <v>45218</v>
      </c>
      <c r="C853" s="1" t="n">
        <v>46199</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4465-2022</t>
        </is>
      </c>
      <c r="B854" s="1" t="n">
        <v>44589</v>
      </c>
      <c r="C854" s="1" t="n">
        <v>46199</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58874-2023</t>
        </is>
      </c>
      <c r="B855" s="1" t="n">
        <v>45252</v>
      </c>
      <c r="C855" s="1" t="n">
        <v>46199</v>
      </c>
      <c r="D855" t="inlineStr">
        <is>
          <t>VÄRMLANDS LÄN</t>
        </is>
      </c>
      <c r="E855" t="inlineStr">
        <is>
          <t>ÅRJÄNG</t>
        </is>
      </c>
      <c r="G855" t="n">
        <v>2.5</v>
      </c>
      <c r="H855" t="n">
        <v>0</v>
      </c>
      <c r="I855" t="n">
        <v>0</v>
      </c>
      <c r="J855" t="n">
        <v>0</v>
      </c>
      <c r="K855" t="n">
        <v>0</v>
      </c>
      <c r="L855" t="n">
        <v>0</v>
      </c>
      <c r="M855" t="n">
        <v>0</v>
      </c>
      <c r="N855" t="n">
        <v>0</v>
      </c>
      <c r="O855" t="n">
        <v>0</v>
      </c>
      <c r="P855" t="n">
        <v>0</v>
      </c>
      <c r="Q855" t="n">
        <v>0</v>
      </c>
      <c r="R855" s="2" t="inlineStr"/>
    </row>
    <row r="856" ht="15" customHeight="1">
      <c r="A856" t="inlineStr">
        <is>
          <t>A 62357-2021</t>
        </is>
      </c>
      <c r="B856" s="1" t="n">
        <v>44503</v>
      </c>
      <c r="C856" s="1" t="n">
        <v>46199</v>
      </c>
      <c r="D856" t="inlineStr">
        <is>
          <t>VÄRMLANDS LÄN</t>
        </is>
      </c>
      <c r="E856" t="inlineStr">
        <is>
          <t>ÅRJÄNG</t>
        </is>
      </c>
      <c r="G856" t="n">
        <v>1.9</v>
      </c>
      <c r="H856" t="n">
        <v>0</v>
      </c>
      <c r="I856" t="n">
        <v>0</v>
      </c>
      <c r="J856" t="n">
        <v>0</v>
      </c>
      <c r="K856" t="n">
        <v>0</v>
      </c>
      <c r="L856" t="n">
        <v>0</v>
      </c>
      <c r="M856" t="n">
        <v>0</v>
      </c>
      <c r="N856" t="n">
        <v>0</v>
      </c>
      <c r="O856" t="n">
        <v>0</v>
      </c>
      <c r="P856" t="n">
        <v>0</v>
      </c>
      <c r="Q856" t="n">
        <v>0</v>
      </c>
      <c r="R856" s="2" t="inlineStr"/>
    </row>
    <row r="857" ht="15" customHeight="1">
      <c r="A857" t="inlineStr">
        <is>
          <t>A 53742-2024</t>
        </is>
      </c>
      <c r="B857" s="1" t="n">
        <v>45615</v>
      </c>
      <c r="C857" s="1" t="n">
        <v>46199</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434-2026</t>
        </is>
      </c>
      <c r="B858" s="1" t="n">
        <v>46029</v>
      </c>
      <c r="C858" s="1" t="n">
        <v>46199</v>
      </c>
      <c r="D858" t="inlineStr">
        <is>
          <t>VÄRMLANDS LÄN</t>
        </is>
      </c>
      <c r="E858" t="inlineStr">
        <is>
          <t>ÅRJÄNG</t>
        </is>
      </c>
      <c r="G858" t="n">
        <v>6.2</v>
      </c>
      <c r="H858" t="n">
        <v>0</v>
      </c>
      <c r="I858" t="n">
        <v>0</v>
      </c>
      <c r="J858" t="n">
        <v>0</v>
      </c>
      <c r="K858" t="n">
        <v>0</v>
      </c>
      <c r="L858" t="n">
        <v>0</v>
      </c>
      <c r="M858" t="n">
        <v>0</v>
      </c>
      <c r="N858" t="n">
        <v>0</v>
      </c>
      <c r="O858" t="n">
        <v>0</v>
      </c>
      <c r="P858" t="n">
        <v>0</v>
      </c>
      <c r="Q858" t="n">
        <v>0</v>
      </c>
      <c r="R858" s="2" t="inlineStr"/>
    </row>
    <row r="859" ht="15" customHeight="1">
      <c r="A859" t="inlineStr">
        <is>
          <t>A 14768-2024</t>
        </is>
      </c>
      <c r="B859" s="1" t="n">
        <v>45397</v>
      </c>
      <c r="C859" s="1" t="n">
        <v>46199</v>
      </c>
      <c r="D859" t="inlineStr">
        <is>
          <t>VÄRMLANDS LÄN</t>
        </is>
      </c>
      <c r="E859" t="inlineStr">
        <is>
          <t>ÅRJÄNG</t>
        </is>
      </c>
      <c r="G859" t="n">
        <v>1.9</v>
      </c>
      <c r="H859" t="n">
        <v>0</v>
      </c>
      <c r="I859" t="n">
        <v>0</v>
      </c>
      <c r="J859" t="n">
        <v>0</v>
      </c>
      <c r="K859" t="n">
        <v>0</v>
      </c>
      <c r="L859" t="n">
        <v>0</v>
      </c>
      <c r="M859" t="n">
        <v>0</v>
      </c>
      <c r="N859" t="n">
        <v>0</v>
      </c>
      <c r="O859" t="n">
        <v>0</v>
      </c>
      <c r="P859" t="n">
        <v>0</v>
      </c>
      <c r="Q859" t="n">
        <v>0</v>
      </c>
      <c r="R859" s="2" t="inlineStr"/>
    </row>
    <row r="860" ht="15" customHeight="1">
      <c r="A860" t="inlineStr">
        <is>
          <t>A 22667-2025</t>
        </is>
      </c>
      <c r="B860" s="1" t="n">
        <v>45789</v>
      </c>
      <c r="C860" s="1" t="n">
        <v>46199</v>
      </c>
      <c r="D860" t="inlineStr">
        <is>
          <t>VÄRMLANDS LÄN</t>
        </is>
      </c>
      <c r="E860" t="inlineStr">
        <is>
          <t>ÅRJÄNG</t>
        </is>
      </c>
      <c r="G860" t="n">
        <v>4.4</v>
      </c>
      <c r="H860" t="n">
        <v>0</v>
      </c>
      <c r="I860" t="n">
        <v>0</v>
      </c>
      <c r="J860" t="n">
        <v>0</v>
      </c>
      <c r="K860" t="n">
        <v>0</v>
      </c>
      <c r="L860" t="n">
        <v>0</v>
      </c>
      <c r="M860" t="n">
        <v>0</v>
      </c>
      <c r="N860" t="n">
        <v>0</v>
      </c>
      <c r="O860" t="n">
        <v>0</v>
      </c>
      <c r="P860" t="n">
        <v>0</v>
      </c>
      <c r="Q860" t="n">
        <v>0</v>
      </c>
      <c r="R860" s="2" t="inlineStr"/>
    </row>
    <row r="861" ht="15" customHeight="1">
      <c r="A861" t="inlineStr">
        <is>
          <t>A 29204-2023</t>
        </is>
      </c>
      <c r="B861" s="1" t="n">
        <v>45105</v>
      </c>
      <c r="C861" s="1" t="n">
        <v>46199</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38536-2024</t>
        </is>
      </c>
      <c r="B862" s="1" t="n">
        <v>45546</v>
      </c>
      <c r="C862" s="1" t="n">
        <v>46199</v>
      </c>
      <c r="D862" t="inlineStr">
        <is>
          <t>VÄRMLANDS LÄN</t>
        </is>
      </c>
      <c r="E862" t="inlineStr">
        <is>
          <t>ÅRJÄNG</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37420-2025</t>
        </is>
      </c>
      <c r="B863" s="1" t="n">
        <v>45877</v>
      </c>
      <c r="C863" s="1" t="n">
        <v>46199</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17015-2023</t>
        </is>
      </c>
      <c r="B864" s="1" t="n">
        <v>45030</v>
      </c>
      <c r="C864" s="1" t="n">
        <v>46199</v>
      </c>
      <c r="D864" t="inlineStr">
        <is>
          <t>VÄRMLANDS LÄN</t>
        </is>
      </c>
      <c r="E864" t="inlineStr">
        <is>
          <t>ÅRJÄNG</t>
        </is>
      </c>
      <c r="F864" t="inlineStr">
        <is>
          <t>Övriga Aktiebolag</t>
        </is>
      </c>
      <c r="G864" t="n">
        <v>13.9</v>
      </c>
      <c r="H864" t="n">
        <v>0</v>
      </c>
      <c r="I864" t="n">
        <v>0</v>
      </c>
      <c r="J864" t="n">
        <v>0</v>
      </c>
      <c r="K864" t="n">
        <v>0</v>
      </c>
      <c r="L864" t="n">
        <v>0</v>
      </c>
      <c r="M864" t="n">
        <v>0</v>
      </c>
      <c r="N864" t="n">
        <v>0</v>
      </c>
      <c r="O864" t="n">
        <v>0</v>
      </c>
      <c r="P864" t="n">
        <v>0</v>
      </c>
      <c r="Q864" t="n">
        <v>0</v>
      </c>
      <c r="R864" s="2" t="inlineStr"/>
    </row>
    <row r="865" ht="15" customHeight="1">
      <c r="A865" t="inlineStr">
        <is>
          <t>A 37510-2025</t>
        </is>
      </c>
      <c r="B865" s="1" t="n">
        <v>45877</v>
      </c>
      <c r="C865" s="1" t="n">
        <v>46199</v>
      </c>
      <c r="D865" t="inlineStr">
        <is>
          <t>VÄRMLANDS LÄN</t>
        </is>
      </c>
      <c r="E865" t="inlineStr">
        <is>
          <t>ÅRJÄNG</t>
        </is>
      </c>
      <c r="G865" t="n">
        <v>10.4</v>
      </c>
      <c r="H865" t="n">
        <v>0</v>
      </c>
      <c r="I865" t="n">
        <v>0</v>
      </c>
      <c r="J865" t="n">
        <v>0</v>
      </c>
      <c r="K865" t="n">
        <v>0</v>
      </c>
      <c r="L865" t="n">
        <v>0</v>
      </c>
      <c r="M865" t="n">
        <v>0</v>
      </c>
      <c r="N865" t="n">
        <v>0</v>
      </c>
      <c r="O865" t="n">
        <v>0</v>
      </c>
      <c r="P865" t="n">
        <v>0</v>
      </c>
      <c r="Q865" t="n">
        <v>0</v>
      </c>
      <c r="R865" s="2" t="inlineStr"/>
    </row>
    <row r="866" ht="15" customHeight="1">
      <c r="A866" t="inlineStr">
        <is>
          <t>A 38840-2023</t>
        </is>
      </c>
      <c r="B866" s="1" t="n">
        <v>45163</v>
      </c>
      <c r="C866" s="1" t="n">
        <v>46199</v>
      </c>
      <c r="D866" t="inlineStr">
        <is>
          <t>VÄRMLANDS LÄN</t>
        </is>
      </c>
      <c r="E866" t="inlineStr">
        <is>
          <t>ÅRJÄNG</t>
        </is>
      </c>
      <c r="G866" t="n">
        <v>2.4</v>
      </c>
      <c r="H866" t="n">
        <v>0</v>
      </c>
      <c r="I866" t="n">
        <v>0</v>
      </c>
      <c r="J866" t="n">
        <v>0</v>
      </c>
      <c r="K866" t="n">
        <v>0</v>
      </c>
      <c r="L866" t="n">
        <v>0</v>
      </c>
      <c r="M866" t="n">
        <v>0</v>
      </c>
      <c r="N866" t="n">
        <v>0</v>
      </c>
      <c r="O866" t="n">
        <v>0</v>
      </c>
      <c r="P866" t="n">
        <v>0</v>
      </c>
      <c r="Q866" t="n">
        <v>0</v>
      </c>
      <c r="R866" s="2" t="inlineStr"/>
    </row>
    <row r="867" ht="15" customHeight="1">
      <c r="A867" t="inlineStr">
        <is>
          <t>A 36195-2023</t>
        </is>
      </c>
      <c r="B867" s="1" t="n">
        <v>45149</v>
      </c>
      <c r="C867" s="1" t="n">
        <v>46199</v>
      </c>
      <c r="D867" t="inlineStr">
        <is>
          <t>VÄRMLANDS LÄN</t>
        </is>
      </c>
      <c r="E867" t="inlineStr">
        <is>
          <t>ÅRJÄNG</t>
        </is>
      </c>
      <c r="G867" t="n">
        <v>2.3</v>
      </c>
      <c r="H867" t="n">
        <v>0</v>
      </c>
      <c r="I867" t="n">
        <v>0</v>
      </c>
      <c r="J867" t="n">
        <v>0</v>
      </c>
      <c r="K867" t="n">
        <v>0</v>
      </c>
      <c r="L867" t="n">
        <v>0</v>
      </c>
      <c r="M867" t="n">
        <v>0</v>
      </c>
      <c r="N867" t="n">
        <v>0</v>
      </c>
      <c r="O867" t="n">
        <v>0</v>
      </c>
      <c r="P867" t="n">
        <v>0</v>
      </c>
      <c r="Q867" t="n">
        <v>0</v>
      </c>
      <c r="R867" s="2" t="inlineStr"/>
    </row>
    <row r="868" ht="15" customHeight="1">
      <c r="A868" t="inlineStr">
        <is>
          <t>A 11899-2025</t>
        </is>
      </c>
      <c r="B868" s="1" t="n">
        <v>45728</v>
      </c>
      <c r="C868" s="1" t="n">
        <v>46199</v>
      </c>
      <c r="D868" t="inlineStr">
        <is>
          <t>VÄRMLANDS LÄN</t>
        </is>
      </c>
      <c r="E868" t="inlineStr">
        <is>
          <t>ÅRJÄNG</t>
        </is>
      </c>
      <c r="G868" t="n">
        <v>3.9</v>
      </c>
      <c r="H868" t="n">
        <v>0</v>
      </c>
      <c r="I868" t="n">
        <v>0</v>
      </c>
      <c r="J868" t="n">
        <v>0</v>
      </c>
      <c r="K868" t="n">
        <v>0</v>
      </c>
      <c r="L868" t="n">
        <v>0</v>
      </c>
      <c r="M868" t="n">
        <v>0</v>
      </c>
      <c r="N868" t="n">
        <v>0</v>
      </c>
      <c r="O868" t="n">
        <v>0</v>
      </c>
      <c r="P868" t="n">
        <v>0</v>
      </c>
      <c r="Q868" t="n">
        <v>0</v>
      </c>
      <c r="R868" s="2" t="inlineStr"/>
    </row>
    <row r="869" ht="15" customHeight="1">
      <c r="A869" t="inlineStr">
        <is>
          <t>A 3729-2025</t>
        </is>
      </c>
      <c r="B869" s="1" t="n">
        <v>45681</v>
      </c>
      <c r="C869" s="1" t="n">
        <v>46199</v>
      </c>
      <c r="D869" t="inlineStr">
        <is>
          <t>VÄRMLANDS LÄN</t>
        </is>
      </c>
      <c r="E869" t="inlineStr">
        <is>
          <t>ÅRJÄNG</t>
        </is>
      </c>
      <c r="G869" t="n">
        <v>1.9</v>
      </c>
      <c r="H869" t="n">
        <v>0</v>
      </c>
      <c r="I869" t="n">
        <v>0</v>
      </c>
      <c r="J869" t="n">
        <v>0</v>
      </c>
      <c r="K869" t="n">
        <v>0</v>
      </c>
      <c r="L869" t="n">
        <v>0</v>
      </c>
      <c r="M869" t="n">
        <v>0</v>
      </c>
      <c r="N869" t="n">
        <v>0</v>
      </c>
      <c r="O869" t="n">
        <v>0</v>
      </c>
      <c r="P869" t="n">
        <v>0</v>
      </c>
      <c r="Q869" t="n">
        <v>0</v>
      </c>
      <c r="R869" s="2" t="inlineStr"/>
    </row>
    <row r="870" ht="15" customHeight="1">
      <c r="A870" t="inlineStr">
        <is>
          <t>A 7445-2024</t>
        </is>
      </c>
      <c r="B870" s="1" t="n">
        <v>45345</v>
      </c>
      <c r="C870" s="1" t="n">
        <v>46199</v>
      </c>
      <c r="D870" t="inlineStr">
        <is>
          <t>VÄRMLANDS LÄN</t>
        </is>
      </c>
      <c r="E870" t="inlineStr">
        <is>
          <t>ÅRJÄNG</t>
        </is>
      </c>
      <c r="G870" t="n">
        <v>0.5</v>
      </c>
      <c r="H870" t="n">
        <v>0</v>
      </c>
      <c r="I870" t="n">
        <v>0</v>
      </c>
      <c r="J870" t="n">
        <v>0</v>
      </c>
      <c r="K870" t="n">
        <v>0</v>
      </c>
      <c r="L870" t="n">
        <v>0</v>
      </c>
      <c r="M870" t="n">
        <v>0</v>
      </c>
      <c r="N870" t="n">
        <v>0</v>
      </c>
      <c r="O870" t="n">
        <v>0</v>
      </c>
      <c r="P870" t="n">
        <v>0</v>
      </c>
      <c r="Q870" t="n">
        <v>0</v>
      </c>
      <c r="R870" s="2" t="inlineStr"/>
    </row>
    <row r="871" ht="15" customHeight="1">
      <c r="A871" t="inlineStr">
        <is>
          <t>A 8625-2022</t>
        </is>
      </c>
      <c r="B871" s="1" t="n">
        <v>44613</v>
      </c>
      <c r="C871" s="1" t="n">
        <v>46199</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14446-2025</t>
        </is>
      </c>
      <c r="B872" s="1" t="n">
        <v>45741</v>
      </c>
      <c r="C872" s="1" t="n">
        <v>46199</v>
      </c>
      <c r="D872" t="inlineStr">
        <is>
          <t>VÄRMLANDS LÄN</t>
        </is>
      </c>
      <c r="E872" t="inlineStr">
        <is>
          <t>ÅRJÄNG</t>
        </is>
      </c>
      <c r="G872" t="n">
        <v>4.3</v>
      </c>
      <c r="H872" t="n">
        <v>0</v>
      </c>
      <c r="I872" t="n">
        <v>0</v>
      </c>
      <c r="J872" t="n">
        <v>0</v>
      </c>
      <c r="K872" t="n">
        <v>0</v>
      </c>
      <c r="L872" t="n">
        <v>0</v>
      </c>
      <c r="M872" t="n">
        <v>0</v>
      </c>
      <c r="N872" t="n">
        <v>0</v>
      </c>
      <c r="O872" t="n">
        <v>0</v>
      </c>
      <c r="P872" t="n">
        <v>0</v>
      </c>
      <c r="Q872" t="n">
        <v>0</v>
      </c>
      <c r="R872" s="2" t="inlineStr"/>
    </row>
    <row r="873" ht="15" customHeight="1">
      <c r="A873" t="inlineStr">
        <is>
          <t>A 13481-2025</t>
        </is>
      </c>
      <c r="B873" s="1" t="n">
        <v>45736</v>
      </c>
      <c r="C873" s="1" t="n">
        <v>46199</v>
      </c>
      <c r="D873" t="inlineStr">
        <is>
          <t>VÄRMLANDS LÄN</t>
        </is>
      </c>
      <c r="E873" t="inlineStr">
        <is>
          <t>ÅRJÄNG</t>
        </is>
      </c>
      <c r="G873" t="n">
        <v>5.2</v>
      </c>
      <c r="H873" t="n">
        <v>0</v>
      </c>
      <c r="I873" t="n">
        <v>0</v>
      </c>
      <c r="J873" t="n">
        <v>0</v>
      </c>
      <c r="K873" t="n">
        <v>0</v>
      </c>
      <c r="L873" t="n">
        <v>0</v>
      </c>
      <c r="M873" t="n">
        <v>0</v>
      </c>
      <c r="N873" t="n">
        <v>0</v>
      </c>
      <c r="O873" t="n">
        <v>0</v>
      </c>
      <c r="P873" t="n">
        <v>0</v>
      </c>
      <c r="Q873" t="n">
        <v>0</v>
      </c>
      <c r="R873" s="2" t="inlineStr"/>
    </row>
    <row r="874" ht="15" customHeight="1">
      <c r="A874" t="inlineStr">
        <is>
          <t>A 13871-2025</t>
        </is>
      </c>
      <c r="B874" s="1" t="n">
        <v>45737</v>
      </c>
      <c r="C874" s="1" t="n">
        <v>46199</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36017-2024</t>
        </is>
      </c>
      <c r="B875" s="1" t="n">
        <v>45533</v>
      </c>
      <c r="C875" s="1" t="n">
        <v>46199</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57152-2024</t>
        </is>
      </c>
      <c r="B876" s="1" t="n">
        <v>45628</v>
      </c>
      <c r="C876" s="1" t="n">
        <v>46199</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57158-2024</t>
        </is>
      </c>
      <c r="B877" s="1" t="n">
        <v>45628</v>
      </c>
      <c r="C877" s="1" t="n">
        <v>46199</v>
      </c>
      <c r="D877" t="inlineStr">
        <is>
          <t>VÄRMLANDS LÄN</t>
        </is>
      </c>
      <c r="E877" t="inlineStr">
        <is>
          <t>ÅRJÄNG</t>
        </is>
      </c>
      <c r="G877" t="n">
        <v>6.3</v>
      </c>
      <c r="H877" t="n">
        <v>0</v>
      </c>
      <c r="I877" t="n">
        <v>0</v>
      </c>
      <c r="J877" t="n">
        <v>0</v>
      </c>
      <c r="K877" t="n">
        <v>0</v>
      </c>
      <c r="L877" t="n">
        <v>0</v>
      </c>
      <c r="M877" t="n">
        <v>0</v>
      </c>
      <c r="N877" t="n">
        <v>0</v>
      </c>
      <c r="O877" t="n">
        <v>0</v>
      </c>
      <c r="P877" t="n">
        <v>0</v>
      </c>
      <c r="Q877" t="n">
        <v>0</v>
      </c>
      <c r="R877" s="2" t="inlineStr"/>
    </row>
    <row r="878" ht="15" customHeight="1">
      <c r="A878" t="inlineStr">
        <is>
          <t>A 37409-2025</t>
        </is>
      </c>
      <c r="B878" s="1" t="n">
        <v>45877</v>
      </c>
      <c r="C878" s="1" t="n">
        <v>46199</v>
      </c>
      <c r="D878" t="inlineStr">
        <is>
          <t>VÄRMLANDS LÄN</t>
        </is>
      </c>
      <c r="E878" t="inlineStr">
        <is>
          <t>ÅRJÄNG</t>
        </is>
      </c>
      <c r="G878" t="n">
        <v>4.8</v>
      </c>
      <c r="H878" t="n">
        <v>0</v>
      </c>
      <c r="I878" t="n">
        <v>0</v>
      </c>
      <c r="J878" t="n">
        <v>0</v>
      </c>
      <c r="K878" t="n">
        <v>0</v>
      </c>
      <c r="L878" t="n">
        <v>0</v>
      </c>
      <c r="M878" t="n">
        <v>0</v>
      </c>
      <c r="N878" t="n">
        <v>0</v>
      </c>
      <c r="O878" t="n">
        <v>0</v>
      </c>
      <c r="P878" t="n">
        <v>0</v>
      </c>
      <c r="Q878" t="n">
        <v>0</v>
      </c>
      <c r="R878" s="2" t="inlineStr"/>
    </row>
    <row r="879" ht="15" customHeight="1">
      <c r="A879" t="inlineStr">
        <is>
          <t>A 58540-2024</t>
        </is>
      </c>
      <c r="B879" s="1" t="n">
        <v>45635</v>
      </c>
      <c r="C879" s="1" t="n">
        <v>46199</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49728-2025</t>
        </is>
      </c>
      <c r="B880" s="1" t="n">
        <v>45939</v>
      </c>
      <c r="C880" s="1" t="n">
        <v>46199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20553-2026</t>
        </is>
      </c>
      <c r="B881" s="1" t="n">
        <v>46140</v>
      </c>
      <c r="C881" s="1" t="n">
        <v>46199</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47028-2024</t>
        </is>
      </c>
      <c r="B882" s="1" t="n">
        <v>45586</v>
      </c>
      <c r="C882" s="1" t="n">
        <v>46199</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37029-2024</t>
        </is>
      </c>
      <c r="B883" s="1" t="n">
        <v>45539</v>
      </c>
      <c r="C883" s="1" t="n">
        <v>46199</v>
      </c>
      <c r="D883" t="inlineStr">
        <is>
          <t>VÄRMLANDS LÄN</t>
        </is>
      </c>
      <c r="E883" t="inlineStr">
        <is>
          <t>ÅRJÄNG</t>
        </is>
      </c>
      <c r="G883" t="n">
        <v>4.7</v>
      </c>
      <c r="H883" t="n">
        <v>0</v>
      </c>
      <c r="I883" t="n">
        <v>0</v>
      </c>
      <c r="J883" t="n">
        <v>0</v>
      </c>
      <c r="K883" t="n">
        <v>0</v>
      </c>
      <c r="L883" t="n">
        <v>0</v>
      </c>
      <c r="M883" t="n">
        <v>0</v>
      </c>
      <c r="N883" t="n">
        <v>0</v>
      </c>
      <c r="O883" t="n">
        <v>0</v>
      </c>
      <c r="P883" t="n">
        <v>0</v>
      </c>
      <c r="Q883" t="n">
        <v>0</v>
      </c>
      <c r="R883" s="2" t="inlineStr"/>
    </row>
    <row r="884" ht="15" customHeight="1">
      <c r="A884" t="inlineStr">
        <is>
          <t>A 31794-2023</t>
        </is>
      </c>
      <c r="B884" s="1" t="n">
        <v>45118</v>
      </c>
      <c r="C884" s="1" t="n">
        <v>46199</v>
      </c>
      <c r="D884" t="inlineStr">
        <is>
          <t>VÄRMLANDS LÄN</t>
        </is>
      </c>
      <c r="E884" t="inlineStr">
        <is>
          <t>ÅRJÄNG</t>
        </is>
      </c>
      <c r="G884" t="n">
        <v>2.3</v>
      </c>
      <c r="H884" t="n">
        <v>0</v>
      </c>
      <c r="I884" t="n">
        <v>0</v>
      </c>
      <c r="J884" t="n">
        <v>0</v>
      </c>
      <c r="K884" t="n">
        <v>0</v>
      </c>
      <c r="L884" t="n">
        <v>0</v>
      </c>
      <c r="M884" t="n">
        <v>0</v>
      </c>
      <c r="N884" t="n">
        <v>0</v>
      </c>
      <c r="O884" t="n">
        <v>0</v>
      </c>
      <c r="P884" t="n">
        <v>0</v>
      </c>
      <c r="Q884" t="n">
        <v>0</v>
      </c>
      <c r="R884" s="2" t="inlineStr"/>
    </row>
    <row r="885" ht="15" customHeight="1">
      <c r="A885" t="inlineStr">
        <is>
          <t>A 4668-2025</t>
        </is>
      </c>
      <c r="B885" s="1" t="n">
        <v>45687</v>
      </c>
      <c r="C885" s="1" t="n">
        <v>46199</v>
      </c>
      <c r="D885" t="inlineStr">
        <is>
          <t>VÄRMLANDS LÄN</t>
        </is>
      </c>
      <c r="E885" t="inlineStr">
        <is>
          <t>ÅRJÄNG</t>
        </is>
      </c>
      <c r="G885" t="n">
        <v>8.5</v>
      </c>
      <c r="H885" t="n">
        <v>0</v>
      </c>
      <c r="I885" t="n">
        <v>0</v>
      </c>
      <c r="J885" t="n">
        <v>0</v>
      </c>
      <c r="K885" t="n">
        <v>0</v>
      </c>
      <c r="L885" t="n">
        <v>0</v>
      </c>
      <c r="M885" t="n">
        <v>0</v>
      </c>
      <c r="N885" t="n">
        <v>0</v>
      </c>
      <c r="O885" t="n">
        <v>0</v>
      </c>
      <c r="P885" t="n">
        <v>0</v>
      </c>
      <c r="Q885" t="n">
        <v>0</v>
      </c>
      <c r="R885" s="2" t="inlineStr"/>
    </row>
    <row r="886" ht="15" customHeight="1">
      <c r="A886" t="inlineStr">
        <is>
          <t>A 42677-2025</t>
        </is>
      </c>
      <c r="B886" s="1" t="n">
        <v>45908</v>
      </c>
      <c r="C886" s="1" t="n">
        <v>46199</v>
      </c>
      <c r="D886" t="inlineStr">
        <is>
          <t>VÄRMLANDS LÄN</t>
        </is>
      </c>
      <c r="E886" t="inlineStr">
        <is>
          <t>ÅRJÄNG</t>
        </is>
      </c>
      <c r="G886" t="n">
        <v>2.7</v>
      </c>
      <c r="H886" t="n">
        <v>0</v>
      </c>
      <c r="I886" t="n">
        <v>0</v>
      </c>
      <c r="J886" t="n">
        <v>0</v>
      </c>
      <c r="K886" t="n">
        <v>0</v>
      </c>
      <c r="L886" t="n">
        <v>0</v>
      </c>
      <c r="M886" t="n">
        <v>0</v>
      </c>
      <c r="N886" t="n">
        <v>0</v>
      </c>
      <c r="O886" t="n">
        <v>0</v>
      </c>
      <c r="P886" t="n">
        <v>0</v>
      </c>
      <c r="Q886" t="n">
        <v>0</v>
      </c>
      <c r="R886" s="2" t="inlineStr"/>
    </row>
    <row r="887" ht="15" customHeight="1">
      <c r="A887" t="inlineStr">
        <is>
          <t>A 58270-2024</t>
        </is>
      </c>
      <c r="B887" s="1" t="n">
        <v>45632</v>
      </c>
      <c r="C887" s="1" t="n">
        <v>46199</v>
      </c>
      <c r="D887" t="inlineStr">
        <is>
          <t>VÄRMLANDS LÄN</t>
        </is>
      </c>
      <c r="E887" t="inlineStr">
        <is>
          <t>ÅRJÄNG</t>
        </is>
      </c>
      <c r="G887" t="n">
        <v>2.4</v>
      </c>
      <c r="H887" t="n">
        <v>0</v>
      </c>
      <c r="I887" t="n">
        <v>0</v>
      </c>
      <c r="J887" t="n">
        <v>0</v>
      </c>
      <c r="K887" t="n">
        <v>0</v>
      </c>
      <c r="L887" t="n">
        <v>0</v>
      </c>
      <c r="M887" t="n">
        <v>0</v>
      </c>
      <c r="N887" t="n">
        <v>0</v>
      </c>
      <c r="O887" t="n">
        <v>0</v>
      </c>
      <c r="P887" t="n">
        <v>0</v>
      </c>
      <c r="Q887" t="n">
        <v>0</v>
      </c>
      <c r="R887" s="2" t="inlineStr"/>
    </row>
    <row r="888" ht="15" customHeight="1">
      <c r="A888" t="inlineStr">
        <is>
          <t>A 47981-2023</t>
        </is>
      </c>
      <c r="B888" s="1" t="n">
        <v>45198</v>
      </c>
      <c r="C888" s="1" t="n">
        <v>46199</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28711-2025</t>
        </is>
      </c>
      <c r="B889" s="1" t="n">
        <v>45820</v>
      </c>
      <c r="C889" s="1" t="n">
        <v>46199</v>
      </c>
      <c r="D889" t="inlineStr">
        <is>
          <t>VÄRMLANDS LÄN</t>
        </is>
      </c>
      <c r="E889" t="inlineStr">
        <is>
          <t>ÅRJÄNG</t>
        </is>
      </c>
      <c r="G889" t="n">
        <v>2</v>
      </c>
      <c r="H889" t="n">
        <v>0</v>
      </c>
      <c r="I889" t="n">
        <v>0</v>
      </c>
      <c r="J889" t="n">
        <v>0</v>
      </c>
      <c r="K889" t="n">
        <v>0</v>
      </c>
      <c r="L889" t="n">
        <v>0</v>
      </c>
      <c r="M889" t="n">
        <v>0</v>
      </c>
      <c r="N889" t="n">
        <v>0</v>
      </c>
      <c r="O889" t="n">
        <v>0</v>
      </c>
      <c r="P889" t="n">
        <v>0</v>
      </c>
      <c r="Q889" t="n">
        <v>0</v>
      </c>
      <c r="R889" s="2" t="inlineStr"/>
    </row>
    <row r="890" ht="15" customHeight="1">
      <c r="A890" t="inlineStr">
        <is>
          <t>A 28797-2025</t>
        </is>
      </c>
      <c r="B890" s="1" t="n">
        <v>45820</v>
      </c>
      <c r="C890" s="1" t="n">
        <v>46199</v>
      </c>
      <c r="D890" t="inlineStr">
        <is>
          <t>VÄRMLANDS LÄN</t>
        </is>
      </c>
      <c r="E890" t="inlineStr">
        <is>
          <t>ÅRJÄNG</t>
        </is>
      </c>
      <c r="G890" t="n">
        <v>3</v>
      </c>
      <c r="H890" t="n">
        <v>0</v>
      </c>
      <c r="I890" t="n">
        <v>0</v>
      </c>
      <c r="J890" t="n">
        <v>0</v>
      </c>
      <c r="K890" t="n">
        <v>0</v>
      </c>
      <c r="L890" t="n">
        <v>0</v>
      </c>
      <c r="M890" t="n">
        <v>0</v>
      </c>
      <c r="N890" t="n">
        <v>0</v>
      </c>
      <c r="O890" t="n">
        <v>0</v>
      </c>
      <c r="P890" t="n">
        <v>0</v>
      </c>
      <c r="Q890" t="n">
        <v>0</v>
      </c>
      <c r="R890" s="2" t="inlineStr"/>
    </row>
    <row r="891" ht="15" customHeight="1">
      <c r="A891" t="inlineStr">
        <is>
          <t>A 20674-2023</t>
        </is>
      </c>
      <c r="B891" s="1" t="n">
        <v>45058</v>
      </c>
      <c r="C891" s="1" t="n">
        <v>46199</v>
      </c>
      <c r="D891" t="inlineStr">
        <is>
          <t>VÄRMLANDS LÄN</t>
        </is>
      </c>
      <c r="E891" t="inlineStr">
        <is>
          <t>ÅRJÄNG</t>
        </is>
      </c>
      <c r="G891" t="n">
        <v>11.1</v>
      </c>
      <c r="H891" t="n">
        <v>0</v>
      </c>
      <c r="I891" t="n">
        <v>0</v>
      </c>
      <c r="J891" t="n">
        <v>0</v>
      </c>
      <c r="K891" t="n">
        <v>0</v>
      </c>
      <c r="L891" t="n">
        <v>0</v>
      </c>
      <c r="M891" t="n">
        <v>0</v>
      </c>
      <c r="N891" t="n">
        <v>0</v>
      </c>
      <c r="O891" t="n">
        <v>0</v>
      </c>
      <c r="P891" t="n">
        <v>0</v>
      </c>
      <c r="Q891" t="n">
        <v>0</v>
      </c>
      <c r="R891" s="2" t="inlineStr"/>
    </row>
    <row r="892" ht="15" customHeight="1">
      <c r="A892" t="inlineStr">
        <is>
          <t>A 34172-2024</t>
        </is>
      </c>
      <c r="B892" s="1" t="n">
        <v>45524</v>
      </c>
      <c r="C892" s="1" t="n">
        <v>46199</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73363-2021</t>
        </is>
      </c>
      <c r="B893" s="1" t="n">
        <v>44550</v>
      </c>
      <c r="C893" s="1" t="n">
        <v>46199</v>
      </c>
      <c r="D893" t="inlineStr">
        <is>
          <t>VÄRMLANDS LÄN</t>
        </is>
      </c>
      <c r="E893" t="inlineStr">
        <is>
          <t>ÅRJÄNG</t>
        </is>
      </c>
      <c r="G893" t="n">
        <v>11.5</v>
      </c>
      <c r="H893" t="n">
        <v>0</v>
      </c>
      <c r="I893" t="n">
        <v>0</v>
      </c>
      <c r="J893" t="n">
        <v>0</v>
      </c>
      <c r="K893" t="n">
        <v>0</v>
      </c>
      <c r="L893" t="n">
        <v>0</v>
      </c>
      <c r="M893" t="n">
        <v>0</v>
      </c>
      <c r="N893" t="n">
        <v>0</v>
      </c>
      <c r="O893" t="n">
        <v>0</v>
      </c>
      <c r="P893" t="n">
        <v>0</v>
      </c>
      <c r="Q893" t="n">
        <v>0</v>
      </c>
      <c r="R893" s="2" t="inlineStr"/>
    </row>
    <row r="894" ht="15" customHeight="1">
      <c r="A894" t="inlineStr">
        <is>
          <t>A 28793-2025</t>
        </is>
      </c>
      <c r="B894" s="1" t="n">
        <v>45820</v>
      </c>
      <c r="C894" s="1" t="n">
        <v>46199</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30134-2025</t>
        </is>
      </c>
      <c r="B895" s="1" t="n">
        <v>45826</v>
      </c>
      <c r="C895" s="1" t="n">
        <v>46199</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37122-2022</t>
        </is>
      </c>
      <c r="B896" s="1" t="n">
        <v>44806</v>
      </c>
      <c r="C896" s="1" t="n">
        <v>46199</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59014-2024</t>
        </is>
      </c>
      <c r="B897" s="1" t="n">
        <v>45636</v>
      </c>
      <c r="C897" s="1" t="n">
        <v>46199</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29783-2025</t>
        </is>
      </c>
      <c r="B898" s="1" t="n">
        <v>45825</v>
      </c>
      <c r="C898" s="1" t="n">
        <v>46199</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37061-2023</t>
        </is>
      </c>
      <c r="B899" s="1" t="n">
        <v>45155</v>
      </c>
      <c r="C899" s="1" t="n">
        <v>46199</v>
      </c>
      <c r="D899" t="inlineStr">
        <is>
          <t>VÄRMLANDS LÄN</t>
        </is>
      </c>
      <c r="E899" t="inlineStr">
        <is>
          <t>ÅRJÄNG</t>
        </is>
      </c>
      <c r="G899" t="n">
        <v>0.9</v>
      </c>
      <c r="H899" t="n">
        <v>0</v>
      </c>
      <c r="I899" t="n">
        <v>0</v>
      </c>
      <c r="J899" t="n">
        <v>0</v>
      </c>
      <c r="K899" t="n">
        <v>0</v>
      </c>
      <c r="L899" t="n">
        <v>0</v>
      </c>
      <c r="M899" t="n">
        <v>0</v>
      </c>
      <c r="N899" t="n">
        <v>0</v>
      </c>
      <c r="O899" t="n">
        <v>0</v>
      </c>
      <c r="P899" t="n">
        <v>0</v>
      </c>
      <c r="Q899" t="n">
        <v>0</v>
      </c>
      <c r="R899" s="2" t="inlineStr"/>
    </row>
    <row r="900" ht="15" customHeight="1">
      <c r="A900" t="inlineStr">
        <is>
          <t>A 56644-2024</t>
        </is>
      </c>
      <c r="B900" s="1" t="n">
        <v>45625</v>
      </c>
      <c r="C900" s="1" t="n">
        <v>46199</v>
      </c>
      <c r="D900" t="inlineStr">
        <is>
          <t>VÄRMLANDS LÄN</t>
        </is>
      </c>
      <c r="E900" t="inlineStr">
        <is>
          <t>ÅRJÄNG</t>
        </is>
      </c>
      <c r="G900" t="n">
        <v>12.6</v>
      </c>
      <c r="H900" t="n">
        <v>0</v>
      </c>
      <c r="I900" t="n">
        <v>0</v>
      </c>
      <c r="J900" t="n">
        <v>0</v>
      </c>
      <c r="K900" t="n">
        <v>0</v>
      </c>
      <c r="L900" t="n">
        <v>0</v>
      </c>
      <c r="M900" t="n">
        <v>0</v>
      </c>
      <c r="N900" t="n">
        <v>0</v>
      </c>
      <c r="O900" t="n">
        <v>0</v>
      </c>
      <c r="P900" t="n">
        <v>0</v>
      </c>
      <c r="Q900" t="n">
        <v>0</v>
      </c>
      <c r="R900" s="2" t="inlineStr"/>
    </row>
    <row r="901" ht="15" customHeight="1">
      <c r="A901" t="inlineStr">
        <is>
          <t>A 40360-2024</t>
        </is>
      </c>
      <c r="B901" s="1" t="n">
        <v>45555</v>
      </c>
      <c r="C901" s="1" t="n">
        <v>46199</v>
      </c>
      <c r="D901" t="inlineStr">
        <is>
          <t>VÄRMLANDS LÄN</t>
        </is>
      </c>
      <c r="E901" t="inlineStr">
        <is>
          <t>ÅRJÄNG</t>
        </is>
      </c>
      <c r="G901" t="n">
        <v>1.7</v>
      </c>
      <c r="H901" t="n">
        <v>0</v>
      </c>
      <c r="I901" t="n">
        <v>0</v>
      </c>
      <c r="J901" t="n">
        <v>0</v>
      </c>
      <c r="K901" t="n">
        <v>0</v>
      </c>
      <c r="L901" t="n">
        <v>0</v>
      </c>
      <c r="M901" t="n">
        <v>0</v>
      </c>
      <c r="N901" t="n">
        <v>0</v>
      </c>
      <c r="O901" t="n">
        <v>0</v>
      </c>
      <c r="P901" t="n">
        <v>0</v>
      </c>
      <c r="Q901" t="n">
        <v>0</v>
      </c>
      <c r="R901" s="2" t="inlineStr"/>
    </row>
    <row r="902" ht="15" customHeight="1">
      <c r="A902" t="inlineStr">
        <is>
          <t>A 54155-2025</t>
        </is>
      </c>
      <c r="B902" s="1" t="n">
        <v>45964</v>
      </c>
      <c r="C902" s="1" t="n">
        <v>46199</v>
      </c>
      <c r="D902" t="inlineStr">
        <is>
          <t>VÄRMLANDS LÄN</t>
        </is>
      </c>
      <c r="E902" t="inlineStr">
        <is>
          <t>ÅRJÄNG</t>
        </is>
      </c>
      <c r="G902" t="n">
        <v>7.2</v>
      </c>
      <c r="H902" t="n">
        <v>0</v>
      </c>
      <c r="I902" t="n">
        <v>0</v>
      </c>
      <c r="J902" t="n">
        <v>0</v>
      </c>
      <c r="K902" t="n">
        <v>0</v>
      </c>
      <c r="L902" t="n">
        <v>0</v>
      </c>
      <c r="M902" t="n">
        <v>0</v>
      </c>
      <c r="N902" t="n">
        <v>0</v>
      </c>
      <c r="O902" t="n">
        <v>0</v>
      </c>
      <c r="P902" t="n">
        <v>0</v>
      </c>
      <c r="Q902" t="n">
        <v>0</v>
      </c>
      <c r="R902" s="2" t="inlineStr"/>
    </row>
    <row r="903" ht="15" customHeight="1">
      <c r="A903" t="inlineStr">
        <is>
          <t>A 45124-2024</t>
        </is>
      </c>
      <c r="B903" s="1" t="n">
        <v>45575</v>
      </c>
      <c r="C903" s="1" t="n">
        <v>46199</v>
      </c>
      <c r="D903" t="inlineStr">
        <is>
          <t>VÄRMLANDS LÄN</t>
        </is>
      </c>
      <c r="E903" t="inlineStr">
        <is>
          <t>ÅRJÄNG</t>
        </is>
      </c>
      <c r="G903" t="n">
        <v>2.8</v>
      </c>
      <c r="H903" t="n">
        <v>0</v>
      </c>
      <c r="I903" t="n">
        <v>0</v>
      </c>
      <c r="J903" t="n">
        <v>0</v>
      </c>
      <c r="K903" t="n">
        <v>0</v>
      </c>
      <c r="L903" t="n">
        <v>0</v>
      </c>
      <c r="M903" t="n">
        <v>0</v>
      </c>
      <c r="N903" t="n">
        <v>0</v>
      </c>
      <c r="O903" t="n">
        <v>0</v>
      </c>
      <c r="P903" t="n">
        <v>0</v>
      </c>
      <c r="Q903" t="n">
        <v>0</v>
      </c>
      <c r="R903" s="2" t="inlineStr"/>
    </row>
    <row r="904" ht="15" customHeight="1">
      <c r="A904" t="inlineStr">
        <is>
          <t>A 73623-2021</t>
        </is>
      </c>
      <c r="B904" s="1" t="n">
        <v>44552</v>
      </c>
      <c r="C904" s="1" t="n">
        <v>46199</v>
      </c>
      <c r="D904" t="inlineStr">
        <is>
          <t>VÄRMLANDS LÄN</t>
        </is>
      </c>
      <c r="E904" t="inlineStr">
        <is>
          <t>ÅRJÄNG</t>
        </is>
      </c>
      <c r="G904" t="n">
        <v>7.4</v>
      </c>
      <c r="H904" t="n">
        <v>0</v>
      </c>
      <c r="I904" t="n">
        <v>0</v>
      </c>
      <c r="J904" t="n">
        <v>0</v>
      </c>
      <c r="K904" t="n">
        <v>0</v>
      </c>
      <c r="L904" t="n">
        <v>0</v>
      </c>
      <c r="M904" t="n">
        <v>0</v>
      </c>
      <c r="N904" t="n">
        <v>0</v>
      </c>
      <c r="O904" t="n">
        <v>0</v>
      </c>
      <c r="P904" t="n">
        <v>0</v>
      </c>
      <c r="Q904" t="n">
        <v>0</v>
      </c>
      <c r="R904" s="2" t="inlineStr"/>
    </row>
    <row r="905" ht="15" customHeight="1">
      <c r="A905" t="inlineStr">
        <is>
          <t>A 19313-2023</t>
        </is>
      </c>
      <c r="B905" s="1" t="n">
        <v>45049</v>
      </c>
      <c r="C905" s="1" t="n">
        <v>46199</v>
      </c>
      <c r="D905" t="inlineStr">
        <is>
          <t>VÄRMLANDS LÄN</t>
        </is>
      </c>
      <c r="E905" t="inlineStr">
        <is>
          <t>ÅRJÄNG</t>
        </is>
      </c>
      <c r="G905" t="n">
        <v>2</v>
      </c>
      <c r="H905" t="n">
        <v>0</v>
      </c>
      <c r="I905" t="n">
        <v>0</v>
      </c>
      <c r="J905" t="n">
        <v>0</v>
      </c>
      <c r="K905" t="n">
        <v>0</v>
      </c>
      <c r="L905" t="n">
        <v>0</v>
      </c>
      <c r="M905" t="n">
        <v>0</v>
      </c>
      <c r="N905" t="n">
        <v>0</v>
      </c>
      <c r="O905" t="n">
        <v>0</v>
      </c>
      <c r="P905" t="n">
        <v>0</v>
      </c>
      <c r="Q905" t="n">
        <v>0</v>
      </c>
      <c r="R905" s="2" t="inlineStr"/>
    </row>
    <row r="906" ht="15" customHeight="1">
      <c r="A906" t="inlineStr">
        <is>
          <t>A 50918-2023</t>
        </is>
      </c>
      <c r="B906" s="1" t="n">
        <v>45218</v>
      </c>
      <c r="C906" s="1" t="n">
        <v>46199</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56342-2024</t>
        </is>
      </c>
      <c r="B907" s="1" t="n">
        <v>45624</v>
      </c>
      <c r="C907" s="1" t="n">
        <v>46199</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48622-2022</t>
        </is>
      </c>
      <c r="B908" s="1" t="n">
        <v>44859</v>
      </c>
      <c r="C908" s="1" t="n">
        <v>46199</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56347-2024</t>
        </is>
      </c>
      <c r="B909" s="1" t="n">
        <v>45624</v>
      </c>
      <c r="C909" s="1" t="n">
        <v>46199</v>
      </c>
      <c r="D909" t="inlineStr">
        <is>
          <t>VÄRMLANDS LÄN</t>
        </is>
      </c>
      <c r="E909" t="inlineStr">
        <is>
          <t>ÅRJÄNG</t>
        </is>
      </c>
      <c r="G909" t="n">
        <v>4.7</v>
      </c>
      <c r="H909" t="n">
        <v>0</v>
      </c>
      <c r="I909" t="n">
        <v>0</v>
      </c>
      <c r="J909" t="n">
        <v>0</v>
      </c>
      <c r="K909" t="n">
        <v>0</v>
      </c>
      <c r="L909" t="n">
        <v>0</v>
      </c>
      <c r="M909" t="n">
        <v>0</v>
      </c>
      <c r="N909" t="n">
        <v>0</v>
      </c>
      <c r="O909" t="n">
        <v>0</v>
      </c>
      <c r="P909" t="n">
        <v>0</v>
      </c>
      <c r="Q909" t="n">
        <v>0</v>
      </c>
      <c r="R909" s="2" t="inlineStr"/>
    </row>
    <row r="910" ht="15" customHeight="1">
      <c r="A910" t="inlineStr">
        <is>
          <t>A 23945-2023</t>
        </is>
      </c>
      <c r="B910" s="1" t="n">
        <v>45075</v>
      </c>
      <c r="C910" s="1" t="n">
        <v>46199</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32541-2023</t>
        </is>
      </c>
      <c r="B911" s="1" t="n">
        <v>45121</v>
      </c>
      <c r="C911" s="1" t="n">
        <v>46199</v>
      </c>
      <c r="D911" t="inlineStr">
        <is>
          <t>VÄRMLANDS LÄN</t>
        </is>
      </c>
      <c r="E911" t="inlineStr">
        <is>
          <t>ÅRJÄNG</t>
        </is>
      </c>
      <c r="G911" t="n">
        <v>0.4</v>
      </c>
      <c r="H911" t="n">
        <v>0</v>
      </c>
      <c r="I911" t="n">
        <v>0</v>
      </c>
      <c r="J911" t="n">
        <v>0</v>
      </c>
      <c r="K911" t="n">
        <v>0</v>
      </c>
      <c r="L911" t="n">
        <v>0</v>
      </c>
      <c r="M911" t="n">
        <v>0</v>
      </c>
      <c r="N911" t="n">
        <v>0</v>
      </c>
      <c r="O911" t="n">
        <v>0</v>
      </c>
      <c r="P911" t="n">
        <v>0</v>
      </c>
      <c r="Q911" t="n">
        <v>0</v>
      </c>
      <c r="R911" s="2" t="inlineStr"/>
    </row>
    <row r="912" ht="15" customHeight="1">
      <c r="A912" t="inlineStr">
        <is>
          <t>A 64095-2025</t>
        </is>
      </c>
      <c r="B912" s="1" t="n">
        <v>46021</v>
      </c>
      <c r="C912" s="1" t="n">
        <v>46199</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11704-2025</t>
        </is>
      </c>
      <c r="B913" s="1" t="n">
        <v>45727</v>
      </c>
      <c r="C913" s="1" t="n">
        <v>46199</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15903-2022</t>
        </is>
      </c>
      <c r="B914" s="1" t="n">
        <v>44664</v>
      </c>
      <c r="C914" s="1" t="n">
        <v>46199</v>
      </c>
      <c r="D914" t="inlineStr">
        <is>
          <t>VÄRMLANDS LÄN</t>
        </is>
      </c>
      <c r="E914" t="inlineStr">
        <is>
          <t>ÅRJÄNG</t>
        </is>
      </c>
      <c r="G914" t="n">
        <v>5</v>
      </c>
      <c r="H914" t="n">
        <v>0</v>
      </c>
      <c r="I914" t="n">
        <v>0</v>
      </c>
      <c r="J914" t="n">
        <v>0</v>
      </c>
      <c r="K914" t="n">
        <v>0</v>
      </c>
      <c r="L914" t="n">
        <v>0</v>
      </c>
      <c r="M914" t="n">
        <v>0</v>
      </c>
      <c r="N914" t="n">
        <v>0</v>
      </c>
      <c r="O914" t="n">
        <v>0</v>
      </c>
      <c r="P914" t="n">
        <v>0</v>
      </c>
      <c r="Q914" t="n">
        <v>0</v>
      </c>
      <c r="R914" s="2" t="inlineStr"/>
    </row>
    <row r="915" ht="15" customHeight="1">
      <c r="A915" t="inlineStr">
        <is>
          <t>A 33832-2025</t>
        </is>
      </c>
      <c r="B915" s="1" t="n">
        <v>45842</v>
      </c>
      <c r="C915" s="1" t="n">
        <v>46199</v>
      </c>
      <c r="D915" t="inlineStr">
        <is>
          <t>VÄRMLANDS LÄN</t>
        </is>
      </c>
      <c r="E915" t="inlineStr">
        <is>
          <t>ÅRJÄNG</t>
        </is>
      </c>
      <c r="G915" t="n">
        <v>2</v>
      </c>
      <c r="H915" t="n">
        <v>0</v>
      </c>
      <c r="I915" t="n">
        <v>0</v>
      </c>
      <c r="J915" t="n">
        <v>0</v>
      </c>
      <c r="K915" t="n">
        <v>0</v>
      </c>
      <c r="L915" t="n">
        <v>0</v>
      </c>
      <c r="M915" t="n">
        <v>0</v>
      </c>
      <c r="N915" t="n">
        <v>0</v>
      </c>
      <c r="O915" t="n">
        <v>0</v>
      </c>
      <c r="P915" t="n">
        <v>0</v>
      </c>
      <c r="Q915" t="n">
        <v>0</v>
      </c>
      <c r="R915" s="2" t="inlineStr"/>
    </row>
    <row r="916" ht="15" customHeight="1">
      <c r="A916" t="inlineStr">
        <is>
          <t>A 40601-2025</t>
        </is>
      </c>
      <c r="B916" s="1" t="n">
        <v>45896</v>
      </c>
      <c r="C916" s="1" t="n">
        <v>46199</v>
      </c>
      <c r="D916" t="inlineStr">
        <is>
          <t>VÄRMLANDS LÄN</t>
        </is>
      </c>
      <c r="E916" t="inlineStr">
        <is>
          <t>ÅRJÄNG</t>
        </is>
      </c>
      <c r="G916" t="n">
        <v>2.1</v>
      </c>
      <c r="H916" t="n">
        <v>0</v>
      </c>
      <c r="I916" t="n">
        <v>0</v>
      </c>
      <c r="J916" t="n">
        <v>0</v>
      </c>
      <c r="K916" t="n">
        <v>0</v>
      </c>
      <c r="L916" t="n">
        <v>0</v>
      </c>
      <c r="M916" t="n">
        <v>0</v>
      </c>
      <c r="N916" t="n">
        <v>0</v>
      </c>
      <c r="O916" t="n">
        <v>0</v>
      </c>
      <c r="P916" t="n">
        <v>0</v>
      </c>
      <c r="Q916" t="n">
        <v>0</v>
      </c>
      <c r="R916" s="2" t="inlineStr"/>
    </row>
    <row r="917" ht="15" customHeight="1">
      <c r="A917" t="inlineStr">
        <is>
          <t>A 37765-2023</t>
        </is>
      </c>
      <c r="B917" s="1" t="n">
        <v>45159</v>
      </c>
      <c r="C917" s="1" t="n">
        <v>46199</v>
      </c>
      <c r="D917" t="inlineStr">
        <is>
          <t>VÄRMLANDS LÄN</t>
        </is>
      </c>
      <c r="E917" t="inlineStr">
        <is>
          <t>ÅRJÄNG</t>
        </is>
      </c>
      <c r="G917" t="n">
        <v>4.6</v>
      </c>
      <c r="H917" t="n">
        <v>0</v>
      </c>
      <c r="I917" t="n">
        <v>0</v>
      </c>
      <c r="J917" t="n">
        <v>0</v>
      </c>
      <c r="K917" t="n">
        <v>0</v>
      </c>
      <c r="L917" t="n">
        <v>0</v>
      </c>
      <c r="M917" t="n">
        <v>0</v>
      </c>
      <c r="N917" t="n">
        <v>0</v>
      </c>
      <c r="O917" t="n">
        <v>0</v>
      </c>
      <c r="P917" t="n">
        <v>0</v>
      </c>
      <c r="Q917" t="n">
        <v>0</v>
      </c>
      <c r="R917" s="2" t="inlineStr"/>
    </row>
    <row r="918" ht="15" customHeight="1">
      <c r="A918" t="inlineStr">
        <is>
          <t>A 61226-2024</t>
        </is>
      </c>
      <c r="B918" s="1" t="n">
        <v>45645</v>
      </c>
      <c r="C918" s="1" t="n">
        <v>46199</v>
      </c>
      <c r="D918" t="inlineStr">
        <is>
          <t>VÄRMLANDS LÄN</t>
        </is>
      </c>
      <c r="E918" t="inlineStr">
        <is>
          <t>ÅRJÄNG</t>
        </is>
      </c>
      <c r="G918" t="n">
        <v>0.8</v>
      </c>
      <c r="H918" t="n">
        <v>0</v>
      </c>
      <c r="I918" t="n">
        <v>0</v>
      </c>
      <c r="J918" t="n">
        <v>0</v>
      </c>
      <c r="K918" t="n">
        <v>0</v>
      </c>
      <c r="L918" t="n">
        <v>0</v>
      </c>
      <c r="M918" t="n">
        <v>0</v>
      </c>
      <c r="N918" t="n">
        <v>0</v>
      </c>
      <c r="O918" t="n">
        <v>0</v>
      </c>
      <c r="P918" t="n">
        <v>0</v>
      </c>
      <c r="Q918" t="n">
        <v>0</v>
      </c>
      <c r="R918" s="2" t="inlineStr"/>
    </row>
    <row r="919" ht="15" customHeight="1">
      <c r="A919" t="inlineStr">
        <is>
          <t>A 4798-2022</t>
        </is>
      </c>
      <c r="B919" s="1" t="n">
        <v>44592</v>
      </c>
      <c r="C919" s="1" t="n">
        <v>46199</v>
      </c>
      <c r="D919" t="inlineStr">
        <is>
          <t>VÄRMLANDS LÄN</t>
        </is>
      </c>
      <c r="E919" t="inlineStr">
        <is>
          <t>ÅRJÄNG</t>
        </is>
      </c>
      <c r="G919" t="n">
        <v>4.1</v>
      </c>
      <c r="H919" t="n">
        <v>0</v>
      </c>
      <c r="I919" t="n">
        <v>0</v>
      </c>
      <c r="J919" t="n">
        <v>0</v>
      </c>
      <c r="K919" t="n">
        <v>0</v>
      </c>
      <c r="L919" t="n">
        <v>0</v>
      </c>
      <c r="M919" t="n">
        <v>0</v>
      </c>
      <c r="N919" t="n">
        <v>0</v>
      </c>
      <c r="O919" t="n">
        <v>0</v>
      </c>
      <c r="P919" t="n">
        <v>0</v>
      </c>
      <c r="Q919" t="n">
        <v>0</v>
      </c>
      <c r="R919" s="2" t="inlineStr"/>
    </row>
    <row r="920" ht="15" customHeight="1">
      <c r="A920" t="inlineStr">
        <is>
          <t>A 34243-2025</t>
        </is>
      </c>
      <c r="B920" s="1" t="n">
        <v>45845</v>
      </c>
      <c r="C920" s="1" t="n">
        <v>46199</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36834-2025</t>
        </is>
      </c>
      <c r="B921" s="1" t="n">
        <v>45874</v>
      </c>
      <c r="C921" s="1" t="n">
        <v>46199</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29136-2025</t>
        </is>
      </c>
      <c r="B922" s="1" t="n">
        <v>45821</v>
      </c>
      <c r="C922" s="1" t="n">
        <v>46199</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39096-2023</t>
        </is>
      </c>
      <c r="B923" s="1" t="n">
        <v>45164</v>
      </c>
      <c r="C923" s="1" t="n">
        <v>46199</v>
      </c>
      <c r="D923" t="inlineStr">
        <is>
          <t>VÄRMLANDS LÄN</t>
        </is>
      </c>
      <c r="E923" t="inlineStr">
        <is>
          <t>ÅRJÄNG</t>
        </is>
      </c>
      <c r="G923" t="n">
        <v>5.1</v>
      </c>
      <c r="H923" t="n">
        <v>0</v>
      </c>
      <c r="I923" t="n">
        <v>0</v>
      </c>
      <c r="J923" t="n">
        <v>0</v>
      </c>
      <c r="K923" t="n">
        <v>0</v>
      </c>
      <c r="L923" t="n">
        <v>0</v>
      </c>
      <c r="M923" t="n">
        <v>0</v>
      </c>
      <c r="N923" t="n">
        <v>0</v>
      </c>
      <c r="O923" t="n">
        <v>0</v>
      </c>
      <c r="P923" t="n">
        <v>0</v>
      </c>
      <c r="Q923" t="n">
        <v>0</v>
      </c>
      <c r="R923" s="2" t="inlineStr"/>
    </row>
    <row r="924" ht="15" customHeight="1">
      <c r="A924" t="inlineStr">
        <is>
          <t>A 23878-2023</t>
        </is>
      </c>
      <c r="B924" s="1" t="n">
        <v>45078</v>
      </c>
      <c r="C924" s="1" t="n">
        <v>46199</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39178-2023</t>
        </is>
      </c>
      <c r="B925" s="1" t="n">
        <v>45166</v>
      </c>
      <c r="C925" s="1" t="n">
        <v>46199</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5332-2025</t>
        </is>
      </c>
      <c r="B926" s="1" t="n">
        <v>45692</v>
      </c>
      <c r="C926" s="1" t="n">
        <v>46199</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3968-2025</t>
        </is>
      </c>
      <c r="B927" s="1" t="n">
        <v>45684</v>
      </c>
      <c r="C927" s="1" t="n">
        <v>46199</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52574-2024</t>
        </is>
      </c>
      <c r="B928" s="1" t="n">
        <v>45609</v>
      </c>
      <c r="C928" s="1" t="n">
        <v>46199</v>
      </c>
      <c r="D928" t="inlineStr">
        <is>
          <t>VÄRMLANDS LÄN</t>
        </is>
      </c>
      <c r="E928" t="inlineStr">
        <is>
          <t>ÅRJÄNG</t>
        </is>
      </c>
      <c r="G928" t="n">
        <v>0.2</v>
      </c>
      <c r="H928" t="n">
        <v>0</v>
      </c>
      <c r="I928" t="n">
        <v>0</v>
      </c>
      <c r="J928" t="n">
        <v>0</v>
      </c>
      <c r="K928" t="n">
        <v>0</v>
      </c>
      <c r="L928" t="n">
        <v>0</v>
      </c>
      <c r="M928" t="n">
        <v>0</v>
      </c>
      <c r="N928" t="n">
        <v>0</v>
      </c>
      <c r="O928" t="n">
        <v>0</v>
      </c>
      <c r="P928" t="n">
        <v>0</v>
      </c>
      <c r="Q928" t="n">
        <v>0</v>
      </c>
      <c r="R928" s="2" t="inlineStr"/>
    </row>
    <row r="929" ht="15" customHeight="1">
      <c r="A929" t="inlineStr">
        <is>
          <t>A 3656-2022</t>
        </is>
      </c>
      <c r="B929" s="1" t="n">
        <v>44586</v>
      </c>
      <c r="C929" s="1" t="n">
        <v>46199</v>
      </c>
      <c r="D929" t="inlineStr">
        <is>
          <t>VÄRMLANDS LÄN</t>
        </is>
      </c>
      <c r="E929" t="inlineStr">
        <is>
          <t>ÅRJÄNG</t>
        </is>
      </c>
      <c r="G929" t="n">
        <v>11.7</v>
      </c>
      <c r="H929" t="n">
        <v>0</v>
      </c>
      <c r="I929" t="n">
        <v>0</v>
      </c>
      <c r="J929" t="n">
        <v>0</v>
      </c>
      <c r="K929" t="n">
        <v>0</v>
      </c>
      <c r="L929" t="n">
        <v>0</v>
      </c>
      <c r="M929" t="n">
        <v>0</v>
      </c>
      <c r="N929" t="n">
        <v>0</v>
      </c>
      <c r="O929" t="n">
        <v>0</v>
      </c>
      <c r="P929" t="n">
        <v>0</v>
      </c>
      <c r="Q929" t="n">
        <v>0</v>
      </c>
      <c r="R929" s="2" t="inlineStr"/>
    </row>
    <row r="930" ht="15" customHeight="1">
      <c r="A930" t="inlineStr">
        <is>
          <t>A 28710-2025</t>
        </is>
      </c>
      <c r="B930" s="1" t="n">
        <v>45820</v>
      </c>
      <c r="C930" s="1" t="n">
        <v>46199</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11392-2024</t>
        </is>
      </c>
      <c r="B931" s="1" t="n">
        <v>45372</v>
      </c>
      <c r="C931" s="1" t="n">
        <v>46199</v>
      </c>
      <c r="D931" t="inlineStr">
        <is>
          <t>VÄRMLANDS LÄN</t>
        </is>
      </c>
      <c r="E931" t="inlineStr">
        <is>
          <t>ÅRJÄNG</t>
        </is>
      </c>
      <c r="G931" t="n">
        <v>3.6</v>
      </c>
      <c r="H931" t="n">
        <v>0</v>
      </c>
      <c r="I931" t="n">
        <v>0</v>
      </c>
      <c r="J931" t="n">
        <v>0</v>
      </c>
      <c r="K931" t="n">
        <v>0</v>
      </c>
      <c r="L931" t="n">
        <v>0</v>
      </c>
      <c r="M931" t="n">
        <v>0</v>
      </c>
      <c r="N931" t="n">
        <v>0</v>
      </c>
      <c r="O931" t="n">
        <v>0</v>
      </c>
      <c r="P931" t="n">
        <v>0</v>
      </c>
      <c r="Q931" t="n">
        <v>0</v>
      </c>
      <c r="R931" s="2" t="inlineStr"/>
    </row>
    <row r="932" ht="15" customHeight="1">
      <c r="A932" t="inlineStr">
        <is>
          <t>A 12614-2026</t>
        </is>
      </c>
      <c r="B932" s="1" t="n">
        <v>46091</v>
      </c>
      <c r="C932" s="1" t="n">
        <v>46199</v>
      </c>
      <c r="D932" t="inlineStr">
        <is>
          <t>VÄRMLANDS LÄN</t>
        </is>
      </c>
      <c r="E932" t="inlineStr">
        <is>
          <t>ÅRJÄNG</t>
        </is>
      </c>
      <c r="G932" t="n">
        <v>4.3</v>
      </c>
      <c r="H932" t="n">
        <v>0</v>
      </c>
      <c r="I932" t="n">
        <v>0</v>
      </c>
      <c r="J932" t="n">
        <v>0</v>
      </c>
      <c r="K932" t="n">
        <v>0</v>
      </c>
      <c r="L932" t="n">
        <v>0</v>
      </c>
      <c r="M932" t="n">
        <v>0</v>
      </c>
      <c r="N932" t="n">
        <v>0</v>
      </c>
      <c r="O932" t="n">
        <v>0</v>
      </c>
      <c r="P932" t="n">
        <v>0</v>
      </c>
      <c r="Q932" t="n">
        <v>0</v>
      </c>
      <c r="R932" s="2" t="inlineStr"/>
    </row>
    <row r="933" ht="15" customHeight="1">
      <c r="A933" t="inlineStr">
        <is>
          <t>A 70461-2021</t>
        </is>
      </c>
      <c r="B933" s="1" t="n">
        <v>44536</v>
      </c>
      <c r="C933" s="1" t="n">
        <v>46199</v>
      </c>
      <c r="D933" t="inlineStr">
        <is>
          <t>VÄRMLANDS LÄN</t>
        </is>
      </c>
      <c r="E933" t="inlineStr">
        <is>
          <t>ÅRJÄNG</t>
        </is>
      </c>
      <c r="G933" t="n">
        <v>3.8</v>
      </c>
      <c r="H933" t="n">
        <v>0</v>
      </c>
      <c r="I933" t="n">
        <v>0</v>
      </c>
      <c r="J933" t="n">
        <v>0</v>
      </c>
      <c r="K933" t="n">
        <v>0</v>
      </c>
      <c r="L933" t="n">
        <v>0</v>
      </c>
      <c r="M933" t="n">
        <v>0</v>
      </c>
      <c r="N933" t="n">
        <v>0</v>
      </c>
      <c r="O933" t="n">
        <v>0</v>
      </c>
      <c r="P933" t="n">
        <v>0</v>
      </c>
      <c r="Q933" t="n">
        <v>0</v>
      </c>
      <c r="R933" s="2" t="inlineStr"/>
    </row>
    <row r="934" ht="15" customHeight="1">
      <c r="A934" t="inlineStr">
        <is>
          <t>A 26758-2025</t>
        </is>
      </c>
      <c r="B934" s="1" t="n">
        <v>45807</v>
      </c>
      <c r="C934" s="1" t="n">
        <v>46199</v>
      </c>
      <c r="D934" t="inlineStr">
        <is>
          <t>VÄRMLANDS LÄN</t>
        </is>
      </c>
      <c r="E934" t="inlineStr">
        <is>
          <t>ÅRJÄNG</t>
        </is>
      </c>
      <c r="G934" t="n">
        <v>1.5</v>
      </c>
      <c r="H934" t="n">
        <v>0</v>
      </c>
      <c r="I934" t="n">
        <v>0</v>
      </c>
      <c r="J934" t="n">
        <v>0</v>
      </c>
      <c r="K934" t="n">
        <v>0</v>
      </c>
      <c r="L934" t="n">
        <v>0</v>
      </c>
      <c r="M934" t="n">
        <v>0</v>
      </c>
      <c r="N934" t="n">
        <v>0</v>
      </c>
      <c r="O934" t="n">
        <v>0</v>
      </c>
      <c r="P934" t="n">
        <v>0</v>
      </c>
      <c r="Q934" t="n">
        <v>0</v>
      </c>
      <c r="R934" s="2" t="inlineStr"/>
    </row>
    <row r="935" ht="15" customHeight="1">
      <c r="A935" t="inlineStr">
        <is>
          <t>A 38707-2023</t>
        </is>
      </c>
      <c r="B935" s="1" t="n">
        <v>45163</v>
      </c>
      <c r="C935" s="1" t="n">
        <v>46199</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29146-2025</t>
        </is>
      </c>
      <c r="B936" s="1" t="n">
        <v>45821</v>
      </c>
      <c r="C936" s="1" t="n">
        <v>46199</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45643-2023</t>
        </is>
      </c>
      <c r="B937" s="1" t="n">
        <v>45194</v>
      </c>
      <c r="C937" s="1" t="n">
        <v>46199</v>
      </c>
      <c r="D937" t="inlineStr">
        <is>
          <t>VÄRMLANDS LÄN</t>
        </is>
      </c>
      <c r="E937" t="inlineStr">
        <is>
          <t>ÅRJÄNG</t>
        </is>
      </c>
      <c r="G937" t="n">
        <v>1.2</v>
      </c>
      <c r="H937" t="n">
        <v>0</v>
      </c>
      <c r="I937" t="n">
        <v>0</v>
      </c>
      <c r="J937" t="n">
        <v>0</v>
      </c>
      <c r="K937" t="n">
        <v>0</v>
      </c>
      <c r="L937" t="n">
        <v>0</v>
      </c>
      <c r="M937" t="n">
        <v>0</v>
      </c>
      <c r="N937" t="n">
        <v>0</v>
      </c>
      <c r="O937" t="n">
        <v>0</v>
      </c>
      <c r="P937" t="n">
        <v>0</v>
      </c>
      <c r="Q937" t="n">
        <v>0</v>
      </c>
      <c r="R937" s="2" t="inlineStr"/>
    </row>
    <row r="938" ht="15" customHeight="1">
      <c r="A938" t="inlineStr">
        <is>
          <t>A 44768-2025</t>
        </is>
      </c>
      <c r="B938" s="1" t="n">
        <v>45917</v>
      </c>
      <c r="C938" s="1" t="n">
        <v>46199</v>
      </c>
      <c r="D938" t="inlineStr">
        <is>
          <t>VÄRMLANDS LÄN</t>
        </is>
      </c>
      <c r="E938" t="inlineStr">
        <is>
          <t>ÅRJÄNG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47225-2025</t>
        </is>
      </c>
      <c r="B939" s="1" t="n">
        <v>45930</v>
      </c>
      <c r="C939" s="1" t="n">
        <v>46199</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55071-2024</t>
        </is>
      </c>
      <c r="B940" s="1" t="n">
        <v>45621</v>
      </c>
      <c r="C940" s="1" t="n">
        <v>46199</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52579-2024</t>
        </is>
      </c>
      <c r="B941" s="1" t="n">
        <v>45609</v>
      </c>
      <c r="C941" s="1" t="n">
        <v>46199</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44556-2023</t>
        </is>
      </c>
      <c r="B942" s="1" t="n">
        <v>45189</v>
      </c>
      <c r="C942" s="1" t="n">
        <v>46199</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41496-2025</t>
        </is>
      </c>
      <c r="B943" s="1" t="n">
        <v>45901</v>
      </c>
      <c r="C943" s="1" t="n">
        <v>46199</v>
      </c>
      <c r="D943" t="inlineStr">
        <is>
          <t>VÄRMLANDS LÄN</t>
        </is>
      </c>
      <c r="E943" t="inlineStr">
        <is>
          <t>ÅRJÄNG</t>
        </is>
      </c>
      <c r="G943" t="n">
        <v>5.8</v>
      </c>
      <c r="H943" t="n">
        <v>0</v>
      </c>
      <c r="I943" t="n">
        <v>0</v>
      </c>
      <c r="J943" t="n">
        <v>0</v>
      </c>
      <c r="K943" t="n">
        <v>0</v>
      </c>
      <c r="L943" t="n">
        <v>0</v>
      </c>
      <c r="M943" t="n">
        <v>0</v>
      </c>
      <c r="N943" t="n">
        <v>0</v>
      </c>
      <c r="O943" t="n">
        <v>0</v>
      </c>
      <c r="P943" t="n">
        <v>0</v>
      </c>
      <c r="Q943" t="n">
        <v>0</v>
      </c>
      <c r="R943" s="2" t="inlineStr"/>
    </row>
    <row r="944" ht="15" customHeight="1">
      <c r="A944" t="inlineStr">
        <is>
          <t>A 40497-2025</t>
        </is>
      </c>
      <c r="B944" s="1" t="n">
        <v>45896</v>
      </c>
      <c r="C944" s="1" t="n">
        <v>46199</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37419-2025</t>
        </is>
      </c>
      <c r="B945" s="1" t="n">
        <v>45877</v>
      </c>
      <c r="C945" s="1" t="n">
        <v>46199</v>
      </c>
      <c r="D945" t="inlineStr">
        <is>
          <t>VÄRMLANDS LÄN</t>
        </is>
      </c>
      <c r="E945" t="inlineStr">
        <is>
          <t>ÅRJÄNG</t>
        </is>
      </c>
      <c r="G945" t="n">
        <v>4.9</v>
      </c>
      <c r="H945" t="n">
        <v>0</v>
      </c>
      <c r="I945" t="n">
        <v>0</v>
      </c>
      <c r="J945" t="n">
        <v>0</v>
      </c>
      <c r="K945" t="n">
        <v>0</v>
      </c>
      <c r="L945" t="n">
        <v>0</v>
      </c>
      <c r="M945" t="n">
        <v>0</v>
      </c>
      <c r="N945" t="n">
        <v>0</v>
      </c>
      <c r="O945" t="n">
        <v>0</v>
      </c>
      <c r="P945" t="n">
        <v>0</v>
      </c>
      <c r="Q945" t="n">
        <v>0</v>
      </c>
      <c r="R945" s="2" t="inlineStr"/>
    </row>
    <row r="946" ht="15" customHeight="1">
      <c r="A946" t="inlineStr">
        <is>
          <t>A 4582-2025</t>
        </is>
      </c>
      <c r="B946" s="1" t="n">
        <v>45687</v>
      </c>
      <c r="C946" s="1" t="n">
        <v>46199</v>
      </c>
      <c r="D946" t="inlineStr">
        <is>
          <t>VÄRMLANDS LÄN</t>
        </is>
      </c>
      <c r="E946" t="inlineStr">
        <is>
          <t>ÅRJÄNG</t>
        </is>
      </c>
      <c r="F946" t="inlineStr">
        <is>
          <t>Övriga Aktiebolag</t>
        </is>
      </c>
      <c r="G946" t="n">
        <v>3.4</v>
      </c>
      <c r="H946" t="n">
        <v>0</v>
      </c>
      <c r="I946" t="n">
        <v>0</v>
      </c>
      <c r="J946" t="n">
        <v>0</v>
      </c>
      <c r="K946" t="n">
        <v>0</v>
      </c>
      <c r="L946" t="n">
        <v>0</v>
      </c>
      <c r="M946" t="n">
        <v>0</v>
      </c>
      <c r="N946" t="n">
        <v>0</v>
      </c>
      <c r="O946" t="n">
        <v>0</v>
      </c>
      <c r="P946" t="n">
        <v>0</v>
      </c>
      <c r="Q946" t="n">
        <v>0</v>
      </c>
      <c r="R946" s="2" t="inlineStr"/>
    </row>
    <row r="947" ht="15" customHeight="1">
      <c r="A947" t="inlineStr">
        <is>
          <t>A 29082-2025</t>
        </is>
      </c>
      <c r="B947" s="1" t="n">
        <v>45821</v>
      </c>
      <c r="C947" s="1" t="n">
        <v>46199</v>
      </c>
      <c r="D947" t="inlineStr">
        <is>
          <t>VÄRMLANDS LÄN</t>
        </is>
      </c>
      <c r="E947" t="inlineStr">
        <is>
          <t>ÅRJÄNG</t>
        </is>
      </c>
      <c r="G947" t="n">
        <v>1.8</v>
      </c>
      <c r="H947" t="n">
        <v>0</v>
      </c>
      <c r="I947" t="n">
        <v>0</v>
      </c>
      <c r="J947" t="n">
        <v>0</v>
      </c>
      <c r="K947" t="n">
        <v>0</v>
      </c>
      <c r="L947" t="n">
        <v>0</v>
      </c>
      <c r="M947" t="n">
        <v>0</v>
      </c>
      <c r="N947" t="n">
        <v>0</v>
      </c>
      <c r="O947" t="n">
        <v>0</v>
      </c>
      <c r="P947" t="n">
        <v>0</v>
      </c>
      <c r="Q947" t="n">
        <v>0</v>
      </c>
      <c r="R947" s="2" t="inlineStr"/>
    </row>
    <row r="948" ht="15" customHeight="1">
      <c r="A948" t="inlineStr">
        <is>
          <t>A 36857-2025</t>
        </is>
      </c>
      <c r="B948" s="1" t="n">
        <v>45874</v>
      </c>
      <c r="C948" s="1" t="n">
        <v>46199</v>
      </c>
      <c r="D948" t="inlineStr">
        <is>
          <t>VÄRMLANDS LÄN</t>
        </is>
      </c>
      <c r="E948" t="inlineStr">
        <is>
          <t>ÅRJÄNG</t>
        </is>
      </c>
      <c r="G948" t="n">
        <v>5.2</v>
      </c>
      <c r="H948" t="n">
        <v>0</v>
      </c>
      <c r="I948" t="n">
        <v>0</v>
      </c>
      <c r="J948" t="n">
        <v>0</v>
      </c>
      <c r="K948" t="n">
        <v>0</v>
      </c>
      <c r="L948" t="n">
        <v>0</v>
      </c>
      <c r="M948" t="n">
        <v>0</v>
      </c>
      <c r="N948" t="n">
        <v>0</v>
      </c>
      <c r="O948" t="n">
        <v>0</v>
      </c>
      <c r="P948" t="n">
        <v>0</v>
      </c>
      <c r="Q948" t="n">
        <v>0</v>
      </c>
      <c r="R948" s="2" t="inlineStr"/>
    </row>
    <row r="949" ht="15" customHeight="1">
      <c r="A949" t="inlineStr">
        <is>
          <t>A 44004-2023</t>
        </is>
      </c>
      <c r="B949" s="1" t="n">
        <v>45188</v>
      </c>
      <c r="C949" s="1" t="n">
        <v>46199</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44007-2023</t>
        </is>
      </c>
      <c r="B950" s="1" t="n">
        <v>45188</v>
      </c>
      <c r="C950" s="1" t="n">
        <v>46199</v>
      </c>
      <c r="D950" t="inlineStr">
        <is>
          <t>VÄRMLANDS LÄN</t>
        </is>
      </c>
      <c r="E950" t="inlineStr">
        <is>
          <t>ÅRJÄNG</t>
        </is>
      </c>
      <c r="G950" t="n">
        <v>2.1</v>
      </c>
      <c r="H950" t="n">
        <v>0</v>
      </c>
      <c r="I950" t="n">
        <v>0</v>
      </c>
      <c r="J950" t="n">
        <v>0</v>
      </c>
      <c r="K950" t="n">
        <v>0</v>
      </c>
      <c r="L950" t="n">
        <v>0</v>
      </c>
      <c r="M950" t="n">
        <v>0</v>
      </c>
      <c r="N950" t="n">
        <v>0</v>
      </c>
      <c r="O950" t="n">
        <v>0</v>
      </c>
      <c r="P950" t="n">
        <v>0</v>
      </c>
      <c r="Q950" t="n">
        <v>0</v>
      </c>
      <c r="R950" s="2" t="inlineStr"/>
    </row>
    <row r="951" ht="15" customHeight="1">
      <c r="A951" t="inlineStr">
        <is>
          <t>A 33993-2025</t>
        </is>
      </c>
      <c r="B951" s="1" t="n">
        <v>45843</v>
      </c>
      <c r="C951" s="1" t="n">
        <v>46199</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5741-2025</t>
        </is>
      </c>
      <c r="B952" s="1" t="n">
        <v>45694</v>
      </c>
      <c r="C952" s="1" t="n">
        <v>46199</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31393-2025</t>
        </is>
      </c>
      <c r="B953" s="1" t="n">
        <v>45833</v>
      </c>
      <c r="C953" s="1" t="n">
        <v>46199</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5127-2025</t>
        </is>
      </c>
      <c r="B954" s="1" t="n">
        <v>45691</v>
      </c>
      <c r="C954" s="1" t="n">
        <v>46199</v>
      </c>
      <c r="D954" t="inlineStr">
        <is>
          <t>VÄRMLANDS LÄN</t>
        </is>
      </c>
      <c r="E954" t="inlineStr">
        <is>
          <t>ÅRJÄNG</t>
        </is>
      </c>
      <c r="G954" t="n">
        <v>5.7</v>
      </c>
      <c r="H954" t="n">
        <v>0</v>
      </c>
      <c r="I954" t="n">
        <v>0</v>
      </c>
      <c r="J954" t="n">
        <v>0</v>
      </c>
      <c r="K954" t="n">
        <v>0</v>
      </c>
      <c r="L954" t="n">
        <v>0</v>
      </c>
      <c r="M954" t="n">
        <v>0</v>
      </c>
      <c r="N954" t="n">
        <v>0</v>
      </c>
      <c r="O954" t="n">
        <v>0</v>
      </c>
      <c r="P954" t="n">
        <v>0</v>
      </c>
      <c r="Q954" t="n">
        <v>0</v>
      </c>
      <c r="R954" s="2" t="inlineStr"/>
    </row>
    <row r="955" ht="15" customHeight="1">
      <c r="A955" t="inlineStr">
        <is>
          <t>A 55422-2023</t>
        </is>
      </c>
      <c r="B955" s="1" t="n">
        <v>45238</v>
      </c>
      <c r="C955" s="1" t="n">
        <v>46199</v>
      </c>
      <c r="D955" t="inlineStr">
        <is>
          <t>VÄRMLANDS LÄN</t>
        </is>
      </c>
      <c r="E955" t="inlineStr">
        <is>
          <t>ÅRJÄNG</t>
        </is>
      </c>
      <c r="F955" t="inlineStr">
        <is>
          <t>Kyrkan</t>
        </is>
      </c>
      <c r="G955" t="n">
        <v>2.3</v>
      </c>
      <c r="H955" t="n">
        <v>0</v>
      </c>
      <c r="I955" t="n">
        <v>0</v>
      </c>
      <c r="J955" t="n">
        <v>0</v>
      </c>
      <c r="K955" t="n">
        <v>0</v>
      </c>
      <c r="L955" t="n">
        <v>0</v>
      </c>
      <c r="M955" t="n">
        <v>0</v>
      </c>
      <c r="N955" t="n">
        <v>0</v>
      </c>
      <c r="O955" t="n">
        <v>0</v>
      </c>
      <c r="P955" t="n">
        <v>0</v>
      </c>
      <c r="Q955" t="n">
        <v>0</v>
      </c>
      <c r="R955" s="2" t="inlineStr"/>
    </row>
    <row r="956" ht="15" customHeight="1">
      <c r="A956" t="inlineStr">
        <is>
          <t>A 10519-2022</t>
        </is>
      </c>
      <c r="B956" s="1" t="n">
        <v>44623</v>
      </c>
      <c r="C956" s="1" t="n">
        <v>46199</v>
      </c>
      <c r="D956" t="inlineStr">
        <is>
          <t>VÄRMLANDS LÄN</t>
        </is>
      </c>
      <c r="E956" t="inlineStr">
        <is>
          <t>ÅRJÄNG</t>
        </is>
      </c>
      <c r="G956" t="n">
        <v>3.4</v>
      </c>
      <c r="H956" t="n">
        <v>0</v>
      </c>
      <c r="I956" t="n">
        <v>0</v>
      </c>
      <c r="J956" t="n">
        <v>0</v>
      </c>
      <c r="K956" t="n">
        <v>0</v>
      </c>
      <c r="L956" t="n">
        <v>0</v>
      </c>
      <c r="M956" t="n">
        <v>0</v>
      </c>
      <c r="N956" t="n">
        <v>0</v>
      </c>
      <c r="O956" t="n">
        <v>0</v>
      </c>
      <c r="P956" t="n">
        <v>0</v>
      </c>
      <c r="Q956" t="n">
        <v>0</v>
      </c>
      <c r="R956" s="2" t="inlineStr"/>
    </row>
    <row r="957" ht="15" customHeight="1">
      <c r="A957" t="inlineStr">
        <is>
          <t>A 8601-2022</t>
        </is>
      </c>
      <c r="B957" s="1" t="n">
        <v>44613</v>
      </c>
      <c r="C957" s="1" t="n">
        <v>46199</v>
      </c>
      <c r="D957" t="inlineStr">
        <is>
          <t>VÄRMLANDS LÄN</t>
        </is>
      </c>
      <c r="E957" t="inlineStr">
        <is>
          <t>ÅRJÄNG</t>
        </is>
      </c>
      <c r="G957" t="n">
        <v>1.3</v>
      </c>
      <c r="H957" t="n">
        <v>0</v>
      </c>
      <c r="I957" t="n">
        <v>0</v>
      </c>
      <c r="J957" t="n">
        <v>0</v>
      </c>
      <c r="K957" t="n">
        <v>0</v>
      </c>
      <c r="L957" t="n">
        <v>0</v>
      </c>
      <c r="M957" t="n">
        <v>0</v>
      </c>
      <c r="N957" t="n">
        <v>0</v>
      </c>
      <c r="O957" t="n">
        <v>0</v>
      </c>
      <c r="P957" t="n">
        <v>0</v>
      </c>
      <c r="Q957" t="n">
        <v>0</v>
      </c>
      <c r="R957" s="2" t="inlineStr"/>
    </row>
    <row r="958" ht="15" customHeight="1">
      <c r="A958" t="inlineStr">
        <is>
          <t>A 56060-2023</t>
        </is>
      </c>
      <c r="B958" s="1" t="n">
        <v>45233</v>
      </c>
      <c r="C958" s="1" t="n">
        <v>46199</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56655-2024</t>
        </is>
      </c>
      <c r="B959" s="1" t="n">
        <v>45625</v>
      </c>
      <c r="C959" s="1" t="n">
        <v>46199</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27240-2023</t>
        </is>
      </c>
      <c r="B960" s="1" t="n">
        <v>45096</v>
      </c>
      <c r="C960" s="1" t="n">
        <v>46199</v>
      </c>
      <c r="D960" t="inlineStr">
        <is>
          <t>VÄRMLANDS LÄN</t>
        </is>
      </c>
      <c r="E960" t="inlineStr">
        <is>
          <t>ÅRJÄNG</t>
        </is>
      </c>
      <c r="G960" t="n">
        <v>2.1</v>
      </c>
      <c r="H960" t="n">
        <v>0</v>
      </c>
      <c r="I960" t="n">
        <v>0</v>
      </c>
      <c r="J960" t="n">
        <v>0</v>
      </c>
      <c r="K960" t="n">
        <v>0</v>
      </c>
      <c r="L960" t="n">
        <v>0</v>
      </c>
      <c r="M960" t="n">
        <v>0</v>
      </c>
      <c r="N960" t="n">
        <v>0</v>
      </c>
      <c r="O960" t="n">
        <v>0</v>
      </c>
      <c r="P960" t="n">
        <v>0</v>
      </c>
      <c r="Q960" t="n">
        <v>0</v>
      </c>
      <c r="R960" s="2" t="inlineStr"/>
    </row>
    <row r="961" ht="15" customHeight="1">
      <c r="A961" t="inlineStr">
        <is>
          <t>A 60663-2025</t>
        </is>
      </c>
      <c r="B961" s="1" t="n">
        <v>45996</v>
      </c>
      <c r="C961" s="1" t="n">
        <v>46199</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46351-2023</t>
        </is>
      </c>
      <c r="B962" s="1" t="n">
        <v>45197</v>
      </c>
      <c r="C962" s="1" t="n">
        <v>46199</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17361-2022</t>
        </is>
      </c>
      <c r="B963" s="1" t="n">
        <v>44678</v>
      </c>
      <c r="C963" s="1" t="n">
        <v>46199</v>
      </c>
      <c r="D963" t="inlineStr">
        <is>
          <t>VÄRMLANDS LÄN</t>
        </is>
      </c>
      <c r="E963" t="inlineStr">
        <is>
          <t>ÅRJÄNG</t>
        </is>
      </c>
      <c r="G963" t="n">
        <v>5.7</v>
      </c>
      <c r="H963" t="n">
        <v>0</v>
      </c>
      <c r="I963" t="n">
        <v>0</v>
      </c>
      <c r="J963" t="n">
        <v>0</v>
      </c>
      <c r="K963" t="n">
        <v>0</v>
      </c>
      <c r="L963" t="n">
        <v>0</v>
      </c>
      <c r="M963" t="n">
        <v>0</v>
      </c>
      <c r="N963" t="n">
        <v>0</v>
      </c>
      <c r="O963" t="n">
        <v>0</v>
      </c>
      <c r="P963" t="n">
        <v>0</v>
      </c>
      <c r="Q963" t="n">
        <v>0</v>
      </c>
      <c r="R963" s="2" t="inlineStr"/>
    </row>
    <row r="964" ht="15" customHeight="1">
      <c r="A964" t="inlineStr">
        <is>
          <t>A 26694-2026</t>
        </is>
      </c>
      <c r="B964" s="1" t="n">
        <v>46184</v>
      </c>
      <c r="C964" s="1" t="n">
        <v>46199</v>
      </c>
      <c r="D964" t="inlineStr">
        <is>
          <t>VÄRMLANDS LÄN</t>
        </is>
      </c>
      <c r="E964" t="inlineStr">
        <is>
          <t>ÅRJÄNG</t>
        </is>
      </c>
      <c r="G964" t="n">
        <v>3</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46199</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13002-2025</t>
        </is>
      </c>
      <c r="B966" s="1" t="n">
        <v>45734</v>
      </c>
      <c r="C966" s="1" t="n">
        <v>46199</v>
      </c>
      <c r="D966" t="inlineStr">
        <is>
          <t>VÄRMLANDS LÄN</t>
        </is>
      </c>
      <c r="E966" t="inlineStr">
        <is>
          <t>ÅRJÄNG</t>
        </is>
      </c>
      <c r="G966" t="n">
        <v>2.4</v>
      </c>
      <c r="H966" t="n">
        <v>0</v>
      </c>
      <c r="I966" t="n">
        <v>0</v>
      </c>
      <c r="J966" t="n">
        <v>0</v>
      </c>
      <c r="K966" t="n">
        <v>0</v>
      </c>
      <c r="L966" t="n">
        <v>0</v>
      </c>
      <c r="M966" t="n">
        <v>0</v>
      </c>
      <c r="N966" t="n">
        <v>0</v>
      </c>
      <c r="O966" t="n">
        <v>0</v>
      </c>
      <c r="P966" t="n">
        <v>0</v>
      </c>
      <c r="Q966" t="n">
        <v>0</v>
      </c>
      <c r="R966" s="2" t="inlineStr"/>
    </row>
    <row r="967" ht="15" customHeight="1">
      <c r="A967" t="inlineStr">
        <is>
          <t>A 58769-2024</t>
        </is>
      </c>
      <c r="B967" s="1" t="n">
        <v>45635</v>
      </c>
      <c r="C967" s="1" t="n">
        <v>46199</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57306-2023</t>
        </is>
      </c>
      <c r="B968" s="1" t="n">
        <v>45245</v>
      </c>
      <c r="C968" s="1" t="n">
        <v>46199</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57126-2024</t>
        </is>
      </c>
      <c r="B969" s="1" t="n">
        <v>45629</v>
      </c>
      <c r="C969" s="1" t="n">
        <v>46199</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39434-2023</t>
        </is>
      </c>
      <c r="B970" s="1" t="n">
        <v>45166</v>
      </c>
      <c r="C970" s="1" t="n">
        <v>46199</v>
      </c>
      <c r="D970" t="inlineStr">
        <is>
          <t>VÄRMLANDS LÄN</t>
        </is>
      </c>
      <c r="E970" t="inlineStr">
        <is>
          <t>ÅRJÄNG</t>
        </is>
      </c>
      <c r="G970" t="n">
        <v>0.3</v>
      </c>
      <c r="H970" t="n">
        <v>0</v>
      </c>
      <c r="I970" t="n">
        <v>0</v>
      </c>
      <c r="J970" t="n">
        <v>0</v>
      </c>
      <c r="K970" t="n">
        <v>0</v>
      </c>
      <c r="L970" t="n">
        <v>0</v>
      </c>
      <c r="M970" t="n">
        <v>0</v>
      </c>
      <c r="N970" t="n">
        <v>0</v>
      </c>
      <c r="O970" t="n">
        <v>0</v>
      </c>
      <c r="P970" t="n">
        <v>0</v>
      </c>
      <c r="Q970" t="n">
        <v>0</v>
      </c>
      <c r="R970" s="2" t="inlineStr"/>
    </row>
    <row r="971" ht="15" customHeight="1">
      <c r="A971" t="inlineStr">
        <is>
          <t>A 19248-2025</t>
        </is>
      </c>
      <c r="B971" s="1" t="n">
        <v>45769</v>
      </c>
      <c r="C971" s="1" t="n">
        <v>46199</v>
      </c>
      <c r="D971" t="inlineStr">
        <is>
          <t>VÄRMLANDS LÄN</t>
        </is>
      </c>
      <c r="E971" t="inlineStr">
        <is>
          <t>ÅRJÄNG</t>
        </is>
      </c>
      <c r="G971" t="n">
        <v>5.3</v>
      </c>
      <c r="H971" t="n">
        <v>0</v>
      </c>
      <c r="I971" t="n">
        <v>0</v>
      </c>
      <c r="J971" t="n">
        <v>0</v>
      </c>
      <c r="K971" t="n">
        <v>0</v>
      </c>
      <c r="L971" t="n">
        <v>0</v>
      </c>
      <c r="M971" t="n">
        <v>0</v>
      </c>
      <c r="N971" t="n">
        <v>0</v>
      </c>
      <c r="O971" t="n">
        <v>0</v>
      </c>
      <c r="P971" t="n">
        <v>0</v>
      </c>
      <c r="Q971" t="n">
        <v>0</v>
      </c>
      <c r="R971" s="2" t="inlineStr"/>
    </row>
    <row r="972" ht="15" customHeight="1">
      <c r="A972" t="inlineStr">
        <is>
          <t>A 38482-2024</t>
        </is>
      </c>
      <c r="B972" s="1" t="n">
        <v>45546</v>
      </c>
      <c r="C972" s="1" t="n">
        <v>46199</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236-2025</t>
        </is>
      </c>
      <c r="B973" s="1" t="n">
        <v>45653</v>
      </c>
      <c r="C973" s="1" t="n">
        <v>46199</v>
      </c>
      <c r="D973" t="inlineStr">
        <is>
          <t>VÄRMLANDS LÄN</t>
        </is>
      </c>
      <c r="E973" t="inlineStr">
        <is>
          <t>ÅRJÄNG</t>
        </is>
      </c>
      <c r="F973" t="inlineStr">
        <is>
          <t>Övriga Aktiebolag</t>
        </is>
      </c>
      <c r="G973" t="n">
        <v>3</v>
      </c>
      <c r="H973" t="n">
        <v>0</v>
      </c>
      <c r="I973" t="n">
        <v>0</v>
      </c>
      <c r="J973" t="n">
        <v>0</v>
      </c>
      <c r="K973" t="n">
        <v>0</v>
      </c>
      <c r="L973" t="n">
        <v>0</v>
      </c>
      <c r="M973" t="n">
        <v>0</v>
      </c>
      <c r="N973" t="n">
        <v>0</v>
      </c>
      <c r="O973" t="n">
        <v>0</v>
      </c>
      <c r="P973" t="n">
        <v>0</v>
      </c>
      <c r="Q973" t="n">
        <v>0</v>
      </c>
      <c r="R973" s="2" t="inlineStr"/>
    </row>
    <row r="974" ht="15" customHeight="1">
      <c r="A974" t="inlineStr">
        <is>
          <t>A 1602-2025</t>
        </is>
      </c>
      <c r="B974" s="1" t="n">
        <v>45670</v>
      </c>
      <c r="C974" s="1" t="n">
        <v>46199</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43253-2023</t>
        </is>
      </c>
      <c r="B975" s="1" t="n">
        <v>45183</v>
      </c>
      <c r="C975" s="1" t="n">
        <v>46199</v>
      </c>
      <c r="D975" t="inlineStr">
        <is>
          <t>VÄRMLANDS LÄN</t>
        </is>
      </c>
      <c r="E975" t="inlineStr">
        <is>
          <t>ÅRJÄNG</t>
        </is>
      </c>
      <c r="G975" t="n">
        <v>5.5</v>
      </c>
      <c r="H975" t="n">
        <v>0</v>
      </c>
      <c r="I975" t="n">
        <v>0</v>
      </c>
      <c r="J975" t="n">
        <v>0</v>
      </c>
      <c r="K975" t="n">
        <v>0</v>
      </c>
      <c r="L975" t="n">
        <v>0</v>
      </c>
      <c r="M975" t="n">
        <v>0</v>
      </c>
      <c r="N975" t="n">
        <v>0</v>
      </c>
      <c r="O975" t="n">
        <v>0</v>
      </c>
      <c r="P975" t="n">
        <v>0</v>
      </c>
      <c r="Q975" t="n">
        <v>0</v>
      </c>
      <c r="R975" s="2" t="inlineStr"/>
    </row>
    <row r="976" ht="15" customHeight="1">
      <c r="A976" t="inlineStr">
        <is>
          <t>A 17827-2025</t>
        </is>
      </c>
      <c r="B976" s="1" t="n">
        <v>45758</v>
      </c>
      <c r="C976" s="1" t="n">
        <v>46199</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34230-2025</t>
        </is>
      </c>
      <c r="B977" s="1" t="n">
        <v>45845</v>
      </c>
      <c r="C977" s="1" t="n">
        <v>46199</v>
      </c>
      <c r="D977" t="inlineStr">
        <is>
          <t>VÄRMLANDS LÄN</t>
        </is>
      </c>
      <c r="E977" t="inlineStr">
        <is>
          <t>ÅRJÄNG</t>
        </is>
      </c>
      <c r="G977" t="n">
        <v>1</v>
      </c>
      <c r="H977" t="n">
        <v>0</v>
      </c>
      <c r="I977" t="n">
        <v>0</v>
      </c>
      <c r="J977" t="n">
        <v>0</v>
      </c>
      <c r="K977" t="n">
        <v>0</v>
      </c>
      <c r="L977" t="n">
        <v>0</v>
      </c>
      <c r="M977" t="n">
        <v>0</v>
      </c>
      <c r="N977" t="n">
        <v>0</v>
      </c>
      <c r="O977" t="n">
        <v>0</v>
      </c>
      <c r="P977" t="n">
        <v>0</v>
      </c>
      <c r="Q977" t="n">
        <v>0</v>
      </c>
      <c r="R977" s="2" t="inlineStr"/>
    </row>
    <row r="978" ht="15" customHeight="1">
      <c r="A978" t="inlineStr">
        <is>
          <t>A 19920-2024</t>
        </is>
      </c>
      <c r="B978" s="1" t="n">
        <v>45433</v>
      </c>
      <c r="C978" s="1" t="n">
        <v>46199</v>
      </c>
      <c r="D978" t="inlineStr">
        <is>
          <t>VÄRMLANDS LÄN</t>
        </is>
      </c>
      <c r="E978" t="inlineStr">
        <is>
          <t>ÅRJÄNG</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301-2025</t>
        </is>
      </c>
      <c r="B979" s="1" t="n">
        <v>45660</v>
      </c>
      <c r="C979" s="1" t="n">
        <v>46199</v>
      </c>
      <c r="D979" t="inlineStr">
        <is>
          <t>VÄRMLANDS LÄN</t>
        </is>
      </c>
      <c r="E979" t="inlineStr">
        <is>
          <t>ÅRJÄNG</t>
        </is>
      </c>
      <c r="G979" t="n">
        <v>2.5</v>
      </c>
      <c r="H979" t="n">
        <v>0</v>
      </c>
      <c r="I979" t="n">
        <v>0</v>
      </c>
      <c r="J979" t="n">
        <v>0</v>
      </c>
      <c r="K979" t="n">
        <v>0</v>
      </c>
      <c r="L979" t="n">
        <v>0</v>
      </c>
      <c r="M979" t="n">
        <v>0</v>
      </c>
      <c r="N979" t="n">
        <v>0</v>
      </c>
      <c r="O979" t="n">
        <v>0</v>
      </c>
      <c r="P979" t="n">
        <v>0</v>
      </c>
      <c r="Q979" t="n">
        <v>0</v>
      </c>
      <c r="R979" s="2" t="inlineStr"/>
    </row>
    <row r="980" ht="15" customHeight="1">
      <c r="A980" t="inlineStr">
        <is>
          <t>A 61053-2025</t>
        </is>
      </c>
      <c r="B980" s="1" t="n">
        <v>46000</v>
      </c>
      <c r="C980" s="1" t="n">
        <v>46199</v>
      </c>
      <c r="D980" t="inlineStr">
        <is>
          <t>VÄRMLANDS LÄN</t>
        </is>
      </c>
      <c r="E980" t="inlineStr">
        <is>
          <t>ÅRJÄNG</t>
        </is>
      </c>
      <c r="G980" t="n">
        <v>4.4</v>
      </c>
      <c r="H980" t="n">
        <v>0</v>
      </c>
      <c r="I980" t="n">
        <v>0</v>
      </c>
      <c r="J980" t="n">
        <v>0</v>
      </c>
      <c r="K980" t="n">
        <v>0</v>
      </c>
      <c r="L980" t="n">
        <v>0</v>
      </c>
      <c r="M980" t="n">
        <v>0</v>
      </c>
      <c r="N980" t="n">
        <v>0</v>
      </c>
      <c r="O980" t="n">
        <v>0</v>
      </c>
      <c r="P980" t="n">
        <v>0</v>
      </c>
      <c r="Q980" t="n">
        <v>0</v>
      </c>
      <c r="R980" s="2" t="inlineStr"/>
    </row>
    <row r="981" ht="15" customHeight="1">
      <c r="A981" t="inlineStr">
        <is>
          <t>A 3492-2024</t>
        </is>
      </c>
      <c r="B981" s="1" t="n">
        <v>45317</v>
      </c>
      <c r="C981" s="1" t="n">
        <v>46199</v>
      </c>
      <c r="D981" t="inlineStr">
        <is>
          <t>VÄRMLANDS LÄN</t>
        </is>
      </c>
      <c r="E981" t="inlineStr">
        <is>
          <t>ÅRJÄNG</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14434-2025</t>
        </is>
      </c>
      <c r="B982" s="1" t="n">
        <v>45741</v>
      </c>
      <c r="C982" s="1" t="n">
        <v>46199</v>
      </c>
      <c r="D982" t="inlineStr">
        <is>
          <t>VÄRMLANDS LÄN</t>
        </is>
      </c>
      <c r="E982" t="inlineStr">
        <is>
          <t>ÅRJÄNG</t>
        </is>
      </c>
      <c r="F982" t="inlineStr">
        <is>
          <t>Övriga Aktiebolag</t>
        </is>
      </c>
      <c r="G982" t="n">
        <v>2.3</v>
      </c>
      <c r="H982" t="n">
        <v>0</v>
      </c>
      <c r="I982" t="n">
        <v>0</v>
      </c>
      <c r="J982" t="n">
        <v>0</v>
      </c>
      <c r="K982" t="n">
        <v>0</v>
      </c>
      <c r="L982" t="n">
        <v>0</v>
      </c>
      <c r="M982" t="n">
        <v>0</v>
      </c>
      <c r="N982" t="n">
        <v>0</v>
      </c>
      <c r="O982" t="n">
        <v>0</v>
      </c>
      <c r="P982" t="n">
        <v>0</v>
      </c>
      <c r="Q982" t="n">
        <v>0</v>
      </c>
      <c r="R982" s="2" t="inlineStr"/>
    </row>
    <row r="983" ht="15" customHeight="1">
      <c r="A983" t="inlineStr">
        <is>
          <t>A 6109-2025</t>
        </is>
      </c>
      <c r="B983" s="1" t="n">
        <v>45698</v>
      </c>
      <c r="C983" s="1" t="n">
        <v>46199</v>
      </c>
      <c r="D983" t="inlineStr">
        <is>
          <t>VÄRMLANDS LÄN</t>
        </is>
      </c>
      <c r="E983" t="inlineStr">
        <is>
          <t>ÅRJÄNG</t>
        </is>
      </c>
      <c r="G983" t="n">
        <v>4.1</v>
      </c>
      <c r="H983" t="n">
        <v>0</v>
      </c>
      <c r="I983" t="n">
        <v>0</v>
      </c>
      <c r="J983" t="n">
        <v>0</v>
      </c>
      <c r="K983" t="n">
        <v>0</v>
      </c>
      <c r="L983" t="n">
        <v>0</v>
      </c>
      <c r="M983" t="n">
        <v>0</v>
      </c>
      <c r="N983" t="n">
        <v>0</v>
      </c>
      <c r="O983" t="n">
        <v>0</v>
      </c>
      <c r="P983" t="n">
        <v>0</v>
      </c>
      <c r="Q983" t="n">
        <v>0</v>
      </c>
      <c r="R983" s="2" t="inlineStr"/>
    </row>
    <row r="984" ht="15" customHeight="1">
      <c r="A984" t="inlineStr">
        <is>
          <t>A 283-2025</t>
        </is>
      </c>
      <c r="B984" s="1" t="n">
        <v>45656</v>
      </c>
      <c r="C984" s="1" t="n">
        <v>46199</v>
      </c>
      <c r="D984" t="inlineStr">
        <is>
          <t>VÄRMLANDS LÄN</t>
        </is>
      </c>
      <c r="E984" t="inlineStr">
        <is>
          <t>ÅRJÄNG</t>
        </is>
      </c>
      <c r="F984" t="inlineStr">
        <is>
          <t>Övriga Aktiebolag</t>
        </is>
      </c>
      <c r="G984" t="n">
        <v>3.9</v>
      </c>
      <c r="H984" t="n">
        <v>0</v>
      </c>
      <c r="I984" t="n">
        <v>0</v>
      </c>
      <c r="J984" t="n">
        <v>0</v>
      </c>
      <c r="K984" t="n">
        <v>0</v>
      </c>
      <c r="L984" t="n">
        <v>0</v>
      </c>
      <c r="M984" t="n">
        <v>0</v>
      </c>
      <c r="N984" t="n">
        <v>0</v>
      </c>
      <c r="O984" t="n">
        <v>0</v>
      </c>
      <c r="P984" t="n">
        <v>0</v>
      </c>
      <c r="Q984" t="n">
        <v>0</v>
      </c>
      <c r="R984" s="2" t="inlineStr"/>
    </row>
    <row r="985" ht="15" customHeight="1">
      <c r="A985" t="inlineStr">
        <is>
          <t>A 60207-2023</t>
        </is>
      </c>
      <c r="B985" s="1" t="n">
        <v>45257</v>
      </c>
      <c r="C985" s="1" t="n">
        <v>46199</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21443-2022</t>
        </is>
      </c>
      <c r="B986" s="1" t="n">
        <v>44706</v>
      </c>
      <c r="C986" s="1" t="n">
        <v>46199</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48203-2023</t>
        </is>
      </c>
      <c r="B987" s="1" t="n">
        <v>45200</v>
      </c>
      <c r="C987" s="1" t="n">
        <v>46199</v>
      </c>
      <c r="D987" t="inlineStr">
        <is>
          <t>VÄRMLANDS LÄN</t>
        </is>
      </c>
      <c r="E987" t="inlineStr">
        <is>
          <t>ÅRJÄNG</t>
        </is>
      </c>
      <c r="F987" t="inlineStr">
        <is>
          <t>Övriga Aktiebolag</t>
        </is>
      </c>
      <c r="G987" t="n">
        <v>3.1</v>
      </c>
      <c r="H987" t="n">
        <v>0</v>
      </c>
      <c r="I987" t="n">
        <v>0</v>
      </c>
      <c r="J987" t="n">
        <v>0</v>
      </c>
      <c r="K987" t="n">
        <v>0</v>
      </c>
      <c r="L987" t="n">
        <v>0</v>
      </c>
      <c r="M987" t="n">
        <v>0</v>
      </c>
      <c r="N987" t="n">
        <v>0</v>
      </c>
      <c r="O987" t="n">
        <v>0</v>
      </c>
      <c r="P987" t="n">
        <v>0</v>
      </c>
      <c r="Q987" t="n">
        <v>0</v>
      </c>
      <c r="R987" s="2" t="inlineStr"/>
    </row>
    <row r="988" ht="15" customHeight="1">
      <c r="A988" t="inlineStr">
        <is>
          <t>A 42667-2023</t>
        </is>
      </c>
      <c r="B988" s="1" t="n">
        <v>45176</v>
      </c>
      <c r="C988" s="1" t="n">
        <v>46199</v>
      </c>
      <c r="D988" t="inlineStr">
        <is>
          <t>VÄRMLANDS LÄN</t>
        </is>
      </c>
      <c r="E988" t="inlineStr">
        <is>
          <t>ÅRJÄNG</t>
        </is>
      </c>
      <c r="G988" t="n">
        <v>2.8</v>
      </c>
      <c r="H988" t="n">
        <v>0</v>
      </c>
      <c r="I988" t="n">
        <v>0</v>
      </c>
      <c r="J988" t="n">
        <v>0</v>
      </c>
      <c r="K988" t="n">
        <v>0</v>
      </c>
      <c r="L988" t="n">
        <v>0</v>
      </c>
      <c r="M988" t="n">
        <v>0</v>
      </c>
      <c r="N988" t="n">
        <v>0</v>
      </c>
      <c r="O988" t="n">
        <v>0</v>
      </c>
      <c r="P988" t="n">
        <v>0</v>
      </c>
      <c r="Q988" t="n">
        <v>0</v>
      </c>
      <c r="R988" s="2" t="inlineStr"/>
    </row>
    <row r="989" ht="15" customHeight="1">
      <c r="A989" t="inlineStr">
        <is>
          <t>A 16519-2025</t>
        </is>
      </c>
      <c r="B989" s="1" t="n">
        <v>45751</v>
      </c>
      <c r="C989" s="1" t="n">
        <v>46199</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53554-2023</t>
        </is>
      </c>
      <c r="B990" s="1" t="n">
        <v>45230</v>
      </c>
      <c r="C990" s="1" t="n">
        <v>46199</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55574-2023</t>
        </is>
      </c>
      <c r="B991" s="1" t="n">
        <v>45232</v>
      </c>
      <c r="C991" s="1" t="n">
        <v>46199</v>
      </c>
      <c r="D991" t="inlineStr">
        <is>
          <t>VÄRMLANDS LÄN</t>
        </is>
      </c>
      <c r="E991" t="inlineStr">
        <is>
          <t>ÅRJÄNG</t>
        </is>
      </c>
      <c r="G991" t="n">
        <v>9.1</v>
      </c>
      <c r="H991" t="n">
        <v>0</v>
      </c>
      <c r="I991" t="n">
        <v>0</v>
      </c>
      <c r="J991" t="n">
        <v>0</v>
      </c>
      <c r="K991" t="n">
        <v>0</v>
      </c>
      <c r="L991" t="n">
        <v>0</v>
      </c>
      <c r="M991" t="n">
        <v>0</v>
      </c>
      <c r="N991" t="n">
        <v>0</v>
      </c>
      <c r="O991" t="n">
        <v>0</v>
      </c>
      <c r="P991" t="n">
        <v>0</v>
      </c>
      <c r="Q991" t="n">
        <v>0</v>
      </c>
      <c r="R991" s="2" t="inlineStr"/>
    </row>
    <row r="992" ht="15" customHeight="1">
      <c r="A992" t="inlineStr">
        <is>
          <t>A 58434-2023</t>
        </is>
      </c>
      <c r="B992" s="1" t="n">
        <v>45250</v>
      </c>
      <c r="C992" s="1" t="n">
        <v>46199</v>
      </c>
      <c r="D992" t="inlineStr">
        <is>
          <t>VÄRMLANDS LÄN</t>
        </is>
      </c>
      <c r="E992" t="inlineStr">
        <is>
          <t>ÅRJÄNG</t>
        </is>
      </c>
      <c r="F992" t="inlineStr">
        <is>
          <t>Naturvårdsverket</t>
        </is>
      </c>
      <c r="G992" t="n">
        <v>3</v>
      </c>
      <c r="H992" t="n">
        <v>0</v>
      </c>
      <c r="I992" t="n">
        <v>0</v>
      </c>
      <c r="J992" t="n">
        <v>0</v>
      </c>
      <c r="K992" t="n">
        <v>0</v>
      </c>
      <c r="L992" t="n">
        <v>0</v>
      </c>
      <c r="M992" t="n">
        <v>0</v>
      </c>
      <c r="N992" t="n">
        <v>0</v>
      </c>
      <c r="O992" t="n">
        <v>0</v>
      </c>
      <c r="P992" t="n">
        <v>0</v>
      </c>
      <c r="Q992" t="n">
        <v>0</v>
      </c>
      <c r="R992" s="2" t="inlineStr"/>
    </row>
    <row r="993" ht="15" customHeight="1">
      <c r="A993" t="inlineStr">
        <is>
          <t>A 27363-2026</t>
        </is>
      </c>
      <c r="B993" s="1" t="n">
        <v>46184</v>
      </c>
      <c r="C993" s="1" t="n">
        <v>46199</v>
      </c>
      <c r="D993" t="inlineStr">
        <is>
          <t>VÄRMLANDS LÄN</t>
        </is>
      </c>
      <c r="E993" t="inlineStr">
        <is>
          <t>ÅRJÄNG</t>
        </is>
      </c>
      <c r="G993" t="n">
        <v>5.2</v>
      </c>
      <c r="H993" t="n">
        <v>0</v>
      </c>
      <c r="I993" t="n">
        <v>0</v>
      </c>
      <c r="J993" t="n">
        <v>0</v>
      </c>
      <c r="K993" t="n">
        <v>0</v>
      </c>
      <c r="L993" t="n">
        <v>0</v>
      </c>
      <c r="M993" t="n">
        <v>0</v>
      </c>
      <c r="N993" t="n">
        <v>0</v>
      </c>
      <c r="O993" t="n">
        <v>0</v>
      </c>
      <c r="P993" t="n">
        <v>0</v>
      </c>
      <c r="Q993" t="n">
        <v>0</v>
      </c>
      <c r="R993" s="2" t="inlineStr"/>
    </row>
    <row r="994" ht="15" customHeight="1">
      <c r="A994" t="inlineStr">
        <is>
          <t>A 8356-2025</t>
        </is>
      </c>
      <c r="B994" s="1" t="n">
        <v>45708</v>
      </c>
      <c r="C994" s="1" t="n">
        <v>46199</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18256-2024</t>
        </is>
      </c>
      <c r="B995" s="1" t="n">
        <v>45421</v>
      </c>
      <c r="C995" s="1" t="n">
        <v>46199</v>
      </c>
      <c r="D995" t="inlineStr">
        <is>
          <t>VÄRMLANDS LÄN</t>
        </is>
      </c>
      <c r="E995" t="inlineStr">
        <is>
          <t>ÅRJÄNG</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24477-2022</t>
        </is>
      </c>
      <c r="B996" s="1" t="n">
        <v>44726</v>
      </c>
      <c r="C996" s="1" t="n">
        <v>46199</v>
      </c>
      <c r="D996" t="inlineStr">
        <is>
          <t>VÄRMLANDS LÄN</t>
        </is>
      </c>
      <c r="E996" t="inlineStr">
        <is>
          <t>ÅRJÄNG</t>
        </is>
      </c>
      <c r="G996" t="n">
        <v>2.2</v>
      </c>
      <c r="H996" t="n">
        <v>0</v>
      </c>
      <c r="I996" t="n">
        <v>0</v>
      </c>
      <c r="J996" t="n">
        <v>0</v>
      </c>
      <c r="K996" t="n">
        <v>0</v>
      </c>
      <c r="L996" t="n">
        <v>0</v>
      </c>
      <c r="M996" t="n">
        <v>0</v>
      </c>
      <c r="N996" t="n">
        <v>0</v>
      </c>
      <c r="O996" t="n">
        <v>0</v>
      </c>
      <c r="P996" t="n">
        <v>0</v>
      </c>
      <c r="Q996" t="n">
        <v>0</v>
      </c>
      <c r="R996" s="2" t="inlineStr"/>
    </row>
    <row r="997" ht="15" customHeight="1">
      <c r="A997" t="inlineStr">
        <is>
          <t>A 46441-2023</t>
        </is>
      </c>
      <c r="B997" s="1" t="n">
        <v>45197</v>
      </c>
      <c r="C997" s="1" t="n">
        <v>46199</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59352-2022</t>
        </is>
      </c>
      <c r="B998" s="1" t="n">
        <v>44904</v>
      </c>
      <c r="C998" s="1" t="n">
        <v>46199</v>
      </c>
      <c r="D998" t="inlineStr">
        <is>
          <t>VÄRMLANDS LÄN</t>
        </is>
      </c>
      <c r="E998" t="inlineStr">
        <is>
          <t>ÅRJÄNG</t>
        </is>
      </c>
      <c r="G998" t="n">
        <v>9.6</v>
      </c>
      <c r="H998" t="n">
        <v>0</v>
      </c>
      <c r="I998" t="n">
        <v>0</v>
      </c>
      <c r="J998" t="n">
        <v>0</v>
      </c>
      <c r="K998" t="n">
        <v>0</v>
      </c>
      <c r="L998" t="n">
        <v>0</v>
      </c>
      <c r="M998" t="n">
        <v>0</v>
      </c>
      <c r="N998" t="n">
        <v>0</v>
      </c>
      <c r="O998" t="n">
        <v>0</v>
      </c>
      <c r="P998" t="n">
        <v>0</v>
      </c>
      <c r="Q998" t="n">
        <v>0</v>
      </c>
      <c r="R998" s="2" t="inlineStr"/>
    </row>
    <row r="999" ht="15" customHeight="1">
      <c r="A999" t="inlineStr">
        <is>
          <t>A 1115-2024</t>
        </is>
      </c>
      <c r="B999" s="1" t="n">
        <v>45302</v>
      </c>
      <c r="C999" s="1" t="n">
        <v>46199</v>
      </c>
      <c r="D999" t="inlineStr">
        <is>
          <t>VÄRMLANDS LÄN</t>
        </is>
      </c>
      <c r="E999" t="inlineStr">
        <is>
          <t>ÅRJÄNG</t>
        </is>
      </c>
      <c r="G999" t="n">
        <v>0.6</v>
      </c>
      <c r="H999" t="n">
        <v>0</v>
      </c>
      <c r="I999" t="n">
        <v>0</v>
      </c>
      <c r="J999" t="n">
        <v>0</v>
      </c>
      <c r="K999" t="n">
        <v>0</v>
      </c>
      <c r="L999" t="n">
        <v>0</v>
      </c>
      <c r="M999" t="n">
        <v>0</v>
      </c>
      <c r="N999" t="n">
        <v>0</v>
      </c>
      <c r="O999" t="n">
        <v>0</v>
      </c>
      <c r="P999" t="n">
        <v>0</v>
      </c>
      <c r="Q999" t="n">
        <v>0</v>
      </c>
      <c r="R999" s="2" t="inlineStr"/>
    </row>
    <row r="1000" ht="15" customHeight="1">
      <c r="A1000" t="inlineStr">
        <is>
          <t>A 48453-2023</t>
        </is>
      </c>
      <c r="B1000" s="1" t="n">
        <v>45206</v>
      </c>
      <c r="C1000" s="1" t="n">
        <v>46199</v>
      </c>
      <c r="D1000" t="inlineStr">
        <is>
          <t>VÄRMLANDS LÄN</t>
        </is>
      </c>
      <c r="E1000" t="inlineStr">
        <is>
          <t>ÅRJÄNG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59784-2023</t>
        </is>
      </c>
      <c r="B1001" s="1" t="n">
        <v>45257</v>
      </c>
      <c r="C1001" s="1" t="n">
        <v>46199</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59801-2023</t>
        </is>
      </c>
      <c r="B1002" s="1" t="n">
        <v>45254</v>
      </c>
      <c r="C1002" s="1" t="n">
        <v>46199</v>
      </c>
      <c r="D1002" t="inlineStr">
        <is>
          <t>VÄRMLANDS LÄN</t>
        </is>
      </c>
      <c r="E1002" t="inlineStr">
        <is>
          <t>ÅRJÄNG</t>
        </is>
      </c>
      <c r="G1002" t="n">
        <v>13.8</v>
      </c>
      <c r="H1002" t="n">
        <v>0</v>
      </c>
      <c r="I1002" t="n">
        <v>0</v>
      </c>
      <c r="J1002" t="n">
        <v>0</v>
      </c>
      <c r="K1002" t="n">
        <v>0</v>
      </c>
      <c r="L1002" t="n">
        <v>0</v>
      </c>
      <c r="M1002" t="n">
        <v>0</v>
      </c>
      <c r="N1002" t="n">
        <v>0</v>
      </c>
      <c r="O1002" t="n">
        <v>0</v>
      </c>
      <c r="P1002" t="n">
        <v>0</v>
      </c>
      <c r="Q1002" t="n">
        <v>0</v>
      </c>
      <c r="R1002" s="2" t="inlineStr"/>
    </row>
    <row r="1003" ht="15" customHeight="1">
      <c r="A1003" t="inlineStr">
        <is>
          <t>A 27311-2022</t>
        </is>
      </c>
      <c r="B1003" s="1" t="n">
        <v>44728</v>
      </c>
      <c r="C1003" s="1" t="n">
        <v>46199</v>
      </c>
      <c r="D1003" t="inlineStr">
        <is>
          <t>VÄRMLANDS LÄN</t>
        </is>
      </c>
      <c r="E1003" t="inlineStr">
        <is>
          <t>ÅRJÄNG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15954-2025</t>
        </is>
      </c>
      <c r="B1004" s="1" t="n">
        <v>45749</v>
      </c>
      <c r="C1004" s="1" t="n">
        <v>46199</v>
      </c>
      <c r="D1004" t="inlineStr">
        <is>
          <t>VÄRMLANDS LÄN</t>
        </is>
      </c>
      <c r="E1004" t="inlineStr">
        <is>
          <t>ÅRJÄNG</t>
        </is>
      </c>
      <c r="F1004" t="inlineStr">
        <is>
          <t>Bergvik skog väst AB</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26957-2026</t>
        </is>
      </c>
      <c r="B1005" s="1" t="n">
        <v>46185</v>
      </c>
      <c r="C1005" s="1" t="n">
        <v>46199</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26937-2026</t>
        </is>
      </c>
      <c r="B1006" s="1" t="n">
        <v>46185</v>
      </c>
      <c r="C1006" s="1" t="n">
        <v>46199</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687-2024</t>
        </is>
      </c>
      <c r="B1007" s="1" t="n">
        <v>45300</v>
      </c>
      <c r="C1007" s="1" t="n">
        <v>46199</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713-2024</t>
        </is>
      </c>
      <c r="B1008" s="1" t="n">
        <v>45300</v>
      </c>
      <c r="C1008" s="1" t="n">
        <v>46199</v>
      </c>
      <c r="D1008" t="inlineStr">
        <is>
          <t>VÄRMLANDS LÄN</t>
        </is>
      </c>
      <c r="E1008" t="inlineStr">
        <is>
          <t>ÅRJÄNG</t>
        </is>
      </c>
      <c r="F1008" t="inlineStr">
        <is>
          <t>Kyrkan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8835-2025</t>
        </is>
      </c>
      <c r="B1009" s="1" t="n">
        <v>45712</v>
      </c>
      <c r="C1009" s="1" t="n">
        <v>46199</v>
      </c>
      <c r="D1009" t="inlineStr">
        <is>
          <t>VÄRMLANDS LÄN</t>
        </is>
      </c>
      <c r="E1009" t="inlineStr">
        <is>
          <t>ÅRJÄNG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18389-2022</t>
        </is>
      </c>
      <c r="B1010" s="1" t="n">
        <v>44685</v>
      </c>
      <c r="C1010" s="1" t="n">
        <v>46199</v>
      </c>
      <c r="D1010" t="inlineStr">
        <is>
          <t>VÄRMLANDS LÄN</t>
        </is>
      </c>
      <c r="E1010" t="inlineStr">
        <is>
          <t>ÅRJÄNG</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12993-2025</t>
        </is>
      </c>
      <c r="B1011" s="1" t="n">
        <v>45734</v>
      </c>
      <c r="C1011" s="1" t="n">
        <v>46199</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9630-2025</t>
        </is>
      </c>
      <c r="B1012" s="1" t="n">
        <v>45715</v>
      </c>
      <c r="C1012" s="1" t="n">
        <v>46199</v>
      </c>
      <c r="D1012" t="inlineStr">
        <is>
          <t>VÄRMLANDS LÄN</t>
        </is>
      </c>
      <c r="E1012" t="inlineStr">
        <is>
          <t>ÅRJÄNG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27520-2026</t>
        </is>
      </c>
      <c r="B1013" s="1" t="n">
        <v>46189</v>
      </c>
      <c r="C1013" s="1" t="n">
        <v>46199</v>
      </c>
      <c r="D1013" t="inlineStr">
        <is>
          <t>VÄRMLANDS LÄN</t>
        </is>
      </c>
      <c r="E1013" t="inlineStr">
        <is>
          <t>ÅRJÄNG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27560-2026</t>
        </is>
      </c>
      <c r="B1014" s="1" t="n">
        <v>46190</v>
      </c>
      <c r="C1014" s="1" t="n">
        <v>46199</v>
      </c>
      <c r="D1014" t="inlineStr">
        <is>
          <t>VÄRMLANDS LÄN</t>
        </is>
      </c>
      <c r="E1014" t="inlineStr">
        <is>
          <t>ÅRJÄNG</t>
        </is>
      </c>
      <c r="F1014" t="inlineStr">
        <is>
          <t>Kyrkan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26265-2024</t>
        </is>
      </c>
      <c r="B1015" s="1" t="n">
        <v>45468</v>
      </c>
      <c r="C1015" s="1" t="n">
        <v>46199</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64381-2023</t>
        </is>
      </c>
      <c r="B1016" s="1" t="n">
        <v>45280</v>
      </c>
      <c r="C1016" s="1" t="n">
        <v>46199</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4545-2024</t>
        </is>
      </c>
      <c r="B1017" s="1" t="n">
        <v>45327</v>
      </c>
      <c r="C1017" s="1" t="n">
        <v>46199</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47332-2022</t>
        </is>
      </c>
      <c r="B1018" s="1" t="n">
        <v>44853</v>
      </c>
      <c r="C1018" s="1" t="n">
        <v>46199</v>
      </c>
      <c r="D1018" t="inlineStr">
        <is>
          <t>VÄRMLANDS LÄN</t>
        </is>
      </c>
      <c r="E1018" t="inlineStr">
        <is>
          <t>ÅRJÄNG</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21145-2022</t>
        </is>
      </c>
      <c r="B1019" s="1" t="n">
        <v>44704</v>
      </c>
      <c r="C1019" s="1" t="n">
        <v>46199</v>
      </c>
      <c r="D1019" t="inlineStr">
        <is>
          <t>VÄRMLANDS LÄN</t>
        </is>
      </c>
      <c r="E1019" t="inlineStr">
        <is>
          <t>ÅRJÄNG</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48389-2021</t>
        </is>
      </c>
      <c r="B1020" s="1" t="n">
        <v>44452</v>
      </c>
      <c r="C1020" s="1" t="n">
        <v>46199</v>
      </c>
      <c r="D1020" t="inlineStr">
        <is>
          <t>VÄRMLANDS LÄN</t>
        </is>
      </c>
      <c r="E1020" t="inlineStr">
        <is>
          <t>ÅRJÄNG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9662-2024</t>
        </is>
      </c>
      <c r="B1021" s="1" t="n">
        <v>45362</v>
      </c>
      <c r="C1021" s="1" t="n">
        <v>46199</v>
      </c>
      <c r="D1021" t="inlineStr">
        <is>
          <t>VÄRMLANDS LÄN</t>
        </is>
      </c>
      <c r="E1021" t="inlineStr">
        <is>
          <t>ÅRJÄNG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7794-2024</t>
        </is>
      </c>
      <c r="B1022" s="1" t="n">
        <v>45349</v>
      </c>
      <c r="C1022" s="1" t="n">
        <v>46199</v>
      </c>
      <c r="D1022" t="inlineStr">
        <is>
          <t>VÄRMLANDS LÄN</t>
        </is>
      </c>
      <c r="E1022" t="inlineStr">
        <is>
          <t>ÅRJÄNG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21797-2026</t>
        </is>
      </c>
      <c r="B1023" s="1" t="n">
        <v>46150</v>
      </c>
      <c r="C1023" s="1" t="n">
        <v>46199</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21836-2026</t>
        </is>
      </c>
      <c r="B1024" s="1" t="n">
        <v>46150</v>
      </c>
      <c r="C1024" s="1" t="n">
        <v>46199</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46096-2021</t>
        </is>
      </c>
      <c r="B1025" s="1" t="n">
        <v>44442</v>
      </c>
      <c r="C1025" s="1" t="n">
        <v>46199</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51895-2022</t>
        </is>
      </c>
      <c r="B1026" s="1" t="n">
        <v>44872</v>
      </c>
      <c r="C1026" s="1" t="n">
        <v>46199</v>
      </c>
      <c r="D1026" t="inlineStr">
        <is>
          <t>VÄRMLANDS LÄN</t>
        </is>
      </c>
      <c r="E1026" t="inlineStr">
        <is>
          <t>ÅRJÄNG</t>
        </is>
      </c>
      <c r="F1026" t="inlineStr">
        <is>
          <t>Kyrkan</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5256-2023</t>
        </is>
      </c>
      <c r="B1027" s="1" t="n">
        <v>44959</v>
      </c>
      <c r="C1027" s="1" t="n">
        <v>46199</v>
      </c>
      <c r="D1027" t="inlineStr">
        <is>
          <t>VÄRMLANDS LÄN</t>
        </is>
      </c>
      <c r="E1027" t="inlineStr">
        <is>
          <t>ÅRJÄNG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59624-2022</t>
        </is>
      </c>
      <c r="B1028" s="1" t="n">
        <v>44907</v>
      </c>
      <c r="C1028" s="1" t="n">
        <v>46199</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64229-2023</t>
        </is>
      </c>
      <c r="B1029" s="1" t="n">
        <v>45279</v>
      </c>
      <c r="C1029" s="1" t="n">
        <v>46199</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7443-2024</t>
        </is>
      </c>
      <c r="B1030" s="1" t="n">
        <v>45345</v>
      </c>
      <c r="C1030" s="1" t="n">
        <v>46199</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58486-2023</t>
        </is>
      </c>
      <c r="B1031" s="1" t="n">
        <v>45246</v>
      </c>
      <c r="C1031" s="1" t="n">
        <v>46199</v>
      </c>
      <c r="D1031" t="inlineStr">
        <is>
          <t>VÄRMLANDS LÄN</t>
        </is>
      </c>
      <c r="E1031" t="inlineStr">
        <is>
          <t>ÅRJÄNG</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36587-2024</t>
        </is>
      </c>
      <c r="B1032" s="1" t="n">
        <v>45537</v>
      </c>
      <c r="C1032" s="1" t="n">
        <v>46199</v>
      </c>
      <c r="D1032" t="inlineStr">
        <is>
          <t>VÄRMLANDS LÄN</t>
        </is>
      </c>
      <c r="E1032" t="inlineStr">
        <is>
          <t>ÅRJÄNG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23971-2023</t>
        </is>
      </c>
      <c r="B1033" s="1" t="n">
        <v>45078</v>
      </c>
      <c r="C1033" s="1" t="n">
        <v>46199</v>
      </c>
      <c r="D1033" t="inlineStr">
        <is>
          <t>VÄRMLANDS LÄN</t>
        </is>
      </c>
      <c r="E1033" t="inlineStr">
        <is>
          <t>ÅRJÄNG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62288-2023</t>
        </is>
      </c>
      <c r="B1034" s="1" t="n">
        <v>45267</v>
      </c>
      <c r="C1034" s="1" t="n">
        <v>46199</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28228-2026</t>
        </is>
      </c>
      <c r="B1035" s="1" t="n">
        <v>46196</v>
      </c>
      <c r="C1035" s="1" t="n">
        <v>46199</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6107-2024</t>
        </is>
      </c>
      <c r="B1036" s="1" t="n">
        <v>45337</v>
      </c>
      <c r="C1036" s="1" t="n">
        <v>46199</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28234-2026</t>
        </is>
      </c>
      <c r="B1037" s="1" t="n">
        <v>46196</v>
      </c>
      <c r="C1037" s="1" t="n">
        <v>46199</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54013-2023</t>
        </is>
      </c>
      <c r="B1038" s="1" t="n">
        <v>45231</v>
      </c>
      <c r="C1038" s="1" t="n">
        <v>46199</v>
      </c>
      <c r="D1038" t="inlineStr">
        <is>
          <t>VÄRMLANDS LÄN</t>
        </is>
      </c>
      <c r="E1038" t="inlineStr">
        <is>
          <t>ÅRJÄNG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15308-2022</t>
        </is>
      </c>
      <c r="B1039" s="1" t="n">
        <v>44659</v>
      </c>
      <c r="C1039" s="1" t="n">
        <v>46199</v>
      </c>
      <c r="D1039" t="inlineStr">
        <is>
          <t>VÄRMLANDS LÄN</t>
        </is>
      </c>
      <c r="E1039" t="inlineStr">
        <is>
          <t>ÅRJÄNG</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7114-2023</t>
        </is>
      </c>
      <c r="B1040" s="1" t="n">
        <v>44970</v>
      </c>
      <c r="C1040" s="1" t="n">
        <v>46199</v>
      </c>
      <c r="D1040" t="inlineStr">
        <is>
          <t>VÄRMLANDS LÄN</t>
        </is>
      </c>
      <c r="E1040" t="inlineStr">
        <is>
          <t>ÅRJÄNG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59976-2022</t>
        </is>
      </c>
      <c r="B1041" s="1" t="n">
        <v>44901</v>
      </c>
      <c r="C1041" s="1" t="n">
        <v>46199</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3298-2025</t>
        </is>
      </c>
      <c r="B1042" s="1" t="n">
        <v>45679</v>
      </c>
      <c r="C1042" s="1" t="n">
        <v>46199</v>
      </c>
      <c r="D1042" t="inlineStr">
        <is>
          <t>VÄRMLANDS LÄN</t>
        </is>
      </c>
      <c r="E1042" t="inlineStr">
        <is>
          <t>ÅRJÄNG</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41283-2023</t>
        </is>
      </c>
      <c r="B1043" s="1" t="n">
        <v>45174</v>
      </c>
      <c r="C1043" s="1" t="n">
        <v>46199</v>
      </c>
      <c r="D1043" t="inlineStr">
        <is>
          <t>VÄRMLANDS LÄN</t>
        </is>
      </c>
      <c r="E1043" t="inlineStr">
        <is>
          <t>ÅRJÄNG</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22435-2026</t>
        </is>
      </c>
      <c r="B1044" s="1" t="n">
        <v>46155</v>
      </c>
      <c r="C1044" s="1" t="n">
        <v>46199</v>
      </c>
      <c r="D1044" t="inlineStr">
        <is>
          <t>VÄRMLANDS LÄN</t>
        </is>
      </c>
      <c r="E1044" t="inlineStr">
        <is>
          <t>ÅRJÄNG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56757-2023</t>
        </is>
      </c>
      <c r="B1045" s="1" t="n">
        <v>45244</v>
      </c>
      <c r="C1045" s="1" t="n">
        <v>46199</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49891-2022</t>
        </is>
      </c>
      <c r="B1046" s="1" t="n">
        <v>44864</v>
      </c>
      <c r="C1046" s="1" t="n">
        <v>46199</v>
      </c>
      <c r="D1046" t="inlineStr">
        <is>
          <t>VÄRMLANDS LÄN</t>
        </is>
      </c>
      <c r="E1046" t="inlineStr">
        <is>
          <t>ÅRJÄNG</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59811-2023</t>
        </is>
      </c>
      <c r="B1047" s="1" t="n">
        <v>45254</v>
      </c>
      <c r="C1047" s="1" t="n">
        <v>46199</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53298-2025</t>
        </is>
      </c>
      <c r="B1048" s="1" t="n">
        <v>45959</v>
      </c>
      <c r="C1048" s="1" t="n">
        <v>46199</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24916-2024</t>
        </is>
      </c>
      <c r="B1049" s="1" t="n">
        <v>45461</v>
      </c>
      <c r="C1049" s="1" t="n">
        <v>46199</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27692-2024</t>
        </is>
      </c>
      <c r="B1050" s="1" t="n">
        <v>45474</v>
      </c>
      <c r="C1050" s="1" t="n">
        <v>46199</v>
      </c>
      <c r="D1050" t="inlineStr">
        <is>
          <t>VÄRMLANDS LÄN</t>
        </is>
      </c>
      <c r="E1050" t="inlineStr">
        <is>
          <t>ÅRJÄNG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34425-2021</t>
        </is>
      </c>
      <c r="B1051" s="1" t="n">
        <v>44380</v>
      </c>
      <c r="C1051" s="1" t="n">
        <v>46199</v>
      </c>
      <c r="D1051" t="inlineStr">
        <is>
          <t>VÄRMLANDS LÄN</t>
        </is>
      </c>
      <c r="E1051" t="inlineStr">
        <is>
          <t>ÅRJÄNG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32973-2021</t>
        </is>
      </c>
      <c r="B1052" s="1" t="n">
        <v>44376</v>
      </c>
      <c r="C1052" s="1" t="n">
        <v>46199</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56333-2024</t>
        </is>
      </c>
      <c r="B1053" s="1" t="n">
        <v>45624</v>
      </c>
      <c r="C1053" s="1" t="n">
        <v>46199</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61764-2022</t>
        </is>
      </c>
      <c r="B1054" s="1" t="n">
        <v>44911</v>
      </c>
      <c r="C1054" s="1" t="n">
        <v>46199</v>
      </c>
      <c r="D1054" t="inlineStr">
        <is>
          <t>VÄRMLANDS LÄN</t>
        </is>
      </c>
      <c r="E1054" t="inlineStr">
        <is>
          <t>ÅRJÄNG</t>
        </is>
      </c>
      <c r="F1054" t="inlineStr">
        <is>
          <t>Övriga Aktiebolag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19052-2023</t>
        </is>
      </c>
      <c r="B1055" s="1" t="n">
        <v>45047</v>
      </c>
      <c r="C1055" s="1" t="n">
        <v>46199</v>
      </c>
      <c r="D1055" t="inlineStr">
        <is>
          <t>VÄRMLANDS LÄN</t>
        </is>
      </c>
      <c r="E1055" t="inlineStr">
        <is>
          <t>ÅRJÄNG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28837-2026</t>
        </is>
      </c>
      <c r="B1056" s="1" t="n">
        <v>46198</v>
      </c>
      <c r="C1056" s="1" t="n">
        <v>46199</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15570-2025</t>
        </is>
      </c>
      <c r="B1057" s="1" t="n">
        <v>45747</v>
      </c>
      <c r="C1057" s="1" t="n">
        <v>46199</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15572-2025</t>
        </is>
      </c>
      <c r="B1058" s="1" t="n">
        <v>45747</v>
      </c>
      <c r="C1058" s="1" t="n">
        <v>46199</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15578-2025</t>
        </is>
      </c>
      <c r="B1059" s="1" t="n">
        <v>45747</v>
      </c>
      <c r="C1059" s="1" t="n">
        <v>46199</v>
      </c>
      <c r="D1059" t="inlineStr">
        <is>
          <t>VÄRMLANDS LÄN</t>
        </is>
      </c>
      <c r="E1059" t="inlineStr">
        <is>
          <t>ÅRJÄNG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69417-2021</t>
        </is>
      </c>
      <c r="B1060" s="1" t="n">
        <v>44531</v>
      </c>
      <c r="C1060" s="1" t="n">
        <v>46199</v>
      </c>
      <c r="D1060" t="inlineStr">
        <is>
          <t>VÄRMLANDS LÄN</t>
        </is>
      </c>
      <c r="E1060" t="inlineStr">
        <is>
          <t>ÅRJÄNG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22672-2026</t>
        </is>
      </c>
      <c r="B1061" s="1" t="n">
        <v>46155</v>
      </c>
      <c r="C1061" s="1" t="n">
        <v>46199</v>
      </c>
      <c r="D1061" t="inlineStr">
        <is>
          <t>VÄRMLANDS LÄN</t>
        </is>
      </c>
      <c r="E1061" t="inlineStr">
        <is>
          <t>ÅRJÄNG</t>
        </is>
      </c>
      <c r="F1061" t="inlineStr">
        <is>
          <t>Kyrkan</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65837-2021</t>
        </is>
      </c>
      <c r="B1062" s="1" t="n">
        <v>44517</v>
      </c>
      <c r="C1062" s="1" t="n">
        <v>46199</v>
      </c>
      <c r="D1062" t="inlineStr">
        <is>
          <t>VÄRMLANDS LÄN</t>
        </is>
      </c>
      <c r="E1062" t="inlineStr">
        <is>
          <t>ÅRJÄNG</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49405-2022</t>
        </is>
      </c>
      <c r="B1063" s="1" t="n">
        <v>44861</v>
      </c>
      <c r="C1063" s="1" t="n">
        <v>46199</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44417-2021</t>
        </is>
      </c>
      <c r="B1064" s="1" t="n">
        <v>44435</v>
      </c>
      <c r="C1064" s="1" t="n">
        <v>46199</v>
      </c>
      <c r="D1064" t="inlineStr">
        <is>
          <t>VÄRMLANDS LÄN</t>
        </is>
      </c>
      <c r="E1064" t="inlineStr">
        <is>
          <t>ÅRJÄNG</t>
        </is>
      </c>
      <c r="G1064" t="n">
        <v>32.2</v>
      </c>
      <c r="H1064" t="n">
        <v>0</v>
      </c>
      <c r="I1064" t="n">
        <v>0</v>
      </c>
      <c r="J1064" t="n">
        <v>0</v>
      </c>
      <c r="K1064" t="n">
        <v>0</v>
      </c>
      <c r="L1064" t="n">
        <v>0</v>
      </c>
      <c r="M1064" t="n">
        <v>0</v>
      </c>
      <c r="N1064" t="n">
        <v>0</v>
      </c>
      <c r="O1064" t="n">
        <v>0</v>
      </c>
      <c r="P1064" t="n">
        <v>0</v>
      </c>
      <c r="Q1064" t="n">
        <v>0</v>
      </c>
      <c r="R1064" s="2" t="inlineStr"/>
    </row>
    <row r="1065" ht="15" customHeight="1">
      <c r="A1065" t="inlineStr">
        <is>
          <t>A 21362-2022</t>
        </is>
      </c>
      <c r="B1065" s="1" t="n">
        <v>44705</v>
      </c>
      <c r="C1065" s="1" t="n">
        <v>46199</v>
      </c>
      <c r="D1065" t="inlineStr">
        <is>
          <t>VÄRMLANDS LÄN</t>
        </is>
      </c>
      <c r="E1065" t="inlineStr">
        <is>
          <t>ÅRJÄNG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65854-2021</t>
        </is>
      </c>
      <c r="B1066" s="1" t="n">
        <v>44517</v>
      </c>
      <c r="C1066" s="1" t="n">
        <v>46199</v>
      </c>
      <c r="D1066" t="inlineStr">
        <is>
          <t>VÄRMLANDS LÄN</t>
        </is>
      </c>
      <c r="E1066" t="inlineStr">
        <is>
          <t>ÅRJÄNG</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47223-2021</t>
        </is>
      </c>
      <c r="B1067" s="1" t="n">
        <v>44446</v>
      </c>
      <c r="C1067" s="1" t="n">
        <v>46199</v>
      </c>
      <c r="D1067" t="inlineStr">
        <is>
          <t>VÄRMLANDS LÄN</t>
        </is>
      </c>
      <c r="E1067" t="inlineStr">
        <is>
          <t>ÅRJÄNG</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4748-2023</t>
        </is>
      </c>
      <c r="B1068" s="1" t="n">
        <v>44957</v>
      </c>
      <c r="C1068" s="1" t="n">
        <v>46199</v>
      </c>
      <c r="D1068" t="inlineStr">
        <is>
          <t>VÄRMLANDS LÄN</t>
        </is>
      </c>
      <c r="E1068" t="inlineStr">
        <is>
          <t>ÅRJÄNG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43244-2023</t>
        </is>
      </c>
      <c r="B1069" s="1" t="n">
        <v>45183</v>
      </c>
      <c r="C1069" s="1" t="n">
        <v>46199</v>
      </c>
      <c r="D1069" t="inlineStr">
        <is>
          <t>VÄRMLANDS LÄN</t>
        </is>
      </c>
      <c r="E1069" t="inlineStr">
        <is>
          <t>ÅRJÄNG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11026-2023</t>
        </is>
      </c>
      <c r="B1070" s="1" t="n">
        <v>44991</v>
      </c>
      <c r="C1070" s="1" t="n">
        <v>46199</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49673-2022</t>
        </is>
      </c>
      <c r="B1071" s="1" t="n">
        <v>44862</v>
      </c>
      <c r="C1071" s="1" t="n">
        <v>46199</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54335-2021</t>
        </is>
      </c>
      <c r="B1072" s="1" t="n">
        <v>44472</v>
      </c>
      <c r="C1072" s="1" t="n">
        <v>46199</v>
      </c>
      <c r="D1072" t="inlineStr">
        <is>
          <t>VÄRMLANDS LÄN</t>
        </is>
      </c>
      <c r="E1072" t="inlineStr">
        <is>
          <t>ÅRJÄNG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11176-2023</t>
        </is>
      </c>
      <c r="B1073" s="1" t="n">
        <v>44987</v>
      </c>
      <c r="C1073" s="1" t="n">
        <v>46199</v>
      </c>
      <c r="D1073" t="inlineStr">
        <is>
          <t>VÄRMLANDS LÄN</t>
        </is>
      </c>
      <c r="E1073" t="inlineStr">
        <is>
          <t>ÅRJÄNG</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8678-2022</t>
        </is>
      </c>
      <c r="B1074" s="1" t="n">
        <v>44613</v>
      </c>
      <c r="C1074" s="1" t="n">
        <v>46199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61009-2022</t>
        </is>
      </c>
      <c r="B1075" s="1" t="n">
        <v>44914</v>
      </c>
      <c r="C1075" s="1" t="n">
        <v>46199</v>
      </c>
      <c r="D1075" t="inlineStr">
        <is>
          <t>VÄRMLANDS LÄN</t>
        </is>
      </c>
      <c r="E1075" t="inlineStr">
        <is>
          <t>ÅRJÄNG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34574-2023</t>
        </is>
      </c>
      <c r="B1076" s="1" t="n">
        <v>45135</v>
      </c>
      <c r="C1076" s="1" t="n">
        <v>46199</v>
      </c>
      <c r="D1076" t="inlineStr">
        <is>
          <t>VÄRMLANDS LÄN</t>
        </is>
      </c>
      <c r="E1076" t="inlineStr">
        <is>
          <t>ÅRJÄNG</t>
        </is>
      </c>
      <c r="F1076" t="inlineStr">
        <is>
          <t>Övriga Aktiebolag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48293-2022</t>
        </is>
      </c>
      <c r="B1077" s="1" t="n">
        <v>44858</v>
      </c>
      <c r="C1077" s="1" t="n">
        <v>46199</v>
      </c>
      <c r="D1077" t="inlineStr">
        <is>
          <t>VÄRMLANDS LÄN</t>
        </is>
      </c>
      <c r="E1077" t="inlineStr">
        <is>
          <t>ÅRJÄNG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38433-2024</t>
        </is>
      </c>
      <c r="B1078" s="1" t="n">
        <v>45546</v>
      </c>
      <c r="C1078" s="1" t="n">
        <v>46199</v>
      </c>
      <c r="D1078" t="inlineStr">
        <is>
          <t>VÄRMLANDS LÄN</t>
        </is>
      </c>
      <c r="E1078" t="inlineStr">
        <is>
          <t>ÅRJÄNG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7746-2022</t>
        </is>
      </c>
      <c r="B1079" s="1" t="n">
        <v>44608</v>
      </c>
      <c r="C1079" s="1" t="n">
        <v>46199</v>
      </c>
      <c r="D1079" t="inlineStr">
        <is>
          <t>VÄRMLANDS LÄN</t>
        </is>
      </c>
      <c r="E1079" t="inlineStr">
        <is>
          <t>ÅRJÄNG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34410-2023</t>
        </is>
      </c>
      <c r="B1080" s="1" t="n">
        <v>45139</v>
      </c>
      <c r="C1080" s="1" t="n">
        <v>46199</v>
      </c>
      <c r="D1080" t="inlineStr">
        <is>
          <t>VÄRMLANDS LÄN</t>
        </is>
      </c>
      <c r="E1080" t="inlineStr">
        <is>
          <t>ÅRJÄNG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50301-2024</t>
        </is>
      </c>
      <c r="B1081" s="1" t="n">
        <v>45600</v>
      </c>
      <c r="C1081" s="1" t="n">
        <v>46199</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15616-2023</t>
        </is>
      </c>
      <c r="B1082" s="1" t="n">
        <v>45020</v>
      </c>
      <c r="C1082" s="1" t="n">
        <v>46199</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5342-2022</t>
        </is>
      </c>
      <c r="B1083" s="1" t="n">
        <v>44594</v>
      </c>
      <c r="C1083" s="1" t="n">
        <v>46199</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25654-2024</t>
        </is>
      </c>
      <c r="B1084" s="1" t="n">
        <v>45463</v>
      </c>
      <c r="C1084" s="1" t="n">
        <v>46199</v>
      </c>
      <c r="D1084" t="inlineStr">
        <is>
          <t>VÄRMLANDS LÄN</t>
        </is>
      </c>
      <c r="E1084" t="inlineStr">
        <is>
          <t>ÅRJÄNG</t>
        </is>
      </c>
      <c r="G1084" t="n">
        <v>16.9</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46199</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32776-2024</t>
        </is>
      </c>
      <c r="B1086" s="1" t="n">
        <v>45516</v>
      </c>
      <c r="C1086" s="1" t="n">
        <v>46199</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17174-2023</t>
        </is>
      </c>
      <c r="B1087" s="1" t="n">
        <v>45034</v>
      </c>
      <c r="C1087" s="1" t="n">
        <v>46199</v>
      </c>
      <c r="D1087" t="inlineStr">
        <is>
          <t>VÄRMLANDS LÄN</t>
        </is>
      </c>
      <c r="E1087" t="inlineStr">
        <is>
          <t>ÅRJÄNG</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44385-2022</t>
        </is>
      </c>
      <c r="B1088" s="1" t="n">
        <v>44839</v>
      </c>
      <c r="C1088" s="1" t="n">
        <v>46199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68180-2021</t>
        </is>
      </c>
      <c r="B1089" s="1" t="n">
        <v>44526</v>
      </c>
      <c r="C1089" s="1" t="n">
        <v>46199</v>
      </c>
      <c r="D1089" t="inlineStr">
        <is>
          <t>VÄRMLANDS LÄN</t>
        </is>
      </c>
      <c r="E1089" t="inlineStr">
        <is>
          <t>ÅRJÄNG</t>
        </is>
      </c>
      <c r="F1089" t="inlineStr">
        <is>
          <t>Kyrkan</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47623-2024</t>
        </is>
      </c>
      <c r="B1090" s="1" t="n">
        <v>45588</v>
      </c>
      <c r="C1090" s="1" t="n">
        <v>46199</v>
      </c>
      <c r="D1090" t="inlineStr">
        <is>
          <t>VÄRMLANDS LÄN</t>
        </is>
      </c>
      <c r="E1090" t="inlineStr">
        <is>
          <t>ÅRJÄNG</t>
        </is>
      </c>
      <c r="F1090" t="inlineStr">
        <is>
          <t>Kommuner</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23203-2023</t>
        </is>
      </c>
      <c r="B1091" s="1" t="n">
        <v>45075</v>
      </c>
      <c r="C1091" s="1" t="n">
        <v>46199</v>
      </c>
      <c r="D1091" t="inlineStr">
        <is>
          <t>VÄRMLANDS LÄN</t>
        </is>
      </c>
      <c r="E1091" t="inlineStr">
        <is>
          <t>ÅRJÄNG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23212-2023</t>
        </is>
      </c>
      <c r="B1092" s="1" t="n">
        <v>45075</v>
      </c>
      <c r="C1092" s="1" t="n">
        <v>46199</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24505-2023</t>
        </is>
      </c>
      <c r="B1093" s="1" t="n">
        <v>45082</v>
      </c>
      <c r="C1093" s="1" t="n">
        <v>46199</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56314-2024</t>
        </is>
      </c>
      <c r="B1094" s="1" t="n">
        <v>45624</v>
      </c>
      <c r="C1094" s="1" t="n">
        <v>46199</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59622-2022</t>
        </is>
      </c>
      <c r="B1095" s="1" t="n">
        <v>44907</v>
      </c>
      <c r="C1095" s="1" t="n">
        <v>46199</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45929-2024</t>
        </is>
      </c>
      <c r="B1096" s="1" t="n">
        <v>45580</v>
      </c>
      <c r="C1096" s="1" t="n">
        <v>46199</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45876-2024</t>
        </is>
      </c>
      <c r="B1097" s="1" t="n">
        <v>45580</v>
      </c>
      <c r="C1097" s="1" t="n">
        <v>46199</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47647-2021</t>
        </is>
      </c>
      <c r="B1098" s="1" t="n">
        <v>44448</v>
      </c>
      <c r="C1098" s="1" t="n">
        <v>46199</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23870-2023</t>
        </is>
      </c>
      <c r="B1099" s="1" t="n">
        <v>45078</v>
      </c>
      <c r="C1099" s="1" t="n">
        <v>46199</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45962-2021</t>
        </is>
      </c>
      <c r="B1100" s="1" t="n">
        <v>44441</v>
      </c>
      <c r="C1100" s="1" t="n">
        <v>46199</v>
      </c>
      <c r="D1100" t="inlineStr">
        <is>
          <t>VÄRMLANDS LÄN</t>
        </is>
      </c>
      <c r="E1100" t="inlineStr">
        <is>
          <t>ÅRJÄNG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60126-2024</t>
        </is>
      </c>
      <c r="B1101" s="1" t="n">
        <v>45642</v>
      </c>
      <c r="C1101" s="1" t="n">
        <v>46199</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12907-2022</t>
        </is>
      </c>
      <c r="B1102" s="1" t="n">
        <v>44642</v>
      </c>
      <c r="C1102" s="1" t="n">
        <v>46199</v>
      </c>
      <c r="D1102" t="inlineStr">
        <is>
          <t>VÄRMLANDS LÄN</t>
        </is>
      </c>
      <c r="E1102" t="inlineStr">
        <is>
          <t>ÅRJÄNG</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13060-2022</t>
        </is>
      </c>
      <c r="B1103" s="1" t="n">
        <v>44643</v>
      </c>
      <c r="C1103" s="1" t="n">
        <v>46199</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13160-2022</t>
        </is>
      </c>
      <c r="B1104" s="1" t="n">
        <v>44644</v>
      </c>
      <c r="C1104" s="1" t="n">
        <v>46199</v>
      </c>
      <c r="D1104" t="inlineStr">
        <is>
          <t>VÄRMLANDS LÄN</t>
        </is>
      </c>
      <c r="E1104" t="inlineStr">
        <is>
          <t>ÅRJÄNG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60930-2021</t>
        </is>
      </c>
      <c r="B1105" s="1" t="n">
        <v>44497</v>
      </c>
      <c r="C1105" s="1" t="n">
        <v>46199</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12209-2023</t>
        </is>
      </c>
      <c r="B1106" s="1" t="n">
        <v>44998</v>
      </c>
      <c r="C1106" s="1" t="n">
        <v>46199</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26866-2024</t>
        </is>
      </c>
      <c r="B1107" s="1" t="n">
        <v>45470</v>
      </c>
      <c r="C1107" s="1" t="n">
        <v>46199</v>
      </c>
      <c r="D1107" t="inlineStr">
        <is>
          <t>VÄRMLANDS LÄN</t>
        </is>
      </c>
      <c r="E1107" t="inlineStr">
        <is>
          <t>ÅRJÄNG</t>
        </is>
      </c>
      <c r="F1107" t="inlineStr">
        <is>
          <t>Kyrkan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12740-2025</t>
        </is>
      </c>
      <c r="B1108" s="1" t="n">
        <v>45733</v>
      </c>
      <c r="C1108" s="1" t="n">
        <v>46199</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15300-2025</t>
        </is>
      </c>
      <c r="B1109" s="1" t="n">
        <v>45746</v>
      </c>
      <c r="C1109" s="1" t="n">
        <v>46199</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6962-2025</t>
        </is>
      </c>
      <c r="B1110" s="1" t="n">
        <v>45701</v>
      </c>
      <c r="C1110" s="1" t="n">
        <v>46199</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46249-2023</t>
        </is>
      </c>
      <c r="B1111" s="1" t="n">
        <v>45196</v>
      </c>
      <c r="C1111" s="1" t="n">
        <v>46199</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21392-2023</t>
        </is>
      </c>
      <c r="B1112" s="1" t="n">
        <v>45061</v>
      </c>
      <c r="C1112" s="1" t="n">
        <v>46199</v>
      </c>
      <c r="D1112" t="inlineStr">
        <is>
          <t>VÄRMLANDS LÄN</t>
        </is>
      </c>
      <c r="E1112" t="inlineStr">
        <is>
          <t>ÅRJÄNG</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7184-2024</t>
        </is>
      </c>
      <c r="B1113" s="1" t="n">
        <v>45344</v>
      </c>
      <c r="C1113" s="1" t="n">
        <v>46199</v>
      </c>
      <c r="D1113" t="inlineStr">
        <is>
          <t>VÄRMLANDS LÄN</t>
        </is>
      </c>
      <c r="E1113" t="inlineStr">
        <is>
          <t>ÅRJÄNG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13726-2024</t>
        </is>
      </c>
      <c r="B1114" s="1" t="n">
        <v>45390</v>
      </c>
      <c r="C1114" s="1" t="n">
        <v>46199</v>
      </c>
      <c r="D1114" t="inlineStr">
        <is>
          <t>VÄRMLANDS LÄN</t>
        </is>
      </c>
      <c r="E1114" t="inlineStr">
        <is>
          <t>ÅRJÄNG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12068-2022</t>
        </is>
      </c>
      <c r="B1115" s="1" t="n">
        <v>44636</v>
      </c>
      <c r="C1115" s="1" t="n">
        <v>46199</v>
      </c>
      <c r="D1115" t="inlineStr">
        <is>
          <t>VÄRMLANDS LÄN</t>
        </is>
      </c>
      <c r="E1115" t="inlineStr">
        <is>
          <t>ÅRJÄNG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54437-2021</t>
        </is>
      </c>
      <c r="B1116" s="1" t="n">
        <v>44459</v>
      </c>
      <c r="C1116" s="1" t="n">
        <v>46199</v>
      </c>
      <c r="D1116" t="inlineStr">
        <is>
          <t>VÄRMLANDS LÄN</t>
        </is>
      </c>
      <c r="E1116" t="inlineStr">
        <is>
          <t>ÅRJÄNG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13814-2024</t>
        </is>
      </c>
      <c r="B1117" s="1" t="n">
        <v>45391</v>
      </c>
      <c r="C1117" s="1" t="n">
        <v>46199</v>
      </c>
      <c r="D1117" t="inlineStr">
        <is>
          <t>VÄRMLANDS LÄN</t>
        </is>
      </c>
      <c r="E1117" t="inlineStr">
        <is>
          <t>ÅRJÄNG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13819-2024</t>
        </is>
      </c>
      <c r="B1118" s="1" t="n">
        <v>45391</v>
      </c>
      <c r="C1118" s="1" t="n">
        <v>46199</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12082-2023</t>
        </is>
      </c>
      <c r="B1119" s="1" t="n">
        <v>44997</v>
      </c>
      <c r="C1119" s="1" t="n">
        <v>46199</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61913-2024</t>
        </is>
      </c>
      <c r="B1120" s="1" t="n">
        <v>45653</v>
      </c>
      <c r="C1120" s="1" t="n">
        <v>46199</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5931-2023</t>
        </is>
      </c>
      <c r="B1121" s="1" t="n">
        <v>44963</v>
      </c>
      <c r="C1121" s="1" t="n">
        <v>46199</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33728-2021</t>
        </is>
      </c>
      <c r="B1122" s="1" t="n">
        <v>44378</v>
      </c>
      <c r="C1122" s="1" t="n">
        <v>46199</v>
      </c>
      <c r="D1122" t="inlineStr">
        <is>
          <t>VÄRMLANDS LÄN</t>
        </is>
      </c>
      <c r="E1122" t="inlineStr">
        <is>
          <t>ÅRJÄNG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17878-2024</t>
        </is>
      </c>
      <c r="B1123" s="1" t="n">
        <v>45419</v>
      </c>
      <c r="C1123" s="1" t="n">
        <v>46199</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64151-2023</t>
        </is>
      </c>
      <c r="B1124" s="1" t="n">
        <v>45279</v>
      </c>
      <c r="C1124" s="1" t="n">
        <v>46199</v>
      </c>
      <c r="D1124" t="inlineStr">
        <is>
          <t>VÄRMLANDS LÄN</t>
        </is>
      </c>
      <c r="E1124" t="inlineStr">
        <is>
          <t>ÅRJÄNG</t>
        </is>
      </c>
      <c r="G1124" t="n">
        <v>24.5</v>
      </c>
      <c r="H1124" t="n">
        <v>0</v>
      </c>
      <c r="I1124" t="n">
        <v>0</v>
      </c>
      <c r="J1124" t="n">
        <v>0</v>
      </c>
      <c r="K1124" t="n">
        <v>0</v>
      </c>
      <c r="L1124" t="n">
        <v>0</v>
      </c>
      <c r="M1124" t="n">
        <v>0</v>
      </c>
      <c r="N1124" t="n">
        <v>0</v>
      </c>
      <c r="O1124" t="n">
        <v>0</v>
      </c>
      <c r="P1124" t="n">
        <v>0</v>
      </c>
      <c r="Q1124" t="n">
        <v>0</v>
      </c>
      <c r="R1124" s="2" t="inlineStr"/>
    </row>
    <row r="1125" ht="15" customHeight="1">
      <c r="A1125" t="inlineStr">
        <is>
          <t>A 8838-2023</t>
        </is>
      </c>
      <c r="B1125" s="1" t="n">
        <v>44978</v>
      </c>
      <c r="C1125" s="1" t="n">
        <v>46199</v>
      </c>
      <c r="D1125" t="inlineStr">
        <is>
          <t>VÄRMLANDS LÄN</t>
        </is>
      </c>
      <c r="E1125" t="inlineStr">
        <is>
          <t>ÅRJÄNG</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51258-2022</t>
        </is>
      </c>
      <c r="B1126" s="1" t="n">
        <v>44868</v>
      </c>
      <c r="C1126" s="1" t="n">
        <v>46199</v>
      </c>
      <c r="D1126" t="inlineStr">
        <is>
          <t>VÄRMLANDS LÄN</t>
        </is>
      </c>
      <c r="E1126" t="inlineStr">
        <is>
          <t>ÅRJÄNG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23847-2023</t>
        </is>
      </c>
      <c r="B1127" s="1" t="n">
        <v>45078</v>
      </c>
      <c r="C1127" s="1" t="n">
        <v>46199</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15327-2022</t>
        </is>
      </c>
      <c r="B1128" s="1" t="n">
        <v>44659</v>
      </c>
      <c r="C1128" s="1" t="n">
        <v>46199</v>
      </c>
      <c r="D1128" t="inlineStr">
        <is>
          <t>VÄRMLANDS LÄN</t>
        </is>
      </c>
      <c r="E1128" t="inlineStr">
        <is>
          <t>ÅRJÄNG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71812-2021</t>
        </is>
      </c>
      <c r="B1129" s="1" t="n">
        <v>44539</v>
      </c>
      <c r="C1129" s="1" t="n">
        <v>46199</v>
      </c>
      <c r="D1129" t="inlineStr">
        <is>
          <t>VÄRMLANDS LÄN</t>
        </is>
      </c>
      <c r="E1129" t="inlineStr">
        <is>
          <t>ÅRJÄNG</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34580-2023</t>
        </is>
      </c>
      <c r="B1130" s="1" t="n">
        <v>45135</v>
      </c>
      <c r="C1130" s="1" t="n">
        <v>46199</v>
      </c>
      <c r="D1130" t="inlineStr">
        <is>
          <t>VÄRMLANDS LÄN</t>
        </is>
      </c>
      <c r="E1130" t="inlineStr">
        <is>
          <t>ÅRJÄNG</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15164-2023</t>
        </is>
      </c>
      <c r="B1131" s="1" t="n">
        <v>45016</v>
      </c>
      <c r="C1131" s="1" t="n">
        <v>46199</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39187-2024</t>
        </is>
      </c>
      <c r="B1132" s="1" t="n">
        <v>45548</v>
      </c>
      <c r="C1132" s="1" t="n">
        <v>46199</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24483-2024</t>
        </is>
      </c>
      <c r="B1133" s="1" t="n">
        <v>45459</v>
      </c>
      <c r="C1133" s="1" t="n">
        <v>46199</v>
      </c>
      <c r="D1133" t="inlineStr">
        <is>
          <t>VÄRMLANDS LÄN</t>
        </is>
      </c>
      <c r="E1133" t="inlineStr">
        <is>
          <t>ÅRJÄNG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24273-2023</t>
        </is>
      </c>
      <c r="B1134" s="1" t="n">
        <v>45079</v>
      </c>
      <c r="C1134" s="1" t="n">
        <v>46199</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56940-2024</t>
        </is>
      </c>
      <c r="B1135" s="1" t="n">
        <v>45628</v>
      </c>
      <c r="C1135" s="1" t="n">
        <v>46199</v>
      </c>
      <c r="D1135" t="inlineStr">
        <is>
          <t>VÄRMLANDS LÄN</t>
        </is>
      </c>
      <c r="E1135" t="inlineStr">
        <is>
          <t>ÅRJÄNG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36344-2023</t>
        </is>
      </c>
      <c r="B1136" s="1" t="n">
        <v>45152</v>
      </c>
      <c r="C1136" s="1" t="n">
        <v>46199</v>
      </c>
      <c r="D1136" t="inlineStr">
        <is>
          <t>VÄRMLANDS LÄN</t>
        </is>
      </c>
      <c r="E1136" t="inlineStr">
        <is>
          <t>ÅRJÄNG</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23904-2023</t>
        </is>
      </c>
      <c r="B1137" s="1" t="n">
        <v>45078</v>
      </c>
      <c r="C1137" s="1" t="n">
        <v>46199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21177-2023</t>
        </is>
      </c>
      <c r="B1138" s="1" t="n">
        <v>45062</v>
      </c>
      <c r="C1138" s="1" t="n">
        <v>46199</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46317-2024</t>
        </is>
      </c>
      <c r="B1139" s="1" t="n">
        <v>45581</v>
      </c>
      <c r="C1139" s="1" t="n">
        <v>46199</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39557-2023</t>
        </is>
      </c>
      <c r="B1140" s="1" t="n">
        <v>45167</v>
      </c>
      <c r="C1140" s="1" t="n">
        <v>46199</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2551-2025</t>
        </is>
      </c>
      <c r="B1141" s="1" t="n">
        <v>45674</v>
      </c>
      <c r="C1141" s="1" t="n">
        <v>46199</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3848-2025</t>
        </is>
      </c>
      <c r="B1142" s="1" t="n">
        <v>45683</v>
      </c>
      <c r="C1142" s="1" t="n">
        <v>46199</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47833-2023</t>
        </is>
      </c>
      <c r="B1143" s="1" t="n">
        <v>45204</v>
      </c>
      <c r="C1143" s="1" t="n">
        <v>46199</v>
      </c>
      <c r="D1143" t="inlineStr">
        <is>
          <t>VÄRMLANDS LÄN</t>
        </is>
      </c>
      <c r="E1143" t="inlineStr">
        <is>
          <t>ÅRJÄNG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46199</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16383-2022</t>
        </is>
      </c>
      <c r="B1145" s="1" t="n">
        <v>44671</v>
      </c>
      <c r="C1145" s="1" t="n">
        <v>46199</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13620-2023</t>
        </is>
      </c>
      <c r="B1146" s="1" t="n">
        <v>45006</v>
      </c>
      <c r="C1146" s="1" t="n">
        <v>46199</v>
      </c>
      <c r="D1146" t="inlineStr">
        <is>
          <t>VÄRMLANDS LÄN</t>
        </is>
      </c>
      <c r="E1146" t="inlineStr">
        <is>
          <t>ÅRJÄNG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16666-2025</t>
        </is>
      </c>
      <c r="B1147" s="1" t="n">
        <v>45754</v>
      </c>
      <c r="C1147" s="1" t="n">
        <v>46199</v>
      </c>
      <c r="D1147" t="inlineStr">
        <is>
          <t>VÄRMLANDS LÄN</t>
        </is>
      </c>
      <c r="E1147" t="inlineStr">
        <is>
          <t>ÅRJÄNG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16806-2024</t>
        </is>
      </c>
      <c r="B1148" s="1" t="n">
        <v>45411</v>
      </c>
      <c r="C1148" s="1" t="n">
        <v>46199</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61873-2023</t>
        </is>
      </c>
      <c r="B1149" s="1" t="n">
        <v>45266</v>
      </c>
      <c r="C1149" s="1" t="n">
        <v>46199</v>
      </c>
      <c r="D1149" t="inlineStr">
        <is>
          <t>VÄRMLANDS LÄN</t>
        </is>
      </c>
      <c r="E1149" t="inlineStr">
        <is>
          <t>ÅRJÄNG</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28260-2024</t>
        </is>
      </c>
      <c r="B1150" s="1" t="n">
        <v>45477</v>
      </c>
      <c r="C1150" s="1" t="n">
        <v>46199</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30710-2023</t>
        </is>
      </c>
      <c r="B1151" s="1" t="n">
        <v>45112</v>
      </c>
      <c r="C1151" s="1" t="n">
        <v>46199</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8255-2025</t>
        </is>
      </c>
      <c r="B1152" s="1" t="n">
        <v>45708</v>
      </c>
      <c r="C1152" s="1" t="n">
        <v>46199</v>
      </c>
      <c r="D1152" t="inlineStr">
        <is>
          <t>VÄRMLANDS LÄN</t>
        </is>
      </c>
      <c r="E1152" t="inlineStr">
        <is>
          <t>ÅRJÄNG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34409-2023</t>
        </is>
      </c>
      <c r="B1153" s="1" t="n">
        <v>45139</v>
      </c>
      <c r="C1153" s="1" t="n">
        <v>46199</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2222-2023</t>
        </is>
      </c>
      <c r="B1154" s="1" t="n">
        <v>44942</v>
      </c>
      <c r="C1154" s="1" t="n">
        <v>46199</v>
      </c>
      <c r="D1154" t="inlineStr">
        <is>
          <t>VÄRMLANDS LÄN</t>
        </is>
      </c>
      <c r="E1154" t="inlineStr">
        <is>
          <t>ÅRJÄNG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29263-2023</t>
        </is>
      </c>
      <c r="B1155" s="1" t="n">
        <v>45105</v>
      </c>
      <c r="C1155" s="1" t="n">
        <v>46199</v>
      </c>
      <c r="D1155" t="inlineStr">
        <is>
          <t>VÄRMLANDS LÄN</t>
        </is>
      </c>
      <c r="E1155" t="inlineStr">
        <is>
          <t>ÅRJÄNG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20354-2023</t>
        </is>
      </c>
      <c r="B1156" s="1" t="n">
        <v>45056</v>
      </c>
      <c r="C1156" s="1" t="n">
        <v>46199</v>
      </c>
      <c r="D1156" t="inlineStr">
        <is>
          <t>VÄRMLANDS LÄN</t>
        </is>
      </c>
      <c r="E1156" t="inlineStr">
        <is>
          <t>ÅRJÄNG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48014-2023</t>
        </is>
      </c>
      <c r="B1157" s="1" t="n">
        <v>45198</v>
      </c>
      <c r="C1157" s="1" t="n">
        <v>46199</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19843-2025</t>
        </is>
      </c>
      <c r="B1158" s="1" t="n">
        <v>45771</v>
      </c>
      <c r="C1158" s="1" t="n">
        <v>46199</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10681-2024</t>
        </is>
      </c>
      <c r="B1159" s="1" t="n">
        <v>45369</v>
      </c>
      <c r="C1159" s="1" t="n">
        <v>46199</v>
      </c>
      <c r="D1159" t="inlineStr">
        <is>
          <t>VÄRMLANDS LÄN</t>
        </is>
      </c>
      <c r="E1159" t="inlineStr">
        <is>
          <t>ÅRJÄNG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11718-2024</t>
        </is>
      </c>
      <c r="B1160" s="1" t="n">
        <v>45373</v>
      </c>
      <c r="C1160" s="1" t="n">
        <v>46199</v>
      </c>
      <c r="D1160" t="inlineStr">
        <is>
          <t>VÄRMLANDS LÄN</t>
        </is>
      </c>
      <c r="E1160" t="inlineStr">
        <is>
          <t>ÅRJÄNG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3463-2025</t>
        </is>
      </c>
      <c r="B1161" s="1" t="n">
        <v>45680</v>
      </c>
      <c r="C1161" s="1" t="n">
        <v>46199</v>
      </c>
      <c r="D1161" t="inlineStr">
        <is>
          <t>VÄRMLANDS LÄN</t>
        </is>
      </c>
      <c r="E1161" t="inlineStr">
        <is>
          <t>ÅRJÄNG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48781-2024</t>
        </is>
      </c>
      <c r="B1162" s="1" t="n">
        <v>45593</v>
      </c>
      <c r="C1162" s="1" t="n">
        <v>46199</v>
      </c>
      <c r="D1162" t="inlineStr">
        <is>
          <t>VÄRMLANDS LÄN</t>
        </is>
      </c>
      <c r="E1162" t="inlineStr">
        <is>
          <t>ÅRJÄNG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23940-2023</t>
        </is>
      </c>
      <c r="B1163" s="1" t="n">
        <v>45075</v>
      </c>
      <c r="C1163" s="1" t="n">
        <v>46199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39536-2022</t>
        </is>
      </c>
      <c r="B1164" s="1" t="n">
        <v>44818</v>
      </c>
      <c r="C1164" s="1" t="n">
        <v>46199</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5095-2022</t>
        </is>
      </c>
      <c r="B1165" s="1" t="n">
        <v>44593</v>
      </c>
      <c r="C1165" s="1" t="n">
        <v>46199</v>
      </c>
      <c r="D1165" t="inlineStr">
        <is>
          <t>VÄRMLANDS LÄN</t>
        </is>
      </c>
      <c r="E1165" t="inlineStr">
        <is>
          <t>ÅRJÄNG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2-2024</t>
        </is>
      </c>
      <c r="B1166" s="1" t="n">
        <v>45292</v>
      </c>
      <c r="C1166" s="1" t="n">
        <v>46199</v>
      </c>
      <c r="D1166" t="inlineStr">
        <is>
          <t>VÄRMLANDS LÄN</t>
        </is>
      </c>
      <c r="E1166" t="inlineStr">
        <is>
          <t>ÅRJÄNG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58014-2022</t>
        </is>
      </c>
      <c r="B1167" s="1" t="n">
        <v>44893</v>
      </c>
      <c r="C1167" s="1" t="n">
        <v>46199</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36018-2024</t>
        </is>
      </c>
      <c r="B1168" s="1" t="n">
        <v>45533</v>
      </c>
      <c r="C1168" s="1" t="n">
        <v>46199</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36035-2024</t>
        </is>
      </c>
      <c r="B1169" s="1" t="n">
        <v>45533</v>
      </c>
      <c r="C1169" s="1" t="n">
        <v>46199</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58152-2024</t>
        </is>
      </c>
      <c r="B1170" s="1" t="n">
        <v>45632</v>
      </c>
      <c r="C1170" s="1" t="n">
        <v>46199</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10625-2025</t>
        </is>
      </c>
      <c r="B1171" s="1" t="n">
        <v>45721</v>
      </c>
      <c r="C1171" s="1" t="n">
        <v>46199</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10627-2025</t>
        </is>
      </c>
      <c r="B1172" s="1" t="n">
        <v>45721</v>
      </c>
      <c r="C1172" s="1" t="n">
        <v>46199</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3471-2023</t>
        </is>
      </c>
      <c r="B1173" s="1" t="n">
        <v>44949</v>
      </c>
      <c r="C1173" s="1" t="n">
        <v>46199</v>
      </c>
      <c r="D1173" t="inlineStr">
        <is>
          <t>VÄRMLANDS LÄN</t>
        </is>
      </c>
      <c r="E1173" t="inlineStr">
        <is>
          <t>ÅRJÄNG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59617-2022</t>
        </is>
      </c>
      <c r="B1174" s="1" t="n">
        <v>44907</v>
      </c>
      <c r="C1174" s="1" t="n">
        <v>46199</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59887-2023</t>
        </is>
      </c>
      <c r="B1175" s="1" t="n">
        <v>45257</v>
      </c>
      <c r="C1175" s="1" t="n">
        <v>46199</v>
      </c>
      <c r="D1175" t="inlineStr">
        <is>
          <t>VÄRMLANDS LÄN</t>
        </is>
      </c>
      <c r="E1175" t="inlineStr">
        <is>
          <t>ÅRJÄNG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37382-2024</t>
        </is>
      </c>
      <c r="B1176" s="1" t="n">
        <v>45540</v>
      </c>
      <c r="C1176" s="1" t="n">
        <v>46199</v>
      </c>
      <c r="D1176" t="inlineStr">
        <is>
          <t>VÄRMLANDS LÄN</t>
        </is>
      </c>
      <c r="E1176" t="inlineStr">
        <is>
          <t>ÅRJÄNG</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65171-2023</t>
        </is>
      </c>
      <c r="B1177" s="1" t="n">
        <v>45288</v>
      </c>
      <c r="C1177" s="1" t="n">
        <v>46199</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59071-2024</t>
        </is>
      </c>
      <c r="B1178" s="1" t="n">
        <v>45636</v>
      </c>
      <c r="C1178" s="1" t="n">
        <v>46199</v>
      </c>
      <c r="D1178" t="inlineStr">
        <is>
          <t>VÄRMLANDS LÄN</t>
        </is>
      </c>
      <c r="E1178" t="inlineStr">
        <is>
          <t>ÅRJÄNG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59073-2024</t>
        </is>
      </c>
      <c r="B1179" s="1" t="n">
        <v>45636</v>
      </c>
      <c r="C1179" s="1" t="n">
        <v>46199</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28864-2023</t>
        </is>
      </c>
      <c r="B1180" s="1" t="n">
        <v>45104</v>
      </c>
      <c r="C1180" s="1" t="n">
        <v>46199</v>
      </c>
      <c r="D1180" t="inlineStr">
        <is>
          <t>VÄRMLANDS LÄN</t>
        </is>
      </c>
      <c r="E1180" t="inlineStr">
        <is>
          <t>ÅRJÄNG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10117-2023</t>
        </is>
      </c>
      <c r="B1181" s="1" t="n">
        <v>44986</v>
      </c>
      <c r="C1181" s="1" t="n">
        <v>46199</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15579-2025</t>
        </is>
      </c>
      <c r="B1182" s="1" t="n">
        <v>45747</v>
      </c>
      <c r="C1182" s="1" t="n">
        <v>46199</v>
      </c>
      <c r="D1182" t="inlineStr">
        <is>
          <t>VÄRMLANDS LÄN</t>
        </is>
      </c>
      <c r="E1182" t="inlineStr">
        <is>
          <t>ÅRJÄNG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15303-2025</t>
        </is>
      </c>
      <c r="B1183" s="1" t="n">
        <v>45746</v>
      </c>
      <c r="C1183" s="1" t="n">
        <v>46199</v>
      </c>
      <c r="D1183" t="inlineStr">
        <is>
          <t>VÄRMLANDS LÄN</t>
        </is>
      </c>
      <c r="E1183" t="inlineStr">
        <is>
          <t>ÅRJÄNG</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11401-2025</t>
        </is>
      </c>
      <c r="B1184" s="1" t="n">
        <v>45726</v>
      </c>
      <c r="C1184" s="1" t="n">
        <v>46199</v>
      </c>
      <c r="D1184" t="inlineStr">
        <is>
          <t>VÄRMLANDS LÄN</t>
        </is>
      </c>
      <c r="E1184" t="inlineStr">
        <is>
          <t>ÅRJÄNG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58789-2024</t>
        </is>
      </c>
      <c r="B1185" s="1" t="n">
        <v>45635</v>
      </c>
      <c r="C1185" s="1" t="n">
        <v>46199</v>
      </c>
      <c r="D1185" t="inlineStr">
        <is>
          <t>VÄRMLANDS LÄN</t>
        </is>
      </c>
      <c r="E1185" t="inlineStr">
        <is>
          <t>ÅRJÄNG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32550-2024</t>
        </is>
      </c>
      <c r="B1186" s="1" t="n">
        <v>45513</v>
      </c>
      <c r="C1186" s="1" t="n">
        <v>46199</v>
      </c>
      <c r="D1186" t="inlineStr">
        <is>
          <t>VÄRMLANDS LÄN</t>
        </is>
      </c>
      <c r="E1186" t="inlineStr">
        <is>
          <t>ÅRJÄNG</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15230-2025</t>
        </is>
      </c>
      <c r="B1187" s="1" t="n">
        <v>45744</v>
      </c>
      <c r="C1187" s="1" t="n">
        <v>46199</v>
      </c>
      <c r="D1187" t="inlineStr">
        <is>
          <t>VÄRMLANDS LÄN</t>
        </is>
      </c>
      <c r="E1187" t="inlineStr">
        <is>
          <t>ÅRJÄNG</t>
        </is>
      </c>
      <c r="G1187" t="n">
        <v>17.1</v>
      </c>
      <c r="H1187" t="n">
        <v>0</v>
      </c>
      <c r="I1187" t="n">
        <v>0</v>
      </c>
      <c r="J1187" t="n">
        <v>0</v>
      </c>
      <c r="K1187" t="n">
        <v>0</v>
      </c>
      <c r="L1187" t="n">
        <v>0</v>
      </c>
      <c r="M1187" t="n">
        <v>0</v>
      </c>
      <c r="N1187" t="n">
        <v>0</v>
      </c>
      <c r="O1187" t="n">
        <v>0</v>
      </c>
      <c r="P1187" t="n">
        <v>0</v>
      </c>
      <c r="Q1187" t="n">
        <v>0</v>
      </c>
      <c r="R1187" s="2" t="inlineStr"/>
    </row>
    <row r="1188" ht="15" customHeight="1">
      <c r="A1188" t="inlineStr">
        <is>
          <t>A 45634-2023</t>
        </is>
      </c>
      <c r="B1188" s="1" t="n">
        <v>45194</v>
      </c>
      <c r="C1188" s="1" t="n">
        <v>46199</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6551-2025</t>
        </is>
      </c>
      <c r="B1189" s="1" t="n">
        <v>45699</v>
      </c>
      <c r="C1189" s="1" t="n">
        <v>46199</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46199</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1615-2025</t>
        </is>
      </c>
      <c r="B1191" s="1" t="n">
        <v>45670</v>
      </c>
      <c r="C1191" s="1" t="n">
        <v>46199</v>
      </c>
      <c r="D1191" t="inlineStr">
        <is>
          <t>VÄRMLANDS LÄN</t>
        </is>
      </c>
      <c r="E1191" t="inlineStr">
        <is>
          <t>ÅRJÄNG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32778-2024</t>
        </is>
      </c>
      <c r="B1192" s="1" t="n">
        <v>45516</v>
      </c>
      <c r="C1192" s="1" t="n">
        <v>46199</v>
      </c>
      <c r="D1192" t="inlineStr">
        <is>
          <t>VÄRMLANDS LÄN</t>
        </is>
      </c>
      <c r="E1192" t="inlineStr">
        <is>
          <t>ÅRJÄNG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42230-2024</t>
        </is>
      </c>
      <c r="B1193" s="1" t="n">
        <v>45562</v>
      </c>
      <c r="C1193" s="1" t="n">
        <v>46199</v>
      </c>
      <c r="D1193" t="inlineStr">
        <is>
          <t>VÄRMLANDS LÄN</t>
        </is>
      </c>
      <c r="E1193" t="inlineStr">
        <is>
          <t>ÅRJÄNG</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4189-2025</t>
        </is>
      </c>
      <c r="B1194" s="1" t="n">
        <v>45685</v>
      </c>
      <c r="C1194" s="1" t="n">
        <v>46199</v>
      </c>
      <c r="D1194" t="inlineStr">
        <is>
          <t>VÄRMLANDS LÄN</t>
        </is>
      </c>
      <c r="E1194" t="inlineStr">
        <is>
          <t>ÅRJÄNG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20747-2025</t>
        </is>
      </c>
      <c r="B1195" s="1" t="n">
        <v>45776</v>
      </c>
      <c r="C1195" s="1" t="n">
        <v>46199</v>
      </c>
      <c r="D1195" t="inlineStr">
        <is>
          <t>VÄRMLANDS LÄN</t>
        </is>
      </c>
      <c r="E1195" t="inlineStr">
        <is>
          <t>ÅRJÄNG</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20957-2025</t>
        </is>
      </c>
      <c r="B1196" s="1" t="n">
        <v>45777</v>
      </c>
      <c r="C1196" s="1" t="n">
        <v>46199</v>
      </c>
      <c r="D1196" t="inlineStr">
        <is>
          <t>VÄRMLANDS LÄN</t>
        </is>
      </c>
      <c r="E1196" t="inlineStr">
        <is>
          <t>ÅRJÄNG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11198-2025</t>
        </is>
      </c>
      <c r="B1197" s="1" t="n">
        <v>45725</v>
      </c>
      <c r="C1197" s="1" t="n">
        <v>46199</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7193-2024</t>
        </is>
      </c>
      <c r="B1198" s="1" t="n">
        <v>45344</v>
      </c>
      <c r="C1198" s="1" t="n">
        <v>46199</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1467-2025</t>
        </is>
      </c>
      <c r="B1199" s="1" t="n">
        <v>45667</v>
      </c>
      <c r="C1199" s="1" t="n">
        <v>46199</v>
      </c>
      <c r="D1199" t="inlineStr">
        <is>
          <t>VÄRMLANDS LÄN</t>
        </is>
      </c>
      <c r="E1199" t="inlineStr">
        <is>
          <t>ÅRJÄNG</t>
        </is>
      </c>
      <c r="F1199" t="inlineStr">
        <is>
          <t>Övriga Aktiebolag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31793-2023</t>
        </is>
      </c>
      <c r="B1200" s="1" t="n">
        <v>45118</v>
      </c>
      <c r="C1200" s="1" t="n">
        <v>46199</v>
      </c>
      <c r="D1200" t="inlineStr">
        <is>
          <t>VÄRMLANDS LÄN</t>
        </is>
      </c>
      <c r="E1200" t="inlineStr">
        <is>
          <t>ÅRJÄNG</t>
        </is>
      </c>
      <c r="G1200" t="n">
        <v>10.9</v>
      </c>
      <c r="H1200" t="n">
        <v>0</v>
      </c>
      <c r="I1200" t="n">
        <v>0</v>
      </c>
      <c r="J1200" t="n">
        <v>0</v>
      </c>
      <c r="K1200" t="n">
        <v>0</v>
      </c>
      <c r="L1200" t="n">
        <v>0</v>
      </c>
      <c r="M1200" t="n">
        <v>0</v>
      </c>
      <c r="N1200" t="n">
        <v>0</v>
      </c>
      <c r="O1200" t="n">
        <v>0</v>
      </c>
      <c r="P1200" t="n">
        <v>0</v>
      </c>
      <c r="Q1200" t="n">
        <v>0</v>
      </c>
      <c r="R1200" s="2" t="inlineStr"/>
    </row>
    <row r="1201">
      <c r="A1201" t="inlineStr">
        <is>
          <t>A 50347-2024</t>
        </is>
      </c>
      <c r="B1201" s="1" t="n">
        <v>45600</v>
      </c>
      <c r="C1201" s="1" t="n">
        <v>46199</v>
      </c>
      <c r="D1201" t="inlineStr">
        <is>
          <t>VÄRMLANDS LÄN</t>
        </is>
      </c>
      <c r="E1201" t="inlineStr">
        <is>
          <t>ÅRJÄNG</t>
        </is>
      </c>
      <c r="G1201" t="n">
        <v>3</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2026-06-26T00:51:05Z</dcterms:created>
  <dcterms:modified xmlns:dcterms="http://purl.org/dc/terms/" xmlns:xsi="http://www.w3.org/2001/XMLSchema-instance" xsi:type="dcterms:W3CDTF">2026-06-26T00:51:06Z</dcterms:modified>
</cp:coreProperties>
</file>