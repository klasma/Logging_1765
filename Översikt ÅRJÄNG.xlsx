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45512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45512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45512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45512</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45512</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45512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45512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45512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45512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45512</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45512</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45512</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45512</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45512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45512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45512</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45512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45512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45512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45512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45512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45512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45512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45512</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45512</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45512</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45512</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45512</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45512</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45512</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45512</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45512</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45512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45512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45512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45512</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45512</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45512</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45512</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45512</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45512</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45512</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45512</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45512</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45512</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45512</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45512</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45512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45512</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45512</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45512</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45512</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45512</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45512</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11682-2022</t>
        </is>
      </c>
      <c r="B56" s="1" t="n">
        <v>44631</v>
      </c>
      <c r="C56" s="1" t="n">
        <v>45512</v>
      </c>
      <c r="D56" t="inlineStr">
        <is>
          <t>VÄRMLANDS LÄN</t>
        </is>
      </c>
      <c r="E56" t="inlineStr">
        <is>
          <t>ÅRJÄNG</t>
        </is>
      </c>
      <c r="G56" t="n">
        <v>19.9</v>
      </c>
      <c r="H56" t="n">
        <v>0</v>
      </c>
      <c r="I56" t="n">
        <v>0</v>
      </c>
      <c r="J56" t="n">
        <v>1</v>
      </c>
      <c r="K56" t="n">
        <v>0</v>
      </c>
      <c r="L56" t="n">
        <v>0</v>
      </c>
      <c r="M56" t="n">
        <v>0</v>
      </c>
      <c r="N56" t="n">
        <v>0</v>
      </c>
      <c r="O56" t="n">
        <v>1</v>
      </c>
      <c r="P56" t="n">
        <v>0</v>
      </c>
      <c r="Q56" t="n">
        <v>1</v>
      </c>
      <c r="R56" s="2" t="inlineStr">
        <is>
          <t>Skogsklocka</t>
        </is>
      </c>
      <c r="S56">
        <f>HYPERLINK("https://klasma.github.io/Logging_1765/artfynd/A 11682-2022 artfynd.xlsx", "A 11682-2022")</f>
        <v/>
      </c>
      <c r="T56">
        <f>HYPERLINK("https://klasma.github.io/Logging_1765/kartor/A 11682-2022 karta.png", "A 11682-2022")</f>
        <v/>
      </c>
      <c r="V56">
        <f>HYPERLINK("https://klasma.github.io/Logging_1765/klagomål/A 11682-2022 FSC-klagomål.docx", "A 11682-2022")</f>
        <v/>
      </c>
      <c r="W56">
        <f>HYPERLINK("https://klasma.github.io/Logging_1765/klagomålsmail/A 11682-2022 FSC-klagomål mail.docx", "A 11682-2022")</f>
        <v/>
      </c>
      <c r="X56">
        <f>HYPERLINK("https://klasma.github.io/Logging_1765/tillsyn/A 11682-2022 tillsynsbegäran.docx", "A 11682-2022")</f>
        <v/>
      </c>
      <c r="Y56">
        <f>HYPERLINK("https://klasma.github.io/Logging_1765/tillsynsmail/A 11682-2022 tillsynsbegäran mail.docx", "A 11682-2022")</f>
        <v/>
      </c>
    </row>
    <row r="57" ht="15" customHeight="1">
      <c r="A57" t="inlineStr">
        <is>
          <t>A 45938-2022</t>
        </is>
      </c>
      <c r="B57" s="1" t="n">
        <v>44846</v>
      </c>
      <c r="C57" s="1" t="n">
        <v>45512</v>
      </c>
      <c r="D57" t="inlineStr">
        <is>
          <t>VÄRMLANDS LÄN</t>
        </is>
      </c>
      <c r="E57" t="inlineStr">
        <is>
          <t>ÅRJÄNG</t>
        </is>
      </c>
      <c r="G57" t="n">
        <v>4.4</v>
      </c>
      <c r="H57" t="n">
        <v>1</v>
      </c>
      <c r="I57" t="n">
        <v>0</v>
      </c>
      <c r="J57" t="n">
        <v>0</v>
      </c>
      <c r="K57" t="n">
        <v>1</v>
      </c>
      <c r="L57" t="n">
        <v>0</v>
      </c>
      <c r="M57" t="n">
        <v>0</v>
      </c>
      <c r="N57" t="n">
        <v>0</v>
      </c>
      <c r="O57" t="n">
        <v>1</v>
      </c>
      <c r="P57" t="n">
        <v>1</v>
      </c>
      <c r="Q57" t="n">
        <v>1</v>
      </c>
      <c r="R57" s="2" t="inlineStr">
        <is>
          <t>Knärot</t>
        </is>
      </c>
      <c r="S57">
        <f>HYPERLINK("https://klasma.github.io/Logging_1765/artfynd/A 45938-2022 artfynd.xlsx", "A 45938-2022")</f>
        <v/>
      </c>
      <c r="T57">
        <f>HYPERLINK("https://klasma.github.io/Logging_1765/kartor/A 45938-2022 karta.png", "A 45938-2022")</f>
        <v/>
      </c>
      <c r="U57">
        <f>HYPERLINK("https://klasma.github.io/Logging_1765/knärot/A 45938-2022 karta knärot.png", "A 45938-2022")</f>
        <v/>
      </c>
      <c r="V57">
        <f>HYPERLINK("https://klasma.github.io/Logging_1765/klagomål/A 45938-2022 FSC-klagomål.docx", "A 45938-2022")</f>
        <v/>
      </c>
      <c r="W57">
        <f>HYPERLINK("https://klasma.github.io/Logging_1765/klagomålsmail/A 45938-2022 FSC-klagomål mail.docx", "A 45938-2022")</f>
        <v/>
      </c>
      <c r="X57">
        <f>HYPERLINK("https://klasma.github.io/Logging_1765/tillsyn/A 45938-2022 tillsynsbegäran.docx", "A 45938-2022")</f>
        <v/>
      </c>
      <c r="Y57">
        <f>HYPERLINK("https://klasma.github.io/Logging_1765/tillsynsmail/A 45938-2022 tillsynsbegäran mail.docx", "A 45938-2022")</f>
        <v/>
      </c>
    </row>
    <row r="58" ht="15" customHeight="1">
      <c r="A58" t="inlineStr">
        <is>
          <t>A 52166-2022</t>
        </is>
      </c>
      <c r="B58" s="1" t="n">
        <v>44873</v>
      </c>
      <c r="C58" s="1" t="n">
        <v>45512</v>
      </c>
      <c r="D58" t="inlineStr">
        <is>
          <t>VÄRMLANDS LÄN</t>
        </is>
      </c>
      <c r="E58" t="inlineStr">
        <is>
          <t>ÅRJÄNG</t>
        </is>
      </c>
      <c r="G58" t="n">
        <v>12.9</v>
      </c>
      <c r="H58" t="n">
        <v>1</v>
      </c>
      <c r="I58" t="n">
        <v>0</v>
      </c>
      <c r="J58" t="n">
        <v>0</v>
      </c>
      <c r="K58" t="n">
        <v>0</v>
      </c>
      <c r="L58" t="n">
        <v>0</v>
      </c>
      <c r="M58" t="n">
        <v>0</v>
      </c>
      <c r="N58" t="n">
        <v>0</v>
      </c>
      <c r="O58" t="n">
        <v>0</v>
      </c>
      <c r="P58" t="n">
        <v>0</v>
      </c>
      <c r="Q58" t="n">
        <v>1</v>
      </c>
      <c r="R58" s="2" t="inlineStr">
        <is>
          <t>Blåsippa</t>
        </is>
      </c>
      <c r="S58">
        <f>HYPERLINK("https://klasma.github.io/Logging_1765/artfynd/A 52166-2022 artfynd.xlsx", "A 52166-2022")</f>
        <v/>
      </c>
      <c r="T58">
        <f>HYPERLINK("https://klasma.github.io/Logging_1765/kartor/A 52166-2022 karta.png", "A 52166-2022")</f>
        <v/>
      </c>
      <c r="V58">
        <f>HYPERLINK("https://klasma.github.io/Logging_1765/klagomål/A 52166-2022 FSC-klagomål.docx", "A 52166-2022")</f>
        <v/>
      </c>
      <c r="W58">
        <f>HYPERLINK("https://klasma.github.io/Logging_1765/klagomålsmail/A 52166-2022 FSC-klagomål mail.docx", "A 52166-2022")</f>
        <v/>
      </c>
      <c r="X58">
        <f>HYPERLINK("https://klasma.github.io/Logging_1765/tillsyn/A 52166-2022 tillsynsbegäran.docx", "A 52166-2022")</f>
        <v/>
      </c>
      <c r="Y58">
        <f>HYPERLINK("https://klasma.github.io/Logging_1765/tillsynsmail/A 52166-2022 tillsynsbegäran mail.docx", "A 52166-2022")</f>
        <v/>
      </c>
    </row>
    <row r="59" ht="15" customHeight="1">
      <c r="A59" t="inlineStr">
        <is>
          <t>A 30550-2023</t>
        </is>
      </c>
      <c r="B59" s="1" t="n">
        <v>45111</v>
      </c>
      <c r="C59" s="1" t="n">
        <v>45512</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500-2024</t>
        </is>
      </c>
      <c r="B60" s="1" t="n">
        <v>45299</v>
      </c>
      <c r="C60" s="1" t="n">
        <v>45512</v>
      </c>
      <c r="D60" t="inlineStr">
        <is>
          <t>VÄRMLANDS LÄN</t>
        </is>
      </c>
      <c r="E60" t="inlineStr">
        <is>
          <t>ÅRJÄNG</t>
        </is>
      </c>
      <c r="F60" t="inlineStr">
        <is>
          <t>Kyrkan</t>
        </is>
      </c>
      <c r="G60" t="n">
        <v>5.4</v>
      </c>
      <c r="H60" t="n">
        <v>0</v>
      </c>
      <c r="I60" t="n">
        <v>0</v>
      </c>
      <c r="J60" t="n">
        <v>1</v>
      </c>
      <c r="K60" t="n">
        <v>0</v>
      </c>
      <c r="L60" t="n">
        <v>0</v>
      </c>
      <c r="M60" t="n">
        <v>0</v>
      </c>
      <c r="N60" t="n">
        <v>0</v>
      </c>
      <c r="O60" t="n">
        <v>1</v>
      </c>
      <c r="P60" t="n">
        <v>0</v>
      </c>
      <c r="Q60" t="n">
        <v>1</v>
      </c>
      <c r="R60" s="2" t="inlineStr">
        <is>
          <t>Skogsklocka</t>
        </is>
      </c>
      <c r="S60">
        <f>HYPERLINK("https://klasma.github.io/Logging_1765/artfynd/A 500-2024 artfynd.xlsx", "A 500-2024")</f>
        <v/>
      </c>
      <c r="T60">
        <f>HYPERLINK("https://klasma.github.io/Logging_1765/kartor/A 500-2024 karta.png", "A 500-2024")</f>
        <v/>
      </c>
      <c r="V60">
        <f>HYPERLINK("https://klasma.github.io/Logging_1765/klagomål/A 500-2024 FSC-klagomål.docx", "A 500-2024")</f>
        <v/>
      </c>
      <c r="W60">
        <f>HYPERLINK("https://klasma.github.io/Logging_1765/klagomålsmail/A 500-2024 FSC-klagomål mail.docx", "A 500-2024")</f>
        <v/>
      </c>
      <c r="X60">
        <f>HYPERLINK("https://klasma.github.io/Logging_1765/tillsyn/A 500-2024 tillsynsbegäran.docx", "A 500-2024")</f>
        <v/>
      </c>
      <c r="Y60">
        <f>HYPERLINK("https://klasma.github.io/Logging_1765/tillsynsmail/A 500-2024 tillsynsbegäran mail.docx", "A 500-2024")</f>
        <v/>
      </c>
    </row>
    <row r="61" ht="15" customHeight="1">
      <c r="A61" t="inlineStr">
        <is>
          <t>A 5806-2024</t>
        </is>
      </c>
      <c r="B61" s="1" t="n">
        <v>45335</v>
      </c>
      <c r="C61" s="1" t="n">
        <v>45512</v>
      </c>
      <c r="D61" t="inlineStr">
        <is>
          <t>VÄRMLANDS LÄN</t>
        </is>
      </c>
      <c r="E61" t="inlineStr">
        <is>
          <t>ÅRJÄNG</t>
        </is>
      </c>
      <c r="G61" t="n">
        <v>1.5</v>
      </c>
      <c r="H61" t="n">
        <v>1</v>
      </c>
      <c r="I61" t="n">
        <v>0</v>
      </c>
      <c r="J61" t="n">
        <v>0</v>
      </c>
      <c r="K61" t="n">
        <v>0</v>
      </c>
      <c r="L61" t="n">
        <v>0</v>
      </c>
      <c r="M61" t="n">
        <v>0</v>
      </c>
      <c r="N61" t="n">
        <v>0</v>
      </c>
      <c r="O61" t="n">
        <v>0</v>
      </c>
      <c r="P61" t="n">
        <v>0</v>
      </c>
      <c r="Q61" t="n">
        <v>1</v>
      </c>
      <c r="R61" s="2" t="inlineStr">
        <is>
          <t>Mattlummer</t>
        </is>
      </c>
      <c r="S61">
        <f>HYPERLINK("https://klasma.github.io/Logging_1765/artfynd/A 5806-2024 artfynd.xlsx", "A 5806-2024")</f>
        <v/>
      </c>
      <c r="T61">
        <f>HYPERLINK("https://klasma.github.io/Logging_1765/kartor/A 5806-2024 karta.png", "A 5806-2024")</f>
        <v/>
      </c>
      <c r="V61">
        <f>HYPERLINK("https://klasma.github.io/Logging_1765/klagomål/A 5806-2024 FSC-klagomål.docx", "A 5806-2024")</f>
        <v/>
      </c>
      <c r="W61">
        <f>HYPERLINK("https://klasma.github.io/Logging_1765/klagomålsmail/A 5806-2024 FSC-klagomål mail.docx", "A 5806-2024")</f>
        <v/>
      </c>
      <c r="X61">
        <f>HYPERLINK("https://klasma.github.io/Logging_1765/tillsyn/A 5806-2024 tillsynsbegäran.docx", "A 5806-2024")</f>
        <v/>
      </c>
      <c r="Y61">
        <f>HYPERLINK("https://klasma.github.io/Logging_1765/tillsynsmail/A 5806-2024 tillsynsbegäran mail.docx", "A 5806-2024")</f>
        <v/>
      </c>
    </row>
    <row r="62" ht="15" customHeight="1">
      <c r="A62" t="inlineStr">
        <is>
          <t>A 7447-2024</t>
        </is>
      </c>
      <c r="B62" s="1" t="n">
        <v>45345</v>
      </c>
      <c r="C62" s="1" t="n">
        <v>45512</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Tjäder</t>
        </is>
      </c>
      <c r="S62">
        <f>HYPERLINK("https://klasma.github.io/Logging_1765/artfynd/A 7447-2024 artfynd.xlsx", "A 7447-2024")</f>
        <v/>
      </c>
      <c r="T62">
        <f>HYPERLINK("https://klasma.github.io/Logging_1765/kartor/A 7447-2024 karta.png", "A 7447-2024")</f>
        <v/>
      </c>
      <c r="V62">
        <f>HYPERLINK("https://klasma.github.io/Logging_1765/klagomål/A 7447-2024 FSC-klagomål.docx", "A 7447-2024")</f>
        <v/>
      </c>
      <c r="W62">
        <f>HYPERLINK("https://klasma.github.io/Logging_1765/klagomålsmail/A 7447-2024 FSC-klagomål mail.docx", "A 7447-2024")</f>
        <v/>
      </c>
      <c r="X62">
        <f>HYPERLINK("https://klasma.github.io/Logging_1765/tillsyn/A 7447-2024 tillsynsbegäran.docx", "A 7447-2024")</f>
        <v/>
      </c>
      <c r="Y62">
        <f>HYPERLINK("https://klasma.github.io/Logging_1765/tillsynsmail/A 7447-2024 tillsynsbegäran mail.docx", "A 7447-2024")</f>
        <v/>
      </c>
      <c r="Z62">
        <f>HYPERLINK("https://klasma.github.io/Logging_1765/fåglar/A 7447-2024 prioriterade fågelarter.docx", "A 7447-2024")</f>
        <v/>
      </c>
    </row>
    <row r="63" ht="15" customHeight="1">
      <c r="A63" t="inlineStr">
        <is>
          <t>A 10554-2024</t>
        </is>
      </c>
      <c r="B63" s="1" t="n">
        <v>45366</v>
      </c>
      <c r="C63" s="1" t="n">
        <v>45512</v>
      </c>
      <c r="D63" t="inlineStr">
        <is>
          <t>VÄRMLANDS LÄN</t>
        </is>
      </c>
      <c r="E63" t="inlineStr">
        <is>
          <t>ÅRJÄNG</t>
        </is>
      </c>
      <c r="G63" t="n">
        <v>7.4</v>
      </c>
      <c r="H63" t="n">
        <v>0</v>
      </c>
      <c r="I63" t="n">
        <v>0</v>
      </c>
      <c r="J63" t="n">
        <v>1</v>
      </c>
      <c r="K63" t="n">
        <v>0</v>
      </c>
      <c r="L63" t="n">
        <v>0</v>
      </c>
      <c r="M63" t="n">
        <v>0</v>
      </c>
      <c r="N63" t="n">
        <v>0</v>
      </c>
      <c r="O63" t="n">
        <v>1</v>
      </c>
      <c r="P63" t="n">
        <v>0</v>
      </c>
      <c r="Q63" t="n">
        <v>1</v>
      </c>
      <c r="R63" s="2" t="inlineStr">
        <is>
          <t>Skogsklocka</t>
        </is>
      </c>
      <c r="S63">
        <f>HYPERLINK("https://klasma.github.io/Logging_1765/artfynd/A 10554-2024 artfynd.xlsx", "A 10554-2024")</f>
        <v/>
      </c>
      <c r="T63">
        <f>HYPERLINK("https://klasma.github.io/Logging_1765/kartor/A 10554-2024 karta.png", "A 10554-2024")</f>
        <v/>
      </c>
      <c r="V63">
        <f>HYPERLINK("https://klasma.github.io/Logging_1765/klagomål/A 10554-2024 FSC-klagomål.docx", "A 10554-2024")</f>
        <v/>
      </c>
      <c r="W63">
        <f>HYPERLINK("https://klasma.github.io/Logging_1765/klagomålsmail/A 10554-2024 FSC-klagomål mail.docx", "A 10554-2024")</f>
        <v/>
      </c>
      <c r="X63">
        <f>HYPERLINK("https://klasma.github.io/Logging_1765/tillsyn/A 10554-2024 tillsynsbegäran.docx", "A 10554-2024")</f>
        <v/>
      </c>
      <c r="Y63">
        <f>HYPERLINK("https://klasma.github.io/Logging_1765/tillsynsmail/A 10554-2024 tillsynsbegäran mail.docx", "A 10554-2024")</f>
        <v/>
      </c>
    </row>
    <row r="64" ht="15" customHeight="1">
      <c r="A64" t="inlineStr">
        <is>
          <t>A 11151-2024</t>
        </is>
      </c>
      <c r="B64" s="1" t="n">
        <v>45371</v>
      </c>
      <c r="C64" s="1" t="n">
        <v>45512</v>
      </c>
      <c r="D64" t="inlineStr">
        <is>
          <t>VÄRMLANDS LÄN</t>
        </is>
      </c>
      <c r="E64" t="inlineStr">
        <is>
          <t>ÅRJÄNG</t>
        </is>
      </c>
      <c r="G64" t="n">
        <v>10.1</v>
      </c>
      <c r="H64" t="n">
        <v>1</v>
      </c>
      <c r="I64" t="n">
        <v>0</v>
      </c>
      <c r="J64" t="n">
        <v>1</v>
      </c>
      <c r="K64" t="n">
        <v>0</v>
      </c>
      <c r="L64" t="n">
        <v>0</v>
      </c>
      <c r="M64" t="n">
        <v>0</v>
      </c>
      <c r="N64" t="n">
        <v>0</v>
      </c>
      <c r="O64" t="n">
        <v>1</v>
      </c>
      <c r="P64" t="n">
        <v>0</v>
      </c>
      <c r="Q64" t="n">
        <v>1</v>
      </c>
      <c r="R64" s="2" t="inlineStr">
        <is>
          <t>Spillkråka</t>
        </is>
      </c>
      <c r="S64">
        <f>HYPERLINK("https://klasma.github.io/Logging_1765/artfynd/A 11151-2024 artfynd.xlsx", "A 11151-2024")</f>
        <v/>
      </c>
      <c r="T64">
        <f>HYPERLINK("https://klasma.github.io/Logging_1765/kartor/A 11151-2024 karta.png", "A 11151-2024")</f>
        <v/>
      </c>
      <c r="V64">
        <f>HYPERLINK("https://klasma.github.io/Logging_1765/klagomål/A 11151-2024 FSC-klagomål.docx", "A 11151-2024")</f>
        <v/>
      </c>
      <c r="W64">
        <f>HYPERLINK("https://klasma.github.io/Logging_1765/klagomålsmail/A 11151-2024 FSC-klagomål mail.docx", "A 11151-2024")</f>
        <v/>
      </c>
      <c r="X64">
        <f>HYPERLINK("https://klasma.github.io/Logging_1765/tillsyn/A 11151-2024 tillsynsbegäran.docx", "A 11151-2024")</f>
        <v/>
      </c>
      <c r="Y64">
        <f>HYPERLINK("https://klasma.github.io/Logging_1765/tillsynsmail/A 11151-2024 tillsynsbegäran mail.docx", "A 11151-2024")</f>
        <v/>
      </c>
      <c r="Z64">
        <f>HYPERLINK("https://klasma.github.io/Logging_1765/fåglar/A 11151-2024 prioriterade fågelarter.docx", "A 11151-2024")</f>
        <v/>
      </c>
    </row>
    <row r="65" ht="15" customHeight="1">
      <c r="A65" t="inlineStr">
        <is>
          <t>A 12257-2024</t>
        </is>
      </c>
      <c r="B65" s="1" t="n">
        <v>45378</v>
      </c>
      <c r="C65" s="1" t="n">
        <v>45512</v>
      </c>
      <c r="D65" t="inlineStr">
        <is>
          <t>VÄRMLANDS LÄN</t>
        </is>
      </c>
      <c r="E65" t="inlineStr">
        <is>
          <t>ÅRJÄNG</t>
        </is>
      </c>
      <c r="G65" t="n">
        <v>1.5</v>
      </c>
      <c r="H65" t="n">
        <v>0</v>
      </c>
      <c r="I65" t="n">
        <v>1</v>
      </c>
      <c r="J65" t="n">
        <v>0</v>
      </c>
      <c r="K65" t="n">
        <v>0</v>
      </c>
      <c r="L65" t="n">
        <v>0</v>
      </c>
      <c r="M65" t="n">
        <v>0</v>
      </c>
      <c r="N65" t="n">
        <v>0</v>
      </c>
      <c r="O65" t="n">
        <v>0</v>
      </c>
      <c r="P65" t="n">
        <v>0</v>
      </c>
      <c r="Q65" t="n">
        <v>1</v>
      </c>
      <c r="R65" s="2" t="inlineStr">
        <is>
          <t>Kattfotslav</t>
        </is>
      </c>
      <c r="S65">
        <f>HYPERLINK("https://klasma.github.io/Logging_1765/artfynd/A 12257-2024 artfynd.xlsx", "A 12257-2024")</f>
        <v/>
      </c>
      <c r="T65">
        <f>HYPERLINK("https://klasma.github.io/Logging_1765/kartor/A 12257-2024 karta.png", "A 12257-2024")</f>
        <v/>
      </c>
      <c r="V65">
        <f>HYPERLINK("https://klasma.github.io/Logging_1765/klagomål/A 12257-2024 FSC-klagomål.docx", "A 12257-2024")</f>
        <v/>
      </c>
      <c r="W65">
        <f>HYPERLINK("https://klasma.github.io/Logging_1765/klagomålsmail/A 12257-2024 FSC-klagomål mail.docx", "A 12257-2024")</f>
        <v/>
      </c>
      <c r="X65">
        <f>HYPERLINK("https://klasma.github.io/Logging_1765/tillsyn/A 12257-2024 tillsynsbegäran.docx", "A 12257-2024")</f>
        <v/>
      </c>
      <c r="Y65">
        <f>HYPERLINK("https://klasma.github.io/Logging_1765/tillsynsmail/A 12257-2024 tillsynsbegäran mail.docx", "A 12257-2024")</f>
        <v/>
      </c>
    </row>
    <row r="66" ht="15" customHeight="1">
      <c r="A66" t="inlineStr">
        <is>
          <t>A 27726-2024</t>
        </is>
      </c>
      <c r="B66" s="1" t="n">
        <v>45475</v>
      </c>
      <c r="C66" s="1" t="n">
        <v>45512</v>
      </c>
      <c r="D66" t="inlineStr">
        <is>
          <t>VÄRMLANDS LÄN</t>
        </is>
      </c>
      <c r="E66" t="inlineStr">
        <is>
          <t>ÅRJÄNG</t>
        </is>
      </c>
      <c r="G66" t="n">
        <v>4.6</v>
      </c>
      <c r="H66" t="n">
        <v>0</v>
      </c>
      <c r="I66" t="n">
        <v>0</v>
      </c>
      <c r="J66" t="n">
        <v>0</v>
      </c>
      <c r="K66" t="n">
        <v>1</v>
      </c>
      <c r="L66" t="n">
        <v>0</v>
      </c>
      <c r="M66" t="n">
        <v>0</v>
      </c>
      <c r="N66" t="n">
        <v>0</v>
      </c>
      <c r="O66" t="n">
        <v>1</v>
      </c>
      <c r="P66" t="n">
        <v>1</v>
      </c>
      <c r="Q66" t="n">
        <v>1</v>
      </c>
      <c r="R66" s="2" t="inlineStr">
        <is>
          <t>Slåttergubbe</t>
        </is>
      </c>
      <c r="S66">
        <f>HYPERLINK("https://klasma.github.io/Logging_1765/artfynd/A 27726-2024 artfynd.xlsx", "A 27726-2024")</f>
        <v/>
      </c>
      <c r="T66">
        <f>HYPERLINK("https://klasma.github.io/Logging_1765/kartor/A 27726-2024 karta.png", "A 27726-2024")</f>
        <v/>
      </c>
      <c r="V66">
        <f>HYPERLINK("https://klasma.github.io/Logging_1765/klagomål/A 27726-2024 FSC-klagomål.docx", "A 27726-2024")</f>
        <v/>
      </c>
      <c r="W66">
        <f>HYPERLINK("https://klasma.github.io/Logging_1765/klagomålsmail/A 27726-2024 FSC-klagomål mail.docx", "A 27726-2024")</f>
        <v/>
      </c>
      <c r="X66">
        <f>HYPERLINK("https://klasma.github.io/Logging_1765/tillsyn/A 27726-2024 tillsynsbegäran.docx", "A 27726-2024")</f>
        <v/>
      </c>
      <c r="Y66">
        <f>HYPERLINK("https://klasma.github.io/Logging_1765/tillsynsmail/A 27726-2024 tillsynsbegäran mail.docx", "A 27726-2024")</f>
        <v/>
      </c>
    </row>
    <row r="67" ht="15" customHeight="1">
      <c r="A67" t="inlineStr">
        <is>
          <t>A 28792-2024</t>
        </is>
      </c>
      <c r="B67" s="1" t="n">
        <v>45478</v>
      </c>
      <c r="C67" s="1" t="n">
        <v>45512</v>
      </c>
      <c r="D67" t="inlineStr">
        <is>
          <t>VÄRMLANDS LÄN</t>
        </is>
      </c>
      <c r="E67" t="inlineStr">
        <is>
          <t>ÅRJÄNG</t>
        </is>
      </c>
      <c r="F67" t="inlineStr">
        <is>
          <t>Bergvik skog väst AB</t>
        </is>
      </c>
      <c r="G67" t="n">
        <v>3.5</v>
      </c>
      <c r="H67" t="n">
        <v>1</v>
      </c>
      <c r="I67" t="n">
        <v>0</v>
      </c>
      <c r="J67" t="n">
        <v>1</v>
      </c>
      <c r="K67" t="n">
        <v>0</v>
      </c>
      <c r="L67" t="n">
        <v>0</v>
      </c>
      <c r="M67" t="n">
        <v>0</v>
      </c>
      <c r="N67" t="n">
        <v>0</v>
      </c>
      <c r="O67" t="n">
        <v>1</v>
      </c>
      <c r="P67" t="n">
        <v>0</v>
      </c>
      <c r="Q67" t="n">
        <v>1</v>
      </c>
      <c r="R67" s="2" t="inlineStr">
        <is>
          <t>Utter</t>
        </is>
      </c>
      <c r="S67">
        <f>HYPERLINK("https://klasma.github.io/Logging_1765/artfynd/A 28792-2024 artfynd.xlsx", "A 28792-2024")</f>
        <v/>
      </c>
      <c r="T67">
        <f>HYPERLINK("https://klasma.github.io/Logging_1765/kartor/A 28792-2024 karta.png", "A 28792-2024")</f>
        <v/>
      </c>
      <c r="V67">
        <f>HYPERLINK("https://klasma.github.io/Logging_1765/klagomål/A 28792-2024 FSC-klagomål.docx", "A 28792-2024")</f>
        <v/>
      </c>
      <c r="W67">
        <f>HYPERLINK("https://klasma.github.io/Logging_1765/klagomålsmail/A 28792-2024 FSC-klagomål mail.docx", "A 28792-2024")</f>
        <v/>
      </c>
      <c r="X67">
        <f>HYPERLINK("https://klasma.github.io/Logging_1765/tillsyn/A 28792-2024 tillsynsbegäran.docx", "A 28792-2024")</f>
        <v/>
      </c>
      <c r="Y67">
        <f>HYPERLINK("https://klasma.github.io/Logging_1765/tillsynsmail/A 28792-2024 tillsynsbegäran mail.docx", "A 28792-2024")</f>
        <v/>
      </c>
    </row>
    <row r="68" ht="15" customHeight="1">
      <c r="A68" t="inlineStr">
        <is>
          <t>A 17652-2019</t>
        </is>
      </c>
      <c r="B68" s="1" t="n">
        <v>43556</v>
      </c>
      <c r="C68" s="1" t="n">
        <v>45512</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18103-2019</t>
        </is>
      </c>
      <c r="B69" s="1" t="n">
        <v>43558</v>
      </c>
      <c r="C69" s="1" t="n">
        <v>45512</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18332-2019</t>
        </is>
      </c>
      <c r="B70" s="1" t="n">
        <v>43559</v>
      </c>
      <c r="C70" s="1" t="n">
        <v>45512</v>
      </c>
      <c r="D70" t="inlineStr">
        <is>
          <t>VÄRMLANDS LÄN</t>
        </is>
      </c>
      <c r="E70" t="inlineStr">
        <is>
          <t>ÅRJÄNG</t>
        </is>
      </c>
      <c r="G70" t="n">
        <v>8.199999999999999</v>
      </c>
      <c r="H70" t="n">
        <v>0</v>
      </c>
      <c r="I70" t="n">
        <v>0</v>
      </c>
      <c r="J70" t="n">
        <v>0</v>
      </c>
      <c r="K70" t="n">
        <v>0</v>
      </c>
      <c r="L70" t="n">
        <v>0</v>
      </c>
      <c r="M70" t="n">
        <v>0</v>
      </c>
      <c r="N70" t="n">
        <v>0</v>
      </c>
      <c r="O70" t="n">
        <v>0</v>
      </c>
      <c r="P70" t="n">
        <v>0</v>
      </c>
      <c r="Q70" t="n">
        <v>0</v>
      </c>
      <c r="R70" s="2" t="inlineStr"/>
    </row>
    <row r="71" ht="15" customHeight="1">
      <c r="A71" t="inlineStr">
        <is>
          <t>A 18830-2019</t>
        </is>
      </c>
      <c r="B71" s="1" t="n">
        <v>43560</v>
      </c>
      <c r="C71" s="1" t="n">
        <v>45512</v>
      </c>
      <c r="D71" t="inlineStr">
        <is>
          <t>VÄRMLANDS LÄN</t>
        </is>
      </c>
      <c r="E71" t="inlineStr">
        <is>
          <t>ÅRJÄNG</t>
        </is>
      </c>
      <c r="G71" t="n">
        <v>10.4</v>
      </c>
      <c r="H71" t="n">
        <v>0</v>
      </c>
      <c r="I71" t="n">
        <v>0</v>
      </c>
      <c r="J71" t="n">
        <v>0</v>
      </c>
      <c r="K71" t="n">
        <v>0</v>
      </c>
      <c r="L71" t="n">
        <v>0</v>
      </c>
      <c r="M71" t="n">
        <v>0</v>
      </c>
      <c r="N71" t="n">
        <v>0</v>
      </c>
      <c r="O71" t="n">
        <v>0</v>
      </c>
      <c r="P71" t="n">
        <v>0</v>
      </c>
      <c r="Q71" t="n">
        <v>0</v>
      </c>
      <c r="R71" s="2" t="inlineStr"/>
    </row>
    <row r="72" ht="15" customHeight="1">
      <c r="A72" t="inlineStr">
        <is>
          <t>A 19032-2019</t>
        </is>
      </c>
      <c r="B72" s="1" t="n">
        <v>43563</v>
      </c>
      <c r="C72" s="1" t="n">
        <v>45512</v>
      </c>
      <c r="D72" t="inlineStr">
        <is>
          <t>VÄRMLANDS LÄN</t>
        </is>
      </c>
      <c r="E72" t="inlineStr">
        <is>
          <t>ÅRJÄNG</t>
        </is>
      </c>
      <c r="G72" t="n">
        <v>2.5</v>
      </c>
      <c r="H72" t="n">
        <v>0</v>
      </c>
      <c r="I72" t="n">
        <v>0</v>
      </c>
      <c r="J72" t="n">
        <v>0</v>
      </c>
      <c r="K72" t="n">
        <v>0</v>
      </c>
      <c r="L72" t="n">
        <v>0</v>
      </c>
      <c r="M72" t="n">
        <v>0</v>
      </c>
      <c r="N72" t="n">
        <v>0</v>
      </c>
      <c r="O72" t="n">
        <v>0</v>
      </c>
      <c r="P72" t="n">
        <v>0</v>
      </c>
      <c r="Q72" t="n">
        <v>0</v>
      </c>
      <c r="R72" s="2" t="inlineStr"/>
    </row>
    <row r="73" ht="15" customHeight="1">
      <c r="A73" t="inlineStr">
        <is>
          <t>A 19037-2019</t>
        </is>
      </c>
      <c r="B73" s="1" t="n">
        <v>43563</v>
      </c>
      <c r="C73" s="1" t="n">
        <v>45512</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19039-2019</t>
        </is>
      </c>
      <c r="B74" s="1" t="n">
        <v>43563</v>
      </c>
      <c r="C74" s="1" t="n">
        <v>45512</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19781-2019</t>
        </is>
      </c>
      <c r="B75" s="1" t="n">
        <v>43567</v>
      </c>
      <c r="C75" s="1" t="n">
        <v>45512</v>
      </c>
      <c r="D75" t="inlineStr">
        <is>
          <t>VÄRMLANDS LÄN</t>
        </is>
      </c>
      <c r="E75" t="inlineStr">
        <is>
          <t>ÅRJÄNG</t>
        </is>
      </c>
      <c r="G75" t="n">
        <v>5.4</v>
      </c>
      <c r="H75" t="n">
        <v>0</v>
      </c>
      <c r="I75" t="n">
        <v>0</v>
      </c>
      <c r="J75" t="n">
        <v>0</v>
      </c>
      <c r="K75" t="n">
        <v>0</v>
      </c>
      <c r="L75" t="n">
        <v>0</v>
      </c>
      <c r="M75" t="n">
        <v>0</v>
      </c>
      <c r="N75" t="n">
        <v>0</v>
      </c>
      <c r="O75" t="n">
        <v>0</v>
      </c>
      <c r="P75" t="n">
        <v>0</v>
      </c>
      <c r="Q75" t="n">
        <v>0</v>
      </c>
      <c r="R75" s="2" t="inlineStr"/>
    </row>
    <row r="76" ht="15" customHeight="1">
      <c r="A76" t="inlineStr">
        <is>
          <t>A 19947-2019</t>
        </is>
      </c>
      <c r="B76" s="1" t="n">
        <v>43569</v>
      </c>
      <c r="C76" s="1" t="n">
        <v>45512</v>
      </c>
      <c r="D76" t="inlineStr">
        <is>
          <t>VÄRMLANDS LÄN</t>
        </is>
      </c>
      <c r="E76" t="inlineStr">
        <is>
          <t>ÅRJÄNG</t>
        </is>
      </c>
      <c r="G76" t="n">
        <v>2.9</v>
      </c>
      <c r="H76" t="n">
        <v>0</v>
      </c>
      <c r="I76" t="n">
        <v>0</v>
      </c>
      <c r="J76" t="n">
        <v>0</v>
      </c>
      <c r="K76" t="n">
        <v>0</v>
      </c>
      <c r="L76" t="n">
        <v>0</v>
      </c>
      <c r="M76" t="n">
        <v>0</v>
      </c>
      <c r="N76" t="n">
        <v>0</v>
      </c>
      <c r="O76" t="n">
        <v>0</v>
      </c>
      <c r="P76" t="n">
        <v>0</v>
      </c>
      <c r="Q76" t="n">
        <v>0</v>
      </c>
      <c r="R76" s="2" t="inlineStr"/>
    </row>
    <row r="77" ht="15" customHeight="1">
      <c r="A77" t="inlineStr">
        <is>
          <t>A 20189-2019</t>
        </is>
      </c>
      <c r="B77" s="1" t="n">
        <v>43570</v>
      </c>
      <c r="C77" s="1" t="n">
        <v>45512</v>
      </c>
      <c r="D77" t="inlineStr">
        <is>
          <t>VÄRMLANDS LÄN</t>
        </is>
      </c>
      <c r="E77" t="inlineStr">
        <is>
          <t>ÅRJÄNG</t>
        </is>
      </c>
      <c r="G77" t="n">
        <v>9</v>
      </c>
      <c r="H77" t="n">
        <v>0</v>
      </c>
      <c r="I77" t="n">
        <v>0</v>
      </c>
      <c r="J77" t="n">
        <v>0</v>
      </c>
      <c r="K77" t="n">
        <v>0</v>
      </c>
      <c r="L77" t="n">
        <v>0</v>
      </c>
      <c r="M77" t="n">
        <v>0</v>
      </c>
      <c r="N77" t="n">
        <v>0</v>
      </c>
      <c r="O77" t="n">
        <v>0</v>
      </c>
      <c r="P77" t="n">
        <v>0</v>
      </c>
      <c r="Q77" t="n">
        <v>0</v>
      </c>
      <c r="R77" s="2" t="inlineStr"/>
    </row>
    <row r="78" ht="15" customHeight="1">
      <c r="A78" t="inlineStr">
        <is>
          <t>A 20805-2019</t>
        </is>
      </c>
      <c r="B78" s="1" t="n">
        <v>43573</v>
      </c>
      <c r="C78" s="1" t="n">
        <v>45512</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20807-2019</t>
        </is>
      </c>
      <c r="B79" s="1" t="n">
        <v>43573</v>
      </c>
      <c r="C79" s="1" t="n">
        <v>45512</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21523-2019</t>
        </is>
      </c>
      <c r="B80" s="1" t="n">
        <v>43580</v>
      </c>
      <c r="C80" s="1" t="n">
        <v>45512</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21723-2019</t>
        </is>
      </c>
      <c r="B81" s="1" t="n">
        <v>43581</v>
      </c>
      <c r="C81" s="1" t="n">
        <v>45512</v>
      </c>
      <c r="D81" t="inlineStr">
        <is>
          <t>VÄRMLANDS LÄN</t>
        </is>
      </c>
      <c r="E81" t="inlineStr">
        <is>
          <t>ÅRJÄNG</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21831-2019</t>
        </is>
      </c>
      <c r="B82" s="1" t="n">
        <v>43581</v>
      </c>
      <c r="C82" s="1" t="n">
        <v>45512</v>
      </c>
      <c r="D82" t="inlineStr">
        <is>
          <t>VÄRMLANDS LÄN</t>
        </is>
      </c>
      <c r="E82" t="inlineStr">
        <is>
          <t>ÅRJÄNG</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22116-2019</t>
        </is>
      </c>
      <c r="B83" s="1" t="n">
        <v>43585</v>
      </c>
      <c r="C83" s="1" t="n">
        <v>45512</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22173-2019</t>
        </is>
      </c>
      <c r="B84" s="1" t="n">
        <v>43585</v>
      </c>
      <c r="C84" s="1" t="n">
        <v>45512</v>
      </c>
      <c r="D84" t="inlineStr">
        <is>
          <t>VÄRMLANDS LÄN</t>
        </is>
      </c>
      <c r="E84" t="inlineStr">
        <is>
          <t>ÅRJÄNG</t>
        </is>
      </c>
      <c r="G84" t="n">
        <v>3.5</v>
      </c>
      <c r="H84" t="n">
        <v>0</v>
      </c>
      <c r="I84" t="n">
        <v>0</v>
      </c>
      <c r="J84" t="n">
        <v>0</v>
      </c>
      <c r="K84" t="n">
        <v>0</v>
      </c>
      <c r="L84" t="n">
        <v>0</v>
      </c>
      <c r="M84" t="n">
        <v>0</v>
      </c>
      <c r="N84" t="n">
        <v>0</v>
      </c>
      <c r="O84" t="n">
        <v>0</v>
      </c>
      <c r="P84" t="n">
        <v>0</v>
      </c>
      <c r="Q84" t="n">
        <v>0</v>
      </c>
      <c r="R84" s="2" t="inlineStr"/>
    </row>
    <row r="85" ht="15" customHeight="1">
      <c r="A85" t="inlineStr">
        <is>
          <t>A 22435-2019</t>
        </is>
      </c>
      <c r="B85" s="1" t="n">
        <v>43587</v>
      </c>
      <c r="C85" s="1" t="n">
        <v>45512</v>
      </c>
      <c r="D85" t="inlineStr">
        <is>
          <t>VÄRMLANDS LÄN</t>
        </is>
      </c>
      <c r="E85" t="inlineStr">
        <is>
          <t>ÅRJÄNG</t>
        </is>
      </c>
      <c r="G85" t="n">
        <v>2.1</v>
      </c>
      <c r="H85" t="n">
        <v>0</v>
      </c>
      <c r="I85" t="n">
        <v>0</v>
      </c>
      <c r="J85" t="n">
        <v>0</v>
      </c>
      <c r="K85" t="n">
        <v>0</v>
      </c>
      <c r="L85" t="n">
        <v>0</v>
      </c>
      <c r="M85" t="n">
        <v>0</v>
      </c>
      <c r="N85" t="n">
        <v>0</v>
      </c>
      <c r="O85" t="n">
        <v>0</v>
      </c>
      <c r="P85" t="n">
        <v>0</v>
      </c>
      <c r="Q85" t="n">
        <v>0</v>
      </c>
      <c r="R85" s="2" t="inlineStr"/>
    </row>
    <row r="86" ht="15" customHeight="1">
      <c r="A86" t="inlineStr">
        <is>
          <t>A 23555-2019</t>
        </is>
      </c>
      <c r="B86" s="1" t="n">
        <v>43594</v>
      </c>
      <c r="C86" s="1" t="n">
        <v>45512</v>
      </c>
      <c r="D86" t="inlineStr">
        <is>
          <t>VÄRMLANDS LÄN</t>
        </is>
      </c>
      <c r="E86" t="inlineStr">
        <is>
          <t>ÅRJÄNG</t>
        </is>
      </c>
      <c r="G86" t="n">
        <v>2.3</v>
      </c>
      <c r="H86" t="n">
        <v>0</v>
      </c>
      <c r="I86" t="n">
        <v>0</v>
      </c>
      <c r="J86" t="n">
        <v>0</v>
      </c>
      <c r="K86" t="n">
        <v>0</v>
      </c>
      <c r="L86" t="n">
        <v>0</v>
      </c>
      <c r="M86" t="n">
        <v>0</v>
      </c>
      <c r="N86" t="n">
        <v>0</v>
      </c>
      <c r="O86" t="n">
        <v>0</v>
      </c>
      <c r="P86" t="n">
        <v>0</v>
      </c>
      <c r="Q86" t="n">
        <v>0</v>
      </c>
      <c r="R86" s="2" t="inlineStr"/>
    </row>
    <row r="87" ht="15" customHeight="1">
      <c r="A87" t="inlineStr">
        <is>
          <t>A 23573-2019</t>
        </is>
      </c>
      <c r="B87" s="1" t="n">
        <v>43594</v>
      </c>
      <c r="C87" s="1" t="n">
        <v>45512</v>
      </c>
      <c r="D87" t="inlineStr">
        <is>
          <t>VÄRMLANDS LÄN</t>
        </is>
      </c>
      <c r="E87" t="inlineStr">
        <is>
          <t>ÅRJÄNG</t>
        </is>
      </c>
      <c r="G87" t="n">
        <v>4.9</v>
      </c>
      <c r="H87" t="n">
        <v>0</v>
      </c>
      <c r="I87" t="n">
        <v>0</v>
      </c>
      <c r="J87" t="n">
        <v>0</v>
      </c>
      <c r="K87" t="n">
        <v>0</v>
      </c>
      <c r="L87" t="n">
        <v>0</v>
      </c>
      <c r="M87" t="n">
        <v>0</v>
      </c>
      <c r="N87" t="n">
        <v>0</v>
      </c>
      <c r="O87" t="n">
        <v>0</v>
      </c>
      <c r="P87" t="n">
        <v>0</v>
      </c>
      <c r="Q87" t="n">
        <v>0</v>
      </c>
      <c r="R87" s="2" t="inlineStr"/>
    </row>
    <row r="88" ht="15" customHeight="1">
      <c r="A88" t="inlineStr">
        <is>
          <t>A 23600-2019</t>
        </is>
      </c>
      <c r="B88" s="1" t="n">
        <v>43594</v>
      </c>
      <c r="C88" s="1" t="n">
        <v>45512</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23715-2019</t>
        </is>
      </c>
      <c r="B89" s="1" t="n">
        <v>43594</v>
      </c>
      <c r="C89" s="1" t="n">
        <v>45512</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23716-2019</t>
        </is>
      </c>
      <c r="B90" s="1" t="n">
        <v>43594</v>
      </c>
      <c r="C90" s="1" t="n">
        <v>45512</v>
      </c>
      <c r="D90" t="inlineStr">
        <is>
          <t>VÄRMLANDS LÄN</t>
        </is>
      </c>
      <c r="E90" t="inlineStr">
        <is>
          <t>ÅRJÄNG</t>
        </is>
      </c>
      <c r="G90" t="n">
        <v>4.3</v>
      </c>
      <c r="H90" t="n">
        <v>0</v>
      </c>
      <c r="I90" t="n">
        <v>0</v>
      </c>
      <c r="J90" t="n">
        <v>0</v>
      </c>
      <c r="K90" t="n">
        <v>0</v>
      </c>
      <c r="L90" t="n">
        <v>0</v>
      </c>
      <c r="M90" t="n">
        <v>0</v>
      </c>
      <c r="N90" t="n">
        <v>0</v>
      </c>
      <c r="O90" t="n">
        <v>0</v>
      </c>
      <c r="P90" t="n">
        <v>0</v>
      </c>
      <c r="Q90" t="n">
        <v>0</v>
      </c>
      <c r="R90" s="2" t="inlineStr"/>
    </row>
    <row r="91" ht="15" customHeight="1">
      <c r="A91" t="inlineStr">
        <is>
          <t>A 23570-2019</t>
        </is>
      </c>
      <c r="B91" s="1" t="n">
        <v>43594</v>
      </c>
      <c r="C91" s="1" t="n">
        <v>45512</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24337-2019</t>
        </is>
      </c>
      <c r="B92" s="1" t="n">
        <v>43598</v>
      </c>
      <c r="C92" s="1" t="n">
        <v>45512</v>
      </c>
      <c r="D92" t="inlineStr">
        <is>
          <t>VÄRMLANDS LÄN</t>
        </is>
      </c>
      <c r="E92" t="inlineStr">
        <is>
          <t>ÅRJÄNG</t>
        </is>
      </c>
      <c r="G92" t="n">
        <v>8.1</v>
      </c>
      <c r="H92" t="n">
        <v>0</v>
      </c>
      <c r="I92" t="n">
        <v>0</v>
      </c>
      <c r="J92" t="n">
        <v>0</v>
      </c>
      <c r="K92" t="n">
        <v>0</v>
      </c>
      <c r="L92" t="n">
        <v>0</v>
      </c>
      <c r="M92" t="n">
        <v>0</v>
      </c>
      <c r="N92" t="n">
        <v>0</v>
      </c>
      <c r="O92" t="n">
        <v>0</v>
      </c>
      <c r="P92" t="n">
        <v>0</v>
      </c>
      <c r="Q92" t="n">
        <v>0</v>
      </c>
      <c r="R92" s="2" t="inlineStr"/>
    </row>
    <row r="93" ht="15" customHeight="1">
      <c r="A93" t="inlineStr">
        <is>
          <t>A 24423-2019</t>
        </is>
      </c>
      <c r="B93" s="1" t="n">
        <v>43599</v>
      </c>
      <c r="C93" s="1" t="n">
        <v>45512</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25469-2019</t>
        </is>
      </c>
      <c r="B94" s="1" t="n">
        <v>43606</v>
      </c>
      <c r="C94" s="1" t="n">
        <v>45512</v>
      </c>
      <c r="D94" t="inlineStr">
        <is>
          <t>VÄRMLANDS LÄN</t>
        </is>
      </c>
      <c r="E94" t="inlineStr">
        <is>
          <t>ÅRJÄNG</t>
        </is>
      </c>
      <c r="G94" t="n">
        <v>2.9</v>
      </c>
      <c r="H94" t="n">
        <v>0</v>
      </c>
      <c r="I94" t="n">
        <v>0</v>
      </c>
      <c r="J94" t="n">
        <v>0</v>
      </c>
      <c r="K94" t="n">
        <v>0</v>
      </c>
      <c r="L94" t="n">
        <v>0</v>
      </c>
      <c r="M94" t="n">
        <v>0</v>
      </c>
      <c r="N94" t="n">
        <v>0</v>
      </c>
      <c r="O94" t="n">
        <v>0</v>
      </c>
      <c r="P94" t="n">
        <v>0</v>
      </c>
      <c r="Q94" t="n">
        <v>0</v>
      </c>
      <c r="R94" s="2" t="inlineStr"/>
    </row>
    <row r="95" ht="15" customHeight="1">
      <c r="A95" t="inlineStr">
        <is>
          <t>A 25476-2019</t>
        </is>
      </c>
      <c r="B95" s="1" t="n">
        <v>43606</v>
      </c>
      <c r="C95" s="1" t="n">
        <v>45512</v>
      </c>
      <c r="D95" t="inlineStr">
        <is>
          <t>VÄRMLANDS LÄN</t>
        </is>
      </c>
      <c r="E95" t="inlineStr">
        <is>
          <t>ÅRJÄNG</t>
        </is>
      </c>
      <c r="G95" t="n">
        <v>5.3</v>
      </c>
      <c r="H95" t="n">
        <v>0</v>
      </c>
      <c r="I95" t="n">
        <v>0</v>
      </c>
      <c r="J95" t="n">
        <v>0</v>
      </c>
      <c r="K95" t="n">
        <v>0</v>
      </c>
      <c r="L95" t="n">
        <v>0</v>
      </c>
      <c r="M95" t="n">
        <v>0</v>
      </c>
      <c r="N95" t="n">
        <v>0</v>
      </c>
      <c r="O95" t="n">
        <v>0</v>
      </c>
      <c r="P95" t="n">
        <v>0</v>
      </c>
      <c r="Q95" t="n">
        <v>0</v>
      </c>
      <c r="R95" s="2" t="inlineStr"/>
    </row>
    <row r="96" ht="15" customHeight="1">
      <c r="A96" t="inlineStr">
        <is>
          <t>A 26488-2019</t>
        </is>
      </c>
      <c r="B96" s="1" t="n">
        <v>43606</v>
      </c>
      <c r="C96" s="1" t="n">
        <v>45512</v>
      </c>
      <c r="D96" t="inlineStr">
        <is>
          <t>VÄRMLANDS LÄN</t>
        </is>
      </c>
      <c r="E96" t="inlineStr">
        <is>
          <t>ÅRJÄNG</t>
        </is>
      </c>
      <c r="G96" t="n">
        <v>6.7</v>
      </c>
      <c r="H96" t="n">
        <v>0</v>
      </c>
      <c r="I96" t="n">
        <v>0</v>
      </c>
      <c r="J96" t="n">
        <v>0</v>
      </c>
      <c r="K96" t="n">
        <v>0</v>
      </c>
      <c r="L96" t="n">
        <v>0</v>
      </c>
      <c r="M96" t="n">
        <v>0</v>
      </c>
      <c r="N96" t="n">
        <v>0</v>
      </c>
      <c r="O96" t="n">
        <v>0</v>
      </c>
      <c r="P96" t="n">
        <v>0</v>
      </c>
      <c r="Q96" t="n">
        <v>0</v>
      </c>
      <c r="R96" s="2" t="inlineStr"/>
    </row>
    <row r="97" ht="15" customHeight="1">
      <c r="A97" t="inlineStr">
        <is>
          <t>A 25561-2019</t>
        </is>
      </c>
      <c r="B97" s="1" t="n">
        <v>43607</v>
      </c>
      <c r="C97" s="1" t="n">
        <v>45512</v>
      </c>
      <c r="D97" t="inlineStr">
        <is>
          <t>VÄRMLANDS LÄN</t>
        </is>
      </c>
      <c r="E97" t="inlineStr">
        <is>
          <t>ÅRJÄNG</t>
        </is>
      </c>
      <c r="G97" t="n">
        <v>6.3</v>
      </c>
      <c r="H97" t="n">
        <v>0</v>
      </c>
      <c r="I97" t="n">
        <v>0</v>
      </c>
      <c r="J97" t="n">
        <v>0</v>
      </c>
      <c r="K97" t="n">
        <v>0</v>
      </c>
      <c r="L97" t="n">
        <v>0</v>
      </c>
      <c r="M97" t="n">
        <v>0</v>
      </c>
      <c r="N97" t="n">
        <v>0</v>
      </c>
      <c r="O97" t="n">
        <v>0</v>
      </c>
      <c r="P97" t="n">
        <v>0</v>
      </c>
      <c r="Q97" t="n">
        <v>0</v>
      </c>
      <c r="R97" s="2" t="inlineStr"/>
    </row>
    <row r="98" ht="15" customHeight="1">
      <c r="A98" t="inlineStr">
        <is>
          <t>A 25750-2019</t>
        </is>
      </c>
      <c r="B98" s="1" t="n">
        <v>43608</v>
      </c>
      <c r="C98" s="1" t="n">
        <v>45512</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27014-2019</t>
        </is>
      </c>
      <c r="B99" s="1" t="n">
        <v>43614</v>
      </c>
      <c r="C99" s="1" t="n">
        <v>45512</v>
      </c>
      <c r="D99" t="inlineStr">
        <is>
          <t>VÄRMLANDS LÄN</t>
        </is>
      </c>
      <c r="E99" t="inlineStr">
        <is>
          <t>ÅRJÄNG</t>
        </is>
      </c>
      <c r="G99" t="n">
        <v>4.6</v>
      </c>
      <c r="H99" t="n">
        <v>0</v>
      </c>
      <c r="I99" t="n">
        <v>0</v>
      </c>
      <c r="J99" t="n">
        <v>0</v>
      </c>
      <c r="K99" t="n">
        <v>0</v>
      </c>
      <c r="L99" t="n">
        <v>0</v>
      </c>
      <c r="M99" t="n">
        <v>0</v>
      </c>
      <c r="N99" t="n">
        <v>0</v>
      </c>
      <c r="O99" t="n">
        <v>0</v>
      </c>
      <c r="P99" t="n">
        <v>0</v>
      </c>
      <c r="Q99" t="n">
        <v>0</v>
      </c>
      <c r="R99" s="2" t="inlineStr"/>
    </row>
    <row r="100" ht="15" customHeight="1">
      <c r="A100" t="inlineStr">
        <is>
          <t>A 28727-2019</t>
        </is>
      </c>
      <c r="B100" s="1" t="n">
        <v>43614</v>
      </c>
      <c r="C100" s="1" t="n">
        <v>45512</v>
      </c>
      <c r="D100" t="inlineStr">
        <is>
          <t>VÄRMLANDS LÄN</t>
        </is>
      </c>
      <c r="E100" t="inlineStr">
        <is>
          <t>ÅRJÄNG</t>
        </is>
      </c>
      <c r="G100" t="n">
        <v>6.3</v>
      </c>
      <c r="H100" t="n">
        <v>0</v>
      </c>
      <c r="I100" t="n">
        <v>0</v>
      </c>
      <c r="J100" t="n">
        <v>0</v>
      </c>
      <c r="K100" t="n">
        <v>0</v>
      </c>
      <c r="L100" t="n">
        <v>0</v>
      </c>
      <c r="M100" t="n">
        <v>0</v>
      </c>
      <c r="N100" t="n">
        <v>0</v>
      </c>
      <c r="O100" t="n">
        <v>0</v>
      </c>
      <c r="P100" t="n">
        <v>0</v>
      </c>
      <c r="Q100" t="n">
        <v>0</v>
      </c>
      <c r="R100" s="2" t="inlineStr"/>
    </row>
    <row r="101" ht="15" customHeight="1">
      <c r="A101" t="inlineStr">
        <is>
          <t>A 27470-2019</t>
        </is>
      </c>
      <c r="B101" s="1" t="n">
        <v>43619</v>
      </c>
      <c r="C101" s="1" t="n">
        <v>45512</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28047-2019</t>
        </is>
      </c>
      <c r="B102" s="1" t="n">
        <v>43621</v>
      </c>
      <c r="C102" s="1" t="n">
        <v>45512</v>
      </c>
      <c r="D102" t="inlineStr">
        <is>
          <t>VÄRMLANDS LÄN</t>
        </is>
      </c>
      <c r="E102" t="inlineStr">
        <is>
          <t>ÅRJÄNG</t>
        </is>
      </c>
      <c r="G102" t="n">
        <v>2.2</v>
      </c>
      <c r="H102" t="n">
        <v>0</v>
      </c>
      <c r="I102" t="n">
        <v>0</v>
      </c>
      <c r="J102" t="n">
        <v>0</v>
      </c>
      <c r="K102" t="n">
        <v>0</v>
      </c>
      <c r="L102" t="n">
        <v>0</v>
      </c>
      <c r="M102" t="n">
        <v>0</v>
      </c>
      <c r="N102" t="n">
        <v>0</v>
      </c>
      <c r="O102" t="n">
        <v>0</v>
      </c>
      <c r="P102" t="n">
        <v>0</v>
      </c>
      <c r="Q102" t="n">
        <v>0</v>
      </c>
      <c r="R102" s="2" t="inlineStr"/>
    </row>
    <row r="103" ht="15" customHeight="1">
      <c r="A103" t="inlineStr">
        <is>
          <t>A 29043-2019</t>
        </is>
      </c>
      <c r="B103" s="1" t="n">
        <v>43621</v>
      </c>
      <c r="C103" s="1" t="n">
        <v>45512</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28865-2019</t>
        </is>
      </c>
      <c r="B104" s="1" t="n">
        <v>43628</v>
      </c>
      <c r="C104" s="1" t="n">
        <v>45512</v>
      </c>
      <c r="D104" t="inlineStr">
        <is>
          <t>VÄRMLANDS LÄN</t>
        </is>
      </c>
      <c r="E104" t="inlineStr">
        <is>
          <t>ÅRJÄNG</t>
        </is>
      </c>
      <c r="G104" t="n">
        <v>1.1</v>
      </c>
      <c r="H104" t="n">
        <v>0</v>
      </c>
      <c r="I104" t="n">
        <v>0</v>
      </c>
      <c r="J104" t="n">
        <v>0</v>
      </c>
      <c r="K104" t="n">
        <v>0</v>
      </c>
      <c r="L104" t="n">
        <v>0</v>
      </c>
      <c r="M104" t="n">
        <v>0</v>
      </c>
      <c r="N104" t="n">
        <v>0</v>
      </c>
      <c r="O104" t="n">
        <v>0</v>
      </c>
      <c r="P104" t="n">
        <v>0</v>
      </c>
      <c r="Q104" t="n">
        <v>0</v>
      </c>
      <c r="R104" s="2" t="inlineStr"/>
    </row>
    <row r="105" ht="15" customHeight="1">
      <c r="A105" t="inlineStr">
        <is>
          <t>A 30035-2019</t>
        </is>
      </c>
      <c r="B105" s="1" t="n">
        <v>43633</v>
      </c>
      <c r="C105" s="1" t="n">
        <v>45512</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31379-2019</t>
        </is>
      </c>
      <c r="B106" s="1" t="n">
        <v>43636</v>
      </c>
      <c r="C106" s="1" t="n">
        <v>45512</v>
      </c>
      <c r="D106" t="inlineStr">
        <is>
          <t>VÄRMLANDS LÄN</t>
        </is>
      </c>
      <c r="E106" t="inlineStr">
        <is>
          <t>ÅRJÄNG</t>
        </is>
      </c>
      <c r="G106" t="n">
        <v>5</v>
      </c>
      <c r="H106" t="n">
        <v>0</v>
      </c>
      <c r="I106" t="n">
        <v>0</v>
      </c>
      <c r="J106" t="n">
        <v>0</v>
      </c>
      <c r="K106" t="n">
        <v>0</v>
      </c>
      <c r="L106" t="n">
        <v>0</v>
      </c>
      <c r="M106" t="n">
        <v>0</v>
      </c>
      <c r="N106" t="n">
        <v>0</v>
      </c>
      <c r="O106" t="n">
        <v>0</v>
      </c>
      <c r="P106" t="n">
        <v>0</v>
      </c>
      <c r="Q106" t="n">
        <v>0</v>
      </c>
      <c r="R106" s="2" t="inlineStr"/>
    </row>
    <row r="107" ht="15" customHeight="1">
      <c r="A107" t="inlineStr">
        <is>
          <t>A 31658-2019</t>
        </is>
      </c>
      <c r="B107" s="1" t="n">
        <v>43642</v>
      </c>
      <c r="C107" s="1" t="n">
        <v>45512</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33915-2019</t>
        </is>
      </c>
      <c r="B108" s="1" t="n">
        <v>43646</v>
      </c>
      <c r="C108" s="1" t="n">
        <v>45512</v>
      </c>
      <c r="D108" t="inlineStr">
        <is>
          <t>VÄRMLANDS LÄN</t>
        </is>
      </c>
      <c r="E108" t="inlineStr">
        <is>
          <t>ÅRJÄNG</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33911-2019</t>
        </is>
      </c>
      <c r="B109" s="1" t="n">
        <v>43646</v>
      </c>
      <c r="C109" s="1" t="n">
        <v>45512</v>
      </c>
      <c r="D109" t="inlineStr">
        <is>
          <t>VÄRMLANDS LÄN</t>
        </is>
      </c>
      <c r="E109" t="inlineStr">
        <is>
          <t>ÅRJÄNG</t>
        </is>
      </c>
      <c r="F109" t="inlineStr">
        <is>
          <t>Övriga Aktiebolag</t>
        </is>
      </c>
      <c r="G109" t="n">
        <v>1.1</v>
      </c>
      <c r="H109" t="n">
        <v>0</v>
      </c>
      <c r="I109" t="n">
        <v>0</v>
      </c>
      <c r="J109" t="n">
        <v>0</v>
      </c>
      <c r="K109" t="n">
        <v>0</v>
      </c>
      <c r="L109" t="n">
        <v>0</v>
      </c>
      <c r="M109" t="n">
        <v>0</v>
      </c>
      <c r="N109" t="n">
        <v>0</v>
      </c>
      <c r="O109" t="n">
        <v>0</v>
      </c>
      <c r="P109" t="n">
        <v>0</v>
      </c>
      <c r="Q109" t="n">
        <v>0</v>
      </c>
      <c r="R109" s="2" t="inlineStr"/>
    </row>
    <row r="110" ht="15" customHeight="1">
      <c r="A110" t="inlineStr">
        <is>
          <t>A 34526-2019</t>
        </is>
      </c>
      <c r="B110" s="1" t="n">
        <v>43647</v>
      </c>
      <c r="C110" s="1" t="n">
        <v>45512</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34646-2019</t>
        </is>
      </c>
      <c r="B111" s="1" t="n">
        <v>43648</v>
      </c>
      <c r="C111" s="1" t="n">
        <v>45512</v>
      </c>
      <c r="D111" t="inlineStr">
        <is>
          <t>VÄRMLANDS LÄN</t>
        </is>
      </c>
      <c r="E111" t="inlineStr">
        <is>
          <t>ÅRJÄNG</t>
        </is>
      </c>
      <c r="G111" t="n">
        <v>0.5</v>
      </c>
      <c r="H111" t="n">
        <v>0</v>
      </c>
      <c r="I111" t="n">
        <v>0</v>
      </c>
      <c r="J111" t="n">
        <v>0</v>
      </c>
      <c r="K111" t="n">
        <v>0</v>
      </c>
      <c r="L111" t="n">
        <v>0</v>
      </c>
      <c r="M111" t="n">
        <v>0</v>
      </c>
      <c r="N111" t="n">
        <v>0</v>
      </c>
      <c r="O111" t="n">
        <v>0</v>
      </c>
      <c r="P111" t="n">
        <v>0</v>
      </c>
      <c r="Q111" t="n">
        <v>0</v>
      </c>
      <c r="R111" s="2" t="inlineStr"/>
    </row>
    <row r="112" ht="15" customHeight="1">
      <c r="A112" t="inlineStr">
        <is>
          <t>A 33132-2019</t>
        </is>
      </c>
      <c r="B112" s="1" t="n">
        <v>43649</v>
      </c>
      <c r="C112" s="1" t="n">
        <v>45512</v>
      </c>
      <c r="D112" t="inlineStr">
        <is>
          <t>VÄRMLANDS LÄN</t>
        </is>
      </c>
      <c r="E112" t="inlineStr">
        <is>
          <t>ÅRJÄNG</t>
        </is>
      </c>
      <c r="G112" t="n">
        <v>2.8</v>
      </c>
      <c r="H112" t="n">
        <v>0</v>
      </c>
      <c r="I112" t="n">
        <v>0</v>
      </c>
      <c r="J112" t="n">
        <v>0</v>
      </c>
      <c r="K112" t="n">
        <v>0</v>
      </c>
      <c r="L112" t="n">
        <v>0</v>
      </c>
      <c r="M112" t="n">
        <v>0</v>
      </c>
      <c r="N112" t="n">
        <v>0</v>
      </c>
      <c r="O112" t="n">
        <v>0</v>
      </c>
      <c r="P112" t="n">
        <v>0</v>
      </c>
      <c r="Q112" t="n">
        <v>0</v>
      </c>
      <c r="R112" s="2" t="inlineStr"/>
    </row>
    <row r="113" ht="15" customHeight="1">
      <c r="A113" t="inlineStr">
        <is>
          <t>A 34762-2019</t>
        </is>
      </c>
      <c r="B113" s="1" t="n">
        <v>43649</v>
      </c>
      <c r="C113" s="1" t="n">
        <v>45512</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33192-2019</t>
        </is>
      </c>
      <c r="B114" s="1" t="n">
        <v>43649</v>
      </c>
      <c r="C114" s="1" t="n">
        <v>45512</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33195-2019</t>
        </is>
      </c>
      <c r="B115" s="1" t="n">
        <v>43649</v>
      </c>
      <c r="C115" s="1" t="n">
        <v>45512</v>
      </c>
      <c r="D115" t="inlineStr">
        <is>
          <t>VÄRMLANDS LÄN</t>
        </is>
      </c>
      <c r="E115" t="inlineStr">
        <is>
          <t>ÅRJÄNG</t>
        </is>
      </c>
      <c r="G115" t="n">
        <v>0.6</v>
      </c>
      <c r="H115" t="n">
        <v>0</v>
      </c>
      <c r="I115" t="n">
        <v>0</v>
      </c>
      <c r="J115" t="n">
        <v>0</v>
      </c>
      <c r="K115" t="n">
        <v>0</v>
      </c>
      <c r="L115" t="n">
        <v>0</v>
      </c>
      <c r="M115" t="n">
        <v>0</v>
      </c>
      <c r="N115" t="n">
        <v>0</v>
      </c>
      <c r="O115" t="n">
        <v>0</v>
      </c>
      <c r="P115" t="n">
        <v>0</v>
      </c>
      <c r="Q115" t="n">
        <v>0</v>
      </c>
      <c r="R115" s="2" t="inlineStr"/>
    </row>
    <row r="116" ht="15" customHeight="1">
      <c r="A116" t="inlineStr">
        <is>
          <t>A 33442-2019</t>
        </is>
      </c>
      <c r="B116" s="1" t="n">
        <v>43650</v>
      </c>
      <c r="C116" s="1" t="n">
        <v>45512</v>
      </c>
      <c r="D116" t="inlineStr">
        <is>
          <t>VÄRMLANDS LÄN</t>
        </is>
      </c>
      <c r="E116" t="inlineStr">
        <is>
          <t>ÅRJÄNG</t>
        </is>
      </c>
      <c r="G116" t="n">
        <v>1.5</v>
      </c>
      <c r="H116" t="n">
        <v>0</v>
      </c>
      <c r="I116" t="n">
        <v>0</v>
      </c>
      <c r="J116" t="n">
        <v>0</v>
      </c>
      <c r="K116" t="n">
        <v>0</v>
      </c>
      <c r="L116" t="n">
        <v>0</v>
      </c>
      <c r="M116" t="n">
        <v>0</v>
      </c>
      <c r="N116" t="n">
        <v>0</v>
      </c>
      <c r="O116" t="n">
        <v>0</v>
      </c>
      <c r="P116" t="n">
        <v>0</v>
      </c>
      <c r="Q116" t="n">
        <v>0</v>
      </c>
      <c r="R116" s="2" t="inlineStr"/>
    </row>
    <row r="117" ht="15" customHeight="1">
      <c r="A117" t="inlineStr">
        <is>
          <t>A 33443-2019</t>
        </is>
      </c>
      <c r="B117" s="1" t="n">
        <v>43650</v>
      </c>
      <c r="C117" s="1" t="n">
        <v>45512</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33870-2019</t>
        </is>
      </c>
      <c r="B118" s="1" t="n">
        <v>43652</v>
      </c>
      <c r="C118" s="1" t="n">
        <v>45512</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33899-2019</t>
        </is>
      </c>
      <c r="B119" s="1" t="n">
        <v>43653</v>
      </c>
      <c r="C119" s="1" t="n">
        <v>45512</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34096-2019</t>
        </is>
      </c>
      <c r="B120" s="1" t="n">
        <v>43654</v>
      </c>
      <c r="C120" s="1" t="n">
        <v>45512</v>
      </c>
      <c r="D120" t="inlineStr">
        <is>
          <t>VÄRMLANDS LÄN</t>
        </is>
      </c>
      <c r="E120" t="inlineStr">
        <is>
          <t>ÅRJÄNG</t>
        </is>
      </c>
      <c r="G120" t="n">
        <v>3.6</v>
      </c>
      <c r="H120" t="n">
        <v>0</v>
      </c>
      <c r="I120" t="n">
        <v>0</v>
      </c>
      <c r="J120" t="n">
        <v>0</v>
      </c>
      <c r="K120" t="n">
        <v>0</v>
      </c>
      <c r="L120" t="n">
        <v>0</v>
      </c>
      <c r="M120" t="n">
        <v>0</v>
      </c>
      <c r="N120" t="n">
        <v>0</v>
      </c>
      <c r="O120" t="n">
        <v>0</v>
      </c>
      <c r="P120" t="n">
        <v>0</v>
      </c>
      <c r="Q120" t="n">
        <v>0</v>
      </c>
      <c r="R120" s="2" t="inlineStr"/>
    </row>
    <row r="121" ht="15" customHeight="1">
      <c r="A121" t="inlineStr">
        <is>
          <t>A 33916-2019</t>
        </is>
      </c>
      <c r="B121" s="1" t="n">
        <v>43654</v>
      </c>
      <c r="C121" s="1" t="n">
        <v>45512</v>
      </c>
      <c r="D121" t="inlineStr">
        <is>
          <t>VÄRMLANDS LÄN</t>
        </is>
      </c>
      <c r="E121" t="inlineStr">
        <is>
          <t>ÅRJÄNG</t>
        </is>
      </c>
      <c r="G121" t="n">
        <v>3.5</v>
      </c>
      <c r="H121" t="n">
        <v>0</v>
      </c>
      <c r="I121" t="n">
        <v>0</v>
      </c>
      <c r="J121" t="n">
        <v>0</v>
      </c>
      <c r="K121" t="n">
        <v>0</v>
      </c>
      <c r="L121" t="n">
        <v>0</v>
      </c>
      <c r="M121" t="n">
        <v>0</v>
      </c>
      <c r="N121" t="n">
        <v>0</v>
      </c>
      <c r="O121" t="n">
        <v>0</v>
      </c>
      <c r="P121" t="n">
        <v>0</v>
      </c>
      <c r="Q121" t="n">
        <v>0</v>
      </c>
      <c r="R121" s="2" t="inlineStr"/>
    </row>
    <row r="122" ht="15" customHeight="1">
      <c r="A122" t="inlineStr">
        <is>
          <t>A 34184-2019</t>
        </is>
      </c>
      <c r="B122" s="1" t="n">
        <v>43655</v>
      </c>
      <c r="C122" s="1" t="n">
        <v>45512</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35680-2019</t>
        </is>
      </c>
      <c r="B123" s="1" t="n">
        <v>43655</v>
      </c>
      <c r="C123" s="1" t="n">
        <v>45512</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36884-2019</t>
        </is>
      </c>
      <c r="B124" s="1" t="n">
        <v>43675</v>
      </c>
      <c r="C124" s="1" t="n">
        <v>45512</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38272-2019</t>
        </is>
      </c>
      <c r="B125" s="1" t="n">
        <v>43684</v>
      </c>
      <c r="C125" s="1" t="n">
        <v>45512</v>
      </c>
      <c r="D125" t="inlineStr">
        <is>
          <t>VÄRMLANDS LÄN</t>
        </is>
      </c>
      <c r="E125" t="inlineStr">
        <is>
          <t>ÅRJÄNG</t>
        </is>
      </c>
      <c r="G125" t="n">
        <v>7.4</v>
      </c>
      <c r="H125" t="n">
        <v>0</v>
      </c>
      <c r="I125" t="n">
        <v>0</v>
      </c>
      <c r="J125" t="n">
        <v>0</v>
      </c>
      <c r="K125" t="n">
        <v>0</v>
      </c>
      <c r="L125" t="n">
        <v>0</v>
      </c>
      <c r="M125" t="n">
        <v>0</v>
      </c>
      <c r="N125" t="n">
        <v>0</v>
      </c>
      <c r="O125" t="n">
        <v>0</v>
      </c>
      <c r="P125" t="n">
        <v>0</v>
      </c>
      <c r="Q125" t="n">
        <v>0</v>
      </c>
      <c r="R125" s="2" t="inlineStr"/>
    </row>
    <row r="126" ht="15" customHeight="1">
      <c r="A126" t="inlineStr">
        <is>
          <t>A 38668-2019</t>
        </is>
      </c>
      <c r="B126" s="1" t="n">
        <v>43684</v>
      </c>
      <c r="C126" s="1" t="n">
        <v>45512</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41334-2019</t>
        </is>
      </c>
      <c r="B127" s="1" t="n">
        <v>43696</v>
      </c>
      <c r="C127" s="1" t="n">
        <v>45512</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41616-2019</t>
        </is>
      </c>
      <c r="B128" s="1" t="n">
        <v>43697</v>
      </c>
      <c r="C128" s="1" t="n">
        <v>45512</v>
      </c>
      <c r="D128" t="inlineStr">
        <is>
          <t>VÄRMLANDS LÄN</t>
        </is>
      </c>
      <c r="E128" t="inlineStr">
        <is>
          <t>ÅRJÄNG</t>
        </is>
      </c>
      <c r="G128" t="n">
        <v>5.5</v>
      </c>
      <c r="H128" t="n">
        <v>0</v>
      </c>
      <c r="I128" t="n">
        <v>0</v>
      </c>
      <c r="J128" t="n">
        <v>0</v>
      </c>
      <c r="K128" t="n">
        <v>0</v>
      </c>
      <c r="L128" t="n">
        <v>0</v>
      </c>
      <c r="M128" t="n">
        <v>0</v>
      </c>
      <c r="N128" t="n">
        <v>0</v>
      </c>
      <c r="O128" t="n">
        <v>0</v>
      </c>
      <c r="P128" t="n">
        <v>0</v>
      </c>
      <c r="Q128" t="n">
        <v>0</v>
      </c>
      <c r="R128" s="2" t="inlineStr"/>
    </row>
    <row r="129" ht="15" customHeight="1">
      <c r="A129" t="inlineStr">
        <is>
          <t>A 41632-2019</t>
        </is>
      </c>
      <c r="B129" s="1" t="n">
        <v>43697</v>
      </c>
      <c r="C129" s="1" t="n">
        <v>45512</v>
      </c>
      <c r="D129" t="inlineStr">
        <is>
          <t>VÄRMLANDS LÄN</t>
        </is>
      </c>
      <c r="E129" t="inlineStr">
        <is>
          <t>ÅRJÄNG</t>
        </is>
      </c>
      <c r="G129" t="n">
        <v>1.7</v>
      </c>
      <c r="H129" t="n">
        <v>0</v>
      </c>
      <c r="I129" t="n">
        <v>0</v>
      </c>
      <c r="J129" t="n">
        <v>0</v>
      </c>
      <c r="K129" t="n">
        <v>0</v>
      </c>
      <c r="L129" t="n">
        <v>0</v>
      </c>
      <c r="M129" t="n">
        <v>0</v>
      </c>
      <c r="N129" t="n">
        <v>0</v>
      </c>
      <c r="O129" t="n">
        <v>0</v>
      </c>
      <c r="P129" t="n">
        <v>0</v>
      </c>
      <c r="Q129" t="n">
        <v>0</v>
      </c>
      <c r="R129" s="2" t="inlineStr"/>
    </row>
    <row r="130" ht="15" customHeight="1">
      <c r="A130" t="inlineStr">
        <is>
          <t>A 41275-2019</t>
        </is>
      </c>
      <c r="B130" s="1" t="n">
        <v>43698</v>
      </c>
      <c r="C130" s="1" t="n">
        <v>45512</v>
      </c>
      <c r="D130" t="inlineStr">
        <is>
          <t>VÄRMLANDS LÄN</t>
        </is>
      </c>
      <c r="E130" t="inlineStr">
        <is>
          <t>ÅRJÄNG</t>
        </is>
      </c>
      <c r="G130" t="n">
        <v>10.1</v>
      </c>
      <c r="H130" t="n">
        <v>0</v>
      </c>
      <c r="I130" t="n">
        <v>0</v>
      </c>
      <c r="J130" t="n">
        <v>0</v>
      </c>
      <c r="K130" t="n">
        <v>0</v>
      </c>
      <c r="L130" t="n">
        <v>0</v>
      </c>
      <c r="M130" t="n">
        <v>0</v>
      </c>
      <c r="N130" t="n">
        <v>0</v>
      </c>
      <c r="O130" t="n">
        <v>0</v>
      </c>
      <c r="P130" t="n">
        <v>0</v>
      </c>
      <c r="Q130" t="n">
        <v>0</v>
      </c>
      <c r="R130" s="2" t="inlineStr"/>
    </row>
    <row r="131" ht="15" customHeight="1">
      <c r="A131" t="inlineStr">
        <is>
          <t>A 41192-2019</t>
        </is>
      </c>
      <c r="B131" s="1" t="n">
        <v>43698</v>
      </c>
      <c r="C131" s="1" t="n">
        <v>45512</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42851-2019</t>
        </is>
      </c>
      <c r="B132" s="1" t="n">
        <v>43699</v>
      </c>
      <c r="C132" s="1" t="n">
        <v>45512</v>
      </c>
      <c r="D132" t="inlineStr">
        <is>
          <t>VÄRMLANDS LÄN</t>
        </is>
      </c>
      <c r="E132" t="inlineStr">
        <is>
          <t>ÅRJÄNG</t>
        </is>
      </c>
      <c r="G132" t="n">
        <v>5.4</v>
      </c>
      <c r="H132" t="n">
        <v>0</v>
      </c>
      <c r="I132" t="n">
        <v>0</v>
      </c>
      <c r="J132" t="n">
        <v>0</v>
      </c>
      <c r="K132" t="n">
        <v>0</v>
      </c>
      <c r="L132" t="n">
        <v>0</v>
      </c>
      <c r="M132" t="n">
        <v>0</v>
      </c>
      <c r="N132" t="n">
        <v>0</v>
      </c>
      <c r="O132" t="n">
        <v>0</v>
      </c>
      <c r="P132" t="n">
        <v>0</v>
      </c>
      <c r="Q132" t="n">
        <v>0</v>
      </c>
      <c r="R132" s="2" t="inlineStr"/>
    </row>
    <row r="133" ht="15" customHeight="1">
      <c r="A133" t="inlineStr">
        <is>
          <t>A 42443-2019</t>
        </is>
      </c>
      <c r="B133" s="1" t="n">
        <v>43699</v>
      </c>
      <c r="C133" s="1" t="n">
        <v>45512</v>
      </c>
      <c r="D133" t="inlineStr">
        <is>
          <t>VÄRMLANDS LÄN</t>
        </is>
      </c>
      <c r="E133" t="inlineStr">
        <is>
          <t>ÅRJÄNG</t>
        </is>
      </c>
      <c r="G133" t="n">
        <v>2.2</v>
      </c>
      <c r="H133" t="n">
        <v>0</v>
      </c>
      <c r="I133" t="n">
        <v>0</v>
      </c>
      <c r="J133" t="n">
        <v>0</v>
      </c>
      <c r="K133" t="n">
        <v>0</v>
      </c>
      <c r="L133" t="n">
        <v>0</v>
      </c>
      <c r="M133" t="n">
        <v>0</v>
      </c>
      <c r="N133" t="n">
        <v>0</v>
      </c>
      <c r="O133" t="n">
        <v>0</v>
      </c>
      <c r="P133" t="n">
        <v>0</v>
      </c>
      <c r="Q133" t="n">
        <v>0</v>
      </c>
      <c r="R133" s="2" t="inlineStr"/>
    </row>
    <row r="134" ht="15" customHeight="1">
      <c r="A134" t="inlineStr">
        <is>
          <t>A 42837-2019</t>
        </is>
      </c>
      <c r="B134" s="1" t="n">
        <v>43699</v>
      </c>
      <c r="C134" s="1" t="n">
        <v>45512</v>
      </c>
      <c r="D134" t="inlineStr">
        <is>
          <t>VÄRMLANDS LÄN</t>
        </is>
      </c>
      <c r="E134" t="inlineStr">
        <is>
          <t>ÅRJÄNG</t>
        </is>
      </c>
      <c r="G134" t="n">
        <v>3</v>
      </c>
      <c r="H134" t="n">
        <v>0</v>
      </c>
      <c r="I134" t="n">
        <v>0</v>
      </c>
      <c r="J134" t="n">
        <v>0</v>
      </c>
      <c r="K134" t="n">
        <v>0</v>
      </c>
      <c r="L134" t="n">
        <v>0</v>
      </c>
      <c r="M134" t="n">
        <v>0</v>
      </c>
      <c r="N134" t="n">
        <v>0</v>
      </c>
      <c r="O134" t="n">
        <v>0</v>
      </c>
      <c r="P134" t="n">
        <v>0</v>
      </c>
      <c r="Q134" t="n">
        <v>0</v>
      </c>
      <c r="R134" s="2" t="inlineStr"/>
    </row>
    <row r="135" ht="15" customHeight="1">
      <c r="A135" t="inlineStr">
        <is>
          <t>A 41989-2019</t>
        </is>
      </c>
      <c r="B135" s="1" t="n">
        <v>43700</v>
      </c>
      <c r="C135" s="1" t="n">
        <v>45512</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41996-2019</t>
        </is>
      </c>
      <c r="B136" s="1" t="n">
        <v>43700</v>
      </c>
      <c r="C136" s="1" t="n">
        <v>45512</v>
      </c>
      <c r="D136" t="inlineStr">
        <is>
          <t>VÄRMLANDS LÄN</t>
        </is>
      </c>
      <c r="E136" t="inlineStr">
        <is>
          <t>ÅRJÄNG</t>
        </is>
      </c>
      <c r="G136" t="n">
        <v>4</v>
      </c>
      <c r="H136" t="n">
        <v>0</v>
      </c>
      <c r="I136" t="n">
        <v>0</v>
      </c>
      <c r="J136" t="n">
        <v>0</v>
      </c>
      <c r="K136" t="n">
        <v>0</v>
      </c>
      <c r="L136" t="n">
        <v>0</v>
      </c>
      <c r="M136" t="n">
        <v>0</v>
      </c>
      <c r="N136" t="n">
        <v>0</v>
      </c>
      <c r="O136" t="n">
        <v>0</v>
      </c>
      <c r="P136" t="n">
        <v>0</v>
      </c>
      <c r="Q136" t="n">
        <v>0</v>
      </c>
      <c r="R136" s="2" t="inlineStr"/>
    </row>
    <row r="137" ht="15" customHeight="1">
      <c r="A137" t="inlineStr">
        <is>
          <t>A 42853-2019</t>
        </is>
      </c>
      <c r="B137" s="1" t="n">
        <v>43700</v>
      </c>
      <c r="C137" s="1" t="n">
        <v>45512</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42284-2019</t>
        </is>
      </c>
      <c r="B138" s="1" t="n">
        <v>43703</v>
      </c>
      <c r="C138" s="1" t="n">
        <v>45512</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43137-2019</t>
        </is>
      </c>
      <c r="B139" s="1" t="n">
        <v>43703</v>
      </c>
      <c r="C139" s="1" t="n">
        <v>45512</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43141-2019</t>
        </is>
      </c>
      <c r="B140" s="1" t="n">
        <v>43703</v>
      </c>
      <c r="C140" s="1" t="n">
        <v>45512</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42904-2019</t>
        </is>
      </c>
      <c r="B141" s="1" t="n">
        <v>43705</v>
      </c>
      <c r="C141" s="1" t="n">
        <v>45512</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44380-2019</t>
        </is>
      </c>
      <c r="B142" s="1" t="n">
        <v>43705</v>
      </c>
      <c r="C142" s="1" t="n">
        <v>45512</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44375-2019</t>
        </is>
      </c>
      <c r="B143" s="1" t="n">
        <v>43705</v>
      </c>
      <c r="C143" s="1" t="n">
        <v>45512</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44367-2019</t>
        </is>
      </c>
      <c r="B144" s="1" t="n">
        <v>43705</v>
      </c>
      <c r="C144" s="1" t="n">
        <v>45512</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43927-2019</t>
        </is>
      </c>
      <c r="B145" s="1" t="n">
        <v>43707</v>
      </c>
      <c r="C145" s="1" t="n">
        <v>45512</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43910-2019</t>
        </is>
      </c>
      <c r="B146" s="1" t="n">
        <v>43707</v>
      </c>
      <c r="C146" s="1" t="n">
        <v>45512</v>
      </c>
      <c r="D146" t="inlineStr">
        <is>
          <t>VÄRMLANDS LÄN</t>
        </is>
      </c>
      <c r="E146" t="inlineStr">
        <is>
          <t>ÅRJÄNG</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43643-2019</t>
        </is>
      </c>
      <c r="B147" s="1" t="n">
        <v>43707</v>
      </c>
      <c r="C147" s="1" t="n">
        <v>45512</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44069-2019</t>
        </is>
      </c>
      <c r="B148" s="1" t="n">
        <v>43710</v>
      </c>
      <c r="C148" s="1" t="n">
        <v>45512</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44594-2019</t>
        </is>
      </c>
      <c r="B149" s="1" t="n">
        <v>43711</v>
      </c>
      <c r="C149" s="1" t="n">
        <v>45512</v>
      </c>
      <c r="D149" t="inlineStr">
        <is>
          <t>VÄRMLANDS LÄN</t>
        </is>
      </c>
      <c r="E149" t="inlineStr">
        <is>
          <t>ÅRJÄNG</t>
        </is>
      </c>
      <c r="G149" t="n">
        <v>1.9</v>
      </c>
      <c r="H149" t="n">
        <v>0</v>
      </c>
      <c r="I149" t="n">
        <v>0</v>
      </c>
      <c r="J149" t="n">
        <v>0</v>
      </c>
      <c r="K149" t="n">
        <v>0</v>
      </c>
      <c r="L149" t="n">
        <v>0</v>
      </c>
      <c r="M149" t="n">
        <v>0</v>
      </c>
      <c r="N149" t="n">
        <v>0</v>
      </c>
      <c r="O149" t="n">
        <v>0</v>
      </c>
      <c r="P149" t="n">
        <v>0</v>
      </c>
      <c r="Q149" t="n">
        <v>0</v>
      </c>
      <c r="R149" s="2" t="inlineStr"/>
    </row>
    <row r="150" ht="15" customHeight="1">
      <c r="A150" t="inlineStr">
        <is>
          <t>A 46799-2019</t>
        </is>
      </c>
      <c r="B150" s="1" t="n">
        <v>43718</v>
      </c>
      <c r="C150" s="1" t="n">
        <v>45512</v>
      </c>
      <c r="D150" t="inlineStr">
        <is>
          <t>VÄRMLANDS LÄN</t>
        </is>
      </c>
      <c r="E150" t="inlineStr">
        <is>
          <t>ÅRJÄNG</t>
        </is>
      </c>
      <c r="F150" t="inlineStr">
        <is>
          <t>Övriga Aktiebolag</t>
        </is>
      </c>
      <c r="G150" t="n">
        <v>2.5</v>
      </c>
      <c r="H150" t="n">
        <v>0</v>
      </c>
      <c r="I150" t="n">
        <v>0</v>
      </c>
      <c r="J150" t="n">
        <v>0</v>
      </c>
      <c r="K150" t="n">
        <v>0</v>
      </c>
      <c r="L150" t="n">
        <v>0</v>
      </c>
      <c r="M150" t="n">
        <v>0</v>
      </c>
      <c r="N150" t="n">
        <v>0</v>
      </c>
      <c r="O150" t="n">
        <v>0</v>
      </c>
      <c r="P150" t="n">
        <v>0</v>
      </c>
      <c r="Q150" t="n">
        <v>0</v>
      </c>
      <c r="R150" s="2" t="inlineStr"/>
    </row>
    <row r="151" ht="15" customHeight="1">
      <c r="A151" t="inlineStr">
        <is>
          <t>A 47272-2019</t>
        </is>
      </c>
      <c r="B151" s="1" t="n">
        <v>43721</v>
      </c>
      <c r="C151" s="1" t="n">
        <v>45512</v>
      </c>
      <c r="D151" t="inlineStr">
        <is>
          <t>VÄRMLANDS LÄN</t>
        </is>
      </c>
      <c r="E151" t="inlineStr">
        <is>
          <t>ÅRJÄNG</t>
        </is>
      </c>
      <c r="G151" t="n">
        <v>2.4</v>
      </c>
      <c r="H151" t="n">
        <v>0</v>
      </c>
      <c r="I151" t="n">
        <v>0</v>
      </c>
      <c r="J151" t="n">
        <v>0</v>
      </c>
      <c r="K151" t="n">
        <v>0</v>
      </c>
      <c r="L151" t="n">
        <v>0</v>
      </c>
      <c r="M151" t="n">
        <v>0</v>
      </c>
      <c r="N151" t="n">
        <v>0</v>
      </c>
      <c r="O151" t="n">
        <v>0</v>
      </c>
      <c r="P151" t="n">
        <v>0</v>
      </c>
      <c r="Q151" t="n">
        <v>0</v>
      </c>
      <c r="R151" s="2" t="inlineStr"/>
    </row>
    <row r="152" ht="15" customHeight="1">
      <c r="A152" t="inlineStr">
        <is>
          <t>A 47147-2019</t>
        </is>
      </c>
      <c r="B152" s="1" t="n">
        <v>43721</v>
      </c>
      <c r="C152" s="1" t="n">
        <v>45512</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47620-2019</t>
        </is>
      </c>
      <c r="B153" s="1" t="n">
        <v>43724</v>
      </c>
      <c r="C153" s="1" t="n">
        <v>45512</v>
      </c>
      <c r="D153" t="inlineStr">
        <is>
          <t>VÄRMLANDS LÄN</t>
        </is>
      </c>
      <c r="E153" t="inlineStr">
        <is>
          <t>ÅRJÄNG</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49041-2019</t>
        </is>
      </c>
      <c r="B154" s="1" t="n">
        <v>43727</v>
      </c>
      <c r="C154" s="1" t="n">
        <v>45512</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48844-2019</t>
        </is>
      </c>
      <c r="B155" s="1" t="n">
        <v>43727</v>
      </c>
      <c r="C155" s="1" t="n">
        <v>45512</v>
      </c>
      <c r="D155" t="inlineStr">
        <is>
          <t>VÄRMLANDS LÄN</t>
        </is>
      </c>
      <c r="E155" t="inlineStr">
        <is>
          <t>ÅRJÄNG</t>
        </is>
      </c>
      <c r="G155" t="n">
        <v>2.7</v>
      </c>
      <c r="H155" t="n">
        <v>0</v>
      </c>
      <c r="I155" t="n">
        <v>0</v>
      </c>
      <c r="J155" t="n">
        <v>0</v>
      </c>
      <c r="K155" t="n">
        <v>0</v>
      </c>
      <c r="L155" t="n">
        <v>0</v>
      </c>
      <c r="M155" t="n">
        <v>0</v>
      </c>
      <c r="N155" t="n">
        <v>0</v>
      </c>
      <c r="O155" t="n">
        <v>0</v>
      </c>
      <c r="P155" t="n">
        <v>0</v>
      </c>
      <c r="Q155" t="n">
        <v>0</v>
      </c>
      <c r="R155" s="2" t="inlineStr"/>
    </row>
    <row r="156" ht="15" customHeight="1">
      <c r="A156" t="inlineStr">
        <is>
          <t>A 48857-2019</t>
        </is>
      </c>
      <c r="B156" s="1" t="n">
        <v>43727</v>
      </c>
      <c r="C156" s="1" t="n">
        <v>45512</v>
      </c>
      <c r="D156" t="inlineStr">
        <is>
          <t>VÄRMLANDS LÄN</t>
        </is>
      </c>
      <c r="E156" t="inlineStr">
        <is>
          <t>ÅRJÄNG</t>
        </is>
      </c>
      <c r="G156" t="n">
        <v>5.1</v>
      </c>
      <c r="H156" t="n">
        <v>0</v>
      </c>
      <c r="I156" t="n">
        <v>0</v>
      </c>
      <c r="J156" t="n">
        <v>0</v>
      </c>
      <c r="K156" t="n">
        <v>0</v>
      </c>
      <c r="L156" t="n">
        <v>0</v>
      </c>
      <c r="M156" t="n">
        <v>0</v>
      </c>
      <c r="N156" t="n">
        <v>0</v>
      </c>
      <c r="O156" t="n">
        <v>0</v>
      </c>
      <c r="P156" t="n">
        <v>0</v>
      </c>
      <c r="Q156" t="n">
        <v>0</v>
      </c>
      <c r="R156" s="2" t="inlineStr"/>
    </row>
    <row r="157" ht="15" customHeight="1">
      <c r="A157" t="inlineStr">
        <is>
          <t>A 48925-2019</t>
        </is>
      </c>
      <c r="B157" s="1" t="n">
        <v>43728</v>
      </c>
      <c r="C157" s="1" t="n">
        <v>45512</v>
      </c>
      <c r="D157" t="inlineStr">
        <is>
          <t>VÄRMLANDS LÄN</t>
        </is>
      </c>
      <c r="E157" t="inlineStr">
        <is>
          <t>ÅRJÄNG</t>
        </is>
      </c>
      <c r="G157" t="n">
        <v>6.8</v>
      </c>
      <c r="H157" t="n">
        <v>0</v>
      </c>
      <c r="I157" t="n">
        <v>0</v>
      </c>
      <c r="J157" t="n">
        <v>0</v>
      </c>
      <c r="K157" t="n">
        <v>0</v>
      </c>
      <c r="L157" t="n">
        <v>0</v>
      </c>
      <c r="M157" t="n">
        <v>0</v>
      </c>
      <c r="N157" t="n">
        <v>0</v>
      </c>
      <c r="O157" t="n">
        <v>0</v>
      </c>
      <c r="P157" t="n">
        <v>0</v>
      </c>
      <c r="Q157" t="n">
        <v>0</v>
      </c>
      <c r="R157" s="2" t="inlineStr"/>
    </row>
    <row r="158" ht="15" customHeight="1">
      <c r="A158" t="inlineStr">
        <is>
          <t>A 49577-2019</t>
        </is>
      </c>
      <c r="B158" s="1" t="n">
        <v>43730</v>
      </c>
      <c r="C158" s="1" t="n">
        <v>45512</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50482-2019</t>
        </is>
      </c>
      <c r="B159" s="1" t="n">
        <v>43731</v>
      </c>
      <c r="C159" s="1" t="n">
        <v>45512</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49650-2019</t>
        </is>
      </c>
      <c r="B160" s="1" t="n">
        <v>43732</v>
      </c>
      <c r="C160" s="1" t="n">
        <v>45512</v>
      </c>
      <c r="D160" t="inlineStr">
        <is>
          <t>VÄRMLANDS LÄN</t>
        </is>
      </c>
      <c r="E160" t="inlineStr">
        <is>
          <t>ÅRJÄNG</t>
        </is>
      </c>
      <c r="G160" t="n">
        <v>7.5</v>
      </c>
      <c r="H160" t="n">
        <v>0</v>
      </c>
      <c r="I160" t="n">
        <v>0</v>
      </c>
      <c r="J160" t="n">
        <v>0</v>
      </c>
      <c r="K160" t="n">
        <v>0</v>
      </c>
      <c r="L160" t="n">
        <v>0</v>
      </c>
      <c r="M160" t="n">
        <v>0</v>
      </c>
      <c r="N160" t="n">
        <v>0</v>
      </c>
      <c r="O160" t="n">
        <v>0</v>
      </c>
      <c r="P160" t="n">
        <v>0</v>
      </c>
      <c r="Q160" t="n">
        <v>0</v>
      </c>
      <c r="R160" s="2" t="inlineStr"/>
    </row>
    <row r="161" ht="15" customHeight="1">
      <c r="A161" t="inlineStr">
        <is>
          <t>A 50057-2019</t>
        </is>
      </c>
      <c r="B161" s="1" t="n">
        <v>43734</v>
      </c>
      <c r="C161" s="1" t="n">
        <v>45512</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51725-2019</t>
        </is>
      </c>
      <c r="B162" s="1" t="n">
        <v>43734</v>
      </c>
      <c r="C162" s="1" t="n">
        <v>45512</v>
      </c>
      <c r="D162" t="inlineStr">
        <is>
          <t>VÄRMLANDS LÄN</t>
        </is>
      </c>
      <c r="E162" t="inlineStr">
        <is>
          <t>ÅRJÄNG</t>
        </is>
      </c>
      <c r="G162" t="n">
        <v>8.4</v>
      </c>
      <c r="H162" t="n">
        <v>0</v>
      </c>
      <c r="I162" t="n">
        <v>0</v>
      </c>
      <c r="J162" t="n">
        <v>0</v>
      </c>
      <c r="K162" t="n">
        <v>0</v>
      </c>
      <c r="L162" t="n">
        <v>0</v>
      </c>
      <c r="M162" t="n">
        <v>0</v>
      </c>
      <c r="N162" t="n">
        <v>0</v>
      </c>
      <c r="O162" t="n">
        <v>0</v>
      </c>
      <c r="P162" t="n">
        <v>0</v>
      </c>
      <c r="Q162" t="n">
        <v>0</v>
      </c>
      <c r="R162" s="2" t="inlineStr"/>
    </row>
    <row r="163" ht="15" customHeight="1">
      <c r="A163" t="inlineStr">
        <is>
          <t>A 51613-2019</t>
        </is>
      </c>
      <c r="B163" s="1" t="n">
        <v>43740</v>
      </c>
      <c r="C163" s="1" t="n">
        <v>45512</v>
      </c>
      <c r="D163" t="inlineStr">
        <is>
          <t>VÄRMLANDS LÄN</t>
        </is>
      </c>
      <c r="E163" t="inlineStr">
        <is>
          <t>ÅRJÄNG</t>
        </is>
      </c>
      <c r="G163" t="n">
        <v>2</v>
      </c>
      <c r="H163" t="n">
        <v>0</v>
      </c>
      <c r="I163" t="n">
        <v>0</v>
      </c>
      <c r="J163" t="n">
        <v>0</v>
      </c>
      <c r="K163" t="n">
        <v>0</v>
      </c>
      <c r="L163" t="n">
        <v>0</v>
      </c>
      <c r="M163" t="n">
        <v>0</v>
      </c>
      <c r="N163" t="n">
        <v>0</v>
      </c>
      <c r="O163" t="n">
        <v>0</v>
      </c>
      <c r="P163" t="n">
        <v>0</v>
      </c>
      <c r="Q163" t="n">
        <v>0</v>
      </c>
      <c r="R163" s="2" t="inlineStr"/>
    </row>
    <row r="164" ht="15" customHeight="1">
      <c r="A164" t="inlineStr">
        <is>
          <t>A 51609-2019</t>
        </is>
      </c>
      <c r="B164" s="1" t="n">
        <v>43740</v>
      </c>
      <c r="C164" s="1" t="n">
        <v>45512</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51633-2019</t>
        </is>
      </c>
      <c r="B165" s="1" t="n">
        <v>43740</v>
      </c>
      <c r="C165" s="1" t="n">
        <v>45512</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53599-2019</t>
        </is>
      </c>
      <c r="B166" s="1" t="n">
        <v>43741</v>
      </c>
      <c r="C166" s="1" t="n">
        <v>45512</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54015-2019</t>
        </is>
      </c>
      <c r="B167" s="1" t="n">
        <v>43742</v>
      </c>
      <c r="C167" s="1" t="n">
        <v>45512</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54599-2019</t>
        </is>
      </c>
      <c r="B168" s="1" t="n">
        <v>43748</v>
      </c>
      <c r="C168" s="1" t="n">
        <v>45512</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53651-2019</t>
        </is>
      </c>
      <c r="B169" s="1" t="n">
        <v>43749</v>
      </c>
      <c r="C169" s="1" t="n">
        <v>45512</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56060-2019</t>
        </is>
      </c>
      <c r="B170" s="1" t="n">
        <v>43759</v>
      </c>
      <c r="C170" s="1" t="n">
        <v>45512</v>
      </c>
      <c r="D170" t="inlineStr">
        <is>
          <t>VÄRMLANDS LÄN</t>
        </is>
      </c>
      <c r="E170" t="inlineStr">
        <is>
          <t>ÅRJÄNG</t>
        </is>
      </c>
      <c r="F170" t="inlineStr">
        <is>
          <t>Bergvik skog väst AB</t>
        </is>
      </c>
      <c r="G170" t="n">
        <v>10.2</v>
      </c>
      <c r="H170" t="n">
        <v>0</v>
      </c>
      <c r="I170" t="n">
        <v>0</v>
      </c>
      <c r="J170" t="n">
        <v>0</v>
      </c>
      <c r="K170" t="n">
        <v>0</v>
      </c>
      <c r="L170" t="n">
        <v>0</v>
      </c>
      <c r="M170" t="n">
        <v>0</v>
      </c>
      <c r="N170" t="n">
        <v>0</v>
      </c>
      <c r="O170" t="n">
        <v>0</v>
      </c>
      <c r="P170" t="n">
        <v>0</v>
      </c>
      <c r="Q170" t="n">
        <v>0</v>
      </c>
      <c r="R170" s="2" t="inlineStr"/>
    </row>
    <row r="171" ht="15" customHeight="1">
      <c r="A171" t="inlineStr">
        <is>
          <t>A 56331-2019</t>
        </is>
      </c>
      <c r="B171" s="1" t="n">
        <v>43762</v>
      </c>
      <c r="C171" s="1" t="n">
        <v>45512</v>
      </c>
      <c r="D171" t="inlineStr">
        <is>
          <t>VÄRMLANDS LÄN</t>
        </is>
      </c>
      <c r="E171" t="inlineStr">
        <is>
          <t>ÅRJÄNG</t>
        </is>
      </c>
      <c r="G171" t="n">
        <v>3.1</v>
      </c>
      <c r="H171" t="n">
        <v>0</v>
      </c>
      <c r="I171" t="n">
        <v>0</v>
      </c>
      <c r="J171" t="n">
        <v>0</v>
      </c>
      <c r="K171" t="n">
        <v>0</v>
      </c>
      <c r="L171" t="n">
        <v>0</v>
      </c>
      <c r="M171" t="n">
        <v>0</v>
      </c>
      <c r="N171" t="n">
        <v>0</v>
      </c>
      <c r="O171" t="n">
        <v>0</v>
      </c>
      <c r="P171" t="n">
        <v>0</v>
      </c>
      <c r="Q171" t="n">
        <v>0</v>
      </c>
      <c r="R171" s="2" t="inlineStr"/>
    </row>
    <row r="172" ht="15" customHeight="1">
      <c r="A172" t="inlineStr">
        <is>
          <t>A 56298-2019</t>
        </is>
      </c>
      <c r="B172" s="1" t="n">
        <v>43762</v>
      </c>
      <c r="C172" s="1" t="n">
        <v>45512</v>
      </c>
      <c r="D172" t="inlineStr">
        <is>
          <t>VÄRMLANDS LÄN</t>
        </is>
      </c>
      <c r="E172" t="inlineStr">
        <is>
          <t>ÅRJÄNG</t>
        </is>
      </c>
      <c r="G172" t="n">
        <v>5.9</v>
      </c>
      <c r="H172" t="n">
        <v>0</v>
      </c>
      <c r="I172" t="n">
        <v>0</v>
      </c>
      <c r="J172" t="n">
        <v>0</v>
      </c>
      <c r="K172" t="n">
        <v>0</v>
      </c>
      <c r="L172" t="n">
        <v>0</v>
      </c>
      <c r="M172" t="n">
        <v>0</v>
      </c>
      <c r="N172" t="n">
        <v>0</v>
      </c>
      <c r="O172" t="n">
        <v>0</v>
      </c>
      <c r="P172" t="n">
        <v>0</v>
      </c>
      <c r="Q172" t="n">
        <v>0</v>
      </c>
      <c r="R172" s="2" t="inlineStr"/>
    </row>
    <row r="173" ht="15" customHeight="1">
      <c r="A173" t="inlineStr">
        <is>
          <t>A 56329-2019</t>
        </is>
      </c>
      <c r="B173" s="1" t="n">
        <v>43762</v>
      </c>
      <c r="C173" s="1" t="n">
        <v>45512</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57003-2019</t>
        </is>
      </c>
      <c r="B174" s="1" t="n">
        <v>43766</v>
      </c>
      <c r="C174" s="1" t="n">
        <v>45512</v>
      </c>
      <c r="D174" t="inlineStr">
        <is>
          <t>VÄRMLANDS LÄN</t>
        </is>
      </c>
      <c r="E174" t="inlineStr">
        <is>
          <t>ÅRJÄNG</t>
        </is>
      </c>
      <c r="G174" t="n">
        <v>2.6</v>
      </c>
      <c r="H174" t="n">
        <v>0</v>
      </c>
      <c r="I174" t="n">
        <v>0</v>
      </c>
      <c r="J174" t="n">
        <v>0</v>
      </c>
      <c r="K174" t="n">
        <v>0</v>
      </c>
      <c r="L174" t="n">
        <v>0</v>
      </c>
      <c r="M174" t="n">
        <v>0</v>
      </c>
      <c r="N174" t="n">
        <v>0</v>
      </c>
      <c r="O174" t="n">
        <v>0</v>
      </c>
      <c r="P174" t="n">
        <v>0</v>
      </c>
      <c r="Q174" t="n">
        <v>0</v>
      </c>
      <c r="R174" s="2" t="inlineStr"/>
    </row>
    <row r="175" ht="15" customHeight="1">
      <c r="A175" t="inlineStr">
        <is>
          <t>A 59037-2019</t>
        </is>
      </c>
      <c r="B175" s="1" t="n">
        <v>43768</v>
      </c>
      <c r="C175" s="1" t="n">
        <v>45512</v>
      </c>
      <c r="D175" t="inlineStr">
        <is>
          <t>VÄRMLANDS LÄN</t>
        </is>
      </c>
      <c r="E175" t="inlineStr">
        <is>
          <t>ÅRJÄNG</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57888-2019</t>
        </is>
      </c>
      <c r="B176" s="1" t="n">
        <v>43769</v>
      </c>
      <c r="C176" s="1" t="n">
        <v>45512</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58221-2019</t>
        </is>
      </c>
      <c r="B177" s="1" t="n">
        <v>43770</v>
      </c>
      <c r="C177" s="1" t="n">
        <v>45512</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60029-2019</t>
        </is>
      </c>
      <c r="B178" s="1" t="n">
        <v>43776</v>
      </c>
      <c r="C178" s="1" t="n">
        <v>45512</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61167-2019</t>
        </is>
      </c>
      <c r="B179" s="1" t="n">
        <v>43782</v>
      </c>
      <c r="C179" s="1" t="n">
        <v>45512</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63210-2019</t>
        </is>
      </c>
      <c r="B180" s="1" t="n">
        <v>43791</v>
      </c>
      <c r="C180" s="1" t="n">
        <v>45512</v>
      </c>
      <c r="D180" t="inlineStr">
        <is>
          <t>VÄRMLANDS LÄN</t>
        </is>
      </c>
      <c r="E180" t="inlineStr">
        <is>
          <t>ÅRJÄNG</t>
        </is>
      </c>
      <c r="G180" t="n">
        <v>2.1</v>
      </c>
      <c r="H180" t="n">
        <v>0</v>
      </c>
      <c r="I180" t="n">
        <v>0</v>
      </c>
      <c r="J180" t="n">
        <v>0</v>
      </c>
      <c r="K180" t="n">
        <v>0</v>
      </c>
      <c r="L180" t="n">
        <v>0</v>
      </c>
      <c r="M180" t="n">
        <v>0</v>
      </c>
      <c r="N180" t="n">
        <v>0</v>
      </c>
      <c r="O180" t="n">
        <v>0</v>
      </c>
      <c r="P180" t="n">
        <v>0</v>
      </c>
      <c r="Q180" t="n">
        <v>0</v>
      </c>
      <c r="R180" s="2" t="inlineStr"/>
    </row>
    <row r="181" ht="15" customHeight="1">
      <c r="A181" t="inlineStr">
        <is>
          <t>A 66267-2019</t>
        </is>
      </c>
      <c r="B181" s="1" t="n">
        <v>43802</v>
      </c>
      <c r="C181" s="1" t="n">
        <v>45512</v>
      </c>
      <c r="D181" t="inlineStr">
        <is>
          <t>VÄRMLANDS LÄN</t>
        </is>
      </c>
      <c r="E181" t="inlineStr">
        <is>
          <t>ÅRJÄNG</t>
        </is>
      </c>
      <c r="G181" t="n">
        <v>2.5</v>
      </c>
      <c r="H181" t="n">
        <v>0</v>
      </c>
      <c r="I181" t="n">
        <v>0</v>
      </c>
      <c r="J181" t="n">
        <v>0</v>
      </c>
      <c r="K181" t="n">
        <v>0</v>
      </c>
      <c r="L181" t="n">
        <v>0</v>
      </c>
      <c r="M181" t="n">
        <v>0</v>
      </c>
      <c r="N181" t="n">
        <v>0</v>
      </c>
      <c r="O181" t="n">
        <v>0</v>
      </c>
      <c r="P181" t="n">
        <v>0</v>
      </c>
      <c r="Q181" t="n">
        <v>0</v>
      </c>
      <c r="R181" s="2" t="inlineStr"/>
    </row>
    <row r="182" ht="15" customHeight="1">
      <c r="A182" t="inlineStr">
        <is>
          <t>A 65609-2019</t>
        </is>
      </c>
      <c r="B182" s="1" t="n">
        <v>43804</v>
      </c>
      <c r="C182" s="1" t="n">
        <v>45512</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68795-2019</t>
        </is>
      </c>
      <c r="B183" s="1" t="n">
        <v>43815</v>
      </c>
      <c r="C183" s="1" t="n">
        <v>45512</v>
      </c>
      <c r="D183" t="inlineStr">
        <is>
          <t>VÄRMLANDS LÄN</t>
        </is>
      </c>
      <c r="E183" t="inlineStr">
        <is>
          <t>ÅRJÄNG</t>
        </is>
      </c>
      <c r="G183" t="n">
        <v>2.9</v>
      </c>
      <c r="H183" t="n">
        <v>0</v>
      </c>
      <c r="I183" t="n">
        <v>0</v>
      </c>
      <c r="J183" t="n">
        <v>0</v>
      </c>
      <c r="K183" t="n">
        <v>0</v>
      </c>
      <c r="L183" t="n">
        <v>0</v>
      </c>
      <c r="M183" t="n">
        <v>0</v>
      </c>
      <c r="N183" t="n">
        <v>0</v>
      </c>
      <c r="O183" t="n">
        <v>0</v>
      </c>
      <c r="P183" t="n">
        <v>0</v>
      </c>
      <c r="Q183" t="n">
        <v>0</v>
      </c>
      <c r="R183" s="2" t="inlineStr"/>
    </row>
    <row r="184" ht="15" customHeight="1">
      <c r="A184" t="inlineStr">
        <is>
          <t>A 68643-2019</t>
        </is>
      </c>
      <c r="B184" s="1" t="n">
        <v>43819</v>
      </c>
      <c r="C184" s="1" t="n">
        <v>45512</v>
      </c>
      <c r="D184" t="inlineStr">
        <is>
          <t>VÄRMLANDS LÄN</t>
        </is>
      </c>
      <c r="E184" t="inlineStr">
        <is>
          <t>ÅRJÄNG</t>
        </is>
      </c>
      <c r="G184" t="n">
        <v>2.8</v>
      </c>
      <c r="H184" t="n">
        <v>0</v>
      </c>
      <c r="I184" t="n">
        <v>0</v>
      </c>
      <c r="J184" t="n">
        <v>0</v>
      </c>
      <c r="K184" t="n">
        <v>0</v>
      </c>
      <c r="L184" t="n">
        <v>0</v>
      </c>
      <c r="M184" t="n">
        <v>0</v>
      </c>
      <c r="N184" t="n">
        <v>0</v>
      </c>
      <c r="O184" t="n">
        <v>0</v>
      </c>
      <c r="P184" t="n">
        <v>0</v>
      </c>
      <c r="Q184" t="n">
        <v>0</v>
      </c>
      <c r="R184" s="2" t="inlineStr"/>
    </row>
    <row r="185" ht="15" customHeight="1">
      <c r="A185" t="inlineStr">
        <is>
          <t>A 68639-2019</t>
        </is>
      </c>
      <c r="B185" s="1" t="n">
        <v>43819</v>
      </c>
      <c r="C185" s="1" t="n">
        <v>45512</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1386-2020</t>
        </is>
      </c>
      <c r="B186" s="1" t="n">
        <v>43822</v>
      </c>
      <c r="C186" s="1" t="n">
        <v>45512</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1392-2020</t>
        </is>
      </c>
      <c r="B187" s="1" t="n">
        <v>43822</v>
      </c>
      <c r="C187" s="1" t="n">
        <v>45512</v>
      </c>
      <c r="D187" t="inlineStr">
        <is>
          <t>VÄRMLANDS LÄN</t>
        </is>
      </c>
      <c r="E187" t="inlineStr">
        <is>
          <t>ÅRJÄNG</t>
        </is>
      </c>
      <c r="G187" t="n">
        <v>8</v>
      </c>
      <c r="H187" t="n">
        <v>0</v>
      </c>
      <c r="I187" t="n">
        <v>0</v>
      </c>
      <c r="J187" t="n">
        <v>0</v>
      </c>
      <c r="K187" t="n">
        <v>0</v>
      </c>
      <c r="L187" t="n">
        <v>0</v>
      </c>
      <c r="M187" t="n">
        <v>0</v>
      </c>
      <c r="N187" t="n">
        <v>0</v>
      </c>
      <c r="O187" t="n">
        <v>0</v>
      </c>
      <c r="P187" t="n">
        <v>0</v>
      </c>
      <c r="Q187" t="n">
        <v>0</v>
      </c>
      <c r="R187" s="2" t="inlineStr"/>
    </row>
    <row r="188" ht="15" customHeight="1">
      <c r="A188" t="inlineStr">
        <is>
          <t>A 200-2020</t>
        </is>
      </c>
      <c r="B188" s="1" t="n">
        <v>43833</v>
      </c>
      <c r="C188" s="1" t="n">
        <v>45512</v>
      </c>
      <c r="D188" t="inlineStr">
        <is>
          <t>VÄRMLANDS LÄN</t>
        </is>
      </c>
      <c r="E188" t="inlineStr">
        <is>
          <t>ÅRJÄNG</t>
        </is>
      </c>
      <c r="G188" t="n">
        <v>7.3</v>
      </c>
      <c r="H188" t="n">
        <v>0</v>
      </c>
      <c r="I188" t="n">
        <v>0</v>
      </c>
      <c r="J188" t="n">
        <v>0</v>
      </c>
      <c r="K188" t="n">
        <v>0</v>
      </c>
      <c r="L188" t="n">
        <v>0</v>
      </c>
      <c r="M188" t="n">
        <v>0</v>
      </c>
      <c r="N188" t="n">
        <v>0</v>
      </c>
      <c r="O188" t="n">
        <v>0</v>
      </c>
      <c r="P188" t="n">
        <v>0</v>
      </c>
      <c r="Q188" t="n">
        <v>0</v>
      </c>
      <c r="R188" s="2" t="inlineStr"/>
    </row>
    <row r="189" ht="15" customHeight="1">
      <c r="A189" t="inlineStr">
        <is>
          <t>A 1460-2020</t>
        </is>
      </c>
      <c r="B189" s="1" t="n">
        <v>43843</v>
      </c>
      <c r="C189" s="1" t="n">
        <v>45512</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2910-2020</t>
        </is>
      </c>
      <c r="B190" s="1" t="n">
        <v>43843</v>
      </c>
      <c r="C190" s="1" t="n">
        <v>45512</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2918-2020</t>
        </is>
      </c>
      <c r="B191" s="1" t="n">
        <v>43843</v>
      </c>
      <c r="C191" s="1" t="n">
        <v>45512</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2392-2020</t>
        </is>
      </c>
      <c r="B192" s="1" t="n">
        <v>43847</v>
      </c>
      <c r="C192" s="1" t="n">
        <v>45512</v>
      </c>
      <c r="D192" t="inlineStr">
        <is>
          <t>VÄRMLANDS LÄN</t>
        </is>
      </c>
      <c r="E192" t="inlineStr">
        <is>
          <t>ÅRJÄNG</t>
        </is>
      </c>
      <c r="G192" t="n">
        <v>3.3</v>
      </c>
      <c r="H192" t="n">
        <v>0</v>
      </c>
      <c r="I192" t="n">
        <v>0</v>
      </c>
      <c r="J192" t="n">
        <v>0</v>
      </c>
      <c r="K192" t="n">
        <v>0</v>
      </c>
      <c r="L192" t="n">
        <v>0</v>
      </c>
      <c r="M192" t="n">
        <v>0</v>
      </c>
      <c r="N192" t="n">
        <v>0</v>
      </c>
      <c r="O192" t="n">
        <v>0</v>
      </c>
      <c r="P192" t="n">
        <v>0</v>
      </c>
      <c r="Q192" t="n">
        <v>0</v>
      </c>
      <c r="R192" s="2" t="inlineStr"/>
    </row>
    <row r="193" ht="15" customHeight="1">
      <c r="A193" t="inlineStr">
        <is>
          <t>A 2437-2020</t>
        </is>
      </c>
      <c r="B193" s="1" t="n">
        <v>43847</v>
      </c>
      <c r="C193" s="1" t="n">
        <v>45512</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2389-2020</t>
        </is>
      </c>
      <c r="B194" s="1" t="n">
        <v>43847</v>
      </c>
      <c r="C194" s="1" t="n">
        <v>45512</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2388-2020</t>
        </is>
      </c>
      <c r="B195" s="1" t="n">
        <v>43847</v>
      </c>
      <c r="C195" s="1" t="n">
        <v>45512</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2657-2020</t>
        </is>
      </c>
      <c r="B196" s="1" t="n">
        <v>43848</v>
      </c>
      <c r="C196" s="1" t="n">
        <v>45512</v>
      </c>
      <c r="D196" t="inlineStr">
        <is>
          <t>VÄRMLANDS LÄN</t>
        </is>
      </c>
      <c r="E196" t="inlineStr">
        <is>
          <t>ÅRJÄNG</t>
        </is>
      </c>
      <c r="G196" t="n">
        <v>2.4</v>
      </c>
      <c r="H196" t="n">
        <v>0</v>
      </c>
      <c r="I196" t="n">
        <v>0</v>
      </c>
      <c r="J196" t="n">
        <v>0</v>
      </c>
      <c r="K196" t="n">
        <v>0</v>
      </c>
      <c r="L196" t="n">
        <v>0</v>
      </c>
      <c r="M196" t="n">
        <v>0</v>
      </c>
      <c r="N196" t="n">
        <v>0</v>
      </c>
      <c r="O196" t="n">
        <v>0</v>
      </c>
      <c r="P196" t="n">
        <v>0</v>
      </c>
      <c r="Q196" t="n">
        <v>0</v>
      </c>
      <c r="R196" s="2" t="inlineStr"/>
    </row>
    <row r="197" ht="15" customHeight="1">
      <c r="A197" t="inlineStr">
        <is>
          <t>A 2656-2020</t>
        </is>
      </c>
      <c r="B197" s="1" t="n">
        <v>43848</v>
      </c>
      <c r="C197" s="1" t="n">
        <v>45512</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3394-2020</t>
        </is>
      </c>
      <c r="B198" s="1" t="n">
        <v>43852</v>
      </c>
      <c r="C198" s="1" t="n">
        <v>45512</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3316-2020</t>
        </is>
      </c>
      <c r="B199" s="1" t="n">
        <v>43852</v>
      </c>
      <c r="C199" s="1" t="n">
        <v>45512</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3323-2020</t>
        </is>
      </c>
      <c r="B200" s="1" t="n">
        <v>43852</v>
      </c>
      <c r="C200" s="1" t="n">
        <v>45512</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3351-2020</t>
        </is>
      </c>
      <c r="B201" s="1" t="n">
        <v>43852</v>
      </c>
      <c r="C201" s="1" t="n">
        <v>45512</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3388-2020</t>
        </is>
      </c>
      <c r="B202" s="1" t="n">
        <v>43852</v>
      </c>
      <c r="C202" s="1" t="n">
        <v>45512</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5787-2020</t>
        </is>
      </c>
      <c r="B203" s="1" t="n">
        <v>43861</v>
      </c>
      <c r="C203" s="1" t="n">
        <v>45512</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5797-2020</t>
        </is>
      </c>
      <c r="B204" s="1" t="n">
        <v>43861</v>
      </c>
      <c r="C204" s="1" t="n">
        <v>45512</v>
      </c>
      <c r="D204" t="inlineStr">
        <is>
          <t>VÄRMLANDS LÄN</t>
        </is>
      </c>
      <c r="E204" t="inlineStr">
        <is>
          <t>ÅRJÄNG</t>
        </is>
      </c>
      <c r="G204" t="n">
        <v>4.7</v>
      </c>
      <c r="H204" t="n">
        <v>0</v>
      </c>
      <c r="I204" t="n">
        <v>0</v>
      </c>
      <c r="J204" t="n">
        <v>0</v>
      </c>
      <c r="K204" t="n">
        <v>0</v>
      </c>
      <c r="L204" t="n">
        <v>0</v>
      </c>
      <c r="M204" t="n">
        <v>0</v>
      </c>
      <c r="N204" t="n">
        <v>0</v>
      </c>
      <c r="O204" t="n">
        <v>0</v>
      </c>
      <c r="P204" t="n">
        <v>0</v>
      </c>
      <c r="Q204" t="n">
        <v>0</v>
      </c>
      <c r="R204" s="2" t="inlineStr"/>
    </row>
    <row r="205" ht="15" customHeight="1">
      <c r="A205" t="inlineStr">
        <is>
          <t>A 5783-2020</t>
        </is>
      </c>
      <c r="B205" s="1" t="n">
        <v>43861</v>
      </c>
      <c r="C205" s="1" t="n">
        <v>45512</v>
      </c>
      <c r="D205" t="inlineStr">
        <is>
          <t>VÄRMLANDS LÄN</t>
        </is>
      </c>
      <c r="E205" t="inlineStr">
        <is>
          <t>ÅRJÄNG</t>
        </is>
      </c>
      <c r="G205" t="n">
        <v>2.1</v>
      </c>
      <c r="H205" t="n">
        <v>0</v>
      </c>
      <c r="I205" t="n">
        <v>0</v>
      </c>
      <c r="J205" t="n">
        <v>0</v>
      </c>
      <c r="K205" t="n">
        <v>0</v>
      </c>
      <c r="L205" t="n">
        <v>0</v>
      </c>
      <c r="M205" t="n">
        <v>0</v>
      </c>
      <c r="N205" t="n">
        <v>0</v>
      </c>
      <c r="O205" t="n">
        <v>0</v>
      </c>
      <c r="P205" t="n">
        <v>0</v>
      </c>
      <c r="Q205" t="n">
        <v>0</v>
      </c>
      <c r="R205" s="2" t="inlineStr"/>
    </row>
    <row r="206" ht="15" customHeight="1">
      <c r="A206" t="inlineStr">
        <is>
          <t>A 5796-2020</t>
        </is>
      </c>
      <c r="B206" s="1" t="n">
        <v>43861</v>
      </c>
      <c r="C206" s="1" t="n">
        <v>45512</v>
      </c>
      <c r="D206" t="inlineStr">
        <is>
          <t>VÄRMLANDS LÄN</t>
        </is>
      </c>
      <c r="E206" t="inlineStr">
        <is>
          <t>ÅRJÄNG</t>
        </is>
      </c>
      <c r="G206" t="n">
        <v>4.2</v>
      </c>
      <c r="H206" t="n">
        <v>0</v>
      </c>
      <c r="I206" t="n">
        <v>0</v>
      </c>
      <c r="J206" t="n">
        <v>0</v>
      </c>
      <c r="K206" t="n">
        <v>0</v>
      </c>
      <c r="L206" t="n">
        <v>0</v>
      </c>
      <c r="M206" t="n">
        <v>0</v>
      </c>
      <c r="N206" t="n">
        <v>0</v>
      </c>
      <c r="O206" t="n">
        <v>0</v>
      </c>
      <c r="P206" t="n">
        <v>0</v>
      </c>
      <c r="Q206" t="n">
        <v>0</v>
      </c>
      <c r="R206" s="2" t="inlineStr"/>
    </row>
    <row r="207" ht="15" customHeight="1">
      <c r="A207" t="inlineStr">
        <is>
          <t>A 5794-2020</t>
        </is>
      </c>
      <c r="B207" s="1" t="n">
        <v>43861</v>
      </c>
      <c r="C207" s="1" t="n">
        <v>45512</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5793-2020</t>
        </is>
      </c>
      <c r="B208" s="1" t="n">
        <v>43861</v>
      </c>
      <c r="C208" s="1" t="n">
        <v>45512</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6426-2020</t>
        </is>
      </c>
      <c r="B209" s="1" t="n">
        <v>43866</v>
      </c>
      <c r="C209" s="1" t="n">
        <v>45512</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6961-2020</t>
        </is>
      </c>
      <c r="B210" s="1" t="n">
        <v>43868</v>
      </c>
      <c r="C210" s="1" t="n">
        <v>45512</v>
      </c>
      <c r="D210" t="inlineStr">
        <is>
          <t>VÄRMLANDS LÄN</t>
        </is>
      </c>
      <c r="E210" t="inlineStr">
        <is>
          <t>ÅRJÄNG</t>
        </is>
      </c>
      <c r="G210" t="n">
        <v>9.9</v>
      </c>
      <c r="H210" t="n">
        <v>0</v>
      </c>
      <c r="I210" t="n">
        <v>0</v>
      </c>
      <c r="J210" t="n">
        <v>0</v>
      </c>
      <c r="K210" t="n">
        <v>0</v>
      </c>
      <c r="L210" t="n">
        <v>0</v>
      </c>
      <c r="M210" t="n">
        <v>0</v>
      </c>
      <c r="N210" t="n">
        <v>0</v>
      </c>
      <c r="O210" t="n">
        <v>0</v>
      </c>
      <c r="P210" t="n">
        <v>0</v>
      </c>
      <c r="Q210" t="n">
        <v>0</v>
      </c>
      <c r="R210" s="2" t="inlineStr"/>
    </row>
    <row r="211" ht="15" customHeight="1">
      <c r="A211" t="inlineStr">
        <is>
          <t>A 7232-2020</t>
        </is>
      </c>
      <c r="B211" s="1" t="n">
        <v>43868</v>
      </c>
      <c r="C211" s="1" t="n">
        <v>45512</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7524-2020</t>
        </is>
      </c>
      <c r="B212" s="1" t="n">
        <v>43872</v>
      </c>
      <c r="C212" s="1" t="n">
        <v>45512</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7960-2020</t>
        </is>
      </c>
      <c r="B213" s="1" t="n">
        <v>43873</v>
      </c>
      <c r="C213" s="1" t="n">
        <v>45512</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8288-2020</t>
        </is>
      </c>
      <c r="B214" s="1" t="n">
        <v>43874</v>
      </c>
      <c r="C214" s="1" t="n">
        <v>45512</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8652-2020</t>
        </is>
      </c>
      <c r="B215" s="1" t="n">
        <v>43878</v>
      </c>
      <c r="C215" s="1" t="n">
        <v>45512</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8657-2020</t>
        </is>
      </c>
      <c r="B216" s="1" t="n">
        <v>43878</v>
      </c>
      <c r="C216" s="1" t="n">
        <v>45512</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8749-2020</t>
        </is>
      </c>
      <c r="B217" s="1" t="n">
        <v>43878</v>
      </c>
      <c r="C217" s="1" t="n">
        <v>45512</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9203-2020</t>
        </is>
      </c>
      <c r="B218" s="1" t="n">
        <v>43879</v>
      </c>
      <c r="C218" s="1" t="n">
        <v>45512</v>
      </c>
      <c r="D218" t="inlineStr">
        <is>
          <t>VÄRMLANDS LÄN</t>
        </is>
      </c>
      <c r="E218" t="inlineStr">
        <is>
          <t>ÅRJÄNG</t>
        </is>
      </c>
      <c r="G218" t="n">
        <v>3.6</v>
      </c>
      <c r="H218" t="n">
        <v>0</v>
      </c>
      <c r="I218" t="n">
        <v>0</v>
      </c>
      <c r="J218" t="n">
        <v>0</v>
      </c>
      <c r="K218" t="n">
        <v>0</v>
      </c>
      <c r="L218" t="n">
        <v>0</v>
      </c>
      <c r="M218" t="n">
        <v>0</v>
      </c>
      <c r="N218" t="n">
        <v>0</v>
      </c>
      <c r="O218" t="n">
        <v>0</v>
      </c>
      <c r="P218" t="n">
        <v>0</v>
      </c>
      <c r="Q218" t="n">
        <v>0</v>
      </c>
      <c r="R218" s="2" t="inlineStr"/>
    </row>
    <row r="219" ht="15" customHeight="1">
      <c r="A219" t="inlineStr">
        <is>
          <t>A 9242-2020</t>
        </is>
      </c>
      <c r="B219" s="1" t="n">
        <v>43879</v>
      </c>
      <c r="C219" s="1" t="n">
        <v>45512</v>
      </c>
      <c r="D219" t="inlineStr">
        <is>
          <t>VÄRMLANDS LÄN</t>
        </is>
      </c>
      <c r="E219" t="inlineStr">
        <is>
          <t>ÅRJÄNG</t>
        </is>
      </c>
      <c r="G219" t="n">
        <v>5.7</v>
      </c>
      <c r="H219" t="n">
        <v>0</v>
      </c>
      <c r="I219" t="n">
        <v>0</v>
      </c>
      <c r="J219" t="n">
        <v>0</v>
      </c>
      <c r="K219" t="n">
        <v>0</v>
      </c>
      <c r="L219" t="n">
        <v>0</v>
      </c>
      <c r="M219" t="n">
        <v>0</v>
      </c>
      <c r="N219" t="n">
        <v>0</v>
      </c>
      <c r="O219" t="n">
        <v>0</v>
      </c>
      <c r="P219" t="n">
        <v>0</v>
      </c>
      <c r="Q219" t="n">
        <v>0</v>
      </c>
      <c r="R219" s="2" t="inlineStr"/>
    </row>
    <row r="220" ht="15" customHeight="1">
      <c r="A220" t="inlineStr">
        <is>
          <t>A 10183-2020</t>
        </is>
      </c>
      <c r="B220" s="1" t="n">
        <v>43885</v>
      </c>
      <c r="C220" s="1" t="n">
        <v>45512</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10184-2020</t>
        </is>
      </c>
      <c r="B221" s="1" t="n">
        <v>43885</v>
      </c>
      <c r="C221" s="1" t="n">
        <v>45512</v>
      </c>
      <c r="D221" t="inlineStr">
        <is>
          <t>VÄRMLANDS LÄN</t>
        </is>
      </c>
      <c r="E221" t="inlineStr">
        <is>
          <t>ÅRJÄNG</t>
        </is>
      </c>
      <c r="G221" t="n">
        <v>4.1</v>
      </c>
      <c r="H221" t="n">
        <v>0</v>
      </c>
      <c r="I221" t="n">
        <v>0</v>
      </c>
      <c r="J221" t="n">
        <v>0</v>
      </c>
      <c r="K221" t="n">
        <v>0</v>
      </c>
      <c r="L221" t="n">
        <v>0</v>
      </c>
      <c r="M221" t="n">
        <v>0</v>
      </c>
      <c r="N221" t="n">
        <v>0</v>
      </c>
      <c r="O221" t="n">
        <v>0</v>
      </c>
      <c r="P221" t="n">
        <v>0</v>
      </c>
      <c r="Q221" t="n">
        <v>0</v>
      </c>
      <c r="R221" s="2" t="inlineStr"/>
    </row>
    <row r="222" ht="15" customHeight="1">
      <c r="A222" t="inlineStr">
        <is>
          <t>A 10272-2020</t>
        </is>
      </c>
      <c r="B222" s="1" t="n">
        <v>43885</v>
      </c>
      <c r="C222" s="1" t="n">
        <v>45512</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10483-2020</t>
        </is>
      </c>
      <c r="B223" s="1" t="n">
        <v>43886</v>
      </c>
      <c r="C223" s="1" t="n">
        <v>45512</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10420-2020</t>
        </is>
      </c>
      <c r="B224" s="1" t="n">
        <v>43886</v>
      </c>
      <c r="C224" s="1" t="n">
        <v>45512</v>
      </c>
      <c r="D224" t="inlineStr">
        <is>
          <t>VÄRMLANDS LÄN</t>
        </is>
      </c>
      <c r="E224" t="inlineStr">
        <is>
          <t>ÅRJÄNG</t>
        </is>
      </c>
      <c r="G224" t="n">
        <v>4.2</v>
      </c>
      <c r="H224" t="n">
        <v>0</v>
      </c>
      <c r="I224" t="n">
        <v>0</v>
      </c>
      <c r="J224" t="n">
        <v>0</v>
      </c>
      <c r="K224" t="n">
        <v>0</v>
      </c>
      <c r="L224" t="n">
        <v>0</v>
      </c>
      <c r="M224" t="n">
        <v>0</v>
      </c>
      <c r="N224" t="n">
        <v>0</v>
      </c>
      <c r="O224" t="n">
        <v>0</v>
      </c>
      <c r="P224" t="n">
        <v>0</v>
      </c>
      <c r="Q224" t="n">
        <v>0</v>
      </c>
      <c r="R224" s="2" t="inlineStr"/>
    </row>
    <row r="225" ht="15" customHeight="1">
      <c r="A225" t="inlineStr">
        <is>
          <t>A 10538-2020</t>
        </is>
      </c>
      <c r="B225" s="1" t="n">
        <v>43886</v>
      </c>
      <c r="C225" s="1" t="n">
        <v>45512</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10131-2020</t>
        </is>
      </c>
      <c r="B226" s="1" t="n">
        <v>43887</v>
      </c>
      <c r="C226" s="1" t="n">
        <v>45512</v>
      </c>
      <c r="D226" t="inlineStr">
        <is>
          <t>VÄRMLANDS LÄN</t>
        </is>
      </c>
      <c r="E226" t="inlineStr">
        <is>
          <t>ÅRJÄNG</t>
        </is>
      </c>
      <c r="G226" t="n">
        <v>2.4</v>
      </c>
      <c r="H226" t="n">
        <v>0</v>
      </c>
      <c r="I226" t="n">
        <v>0</v>
      </c>
      <c r="J226" t="n">
        <v>0</v>
      </c>
      <c r="K226" t="n">
        <v>0</v>
      </c>
      <c r="L226" t="n">
        <v>0</v>
      </c>
      <c r="M226" t="n">
        <v>0</v>
      </c>
      <c r="N226" t="n">
        <v>0</v>
      </c>
      <c r="O226" t="n">
        <v>0</v>
      </c>
      <c r="P226" t="n">
        <v>0</v>
      </c>
      <c r="Q226" t="n">
        <v>0</v>
      </c>
      <c r="R226" s="2" t="inlineStr"/>
    </row>
    <row r="227" ht="15" customHeight="1">
      <c r="A227" t="inlineStr">
        <is>
          <t>A 10658-2020</t>
        </is>
      </c>
      <c r="B227" s="1" t="n">
        <v>43888</v>
      </c>
      <c r="C227" s="1" t="n">
        <v>45512</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10937-2020</t>
        </is>
      </c>
      <c r="B228" s="1" t="n">
        <v>43889</v>
      </c>
      <c r="C228" s="1" t="n">
        <v>45512</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11206-2020</t>
        </is>
      </c>
      <c r="B229" s="1" t="n">
        <v>43892</v>
      </c>
      <c r="C229" s="1" t="n">
        <v>45512</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12575-2020</t>
        </is>
      </c>
      <c r="B230" s="1" t="n">
        <v>43892</v>
      </c>
      <c r="C230" s="1" t="n">
        <v>45512</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12573-2020</t>
        </is>
      </c>
      <c r="B231" s="1" t="n">
        <v>43892</v>
      </c>
      <c r="C231" s="1" t="n">
        <v>45512</v>
      </c>
      <c r="D231" t="inlineStr">
        <is>
          <t>VÄRMLANDS LÄN</t>
        </is>
      </c>
      <c r="E231" t="inlineStr">
        <is>
          <t>ÅRJÄNG</t>
        </is>
      </c>
      <c r="G231" t="n">
        <v>2.8</v>
      </c>
      <c r="H231" t="n">
        <v>0</v>
      </c>
      <c r="I231" t="n">
        <v>0</v>
      </c>
      <c r="J231" t="n">
        <v>0</v>
      </c>
      <c r="K231" t="n">
        <v>0</v>
      </c>
      <c r="L231" t="n">
        <v>0</v>
      </c>
      <c r="M231" t="n">
        <v>0</v>
      </c>
      <c r="N231" t="n">
        <v>0</v>
      </c>
      <c r="O231" t="n">
        <v>0</v>
      </c>
      <c r="P231" t="n">
        <v>0</v>
      </c>
      <c r="Q231" t="n">
        <v>0</v>
      </c>
      <c r="R231" s="2" t="inlineStr"/>
    </row>
    <row r="232" ht="15" customHeight="1">
      <c r="A232" t="inlineStr">
        <is>
          <t>A 11463-2020</t>
        </is>
      </c>
      <c r="B232" s="1" t="n">
        <v>43893</v>
      </c>
      <c r="C232" s="1" t="n">
        <v>45512</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14104-2020</t>
        </is>
      </c>
      <c r="B233" s="1" t="n">
        <v>43899</v>
      </c>
      <c r="C233" s="1" t="n">
        <v>45512</v>
      </c>
      <c r="D233" t="inlineStr">
        <is>
          <t>VÄRMLANDS LÄN</t>
        </is>
      </c>
      <c r="E233" t="inlineStr">
        <is>
          <t>ÅRJÄNG</t>
        </is>
      </c>
      <c r="G233" t="n">
        <v>4.6</v>
      </c>
      <c r="H233" t="n">
        <v>0</v>
      </c>
      <c r="I233" t="n">
        <v>0</v>
      </c>
      <c r="J233" t="n">
        <v>0</v>
      </c>
      <c r="K233" t="n">
        <v>0</v>
      </c>
      <c r="L233" t="n">
        <v>0</v>
      </c>
      <c r="M233" t="n">
        <v>0</v>
      </c>
      <c r="N233" t="n">
        <v>0</v>
      </c>
      <c r="O233" t="n">
        <v>0</v>
      </c>
      <c r="P233" t="n">
        <v>0</v>
      </c>
      <c r="Q233" t="n">
        <v>0</v>
      </c>
      <c r="R233" s="2" t="inlineStr"/>
    </row>
    <row r="234" ht="15" customHeight="1">
      <c r="A234" t="inlineStr">
        <is>
          <t>A 18662-2020</t>
        </is>
      </c>
      <c r="B234" s="1" t="n">
        <v>43899</v>
      </c>
      <c r="C234" s="1" t="n">
        <v>45512</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13091-2020</t>
        </is>
      </c>
      <c r="B235" s="1" t="n">
        <v>43901</v>
      </c>
      <c r="C235" s="1" t="n">
        <v>45512</v>
      </c>
      <c r="D235" t="inlineStr">
        <is>
          <t>VÄRMLANDS LÄN</t>
        </is>
      </c>
      <c r="E235" t="inlineStr">
        <is>
          <t>ÅRJÄNG</t>
        </is>
      </c>
      <c r="G235" t="n">
        <v>1.3</v>
      </c>
      <c r="H235" t="n">
        <v>0</v>
      </c>
      <c r="I235" t="n">
        <v>0</v>
      </c>
      <c r="J235" t="n">
        <v>0</v>
      </c>
      <c r="K235" t="n">
        <v>0</v>
      </c>
      <c r="L235" t="n">
        <v>0</v>
      </c>
      <c r="M235" t="n">
        <v>0</v>
      </c>
      <c r="N235" t="n">
        <v>0</v>
      </c>
      <c r="O235" t="n">
        <v>0</v>
      </c>
      <c r="P235" t="n">
        <v>0</v>
      </c>
      <c r="Q235" t="n">
        <v>0</v>
      </c>
      <c r="R235" s="2" t="inlineStr"/>
    </row>
    <row r="236" ht="15" customHeight="1">
      <c r="A236" t="inlineStr">
        <is>
          <t>A 13094-2020</t>
        </is>
      </c>
      <c r="B236" s="1" t="n">
        <v>43901</v>
      </c>
      <c r="C236" s="1" t="n">
        <v>45512</v>
      </c>
      <c r="D236" t="inlineStr">
        <is>
          <t>VÄRMLANDS LÄN</t>
        </is>
      </c>
      <c r="E236" t="inlineStr">
        <is>
          <t>ÅRJÄNG</t>
        </is>
      </c>
      <c r="G236" t="n">
        <v>3.6</v>
      </c>
      <c r="H236" t="n">
        <v>0</v>
      </c>
      <c r="I236" t="n">
        <v>0</v>
      </c>
      <c r="J236" t="n">
        <v>0</v>
      </c>
      <c r="K236" t="n">
        <v>0</v>
      </c>
      <c r="L236" t="n">
        <v>0</v>
      </c>
      <c r="M236" t="n">
        <v>0</v>
      </c>
      <c r="N236" t="n">
        <v>0</v>
      </c>
      <c r="O236" t="n">
        <v>0</v>
      </c>
      <c r="P236" t="n">
        <v>0</v>
      </c>
      <c r="Q236" t="n">
        <v>0</v>
      </c>
      <c r="R236" s="2" t="inlineStr"/>
    </row>
    <row r="237" ht="15" customHeight="1">
      <c r="A237" t="inlineStr">
        <is>
          <t>A 13549-2020</t>
        </is>
      </c>
      <c r="B237" s="1" t="n">
        <v>43902</v>
      </c>
      <c r="C237" s="1" t="n">
        <v>45512</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14608-2020</t>
        </is>
      </c>
      <c r="B238" s="1" t="n">
        <v>43902</v>
      </c>
      <c r="C238" s="1" t="n">
        <v>45512</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14605-2020</t>
        </is>
      </c>
      <c r="B239" s="1" t="n">
        <v>43902</v>
      </c>
      <c r="C239" s="1" t="n">
        <v>45512</v>
      </c>
      <c r="D239" t="inlineStr">
        <is>
          <t>VÄRMLANDS LÄN</t>
        </is>
      </c>
      <c r="E239" t="inlineStr">
        <is>
          <t>ÅRJÄNG</t>
        </is>
      </c>
      <c r="G239" t="n">
        <v>3</v>
      </c>
      <c r="H239" t="n">
        <v>0</v>
      </c>
      <c r="I239" t="n">
        <v>0</v>
      </c>
      <c r="J239" t="n">
        <v>0</v>
      </c>
      <c r="K239" t="n">
        <v>0</v>
      </c>
      <c r="L239" t="n">
        <v>0</v>
      </c>
      <c r="M239" t="n">
        <v>0</v>
      </c>
      <c r="N239" t="n">
        <v>0</v>
      </c>
      <c r="O239" t="n">
        <v>0</v>
      </c>
      <c r="P239" t="n">
        <v>0</v>
      </c>
      <c r="Q239" t="n">
        <v>0</v>
      </c>
      <c r="R239" s="2" t="inlineStr"/>
    </row>
    <row r="240" ht="15" customHeight="1">
      <c r="A240" t="inlineStr">
        <is>
          <t>A 13630-2020</t>
        </is>
      </c>
      <c r="B240" s="1" t="n">
        <v>43903</v>
      </c>
      <c r="C240" s="1" t="n">
        <v>45512</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13926-2020</t>
        </is>
      </c>
      <c r="B241" s="1" t="n">
        <v>43906</v>
      </c>
      <c r="C241" s="1" t="n">
        <v>45512</v>
      </c>
      <c r="D241" t="inlineStr">
        <is>
          <t>VÄRMLANDS LÄN</t>
        </is>
      </c>
      <c r="E241" t="inlineStr">
        <is>
          <t>ÅRJÄNG</t>
        </is>
      </c>
      <c r="G241" t="n">
        <v>1.5</v>
      </c>
      <c r="H241" t="n">
        <v>0</v>
      </c>
      <c r="I241" t="n">
        <v>0</v>
      </c>
      <c r="J241" t="n">
        <v>0</v>
      </c>
      <c r="K241" t="n">
        <v>0</v>
      </c>
      <c r="L241" t="n">
        <v>0</v>
      </c>
      <c r="M241" t="n">
        <v>0</v>
      </c>
      <c r="N241" t="n">
        <v>0</v>
      </c>
      <c r="O241" t="n">
        <v>0</v>
      </c>
      <c r="P241" t="n">
        <v>0</v>
      </c>
      <c r="Q241" t="n">
        <v>0</v>
      </c>
      <c r="R241" s="2" t="inlineStr"/>
    </row>
    <row r="242" ht="15" customHeight="1">
      <c r="A242" t="inlineStr">
        <is>
          <t>A 13929-2020</t>
        </is>
      </c>
      <c r="B242" s="1" t="n">
        <v>43906</v>
      </c>
      <c r="C242" s="1" t="n">
        <v>45512</v>
      </c>
      <c r="D242" t="inlineStr">
        <is>
          <t>VÄRMLANDS LÄN</t>
        </is>
      </c>
      <c r="E242" t="inlineStr">
        <is>
          <t>ÅRJÄNG</t>
        </is>
      </c>
      <c r="G242" t="n">
        <v>5.3</v>
      </c>
      <c r="H242" t="n">
        <v>0</v>
      </c>
      <c r="I242" t="n">
        <v>0</v>
      </c>
      <c r="J242" t="n">
        <v>0</v>
      </c>
      <c r="K242" t="n">
        <v>0</v>
      </c>
      <c r="L242" t="n">
        <v>0</v>
      </c>
      <c r="M242" t="n">
        <v>0</v>
      </c>
      <c r="N242" t="n">
        <v>0</v>
      </c>
      <c r="O242" t="n">
        <v>0</v>
      </c>
      <c r="P242" t="n">
        <v>0</v>
      </c>
      <c r="Q242" t="n">
        <v>0</v>
      </c>
      <c r="R242" s="2" t="inlineStr"/>
    </row>
    <row r="243" ht="15" customHeight="1">
      <c r="A243" t="inlineStr">
        <is>
          <t>A 14057-2020</t>
        </is>
      </c>
      <c r="B243" s="1" t="n">
        <v>43906</v>
      </c>
      <c r="C243" s="1" t="n">
        <v>45512</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14892-2020</t>
        </is>
      </c>
      <c r="B244" s="1" t="n">
        <v>43906</v>
      </c>
      <c r="C244" s="1" t="n">
        <v>45512</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14059-2020</t>
        </is>
      </c>
      <c r="B245" s="1" t="n">
        <v>43906</v>
      </c>
      <c r="C245" s="1" t="n">
        <v>45512</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14058-2020</t>
        </is>
      </c>
      <c r="B246" s="1" t="n">
        <v>43906</v>
      </c>
      <c r="C246" s="1" t="n">
        <v>45512</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14061-2020</t>
        </is>
      </c>
      <c r="B247" s="1" t="n">
        <v>43906</v>
      </c>
      <c r="C247" s="1" t="n">
        <v>45512</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14128-2020</t>
        </is>
      </c>
      <c r="B248" s="1" t="n">
        <v>43907</v>
      </c>
      <c r="C248" s="1" t="n">
        <v>45512</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14132-2020</t>
        </is>
      </c>
      <c r="B249" s="1" t="n">
        <v>43907</v>
      </c>
      <c r="C249" s="1" t="n">
        <v>45512</v>
      </c>
      <c r="D249" t="inlineStr">
        <is>
          <t>VÄRMLANDS LÄN</t>
        </is>
      </c>
      <c r="E249" t="inlineStr">
        <is>
          <t>ÅRJÄNG</t>
        </is>
      </c>
      <c r="G249" t="n">
        <v>4.4</v>
      </c>
      <c r="H249" t="n">
        <v>0</v>
      </c>
      <c r="I249" t="n">
        <v>0</v>
      </c>
      <c r="J249" t="n">
        <v>0</v>
      </c>
      <c r="K249" t="n">
        <v>0</v>
      </c>
      <c r="L249" t="n">
        <v>0</v>
      </c>
      <c r="M249" t="n">
        <v>0</v>
      </c>
      <c r="N249" t="n">
        <v>0</v>
      </c>
      <c r="O249" t="n">
        <v>0</v>
      </c>
      <c r="P249" t="n">
        <v>0</v>
      </c>
      <c r="Q249" t="n">
        <v>0</v>
      </c>
      <c r="R249" s="2" t="inlineStr"/>
    </row>
    <row r="250" ht="15" customHeight="1">
      <c r="A250" t="inlineStr">
        <is>
          <t>A 14928-2020</t>
        </is>
      </c>
      <c r="B250" s="1" t="n">
        <v>43910</v>
      </c>
      <c r="C250" s="1" t="n">
        <v>45512</v>
      </c>
      <c r="D250" t="inlineStr">
        <is>
          <t>VÄRMLANDS LÄN</t>
        </is>
      </c>
      <c r="E250" t="inlineStr">
        <is>
          <t>ÅRJÄNG</t>
        </is>
      </c>
      <c r="G250" t="n">
        <v>1.4</v>
      </c>
      <c r="H250" t="n">
        <v>0</v>
      </c>
      <c r="I250" t="n">
        <v>0</v>
      </c>
      <c r="J250" t="n">
        <v>0</v>
      </c>
      <c r="K250" t="n">
        <v>0</v>
      </c>
      <c r="L250" t="n">
        <v>0</v>
      </c>
      <c r="M250" t="n">
        <v>0</v>
      </c>
      <c r="N250" t="n">
        <v>0</v>
      </c>
      <c r="O250" t="n">
        <v>0</v>
      </c>
      <c r="P250" t="n">
        <v>0</v>
      </c>
      <c r="Q250" t="n">
        <v>0</v>
      </c>
      <c r="R250" s="2" t="inlineStr"/>
    </row>
    <row r="251" ht="15" customHeight="1">
      <c r="A251" t="inlineStr">
        <is>
          <t>A 15044-2020</t>
        </is>
      </c>
      <c r="B251" s="1" t="n">
        <v>43910</v>
      </c>
      <c r="C251" s="1" t="n">
        <v>45512</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15864-2020</t>
        </is>
      </c>
      <c r="B252" s="1" t="n">
        <v>43915</v>
      </c>
      <c r="C252" s="1" t="n">
        <v>45512</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15674-2020</t>
        </is>
      </c>
      <c r="B253" s="1" t="n">
        <v>43915</v>
      </c>
      <c r="C253" s="1" t="n">
        <v>45512</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15669-2020</t>
        </is>
      </c>
      <c r="B254" s="1" t="n">
        <v>43915</v>
      </c>
      <c r="C254" s="1" t="n">
        <v>45512</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16454-2020</t>
        </is>
      </c>
      <c r="B255" s="1" t="n">
        <v>43920</v>
      </c>
      <c r="C255" s="1" t="n">
        <v>45512</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17596-2020</t>
        </is>
      </c>
      <c r="B256" s="1" t="n">
        <v>43921</v>
      </c>
      <c r="C256" s="1" t="n">
        <v>45512</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17475-2020</t>
        </is>
      </c>
      <c r="B257" s="1" t="n">
        <v>43923</v>
      </c>
      <c r="C257" s="1" t="n">
        <v>45512</v>
      </c>
      <c r="D257" t="inlineStr">
        <is>
          <t>VÄRMLANDS LÄN</t>
        </is>
      </c>
      <c r="E257" t="inlineStr">
        <is>
          <t>ÅRJÄNG</t>
        </is>
      </c>
      <c r="G257" t="n">
        <v>4.2</v>
      </c>
      <c r="H257" t="n">
        <v>0</v>
      </c>
      <c r="I257" t="n">
        <v>0</v>
      </c>
      <c r="J257" t="n">
        <v>0</v>
      </c>
      <c r="K257" t="n">
        <v>0</v>
      </c>
      <c r="L257" t="n">
        <v>0</v>
      </c>
      <c r="M257" t="n">
        <v>0</v>
      </c>
      <c r="N257" t="n">
        <v>0</v>
      </c>
      <c r="O257" t="n">
        <v>0</v>
      </c>
      <c r="P257" t="n">
        <v>0</v>
      </c>
      <c r="Q257" t="n">
        <v>0</v>
      </c>
      <c r="R257" s="2" t="inlineStr"/>
    </row>
    <row r="258" ht="15" customHeight="1">
      <c r="A258" t="inlineStr">
        <is>
          <t>A 17751-2020</t>
        </is>
      </c>
      <c r="B258" s="1" t="n">
        <v>43924</v>
      </c>
      <c r="C258" s="1" t="n">
        <v>45512</v>
      </c>
      <c r="D258" t="inlineStr">
        <is>
          <t>VÄRMLANDS LÄN</t>
        </is>
      </c>
      <c r="E258" t="inlineStr">
        <is>
          <t>ÅRJÄNG</t>
        </is>
      </c>
      <c r="G258" t="n">
        <v>5.8</v>
      </c>
      <c r="H258" t="n">
        <v>0</v>
      </c>
      <c r="I258" t="n">
        <v>0</v>
      </c>
      <c r="J258" t="n">
        <v>0</v>
      </c>
      <c r="K258" t="n">
        <v>0</v>
      </c>
      <c r="L258" t="n">
        <v>0</v>
      </c>
      <c r="M258" t="n">
        <v>0</v>
      </c>
      <c r="N258" t="n">
        <v>0</v>
      </c>
      <c r="O258" t="n">
        <v>0</v>
      </c>
      <c r="P258" t="n">
        <v>0</v>
      </c>
      <c r="Q258" t="n">
        <v>0</v>
      </c>
      <c r="R258" s="2" t="inlineStr"/>
    </row>
    <row r="259" ht="15" customHeight="1">
      <c r="A259" t="inlineStr">
        <is>
          <t>A 17922-2020</t>
        </is>
      </c>
      <c r="B259" s="1" t="n">
        <v>43924</v>
      </c>
      <c r="C259" s="1" t="n">
        <v>45512</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18793-2020</t>
        </is>
      </c>
      <c r="B260" s="1" t="n">
        <v>43932</v>
      </c>
      <c r="C260" s="1" t="n">
        <v>45512</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21256-2020</t>
        </is>
      </c>
      <c r="B261" s="1" t="n">
        <v>43955</v>
      </c>
      <c r="C261" s="1" t="n">
        <v>45512</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22584-2020</t>
        </is>
      </c>
      <c r="B262" s="1" t="n">
        <v>43963</v>
      </c>
      <c r="C262" s="1" t="n">
        <v>45512</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22965-2020</t>
        </is>
      </c>
      <c r="B263" s="1" t="n">
        <v>43964</v>
      </c>
      <c r="C263" s="1" t="n">
        <v>45512</v>
      </c>
      <c r="D263" t="inlineStr">
        <is>
          <t>VÄRMLANDS LÄN</t>
        </is>
      </c>
      <c r="E263" t="inlineStr">
        <is>
          <t>ÅRJÄNG</t>
        </is>
      </c>
      <c r="G263" t="n">
        <v>4.7</v>
      </c>
      <c r="H263" t="n">
        <v>0</v>
      </c>
      <c r="I263" t="n">
        <v>0</v>
      </c>
      <c r="J263" t="n">
        <v>0</v>
      </c>
      <c r="K263" t="n">
        <v>0</v>
      </c>
      <c r="L263" t="n">
        <v>0</v>
      </c>
      <c r="M263" t="n">
        <v>0</v>
      </c>
      <c r="N263" t="n">
        <v>0</v>
      </c>
      <c r="O263" t="n">
        <v>0</v>
      </c>
      <c r="P263" t="n">
        <v>0</v>
      </c>
      <c r="Q263" t="n">
        <v>0</v>
      </c>
      <c r="R263" s="2" t="inlineStr"/>
    </row>
    <row r="264" ht="15" customHeight="1">
      <c r="A264" t="inlineStr">
        <is>
          <t>A 23216-2020</t>
        </is>
      </c>
      <c r="B264" s="1" t="n">
        <v>43965</v>
      </c>
      <c r="C264" s="1" t="n">
        <v>45512</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23211-2020</t>
        </is>
      </c>
      <c r="B265" s="1" t="n">
        <v>43965</v>
      </c>
      <c r="C265" s="1" t="n">
        <v>45512</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23493-2020</t>
        </is>
      </c>
      <c r="B266" s="1" t="n">
        <v>43969</v>
      </c>
      <c r="C266" s="1" t="n">
        <v>45512</v>
      </c>
      <c r="D266" t="inlineStr">
        <is>
          <t>VÄRMLANDS LÄN</t>
        </is>
      </c>
      <c r="E266" t="inlineStr">
        <is>
          <t>ÅRJÄNG</t>
        </is>
      </c>
      <c r="G266" t="n">
        <v>3.5</v>
      </c>
      <c r="H266" t="n">
        <v>0</v>
      </c>
      <c r="I266" t="n">
        <v>0</v>
      </c>
      <c r="J266" t="n">
        <v>0</v>
      </c>
      <c r="K266" t="n">
        <v>0</v>
      </c>
      <c r="L266" t="n">
        <v>0</v>
      </c>
      <c r="M266" t="n">
        <v>0</v>
      </c>
      <c r="N266" t="n">
        <v>0</v>
      </c>
      <c r="O266" t="n">
        <v>0</v>
      </c>
      <c r="P266" t="n">
        <v>0</v>
      </c>
      <c r="Q266" t="n">
        <v>0</v>
      </c>
      <c r="R266" s="2" t="inlineStr"/>
    </row>
    <row r="267" ht="15" customHeight="1">
      <c r="A267" t="inlineStr">
        <is>
          <t>A 24166-2020</t>
        </is>
      </c>
      <c r="B267" s="1" t="n">
        <v>43975</v>
      </c>
      <c r="C267" s="1" t="n">
        <v>45512</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24718-2020</t>
        </is>
      </c>
      <c r="B268" s="1" t="n">
        <v>43978</v>
      </c>
      <c r="C268" s="1" t="n">
        <v>45512</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24722-2020</t>
        </is>
      </c>
      <c r="B269" s="1" t="n">
        <v>43978</v>
      </c>
      <c r="C269" s="1" t="n">
        <v>45512</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24920-2020</t>
        </is>
      </c>
      <c r="B270" s="1" t="n">
        <v>43979</v>
      </c>
      <c r="C270" s="1" t="n">
        <v>45512</v>
      </c>
      <c r="D270" t="inlineStr">
        <is>
          <t>VÄRMLANDS LÄN</t>
        </is>
      </c>
      <c r="E270" t="inlineStr">
        <is>
          <t>ÅRJÄNG</t>
        </is>
      </c>
      <c r="G270" t="n">
        <v>2.1</v>
      </c>
      <c r="H270" t="n">
        <v>0</v>
      </c>
      <c r="I270" t="n">
        <v>0</v>
      </c>
      <c r="J270" t="n">
        <v>0</v>
      </c>
      <c r="K270" t="n">
        <v>0</v>
      </c>
      <c r="L270" t="n">
        <v>0</v>
      </c>
      <c r="M270" t="n">
        <v>0</v>
      </c>
      <c r="N270" t="n">
        <v>0</v>
      </c>
      <c r="O270" t="n">
        <v>0</v>
      </c>
      <c r="P270" t="n">
        <v>0</v>
      </c>
      <c r="Q270" t="n">
        <v>0</v>
      </c>
      <c r="R270" s="2" t="inlineStr"/>
    </row>
    <row r="271" ht="15" customHeight="1">
      <c r="A271" t="inlineStr">
        <is>
          <t>A 26132-2020</t>
        </is>
      </c>
      <c r="B271" s="1" t="n">
        <v>43985</v>
      </c>
      <c r="C271" s="1" t="n">
        <v>45512</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26202-2020</t>
        </is>
      </c>
      <c r="B272" s="1" t="n">
        <v>43986</v>
      </c>
      <c r="C272" s="1" t="n">
        <v>45512</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26516-2020</t>
        </is>
      </c>
      <c r="B273" s="1" t="n">
        <v>43987</v>
      </c>
      <c r="C273" s="1" t="n">
        <v>45512</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26512-2020</t>
        </is>
      </c>
      <c r="B274" s="1" t="n">
        <v>43987</v>
      </c>
      <c r="C274" s="1" t="n">
        <v>45512</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29409-2020</t>
        </is>
      </c>
      <c r="B275" s="1" t="n">
        <v>44004</v>
      </c>
      <c r="C275" s="1" t="n">
        <v>45512</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29438-2020</t>
        </is>
      </c>
      <c r="B276" s="1" t="n">
        <v>44004</v>
      </c>
      <c r="C276" s="1" t="n">
        <v>45512</v>
      </c>
      <c r="D276" t="inlineStr">
        <is>
          <t>VÄRMLANDS LÄN</t>
        </is>
      </c>
      <c r="E276" t="inlineStr">
        <is>
          <t>ÅRJÄNG</t>
        </is>
      </c>
      <c r="G276" t="n">
        <v>12.8</v>
      </c>
      <c r="H276" t="n">
        <v>0</v>
      </c>
      <c r="I276" t="n">
        <v>0</v>
      </c>
      <c r="J276" t="n">
        <v>0</v>
      </c>
      <c r="K276" t="n">
        <v>0</v>
      </c>
      <c r="L276" t="n">
        <v>0</v>
      </c>
      <c r="M276" t="n">
        <v>0</v>
      </c>
      <c r="N276" t="n">
        <v>0</v>
      </c>
      <c r="O276" t="n">
        <v>0</v>
      </c>
      <c r="P276" t="n">
        <v>0</v>
      </c>
      <c r="Q276" t="n">
        <v>0</v>
      </c>
      <c r="R276" s="2" t="inlineStr"/>
    </row>
    <row r="277" ht="15" customHeight="1">
      <c r="A277" t="inlineStr">
        <is>
          <t>A 29725-2020</t>
        </is>
      </c>
      <c r="B277" s="1" t="n">
        <v>44005</v>
      </c>
      <c r="C277" s="1" t="n">
        <v>45512</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29808-2020</t>
        </is>
      </c>
      <c r="B278" s="1" t="n">
        <v>44006</v>
      </c>
      <c r="C278" s="1" t="n">
        <v>45512</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29819-2020</t>
        </is>
      </c>
      <c r="B279" s="1" t="n">
        <v>44006</v>
      </c>
      <c r="C279" s="1" t="n">
        <v>45512</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29829-2020</t>
        </is>
      </c>
      <c r="B280" s="1" t="n">
        <v>44006</v>
      </c>
      <c r="C280" s="1" t="n">
        <v>45512</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31521-2020</t>
        </is>
      </c>
      <c r="B281" s="1" t="n">
        <v>44013</v>
      </c>
      <c r="C281" s="1" t="n">
        <v>45512</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31665-2020</t>
        </is>
      </c>
      <c r="B282" s="1" t="n">
        <v>44014</v>
      </c>
      <c r="C282" s="1" t="n">
        <v>45512</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31667-2020</t>
        </is>
      </c>
      <c r="B283" s="1" t="n">
        <v>44013</v>
      </c>
      <c r="C283" s="1" t="n">
        <v>45512</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32399-2020</t>
        </is>
      </c>
      <c r="B284" s="1" t="n">
        <v>44018</v>
      </c>
      <c r="C284" s="1" t="n">
        <v>45512</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32956-2020</t>
        </is>
      </c>
      <c r="B285" s="1" t="n">
        <v>44019</v>
      </c>
      <c r="C285" s="1" t="n">
        <v>45512</v>
      </c>
      <c r="D285" t="inlineStr">
        <is>
          <t>VÄRMLANDS LÄN</t>
        </is>
      </c>
      <c r="E285" t="inlineStr">
        <is>
          <t>ÅRJÄNG</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32962-2020</t>
        </is>
      </c>
      <c r="B286" s="1" t="n">
        <v>44019</v>
      </c>
      <c r="C286" s="1" t="n">
        <v>45512</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34132-2020</t>
        </is>
      </c>
      <c r="B287" s="1" t="n">
        <v>44029</v>
      </c>
      <c r="C287" s="1" t="n">
        <v>45512</v>
      </c>
      <c r="D287" t="inlineStr">
        <is>
          <t>VÄRMLANDS LÄN</t>
        </is>
      </c>
      <c r="E287" t="inlineStr">
        <is>
          <t>ÅRJÄNG</t>
        </is>
      </c>
      <c r="G287" t="n">
        <v>5.3</v>
      </c>
      <c r="H287" t="n">
        <v>0</v>
      </c>
      <c r="I287" t="n">
        <v>0</v>
      </c>
      <c r="J287" t="n">
        <v>0</v>
      </c>
      <c r="K287" t="n">
        <v>0</v>
      </c>
      <c r="L287" t="n">
        <v>0</v>
      </c>
      <c r="M287" t="n">
        <v>0</v>
      </c>
      <c r="N287" t="n">
        <v>0</v>
      </c>
      <c r="O287" t="n">
        <v>0</v>
      </c>
      <c r="P287" t="n">
        <v>0</v>
      </c>
      <c r="Q287" t="n">
        <v>0</v>
      </c>
      <c r="R287" s="2" t="inlineStr"/>
    </row>
    <row r="288" ht="15" customHeight="1">
      <c r="A288" t="inlineStr">
        <is>
          <t>A 34834-2020</t>
        </is>
      </c>
      <c r="B288" s="1" t="n">
        <v>44036</v>
      </c>
      <c r="C288" s="1" t="n">
        <v>45512</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34849-2020</t>
        </is>
      </c>
      <c r="B289" s="1" t="n">
        <v>44036</v>
      </c>
      <c r="C289" s="1" t="n">
        <v>45512</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34825-2020</t>
        </is>
      </c>
      <c r="B290" s="1" t="n">
        <v>44036</v>
      </c>
      <c r="C290" s="1" t="n">
        <v>45512</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34830-2020</t>
        </is>
      </c>
      <c r="B291" s="1" t="n">
        <v>44036</v>
      </c>
      <c r="C291" s="1" t="n">
        <v>45512</v>
      </c>
      <c r="D291" t="inlineStr">
        <is>
          <t>VÄRMLANDS LÄN</t>
        </is>
      </c>
      <c r="E291" t="inlineStr">
        <is>
          <t>ÅRJÄNG</t>
        </is>
      </c>
      <c r="G291" t="n">
        <v>0.8</v>
      </c>
      <c r="H291" t="n">
        <v>0</v>
      </c>
      <c r="I291" t="n">
        <v>0</v>
      </c>
      <c r="J291" t="n">
        <v>0</v>
      </c>
      <c r="K291" t="n">
        <v>0</v>
      </c>
      <c r="L291" t="n">
        <v>0</v>
      </c>
      <c r="M291" t="n">
        <v>0</v>
      </c>
      <c r="N291" t="n">
        <v>0</v>
      </c>
      <c r="O291" t="n">
        <v>0</v>
      </c>
      <c r="P291" t="n">
        <v>0</v>
      </c>
      <c r="Q291" t="n">
        <v>0</v>
      </c>
      <c r="R291" s="2" t="inlineStr"/>
    </row>
    <row r="292" ht="15" customHeight="1">
      <c r="A292" t="inlineStr">
        <is>
          <t>A 34835-2020</t>
        </is>
      </c>
      <c r="B292" s="1" t="n">
        <v>44036</v>
      </c>
      <c r="C292" s="1" t="n">
        <v>45512</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34844-2020</t>
        </is>
      </c>
      <c r="B293" s="1" t="n">
        <v>44036</v>
      </c>
      <c r="C293" s="1" t="n">
        <v>45512</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34851-2020</t>
        </is>
      </c>
      <c r="B294" s="1" t="n">
        <v>44036</v>
      </c>
      <c r="C294" s="1" t="n">
        <v>45512</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34833-2020</t>
        </is>
      </c>
      <c r="B295" s="1" t="n">
        <v>44036</v>
      </c>
      <c r="C295" s="1" t="n">
        <v>45512</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34832-2020</t>
        </is>
      </c>
      <c r="B296" s="1" t="n">
        <v>44036</v>
      </c>
      <c r="C296" s="1" t="n">
        <v>45512</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34827-2020</t>
        </is>
      </c>
      <c r="B297" s="1" t="n">
        <v>44036</v>
      </c>
      <c r="C297" s="1" t="n">
        <v>45512</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35163-2020</t>
        </is>
      </c>
      <c r="B298" s="1" t="n">
        <v>44040</v>
      </c>
      <c r="C298" s="1" t="n">
        <v>45512</v>
      </c>
      <c r="D298" t="inlineStr">
        <is>
          <t>VÄRMLANDS LÄN</t>
        </is>
      </c>
      <c r="E298" t="inlineStr">
        <is>
          <t>ÅRJÄNG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35410-2020</t>
        </is>
      </c>
      <c r="B299" s="1" t="n">
        <v>44042</v>
      </c>
      <c r="C299" s="1" t="n">
        <v>45512</v>
      </c>
      <c r="D299" t="inlineStr">
        <is>
          <t>VÄRMLANDS LÄN</t>
        </is>
      </c>
      <c r="E299" t="inlineStr">
        <is>
          <t>ÅRJÄNG</t>
        </is>
      </c>
      <c r="G299" t="n">
        <v>6.8</v>
      </c>
      <c r="H299" t="n">
        <v>0</v>
      </c>
      <c r="I299" t="n">
        <v>0</v>
      </c>
      <c r="J299" t="n">
        <v>0</v>
      </c>
      <c r="K299" t="n">
        <v>0</v>
      </c>
      <c r="L299" t="n">
        <v>0</v>
      </c>
      <c r="M299" t="n">
        <v>0</v>
      </c>
      <c r="N299" t="n">
        <v>0</v>
      </c>
      <c r="O299" t="n">
        <v>0</v>
      </c>
      <c r="P299" t="n">
        <v>0</v>
      </c>
      <c r="Q299" t="n">
        <v>0</v>
      </c>
      <c r="R299" s="2" t="inlineStr"/>
    </row>
    <row r="300" ht="15" customHeight="1">
      <c r="A300" t="inlineStr">
        <is>
          <t>A 35842-2020</t>
        </is>
      </c>
      <c r="B300" s="1" t="n">
        <v>44047</v>
      </c>
      <c r="C300" s="1" t="n">
        <v>45512</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36537-2020</t>
        </is>
      </c>
      <c r="B301" s="1" t="n">
        <v>44050</v>
      </c>
      <c r="C301" s="1" t="n">
        <v>45512</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37058-2020</t>
        </is>
      </c>
      <c r="B302" s="1" t="n">
        <v>44054</v>
      </c>
      <c r="C302" s="1" t="n">
        <v>45512</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37010-2020</t>
        </is>
      </c>
      <c r="B303" s="1" t="n">
        <v>44054</v>
      </c>
      <c r="C303" s="1" t="n">
        <v>45512</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38177-2020</t>
        </is>
      </c>
      <c r="B304" s="1" t="n">
        <v>44060</v>
      </c>
      <c r="C304" s="1" t="n">
        <v>45512</v>
      </c>
      <c r="D304" t="inlineStr">
        <is>
          <t>VÄRMLANDS LÄN</t>
        </is>
      </c>
      <c r="E304" t="inlineStr">
        <is>
          <t>ÅRJÄNG</t>
        </is>
      </c>
      <c r="F304" t="inlineStr">
        <is>
          <t>Övriga Aktiebolag</t>
        </is>
      </c>
      <c r="G304" t="n">
        <v>9</v>
      </c>
      <c r="H304" t="n">
        <v>0</v>
      </c>
      <c r="I304" t="n">
        <v>0</v>
      </c>
      <c r="J304" t="n">
        <v>0</v>
      </c>
      <c r="K304" t="n">
        <v>0</v>
      </c>
      <c r="L304" t="n">
        <v>0</v>
      </c>
      <c r="M304" t="n">
        <v>0</v>
      </c>
      <c r="N304" t="n">
        <v>0</v>
      </c>
      <c r="O304" t="n">
        <v>0</v>
      </c>
      <c r="P304" t="n">
        <v>0</v>
      </c>
      <c r="Q304" t="n">
        <v>0</v>
      </c>
      <c r="R304" s="2" t="inlineStr"/>
    </row>
    <row r="305" ht="15" customHeight="1">
      <c r="A305" t="inlineStr">
        <is>
          <t>A 38696-2020</t>
        </is>
      </c>
      <c r="B305" s="1" t="n">
        <v>44061</v>
      </c>
      <c r="C305" s="1" t="n">
        <v>45512</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39215-2020</t>
        </is>
      </c>
      <c r="B306" s="1" t="n">
        <v>44063</v>
      </c>
      <c r="C306" s="1" t="n">
        <v>45512</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40553-2020</t>
        </is>
      </c>
      <c r="B307" s="1" t="n">
        <v>44069</v>
      </c>
      <c r="C307" s="1" t="n">
        <v>45512</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40572-2020</t>
        </is>
      </c>
      <c r="B308" s="1" t="n">
        <v>44069</v>
      </c>
      <c r="C308" s="1" t="n">
        <v>45512</v>
      </c>
      <c r="D308" t="inlineStr">
        <is>
          <t>VÄRMLANDS LÄN</t>
        </is>
      </c>
      <c r="E308" t="inlineStr">
        <is>
          <t>ÅRJÄNG</t>
        </is>
      </c>
      <c r="G308" t="n">
        <v>15.8</v>
      </c>
      <c r="H308" t="n">
        <v>0</v>
      </c>
      <c r="I308" t="n">
        <v>0</v>
      </c>
      <c r="J308" t="n">
        <v>0</v>
      </c>
      <c r="K308" t="n">
        <v>0</v>
      </c>
      <c r="L308" t="n">
        <v>0</v>
      </c>
      <c r="M308" t="n">
        <v>0</v>
      </c>
      <c r="N308" t="n">
        <v>0</v>
      </c>
      <c r="O308" t="n">
        <v>0</v>
      </c>
      <c r="P308" t="n">
        <v>0</v>
      </c>
      <c r="Q308" t="n">
        <v>0</v>
      </c>
      <c r="R308" s="2" t="inlineStr"/>
    </row>
    <row r="309" ht="15" customHeight="1">
      <c r="A309" t="inlineStr">
        <is>
          <t>A 40781-2020</t>
        </is>
      </c>
      <c r="B309" s="1" t="n">
        <v>44070</v>
      </c>
      <c r="C309" s="1" t="n">
        <v>45512</v>
      </c>
      <c r="D309" t="inlineStr">
        <is>
          <t>VÄRMLANDS LÄN</t>
        </is>
      </c>
      <c r="E309" t="inlineStr">
        <is>
          <t>ÅRJÄNG</t>
        </is>
      </c>
      <c r="G309" t="n">
        <v>7.8</v>
      </c>
      <c r="H309" t="n">
        <v>0</v>
      </c>
      <c r="I309" t="n">
        <v>0</v>
      </c>
      <c r="J309" t="n">
        <v>0</v>
      </c>
      <c r="K309" t="n">
        <v>0</v>
      </c>
      <c r="L309" t="n">
        <v>0</v>
      </c>
      <c r="M309" t="n">
        <v>0</v>
      </c>
      <c r="N309" t="n">
        <v>0</v>
      </c>
      <c r="O309" t="n">
        <v>0</v>
      </c>
      <c r="P309" t="n">
        <v>0</v>
      </c>
      <c r="Q309" t="n">
        <v>0</v>
      </c>
      <c r="R309" s="2" t="inlineStr"/>
    </row>
    <row r="310" ht="15" customHeight="1">
      <c r="A310" t="inlineStr">
        <is>
          <t>A 42431-2020</t>
        </is>
      </c>
      <c r="B310" s="1" t="n">
        <v>44074</v>
      </c>
      <c r="C310" s="1" t="n">
        <v>45512</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42427-2020</t>
        </is>
      </c>
      <c r="B311" s="1" t="n">
        <v>44074</v>
      </c>
      <c r="C311" s="1" t="n">
        <v>45512</v>
      </c>
      <c r="D311" t="inlineStr">
        <is>
          <t>VÄRMLANDS LÄN</t>
        </is>
      </c>
      <c r="E311" t="inlineStr">
        <is>
          <t>ÅRJÄNG</t>
        </is>
      </c>
      <c r="G311" t="n">
        <v>2.8</v>
      </c>
      <c r="H311" t="n">
        <v>0</v>
      </c>
      <c r="I311" t="n">
        <v>0</v>
      </c>
      <c r="J311" t="n">
        <v>0</v>
      </c>
      <c r="K311" t="n">
        <v>0</v>
      </c>
      <c r="L311" t="n">
        <v>0</v>
      </c>
      <c r="M311" t="n">
        <v>0</v>
      </c>
      <c r="N311" t="n">
        <v>0</v>
      </c>
      <c r="O311" t="n">
        <v>0</v>
      </c>
      <c r="P311" t="n">
        <v>0</v>
      </c>
      <c r="Q311" t="n">
        <v>0</v>
      </c>
      <c r="R311" s="2" t="inlineStr"/>
    </row>
    <row r="312" ht="15" customHeight="1">
      <c r="A312" t="inlineStr">
        <is>
          <t>A 42267-2020</t>
        </is>
      </c>
      <c r="B312" s="1" t="n">
        <v>44076</v>
      </c>
      <c r="C312" s="1" t="n">
        <v>45512</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43267-2020</t>
        </is>
      </c>
      <c r="B313" s="1" t="n">
        <v>44081</v>
      </c>
      <c r="C313" s="1" t="n">
        <v>45512</v>
      </c>
      <c r="D313" t="inlineStr">
        <is>
          <t>VÄRMLANDS LÄN</t>
        </is>
      </c>
      <c r="E313" t="inlineStr">
        <is>
          <t>ÅRJÄNG</t>
        </is>
      </c>
      <c r="G313" t="n">
        <v>6.6</v>
      </c>
      <c r="H313" t="n">
        <v>0</v>
      </c>
      <c r="I313" t="n">
        <v>0</v>
      </c>
      <c r="J313" t="n">
        <v>0</v>
      </c>
      <c r="K313" t="n">
        <v>0</v>
      </c>
      <c r="L313" t="n">
        <v>0</v>
      </c>
      <c r="M313" t="n">
        <v>0</v>
      </c>
      <c r="N313" t="n">
        <v>0</v>
      </c>
      <c r="O313" t="n">
        <v>0</v>
      </c>
      <c r="P313" t="n">
        <v>0</v>
      </c>
      <c r="Q313" t="n">
        <v>0</v>
      </c>
      <c r="R313" s="2" t="inlineStr"/>
    </row>
    <row r="314" ht="15" customHeight="1">
      <c r="A314" t="inlineStr">
        <is>
          <t>A 44298-2020</t>
        </is>
      </c>
      <c r="B314" s="1" t="n">
        <v>44084</v>
      </c>
      <c r="C314" s="1" t="n">
        <v>45512</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44319-2020</t>
        </is>
      </c>
      <c r="B315" s="1" t="n">
        <v>44084</v>
      </c>
      <c r="C315" s="1" t="n">
        <v>45512</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45971-2020</t>
        </is>
      </c>
      <c r="B316" s="1" t="n">
        <v>44091</v>
      </c>
      <c r="C316" s="1" t="n">
        <v>45512</v>
      </c>
      <c r="D316" t="inlineStr">
        <is>
          <t>VÄRMLANDS LÄN</t>
        </is>
      </c>
      <c r="E316" t="inlineStr">
        <is>
          <t>ÅRJÄNG</t>
        </is>
      </c>
      <c r="G316" t="n">
        <v>12.7</v>
      </c>
      <c r="H316" t="n">
        <v>0</v>
      </c>
      <c r="I316" t="n">
        <v>0</v>
      </c>
      <c r="J316" t="n">
        <v>0</v>
      </c>
      <c r="K316" t="n">
        <v>0</v>
      </c>
      <c r="L316" t="n">
        <v>0</v>
      </c>
      <c r="M316" t="n">
        <v>0</v>
      </c>
      <c r="N316" t="n">
        <v>0</v>
      </c>
      <c r="O316" t="n">
        <v>0</v>
      </c>
      <c r="P316" t="n">
        <v>0</v>
      </c>
      <c r="Q316" t="n">
        <v>0</v>
      </c>
      <c r="R316" s="2" t="inlineStr"/>
    </row>
    <row r="317" ht="15" customHeight="1">
      <c r="A317" t="inlineStr">
        <is>
          <t>A 46002-2020</t>
        </is>
      </c>
      <c r="B317" s="1" t="n">
        <v>44091</v>
      </c>
      <c r="C317" s="1" t="n">
        <v>45512</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46981-2020</t>
        </is>
      </c>
      <c r="B318" s="1" t="n">
        <v>44096</v>
      </c>
      <c r="C318" s="1" t="n">
        <v>45512</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47394-2020</t>
        </is>
      </c>
      <c r="B319" s="1" t="n">
        <v>44097</v>
      </c>
      <c r="C319" s="1" t="n">
        <v>45512</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48089-2020</t>
        </is>
      </c>
      <c r="B320" s="1" t="n">
        <v>44101</v>
      </c>
      <c r="C320" s="1" t="n">
        <v>45512</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48374-2020</t>
        </is>
      </c>
      <c r="B321" s="1" t="n">
        <v>44102</v>
      </c>
      <c r="C321" s="1" t="n">
        <v>45512</v>
      </c>
      <c r="D321" t="inlineStr">
        <is>
          <t>VÄRMLANDS LÄN</t>
        </is>
      </c>
      <c r="E321" t="inlineStr">
        <is>
          <t>ÅRJÄNG</t>
        </is>
      </c>
      <c r="G321" t="n">
        <v>0.7</v>
      </c>
      <c r="H321" t="n">
        <v>0</v>
      </c>
      <c r="I321" t="n">
        <v>0</v>
      </c>
      <c r="J321" t="n">
        <v>0</v>
      </c>
      <c r="K321" t="n">
        <v>0</v>
      </c>
      <c r="L321" t="n">
        <v>0</v>
      </c>
      <c r="M321" t="n">
        <v>0</v>
      </c>
      <c r="N321" t="n">
        <v>0</v>
      </c>
      <c r="O321" t="n">
        <v>0</v>
      </c>
      <c r="P321" t="n">
        <v>0</v>
      </c>
      <c r="Q321" t="n">
        <v>0</v>
      </c>
      <c r="R321" s="2" t="inlineStr"/>
    </row>
    <row r="322" ht="15" customHeight="1">
      <c r="A322" t="inlineStr">
        <is>
          <t>A 48132-2020</t>
        </is>
      </c>
      <c r="B322" s="1" t="n">
        <v>44102</v>
      </c>
      <c r="C322" s="1" t="n">
        <v>45512</v>
      </c>
      <c r="D322" t="inlineStr">
        <is>
          <t>VÄRMLANDS LÄN</t>
        </is>
      </c>
      <c r="E322" t="inlineStr">
        <is>
          <t>ÅRJÄNG</t>
        </is>
      </c>
      <c r="G322" t="n">
        <v>4.1</v>
      </c>
      <c r="H322" t="n">
        <v>0</v>
      </c>
      <c r="I322" t="n">
        <v>0</v>
      </c>
      <c r="J322" t="n">
        <v>0</v>
      </c>
      <c r="K322" t="n">
        <v>0</v>
      </c>
      <c r="L322" t="n">
        <v>0</v>
      </c>
      <c r="M322" t="n">
        <v>0</v>
      </c>
      <c r="N322" t="n">
        <v>0</v>
      </c>
      <c r="O322" t="n">
        <v>0</v>
      </c>
      <c r="P322" t="n">
        <v>0</v>
      </c>
      <c r="Q322" t="n">
        <v>0</v>
      </c>
      <c r="R322" s="2" t="inlineStr"/>
    </row>
    <row r="323" ht="15" customHeight="1">
      <c r="A323" t="inlineStr">
        <is>
          <t>A 48594-2020</t>
        </is>
      </c>
      <c r="B323" s="1" t="n">
        <v>44103</v>
      </c>
      <c r="C323" s="1" t="n">
        <v>45512</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48652-2020</t>
        </is>
      </c>
      <c r="B324" s="1" t="n">
        <v>44103</v>
      </c>
      <c r="C324" s="1" t="n">
        <v>45512</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50664-2020</t>
        </is>
      </c>
      <c r="B325" s="1" t="n">
        <v>44105</v>
      </c>
      <c r="C325" s="1" t="n">
        <v>45512</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49945-2020</t>
        </is>
      </c>
      <c r="B326" s="1" t="n">
        <v>44109</v>
      </c>
      <c r="C326" s="1" t="n">
        <v>45512</v>
      </c>
      <c r="D326" t="inlineStr">
        <is>
          <t>VÄRMLANDS LÄN</t>
        </is>
      </c>
      <c r="E326" t="inlineStr">
        <is>
          <t>ÅRJÄNG</t>
        </is>
      </c>
      <c r="G326" t="n">
        <v>11.7</v>
      </c>
      <c r="H326" t="n">
        <v>0</v>
      </c>
      <c r="I326" t="n">
        <v>0</v>
      </c>
      <c r="J326" t="n">
        <v>0</v>
      </c>
      <c r="K326" t="n">
        <v>0</v>
      </c>
      <c r="L326" t="n">
        <v>0</v>
      </c>
      <c r="M326" t="n">
        <v>0</v>
      </c>
      <c r="N326" t="n">
        <v>0</v>
      </c>
      <c r="O326" t="n">
        <v>0</v>
      </c>
      <c r="P326" t="n">
        <v>0</v>
      </c>
      <c r="Q326" t="n">
        <v>0</v>
      </c>
      <c r="R326" s="2" t="inlineStr"/>
    </row>
    <row r="327" ht="15" customHeight="1">
      <c r="A327" t="inlineStr">
        <is>
          <t>A 50296-2020</t>
        </is>
      </c>
      <c r="B327" s="1" t="n">
        <v>44110</v>
      </c>
      <c r="C327" s="1" t="n">
        <v>45512</v>
      </c>
      <c r="D327" t="inlineStr">
        <is>
          <t>VÄRMLANDS LÄN</t>
        </is>
      </c>
      <c r="E327" t="inlineStr">
        <is>
          <t>ÅRJÄNG</t>
        </is>
      </c>
      <c r="G327" t="n">
        <v>7.4</v>
      </c>
      <c r="H327" t="n">
        <v>0</v>
      </c>
      <c r="I327" t="n">
        <v>0</v>
      </c>
      <c r="J327" t="n">
        <v>0</v>
      </c>
      <c r="K327" t="n">
        <v>0</v>
      </c>
      <c r="L327" t="n">
        <v>0</v>
      </c>
      <c r="M327" t="n">
        <v>0</v>
      </c>
      <c r="N327" t="n">
        <v>0</v>
      </c>
      <c r="O327" t="n">
        <v>0</v>
      </c>
      <c r="P327" t="n">
        <v>0</v>
      </c>
      <c r="Q327" t="n">
        <v>0</v>
      </c>
      <c r="R327" s="2" t="inlineStr"/>
    </row>
    <row r="328" ht="15" customHeight="1">
      <c r="A328" t="inlineStr">
        <is>
          <t>A 50295-2020</t>
        </is>
      </c>
      <c r="B328" s="1" t="n">
        <v>44110</v>
      </c>
      <c r="C328" s="1" t="n">
        <v>45512</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51455-2020</t>
        </is>
      </c>
      <c r="B329" s="1" t="n">
        <v>44113</v>
      </c>
      <c r="C329" s="1" t="n">
        <v>45512</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53235-2020</t>
        </is>
      </c>
      <c r="B330" s="1" t="n">
        <v>44123</v>
      </c>
      <c r="C330" s="1" t="n">
        <v>45512</v>
      </c>
      <c r="D330" t="inlineStr">
        <is>
          <t>VÄRMLANDS LÄN</t>
        </is>
      </c>
      <c r="E330" t="inlineStr">
        <is>
          <t>ÅRJÄNG</t>
        </is>
      </c>
      <c r="G330" t="n">
        <v>3.9</v>
      </c>
      <c r="H330" t="n">
        <v>0</v>
      </c>
      <c r="I330" t="n">
        <v>0</v>
      </c>
      <c r="J330" t="n">
        <v>0</v>
      </c>
      <c r="K330" t="n">
        <v>0</v>
      </c>
      <c r="L330" t="n">
        <v>0</v>
      </c>
      <c r="M330" t="n">
        <v>0</v>
      </c>
      <c r="N330" t="n">
        <v>0</v>
      </c>
      <c r="O330" t="n">
        <v>0</v>
      </c>
      <c r="P330" t="n">
        <v>0</v>
      </c>
      <c r="Q330" t="n">
        <v>0</v>
      </c>
      <c r="R330" s="2" t="inlineStr"/>
    </row>
    <row r="331" ht="15" customHeight="1">
      <c r="A331" t="inlineStr">
        <is>
          <t>A 56849-2020</t>
        </is>
      </c>
      <c r="B331" s="1" t="n">
        <v>44134</v>
      </c>
      <c r="C331" s="1" t="n">
        <v>45512</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56287-2020</t>
        </is>
      </c>
      <c r="B332" s="1" t="n">
        <v>44134</v>
      </c>
      <c r="C332" s="1" t="n">
        <v>45512</v>
      </c>
      <c r="D332" t="inlineStr">
        <is>
          <t>VÄRMLANDS LÄN</t>
        </is>
      </c>
      <c r="E332" t="inlineStr">
        <is>
          <t>ÅRJÄNG</t>
        </is>
      </c>
      <c r="G332" t="n">
        <v>6</v>
      </c>
      <c r="H332" t="n">
        <v>0</v>
      </c>
      <c r="I332" t="n">
        <v>0</v>
      </c>
      <c r="J332" t="n">
        <v>0</v>
      </c>
      <c r="K332" t="n">
        <v>0</v>
      </c>
      <c r="L332" t="n">
        <v>0</v>
      </c>
      <c r="M332" t="n">
        <v>0</v>
      </c>
      <c r="N332" t="n">
        <v>0</v>
      </c>
      <c r="O332" t="n">
        <v>0</v>
      </c>
      <c r="P332" t="n">
        <v>0</v>
      </c>
      <c r="Q332" t="n">
        <v>0</v>
      </c>
      <c r="R332" s="2" t="inlineStr"/>
    </row>
    <row r="333" ht="15" customHeight="1">
      <c r="A333" t="inlineStr">
        <is>
          <t>A 56908-2020</t>
        </is>
      </c>
      <c r="B333" s="1" t="n">
        <v>44138</v>
      </c>
      <c r="C333" s="1" t="n">
        <v>45512</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57605-2020</t>
        </is>
      </c>
      <c r="B334" s="1" t="n">
        <v>44140</v>
      </c>
      <c r="C334" s="1" t="n">
        <v>45512</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57437-2020</t>
        </is>
      </c>
      <c r="B335" s="1" t="n">
        <v>44140</v>
      </c>
      <c r="C335" s="1" t="n">
        <v>45512</v>
      </c>
      <c r="D335" t="inlineStr">
        <is>
          <t>VÄRMLANDS LÄN</t>
        </is>
      </c>
      <c r="E335" t="inlineStr">
        <is>
          <t>ÅRJÄNG</t>
        </is>
      </c>
      <c r="G335" t="n">
        <v>3.7</v>
      </c>
      <c r="H335" t="n">
        <v>0</v>
      </c>
      <c r="I335" t="n">
        <v>0</v>
      </c>
      <c r="J335" t="n">
        <v>0</v>
      </c>
      <c r="K335" t="n">
        <v>0</v>
      </c>
      <c r="L335" t="n">
        <v>0</v>
      </c>
      <c r="M335" t="n">
        <v>0</v>
      </c>
      <c r="N335" t="n">
        <v>0</v>
      </c>
      <c r="O335" t="n">
        <v>0</v>
      </c>
      <c r="P335" t="n">
        <v>0</v>
      </c>
      <c r="Q335" t="n">
        <v>0</v>
      </c>
      <c r="R335" s="2" t="inlineStr"/>
    </row>
    <row r="336" ht="15" customHeight="1">
      <c r="A336" t="inlineStr">
        <is>
          <t>A 57444-2020</t>
        </is>
      </c>
      <c r="B336" s="1" t="n">
        <v>44140</v>
      </c>
      <c r="C336" s="1" t="n">
        <v>45512</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57748-2020</t>
        </is>
      </c>
      <c r="B337" s="1" t="n">
        <v>44140</v>
      </c>
      <c r="C337" s="1" t="n">
        <v>45512</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57761-2020</t>
        </is>
      </c>
      <c r="B338" s="1" t="n">
        <v>44140</v>
      </c>
      <c r="C338" s="1" t="n">
        <v>45512</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58629-2020</t>
        </is>
      </c>
      <c r="B339" s="1" t="n">
        <v>44145</v>
      </c>
      <c r="C339" s="1" t="n">
        <v>45512</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59656-2020</t>
        </is>
      </c>
      <c r="B340" s="1" t="n">
        <v>44151</v>
      </c>
      <c r="C340" s="1" t="n">
        <v>45512</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60732-2020</t>
        </is>
      </c>
      <c r="B341" s="1" t="n">
        <v>44153</v>
      </c>
      <c r="C341" s="1" t="n">
        <v>45512</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61868-2020</t>
        </is>
      </c>
      <c r="B342" s="1" t="n">
        <v>44155</v>
      </c>
      <c r="C342" s="1" t="n">
        <v>45512</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61846-2020</t>
        </is>
      </c>
      <c r="B343" s="1" t="n">
        <v>44159</v>
      </c>
      <c r="C343" s="1" t="n">
        <v>45512</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63383-2020</t>
        </is>
      </c>
      <c r="B344" s="1" t="n">
        <v>44165</v>
      </c>
      <c r="C344" s="1" t="n">
        <v>45512</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63393-2020</t>
        </is>
      </c>
      <c r="B345" s="1" t="n">
        <v>44165</v>
      </c>
      <c r="C345" s="1" t="n">
        <v>45512</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63415-2020</t>
        </is>
      </c>
      <c r="B346" s="1" t="n">
        <v>44165</v>
      </c>
      <c r="C346" s="1" t="n">
        <v>45512</v>
      </c>
      <c r="D346" t="inlineStr">
        <is>
          <t>VÄRMLANDS LÄN</t>
        </is>
      </c>
      <c r="E346" t="inlineStr">
        <is>
          <t>ÅRJÄNG</t>
        </is>
      </c>
      <c r="G346" t="n">
        <v>4.9</v>
      </c>
      <c r="H346" t="n">
        <v>0</v>
      </c>
      <c r="I346" t="n">
        <v>0</v>
      </c>
      <c r="J346" t="n">
        <v>0</v>
      </c>
      <c r="K346" t="n">
        <v>0</v>
      </c>
      <c r="L346" t="n">
        <v>0</v>
      </c>
      <c r="M346" t="n">
        <v>0</v>
      </c>
      <c r="N346" t="n">
        <v>0</v>
      </c>
      <c r="O346" t="n">
        <v>0</v>
      </c>
      <c r="P346" t="n">
        <v>0</v>
      </c>
      <c r="Q346" t="n">
        <v>0</v>
      </c>
      <c r="R346" s="2" t="inlineStr"/>
    </row>
    <row r="347" ht="15" customHeight="1">
      <c r="A347" t="inlineStr">
        <is>
          <t>A 64318-2020</t>
        </is>
      </c>
      <c r="B347" s="1" t="n">
        <v>44168</v>
      </c>
      <c r="C347" s="1" t="n">
        <v>45512</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64271-2020</t>
        </is>
      </c>
      <c r="B348" s="1" t="n">
        <v>44168</v>
      </c>
      <c r="C348" s="1" t="n">
        <v>45512</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64216-2020</t>
        </is>
      </c>
      <c r="B349" s="1" t="n">
        <v>44168</v>
      </c>
      <c r="C349" s="1" t="n">
        <v>45512</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65751-2020</t>
        </is>
      </c>
      <c r="B350" s="1" t="n">
        <v>44174</v>
      </c>
      <c r="C350" s="1" t="n">
        <v>45512</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65773-2020</t>
        </is>
      </c>
      <c r="B351" s="1" t="n">
        <v>44174</v>
      </c>
      <c r="C351" s="1" t="n">
        <v>45512</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65781-2020</t>
        </is>
      </c>
      <c r="B352" s="1" t="n">
        <v>44174</v>
      </c>
      <c r="C352" s="1" t="n">
        <v>45512</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66334-2020</t>
        </is>
      </c>
      <c r="B353" s="1" t="n">
        <v>44174</v>
      </c>
      <c r="C353" s="1" t="n">
        <v>45512</v>
      </c>
      <c r="D353" t="inlineStr">
        <is>
          <t>VÄRMLANDS LÄN</t>
        </is>
      </c>
      <c r="E353" t="inlineStr">
        <is>
          <t>ÅRJÄNG</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66080-2020</t>
        </is>
      </c>
      <c r="B354" s="1" t="n">
        <v>44175</v>
      </c>
      <c r="C354" s="1" t="n">
        <v>45512</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65950-2020</t>
        </is>
      </c>
      <c r="B355" s="1" t="n">
        <v>44175</v>
      </c>
      <c r="C355" s="1" t="n">
        <v>45512</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45512</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68344-2020</t>
        </is>
      </c>
      <c r="B357" s="1" t="n">
        <v>44186</v>
      </c>
      <c r="C357" s="1" t="n">
        <v>45512</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45512</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68693-2020</t>
        </is>
      </c>
      <c r="B359" s="1" t="n">
        <v>44187</v>
      </c>
      <c r="C359" s="1" t="n">
        <v>45512</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69520-2020</t>
        </is>
      </c>
      <c r="B360" s="1" t="n">
        <v>44194</v>
      </c>
      <c r="C360" s="1" t="n">
        <v>45512</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69647-2020</t>
        </is>
      </c>
      <c r="B361" s="1" t="n">
        <v>44195</v>
      </c>
      <c r="C361" s="1" t="n">
        <v>45512</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69584-2020</t>
        </is>
      </c>
      <c r="B362" s="1" t="n">
        <v>44195</v>
      </c>
      <c r="C362" s="1" t="n">
        <v>45512</v>
      </c>
      <c r="D362" t="inlineStr">
        <is>
          <t>VÄRMLANDS LÄN</t>
        </is>
      </c>
      <c r="E362" t="inlineStr">
        <is>
          <t>ÅRJÄNG</t>
        </is>
      </c>
      <c r="G362" t="n">
        <v>0.3</v>
      </c>
      <c r="H362" t="n">
        <v>0</v>
      </c>
      <c r="I362" t="n">
        <v>0</v>
      </c>
      <c r="J362" t="n">
        <v>0</v>
      </c>
      <c r="K362" t="n">
        <v>0</v>
      </c>
      <c r="L362" t="n">
        <v>0</v>
      </c>
      <c r="M362" t="n">
        <v>0</v>
      </c>
      <c r="N362" t="n">
        <v>0</v>
      </c>
      <c r="O362" t="n">
        <v>0</v>
      </c>
      <c r="P362" t="n">
        <v>0</v>
      </c>
      <c r="Q362" t="n">
        <v>0</v>
      </c>
      <c r="R362" s="2" t="inlineStr"/>
    </row>
    <row r="363" ht="15" customHeight="1">
      <c r="A363" t="inlineStr">
        <is>
          <t>A 387-2021</t>
        </is>
      </c>
      <c r="B363" s="1" t="n">
        <v>44201</v>
      </c>
      <c r="C363" s="1" t="n">
        <v>45512</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332-2021</t>
        </is>
      </c>
      <c r="B364" s="1" t="n">
        <v>44201</v>
      </c>
      <c r="C364" s="1" t="n">
        <v>45512</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45512</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2593-2021</t>
        </is>
      </c>
      <c r="B366" s="1" t="n">
        <v>44214</v>
      </c>
      <c r="C366" s="1" t="n">
        <v>45512</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2667-2021</t>
        </is>
      </c>
      <c r="B367" s="1" t="n">
        <v>44215</v>
      </c>
      <c r="C367" s="1" t="n">
        <v>45512</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3980-2021</t>
        </is>
      </c>
      <c r="B368" s="1" t="n">
        <v>44217</v>
      </c>
      <c r="C368" s="1" t="n">
        <v>45512</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3973-2021</t>
        </is>
      </c>
      <c r="B369" s="1" t="n">
        <v>44217</v>
      </c>
      <c r="C369" s="1" t="n">
        <v>45512</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3796-2021</t>
        </is>
      </c>
      <c r="B370" s="1" t="n">
        <v>44221</v>
      </c>
      <c r="C370" s="1" t="n">
        <v>45512</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4160-2021</t>
        </is>
      </c>
      <c r="B371" s="1" t="n">
        <v>44223</v>
      </c>
      <c r="C371" s="1" t="n">
        <v>45512</v>
      </c>
      <c r="D371" t="inlineStr">
        <is>
          <t>VÄRMLANDS LÄN</t>
        </is>
      </c>
      <c r="E371" t="inlineStr">
        <is>
          <t>ÅRJÄNG</t>
        </is>
      </c>
      <c r="G371" t="n">
        <v>2.4</v>
      </c>
      <c r="H371" t="n">
        <v>0</v>
      </c>
      <c r="I371" t="n">
        <v>0</v>
      </c>
      <c r="J371" t="n">
        <v>0</v>
      </c>
      <c r="K371" t="n">
        <v>0</v>
      </c>
      <c r="L371" t="n">
        <v>0</v>
      </c>
      <c r="M371" t="n">
        <v>0</v>
      </c>
      <c r="N371" t="n">
        <v>0</v>
      </c>
      <c r="O371" t="n">
        <v>0</v>
      </c>
      <c r="P371" t="n">
        <v>0</v>
      </c>
      <c r="Q371" t="n">
        <v>0</v>
      </c>
      <c r="R371" s="2" t="inlineStr"/>
    </row>
    <row r="372" ht="15" customHeight="1">
      <c r="A372" t="inlineStr">
        <is>
          <t>A 4300-2021</t>
        </is>
      </c>
      <c r="B372" s="1" t="n">
        <v>44223</v>
      </c>
      <c r="C372" s="1" t="n">
        <v>45512</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4607-2021</t>
        </is>
      </c>
      <c r="B373" s="1" t="n">
        <v>44224</v>
      </c>
      <c r="C373" s="1" t="n">
        <v>45512</v>
      </c>
      <c r="D373" t="inlineStr">
        <is>
          <t>VÄRMLANDS LÄN</t>
        </is>
      </c>
      <c r="E373" t="inlineStr">
        <is>
          <t>ÅRJÄNG</t>
        </is>
      </c>
      <c r="G373" t="n">
        <v>2.9</v>
      </c>
      <c r="H373" t="n">
        <v>0</v>
      </c>
      <c r="I373" t="n">
        <v>0</v>
      </c>
      <c r="J373" t="n">
        <v>0</v>
      </c>
      <c r="K373" t="n">
        <v>0</v>
      </c>
      <c r="L373" t="n">
        <v>0</v>
      </c>
      <c r="M373" t="n">
        <v>0</v>
      </c>
      <c r="N373" t="n">
        <v>0</v>
      </c>
      <c r="O373" t="n">
        <v>0</v>
      </c>
      <c r="P373" t="n">
        <v>0</v>
      </c>
      <c r="Q373" t="n">
        <v>0</v>
      </c>
      <c r="R373" s="2" t="inlineStr"/>
    </row>
    <row r="374" ht="15" customHeight="1">
      <c r="A374" t="inlineStr">
        <is>
          <t>A 5259-2021</t>
        </is>
      </c>
      <c r="B374" s="1" t="n">
        <v>44229</v>
      </c>
      <c r="C374" s="1" t="n">
        <v>45512</v>
      </c>
      <c r="D374" t="inlineStr">
        <is>
          <t>VÄRMLANDS LÄN</t>
        </is>
      </c>
      <c r="E374" t="inlineStr">
        <is>
          <t>ÅRJÄNG</t>
        </is>
      </c>
      <c r="G374" t="n">
        <v>5.5</v>
      </c>
      <c r="H374" t="n">
        <v>0</v>
      </c>
      <c r="I374" t="n">
        <v>0</v>
      </c>
      <c r="J374" t="n">
        <v>0</v>
      </c>
      <c r="K374" t="n">
        <v>0</v>
      </c>
      <c r="L374" t="n">
        <v>0</v>
      </c>
      <c r="M374" t="n">
        <v>0</v>
      </c>
      <c r="N374" t="n">
        <v>0</v>
      </c>
      <c r="O374" t="n">
        <v>0</v>
      </c>
      <c r="P374" t="n">
        <v>0</v>
      </c>
      <c r="Q374" t="n">
        <v>0</v>
      </c>
      <c r="R374" s="2" t="inlineStr"/>
    </row>
    <row r="375" ht="15" customHeight="1">
      <c r="A375" t="inlineStr">
        <is>
          <t>A 5713-2021</t>
        </is>
      </c>
      <c r="B375" s="1" t="n">
        <v>44230</v>
      </c>
      <c r="C375" s="1" t="n">
        <v>45512</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v>
      </c>
      <c r="C376" s="1" t="n">
        <v>45512</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6389-2021</t>
        </is>
      </c>
      <c r="B377" s="1" t="n">
        <v>44235</v>
      </c>
      <c r="C377" s="1" t="n">
        <v>45512</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6410-2021</t>
        </is>
      </c>
      <c r="B378" s="1" t="n">
        <v>44235</v>
      </c>
      <c r="C378" s="1" t="n">
        <v>45512</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6522-2021</t>
        </is>
      </c>
      <c r="B379" s="1" t="n">
        <v>44236</v>
      </c>
      <c r="C379" s="1" t="n">
        <v>45512</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6551-2021</t>
        </is>
      </c>
      <c r="B380" s="1" t="n">
        <v>44236</v>
      </c>
      <c r="C380" s="1" t="n">
        <v>45512</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6900-2021</t>
        </is>
      </c>
      <c r="B381" s="1" t="n">
        <v>44237</v>
      </c>
      <c r="C381" s="1" t="n">
        <v>45512</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6908-2021</t>
        </is>
      </c>
      <c r="B382" s="1" t="n">
        <v>44237</v>
      </c>
      <c r="C382" s="1" t="n">
        <v>45512</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7214-2021</t>
        </is>
      </c>
      <c r="B383" s="1" t="n">
        <v>44238</v>
      </c>
      <c r="C383" s="1" t="n">
        <v>45512</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7555-2021</t>
        </is>
      </c>
      <c r="B384" s="1" t="n">
        <v>44239</v>
      </c>
      <c r="C384" s="1" t="n">
        <v>45512</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7527-2021</t>
        </is>
      </c>
      <c r="B385" s="1" t="n">
        <v>44239</v>
      </c>
      <c r="C385" s="1" t="n">
        <v>45512</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7537-2021</t>
        </is>
      </c>
      <c r="B386" s="1" t="n">
        <v>44239</v>
      </c>
      <c r="C386" s="1" t="n">
        <v>45512</v>
      </c>
      <c r="D386" t="inlineStr">
        <is>
          <t>VÄRMLANDS LÄN</t>
        </is>
      </c>
      <c r="E386" t="inlineStr">
        <is>
          <t>ÅRJÄNG</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7576-2021</t>
        </is>
      </c>
      <c r="B387" s="1" t="n">
        <v>44240</v>
      </c>
      <c r="C387" s="1" t="n">
        <v>45512</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7774-2021</t>
        </is>
      </c>
      <c r="B388" s="1" t="n">
        <v>44242</v>
      </c>
      <c r="C388" s="1" t="n">
        <v>45512</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7975-2021</t>
        </is>
      </c>
      <c r="B389" s="1" t="n">
        <v>44242</v>
      </c>
      <c r="C389" s="1" t="n">
        <v>45512</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8957-2021</t>
        </is>
      </c>
      <c r="B390" s="1" t="n">
        <v>44246</v>
      </c>
      <c r="C390" s="1" t="n">
        <v>45512</v>
      </c>
      <c r="D390" t="inlineStr">
        <is>
          <t>VÄRMLANDS LÄN</t>
        </is>
      </c>
      <c r="E390" t="inlineStr">
        <is>
          <t>ÅRJÄNG</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8951-2021</t>
        </is>
      </c>
      <c r="B391" s="1" t="n">
        <v>44246</v>
      </c>
      <c r="C391" s="1" t="n">
        <v>45512</v>
      </c>
      <c r="D391" t="inlineStr">
        <is>
          <t>VÄRMLANDS LÄN</t>
        </is>
      </c>
      <c r="E391" t="inlineStr">
        <is>
          <t>ÅRJÄNG</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8885-2021</t>
        </is>
      </c>
      <c r="B392" s="1" t="n">
        <v>44248</v>
      </c>
      <c r="C392" s="1" t="n">
        <v>45512</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9441-2021</t>
        </is>
      </c>
      <c r="B393" s="1" t="n">
        <v>44251</v>
      </c>
      <c r="C393" s="1" t="n">
        <v>45512</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9484-2021</t>
        </is>
      </c>
      <c r="B394" s="1" t="n">
        <v>44251</v>
      </c>
      <c r="C394" s="1" t="n">
        <v>45512</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10541-2021</t>
        </is>
      </c>
      <c r="B395" s="1" t="n">
        <v>44258</v>
      </c>
      <c r="C395" s="1" t="n">
        <v>45512</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10594-2021</t>
        </is>
      </c>
      <c r="B396" s="1" t="n">
        <v>44258</v>
      </c>
      <c r="C396" s="1" t="n">
        <v>45512</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10588-2021</t>
        </is>
      </c>
      <c r="B397" s="1" t="n">
        <v>44258</v>
      </c>
      <c r="C397" s="1" t="n">
        <v>45512</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11157-2021</t>
        </is>
      </c>
      <c r="B398" s="1" t="n">
        <v>44261</v>
      </c>
      <c r="C398" s="1" t="n">
        <v>45512</v>
      </c>
      <c r="D398" t="inlineStr">
        <is>
          <t>VÄRMLANDS LÄN</t>
        </is>
      </c>
      <c r="E398" t="inlineStr">
        <is>
          <t>ÅRJÄNG</t>
        </is>
      </c>
      <c r="G398" t="n">
        <v>9</v>
      </c>
      <c r="H398" t="n">
        <v>0</v>
      </c>
      <c r="I398" t="n">
        <v>0</v>
      </c>
      <c r="J398" t="n">
        <v>0</v>
      </c>
      <c r="K398" t="n">
        <v>0</v>
      </c>
      <c r="L398" t="n">
        <v>0</v>
      </c>
      <c r="M398" t="n">
        <v>0</v>
      </c>
      <c r="N398" t="n">
        <v>0</v>
      </c>
      <c r="O398" t="n">
        <v>0</v>
      </c>
      <c r="P398" t="n">
        <v>0</v>
      </c>
      <c r="Q398" t="n">
        <v>0</v>
      </c>
      <c r="R398" s="2" t="inlineStr"/>
    </row>
    <row r="399" ht="15" customHeight="1">
      <c r="A399" t="inlineStr">
        <is>
          <t>A 11156-2021</t>
        </is>
      </c>
      <c r="B399" s="1" t="n">
        <v>44261</v>
      </c>
      <c r="C399" s="1" t="n">
        <v>45512</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11265-2021</t>
        </is>
      </c>
      <c r="B400" s="1" t="n">
        <v>44263</v>
      </c>
      <c r="C400" s="1" t="n">
        <v>45512</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11897-2021</t>
        </is>
      </c>
      <c r="B401" s="1" t="n">
        <v>44265</v>
      </c>
      <c r="C401" s="1" t="n">
        <v>45512</v>
      </c>
      <c r="D401" t="inlineStr">
        <is>
          <t>VÄRMLANDS LÄN</t>
        </is>
      </c>
      <c r="E401" t="inlineStr">
        <is>
          <t>ÅRJÄNG</t>
        </is>
      </c>
      <c r="G401" t="n">
        <v>8.6</v>
      </c>
      <c r="H401" t="n">
        <v>0</v>
      </c>
      <c r="I401" t="n">
        <v>0</v>
      </c>
      <c r="J401" t="n">
        <v>0</v>
      </c>
      <c r="K401" t="n">
        <v>0</v>
      </c>
      <c r="L401" t="n">
        <v>0</v>
      </c>
      <c r="M401" t="n">
        <v>0</v>
      </c>
      <c r="N401" t="n">
        <v>0</v>
      </c>
      <c r="O401" t="n">
        <v>0</v>
      </c>
      <c r="P401" t="n">
        <v>0</v>
      </c>
      <c r="Q401" t="n">
        <v>0</v>
      </c>
      <c r="R401" s="2" t="inlineStr"/>
    </row>
    <row r="402" ht="15" customHeight="1">
      <c r="A402" t="inlineStr">
        <is>
          <t>A 12137-2021</t>
        </is>
      </c>
      <c r="B402" s="1" t="n">
        <v>44266</v>
      </c>
      <c r="C402" s="1" t="n">
        <v>45512</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v>
      </c>
      <c r="C403" s="1" t="n">
        <v>45512</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12853-2021</t>
        </is>
      </c>
      <c r="B404" s="1" t="n">
        <v>44271</v>
      </c>
      <c r="C404" s="1" t="n">
        <v>45512</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12842-2021</t>
        </is>
      </c>
      <c r="B405" s="1" t="n">
        <v>44271</v>
      </c>
      <c r="C405" s="1" t="n">
        <v>45512</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13115-2021</t>
        </is>
      </c>
      <c r="B406" s="1" t="n">
        <v>44272</v>
      </c>
      <c r="C406" s="1" t="n">
        <v>45512</v>
      </c>
      <c r="D406" t="inlineStr">
        <is>
          <t>VÄRMLANDS LÄN</t>
        </is>
      </c>
      <c r="E406" t="inlineStr">
        <is>
          <t>ÅRJÄNG</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14094-2021</t>
        </is>
      </c>
      <c r="B407" s="1" t="n">
        <v>44278</v>
      </c>
      <c r="C407" s="1" t="n">
        <v>45512</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14906-2021</t>
        </is>
      </c>
      <c r="B408" s="1" t="n">
        <v>44281</v>
      </c>
      <c r="C408" s="1" t="n">
        <v>45512</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15249-2021</t>
        </is>
      </c>
      <c r="B409" s="1" t="n">
        <v>44282</v>
      </c>
      <c r="C409" s="1" t="n">
        <v>45512</v>
      </c>
      <c r="D409" t="inlineStr">
        <is>
          <t>VÄRMLANDS LÄN</t>
        </is>
      </c>
      <c r="E409" t="inlineStr">
        <is>
          <t>ÅRJÄNG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15244-2021</t>
        </is>
      </c>
      <c r="B410" s="1" t="n">
        <v>44284</v>
      </c>
      <c r="C410" s="1" t="n">
        <v>45512</v>
      </c>
      <c r="D410" t="inlineStr">
        <is>
          <t>VÄRMLANDS LÄN</t>
        </is>
      </c>
      <c r="E410" t="inlineStr">
        <is>
          <t>ÅRJÄNG</t>
        </is>
      </c>
      <c r="G410" t="n">
        <v>2.7</v>
      </c>
      <c r="H410" t="n">
        <v>0</v>
      </c>
      <c r="I410" t="n">
        <v>0</v>
      </c>
      <c r="J410" t="n">
        <v>0</v>
      </c>
      <c r="K410" t="n">
        <v>0</v>
      </c>
      <c r="L410" t="n">
        <v>0</v>
      </c>
      <c r="M410" t="n">
        <v>0</v>
      </c>
      <c r="N410" t="n">
        <v>0</v>
      </c>
      <c r="O410" t="n">
        <v>0</v>
      </c>
      <c r="P410" t="n">
        <v>0</v>
      </c>
      <c r="Q410" t="n">
        <v>0</v>
      </c>
      <c r="R410" s="2" t="inlineStr"/>
    </row>
    <row r="411" ht="15" customHeight="1">
      <c r="A411" t="inlineStr">
        <is>
          <t>A 15245-2021</t>
        </is>
      </c>
      <c r="B411" s="1" t="n">
        <v>44284</v>
      </c>
      <c r="C411" s="1" t="n">
        <v>45512</v>
      </c>
      <c r="D411" t="inlineStr">
        <is>
          <t>VÄRMLANDS LÄN</t>
        </is>
      </c>
      <c r="E411" t="inlineStr">
        <is>
          <t>ÅRJÄNG</t>
        </is>
      </c>
      <c r="G411" t="n">
        <v>6.6</v>
      </c>
      <c r="H411" t="n">
        <v>0</v>
      </c>
      <c r="I411" t="n">
        <v>0</v>
      </c>
      <c r="J411" t="n">
        <v>0</v>
      </c>
      <c r="K411" t="n">
        <v>0</v>
      </c>
      <c r="L411" t="n">
        <v>0</v>
      </c>
      <c r="M411" t="n">
        <v>0</v>
      </c>
      <c r="N411" t="n">
        <v>0</v>
      </c>
      <c r="O411" t="n">
        <v>0</v>
      </c>
      <c r="P411" t="n">
        <v>0</v>
      </c>
      <c r="Q411" t="n">
        <v>0</v>
      </c>
      <c r="R411" s="2" t="inlineStr"/>
    </row>
    <row r="412" ht="15" customHeight="1">
      <c r="A412" t="inlineStr">
        <is>
          <t>A 16176-2021</t>
        </is>
      </c>
      <c r="B412" s="1" t="n">
        <v>44292</v>
      </c>
      <c r="C412" s="1" t="n">
        <v>45512</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16676-2021</t>
        </is>
      </c>
      <c r="B413" s="1" t="n">
        <v>44294</v>
      </c>
      <c r="C413" s="1" t="n">
        <v>45512</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16689-2021</t>
        </is>
      </c>
      <c r="B414" s="1" t="n">
        <v>44294</v>
      </c>
      <c r="C414" s="1" t="n">
        <v>45512</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17248-2021</t>
        </is>
      </c>
      <c r="B415" s="1" t="n">
        <v>44298</v>
      </c>
      <c r="C415" s="1" t="n">
        <v>45512</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17178-2021</t>
        </is>
      </c>
      <c r="B416" s="1" t="n">
        <v>44298</v>
      </c>
      <c r="C416" s="1" t="n">
        <v>45512</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17927-2021</t>
        </is>
      </c>
      <c r="B417" s="1" t="n">
        <v>44301</v>
      </c>
      <c r="C417" s="1" t="n">
        <v>45512</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17892-2021</t>
        </is>
      </c>
      <c r="B418" s="1" t="n">
        <v>44301</v>
      </c>
      <c r="C418" s="1" t="n">
        <v>45512</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18661-2021</t>
        </is>
      </c>
      <c r="B419" s="1" t="n">
        <v>44306</v>
      </c>
      <c r="C419" s="1" t="n">
        <v>45512</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18903-2021</t>
        </is>
      </c>
      <c r="B420" s="1" t="n">
        <v>44308</v>
      </c>
      <c r="C420" s="1" t="n">
        <v>45512</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19244-2021</t>
        </is>
      </c>
      <c r="B421" s="1" t="n">
        <v>44309</v>
      </c>
      <c r="C421" s="1" t="n">
        <v>45512</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19458-2021</t>
        </is>
      </c>
      <c r="B422" s="1" t="n">
        <v>44311</v>
      </c>
      <c r="C422" s="1" t="n">
        <v>45512</v>
      </c>
      <c r="D422" t="inlineStr">
        <is>
          <t>VÄRMLANDS LÄN</t>
        </is>
      </c>
      <c r="E422" t="inlineStr">
        <is>
          <t>ÅRJÄNG</t>
        </is>
      </c>
      <c r="G422" t="n">
        <v>15.6</v>
      </c>
      <c r="H422" t="n">
        <v>0</v>
      </c>
      <c r="I422" t="n">
        <v>0</v>
      </c>
      <c r="J422" t="n">
        <v>0</v>
      </c>
      <c r="K422" t="n">
        <v>0</v>
      </c>
      <c r="L422" t="n">
        <v>0</v>
      </c>
      <c r="M422" t="n">
        <v>0</v>
      </c>
      <c r="N422" t="n">
        <v>0</v>
      </c>
      <c r="O422" t="n">
        <v>0</v>
      </c>
      <c r="P422" t="n">
        <v>0</v>
      </c>
      <c r="Q422" t="n">
        <v>0</v>
      </c>
      <c r="R422" s="2" t="inlineStr"/>
    </row>
    <row r="423" ht="15" customHeight="1">
      <c r="A423" t="inlineStr">
        <is>
          <t>A 21701-2021</t>
        </is>
      </c>
      <c r="B423" s="1" t="n">
        <v>44322</v>
      </c>
      <c r="C423" s="1" t="n">
        <v>45512</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21995-2021</t>
        </is>
      </c>
      <c r="B424" s="1" t="n">
        <v>44323</v>
      </c>
      <c r="C424" s="1" t="n">
        <v>45512</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21996-2021</t>
        </is>
      </c>
      <c r="B425" s="1" t="n">
        <v>44323</v>
      </c>
      <c r="C425" s="1" t="n">
        <v>45512</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22158-2021</t>
        </is>
      </c>
      <c r="B426" s="1" t="n">
        <v>44325</v>
      </c>
      <c r="C426" s="1" t="n">
        <v>45512</v>
      </c>
      <c r="D426" t="inlineStr">
        <is>
          <t>VÄRMLANDS LÄN</t>
        </is>
      </c>
      <c r="E426" t="inlineStr">
        <is>
          <t>ÅRJÄNG</t>
        </is>
      </c>
      <c r="G426" t="n">
        <v>5</v>
      </c>
      <c r="H426" t="n">
        <v>0</v>
      </c>
      <c r="I426" t="n">
        <v>0</v>
      </c>
      <c r="J426" t="n">
        <v>0</v>
      </c>
      <c r="K426" t="n">
        <v>0</v>
      </c>
      <c r="L426" t="n">
        <v>0</v>
      </c>
      <c r="M426" t="n">
        <v>0</v>
      </c>
      <c r="N426" t="n">
        <v>0</v>
      </c>
      <c r="O426" t="n">
        <v>0</v>
      </c>
      <c r="P426" t="n">
        <v>0</v>
      </c>
      <c r="Q426" t="n">
        <v>0</v>
      </c>
      <c r="R426" s="2" t="inlineStr"/>
    </row>
    <row r="427" ht="15" customHeight="1">
      <c r="A427" t="inlineStr">
        <is>
          <t>A 23042-2021</t>
        </is>
      </c>
      <c r="B427" s="1" t="n">
        <v>44329</v>
      </c>
      <c r="C427" s="1" t="n">
        <v>45512</v>
      </c>
      <c r="D427" t="inlineStr">
        <is>
          <t>VÄRMLANDS LÄN</t>
        </is>
      </c>
      <c r="E427" t="inlineStr">
        <is>
          <t>ÅRJÄNG</t>
        </is>
      </c>
      <c r="G427" t="n">
        <v>7.7</v>
      </c>
      <c r="H427" t="n">
        <v>0</v>
      </c>
      <c r="I427" t="n">
        <v>0</v>
      </c>
      <c r="J427" t="n">
        <v>0</v>
      </c>
      <c r="K427" t="n">
        <v>0</v>
      </c>
      <c r="L427" t="n">
        <v>0</v>
      </c>
      <c r="M427" t="n">
        <v>0</v>
      </c>
      <c r="N427" t="n">
        <v>0</v>
      </c>
      <c r="O427" t="n">
        <v>0</v>
      </c>
      <c r="P427" t="n">
        <v>0</v>
      </c>
      <c r="Q427" t="n">
        <v>0</v>
      </c>
      <c r="R427" s="2" t="inlineStr"/>
    </row>
    <row r="428" ht="15" customHeight="1">
      <c r="A428" t="inlineStr">
        <is>
          <t>A 23450-2021</t>
        </is>
      </c>
      <c r="B428" s="1" t="n">
        <v>44333</v>
      </c>
      <c r="C428" s="1" t="n">
        <v>45512</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23451-2021</t>
        </is>
      </c>
      <c r="B429" s="1" t="n">
        <v>44333</v>
      </c>
      <c r="C429" s="1" t="n">
        <v>45512</v>
      </c>
      <c r="D429" t="inlineStr">
        <is>
          <t>VÄRMLANDS LÄN</t>
        </is>
      </c>
      <c r="E429" t="inlineStr">
        <is>
          <t>ÅRJÄNG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23815-2021</t>
        </is>
      </c>
      <c r="B430" s="1" t="n">
        <v>44335</v>
      </c>
      <c r="C430" s="1" t="n">
        <v>45512</v>
      </c>
      <c r="D430" t="inlineStr">
        <is>
          <t>VÄRMLANDS LÄN</t>
        </is>
      </c>
      <c r="E430" t="inlineStr">
        <is>
          <t>ÅRJÄNG</t>
        </is>
      </c>
      <c r="G430" t="n">
        <v>4.9</v>
      </c>
      <c r="H430" t="n">
        <v>0</v>
      </c>
      <c r="I430" t="n">
        <v>0</v>
      </c>
      <c r="J430" t="n">
        <v>0</v>
      </c>
      <c r="K430" t="n">
        <v>0</v>
      </c>
      <c r="L430" t="n">
        <v>0</v>
      </c>
      <c r="M430" t="n">
        <v>0</v>
      </c>
      <c r="N430" t="n">
        <v>0</v>
      </c>
      <c r="O430" t="n">
        <v>0</v>
      </c>
      <c r="P430" t="n">
        <v>0</v>
      </c>
      <c r="Q430" t="n">
        <v>0</v>
      </c>
      <c r="R430" s="2" t="inlineStr"/>
    </row>
    <row r="431" ht="15" customHeight="1">
      <c r="A431" t="inlineStr">
        <is>
          <t>A 26211-2021</t>
        </is>
      </c>
      <c r="B431" s="1" t="n">
        <v>44347</v>
      </c>
      <c r="C431" s="1" t="n">
        <v>45512</v>
      </c>
      <c r="D431" t="inlineStr">
        <is>
          <t>VÄRMLANDS LÄN</t>
        </is>
      </c>
      <c r="E431" t="inlineStr">
        <is>
          <t>ÅRJÄNG</t>
        </is>
      </c>
      <c r="G431" t="n">
        <v>2.8</v>
      </c>
      <c r="H431" t="n">
        <v>0</v>
      </c>
      <c r="I431" t="n">
        <v>0</v>
      </c>
      <c r="J431" t="n">
        <v>0</v>
      </c>
      <c r="K431" t="n">
        <v>0</v>
      </c>
      <c r="L431" t="n">
        <v>0</v>
      </c>
      <c r="M431" t="n">
        <v>0</v>
      </c>
      <c r="N431" t="n">
        <v>0</v>
      </c>
      <c r="O431" t="n">
        <v>0</v>
      </c>
      <c r="P431" t="n">
        <v>0</v>
      </c>
      <c r="Q431" t="n">
        <v>0</v>
      </c>
      <c r="R431" s="2" t="inlineStr"/>
    </row>
    <row r="432" ht="15" customHeight="1">
      <c r="A432" t="inlineStr">
        <is>
          <t>A 26284-2021</t>
        </is>
      </c>
      <c r="B432" s="1" t="n">
        <v>44347</v>
      </c>
      <c r="C432" s="1" t="n">
        <v>45512</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27001-2021</t>
        </is>
      </c>
      <c r="B433" s="1" t="n">
        <v>44350</v>
      </c>
      <c r="C433" s="1" t="n">
        <v>45512</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v>
      </c>
      <c r="C434" s="1" t="n">
        <v>45512</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27745-2021</t>
        </is>
      </c>
      <c r="B435" s="1" t="n">
        <v>44354</v>
      </c>
      <c r="C435" s="1" t="n">
        <v>45512</v>
      </c>
      <c r="D435" t="inlineStr">
        <is>
          <t>VÄRMLANDS LÄN</t>
        </is>
      </c>
      <c r="E435" t="inlineStr">
        <is>
          <t>ÅRJÄNG</t>
        </is>
      </c>
      <c r="G435" t="n">
        <v>0.6</v>
      </c>
      <c r="H435" t="n">
        <v>0</v>
      </c>
      <c r="I435" t="n">
        <v>0</v>
      </c>
      <c r="J435" t="n">
        <v>0</v>
      </c>
      <c r="K435" t="n">
        <v>0</v>
      </c>
      <c r="L435" t="n">
        <v>0</v>
      </c>
      <c r="M435" t="n">
        <v>0</v>
      </c>
      <c r="N435" t="n">
        <v>0</v>
      </c>
      <c r="O435" t="n">
        <v>0</v>
      </c>
      <c r="P435" t="n">
        <v>0</v>
      </c>
      <c r="Q435" t="n">
        <v>0</v>
      </c>
      <c r="R435" s="2" t="inlineStr"/>
    </row>
    <row r="436" ht="15" customHeight="1">
      <c r="A436" t="inlineStr">
        <is>
          <t>A 27871-2021</t>
        </is>
      </c>
      <c r="B436" s="1" t="n">
        <v>44354</v>
      </c>
      <c r="C436" s="1" t="n">
        <v>45512</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27862-2021</t>
        </is>
      </c>
      <c r="B437" s="1" t="n">
        <v>44354</v>
      </c>
      <c r="C437" s="1" t="n">
        <v>45512</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28437-2021</t>
        </is>
      </c>
      <c r="B438" s="1" t="n">
        <v>44356</v>
      </c>
      <c r="C438" s="1" t="n">
        <v>45512</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29701-2021</t>
        </is>
      </c>
      <c r="B439" s="1" t="n">
        <v>44362</v>
      </c>
      <c r="C439" s="1" t="n">
        <v>45512</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29700-2021</t>
        </is>
      </c>
      <c r="B440" s="1" t="n">
        <v>44362</v>
      </c>
      <c r="C440" s="1" t="n">
        <v>45512</v>
      </c>
      <c r="D440" t="inlineStr">
        <is>
          <t>VÄRMLANDS LÄN</t>
        </is>
      </c>
      <c r="E440" t="inlineStr">
        <is>
          <t>ÅRJÄNG</t>
        </is>
      </c>
      <c r="G440" t="n">
        <v>3.1</v>
      </c>
      <c r="H440" t="n">
        <v>0</v>
      </c>
      <c r="I440" t="n">
        <v>0</v>
      </c>
      <c r="J440" t="n">
        <v>0</v>
      </c>
      <c r="K440" t="n">
        <v>0</v>
      </c>
      <c r="L440" t="n">
        <v>0</v>
      </c>
      <c r="M440" t="n">
        <v>0</v>
      </c>
      <c r="N440" t="n">
        <v>0</v>
      </c>
      <c r="O440" t="n">
        <v>0</v>
      </c>
      <c r="P440" t="n">
        <v>0</v>
      </c>
      <c r="Q440" t="n">
        <v>0</v>
      </c>
      <c r="R440" s="2" t="inlineStr"/>
    </row>
    <row r="441" ht="15" customHeight="1">
      <c r="A441" t="inlineStr">
        <is>
          <t>A 30699-2021</t>
        </is>
      </c>
      <c r="B441" s="1" t="n">
        <v>44365</v>
      </c>
      <c r="C441" s="1" t="n">
        <v>45512</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30693-2021</t>
        </is>
      </c>
      <c r="B442" s="1" t="n">
        <v>44365</v>
      </c>
      <c r="C442" s="1" t="n">
        <v>45512</v>
      </c>
      <c r="D442" t="inlineStr">
        <is>
          <t>VÄRMLANDS LÄN</t>
        </is>
      </c>
      <c r="E442" t="inlineStr">
        <is>
          <t>ÅRJÄNG</t>
        </is>
      </c>
      <c r="G442" t="n">
        <v>8.4</v>
      </c>
      <c r="H442" t="n">
        <v>0</v>
      </c>
      <c r="I442" t="n">
        <v>0</v>
      </c>
      <c r="J442" t="n">
        <v>0</v>
      </c>
      <c r="K442" t="n">
        <v>0</v>
      </c>
      <c r="L442" t="n">
        <v>0</v>
      </c>
      <c r="M442" t="n">
        <v>0</v>
      </c>
      <c r="N442" t="n">
        <v>0</v>
      </c>
      <c r="O442" t="n">
        <v>0</v>
      </c>
      <c r="P442" t="n">
        <v>0</v>
      </c>
      <c r="Q442" t="n">
        <v>0</v>
      </c>
      <c r="R442" s="2" t="inlineStr"/>
    </row>
    <row r="443" ht="15" customHeight="1">
      <c r="A443" t="inlineStr">
        <is>
          <t>A 30817-2021</t>
        </is>
      </c>
      <c r="B443" s="1" t="n">
        <v>44365</v>
      </c>
      <c r="C443" s="1" t="n">
        <v>45512</v>
      </c>
      <c r="D443" t="inlineStr">
        <is>
          <t>VÄRMLANDS LÄN</t>
        </is>
      </c>
      <c r="E443" t="inlineStr">
        <is>
          <t>ÅRJÄNG</t>
        </is>
      </c>
      <c r="G443" t="n">
        <v>5.6</v>
      </c>
      <c r="H443" t="n">
        <v>0</v>
      </c>
      <c r="I443" t="n">
        <v>0</v>
      </c>
      <c r="J443" t="n">
        <v>0</v>
      </c>
      <c r="K443" t="n">
        <v>0</v>
      </c>
      <c r="L443" t="n">
        <v>0</v>
      </c>
      <c r="M443" t="n">
        <v>0</v>
      </c>
      <c r="N443" t="n">
        <v>0</v>
      </c>
      <c r="O443" t="n">
        <v>0</v>
      </c>
      <c r="P443" t="n">
        <v>0</v>
      </c>
      <c r="Q443" t="n">
        <v>0</v>
      </c>
      <c r="R443" s="2" t="inlineStr"/>
    </row>
    <row r="444" ht="15" customHeight="1">
      <c r="A444" t="inlineStr">
        <is>
          <t>A 32761-2021</t>
        </is>
      </c>
      <c r="B444" s="1" t="n">
        <v>44375</v>
      </c>
      <c r="C444" s="1" t="n">
        <v>45512</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32973-2021</t>
        </is>
      </c>
      <c r="B445" s="1" t="n">
        <v>44376</v>
      </c>
      <c r="C445" s="1" t="n">
        <v>45512</v>
      </c>
      <c r="D445" t="inlineStr">
        <is>
          <t>VÄRMLANDS LÄN</t>
        </is>
      </c>
      <c r="E445" t="inlineStr">
        <is>
          <t>ÅRJÄNG</t>
        </is>
      </c>
      <c r="G445" t="n">
        <v>1.8</v>
      </c>
      <c r="H445" t="n">
        <v>0</v>
      </c>
      <c r="I445" t="n">
        <v>0</v>
      </c>
      <c r="J445" t="n">
        <v>0</v>
      </c>
      <c r="K445" t="n">
        <v>0</v>
      </c>
      <c r="L445" t="n">
        <v>0</v>
      </c>
      <c r="M445" t="n">
        <v>0</v>
      </c>
      <c r="N445" t="n">
        <v>0</v>
      </c>
      <c r="O445" t="n">
        <v>0</v>
      </c>
      <c r="P445" t="n">
        <v>0</v>
      </c>
      <c r="Q445" t="n">
        <v>0</v>
      </c>
      <c r="R445" s="2" t="inlineStr"/>
    </row>
    <row r="446" ht="15" customHeight="1">
      <c r="A446" t="inlineStr">
        <is>
          <t>A 33025-2021</t>
        </is>
      </c>
      <c r="B446" s="1" t="n">
        <v>44376</v>
      </c>
      <c r="C446" s="1" t="n">
        <v>45512</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33304-2021</t>
        </is>
      </c>
      <c r="B447" s="1" t="n">
        <v>44377</v>
      </c>
      <c r="C447" s="1" t="n">
        <v>45512</v>
      </c>
      <c r="D447" t="inlineStr">
        <is>
          <t>VÄRMLANDS LÄN</t>
        </is>
      </c>
      <c r="E447" t="inlineStr">
        <is>
          <t>ÅRJÄNG</t>
        </is>
      </c>
      <c r="G447" t="n">
        <v>4.9</v>
      </c>
      <c r="H447" t="n">
        <v>0</v>
      </c>
      <c r="I447" t="n">
        <v>0</v>
      </c>
      <c r="J447" t="n">
        <v>0</v>
      </c>
      <c r="K447" t="n">
        <v>0</v>
      </c>
      <c r="L447" t="n">
        <v>0</v>
      </c>
      <c r="M447" t="n">
        <v>0</v>
      </c>
      <c r="N447" t="n">
        <v>0</v>
      </c>
      <c r="O447" t="n">
        <v>0</v>
      </c>
      <c r="P447" t="n">
        <v>0</v>
      </c>
      <c r="Q447" t="n">
        <v>0</v>
      </c>
      <c r="R447" s="2" t="inlineStr"/>
    </row>
    <row r="448" ht="15" customHeight="1">
      <c r="A448" t="inlineStr">
        <is>
          <t>A 33738-2021</t>
        </is>
      </c>
      <c r="B448" s="1" t="n">
        <v>44378</v>
      </c>
      <c r="C448" s="1" t="n">
        <v>45512</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33728-2021</t>
        </is>
      </c>
      <c r="B449" s="1" t="n">
        <v>44378</v>
      </c>
      <c r="C449" s="1" t="n">
        <v>45512</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34032-2021</t>
        </is>
      </c>
      <c r="B450" s="1" t="n">
        <v>44378</v>
      </c>
      <c r="C450" s="1" t="n">
        <v>45512</v>
      </c>
      <c r="D450" t="inlineStr">
        <is>
          <t>VÄRMLANDS LÄN</t>
        </is>
      </c>
      <c r="E450" t="inlineStr">
        <is>
          <t>ÅRJÄNG</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34425-2021</t>
        </is>
      </c>
      <c r="B451" s="1" t="n">
        <v>44380</v>
      </c>
      <c r="C451" s="1" t="n">
        <v>45512</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34466-2021</t>
        </is>
      </c>
      <c r="B452" s="1" t="n">
        <v>44381</v>
      </c>
      <c r="C452" s="1" t="n">
        <v>45512</v>
      </c>
      <c r="D452" t="inlineStr">
        <is>
          <t>VÄRMLANDS LÄN</t>
        </is>
      </c>
      <c r="E452" t="inlineStr">
        <is>
          <t>ÅRJÄNG</t>
        </is>
      </c>
      <c r="G452" t="n">
        <v>0.5</v>
      </c>
      <c r="H452" t="n">
        <v>0</v>
      </c>
      <c r="I452" t="n">
        <v>0</v>
      </c>
      <c r="J452" t="n">
        <v>0</v>
      </c>
      <c r="K452" t="n">
        <v>0</v>
      </c>
      <c r="L452" t="n">
        <v>0</v>
      </c>
      <c r="M452" t="n">
        <v>0</v>
      </c>
      <c r="N452" t="n">
        <v>0</v>
      </c>
      <c r="O452" t="n">
        <v>0</v>
      </c>
      <c r="P452" t="n">
        <v>0</v>
      </c>
      <c r="Q452" t="n">
        <v>0</v>
      </c>
      <c r="R452" s="2" t="inlineStr"/>
    </row>
    <row r="453" ht="15" customHeight="1">
      <c r="A453" t="inlineStr">
        <is>
          <t>A 34803-2021</t>
        </is>
      </c>
      <c r="B453" s="1" t="n">
        <v>44383</v>
      </c>
      <c r="C453" s="1" t="n">
        <v>45512</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35015-2021</t>
        </is>
      </c>
      <c r="B454" s="1" t="n">
        <v>44383</v>
      </c>
      <c r="C454" s="1" t="n">
        <v>45512</v>
      </c>
      <c r="D454" t="inlineStr">
        <is>
          <t>VÄRMLANDS LÄN</t>
        </is>
      </c>
      <c r="E454" t="inlineStr">
        <is>
          <t>ÅRJÄNG</t>
        </is>
      </c>
      <c r="G454" t="n">
        <v>3.9</v>
      </c>
      <c r="H454" t="n">
        <v>0</v>
      </c>
      <c r="I454" t="n">
        <v>0</v>
      </c>
      <c r="J454" t="n">
        <v>0</v>
      </c>
      <c r="K454" t="n">
        <v>0</v>
      </c>
      <c r="L454" t="n">
        <v>0</v>
      </c>
      <c r="M454" t="n">
        <v>0</v>
      </c>
      <c r="N454" t="n">
        <v>0</v>
      </c>
      <c r="O454" t="n">
        <v>0</v>
      </c>
      <c r="P454" t="n">
        <v>0</v>
      </c>
      <c r="Q454" t="n">
        <v>0</v>
      </c>
      <c r="R454" s="2" t="inlineStr"/>
    </row>
    <row r="455" ht="15" customHeight="1">
      <c r="A455" t="inlineStr">
        <is>
          <t>A 35157-2021</t>
        </is>
      </c>
      <c r="B455" s="1" t="n">
        <v>44383</v>
      </c>
      <c r="C455" s="1" t="n">
        <v>45512</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35104-2021</t>
        </is>
      </c>
      <c r="B456" s="1" t="n">
        <v>44384</v>
      </c>
      <c r="C456" s="1" t="n">
        <v>45512</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35265-2021</t>
        </is>
      </c>
      <c r="B457" s="1" t="n">
        <v>44384</v>
      </c>
      <c r="C457" s="1" t="n">
        <v>45512</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35543-2021</t>
        </is>
      </c>
      <c r="B458" s="1" t="n">
        <v>44385</v>
      </c>
      <c r="C458" s="1" t="n">
        <v>45512</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36087-2021</t>
        </is>
      </c>
      <c r="B459" s="1" t="n">
        <v>44389</v>
      </c>
      <c r="C459" s="1" t="n">
        <v>45512</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36499-2021</t>
        </is>
      </c>
      <c r="B460" s="1" t="n">
        <v>44391</v>
      </c>
      <c r="C460" s="1" t="n">
        <v>45512</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45512</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36641-2021</t>
        </is>
      </c>
      <c r="B462" s="1" t="n">
        <v>44392</v>
      </c>
      <c r="C462" s="1" t="n">
        <v>45512</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36948-2021</t>
        </is>
      </c>
      <c r="B463" s="1" t="n">
        <v>44393</v>
      </c>
      <c r="C463" s="1" t="n">
        <v>45512</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37136-2021</t>
        </is>
      </c>
      <c r="B464" s="1" t="n">
        <v>44396</v>
      </c>
      <c r="C464" s="1" t="n">
        <v>45512</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37697-2021</t>
        </is>
      </c>
      <c r="B465" s="1" t="n">
        <v>44400</v>
      </c>
      <c r="C465" s="1" t="n">
        <v>45512</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39067-2021</t>
        </is>
      </c>
      <c r="B466" s="1" t="n">
        <v>44412</v>
      </c>
      <c r="C466" s="1" t="n">
        <v>45512</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39015-2021</t>
        </is>
      </c>
      <c r="B467" s="1" t="n">
        <v>44412</v>
      </c>
      <c r="C467" s="1" t="n">
        <v>45512</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39752-2021</t>
        </is>
      </c>
      <c r="B468" s="1" t="n">
        <v>44417</v>
      </c>
      <c r="C468" s="1" t="n">
        <v>45512</v>
      </c>
      <c r="D468" t="inlineStr">
        <is>
          <t>VÄRMLANDS LÄN</t>
        </is>
      </c>
      <c r="E468" t="inlineStr">
        <is>
          <t>ÅRJÄNG</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40832-2021</t>
        </is>
      </c>
      <c r="B469" s="1" t="n">
        <v>44421</v>
      </c>
      <c r="C469" s="1" t="n">
        <v>45512</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40829-2021</t>
        </is>
      </c>
      <c r="B470" s="1" t="n">
        <v>44421</v>
      </c>
      <c r="C470" s="1" t="n">
        <v>45512</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41416-2021</t>
        </is>
      </c>
      <c r="B471" s="1" t="n">
        <v>44424</v>
      </c>
      <c r="C471" s="1" t="n">
        <v>45512</v>
      </c>
      <c r="D471" t="inlineStr">
        <is>
          <t>VÄRMLANDS LÄN</t>
        </is>
      </c>
      <c r="E471" t="inlineStr">
        <is>
          <t>ÅRJÄNG</t>
        </is>
      </c>
      <c r="G471" t="n">
        <v>10.4</v>
      </c>
      <c r="H471" t="n">
        <v>0</v>
      </c>
      <c r="I471" t="n">
        <v>0</v>
      </c>
      <c r="J471" t="n">
        <v>0</v>
      </c>
      <c r="K471" t="n">
        <v>0</v>
      </c>
      <c r="L471" t="n">
        <v>0</v>
      </c>
      <c r="M471" t="n">
        <v>0</v>
      </c>
      <c r="N471" t="n">
        <v>0</v>
      </c>
      <c r="O471" t="n">
        <v>0</v>
      </c>
      <c r="P471" t="n">
        <v>0</v>
      </c>
      <c r="Q471" t="n">
        <v>0</v>
      </c>
      <c r="R471" s="2" t="inlineStr"/>
    </row>
    <row r="472" ht="15" customHeight="1">
      <c r="A472" t="inlineStr">
        <is>
          <t>A 42576-2021</t>
        </is>
      </c>
      <c r="B472" s="1" t="n">
        <v>44428</v>
      </c>
      <c r="C472" s="1" t="n">
        <v>45512</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43027-2021</t>
        </is>
      </c>
      <c r="B473" s="1" t="n">
        <v>44431</v>
      </c>
      <c r="C473" s="1" t="n">
        <v>45512</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42963-2021</t>
        </is>
      </c>
      <c r="B474" s="1" t="n">
        <v>44431</v>
      </c>
      <c r="C474" s="1" t="n">
        <v>45512</v>
      </c>
      <c r="D474" t="inlineStr">
        <is>
          <t>VÄRMLANDS LÄN</t>
        </is>
      </c>
      <c r="E474" t="inlineStr">
        <is>
          <t>ÅRJÄNG</t>
        </is>
      </c>
      <c r="G474" t="n">
        <v>5.6</v>
      </c>
      <c r="H474" t="n">
        <v>0</v>
      </c>
      <c r="I474" t="n">
        <v>0</v>
      </c>
      <c r="J474" t="n">
        <v>0</v>
      </c>
      <c r="K474" t="n">
        <v>0</v>
      </c>
      <c r="L474" t="n">
        <v>0</v>
      </c>
      <c r="M474" t="n">
        <v>0</v>
      </c>
      <c r="N474" t="n">
        <v>0</v>
      </c>
      <c r="O474" t="n">
        <v>0</v>
      </c>
      <c r="P474" t="n">
        <v>0</v>
      </c>
      <c r="Q474" t="n">
        <v>0</v>
      </c>
      <c r="R474" s="2" t="inlineStr"/>
    </row>
    <row r="475" ht="15" customHeight="1">
      <c r="A475" t="inlineStr">
        <is>
          <t>A 43029-2021</t>
        </is>
      </c>
      <c r="B475" s="1" t="n">
        <v>44431</v>
      </c>
      <c r="C475" s="1" t="n">
        <v>45512</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42915-2021</t>
        </is>
      </c>
      <c r="B476" s="1" t="n">
        <v>44431</v>
      </c>
      <c r="C476" s="1" t="n">
        <v>45512</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42956-2021</t>
        </is>
      </c>
      <c r="B477" s="1" t="n">
        <v>44431</v>
      </c>
      <c r="C477" s="1" t="n">
        <v>45512</v>
      </c>
      <c r="D477" t="inlineStr">
        <is>
          <t>VÄRMLANDS LÄN</t>
        </is>
      </c>
      <c r="E477" t="inlineStr">
        <is>
          <t>ÅRJÄNG</t>
        </is>
      </c>
      <c r="G477" t="n">
        <v>4.2</v>
      </c>
      <c r="H477" t="n">
        <v>0</v>
      </c>
      <c r="I477" t="n">
        <v>0</v>
      </c>
      <c r="J477" t="n">
        <v>0</v>
      </c>
      <c r="K477" t="n">
        <v>0</v>
      </c>
      <c r="L477" t="n">
        <v>0</v>
      </c>
      <c r="M477" t="n">
        <v>0</v>
      </c>
      <c r="N477" t="n">
        <v>0</v>
      </c>
      <c r="O477" t="n">
        <v>0</v>
      </c>
      <c r="P477" t="n">
        <v>0</v>
      </c>
      <c r="Q477" t="n">
        <v>0</v>
      </c>
      <c r="R477" s="2" t="inlineStr"/>
    </row>
    <row r="478" ht="15" customHeight="1">
      <c r="A478" t="inlineStr">
        <is>
          <t>A 43034-2021</t>
        </is>
      </c>
      <c r="B478" s="1" t="n">
        <v>44431</v>
      </c>
      <c r="C478" s="1" t="n">
        <v>45512</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43578-2021</t>
        </is>
      </c>
      <c r="B479" s="1" t="n">
        <v>44433</v>
      </c>
      <c r="C479" s="1" t="n">
        <v>45512</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44417-2021</t>
        </is>
      </c>
      <c r="B480" s="1" t="n">
        <v>44435</v>
      </c>
      <c r="C480" s="1" t="n">
        <v>45512</v>
      </c>
      <c r="D480" t="inlineStr">
        <is>
          <t>VÄRMLANDS LÄN</t>
        </is>
      </c>
      <c r="E480" t="inlineStr">
        <is>
          <t>ÅRJÄNG</t>
        </is>
      </c>
      <c r="G480" t="n">
        <v>32.2</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v>
      </c>
      <c r="C481" s="1" t="n">
        <v>45512</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44921-2021</t>
        </is>
      </c>
      <c r="B482" s="1" t="n">
        <v>44438</v>
      </c>
      <c r="C482" s="1" t="n">
        <v>45512</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45962-2021</t>
        </is>
      </c>
      <c r="B483" s="1" t="n">
        <v>44441</v>
      </c>
      <c r="C483" s="1" t="n">
        <v>45512</v>
      </c>
      <c r="D483" t="inlineStr">
        <is>
          <t>VÄRMLANDS LÄN</t>
        </is>
      </c>
      <c r="E483" t="inlineStr">
        <is>
          <t>ÅRJÄNG</t>
        </is>
      </c>
      <c r="G483" t="n">
        <v>4.3</v>
      </c>
      <c r="H483" t="n">
        <v>0</v>
      </c>
      <c r="I483" t="n">
        <v>0</v>
      </c>
      <c r="J483" t="n">
        <v>0</v>
      </c>
      <c r="K483" t="n">
        <v>0</v>
      </c>
      <c r="L483" t="n">
        <v>0</v>
      </c>
      <c r="M483" t="n">
        <v>0</v>
      </c>
      <c r="N483" t="n">
        <v>0</v>
      </c>
      <c r="O483" t="n">
        <v>0</v>
      </c>
      <c r="P483" t="n">
        <v>0</v>
      </c>
      <c r="Q483" t="n">
        <v>0</v>
      </c>
      <c r="R483" s="2" t="inlineStr"/>
    </row>
    <row r="484" ht="15" customHeight="1">
      <c r="A484" t="inlineStr">
        <is>
          <t>A 46248-2021</t>
        </is>
      </c>
      <c r="B484" s="1" t="n">
        <v>44442</v>
      </c>
      <c r="C484" s="1" t="n">
        <v>45512</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46096-2021</t>
        </is>
      </c>
      <c r="B485" s="1" t="n">
        <v>44442</v>
      </c>
      <c r="C485" s="1" t="n">
        <v>45512</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46647-2021</t>
        </is>
      </c>
      <c r="B486" s="1" t="n">
        <v>44445</v>
      </c>
      <c r="C486" s="1" t="n">
        <v>45512</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46644-2021</t>
        </is>
      </c>
      <c r="B487" s="1" t="n">
        <v>44445</v>
      </c>
      <c r="C487" s="1" t="n">
        <v>45512</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47005-2021</t>
        </is>
      </c>
      <c r="B488" s="1" t="n">
        <v>44446</v>
      </c>
      <c r="C488" s="1" t="n">
        <v>45512</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47035-2021</t>
        </is>
      </c>
      <c r="B489" s="1" t="n">
        <v>44446</v>
      </c>
      <c r="C489" s="1" t="n">
        <v>45512</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46987-2021</t>
        </is>
      </c>
      <c r="B490" s="1" t="n">
        <v>44446</v>
      </c>
      <c r="C490" s="1" t="n">
        <v>45512</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47015-2021</t>
        </is>
      </c>
      <c r="B491" s="1" t="n">
        <v>44446</v>
      </c>
      <c r="C491" s="1" t="n">
        <v>45512</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47033-2021</t>
        </is>
      </c>
      <c r="B492" s="1" t="n">
        <v>44446</v>
      </c>
      <c r="C492" s="1" t="n">
        <v>45512</v>
      </c>
      <c r="D492" t="inlineStr">
        <is>
          <t>VÄRMLANDS LÄN</t>
        </is>
      </c>
      <c r="E492" t="inlineStr">
        <is>
          <t>ÅRJÄNG</t>
        </is>
      </c>
      <c r="G492" t="n">
        <v>0.6</v>
      </c>
      <c r="H492" t="n">
        <v>0</v>
      </c>
      <c r="I492" t="n">
        <v>0</v>
      </c>
      <c r="J492" t="n">
        <v>0</v>
      </c>
      <c r="K492" t="n">
        <v>0</v>
      </c>
      <c r="L492" t="n">
        <v>0</v>
      </c>
      <c r="M492" t="n">
        <v>0</v>
      </c>
      <c r="N492" t="n">
        <v>0</v>
      </c>
      <c r="O492" t="n">
        <v>0</v>
      </c>
      <c r="P492" t="n">
        <v>0</v>
      </c>
      <c r="Q492" t="n">
        <v>0</v>
      </c>
      <c r="R492" s="2" t="inlineStr"/>
    </row>
    <row r="493" ht="15" customHeight="1">
      <c r="A493" t="inlineStr">
        <is>
          <t>A 46994-2021</t>
        </is>
      </c>
      <c r="B493" s="1" t="n">
        <v>44446</v>
      </c>
      <c r="C493" s="1" t="n">
        <v>45512</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47011-2021</t>
        </is>
      </c>
      <c r="B494" s="1" t="n">
        <v>44446</v>
      </c>
      <c r="C494" s="1" t="n">
        <v>45512</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47026-2021</t>
        </is>
      </c>
      <c r="B495" s="1" t="n">
        <v>44446</v>
      </c>
      <c r="C495" s="1" t="n">
        <v>45512</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47223-2021</t>
        </is>
      </c>
      <c r="B496" s="1" t="n">
        <v>44446</v>
      </c>
      <c r="C496" s="1" t="n">
        <v>45512</v>
      </c>
      <c r="D496" t="inlineStr">
        <is>
          <t>VÄRMLANDS LÄN</t>
        </is>
      </c>
      <c r="E496" t="inlineStr">
        <is>
          <t>ÅRJÄNG</t>
        </is>
      </c>
      <c r="G496" t="n">
        <v>5.4</v>
      </c>
      <c r="H496" t="n">
        <v>0</v>
      </c>
      <c r="I496" t="n">
        <v>0</v>
      </c>
      <c r="J496" t="n">
        <v>0</v>
      </c>
      <c r="K496" t="n">
        <v>0</v>
      </c>
      <c r="L496" t="n">
        <v>0</v>
      </c>
      <c r="M496" t="n">
        <v>0</v>
      </c>
      <c r="N496" t="n">
        <v>0</v>
      </c>
      <c r="O496" t="n">
        <v>0</v>
      </c>
      <c r="P496" t="n">
        <v>0</v>
      </c>
      <c r="Q496" t="n">
        <v>0</v>
      </c>
      <c r="R496" s="2" t="inlineStr"/>
    </row>
    <row r="497" ht="15" customHeight="1">
      <c r="A497" t="inlineStr">
        <is>
          <t>A 47231-2021</t>
        </is>
      </c>
      <c r="B497" s="1" t="n">
        <v>44446</v>
      </c>
      <c r="C497" s="1" t="n">
        <v>45512</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47287-2021</t>
        </is>
      </c>
      <c r="B498" s="1" t="n">
        <v>44446</v>
      </c>
      <c r="C498" s="1" t="n">
        <v>45512</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47013-2021</t>
        </is>
      </c>
      <c r="B499" s="1" t="n">
        <v>44446</v>
      </c>
      <c r="C499" s="1" t="n">
        <v>45512</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47215-2021</t>
        </is>
      </c>
      <c r="B500" s="1" t="n">
        <v>44446</v>
      </c>
      <c r="C500" s="1" t="n">
        <v>45512</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47230-2021</t>
        </is>
      </c>
      <c r="B501" s="1" t="n">
        <v>44446</v>
      </c>
      <c r="C501" s="1" t="n">
        <v>45512</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47235-2021</t>
        </is>
      </c>
      <c r="B502" s="1" t="n">
        <v>44446</v>
      </c>
      <c r="C502" s="1" t="n">
        <v>45512</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47293-2021</t>
        </is>
      </c>
      <c r="B503" s="1" t="n">
        <v>44446</v>
      </c>
      <c r="C503" s="1" t="n">
        <v>45512</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47228-2021</t>
        </is>
      </c>
      <c r="B504" s="1" t="n">
        <v>44446</v>
      </c>
      <c r="C504" s="1" t="n">
        <v>45512</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47242-2021</t>
        </is>
      </c>
      <c r="B505" s="1" t="n">
        <v>44446</v>
      </c>
      <c r="C505" s="1" t="n">
        <v>45512</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47360-2021</t>
        </is>
      </c>
      <c r="B506" s="1" t="n">
        <v>44447</v>
      </c>
      <c r="C506" s="1" t="n">
        <v>45512</v>
      </c>
      <c r="D506" t="inlineStr">
        <is>
          <t>VÄRMLANDS LÄN</t>
        </is>
      </c>
      <c r="E506" t="inlineStr">
        <is>
          <t>ÅRJÄNG</t>
        </is>
      </c>
      <c r="G506" t="n">
        <v>3.9</v>
      </c>
      <c r="H506" t="n">
        <v>0</v>
      </c>
      <c r="I506" t="n">
        <v>0</v>
      </c>
      <c r="J506" t="n">
        <v>0</v>
      </c>
      <c r="K506" t="n">
        <v>0</v>
      </c>
      <c r="L506" t="n">
        <v>0</v>
      </c>
      <c r="M506" t="n">
        <v>0</v>
      </c>
      <c r="N506" t="n">
        <v>0</v>
      </c>
      <c r="O506" t="n">
        <v>0</v>
      </c>
      <c r="P506" t="n">
        <v>0</v>
      </c>
      <c r="Q506" t="n">
        <v>0</v>
      </c>
      <c r="R506" s="2" t="inlineStr"/>
    </row>
    <row r="507" ht="15" customHeight="1">
      <c r="A507" t="inlineStr">
        <is>
          <t>A 47653-2021</t>
        </is>
      </c>
      <c r="B507" s="1" t="n">
        <v>44448</v>
      </c>
      <c r="C507" s="1" t="n">
        <v>45512</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47642-2021</t>
        </is>
      </c>
      <c r="B508" s="1" t="n">
        <v>44448</v>
      </c>
      <c r="C508" s="1" t="n">
        <v>45512</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47647-2021</t>
        </is>
      </c>
      <c r="B509" s="1" t="n">
        <v>44448</v>
      </c>
      <c r="C509" s="1" t="n">
        <v>45512</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48391-2021</t>
        </is>
      </c>
      <c r="B510" s="1" t="n">
        <v>44452</v>
      </c>
      <c r="C510" s="1" t="n">
        <v>45512</v>
      </c>
      <c r="D510" t="inlineStr">
        <is>
          <t>VÄRMLANDS LÄN</t>
        </is>
      </c>
      <c r="E510" t="inlineStr">
        <is>
          <t>ÅRJÄNG</t>
        </is>
      </c>
      <c r="G510" t="n">
        <v>3.5</v>
      </c>
      <c r="H510" t="n">
        <v>0</v>
      </c>
      <c r="I510" t="n">
        <v>0</v>
      </c>
      <c r="J510" t="n">
        <v>0</v>
      </c>
      <c r="K510" t="n">
        <v>0</v>
      </c>
      <c r="L510" t="n">
        <v>0</v>
      </c>
      <c r="M510" t="n">
        <v>0</v>
      </c>
      <c r="N510" t="n">
        <v>0</v>
      </c>
      <c r="O510" t="n">
        <v>0</v>
      </c>
      <c r="P510" t="n">
        <v>0</v>
      </c>
      <c r="Q510" t="n">
        <v>0</v>
      </c>
      <c r="R510" s="2" t="inlineStr"/>
    </row>
    <row r="511" ht="15" customHeight="1">
      <c r="A511" t="inlineStr">
        <is>
          <t>A 48389-2021</t>
        </is>
      </c>
      <c r="B511" s="1" t="n">
        <v>44452</v>
      </c>
      <c r="C511" s="1" t="n">
        <v>45512</v>
      </c>
      <c r="D511" t="inlineStr">
        <is>
          <t>VÄRMLANDS LÄN</t>
        </is>
      </c>
      <c r="E511" t="inlineStr">
        <is>
          <t>ÅRJÄNG</t>
        </is>
      </c>
      <c r="G511" t="n">
        <v>2.4</v>
      </c>
      <c r="H511" t="n">
        <v>0</v>
      </c>
      <c r="I511" t="n">
        <v>0</v>
      </c>
      <c r="J511" t="n">
        <v>0</v>
      </c>
      <c r="K511" t="n">
        <v>0</v>
      </c>
      <c r="L511" t="n">
        <v>0</v>
      </c>
      <c r="M511" t="n">
        <v>0</v>
      </c>
      <c r="N511" t="n">
        <v>0</v>
      </c>
      <c r="O511" t="n">
        <v>0</v>
      </c>
      <c r="P511" t="n">
        <v>0</v>
      </c>
      <c r="Q511" t="n">
        <v>0</v>
      </c>
      <c r="R511" s="2" t="inlineStr"/>
    </row>
    <row r="512" ht="15" customHeight="1">
      <c r="A512" t="inlineStr">
        <is>
          <t>A 48449-2021</t>
        </is>
      </c>
      <c r="B512" s="1" t="n">
        <v>44452</v>
      </c>
      <c r="C512" s="1" t="n">
        <v>45512</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45512</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45512</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45512</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45512</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45512</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45512</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45512</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45512</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45512</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45512</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45512</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45512</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45512</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45512</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45512</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45512</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45512</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45512</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45512</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45512</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45512</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45512</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45512</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45512</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45512</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45512</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45512</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45512</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45512</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45512</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45512</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45512</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45512</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45512</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45512</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45512</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45512</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45512</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45512</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45512</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45512</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45512</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45512</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45512</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45512</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45512</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45512</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45512</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45512</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45512</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45512</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45512</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45512</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45512</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45512</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45512</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45512</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45512</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45512</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45512</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45512</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45512</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45512</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45512</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45512</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45512</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45512</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45512</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45512</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45512</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45512</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45512</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45512</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45512</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45512</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45512</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45512</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45512</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45512</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45512</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45512</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45512</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45512</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45512</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45512</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45512</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45512</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45512</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45512</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45512</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45512</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45512</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45512</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45512</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45512</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45512</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45512</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45512</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45512</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45512</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45512</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45512</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45512</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45512</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45512</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45512</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45512</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45512</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45512</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45512</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45512</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45512</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45512</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45512</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45512</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45512</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45512</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45512</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45512</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45512</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45512</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45512</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45512</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45512</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45512</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45512</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45512</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45512</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45512</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45512</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45512</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45512</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45512</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45512</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45512</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45512</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45512</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45512</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45512</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45512</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45512</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45512</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45512</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45512</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45512</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45512</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45512</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45512</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45512</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45512</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45512</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45512</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45512</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45512</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45512</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45512</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45512</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45512</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45512</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45512</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45512</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45512</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45512</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45512</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45512</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45512</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45512</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45512</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45512</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45512</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45512</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45512</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45512</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45512</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45512</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45512</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45512</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45512</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45512</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45512</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45512</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45512</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45512</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45512</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45512</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45512</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45512</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45512</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45512</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45512</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45512</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45512</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45512</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45512</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45512</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45512</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45512</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45512</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45512</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45512</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45512</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45512</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45512</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45512</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45512</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45512</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45512</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45512</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45512</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45512</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45512</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45512</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45512</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45512</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45512</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45512</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45512</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45512</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45512</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45512</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45512</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45512</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45512</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45512</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45512</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45512</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45512</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45512</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45512</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45512</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45512</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45512</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45512</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45512</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45512</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45512</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45512</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45512</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45512</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45512</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45512</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45512</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45512</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45512</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45512</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45512</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45512</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45512</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45512</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45512</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45512</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45512</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45512</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45512</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45512</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45512</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45512</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45512</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45512</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45512</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45512</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45512</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45512</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45512</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45512</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45512</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45512</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45512</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45512</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45512</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45512</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45512</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45512</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45512</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45512</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45512</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45512</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45512</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45512</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45512</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45512</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45512</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45512</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45512</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45512</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45512</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45512</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45512</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45512</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45512</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45512</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45512</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45512</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45512</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45512</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45512</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45512</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45512</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45512</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45512</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45512</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45512</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45512</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45512</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45512</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45512</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45512</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45512</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45512</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45512</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45512</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45512</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45512</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45512</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45512</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45512</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45512</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45512</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45512</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45512</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45512</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45512</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45512</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45512</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45512</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45512</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45512</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45512</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45512</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45512</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45512</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45512</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45512</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45512</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45512</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45512</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45512</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45512</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45512</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45512</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45512</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45512</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45512</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45512</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45512</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45512</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45512</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45512</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45512</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45512</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45512</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45512</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45512</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45512</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45512</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45512</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45512</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45512</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45512</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45512</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45512</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45512</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45512</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45512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45512</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45512</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45512</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45512</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45512</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45512</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45512</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45512</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45512</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45512</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45512</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45512</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45512</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45512</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45512</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45512</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45512</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45512</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45512</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45512</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45512</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45512</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45512</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45512</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45512</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45512</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45512</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45512</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45512</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45512</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45512</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45512</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45512</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45512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45512</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45512</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45512</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45512</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45512</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45512</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45512</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45512</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45512</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45512</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45512</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45512</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45512</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45512</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45512</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45512</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45512</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45512</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45512</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45512</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45512</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45512</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45512</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45512</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45512</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45512</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45512</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45512</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45512</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45512</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45512</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45512</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45512</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45512</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45512</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45512</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45512</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45512</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45512</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45512</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45512</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45512</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45512</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45512</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45512</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45512</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45512</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45512</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45512</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45512</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45512</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45512</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45512</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45512</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45512</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45512</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45512</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45512</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45512</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45512</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45512</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45512</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45512</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45512</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45512</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45512</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45512</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45512</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45512</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45512</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45512</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45512</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45512</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45512</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45512</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45512</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45512</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45512</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45512</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45512</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45512</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45512</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45512</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45512</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45512</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45512</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45512</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45512</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45512</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45512</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45512</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45512</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45512</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45512</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45512</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45512</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45512</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45512</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45512</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45512</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45512</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45512</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45512</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45512</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45512</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45512</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45512</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45512</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45512</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45512</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45512</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45512</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45512</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45512</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45512</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45512</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45512</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45512</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45512</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45512</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45512</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45512</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45512</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45512</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45512</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45512</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45512</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45512</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45512</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45512</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45512</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45512</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45512</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45512</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45512</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45512</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45512</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45512</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45512</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45512</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45512</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45512</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45512</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45512</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45512</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45512</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45512</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45512</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45512</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45512</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45512</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45512</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45512</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45512</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45512</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45512</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45512</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45512</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45512</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45512</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45512</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45512</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45512</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45512</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45512</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45512</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45512</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45512</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45512</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45512</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45512</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45512</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45512</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45512</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45512</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45512</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45512</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45512</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45512</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45512</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45512</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45512</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45512</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45512</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45512</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45512</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45512</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45512</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45512</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45512</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45512</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45512</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45512</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45512</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45512</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45512</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45512</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45512</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45512</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45512</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45512</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45512</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45512</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45512</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45512</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45512</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45512</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45512</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45512</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45512</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45512</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45512</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45512</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45512</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45512</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45512</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45512</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45512</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45512</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45512</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45512</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45512</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45512</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45512</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45512</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45512</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45512</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45512</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45512</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45512</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45512</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45512</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45512</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45512</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45512</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45512</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45512</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45512</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45512</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45512</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45512</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45512</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45512</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45512</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45512</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45512</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45512</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45512</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45512</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45512</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45512</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45512</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45512</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45512</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45512</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45512</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45512</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45512</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45512</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45512</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45512</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45512</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45512</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45512</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45512</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45512</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45512</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45512</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45512</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45512</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45512</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45512</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45512</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45512</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45512</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45512</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45512</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45512</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45512</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45512</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45512</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45512</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45512</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45512</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45512</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45512</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45512</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45512</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45512</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45512</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45512</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45512</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45512</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45512</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45512</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45512</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45512</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45512</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45512</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45512</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45512</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45512</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45512</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45512</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45512</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45512</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45512</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45512</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45512</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45512</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45512</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45512</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45512</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45512</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45512</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45512</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45512</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45512</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45512</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45512</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45512</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45512</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45512</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45512</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45512</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45512</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45512</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45512</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45512</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45512</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45512</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45512</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45512</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45512</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45512</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45512</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45512</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45512</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45512</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45512</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45512</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45512</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45512</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45512</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45512</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45512</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45512</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45512</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45512</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45512</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45512</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45512</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45512</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45512</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45512</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45512</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45512</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45512</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45512</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45512</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45512</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45512</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45512</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45512</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45512</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45512</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45512</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45512</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45512</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45512</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45512</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45512</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45512</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45512</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45512</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45512</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45512</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45512</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45512</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45512</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45512</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45512</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45512</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45512</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45512</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45512</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45512</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45512</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45512</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45512</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45512</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45512</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45512</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45512</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45512</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45512</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45512</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45512</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45512</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45512</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45512</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45512</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45512</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45512</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45512</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45512</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45512</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45512</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45512</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45512</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45512</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45512</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45512</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45512</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45512</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45512</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45512</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45512</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45512</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45512</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45512</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45512</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45512</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45512</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45512</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45512</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45512</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45512</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45512</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45512</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45512</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45512</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45512</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45512</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45512</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45512</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45512</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45512</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45512</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45512</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45512</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45512</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45512</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45512</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45512</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45512</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45512</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45512</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45512</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45512</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45512</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45512</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45512</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45512</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45512</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45512</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45512</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45512</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45512</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45512</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45512</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45512</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45512</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45512</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45512</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45512</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45512</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45512</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45512</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45512</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45512</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45512</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45512</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45512</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45512</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45512</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45512</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45512</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45512</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45512</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45512</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45512</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45512</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45512</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45512</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45512</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45512</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45512</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45512</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45512</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45512</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45512</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45512</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45512</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45512</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45512</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45512</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45512</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45512</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45512</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45512</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45512</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45512</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45512</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45512</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45512</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45512</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45512</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45512</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45512</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45512</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45512</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45512</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45512</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45512</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45512</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45512</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45512</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45512</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45512</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45512</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45512</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45512</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45512</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45512</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45512</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45512</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45512</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45512</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45512</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45512</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45512</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45512</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45512</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45512</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45512</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45512</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45512</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45512</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45512</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45512</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45512</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45512</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45512</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45512</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45512</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45512</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45512</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45512</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45512</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45512</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45512</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45512</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45512</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45512</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45512</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45512</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45512</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45512</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45512</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45512</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45512</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45512</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45512</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45512</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45512</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45512</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45512</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45512</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45512</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45512</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45512</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45512</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45512</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45512</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45512</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45512</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45512</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45512</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45512</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45512</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45512</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45512</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45512</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29486-2024</t>
        </is>
      </c>
      <c r="B1495" s="1" t="n">
        <v>45484</v>
      </c>
      <c r="C1495" s="1" t="n">
        <v>45512</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29483-2024</t>
        </is>
      </c>
      <c r="B1496" s="1" t="n">
        <v>45484</v>
      </c>
      <c r="C1496" s="1" t="n">
        <v>45512</v>
      </c>
      <c r="D1496" t="inlineStr">
        <is>
          <t>VÄRMLANDS LÄN</t>
        </is>
      </c>
      <c r="E1496" t="inlineStr">
        <is>
          <t>ÅRJÄNG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29481-2024</t>
        </is>
      </c>
      <c r="B1497" s="1" t="n">
        <v>45484</v>
      </c>
      <c r="C1497" s="1" t="n">
        <v>45512</v>
      </c>
      <c r="D1497" t="inlineStr">
        <is>
          <t>VÄRMLANDS LÄN</t>
        </is>
      </c>
      <c r="E1497" t="inlineStr">
        <is>
          <t>ÅRJÄNG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29558-2024</t>
        </is>
      </c>
      <c r="B1498" s="1" t="n">
        <v>45484</v>
      </c>
      <c r="C1498" s="1" t="n">
        <v>45512</v>
      </c>
      <c r="D1498" t="inlineStr">
        <is>
          <t>VÄRMLANDS LÄN</t>
        </is>
      </c>
      <c r="E1498" t="inlineStr">
        <is>
          <t>ÅRJÄNG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45512</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29603-2024</t>
        </is>
      </c>
      <c r="B1500" s="1" t="n">
        <v>45484</v>
      </c>
      <c r="C1500" s="1" t="n">
        <v>45512</v>
      </c>
      <c r="D1500" t="inlineStr">
        <is>
          <t>VÄRMLANDS LÄN</t>
        </is>
      </c>
      <c r="E1500" t="inlineStr">
        <is>
          <t>ÅRJÄNG</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45512</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45512</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45512</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30996-2024</t>
        </is>
      </c>
      <c r="B1504" s="1" t="n">
        <v>45499</v>
      </c>
      <c r="C1504" s="1" t="n">
        <v>45512</v>
      </c>
      <c r="D1504" t="inlineStr">
        <is>
          <t>VÄRMLANDS LÄN</t>
        </is>
      </c>
      <c r="E1504" t="inlineStr">
        <is>
          <t>ÅRJÄNG</t>
        </is>
      </c>
      <c r="F1504" t="inlineStr">
        <is>
          <t>Kyrkan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45512</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45512</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45512</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45512</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32082-2024</t>
        </is>
      </c>
      <c r="B1509" s="1" t="n">
        <v>45511</v>
      </c>
      <c r="C1509" s="1" t="n">
        <v>45512</v>
      </c>
      <c r="D1509" t="inlineStr">
        <is>
          <t>VÄRMLANDS LÄN</t>
        </is>
      </c>
      <c r="E1509" t="inlineStr">
        <is>
          <t>ÅRJÄNG</t>
        </is>
      </c>
      <c r="G1509" t="n">
        <v>4.8</v>
      </c>
      <c r="H1509" t="n">
        <v>0</v>
      </c>
      <c r="I1509" t="n">
        <v>0</v>
      </c>
      <c r="J1509" t="n">
        <v>0</v>
      </c>
      <c r="K1509" t="n">
        <v>0</v>
      </c>
      <c r="L1509" t="n">
        <v>0</v>
      </c>
      <c r="M1509" t="n">
        <v>0</v>
      </c>
      <c r="N1509" t="n">
        <v>0</v>
      </c>
      <c r="O1509" t="n">
        <v>0</v>
      </c>
      <c r="P1509" t="n">
        <v>0</v>
      </c>
      <c r="Q1509" t="n">
        <v>0</v>
      </c>
      <c r="R1509" s="2" t="inlineStr"/>
    </row>
    <row r="1510">
      <c r="A1510" t="inlineStr">
        <is>
          <t>A 32095-2024</t>
        </is>
      </c>
      <c r="B1510" s="1" t="n">
        <v>45511</v>
      </c>
      <c r="C1510" s="1" t="n">
        <v>45512</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2024-08-08T10:06:30Z</dcterms:created>
  <dcterms:modified xmlns:dcterms="http://purl.org/dc/terms/" xmlns:xsi="http://www.w3.org/2001/XMLSchema-instance" xsi:type="dcterms:W3CDTF">2024-08-08T10:06:31Z</dcterms:modified>
</cp:coreProperties>
</file>