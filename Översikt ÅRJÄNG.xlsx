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45847</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45847</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45847</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45847</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45847</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45847</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45847</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45847</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45847</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45847</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45847</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45847</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45847</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45847</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45847</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45847</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45847</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45847</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45847</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45847</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45847</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45847</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45847</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45847</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45847</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45847</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45847</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45847</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45847</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45847</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45847</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45847</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45847</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45847</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45847</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45847</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45847</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45847</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45847</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45847</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45847</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45847</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45847</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45847</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45847</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45847</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45847</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45847</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45847</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45847</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45847</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45847</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45847</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45847</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45847</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45847</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45847</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45847</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45847</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45847</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45847</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45847</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45847</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45847</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45847</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45847</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45847</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45847</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45847</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45847</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45847</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45847</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45847</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45847</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45847</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45847</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45847</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45847</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45847</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45847</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45847</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45847</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45847</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45847</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45847</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45847</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45847</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45847</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45847</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45847</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45847</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45847</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45847</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45847</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45847</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45847</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45847</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45847</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45847</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45847</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45847</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45847</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45847</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45847</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45847</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45847</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45847</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45847</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45847</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45847</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45847</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45847</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45847</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45847</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45847</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45847</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45847</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45847</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45847</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45847</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45847</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45847</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45847</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45847</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45847</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45847</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45847</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45847</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45847</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45847</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45847</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45847</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45847</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45847</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45847</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45847</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45847</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45847</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45847</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45847</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45847</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45847</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45847</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45847</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45847</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45847</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45847</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45847</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45847</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45847</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45847</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45847</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45847</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45847</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45847</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45847</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45847</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45847</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45847</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45847</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45847</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45847</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45847</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45847</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45847</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45847</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45847</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45847</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45847</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45847</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45847</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45847</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45847</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45847</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45847</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45847</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45847</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45847</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45847</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45847</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45847</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45847</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45847</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45847</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45847</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45847</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45847</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45847</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45847</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45847</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45847</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45847</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45847</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45847</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45847</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45847</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45847</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45847</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45847</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45847</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45847</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45847</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45847</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45847</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45847</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45847</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45847</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45847</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45847</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45847</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45847</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45847</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45847</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45847</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45847</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45847</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45847</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45847</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45847</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45847</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45847</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45847</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45847</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45847</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45847</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45847</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45847</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45847</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45847</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45847</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45847</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45847</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45847</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45847</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45847</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45847</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45847</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45847</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45847</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45847</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45847</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45847</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45847</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45847</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45847</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45847</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45847</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45847</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45847</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45847</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45847</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45847</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45847</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45847</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45847</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45847</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45847</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45847</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45847</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45847</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45847</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45847</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45847</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45847</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45847</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45847</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45847</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45847</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45847</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45847</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45847</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45847</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45847</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45847</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45847</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45847</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45847</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45847</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45847</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45847</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45847</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45847</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45847</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45847</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45847</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45847</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45847</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45847</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45847</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45847</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45847</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45847</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45847</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45847</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45847</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45847</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45847</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45847</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45847</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45847</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45847</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45847</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45847</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45847</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45847</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45847</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45847</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45847</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45847</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45847</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45847</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45847</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45847</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45847</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45847</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45847</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45847</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45847</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45847</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45847</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45847</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45847</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45847</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45847</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45847</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45847</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45847</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45847</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45847</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45847</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45847</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45847</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45847</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45847</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45847</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45847</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45847</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45847</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45847</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45847</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45847</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45847</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45847</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45847</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45847</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45847</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45847</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45847</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45847</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45847</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45847</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45847</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45847</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45847</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45847</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45847</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45847</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45847</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45847</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45847</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45847</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45847</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45847</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45847</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45847</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45847</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45847</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45847</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45847</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45847</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45847</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45847</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45847</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45847</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45847</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45847</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45847</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45847</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45847</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45847</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45847</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45847</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45847</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45847</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45847</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45847</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45847</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45847</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45847</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45847</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45847</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45847</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45847</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45847</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45847</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45847</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45847</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45847</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45847</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45847</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45847</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45847</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45847</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45847</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45847</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45847</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45847</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45847</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45847</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45847</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45847</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45847</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45847</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45847</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45847</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45847</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45847</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45847</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45847</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45847</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45847</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45847</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45847</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45847</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45847</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45847</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45847</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45847</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45847</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45847</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45847</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45847</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45847</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45847</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45847</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45847</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45847</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45847</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45847</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45847</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45847</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45847</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45847</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45847</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45847</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45847</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45847</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45847</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45847</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45847</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45847</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45847</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45847</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45847</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45847</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45847</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45847</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45847</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45847</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45847</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45847</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45847</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45847</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45847</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45847</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45847</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45847</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45847</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45847</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45847</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45847</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45847</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45847</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45847</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45847</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45847</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45847</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45847</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45847</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45847</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45847</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45847</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45847</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45847</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45847</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45847</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45847</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45847</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45847</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45847</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45847</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45847</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45847</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45847</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45847</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45847</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45847</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45847</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45847</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45847</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45847</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45847</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45847</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45847</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45847</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45847</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45847</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45847</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45847</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45847</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45847</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45847</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45847</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45847</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45847</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45847</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45847</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45847</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45847</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45847</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45847</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45847</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45847</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45847</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45847</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45847</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45847</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45847</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45847</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45847</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45847</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45847</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45847</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45847</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45847</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45847</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45847</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45847</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45847</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45847</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45847</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45847</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45847</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45847</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45847</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45847</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45847</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45847</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45847</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45847</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45847</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45847</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45847</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45847</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45847</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45847</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45847</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45847</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45847</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45847</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45847</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45847</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45847</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45847</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45847</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45847</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45847</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45847</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45847</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45847</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45847</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45847</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45847</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45847</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45847</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45847</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45847</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45847</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45847</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45847</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45847</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45847</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45847</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45847</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45847</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45847</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45847</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45847</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45847</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45847</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45847</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45847</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45847</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45847</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45847</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45847</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45847</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45847</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45847</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45847</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45847</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45847</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45847</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45847</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45847</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45847</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45847</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45847</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45847</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45847</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45847</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45847</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45847</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45847</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45847</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45847</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45847</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45847</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45847</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45847</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45847</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45847</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45847</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45847</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45847</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45847</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45847</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45847</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45847</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45847</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45847</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45847</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45847</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45847</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45847</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45847</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45847</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45847</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45847</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45847</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45847</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45847</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45847</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45847</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45847</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45847</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45847</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45847</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45847</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45847</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45847</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45847</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45847</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45847</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45847</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45847</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45847</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45847</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45847</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45847</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45847</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45847</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45847</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45847</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45847</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45847</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45847</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45847</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45847</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45847</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45847</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45847</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45847</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45847</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45847</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45847</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45847</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45847</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45847</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45847</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45847</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45847</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45847</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45847</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45847</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45847</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45847</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45847</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45847</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45847</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45847</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45847</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45847</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45847</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45847</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45847</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45847</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45847</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45847</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45847</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45847</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45847</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45847</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45847</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45847</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45847</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45847</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45847</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45847</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45847</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45847</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45847</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45847</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45847</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45847</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45847</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45847</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45847</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45847</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45847</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45847</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45847</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45847</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45847</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45847</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45847</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45847</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45847</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45847</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45847</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45847</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45847</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45847</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45847</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45847</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45847</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45847</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45847</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45847</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45847</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45847</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45847</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45847</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45847</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45847</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45847</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45847</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45847</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45847</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45847</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45847</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45847</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45847</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45847</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45847</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45847</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45847</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45847</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45847</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45847</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45847</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45847</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45847</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45847</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45847</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45847</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45847</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45847</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45847</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45847</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45847</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45847</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45847</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45847</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45847</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45847</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45847</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45847</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45847</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45847</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45847</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45847</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45847</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45847</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45847</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45847</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45847</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45847</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45847</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45847</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45847</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45847</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45847</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45847</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45847</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45847</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45847</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45847</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45847</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45847</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45847</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45847</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45847</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45847</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45847</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45847</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45847</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45847</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45847</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45847</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45847</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45847</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45847</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45847</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45847</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45847</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45847</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45847</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45847</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45847</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45847</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45847</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45847</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45847</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45847</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45847</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45847</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45847</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45847</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45847</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45847</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45847</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45847</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45847</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45847</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45847</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45847</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45847</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45847</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45847</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45847</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45847</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45847</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45847</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45847</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45847</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45847</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45847</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45847</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45847</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45847</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45847</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45847</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45847</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45847</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45847</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45847</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45847</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45847</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45847</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45847</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45847</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45847</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45847</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45847</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45847</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45847</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45847</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45847</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45847</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45847</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45847</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45847</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45847</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45847</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45847</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45847</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45847</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45847</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45847</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45847</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45847</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45847</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45847</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45847</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45847</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45847</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45847</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45847</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45847</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45847</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45847</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45847</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45847</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45847</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45847</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45847</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45847</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45847</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45847</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45847</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45847</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45847</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45847</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45847</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45847</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45847</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45847</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45847</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45847</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45847</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45847</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45847</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45847</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45847</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45847</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45847</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45847</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45847</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45847</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45847</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45847</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45847</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45847</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45847</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45847</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45847</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45847</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45847</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45847</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45847</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45847</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45847</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45847</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45847</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45847</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45847</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45847</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45847</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45847</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45847</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45847</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45847</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45847</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45847</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45847</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45847</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45847</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45847</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45847</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45847</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45847</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45847</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45847</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45847</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45847</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45847</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45847</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45847</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45847</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45847</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45847</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45847</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45847</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45847</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45847</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45847</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45847</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45847</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45847</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45847</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45847</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45847</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45847</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45847</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45847</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45847</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45847</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45847</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45847</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45847</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45847</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45847</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45847</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45847</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45847</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45847</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45847</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45847</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45847</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45847</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45847</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45847</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45847</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45847</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45847</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45847</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45847</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45847</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45847</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45847</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45847</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45847</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45847</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45847</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45847</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45847</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45847</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45847</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45847</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45847</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45847</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45847</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45847</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45847</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45847</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45847</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45847</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45847</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45847</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45847</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45847</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45847</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45847</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45847</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45847</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45847</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45847</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45847</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45847</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45847</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45847</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45847</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45847</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45847</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45847</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45847</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45847</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45847</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45847</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45847</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45847</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45847</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45847</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45847</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45847</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45847</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45847</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45847</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45847</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45847</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45847</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45847</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45847</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45847</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45847</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45847</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45847</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45847</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45847</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45847</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45847</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45847</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45847</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45847</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45847</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45847</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45847</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45847</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45847</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45847</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45847</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45847</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45847</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45847</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45847</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45847</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45847</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45847</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45847</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45847</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45847</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45847</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45847</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45847</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45847</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45847</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45847</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45847</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45847</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45847</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45847</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45847</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45847</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45847</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45847</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45847</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45847</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45847</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45847</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45847</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45847</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45847</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45847</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45847</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45847</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45847</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45847</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45847</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45847</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45847</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45847</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45847</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45847</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45847</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45847</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45847</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45847</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45847</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45847</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45847</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45847</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45847</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45847</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45847</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45847</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45847</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45847</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45847</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45847</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45847</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45847</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45847</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45847</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45847</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45847</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45847</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45847</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45847</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45847</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45847</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45847</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45847</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45847</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45847</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45847</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45847</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45847</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45847</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45847</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45847</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45847</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45847</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45847</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45847</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45847</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45847</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45847</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45847</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45847</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45847</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45847</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45847</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45847</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45847</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45847</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45847</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45847</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45847</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45847</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45847</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45847</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45847</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45847</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45847</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45847</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45847</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45847</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45847</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45847</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45847</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45847</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45847</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45847</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45847</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45847</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45847</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45847</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45847</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45847</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45847</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45847</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45847</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45847</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45847</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45847</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45847</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45847</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45847</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45847</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45847</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45847</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45847</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45847</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45847</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45847</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45847</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45847</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45847</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45847</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45847</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45847</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45847</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45847</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45847</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45847</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45847</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45847</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45847</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45847</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45847</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45847</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45847</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45847</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45847</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45847</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45847</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45847</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45847</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45847</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45847</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45847</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45847</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45847</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45847</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45847</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45847</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45847</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45847</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45847</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45847</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45847</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45847</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45847</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45847</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45847</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45847</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45847</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45847</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45847</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45847</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45847</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45847</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45847</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45847</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45847</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45847</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45847</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45847</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45847</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45847</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45847</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45847</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45847</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45847</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45847</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45847</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45847</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45847</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45847</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45847</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45847</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45847</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45847</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45847</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45847</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45847</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45847</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45847</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45847</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45847</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45847</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45847</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45847</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45847</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45847</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45847</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45847</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45847</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45847</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45847</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45847</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45847</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45847</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45847</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45847</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45847</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45847</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45847</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45847</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45847</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45847</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45847</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45847</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45847</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45847</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45847</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45847</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45847</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45847</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45847</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45847</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45847</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45847</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45847</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45847</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45847</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45847</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45847</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45847</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45847</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28793-2025</t>
        </is>
      </c>
      <c r="B1999" s="1" t="n">
        <v>45820</v>
      </c>
      <c r="C1999" s="1" t="n">
        <v>45847</v>
      </c>
      <c r="D1999" t="inlineStr">
        <is>
          <t>VÄRMLANDS LÄN</t>
        </is>
      </c>
      <c r="E1999" t="inlineStr">
        <is>
          <t>ÅRJÄNG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28949-2025</t>
        </is>
      </c>
      <c r="B2000" s="1" t="n">
        <v>45820</v>
      </c>
      <c r="C2000" s="1" t="n">
        <v>45847</v>
      </c>
      <c r="D2000" t="inlineStr">
        <is>
          <t>VÄRMLANDS LÄN</t>
        </is>
      </c>
      <c r="E2000" t="inlineStr">
        <is>
          <t>ÅRJÄNG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45847</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45847</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45847</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45847</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29082-2025</t>
        </is>
      </c>
      <c r="B2005" s="1" t="n">
        <v>45821</v>
      </c>
      <c r="C2005" s="1" t="n">
        <v>45847</v>
      </c>
      <c r="D2005" t="inlineStr">
        <is>
          <t>VÄRMLANDS LÄN</t>
        </is>
      </c>
      <c r="E2005" t="inlineStr">
        <is>
          <t>ÅRJÄNG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45847</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45847</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45847</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29138-2025</t>
        </is>
      </c>
      <c r="B2009" s="1" t="n">
        <v>45821</v>
      </c>
      <c r="C2009" s="1" t="n">
        <v>45847</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29139-2025</t>
        </is>
      </c>
      <c r="B2010" s="1" t="n">
        <v>45821</v>
      </c>
      <c r="C2010" s="1" t="n">
        <v>45847</v>
      </c>
      <c r="D2010" t="inlineStr">
        <is>
          <t>VÄRMLANDS LÄN</t>
        </is>
      </c>
      <c r="E2010" t="inlineStr">
        <is>
          <t>ÅRJÄNG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29136-2025</t>
        </is>
      </c>
      <c r="B2011" s="1" t="n">
        <v>45821</v>
      </c>
      <c r="C2011" s="1" t="n">
        <v>45847</v>
      </c>
      <c r="D2011" t="inlineStr">
        <is>
          <t>VÄRMLANDS LÄN</t>
        </is>
      </c>
      <c r="E2011" t="inlineStr">
        <is>
          <t>ÅRJÄNG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45847</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29146-2025</t>
        </is>
      </c>
      <c r="B2013" s="1" t="n">
        <v>45821</v>
      </c>
      <c r="C2013" s="1" t="n">
        <v>45847</v>
      </c>
      <c r="D2013" t="inlineStr">
        <is>
          <t>VÄRMLANDS LÄN</t>
        </is>
      </c>
      <c r="E2013" t="inlineStr">
        <is>
          <t>ÅRJÄNG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45847</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45847</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45847</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45847</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45847</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30658-2025</t>
        </is>
      </c>
      <c r="B2019" s="1" t="n">
        <v>45831</v>
      </c>
      <c r="C2019" s="1" t="n">
        <v>45847</v>
      </c>
      <c r="D2019" t="inlineStr">
        <is>
          <t>VÄRMLANDS LÄN</t>
        </is>
      </c>
      <c r="E2019" t="inlineStr">
        <is>
          <t>ÅRJÄNG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31063-2025</t>
        </is>
      </c>
      <c r="B2020" s="1" t="n">
        <v>45831</v>
      </c>
      <c r="C2020" s="1" t="n">
        <v>45847</v>
      </c>
      <c r="D2020" t="inlineStr">
        <is>
          <t>VÄRMLANDS LÄN</t>
        </is>
      </c>
      <c r="E2020" t="inlineStr">
        <is>
          <t>ÅRJÄNG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30761-2025</t>
        </is>
      </c>
      <c r="B2021" s="1" t="n">
        <v>45831</v>
      </c>
      <c r="C2021" s="1" t="n">
        <v>45847</v>
      </c>
      <c r="D2021" t="inlineStr">
        <is>
          <t>VÄRMLANDS LÄN</t>
        </is>
      </c>
      <c r="E2021" t="inlineStr">
        <is>
          <t>ÅRJÄNG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45847</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31111-2025</t>
        </is>
      </c>
      <c r="B2023" s="1" t="n">
        <v>45831</v>
      </c>
      <c r="C2023" s="1" t="n">
        <v>45847</v>
      </c>
      <c r="D2023" t="inlineStr">
        <is>
          <t>VÄRMLANDS LÄN</t>
        </is>
      </c>
      <c r="E2023" t="inlineStr">
        <is>
          <t>ÅRJÄNG</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30604-2025</t>
        </is>
      </c>
      <c r="B2024" s="1" t="n">
        <v>45831</v>
      </c>
      <c r="C2024" s="1" t="n">
        <v>45847</v>
      </c>
      <c r="D2024" t="inlineStr">
        <is>
          <t>VÄRMLANDS LÄN</t>
        </is>
      </c>
      <c r="E2024" t="inlineStr">
        <is>
          <t>ÅRJÄNG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30611-2025</t>
        </is>
      </c>
      <c r="B2025" s="1" t="n">
        <v>45831</v>
      </c>
      <c r="C2025" s="1" t="n">
        <v>45847</v>
      </c>
      <c r="D2025" t="inlineStr">
        <is>
          <t>VÄRMLANDS LÄN</t>
        </is>
      </c>
      <c r="E2025" t="inlineStr">
        <is>
          <t>ÅRJÄNG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45847</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45847</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31393-2025</t>
        </is>
      </c>
      <c r="B2028" s="1" t="n">
        <v>45833</v>
      </c>
      <c r="C2028" s="1" t="n">
        <v>45847</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45847</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45847</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45847</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45847</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45847</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45847</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45847</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45847</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32924-2025</t>
        </is>
      </c>
      <c r="B2037" s="1" t="n">
        <v>45839</v>
      </c>
      <c r="C2037" s="1" t="n">
        <v>45847</v>
      </c>
      <c r="D2037" t="inlineStr">
        <is>
          <t>VÄRMLANDS LÄN</t>
        </is>
      </c>
      <c r="E2037" t="inlineStr">
        <is>
          <t>ÅRJÄNG</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45847</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33526-2025</t>
        </is>
      </c>
      <c r="B2039" s="1" t="n">
        <v>45841</v>
      </c>
      <c r="C2039" s="1" t="n">
        <v>45847</v>
      </c>
      <c r="D2039" t="inlineStr">
        <is>
          <t>VÄRMLANDS LÄN</t>
        </is>
      </c>
      <c r="E2039" t="inlineStr">
        <is>
          <t>ÅRJÄNG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33600-2025</t>
        </is>
      </c>
      <c r="B2040" s="1" t="n">
        <v>45841</v>
      </c>
      <c r="C2040" s="1" t="n">
        <v>45847</v>
      </c>
      <c r="D2040" t="inlineStr">
        <is>
          <t>VÄRMLANDS LÄN</t>
        </is>
      </c>
      <c r="E2040" t="inlineStr">
        <is>
          <t>ÅRJÄNG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33412-2025</t>
        </is>
      </c>
      <c r="B2041" s="1" t="n">
        <v>45841</v>
      </c>
      <c r="C2041" s="1" t="n">
        <v>45847</v>
      </c>
      <c r="D2041" t="inlineStr">
        <is>
          <t>VÄRMLANDS LÄN</t>
        </is>
      </c>
      <c r="E2041" t="inlineStr">
        <is>
          <t>ÅRJÄNG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33481-2025</t>
        </is>
      </c>
      <c r="B2042" s="1" t="n">
        <v>45841</v>
      </c>
      <c r="C2042" s="1" t="n">
        <v>45847</v>
      </c>
      <c r="D2042" t="inlineStr">
        <is>
          <t>VÄRMLANDS LÄN</t>
        </is>
      </c>
      <c r="E2042" t="inlineStr">
        <is>
          <t>ÅRJÄNG</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45847</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33998-2025</t>
        </is>
      </c>
      <c r="B2044" s="1" t="n">
        <v>45844</v>
      </c>
      <c r="C2044" s="1" t="n">
        <v>45847</v>
      </c>
      <c r="D2044" t="inlineStr">
        <is>
          <t>VÄRMLANDS LÄN</t>
        </is>
      </c>
      <c r="E2044" t="inlineStr">
        <is>
          <t>ÅRJÄNG</t>
        </is>
      </c>
      <c r="F2044" t="inlineStr">
        <is>
          <t>Kyrkan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33993-2025</t>
        </is>
      </c>
      <c r="B2045" s="1" t="n">
        <v>45843</v>
      </c>
      <c r="C2045" s="1" t="n">
        <v>45847</v>
      </c>
      <c r="D2045" t="inlineStr">
        <is>
          <t>VÄRMLANDS LÄN</t>
        </is>
      </c>
      <c r="E2045" t="inlineStr">
        <is>
          <t>ÅRJÄNG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45847</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34230-2025</t>
        </is>
      </c>
      <c r="B2047" s="1" t="n">
        <v>45845</v>
      </c>
      <c r="C2047" s="1" t="n">
        <v>45847</v>
      </c>
      <c r="D2047" t="inlineStr">
        <is>
          <t>VÄRMLANDS LÄN</t>
        </is>
      </c>
      <c r="E2047" t="inlineStr">
        <is>
          <t>ÅRJÄNG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34075-2025</t>
        </is>
      </c>
      <c r="B2048" s="1" t="n">
        <v>45845</v>
      </c>
      <c r="C2048" s="1" t="n">
        <v>45847</v>
      </c>
      <c r="D2048" t="inlineStr">
        <is>
          <t>VÄRMLANDS LÄN</t>
        </is>
      </c>
      <c r="E2048" t="inlineStr">
        <is>
          <t>ÅRJÄNG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34235-2025</t>
        </is>
      </c>
      <c r="B2049" s="1" t="n">
        <v>45845</v>
      </c>
      <c r="C2049" s="1" t="n">
        <v>45847</v>
      </c>
      <c r="D2049" t="inlineStr">
        <is>
          <t>VÄRMLANDS LÄN</t>
        </is>
      </c>
      <c r="E2049" t="inlineStr">
        <is>
          <t>ÅRJÄNG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34077-2025</t>
        </is>
      </c>
      <c r="B2050" s="1" t="n">
        <v>45845</v>
      </c>
      <c r="C2050" s="1" t="n">
        <v>45847</v>
      </c>
      <c r="D2050" t="inlineStr">
        <is>
          <t>VÄRMLANDS LÄN</t>
        </is>
      </c>
      <c r="E2050" t="inlineStr">
        <is>
          <t>ÅRJÄNG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34248-2025</t>
        </is>
      </c>
      <c r="B2051" s="1" t="n">
        <v>45845</v>
      </c>
      <c r="C2051" s="1" t="n">
        <v>45847</v>
      </c>
      <c r="D2051" t="inlineStr">
        <is>
          <t>VÄRMLANDS LÄN</t>
        </is>
      </c>
      <c r="E2051" t="inlineStr">
        <is>
          <t>ÅRJÄNG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34243-2025</t>
        </is>
      </c>
      <c r="B2052" s="1" t="n">
        <v>45845</v>
      </c>
      <c r="C2052" s="1" t="n">
        <v>45847</v>
      </c>
      <c r="D2052" t="inlineStr">
        <is>
          <t>VÄRMLANDS LÄN</t>
        </is>
      </c>
      <c r="E2052" t="inlineStr">
        <is>
          <t>ÅRJÄNG</t>
        </is>
      </c>
      <c r="G2052" t="n">
        <v>2.6</v>
      </c>
      <c r="H2052" t="n">
        <v>0</v>
      </c>
      <c r="I2052" t="n">
        <v>0</v>
      </c>
      <c r="J2052" t="n">
        <v>0</v>
      </c>
      <c r="K2052" t="n">
        <v>0</v>
      </c>
      <c r="L2052" t="n">
        <v>0</v>
      </c>
      <c r="M2052" t="n">
        <v>0</v>
      </c>
      <c r="N2052" t="n">
        <v>0</v>
      </c>
      <c r="O2052" t="n">
        <v>0</v>
      </c>
      <c r="P2052" t="n">
        <v>0</v>
      </c>
      <c r="Q2052" t="n">
        <v>0</v>
      </c>
      <c r="R2052" s="2" t="inlineStr"/>
    </row>
    <row r="2053">
      <c r="A2053" t="inlineStr">
        <is>
          <t>A 34252-2025</t>
        </is>
      </c>
      <c r="B2053" s="1" t="n">
        <v>45845</v>
      </c>
      <c r="C2053" s="1" t="n">
        <v>45847</v>
      </c>
      <c r="D2053" t="inlineStr">
        <is>
          <t>VÄRMLANDS LÄN</t>
        </is>
      </c>
      <c r="E2053" t="inlineStr">
        <is>
          <t>ÅRJÄNG</t>
        </is>
      </c>
      <c r="G2053" t="n">
        <v>7.1</v>
      </c>
      <c r="H2053" t="n">
        <v>0</v>
      </c>
      <c r="I2053" t="n">
        <v>0</v>
      </c>
      <c r="J2053" t="n">
        <v>0</v>
      </c>
      <c r="K2053" t="n">
        <v>0</v>
      </c>
      <c r="L2053" t="n">
        <v>0</v>
      </c>
      <c r="M2053" t="n">
        <v>0</v>
      </c>
      <c r="N2053" t="n">
        <v>0</v>
      </c>
      <c r="O2053" t="n">
        <v>0</v>
      </c>
      <c r="P2053" t="n">
        <v>0</v>
      </c>
      <c r="Q2053" t="n">
        <v>0</v>
      </c>
      <c r="R2053" s="2" t="inlineStr"/>
      <c r="U2053">
        <f>HYPERLINK("https://klasma.github.io/Logging_171765/knärot/A 34252-2025 karta knärot.png", "A 34252-2025")</f>
        <v/>
      </c>
      <c r="V2053">
        <f>HYPERLINK("https://klasma.github.io/Logging_171765/klagomål/A 34252-2025 FSC-klagomål.docx", "A 34252-2025")</f>
        <v/>
      </c>
      <c r="W2053">
        <f>HYPERLINK("https://klasma.github.io/Logging_171765/klagomålsmail/A 34252-2025 FSC-klagomål mail.docx", "A 34252-2025")</f>
        <v/>
      </c>
      <c r="X2053">
        <f>HYPERLINK("https://klasma.github.io/Logging_171765/tillsyn/A 34252-2025 tillsynsbegäran.docx", "A 34252-2025")</f>
        <v/>
      </c>
      <c r="Y2053">
        <f>HYPERLINK("https://klasma.github.io/Logging_171765/tillsynsmail/A 34252-2025 tillsynsbegäran mail.docx", "A 34252-2025")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2025-07-09T20:40:01Z</dcterms:created>
  <dcterms:modified xmlns:dcterms="http://purl.org/dc/terms/" xmlns:xsi="http://www.w3.org/2001/XMLSchema-instance" xsi:type="dcterms:W3CDTF">2025-07-09T20:40:03Z</dcterms:modified>
</cp:coreProperties>
</file>