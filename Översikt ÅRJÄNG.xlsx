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46011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46011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46011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46011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46011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46011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46011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46011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46011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46011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46011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46011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46011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46011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46011</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46011</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46011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46011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46011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46011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46011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46011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46011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46011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46011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46011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46011</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46011</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46011</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46011</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46011</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46011</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46011</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46011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46011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46011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46011</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46011</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46011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46011</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46011</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46011</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46011</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46011</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47476-2025</t>
        </is>
      </c>
      <c r="B46" s="1" t="n">
        <v>45930.67951388889</v>
      </c>
      <c r="C46" s="1" t="n">
        <v>46011</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46011</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36385-2025</t>
        </is>
      </c>
      <c r="B48" s="1" t="n">
        <v>45868</v>
      </c>
      <c r="C48" s="1" t="n">
        <v>46011</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57430-2025</t>
        </is>
      </c>
      <c r="B49" s="1" t="n">
        <v>45980.47327546297</v>
      </c>
      <c r="C49" s="1" t="n">
        <v>46011</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46011</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46011</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46011</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46011</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46011</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46011</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16689-2021</t>
        </is>
      </c>
      <c r="B56" s="1" t="n">
        <v>44294.59744212963</v>
      </c>
      <c r="C56" s="1" t="n">
        <v>46011</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46011</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46011</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46011</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46011</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46011</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46011</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46011</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46011</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46011</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46011</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46011</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46011</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46011</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46011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46011</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46011</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46011</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46011</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11156-2021</t>
        </is>
      </c>
      <c r="B75" s="1" t="n">
        <v>44261.8591087963</v>
      </c>
      <c r="C75" s="1" t="n">
        <v>46011</v>
      </c>
      <c r="D75" t="inlineStr">
        <is>
          <t>VÄRMLANDS LÄN</t>
        </is>
      </c>
      <c r="E75" t="inlineStr">
        <is>
          <t>ÅRJÄNG</t>
        </is>
      </c>
      <c r="G75" t="n">
        <v>1.2</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46011</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46011</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46011</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46011</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46011</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46011</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46011</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46011</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46011</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46011</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46011</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46011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46011</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46011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46011</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46011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46011</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46011</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74087-2021</t>
        </is>
      </c>
      <c r="B94" s="1" t="n">
        <v>44557.58512731481</v>
      </c>
      <c r="C94" s="1" t="n">
        <v>46011</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46011</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46011</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46011</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46011</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46011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46011</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46011</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46011</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46011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46011</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46011</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46011</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46011</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46011</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46011</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46011</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46011</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46011</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46011</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46011</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46011</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46011</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46011</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46011</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46011</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46011</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46011</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46011</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46011</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46011</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46011</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46011</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46011</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46011</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46011</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46011</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46011</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46011</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46011</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46011</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46011</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46011</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46011</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46011</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46011</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46011</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46011</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46011</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46011</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46011</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46011</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46011</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46011</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46011</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46011</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46011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46011</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46011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46011</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46011</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46011</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46011</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46011</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46011</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46011</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46011</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46011</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46011</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46011</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46011</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42963-2021</t>
        </is>
      </c>
      <c r="B165" s="1" t="n">
        <v>44431</v>
      </c>
      <c r="C165" s="1" t="n">
        <v>46011</v>
      </c>
      <c r="D165" t="inlineStr">
        <is>
          <t>VÄRMLANDS LÄN</t>
        </is>
      </c>
      <c r="E165" t="inlineStr">
        <is>
          <t>ÅRJÄNG</t>
        </is>
      </c>
      <c r="G165" t="n">
        <v>5.6</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46011</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46011</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46011</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46011</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46011</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46011</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46011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46011</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46011</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46011</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46011</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46011</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46011</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72291-2021</t>
        </is>
      </c>
      <c r="B179" s="1" t="n">
        <v>44545.37615740741</v>
      </c>
      <c r="C179" s="1" t="n">
        <v>46011</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5667-2022</t>
        </is>
      </c>
      <c r="B180" s="1" t="n">
        <v>44595</v>
      </c>
      <c r="C180" s="1" t="n">
        <v>46011</v>
      </c>
      <c r="D180" t="inlineStr">
        <is>
          <t>VÄRMLANDS LÄN</t>
        </is>
      </c>
      <c r="E180" t="inlineStr">
        <is>
          <t>ÅRJÄNG</t>
        </is>
      </c>
      <c r="G180" t="n">
        <v>4.4</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46011</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59341-2021</t>
        </is>
      </c>
      <c r="B182" s="1" t="n">
        <v>44491</v>
      </c>
      <c r="C182" s="1" t="n">
        <v>46011</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59143-2021</t>
        </is>
      </c>
      <c r="B183" s="1" t="n">
        <v>44490</v>
      </c>
      <c r="C183" s="1" t="n">
        <v>46011</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46011</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40439-2022</t>
        </is>
      </c>
      <c r="B185" s="1" t="n">
        <v>44823.4903125</v>
      </c>
      <c r="C185" s="1" t="n">
        <v>46011</v>
      </c>
      <c r="D185" t="inlineStr">
        <is>
          <t>VÄRMLANDS LÄN</t>
        </is>
      </c>
      <c r="E185" t="inlineStr">
        <is>
          <t>ÅRJÄNG</t>
        </is>
      </c>
      <c r="G185" t="n">
        <v>0.5</v>
      </c>
      <c r="H185" t="n">
        <v>0</v>
      </c>
      <c r="I185" t="n">
        <v>0</v>
      </c>
      <c r="J185" t="n">
        <v>0</v>
      </c>
      <c r="K185" t="n">
        <v>0</v>
      </c>
      <c r="L185" t="n">
        <v>0</v>
      </c>
      <c r="M185" t="n">
        <v>0</v>
      </c>
      <c r="N185" t="n">
        <v>0</v>
      </c>
      <c r="O185" t="n">
        <v>0</v>
      </c>
      <c r="P185" t="n">
        <v>0</v>
      </c>
      <c r="Q185" t="n">
        <v>0</v>
      </c>
      <c r="R185" s="2" t="inlineStr"/>
    </row>
    <row r="186" ht="15" customHeight="1">
      <c r="A186" t="inlineStr">
        <is>
          <t>A 7555-2021</t>
        </is>
      </c>
      <c r="B186" s="1" t="n">
        <v>44239</v>
      </c>
      <c r="C186" s="1" t="n">
        <v>46011</v>
      </c>
      <c r="D186" t="inlineStr">
        <is>
          <t>VÄRMLANDS LÄN</t>
        </is>
      </c>
      <c r="E186" t="inlineStr">
        <is>
          <t>ÅRJÄNG</t>
        </is>
      </c>
      <c r="G186" t="n">
        <v>1.9</v>
      </c>
      <c r="H186" t="n">
        <v>0</v>
      </c>
      <c r="I186" t="n">
        <v>0</v>
      </c>
      <c r="J186" t="n">
        <v>0</v>
      </c>
      <c r="K186" t="n">
        <v>0</v>
      </c>
      <c r="L186" t="n">
        <v>0</v>
      </c>
      <c r="M186" t="n">
        <v>0</v>
      </c>
      <c r="N186" t="n">
        <v>0</v>
      </c>
      <c r="O186" t="n">
        <v>0</v>
      </c>
      <c r="P186" t="n">
        <v>0</v>
      </c>
      <c r="Q186" t="n">
        <v>0</v>
      </c>
      <c r="R186" s="2" t="inlineStr"/>
    </row>
    <row r="187" ht="15" customHeight="1">
      <c r="A187" t="inlineStr">
        <is>
          <t>A 9630-2022</t>
        </is>
      </c>
      <c r="B187" s="1" t="n">
        <v>44617</v>
      </c>
      <c r="C187" s="1" t="n">
        <v>46011</v>
      </c>
      <c r="D187" t="inlineStr">
        <is>
          <t>VÄRMLANDS LÄN</t>
        </is>
      </c>
      <c r="E187" t="inlineStr">
        <is>
          <t>ÅRJÄNG</t>
        </is>
      </c>
      <c r="G187" t="n">
        <v>0.3</v>
      </c>
      <c r="H187" t="n">
        <v>0</v>
      </c>
      <c r="I187" t="n">
        <v>0</v>
      </c>
      <c r="J187" t="n">
        <v>0</v>
      </c>
      <c r="K187" t="n">
        <v>0</v>
      </c>
      <c r="L187" t="n">
        <v>0</v>
      </c>
      <c r="M187" t="n">
        <v>0</v>
      </c>
      <c r="N187" t="n">
        <v>0</v>
      </c>
      <c r="O187" t="n">
        <v>0</v>
      </c>
      <c r="P187" t="n">
        <v>0</v>
      </c>
      <c r="Q187" t="n">
        <v>0</v>
      </c>
      <c r="R187" s="2" t="inlineStr"/>
    </row>
    <row r="188" ht="15" customHeight="1">
      <c r="A188" t="inlineStr">
        <is>
          <t>A 10884-2022</t>
        </is>
      </c>
      <c r="B188" s="1" t="n">
        <v>44627.72101851852</v>
      </c>
      <c r="C188" s="1" t="n">
        <v>46011</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71837-2021</t>
        </is>
      </c>
      <c r="B189" s="1" t="n">
        <v>44543</v>
      </c>
      <c r="C189" s="1" t="n">
        <v>46011</v>
      </c>
      <c r="D189" t="inlineStr">
        <is>
          <t>VÄRMLANDS LÄN</t>
        </is>
      </c>
      <c r="E189" t="inlineStr">
        <is>
          <t>ÅRJÄNG</t>
        </is>
      </c>
      <c r="G189" t="n">
        <v>7.2</v>
      </c>
      <c r="H189" t="n">
        <v>0</v>
      </c>
      <c r="I189" t="n">
        <v>0</v>
      </c>
      <c r="J189" t="n">
        <v>0</v>
      </c>
      <c r="K189" t="n">
        <v>0</v>
      </c>
      <c r="L189" t="n">
        <v>0</v>
      </c>
      <c r="M189" t="n">
        <v>0</v>
      </c>
      <c r="N189" t="n">
        <v>0</v>
      </c>
      <c r="O189" t="n">
        <v>0</v>
      </c>
      <c r="P189" t="n">
        <v>0</v>
      </c>
      <c r="Q189" t="n">
        <v>0</v>
      </c>
      <c r="R189" s="2" t="inlineStr"/>
    </row>
    <row r="190" ht="15" customHeight="1">
      <c r="A190" t="inlineStr">
        <is>
          <t>A 5346-2022</t>
        </is>
      </c>
      <c r="B190" s="1" t="n">
        <v>44594.74583333333</v>
      </c>
      <c r="C190" s="1" t="n">
        <v>46011</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56993-2021</t>
        </is>
      </c>
      <c r="B191" s="1" t="n">
        <v>44482</v>
      </c>
      <c r="C191" s="1" t="n">
        <v>46011</v>
      </c>
      <c r="D191" t="inlineStr">
        <is>
          <t>VÄRMLANDS LÄN</t>
        </is>
      </c>
      <c r="E191" t="inlineStr">
        <is>
          <t>ÅRJÄNG</t>
        </is>
      </c>
      <c r="G191" t="n">
        <v>3.8</v>
      </c>
      <c r="H191" t="n">
        <v>0</v>
      </c>
      <c r="I191" t="n">
        <v>0</v>
      </c>
      <c r="J191" t="n">
        <v>0</v>
      </c>
      <c r="K191" t="n">
        <v>0</v>
      </c>
      <c r="L191" t="n">
        <v>0</v>
      </c>
      <c r="M191" t="n">
        <v>0</v>
      </c>
      <c r="N191" t="n">
        <v>0</v>
      </c>
      <c r="O191" t="n">
        <v>0</v>
      </c>
      <c r="P191" t="n">
        <v>0</v>
      </c>
      <c r="Q191" t="n">
        <v>0</v>
      </c>
      <c r="R191" s="2" t="inlineStr"/>
    </row>
    <row r="192" ht="15" customHeight="1">
      <c r="A192" t="inlineStr">
        <is>
          <t>A 17927-2021</t>
        </is>
      </c>
      <c r="B192" s="1" t="n">
        <v>44301</v>
      </c>
      <c r="C192" s="1" t="n">
        <v>46011</v>
      </c>
      <c r="D192" t="inlineStr">
        <is>
          <t>VÄRMLANDS LÄN</t>
        </is>
      </c>
      <c r="E192" t="inlineStr">
        <is>
          <t>ÅRJÄNG</t>
        </is>
      </c>
      <c r="G192" t="n">
        <v>3.4</v>
      </c>
      <c r="H192" t="n">
        <v>0</v>
      </c>
      <c r="I192" t="n">
        <v>0</v>
      </c>
      <c r="J192" t="n">
        <v>0</v>
      </c>
      <c r="K192" t="n">
        <v>0</v>
      </c>
      <c r="L192" t="n">
        <v>0</v>
      </c>
      <c r="M192" t="n">
        <v>0</v>
      </c>
      <c r="N192" t="n">
        <v>0</v>
      </c>
      <c r="O192" t="n">
        <v>0</v>
      </c>
      <c r="P192" t="n">
        <v>0</v>
      </c>
      <c r="Q192" t="n">
        <v>0</v>
      </c>
      <c r="R192" s="2" t="inlineStr"/>
    </row>
    <row r="193" ht="15" customHeight="1">
      <c r="A193" t="inlineStr">
        <is>
          <t>A 71840-2021</t>
        </is>
      </c>
      <c r="B193" s="1" t="n">
        <v>44543</v>
      </c>
      <c r="C193" s="1" t="n">
        <v>46011</v>
      </c>
      <c r="D193" t="inlineStr">
        <is>
          <t>VÄRMLANDS LÄN</t>
        </is>
      </c>
      <c r="E193" t="inlineStr">
        <is>
          <t>ÅRJÄNG</t>
        </is>
      </c>
      <c r="G193" t="n">
        <v>6.5</v>
      </c>
      <c r="H193" t="n">
        <v>0</v>
      </c>
      <c r="I193" t="n">
        <v>0</v>
      </c>
      <c r="J193" t="n">
        <v>0</v>
      </c>
      <c r="K193" t="n">
        <v>0</v>
      </c>
      <c r="L193" t="n">
        <v>0</v>
      </c>
      <c r="M193" t="n">
        <v>0</v>
      </c>
      <c r="N193" t="n">
        <v>0</v>
      </c>
      <c r="O193" t="n">
        <v>0</v>
      </c>
      <c r="P193" t="n">
        <v>0</v>
      </c>
      <c r="Q193" t="n">
        <v>0</v>
      </c>
      <c r="R193" s="2" t="inlineStr"/>
    </row>
    <row r="194" ht="15" customHeight="1">
      <c r="A194" t="inlineStr">
        <is>
          <t>A 36087-2021</t>
        </is>
      </c>
      <c r="B194" s="1" t="n">
        <v>44389</v>
      </c>
      <c r="C194" s="1" t="n">
        <v>46011</v>
      </c>
      <c r="D194" t="inlineStr">
        <is>
          <t>VÄRMLANDS LÄN</t>
        </is>
      </c>
      <c r="E194" t="inlineStr">
        <is>
          <t>ÅRJÄNG</t>
        </is>
      </c>
      <c r="G194" t="n">
        <v>2.2</v>
      </c>
      <c r="H194" t="n">
        <v>0</v>
      </c>
      <c r="I194" t="n">
        <v>0</v>
      </c>
      <c r="J194" t="n">
        <v>0</v>
      </c>
      <c r="K194" t="n">
        <v>0</v>
      </c>
      <c r="L194" t="n">
        <v>0</v>
      </c>
      <c r="M194" t="n">
        <v>0</v>
      </c>
      <c r="N194" t="n">
        <v>0</v>
      </c>
      <c r="O194" t="n">
        <v>0</v>
      </c>
      <c r="P194" t="n">
        <v>0</v>
      </c>
      <c r="Q194" t="n">
        <v>0</v>
      </c>
      <c r="R194" s="2" t="inlineStr"/>
    </row>
    <row r="195" ht="15" customHeight="1">
      <c r="A195" t="inlineStr">
        <is>
          <t>A 10612-2022</t>
        </is>
      </c>
      <c r="B195" s="1" t="n">
        <v>44624</v>
      </c>
      <c r="C195" s="1" t="n">
        <v>46011</v>
      </c>
      <c r="D195" t="inlineStr">
        <is>
          <t>VÄRMLANDS LÄN</t>
        </is>
      </c>
      <c r="E195" t="inlineStr">
        <is>
          <t>ÅRJÄNG</t>
        </is>
      </c>
      <c r="G195" t="n">
        <v>6.8</v>
      </c>
      <c r="H195" t="n">
        <v>0</v>
      </c>
      <c r="I195" t="n">
        <v>0</v>
      </c>
      <c r="J195" t="n">
        <v>0</v>
      </c>
      <c r="K195" t="n">
        <v>0</v>
      </c>
      <c r="L195" t="n">
        <v>0</v>
      </c>
      <c r="M195" t="n">
        <v>0</v>
      </c>
      <c r="N195" t="n">
        <v>0</v>
      </c>
      <c r="O195" t="n">
        <v>0</v>
      </c>
      <c r="P195" t="n">
        <v>0</v>
      </c>
      <c r="Q195" t="n">
        <v>0</v>
      </c>
      <c r="R195" s="2" t="inlineStr"/>
    </row>
    <row r="196" ht="15" customHeight="1">
      <c r="A196" t="inlineStr">
        <is>
          <t>A 23450-2021</t>
        </is>
      </c>
      <c r="B196" s="1" t="n">
        <v>44333</v>
      </c>
      <c r="C196" s="1" t="n">
        <v>46011</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71819-2021</t>
        </is>
      </c>
      <c r="B197" s="1" t="n">
        <v>44540</v>
      </c>
      <c r="C197" s="1" t="n">
        <v>46011</v>
      </c>
      <c r="D197" t="inlineStr">
        <is>
          <t>VÄRMLANDS LÄN</t>
        </is>
      </c>
      <c r="E197" t="inlineStr">
        <is>
          <t>ÅRJÄNG</t>
        </is>
      </c>
      <c r="F197" t="inlineStr">
        <is>
          <t>Övriga Aktiebolag</t>
        </is>
      </c>
      <c r="G197" t="n">
        <v>7.5</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46011</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74166-2021</t>
        </is>
      </c>
      <c r="B199" s="1" t="n">
        <v>44558</v>
      </c>
      <c r="C199" s="1" t="n">
        <v>46011</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73138-2021</t>
        </is>
      </c>
      <c r="B200" s="1" t="n">
        <v>44550</v>
      </c>
      <c r="C200" s="1" t="n">
        <v>46011</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13156-2022</t>
        </is>
      </c>
      <c r="B201" s="1" t="n">
        <v>44643</v>
      </c>
      <c r="C201" s="1" t="n">
        <v>46011</v>
      </c>
      <c r="D201" t="inlineStr">
        <is>
          <t>VÄRMLANDS LÄN</t>
        </is>
      </c>
      <c r="E201" t="inlineStr">
        <is>
          <t>ÅRJÄNG</t>
        </is>
      </c>
      <c r="G201" t="n">
        <v>7.8</v>
      </c>
      <c r="H201" t="n">
        <v>0</v>
      </c>
      <c r="I201" t="n">
        <v>0</v>
      </c>
      <c r="J201" t="n">
        <v>0</v>
      </c>
      <c r="K201" t="n">
        <v>0</v>
      </c>
      <c r="L201" t="n">
        <v>0</v>
      </c>
      <c r="M201" t="n">
        <v>0</v>
      </c>
      <c r="N201" t="n">
        <v>0</v>
      </c>
      <c r="O201" t="n">
        <v>0</v>
      </c>
      <c r="P201" t="n">
        <v>0</v>
      </c>
      <c r="Q201" t="n">
        <v>0</v>
      </c>
      <c r="R201" s="2" t="inlineStr"/>
    </row>
    <row r="202" ht="15" customHeight="1">
      <c r="A202" t="inlineStr">
        <is>
          <t>A 60713-2021</t>
        </is>
      </c>
      <c r="B202" s="1" t="n">
        <v>44496</v>
      </c>
      <c r="C202" s="1" t="n">
        <v>46011</v>
      </c>
      <c r="D202" t="inlineStr">
        <is>
          <t>VÄRMLANDS LÄN</t>
        </is>
      </c>
      <c r="E202" t="inlineStr">
        <is>
          <t>ÅRJÄNG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46011</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9407-2022</t>
        </is>
      </c>
      <c r="B204" s="1" t="n">
        <v>44616.65760416666</v>
      </c>
      <c r="C204" s="1" t="n">
        <v>46011</v>
      </c>
      <c r="D204" t="inlineStr">
        <is>
          <t>VÄRMLANDS LÄN</t>
        </is>
      </c>
      <c r="E204" t="inlineStr">
        <is>
          <t>ÅRJÄNG</t>
        </is>
      </c>
      <c r="G204" t="n">
        <v>0.9</v>
      </c>
      <c r="H204" t="n">
        <v>0</v>
      </c>
      <c r="I204" t="n">
        <v>0</v>
      </c>
      <c r="J204" t="n">
        <v>0</v>
      </c>
      <c r="K204" t="n">
        <v>0</v>
      </c>
      <c r="L204" t="n">
        <v>0</v>
      </c>
      <c r="M204" t="n">
        <v>0</v>
      </c>
      <c r="N204" t="n">
        <v>0</v>
      </c>
      <c r="O204" t="n">
        <v>0</v>
      </c>
      <c r="P204" t="n">
        <v>0</v>
      </c>
      <c r="Q204" t="n">
        <v>0</v>
      </c>
      <c r="R204" s="2" t="inlineStr"/>
    </row>
    <row r="205" ht="15" customHeight="1">
      <c r="A205" t="inlineStr">
        <is>
          <t>A 8938-2022</t>
        </is>
      </c>
      <c r="B205" s="1" t="n">
        <v>44614.7222337963</v>
      </c>
      <c r="C205" s="1" t="n">
        <v>46011</v>
      </c>
      <c r="D205" t="inlineStr">
        <is>
          <t>VÄRMLANDS LÄN</t>
        </is>
      </c>
      <c r="E205" t="inlineStr">
        <is>
          <t>ÅRJÄNG</t>
        </is>
      </c>
      <c r="G205" t="n">
        <v>11.9</v>
      </c>
      <c r="H205" t="n">
        <v>0</v>
      </c>
      <c r="I205" t="n">
        <v>0</v>
      </c>
      <c r="J205" t="n">
        <v>0</v>
      </c>
      <c r="K205" t="n">
        <v>0</v>
      </c>
      <c r="L205" t="n">
        <v>0</v>
      </c>
      <c r="M205" t="n">
        <v>0</v>
      </c>
      <c r="N205" t="n">
        <v>0</v>
      </c>
      <c r="O205" t="n">
        <v>0</v>
      </c>
      <c r="P205" t="n">
        <v>0</v>
      </c>
      <c r="Q205" t="n">
        <v>0</v>
      </c>
      <c r="R205" s="2" t="inlineStr"/>
    </row>
    <row r="206" ht="15" customHeight="1">
      <c r="A206" t="inlineStr">
        <is>
          <t>A 47033-2021</t>
        </is>
      </c>
      <c r="B206" s="1" t="n">
        <v>44446</v>
      </c>
      <c r="C206" s="1" t="n">
        <v>46011</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36016-2022</t>
        </is>
      </c>
      <c r="B207" s="1" t="n">
        <v>44802.64721064815</v>
      </c>
      <c r="C207" s="1" t="n">
        <v>46011</v>
      </c>
      <c r="D207" t="inlineStr">
        <is>
          <t>VÄRMLANDS LÄN</t>
        </is>
      </c>
      <c r="E207" t="inlineStr">
        <is>
          <t>ÅRJÄNG</t>
        </is>
      </c>
      <c r="G207" t="n">
        <v>1</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46011</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46011</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4400-2022</t>
        </is>
      </c>
      <c r="B210" s="1" t="n">
        <v>44588</v>
      </c>
      <c r="C210" s="1" t="n">
        <v>46011</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14507-2022</t>
        </is>
      </c>
      <c r="B211" s="1" t="n">
        <v>44655</v>
      </c>
      <c r="C211" s="1" t="n">
        <v>46011</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10006-2022</t>
        </is>
      </c>
      <c r="B212" s="1" t="n">
        <v>44621</v>
      </c>
      <c r="C212" s="1" t="n">
        <v>46011</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35015-2021</t>
        </is>
      </c>
      <c r="B213" s="1" t="n">
        <v>44383.69291666667</v>
      </c>
      <c r="C213" s="1" t="n">
        <v>46011</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36948-2021</t>
        </is>
      </c>
      <c r="B214" s="1" t="n">
        <v>44393.53646990741</v>
      </c>
      <c r="C214" s="1" t="n">
        <v>46011</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47013-2021</t>
        </is>
      </c>
      <c r="B215" s="1" t="n">
        <v>44446</v>
      </c>
      <c r="C215" s="1" t="n">
        <v>46011</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2143-2022</t>
        </is>
      </c>
      <c r="B216" s="1" t="n">
        <v>44571</v>
      </c>
      <c r="C216" s="1" t="n">
        <v>46011</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17135-2022</t>
        </is>
      </c>
      <c r="B217" s="1" t="n">
        <v>44677</v>
      </c>
      <c r="C217" s="1" t="n">
        <v>46011</v>
      </c>
      <c r="D217" t="inlineStr">
        <is>
          <t>VÄRMLANDS LÄN</t>
        </is>
      </c>
      <c r="E217" t="inlineStr">
        <is>
          <t>ÅRJÄNG</t>
        </is>
      </c>
      <c r="G217" t="n">
        <v>9</v>
      </c>
      <c r="H217" t="n">
        <v>0</v>
      </c>
      <c r="I217" t="n">
        <v>0</v>
      </c>
      <c r="J217" t="n">
        <v>0</v>
      </c>
      <c r="K217" t="n">
        <v>0</v>
      </c>
      <c r="L217" t="n">
        <v>0</v>
      </c>
      <c r="M217" t="n">
        <v>0</v>
      </c>
      <c r="N217" t="n">
        <v>0</v>
      </c>
      <c r="O217" t="n">
        <v>0</v>
      </c>
      <c r="P217" t="n">
        <v>0</v>
      </c>
      <c r="Q217" t="n">
        <v>0</v>
      </c>
      <c r="R217" s="2" t="inlineStr"/>
    </row>
    <row r="218" ht="15" customHeight="1">
      <c r="A218" t="inlineStr">
        <is>
          <t>A 40872-2022</t>
        </is>
      </c>
      <c r="B218" s="1" t="n">
        <v>44825.33496527778</v>
      </c>
      <c r="C218" s="1" t="n">
        <v>46011</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46011</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46011</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46011</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48192-2022</t>
        </is>
      </c>
      <c r="B222" s="1" t="n">
        <v>44853</v>
      </c>
      <c r="C222" s="1" t="n">
        <v>46011</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46011</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46011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46011</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57833-2021</t>
        </is>
      </c>
      <c r="B226" s="1" t="n">
        <v>44484.71295138889</v>
      </c>
      <c r="C226" s="1" t="n">
        <v>46011</v>
      </c>
      <c r="D226" t="inlineStr">
        <is>
          <t>VÄRMLANDS LÄN</t>
        </is>
      </c>
      <c r="E226" t="inlineStr">
        <is>
          <t>ÅRJÄNG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36532-2022</t>
        </is>
      </c>
      <c r="B227" s="1" t="n">
        <v>44804</v>
      </c>
      <c r="C227" s="1" t="n">
        <v>46011</v>
      </c>
      <c r="D227" t="inlineStr">
        <is>
          <t>VÄRMLANDS LÄN</t>
        </is>
      </c>
      <c r="E227" t="inlineStr">
        <is>
          <t>ÅRJÄNG</t>
        </is>
      </c>
      <c r="G227" t="n">
        <v>12.7</v>
      </c>
      <c r="H227" t="n">
        <v>0</v>
      </c>
      <c r="I227" t="n">
        <v>0</v>
      </c>
      <c r="J227" t="n">
        <v>0</v>
      </c>
      <c r="K227" t="n">
        <v>0</v>
      </c>
      <c r="L227" t="n">
        <v>0</v>
      </c>
      <c r="M227" t="n">
        <v>0</v>
      </c>
      <c r="N227" t="n">
        <v>0</v>
      </c>
      <c r="O227" t="n">
        <v>0</v>
      </c>
      <c r="P227" t="n">
        <v>0</v>
      </c>
      <c r="Q227" t="n">
        <v>0</v>
      </c>
      <c r="R227" s="2" t="inlineStr"/>
    </row>
    <row r="228" ht="15" customHeight="1">
      <c r="A228" t="inlineStr">
        <is>
          <t>A 6900-2021</t>
        </is>
      </c>
      <c r="B228" s="1" t="n">
        <v>44237</v>
      </c>
      <c r="C228" s="1" t="n">
        <v>46011</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6908-2021</t>
        </is>
      </c>
      <c r="B229" s="1" t="n">
        <v>44237</v>
      </c>
      <c r="C229" s="1" t="n">
        <v>46011</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51962-2022</t>
        </is>
      </c>
      <c r="B230" s="1" t="n">
        <v>44872.68225694444</v>
      </c>
      <c r="C230" s="1" t="n">
        <v>46011</v>
      </c>
      <c r="D230" t="inlineStr">
        <is>
          <t>VÄRMLANDS LÄN</t>
        </is>
      </c>
      <c r="E230" t="inlineStr">
        <is>
          <t>ÅRJÄNG</t>
        </is>
      </c>
      <c r="G230" t="n">
        <v>1.7</v>
      </c>
      <c r="H230" t="n">
        <v>0</v>
      </c>
      <c r="I230" t="n">
        <v>0</v>
      </c>
      <c r="J230" t="n">
        <v>0</v>
      </c>
      <c r="K230" t="n">
        <v>0</v>
      </c>
      <c r="L230" t="n">
        <v>0</v>
      </c>
      <c r="M230" t="n">
        <v>0</v>
      </c>
      <c r="N230" t="n">
        <v>0</v>
      </c>
      <c r="O230" t="n">
        <v>0</v>
      </c>
      <c r="P230" t="n">
        <v>0</v>
      </c>
      <c r="Q230" t="n">
        <v>0</v>
      </c>
      <c r="R230" s="2" t="inlineStr"/>
    </row>
    <row r="231" ht="15" customHeight="1">
      <c r="A231" t="inlineStr">
        <is>
          <t>A 1567-2022</t>
        </is>
      </c>
      <c r="B231" s="1" t="n">
        <v>44573</v>
      </c>
      <c r="C231" s="1" t="n">
        <v>46011</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46011</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52761-2022</t>
        </is>
      </c>
      <c r="B233" s="1" t="n">
        <v>44875.3165162037</v>
      </c>
      <c r="C233" s="1" t="n">
        <v>46011</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46011</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65979-2021</t>
        </is>
      </c>
      <c r="B235" s="1" t="n">
        <v>44517.54078703704</v>
      </c>
      <c r="C235" s="1" t="n">
        <v>46011</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21939-2022</t>
        </is>
      </c>
      <c r="B236" s="1" t="n">
        <v>44711</v>
      </c>
      <c r="C236" s="1" t="n">
        <v>46011</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19244-2021</t>
        </is>
      </c>
      <c r="B237" s="1" t="n">
        <v>44309</v>
      </c>
      <c r="C237" s="1" t="n">
        <v>46011</v>
      </c>
      <c r="D237" t="inlineStr">
        <is>
          <t>VÄRMLANDS LÄN</t>
        </is>
      </c>
      <c r="E237" t="inlineStr">
        <is>
          <t>ÅRJÄNG</t>
        </is>
      </c>
      <c r="G237" t="n">
        <v>2</v>
      </c>
      <c r="H237" t="n">
        <v>0</v>
      </c>
      <c r="I237" t="n">
        <v>0</v>
      </c>
      <c r="J237" t="n">
        <v>0</v>
      </c>
      <c r="K237" t="n">
        <v>0</v>
      </c>
      <c r="L237" t="n">
        <v>0</v>
      </c>
      <c r="M237" t="n">
        <v>0</v>
      </c>
      <c r="N237" t="n">
        <v>0</v>
      </c>
      <c r="O237" t="n">
        <v>0</v>
      </c>
      <c r="P237" t="n">
        <v>0</v>
      </c>
      <c r="Q237" t="n">
        <v>0</v>
      </c>
      <c r="R237" s="2" t="inlineStr"/>
    </row>
    <row r="238" ht="15" customHeight="1">
      <c r="A238" t="inlineStr">
        <is>
          <t>A 51975-2022</t>
        </is>
      </c>
      <c r="B238" s="1" t="n">
        <v>44872.71702546296</v>
      </c>
      <c r="C238" s="1" t="n">
        <v>46011</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13654-2022</t>
        </is>
      </c>
      <c r="B239" s="1" t="n">
        <v>44648.65623842592</v>
      </c>
      <c r="C239" s="1" t="n">
        <v>46011</v>
      </c>
      <c r="D239" t="inlineStr">
        <is>
          <t>VÄRMLANDS LÄN</t>
        </is>
      </c>
      <c r="E239" t="inlineStr">
        <is>
          <t>ÅRJÄNG</t>
        </is>
      </c>
      <c r="G239" t="n">
        <v>0.9</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46011</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46011</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9484-2021</t>
        </is>
      </c>
      <c r="B242" s="1" t="n">
        <v>44251</v>
      </c>
      <c r="C242" s="1" t="n">
        <v>46011</v>
      </c>
      <c r="D242" t="inlineStr">
        <is>
          <t>VÄRMLANDS LÄN</t>
        </is>
      </c>
      <c r="E242" t="inlineStr">
        <is>
          <t>ÅRJÄNG</t>
        </is>
      </c>
      <c r="G242" t="n">
        <v>0.8</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46011</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27871-2021</t>
        </is>
      </c>
      <c r="B244" s="1" t="n">
        <v>44354</v>
      </c>
      <c r="C244" s="1" t="n">
        <v>46011</v>
      </c>
      <c r="D244" t="inlineStr">
        <is>
          <t>VÄRMLANDS LÄN</t>
        </is>
      </c>
      <c r="E244" t="inlineStr">
        <is>
          <t>ÅRJÄNG</t>
        </is>
      </c>
      <c r="G244" t="n">
        <v>2.3</v>
      </c>
      <c r="H244" t="n">
        <v>0</v>
      </c>
      <c r="I244" t="n">
        <v>0</v>
      </c>
      <c r="J244" t="n">
        <v>0</v>
      </c>
      <c r="K244" t="n">
        <v>0</v>
      </c>
      <c r="L244" t="n">
        <v>0</v>
      </c>
      <c r="M244" t="n">
        <v>0</v>
      </c>
      <c r="N244" t="n">
        <v>0</v>
      </c>
      <c r="O244" t="n">
        <v>0</v>
      </c>
      <c r="P244" t="n">
        <v>0</v>
      </c>
      <c r="Q244" t="n">
        <v>0</v>
      </c>
      <c r="R244" s="2" t="inlineStr"/>
    </row>
    <row r="245" ht="15" customHeight="1">
      <c r="A245" t="inlineStr">
        <is>
          <t>A 22158-2021</t>
        </is>
      </c>
      <c r="B245" s="1" t="n">
        <v>44325.57944444445</v>
      </c>
      <c r="C245" s="1" t="n">
        <v>46011</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5713-2021</t>
        </is>
      </c>
      <c r="B246" s="1" t="n">
        <v>44230</v>
      </c>
      <c r="C246" s="1" t="n">
        <v>46011</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30817-2021</t>
        </is>
      </c>
      <c r="B247" s="1" t="n">
        <v>44365</v>
      </c>
      <c r="C247" s="1" t="n">
        <v>46011</v>
      </c>
      <c r="D247" t="inlineStr">
        <is>
          <t>VÄRMLANDS LÄN</t>
        </is>
      </c>
      <c r="E247" t="inlineStr">
        <is>
          <t>ÅRJÄNG</t>
        </is>
      </c>
      <c r="G247" t="n">
        <v>5.6</v>
      </c>
      <c r="H247" t="n">
        <v>0</v>
      </c>
      <c r="I247" t="n">
        <v>0</v>
      </c>
      <c r="J247" t="n">
        <v>0</v>
      </c>
      <c r="K247" t="n">
        <v>0</v>
      </c>
      <c r="L247" t="n">
        <v>0</v>
      </c>
      <c r="M247" t="n">
        <v>0</v>
      </c>
      <c r="N247" t="n">
        <v>0</v>
      </c>
      <c r="O247" t="n">
        <v>0</v>
      </c>
      <c r="P247" t="n">
        <v>0</v>
      </c>
      <c r="Q247" t="n">
        <v>0</v>
      </c>
      <c r="R247" s="2" t="inlineStr"/>
    </row>
    <row r="248" ht="15" customHeight="1">
      <c r="A248" t="inlineStr">
        <is>
          <t>A 23451-2021</t>
        </is>
      </c>
      <c r="B248" s="1" t="n">
        <v>44333.89180555556</v>
      </c>
      <c r="C248" s="1" t="n">
        <v>46011</v>
      </c>
      <c r="D248" t="inlineStr">
        <is>
          <t>VÄRMLANDS LÄN</t>
        </is>
      </c>
      <c r="E248" t="inlineStr">
        <is>
          <t>ÅRJÄNG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46011</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46011</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29098-2022</t>
        </is>
      </c>
      <c r="B251" s="1" t="n">
        <v>44750</v>
      </c>
      <c r="C251" s="1" t="n">
        <v>46011</v>
      </c>
      <c r="D251" t="inlineStr">
        <is>
          <t>VÄRMLANDS LÄN</t>
        </is>
      </c>
      <c r="E251" t="inlineStr">
        <is>
          <t>ÅRJÄNG</t>
        </is>
      </c>
      <c r="G251" t="n">
        <v>1.1</v>
      </c>
      <c r="H251" t="n">
        <v>0</v>
      </c>
      <c r="I251" t="n">
        <v>0</v>
      </c>
      <c r="J251" t="n">
        <v>0</v>
      </c>
      <c r="K251" t="n">
        <v>0</v>
      </c>
      <c r="L251" t="n">
        <v>0</v>
      </c>
      <c r="M251" t="n">
        <v>0</v>
      </c>
      <c r="N251" t="n">
        <v>0</v>
      </c>
      <c r="O251" t="n">
        <v>0</v>
      </c>
      <c r="P251" t="n">
        <v>0</v>
      </c>
      <c r="Q251" t="n">
        <v>0</v>
      </c>
      <c r="R251" s="2" t="inlineStr"/>
    </row>
    <row r="252" ht="15" customHeight="1">
      <c r="A252" t="inlineStr">
        <is>
          <t>A 13152-2022</t>
        </is>
      </c>
      <c r="B252" s="1" t="n">
        <v>44643</v>
      </c>
      <c r="C252" s="1" t="n">
        <v>46011</v>
      </c>
      <c r="D252" t="inlineStr">
        <is>
          <t>VÄRMLANDS LÄN</t>
        </is>
      </c>
      <c r="E252" t="inlineStr">
        <is>
          <t>ÅRJÄNG</t>
        </is>
      </c>
      <c r="G252" t="n">
        <v>4</v>
      </c>
      <c r="H252" t="n">
        <v>0</v>
      </c>
      <c r="I252" t="n">
        <v>0</v>
      </c>
      <c r="J252" t="n">
        <v>0</v>
      </c>
      <c r="K252" t="n">
        <v>0</v>
      </c>
      <c r="L252" t="n">
        <v>0</v>
      </c>
      <c r="M252" t="n">
        <v>0</v>
      </c>
      <c r="N252" t="n">
        <v>0</v>
      </c>
      <c r="O252" t="n">
        <v>0</v>
      </c>
      <c r="P252" t="n">
        <v>0</v>
      </c>
      <c r="Q252" t="n">
        <v>0</v>
      </c>
      <c r="R252" s="2" t="inlineStr"/>
    </row>
    <row r="253" ht="15" customHeight="1">
      <c r="A253" t="inlineStr">
        <is>
          <t>A 29174-2022</t>
        </is>
      </c>
      <c r="B253" s="1" t="n">
        <v>44750</v>
      </c>
      <c r="C253" s="1" t="n">
        <v>46011</v>
      </c>
      <c r="D253" t="inlineStr">
        <is>
          <t>VÄRMLANDS LÄN</t>
        </is>
      </c>
      <c r="E253" t="inlineStr">
        <is>
          <t>ÅRJÄNG</t>
        </is>
      </c>
      <c r="G253" t="n">
        <v>0.1</v>
      </c>
      <c r="H253" t="n">
        <v>0</v>
      </c>
      <c r="I253" t="n">
        <v>0</v>
      </c>
      <c r="J253" t="n">
        <v>0</v>
      </c>
      <c r="K253" t="n">
        <v>0</v>
      </c>
      <c r="L253" t="n">
        <v>0</v>
      </c>
      <c r="M253" t="n">
        <v>0</v>
      </c>
      <c r="N253" t="n">
        <v>0</v>
      </c>
      <c r="O253" t="n">
        <v>0</v>
      </c>
      <c r="P253" t="n">
        <v>0</v>
      </c>
      <c r="Q253" t="n">
        <v>0</v>
      </c>
      <c r="R253" s="2" t="inlineStr"/>
    </row>
    <row r="254" ht="15" customHeight="1">
      <c r="A254" t="inlineStr">
        <is>
          <t>A 16676-2021</t>
        </is>
      </c>
      <c r="B254" s="1" t="n">
        <v>44294.5668287037</v>
      </c>
      <c r="C254" s="1" t="n">
        <v>46011</v>
      </c>
      <c r="D254" t="inlineStr">
        <is>
          <t>VÄRMLANDS LÄN</t>
        </is>
      </c>
      <c r="E254" t="inlineStr">
        <is>
          <t>ÅRJÄNG</t>
        </is>
      </c>
      <c r="G254" t="n">
        <v>4.3</v>
      </c>
      <c r="H254" t="n">
        <v>0</v>
      </c>
      <c r="I254" t="n">
        <v>0</v>
      </c>
      <c r="J254" t="n">
        <v>0</v>
      </c>
      <c r="K254" t="n">
        <v>0</v>
      </c>
      <c r="L254" t="n">
        <v>0</v>
      </c>
      <c r="M254" t="n">
        <v>0</v>
      </c>
      <c r="N254" t="n">
        <v>0</v>
      </c>
      <c r="O254" t="n">
        <v>0</v>
      </c>
      <c r="P254" t="n">
        <v>0</v>
      </c>
      <c r="Q254" t="n">
        <v>0</v>
      </c>
      <c r="R254" s="2" t="inlineStr"/>
    </row>
    <row r="255" ht="15" customHeight="1">
      <c r="A255" t="inlineStr">
        <is>
          <t>A 19893-2022</t>
        </is>
      </c>
      <c r="B255" s="1" t="n">
        <v>44697</v>
      </c>
      <c r="C255" s="1" t="n">
        <v>46011</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4915-2022</t>
        </is>
      </c>
      <c r="B256" s="1" t="n">
        <v>44593</v>
      </c>
      <c r="C256" s="1" t="n">
        <v>46011</v>
      </c>
      <c r="D256" t="inlineStr">
        <is>
          <t>VÄRMLANDS LÄN</t>
        </is>
      </c>
      <c r="E256" t="inlineStr">
        <is>
          <t>ÅRJÄNG</t>
        </is>
      </c>
      <c r="G256" t="n">
        <v>3.7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46011</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8408-2022</t>
        </is>
      </c>
      <c r="B258" s="1" t="n">
        <v>44610</v>
      </c>
      <c r="C258" s="1" t="n">
        <v>46011</v>
      </c>
      <c r="D258" t="inlineStr">
        <is>
          <t>VÄRMLANDS LÄN</t>
        </is>
      </c>
      <c r="E258" t="inlineStr">
        <is>
          <t>ÅRJÄNG</t>
        </is>
      </c>
      <c r="G258" t="n">
        <v>3.9</v>
      </c>
      <c r="H258" t="n">
        <v>0</v>
      </c>
      <c r="I258" t="n">
        <v>0</v>
      </c>
      <c r="J258" t="n">
        <v>0</v>
      </c>
      <c r="K258" t="n">
        <v>0</v>
      </c>
      <c r="L258" t="n">
        <v>0</v>
      </c>
      <c r="M258" t="n">
        <v>0</v>
      </c>
      <c r="N258" t="n">
        <v>0</v>
      </c>
      <c r="O258" t="n">
        <v>0</v>
      </c>
      <c r="P258" t="n">
        <v>0</v>
      </c>
      <c r="Q258" t="n">
        <v>0</v>
      </c>
      <c r="R258" s="2" t="inlineStr"/>
    </row>
    <row r="259" ht="15" customHeight="1">
      <c r="A259" t="inlineStr">
        <is>
          <t>A 37949-2022</t>
        </is>
      </c>
      <c r="B259" s="1" t="n">
        <v>44811.48773148148</v>
      </c>
      <c r="C259" s="1" t="n">
        <v>46011</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69024-2021</t>
        </is>
      </c>
      <c r="B260" s="1" t="n">
        <v>44530.61547453704</v>
      </c>
      <c r="C260" s="1" t="n">
        <v>46011</v>
      </c>
      <c r="D260" t="inlineStr">
        <is>
          <t>VÄRMLANDS LÄN</t>
        </is>
      </c>
      <c r="E260" t="inlineStr">
        <is>
          <t>ÅRJÄNG</t>
        </is>
      </c>
      <c r="G260" t="n">
        <v>0.3</v>
      </c>
      <c r="H260" t="n">
        <v>0</v>
      </c>
      <c r="I260" t="n">
        <v>0</v>
      </c>
      <c r="J260" t="n">
        <v>0</v>
      </c>
      <c r="K260" t="n">
        <v>0</v>
      </c>
      <c r="L260" t="n">
        <v>0</v>
      </c>
      <c r="M260" t="n">
        <v>0</v>
      </c>
      <c r="N260" t="n">
        <v>0</v>
      </c>
      <c r="O260" t="n">
        <v>0</v>
      </c>
      <c r="P260" t="n">
        <v>0</v>
      </c>
      <c r="Q260" t="n">
        <v>0</v>
      </c>
      <c r="R260" s="2" t="inlineStr"/>
    </row>
    <row r="261" ht="15" customHeight="1">
      <c r="A261" t="inlineStr">
        <is>
          <t>A 40643-2022</t>
        </is>
      </c>
      <c r="B261" s="1" t="n">
        <v>44824.32023148148</v>
      </c>
      <c r="C261" s="1" t="n">
        <v>46011</v>
      </c>
      <c r="D261" t="inlineStr">
        <is>
          <t>VÄRMLANDS LÄN</t>
        </is>
      </c>
      <c r="E261" t="inlineStr">
        <is>
          <t>ÅRJÄNG</t>
        </is>
      </c>
      <c r="G261" t="n">
        <v>0.4</v>
      </c>
      <c r="H261" t="n">
        <v>0</v>
      </c>
      <c r="I261" t="n">
        <v>0</v>
      </c>
      <c r="J261" t="n">
        <v>0</v>
      </c>
      <c r="K261" t="n">
        <v>0</v>
      </c>
      <c r="L261" t="n">
        <v>0</v>
      </c>
      <c r="M261" t="n">
        <v>0</v>
      </c>
      <c r="N261" t="n">
        <v>0</v>
      </c>
      <c r="O261" t="n">
        <v>0</v>
      </c>
      <c r="P261" t="n">
        <v>0</v>
      </c>
      <c r="Q261" t="n">
        <v>0</v>
      </c>
      <c r="R261" s="2" t="inlineStr"/>
    </row>
    <row r="262" ht="15" customHeight="1">
      <c r="A262" t="inlineStr">
        <is>
          <t>A 10518-2022</t>
        </is>
      </c>
      <c r="B262" s="1" t="n">
        <v>44623.77545138889</v>
      </c>
      <c r="C262" s="1" t="n">
        <v>46011</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46011</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46011</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28437-2021</t>
        </is>
      </c>
      <c r="B265" s="1" t="n">
        <v>44356.53327546296</v>
      </c>
      <c r="C265" s="1" t="n">
        <v>46011</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46011</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10899-2022</t>
        </is>
      </c>
      <c r="B267" s="1" t="n">
        <v>44627</v>
      </c>
      <c r="C267" s="1" t="n">
        <v>46011</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14094-2021</t>
        </is>
      </c>
      <c r="B268" s="1" t="n">
        <v>44278.29547453704</v>
      </c>
      <c r="C268" s="1" t="n">
        <v>46011</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46011</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46011</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46011</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21701-2021</t>
        </is>
      </c>
      <c r="B272" s="1" t="n">
        <v>44322</v>
      </c>
      <c r="C272" s="1" t="n">
        <v>46011</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3980-2021</t>
        </is>
      </c>
      <c r="B273" s="1" t="n">
        <v>44217</v>
      </c>
      <c r="C273" s="1" t="n">
        <v>46011</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56778-2024</t>
        </is>
      </c>
      <c r="B274" s="1" t="n">
        <v>45628</v>
      </c>
      <c r="C274" s="1" t="n">
        <v>46011</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8831-2025</t>
        </is>
      </c>
      <c r="B275" s="1" t="n">
        <v>45712.90697916667</v>
      </c>
      <c r="C275" s="1" t="n">
        <v>46011</v>
      </c>
      <c r="D275" t="inlineStr">
        <is>
          <t>VÄRMLANDS LÄN</t>
        </is>
      </c>
      <c r="E275" t="inlineStr">
        <is>
          <t>ÅRJÄNG</t>
        </is>
      </c>
      <c r="G275" t="n">
        <v>32.9</v>
      </c>
      <c r="H275" t="n">
        <v>0</v>
      </c>
      <c r="I275" t="n">
        <v>0</v>
      </c>
      <c r="J275" t="n">
        <v>0</v>
      </c>
      <c r="K275" t="n">
        <v>0</v>
      </c>
      <c r="L275" t="n">
        <v>0</v>
      </c>
      <c r="M275" t="n">
        <v>0</v>
      </c>
      <c r="N275" t="n">
        <v>0</v>
      </c>
      <c r="O275" t="n">
        <v>0</v>
      </c>
      <c r="P275" t="n">
        <v>0</v>
      </c>
      <c r="Q275" t="n">
        <v>0</v>
      </c>
      <c r="R275" s="2" t="inlineStr"/>
    </row>
    <row r="276" ht="15" customHeight="1">
      <c r="A276" t="inlineStr">
        <is>
          <t>A 8834-2025</t>
        </is>
      </c>
      <c r="B276" s="1" t="n">
        <v>45712.921875</v>
      </c>
      <c r="C276" s="1" t="n">
        <v>46011</v>
      </c>
      <c r="D276" t="inlineStr">
        <is>
          <t>VÄRMLANDS LÄN</t>
        </is>
      </c>
      <c r="E276" t="inlineStr">
        <is>
          <t>ÅRJÄNG</t>
        </is>
      </c>
      <c r="G276" t="n">
        <v>2.2</v>
      </c>
      <c r="H276" t="n">
        <v>0</v>
      </c>
      <c r="I276" t="n">
        <v>0</v>
      </c>
      <c r="J276" t="n">
        <v>0</v>
      </c>
      <c r="K276" t="n">
        <v>0</v>
      </c>
      <c r="L276" t="n">
        <v>0</v>
      </c>
      <c r="M276" t="n">
        <v>0</v>
      </c>
      <c r="N276" t="n">
        <v>0</v>
      </c>
      <c r="O276" t="n">
        <v>0</v>
      </c>
      <c r="P276" t="n">
        <v>0</v>
      </c>
      <c r="Q276" t="n">
        <v>0</v>
      </c>
      <c r="R276" s="2" t="inlineStr"/>
    </row>
    <row r="277" ht="15" customHeight="1">
      <c r="A277" t="inlineStr">
        <is>
          <t>A 33025-2021</t>
        </is>
      </c>
      <c r="B277" s="1" t="n">
        <v>44376</v>
      </c>
      <c r="C277" s="1" t="n">
        <v>46011</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13001-2025</t>
        </is>
      </c>
      <c r="B278" s="1" t="n">
        <v>45734.49777777777</v>
      </c>
      <c r="C278" s="1" t="n">
        <v>46011</v>
      </c>
      <c r="D278" t="inlineStr">
        <is>
          <t>VÄRMLANDS LÄN</t>
        </is>
      </c>
      <c r="E278" t="inlineStr">
        <is>
          <t>ÅRJÄNG</t>
        </is>
      </c>
      <c r="G278" t="n">
        <v>15.8</v>
      </c>
      <c r="H278" t="n">
        <v>0</v>
      </c>
      <c r="I278" t="n">
        <v>0</v>
      </c>
      <c r="J278" t="n">
        <v>0</v>
      </c>
      <c r="K278" t="n">
        <v>0</v>
      </c>
      <c r="L278" t="n">
        <v>0</v>
      </c>
      <c r="M278" t="n">
        <v>0</v>
      </c>
      <c r="N278" t="n">
        <v>0</v>
      </c>
      <c r="O278" t="n">
        <v>0</v>
      </c>
      <c r="P278" t="n">
        <v>0</v>
      </c>
      <c r="Q278" t="n">
        <v>0</v>
      </c>
      <c r="R278" s="2" t="inlineStr"/>
    </row>
    <row r="279" ht="15" customHeight="1">
      <c r="A279" t="inlineStr">
        <is>
          <t>A 13002-2025</t>
        </is>
      </c>
      <c r="B279" s="1" t="n">
        <v>45734.50288194444</v>
      </c>
      <c r="C279" s="1" t="n">
        <v>46011</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4668-2025</t>
        </is>
      </c>
      <c r="B280" s="1" t="n">
        <v>45687.76229166667</v>
      </c>
      <c r="C280" s="1" t="n">
        <v>46011</v>
      </c>
      <c r="D280" t="inlineStr">
        <is>
          <t>VÄRMLANDS LÄN</t>
        </is>
      </c>
      <c r="E280" t="inlineStr">
        <is>
          <t>ÅRJÄNG</t>
        </is>
      </c>
      <c r="G280" t="n">
        <v>8.5</v>
      </c>
      <c r="H280" t="n">
        <v>0</v>
      </c>
      <c r="I280" t="n">
        <v>0</v>
      </c>
      <c r="J280" t="n">
        <v>0</v>
      </c>
      <c r="K280" t="n">
        <v>0</v>
      </c>
      <c r="L280" t="n">
        <v>0</v>
      </c>
      <c r="M280" t="n">
        <v>0</v>
      </c>
      <c r="N280" t="n">
        <v>0</v>
      </c>
      <c r="O280" t="n">
        <v>0</v>
      </c>
      <c r="P280" t="n">
        <v>0</v>
      </c>
      <c r="Q280" t="n">
        <v>0</v>
      </c>
      <c r="R280" s="2" t="inlineStr"/>
    </row>
    <row r="281" ht="15" customHeight="1">
      <c r="A281" t="inlineStr">
        <is>
          <t>A 54961-2024</t>
        </is>
      </c>
      <c r="B281" s="1" t="n">
        <v>45619.9753125</v>
      </c>
      <c r="C281" s="1" t="n">
        <v>46011</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5122-2025</t>
        </is>
      </c>
      <c r="B282" s="1" t="n">
        <v>45691.55863425926</v>
      </c>
      <c r="C282" s="1" t="n">
        <v>46011</v>
      </c>
      <c r="D282" t="inlineStr">
        <is>
          <t>VÄRMLANDS LÄN</t>
        </is>
      </c>
      <c r="E282" t="inlineStr">
        <is>
          <t>ÅRJÄNG</t>
        </is>
      </c>
      <c r="G282" t="n">
        <v>5.7</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46011</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19964-2023</t>
        </is>
      </c>
      <c r="B284" s="1" t="n">
        <v>45051</v>
      </c>
      <c r="C284" s="1" t="n">
        <v>46011</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16791-2025</t>
        </is>
      </c>
      <c r="B285" s="1" t="n">
        <v>45754</v>
      </c>
      <c r="C285" s="1" t="n">
        <v>46011</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11805-2024</t>
        </is>
      </c>
      <c r="B286" s="1" t="n">
        <v>45375.76523148148</v>
      </c>
      <c r="C286" s="1" t="n">
        <v>46011</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15828-2024</t>
        </is>
      </c>
      <c r="B287" s="1" t="n">
        <v>45404</v>
      </c>
      <c r="C287" s="1" t="n">
        <v>46011</v>
      </c>
      <c r="D287" t="inlineStr">
        <is>
          <t>VÄRMLANDS LÄN</t>
        </is>
      </c>
      <c r="E287" t="inlineStr">
        <is>
          <t>ÅRJÄNG</t>
        </is>
      </c>
      <c r="G287" t="n">
        <v>1.5</v>
      </c>
      <c r="H287" t="n">
        <v>0</v>
      </c>
      <c r="I287" t="n">
        <v>0</v>
      </c>
      <c r="J287" t="n">
        <v>0</v>
      </c>
      <c r="K287" t="n">
        <v>0</v>
      </c>
      <c r="L287" t="n">
        <v>0</v>
      </c>
      <c r="M287" t="n">
        <v>0</v>
      </c>
      <c r="N287" t="n">
        <v>0</v>
      </c>
      <c r="O287" t="n">
        <v>0</v>
      </c>
      <c r="P287" t="n">
        <v>0</v>
      </c>
      <c r="Q287" t="n">
        <v>0</v>
      </c>
      <c r="R287" s="2" t="inlineStr"/>
    </row>
    <row r="288" ht="15" customHeight="1">
      <c r="A288" t="inlineStr">
        <is>
          <t>A 16079-2024</t>
        </is>
      </c>
      <c r="B288" s="1" t="n">
        <v>45406</v>
      </c>
      <c r="C288" s="1" t="n">
        <v>46011</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12072-2024</t>
        </is>
      </c>
      <c r="B289" s="1" t="n">
        <v>45377</v>
      </c>
      <c r="C289" s="1" t="n">
        <v>46011</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46011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30459-2022</t>
        </is>
      </c>
      <c r="B291" s="1" t="n">
        <v>44761</v>
      </c>
      <c r="C291" s="1" t="n">
        <v>46011</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46011</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40490-2022</t>
        </is>
      </c>
      <c r="B293" s="1" t="n">
        <v>44823.58560185185</v>
      </c>
      <c r="C293" s="1" t="n">
        <v>46011</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19511-2024</t>
        </is>
      </c>
      <c r="B294" s="1" t="n">
        <v>45429.6099537037</v>
      </c>
      <c r="C294" s="1" t="n">
        <v>46011</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19516-2024</t>
        </is>
      </c>
      <c r="B295" s="1" t="n">
        <v>45429.61491898148</v>
      </c>
      <c r="C295" s="1" t="n">
        <v>46011</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6034-2021</t>
        </is>
      </c>
      <c r="B296" s="1" t="n">
        <v>44232.33623842592</v>
      </c>
      <c r="C296" s="1" t="n">
        <v>46011</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59385-2023</t>
        </is>
      </c>
      <c r="B297" s="1" t="n">
        <v>45253</v>
      </c>
      <c r="C297" s="1" t="n">
        <v>46011</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13036-2025</t>
        </is>
      </c>
      <c r="B298" s="1" t="n">
        <v>45734.57474537037</v>
      </c>
      <c r="C298" s="1" t="n">
        <v>46011</v>
      </c>
      <c r="D298" t="inlineStr">
        <is>
          <t>VÄRMLANDS LÄN</t>
        </is>
      </c>
      <c r="E298" t="inlineStr">
        <is>
          <t>ÅRJÄNG</t>
        </is>
      </c>
      <c r="G298" t="n">
        <v>5.6</v>
      </c>
      <c r="H298" t="n">
        <v>0</v>
      </c>
      <c r="I298" t="n">
        <v>0</v>
      </c>
      <c r="J298" t="n">
        <v>0</v>
      </c>
      <c r="K298" t="n">
        <v>0</v>
      </c>
      <c r="L298" t="n">
        <v>0</v>
      </c>
      <c r="M298" t="n">
        <v>0</v>
      </c>
      <c r="N298" t="n">
        <v>0</v>
      </c>
      <c r="O298" t="n">
        <v>0</v>
      </c>
      <c r="P298" t="n">
        <v>0</v>
      </c>
      <c r="Q298" t="n">
        <v>0</v>
      </c>
      <c r="R298" s="2" t="inlineStr"/>
    </row>
    <row r="299" ht="15" customHeight="1">
      <c r="A299" t="inlineStr">
        <is>
          <t>A 9909-2024</t>
        </is>
      </c>
      <c r="B299" s="1" t="n">
        <v>45363.53642361111</v>
      </c>
      <c r="C299" s="1" t="n">
        <v>46011</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13734-2024</t>
        </is>
      </c>
      <c r="B300" s="1" t="n">
        <v>45387</v>
      </c>
      <c r="C300" s="1" t="n">
        <v>46011</v>
      </c>
      <c r="D300" t="inlineStr">
        <is>
          <t>VÄRMLANDS LÄN</t>
        </is>
      </c>
      <c r="E300" t="inlineStr">
        <is>
          <t>ÅRJÄNG</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13824-2024</t>
        </is>
      </c>
      <c r="B301" s="1" t="n">
        <v>45391.42951388889</v>
      </c>
      <c r="C301" s="1" t="n">
        <v>46011</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51109-2022</t>
        </is>
      </c>
      <c r="B302" s="1" t="n">
        <v>44868.43569444444</v>
      </c>
      <c r="C302" s="1" t="n">
        <v>46011</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74430-2021</t>
        </is>
      </c>
      <c r="B303" s="1" t="n">
        <v>44560.43342592593</v>
      </c>
      <c r="C303" s="1" t="n">
        <v>46011</v>
      </c>
      <c r="D303" t="inlineStr">
        <is>
          <t>VÄRMLANDS LÄN</t>
        </is>
      </c>
      <c r="E303" t="inlineStr">
        <is>
          <t>ÅRJÄNG</t>
        </is>
      </c>
      <c r="G303" t="n">
        <v>0.9</v>
      </c>
      <c r="H303" t="n">
        <v>0</v>
      </c>
      <c r="I303" t="n">
        <v>0</v>
      </c>
      <c r="J303" t="n">
        <v>0</v>
      </c>
      <c r="K303" t="n">
        <v>0</v>
      </c>
      <c r="L303" t="n">
        <v>0</v>
      </c>
      <c r="M303" t="n">
        <v>0</v>
      </c>
      <c r="N303" t="n">
        <v>0</v>
      </c>
      <c r="O303" t="n">
        <v>0</v>
      </c>
      <c r="P303" t="n">
        <v>0</v>
      </c>
      <c r="Q303" t="n">
        <v>0</v>
      </c>
      <c r="R303" s="2" t="inlineStr"/>
    </row>
    <row r="304" ht="15" customHeight="1">
      <c r="A304" t="inlineStr">
        <is>
          <t>A 41986-2022</t>
        </is>
      </c>
      <c r="B304" s="1" t="n">
        <v>44830.4380787037</v>
      </c>
      <c r="C304" s="1" t="n">
        <v>46011</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47688-2023</t>
        </is>
      </c>
      <c r="B305" s="1" t="n">
        <v>45203</v>
      </c>
      <c r="C305" s="1" t="n">
        <v>46011</v>
      </c>
      <c r="D305" t="inlineStr">
        <is>
          <t>VÄRMLANDS LÄN</t>
        </is>
      </c>
      <c r="E305" t="inlineStr">
        <is>
          <t>ÅRJÄNG</t>
        </is>
      </c>
      <c r="F305" t="inlineStr">
        <is>
          <t>Övriga Aktiebolag</t>
        </is>
      </c>
      <c r="G305" t="n">
        <v>20.3</v>
      </c>
      <c r="H305" t="n">
        <v>0</v>
      </c>
      <c r="I305" t="n">
        <v>0</v>
      </c>
      <c r="J305" t="n">
        <v>0</v>
      </c>
      <c r="K305" t="n">
        <v>0</v>
      </c>
      <c r="L305" t="n">
        <v>0</v>
      </c>
      <c r="M305" t="n">
        <v>0</v>
      </c>
      <c r="N305" t="n">
        <v>0</v>
      </c>
      <c r="O305" t="n">
        <v>0</v>
      </c>
      <c r="P305" t="n">
        <v>0</v>
      </c>
      <c r="Q305" t="n">
        <v>0</v>
      </c>
      <c r="R305" s="2" t="inlineStr"/>
    </row>
    <row r="306" ht="15" customHeight="1">
      <c r="A306" t="inlineStr">
        <is>
          <t>A 15148-2025</t>
        </is>
      </c>
      <c r="B306" s="1" t="n">
        <v>45744.45298611111</v>
      </c>
      <c r="C306" s="1" t="n">
        <v>46011</v>
      </c>
      <c r="D306" t="inlineStr">
        <is>
          <t>VÄRMLANDS LÄN</t>
        </is>
      </c>
      <c r="E306" t="inlineStr">
        <is>
          <t>ÅRJÄNG</t>
        </is>
      </c>
      <c r="G306" t="n">
        <v>1.4</v>
      </c>
      <c r="H306" t="n">
        <v>0</v>
      </c>
      <c r="I306" t="n">
        <v>0</v>
      </c>
      <c r="J306" t="n">
        <v>0</v>
      </c>
      <c r="K306" t="n">
        <v>0</v>
      </c>
      <c r="L306" t="n">
        <v>0</v>
      </c>
      <c r="M306" t="n">
        <v>0</v>
      </c>
      <c r="N306" t="n">
        <v>0</v>
      </c>
      <c r="O306" t="n">
        <v>0</v>
      </c>
      <c r="P306" t="n">
        <v>0</v>
      </c>
      <c r="Q306" t="n">
        <v>0</v>
      </c>
      <c r="R306" s="2" t="inlineStr"/>
    </row>
    <row r="307" ht="15" customHeight="1">
      <c r="A307" t="inlineStr">
        <is>
          <t>A 14768-2024</t>
        </is>
      </c>
      <c r="B307" s="1" t="n">
        <v>45397</v>
      </c>
      <c r="C307" s="1" t="n">
        <v>46011</v>
      </c>
      <c r="D307" t="inlineStr">
        <is>
          <t>VÄRMLANDS LÄN</t>
        </is>
      </c>
      <c r="E307" t="inlineStr">
        <is>
          <t>ÅRJÄNG</t>
        </is>
      </c>
      <c r="G307" t="n">
        <v>1.9</v>
      </c>
      <c r="H307" t="n">
        <v>0</v>
      </c>
      <c r="I307" t="n">
        <v>0</v>
      </c>
      <c r="J307" t="n">
        <v>0</v>
      </c>
      <c r="K307" t="n">
        <v>0</v>
      </c>
      <c r="L307" t="n">
        <v>0</v>
      </c>
      <c r="M307" t="n">
        <v>0</v>
      </c>
      <c r="N307" t="n">
        <v>0</v>
      </c>
      <c r="O307" t="n">
        <v>0</v>
      </c>
      <c r="P307" t="n">
        <v>0</v>
      </c>
      <c r="Q307" t="n">
        <v>0</v>
      </c>
      <c r="R307" s="2" t="inlineStr"/>
    </row>
    <row r="308" ht="15" customHeight="1">
      <c r="A308" t="inlineStr">
        <is>
          <t>A 935-2021</t>
        </is>
      </c>
      <c r="B308" s="1" t="n">
        <v>44207</v>
      </c>
      <c r="C308" s="1" t="n">
        <v>46011</v>
      </c>
      <c r="D308" t="inlineStr">
        <is>
          <t>VÄRMLANDS LÄN</t>
        </is>
      </c>
      <c r="E308" t="inlineStr">
        <is>
          <t>ÅRJÄNG</t>
        </is>
      </c>
      <c r="G308" t="n">
        <v>1.2</v>
      </c>
      <c r="H308" t="n">
        <v>0</v>
      </c>
      <c r="I308" t="n">
        <v>0</v>
      </c>
      <c r="J308" t="n">
        <v>0</v>
      </c>
      <c r="K308" t="n">
        <v>0</v>
      </c>
      <c r="L308" t="n">
        <v>0</v>
      </c>
      <c r="M308" t="n">
        <v>0</v>
      </c>
      <c r="N308" t="n">
        <v>0</v>
      </c>
      <c r="O308" t="n">
        <v>0</v>
      </c>
      <c r="P308" t="n">
        <v>0</v>
      </c>
      <c r="Q308" t="n">
        <v>0</v>
      </c>
      <c r="R308" s="2" t="inlineStr"/>
    </row>
    <row r="309" ht="15" customHeight="1">
      <c r="A309" t="inlineStr">
        <is>
          <t>A 44647-2021</t>
        </is>
      </c>
      <c r="B309" s="1" t="n">
        <v>44437.83967592593</v>
      </c>
      <c r="C309" s="1" t="n">
        <v>46011</v>
      </c>
      <c r="D309" t="inlineStr">
        <is>
          <t>VÄRMLANDS LÄN</t>
        </is>
      </c>
      <c r="E309" t="inlineStr">
        <is>
          <t>ÅRJÄNG</t>
        </is>
      </c>
      <c r="G309" t="n">
        <v>3</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46011</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13998-2024</t>
        </is>
      </c>
      <c r="B311" s="1" t="n">
        <v>45392</v>
      </c>
      <c r="C311" s="1" t="n">
        <v>46011</v>
      </c>
      <c r="D311" t="inlineStr">
        <is>
          <t>VÄRMLANDS LÄN</t>
        </is>
      </c>
      <c r="E311" t="inlineStr">
        <is>
          <t>ÅRJÄNG</t>
        </is>
      </c>
      <c r="G311" t="n">
        <v>1.8</v>
      </c>
      <c r="H311" t="n">
        <v>0</v>
      </c>
      <c r="I311" t="n">
        <v>0</v>
      </c>
      <c r="J311" t="n">
        <v>0</v>
      </c>
      <c r="K311" t="n">
        <v>0</v>
      </c>
      <c r="L311" t="n">
        <v>0</v>
      </c>
      <c r="M311" t="n">
        <v>0</v>
      </c>
      <c r="N311" t="n">
        <v>0</v>
      </c>
      <c r="O311" t="n">
        <v>0</v>
      </c>
      <c r="P311" t="n">
        <v>0</v>
      </c>
      <c r="Q311" t="n">
        <v>0</v>
      </c>
      <c r="R311" s="2" t="inlineStr"/>
    </row>
    <row r="312" ht="15" customHeight="1">
      <c r="A312" t="inlineStr">
        <is>
          <t>A 15953-2025</t>
        </is>
      </c>
      <c r="B312" s="1" t="n">
        <v>45749</v>
      </c>
      <c r="C312" s="1" t="n">
        <v>46011</v>
      </c>
      <c r="D312" t="inlineStr">
        <is>
          <t>VÄRMLANDS LÄN</t>
        </is>
      </c>
      <c r="E312" t="inlineStr">
        <is>
          <t>ÅRJÄNG</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42241-2024</t>
        </is>
      </c>
      <c r="B313" s="1" t="n">
        <v>45562</v>
      </c>
      <c r="C313" s="1" t="n">
        <v>46011</v>
      </c>
      <c r="D313" t="inlineStr">
        <is>
          <t>VÄRMLANDS LÄN</t>
        </is>
      </c>
      <c r="E313" t="inlineStr">
        <is>
          <t>ÅRJÄNG</t>
        </is>
      </c>
      <c r="G313" t="n">
        <v>4</v>
      </c>
      <c r="H313" t="n">
        <v>0</v>
      </c>
      <c r="I313" t="n">
        <v>0</v>
      </c>
      <c r="J313" t="n">
        <v>0</v>
      </c>
      <c r="K313" t="n">
        <v>0</v>
      </c>
      <c r="L313" t="n">
        <v>0</v>
      </c>
      <c r="M313" t="n">
        <v>0</v>
      </c>
      <c r="N313" t="n">
        <v>0</v>
      </c>
      <c r="O313" t="n">
        <v>0</v>
      </c>
      <c r="P313" t="n">
        <v>0</v>
      </c>
      <c r="Q313" t="n">
        <v>0</v>
      </c>
      <c r="R313" s="2" t="inlineStr"/>
    </row>
    <row r="314" ht="15" customHeight="1">
      <c r="A314" t="inlineStr">
        <is>
          <t>A 540-2024</t>
        </is>
      </c>
      <c r="B314" s="1" t="n">
        <v>45299</v>
      </c>
      <c r="C314" s="1" t="n">
        <v>46011</v>
      </c>
      <c r="D314" t="inlineStr">
        <is>
          <t>VÄRMLANDS LÄN</t>
        </is>
      </c>
      <c r="E314" t="inlineStr">
        <is>
          <t>ÅRJÄNG</t>
        </is>
      </c>
      <c r="F314" t="inlineStr">
        <is>
          <t>Kyrkan</t>
        </is>
      </c>
      <c r="G314" t="n">
        <v>7</v>
      </c>
      <c r="H314" t="n">
        <v>0</v>
      </c>
      <c r="I314" t="n">
        <v>0</v>
      </c>
      <c r="J314" t="n">
        <v>0</v>
      </c>
      <c r="K314" t="n">
        <v>0</v>
      </c>
      <c r="L314" t="n">
        <v>0</v>
      </c>
      <c r="M314" t="n">
        <v>0</v>
      </c>
      <c r="N314" t="n">
        <v>0</v>
      </c>
      <c r="O314" t="n">
        <v>0</v>
      </c>
      <c r="P314" t="n">
        <v>0</v>
      </c>
      <c r="Q314" t="n">
        <v>0</v>
      </c>
      <c r="R314" s="2" t="inlineStr"/>
    </row>
    <row r="315" ht="15" customHeight="1">
      <c r="A315" t="inlineStr">
        <is>
          <t>A 19410-2024</t>
        </is>
      </c>
      <c r="B315" s="1" t="n">
        <v>45429</v>
      </c>
      <c r="C315" s="1" t="n">
        <v>46011</v>
      </c>
      <c r="D315" t="inlineStr">
        <is>
          <t>VÄRMLANDS LÄN</t>
        </is>
      </c>
      <c r="E315" t="inlineStr">
        <is>
          <t>ÅRJÄNG</t>
        </is>
      </c>
      <c r="G315" t="n">
        <v>7.9</v>
      </c>
      <c r="H315" t="n">
        <v>0</v>
      </c>
      <c r="I315" t="n">
        <v>0</v>
      </c>
      <c r="J315" t="n">
        <v>0</v>
      </c>
      <c r="K315" t="n">
        <v>0</v>
      </c>
      <c r="L315" t="n">
        <v>0</v>
      </c>
      <c r="M315" t="n">
        <v>0</v>
      </c>
      <c r="N315" t="n">
        <v>0</v>
      </c>
      <c r="O315" t="n">
        <v>0</v>
      </c>
      <c r="P315" t="n">
        <v>0</v>
      </c>
      <c r="Q315" t="n">
        <v>0</v>
      </c>
      <c r="R315" s="2" t="inlineStr"/>
    </row>
    <row r="316" ht="15" customHeight="1">
      <c r="A316" t="inlineStr">
        <is>
          <t>A 23048-2024</t>
        </is>
      </c>
      <c r="B316" s="1" t="n">
        <v>45450.42488425926</v>
      </c>
      <c r="C316" s="1" t="n">
        <v>46011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23051-2024</t>
        </is>
      </c>
      <c r="B317" s="1" t="n">
        <v>45450.42902777778</v>
      </c>
      <c r="C317" s="1" t="n">
        <v>46011</v>
      </c>
      <c r="D317" t="inlineStr">
        <is>
          <t>VÄRMLANDS LÄN</t>
        </is>
      </c>
      <c r="E317" t="inlineStr">
        <is>
          <t>ÅRJÄNG</t>
        </is>
      </c>
      <c r="G317" t="n">
        <v>2.4</v>
      </c>
      <c r="H317" t="n">
        <v>0</v>
      </c>
      <c r="I317" t="n">
        <v>0</v>
      </c>
      <c r="J317" t="n">
        <v>0</v>
      </c>
      <c r="K317" t="n">
        <v>0</v>
      </c>
      <c r="L317" t="n">
        <v>0</v>
      </c>
      <c r="M317" t="n">
        <v>0</v>
      </c>
      <c r="N317" t="n">
        <v>0</v>
      </c>
      <c r="O317" t="n">
        <v>0</v>
      </c>
      <c r="P317" t="n">
        <v>0</v>
      </c>
      <c r="Q317" t="n">
        <v>0</v>
      </c>
      <c r="R317" s="2" t="inlineStr"/>
    </row>
    <row r="318" ht="15" customHeight="1">
      <c r="A318" t="inlineStr">
        <is>
          <t>A 21081-2023</t>
        </is>
      </c>
      <c r="B318" s="1" t="n">
        <v>45057</v>
      </c>
      <c r="C318" s="1" t="n">
        <v>46011</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26259-2024</t>
        </is>
      </c>
      <c r="B319" s="1" t="n">
        <v>45468</v>
      </c>
      <c r="C319" s="1" t="n">
        <v>46011</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57062-2022</t>
        </is>
      </c>
      <c r="B320" s="1" t="n">
        <v>44895.40797453704</v>
      </c>
      <c r="C320" s="1" t="n">
        <v>46011</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46011</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34032-2021</t>
        </is>
      </c>
      <c r="B322" s="1" t="n">
        <v>44378</v>
      </c>
      <c r="C322" s="1" t="n">
        <v>46011</v>
      </c>
      <c r="D322" t="inlineStr">
        <is>
          <t>VÄRMLANDS LÄN</t>
        </is>
      </c>
      <c r="E322" t="inlineStr">
        <is>
          <t>ÅRJÄNG</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50537-2023</t>
        </is>
      </c>
      <c r="B323" s="1" t="n">
        <v>45217</v>
      </c>
      <c r="C323" s="1" t="n">
        <v>46011</v>
      </c>
      <c r="D323" t="inlineStr">
        <is>
          <t>VÄRMLANDS LÄN</t>
        </is>
      </c>
      <c r="E323" t="inlineStr">
        <is>
          <t>ÅRJÄNG</t>
        </is>
      </c>
      <c r="G323" t="n">
        <v>0.5</v>
      </c>
      <c r="H323" t="n">
        <v>0</v>
      </c>
      <c r="I323" t="n">
        <v>0</v>
      </c>
      <c r="J323" t="n">
        <v>0</v>
      </c>
      <c r="K323" t="n">
        <v>0</v>
      </c>
      <c r="L323" t="n">
        <v>0</v>
      </c>
      <c r="M323" t="n">
        <v>0</v>
      </c>
      <c r="N323" t="n">
        <v>0</v>
      </c>
      <c r="O323" t="n">
        <v>0</v>
      </c>
      <c r="P323" t="n">
        <v>0</v>
      </c>
      <c r="Q323" t="n">
        <v>0</v>
      </c>
      <c r="R323" s="2" t="inlineStr"/>
    </row>
    <row r="324" ht="15" customHeight="1">
      <c r="A324" t="inlineStr">
        <is>
          <t>A 43027-2021</t>
        </is>
      </c>
      <c r="B324" s="1" t="n">
        <v>44431.49119212963</v>
      </c>
      <c r="C324" s="1" t="n">
        <v>46011</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387-2021</t>
        </is>
      </c>
      <c r="B325" s="1" t="n">
        <v>44201</v>
      </c>
      <c r="C325" s="1" t="n">
        <v>46011</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24281-2024</t>
        </is>
      </c>
      <c r="B326" s="1" t="n">
        <v>45457</v>
      </c>
      <c r="C326" s="1" t="n">
        <v>46011</v>
      </c>
      <c r="D326" t="inlineStr">
        <is>
          <t>VÄRMLANDS LÄN</t>
        </is>
      </c>
      <c r="E326" t="inlineStr">
        <is>
          <t>ÅRJÄNG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12352-2021</t>
        </is>
      </c>
      <c r="B327" s="1" t="n">
        <v>44267.44386574074</v>
      </c>
      <c r="C327" s="1" t="n">
        <v>46011</v>
      </c>
      <c r="D327" t="inlineStr">
        <is>
          <t>VÄRMLANDS LÄN</t>
        </is>
      </c>
      <c r="E327" t="inlineStr">
        <is>
          <t>ÅRJÄNG</t>
        </is>
      </c>
      <c r="G327" t="n">
        <v>7.1</v>
      </c>
      <c r="H327" t="n">
        <v>0</v>
      </c>
      <c r="I327" t="n">
        <v>0</v>
      </c>
      <c r="J327" t="n">
        <v>0</v>
      </c>
      <c r="K327" t="n">
        <v>0</v>
      </c>
      <c r="L327" t="n">
        <v>0</v>
      </c>
      <c r="M327" t="n">
        <v>0</v>
      </c>
      <c r="N327" t="n">
        <v>0</v>
      </c>
      <c r="O327" t="n">
        <v>0</v>
      </c>
      <c r="P327" t="n">
        <v>0</v>
      </c>
      <c r="Q327" t="n">
        <v>0</v>
      </c>
      <c r="R327" s="2" t="inlineStr"/>
    </row>
    <row r="328" ht="15" customHeight="1">
      <c r="A328" t="inlineStr">
        <is>
          <t>A 23216-2023</t>
        </is>
      </c>
      <c r="B328" s="1" t="n">
        <v>45075</v>
      </c>
      <c r="C328" s="1" t="n">
        <v>46011</v>
      </c>
      <c r="D328" t="inlineStr">
        <is>
          <t>VÄRMLANDS LÄN</t>
        </is>
      </c>
      <c r="E328" t="inlineStr">
        <is>
          <t>ÅRJÄNG</t>
        </is>
      </c>
      <c r="G328" t="n">
        <v>3</v>
      </c>
      <c r="H328" t="n">
        <v>0</v>
      </c>
      <c r="I328" t="n">
        <v>0</v>
      </c>
      <c r="J328" t="n">
        <v>0</v>
      </c>
      <c r="K328" t="n">
        <v>0</v>
      </c>
      <c r="L328" t="n">
        <v>0</v>
      </c>
      <c r="M328" t="n">
        <v>0</v>
      </c>
      <c r="N328" t="n">
        <v>0</v>
      </c>
      <c r="O328" t="n">
        <v>0</v>
      </c>
      <c r="P328" t="n">
        <v>0</v>
      </c>
      <c r="Q328" t="n">
        <v>0</v>
      </c>
      <c r="R328" s="2" t="inlineStr"/>
    </row>
    <row r="329" ht="15" customHeight="1">
      <c r="A329" t="inlineStr">
        <is>
          <t>A 58436-2023</t>
        </is>
      </c>
      <c r="B329" s="1" t="n">
        <v>45250</v>
      </c>
      <c r="C329" s="1" t="n">
        <v>46011</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74086-2021</t>
        </is>
      </c>
      <c r="B330" s="1" t="n">
        <v>44557.58112268519</v>
      </c>
      <c r="C330" s="1" t="n">
        <v>46011</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62261-2023</t>
        </is>
      </c>
      <c r="B331" s="1" t="n">
        <v>45266</v>
      </c>
      <c r="C331" s="1" t="n">
        <v>46011</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26284-2021</t>
        </is>
      </c>
      <c r="B332" s="1" t="n">
        <v>44347</v>
      </c>
      <c r="C332" s="1" t="n">
        <v>46011</v>
      </c>
      <c r="D332" t="inlineStr">
        <is>
          <t>VÄRMLANDS LÄN</t>
        </is>
      </c>
      <c r="E332" t="inlineStr">
        <is>
          <t>ÅRJÄNG</t>
        </is>
      </c>
      <c r="G332" t="n">
        <v>0.8</v>
      </c>
      <c r="H332" t="n">
        <v>0</v>
      </c>
      <c r="I332" t="n">
        <v>0</v>
      </c>
      <c r="J332" t="n">
        <v>0</v>
      </c>
      <c r="K332" t="n">
        <v>0</v>
      </c>
      <c r="L332" t="n">
        <v>0</v>
      </c>
      <c r="M332" t="n">
        <v>0</v>
      </c>
      <c r="N332" t="n">
        <v>0</v>
      </c>
      <c r="O332" t="n">
        <v>0</v>
      </c>
      <c r="P332" t="n">
        <v>0</v>
      </c>
      <c r="Q332" t="n">
        <v>0</v>
      </c>
      <c r="R332" s="2" t="inlineStr"/>
    </row>
    <row r="333" ht="15" customHeight="1">
      <c r="A333" t="inlineStr">
        <is>
          <t>A 13155-2024</t>
        </is>
      </c>
      <c r="B333" s="1" t="n">
        <v>45386</v>
      </c>
      <c r="C333" s="1" t="n">
        <v>46011</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49701-2022</t>
        </is>
      </c>
      <c r="B334" s="1" t="n">
        <v>44862.53201388889</v>
      </c>
      <c r="C334" s="1" t="n">
        <v>46011</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46011</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49641-2021</t>
        </is>
      </c>
      <c r="B336" s="1" t="n">
        <v>44455.44327546296</v>
      </c>
      <c r="C336" s="1" t="n">
        <v>46011</v>
      </c>
      <c r="D336" t="inlineStr">
        <is>
          <t>VÄRMLANDS LÄN</t>
        </is>
      </c>
      <c r="E336" t="inlineStr">
        <is>
          <t>ÅRJÄNG</t>
        </is>
      </c>
      <c r="G336" t="n">
        <v>3.2</v>
      </c>
      <c r="H336" t="n">
        <v>0</v>
      </c>
      <c r="I336" t="n">
        <v>0</v>
      </c>
      <c r="J336" t="n">
        <v>0</v>
      </c>
      <c r="K336" t="n">
        <v>0</v>
      </c>
      <c r="L336" t="n">
        <v>0</v>
      </c>
      <c r="M336" t="n">
        <v>0</v>
      </c>
      <c r="N336" t="n">
        <v>0</v>
      </c>
      <c r="O336" t="n">
        <v>0</v>
      </c>
      <c r="P336" t="n">
        <v>0</v>
      </c>
      <c r="Q336" t="n">
        <v>0</v>
      </c>
      <c r="R336" s="2" t="inlineStr"/>
    </row>
    <row r="337" ht="15" customHeight="1">
      <c r="A337" t="inlineStr">
        <is>
          <t>A 26833-2024</t>
        </is>
      </c>
      <c r="B337" s="1" t="n">
        <v>45470</v>
      </c>
      <c r="C337" s="1" t="n">
        <v>46011</v>
      </c>
      <c r="D337" t="inlineStr">
        <is>
          <t>VÄRMLANDS LÄN</t>
        </is>
      </c>
      <c r="E337" t="inlineStr">
        <is>
          <t>ÅRJÄNG</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60172-2023</t>
        </is>
      </c>
      <c r="B338" s="1" t="n">
        <v>45257</v>
      </c>
      <c r="C338" s="1" t="n">
        <v>46011</v>
      </c>
      <c r="D338" t="inlineStr">
        <is>
          <t>VÄRMLANDS LÄN</t>
        </is>
      </c>
      <c r="E338" t="inlineStr">
        <is>
          <t>ÅRJÄNG</t>
        </is>
      </c>
      <c r="G338" t="n">
        <v>2.1</v>
      </c>
      <c r="H338" t="n">
        <v>0</v>
      </c>
      <c r="I338" t="n">
        <v>0</v>
      </c>
      <c r="J338" t="n">
        <v>0</v>
      </c>
      <c r="K338" t="n">
        <v>0</v>
      </c>
      <c r="L338" t="n">
        <v>0</v>
      </c>
      <c r="M338" t="n">
        <v>0</v>
      </c>
      <c r="N338" t="n">
        <v>0</v>
      </c>
      <c r="O338" t="n">
        <v>0</v>
      </c>
      <c r="P338" t="n">
        <v>0</v>
      </c>
      <c r="Q338" t="n">
        <v>0</v>
      </c>
      <c r="R338" s="2" t="inlineStr"/>
    </row>
    <row r="339" ht="15" customHeight="1">
      <c r="A339" t="inlineStr">
        <is>
          <t>A 32338-2024</t>
        </is>
      </c>
      <c r="B339" s="1" t="n">
        <v>45512</v>
      </c>
      <c r="C339" s="1" t="n">
        <v>46011</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23690-2024</t>
        </is>
      </c>
      <c r="B340" s="1" t="n">
        <v>45454.65612268518</v>
      </c>
      <c r="C340" s="1" t="n">
        <v>46011</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5863-2023</t>
        </is>
      </c>
      <c r="B341" s="1" t="n">
        <v>44963</v>
      </c>
      <c r="C341" s="1" t="n">
        <v>46011</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57992-2023</t>
        </is>
      </c>
      <c r="B342" s="1" t="n">
        <v>45244</v>
      </c>
      <c r="C342" s="1" t="n">
        <v>46011</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51269-2022</t>
        </is>
      </c>
      <c r="B343" s="1" t="n">
        <v>44868</v>
      </c>
      <c r="C343" s="1" t="n">
        <v>46011</v>
      </c>
      <c r="D343" t="inlineStr">
        <is>
          <t>VÄRMLANDS LÄN</t>
        </is>
      </c>
      <c r="E343" t="inlineStr">
        <is>
          <t>ÅRJÄNG</t>
        </is>
      </c>
      <c r="G343" t="n">
        <v>2.1</v>
      </c>
      <c r="H343" t="n">
        <v>0</v>
      </c>
      <c r="I343" t="n">
        <v>0</v>
      </c>
      <c r="J343" t="n">
        <v>0</v>
      </c>
      <c r="K343" t="n">
        <v>0</v>
      </c>
      <c r="L343" t="n">
        <v>0</v>
      </c>
      <c r="M343" t="n">
        <v>0</v>
      </c>
      <c r="N343" t="n">
        <v>0</v>
      </c>
      <c r="O343" t="n">
        <v>0</v>
      </c>
      <c r="P343" t="n">
        <v>0</v>
      </c>
      <c r="Q343" t="n">
        <v>0</v>
      </c>
      <c r="R343" s="2" t="inlineStr"/>
    </row>
    <row r="344" ht="15" customHeight="1">
      <c r="A344" t="inlineStr">
        <is>
          <t>A 1289-2025</t>
        </is>
      </c>
      <c r="B344" s="1" t="n">
        <v>45667.51412037037</v>
      </c>
      <c r="C344" s="1" t="n">
        <v>46011</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62609-2023</t>
        </is>
      </c>
      <c r="B345" s="1" t="n">
        <v>45267</v>
      </c>
      <c r="C345" s="1" t="n">
        <v>46011</v>
      </c>
      <c r="D345" t="inlineStr">
        <is>
          <t>VÄRMLANDS LÄN</t>
        </is>
      </c>
      <c r="E345" t="inlineStr">
        <is>
          <t>ÅRJÄNG</t>
        </is>
      </c>
      <c r="G345" t="n">
        <v>14.4</v>
      </c>
      <c r="H345" t="n">
        <v>0</v>
      </c>
      <c r="I345" t="n">
        <v>0</v>
      </c>
      <c r="J345" t="n">
        <v>0</v>
      </c>
      <c r="K345" t="n">
        <v>0</v>
      </c>
      <c r="L345" t="n">
        <v>0</v>
      </c>
      <c r="M345" t="n">
        <v>0</v>
      </c>
      <c r="N345" t="n">
        <v>0</v>
      </c>
      <c r="O345" t="n">
        <v>0</v>
      </c>
      <c r="P345" t="n">
        <v>0</v>
      </c>
      <c r="Q345" t="n">
        <v>0</v>
      </c>
      <c r="R345" s="2" t="inlineStr"/>
    </row>
    <row r="346" ht="15" customHeight="1">
      <c r="A346" t="inlineStr">
        <is>
          <t>A 34526-2023</t>
        </is>
      </c>
      <c r="B346" s="1" t="n">
        <v>45140.41518518519</v>
      </c>
      <c r="C346" s="1" t="n">
        <v>46011</v>
      </c>
      <c r="D346" t="inlineStr">
        <is>
          <t>VÄRMLANDS LÄN</t>
        </is>
      </c>
      <c r="E346" t="inlineStr">
        <is>
          <t>ÅRJÄNG</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30993-2024</t>
        </is>
      </c>
      <c r="B347" s="1" t="n">
        <v>45499</v>
      </c>
      <c r="C347" s="1" t="n">
        <v>46011</v>
      </c>
      <c r="D347" t="inlineStr">
        <is>
          <t>VÄRMLANDS LÄN</t>
        </is>
      </c>
      <c r="E347" t="inlineStr">
        <is>
          <t>ÅRJÄNG</t>
        </is>
      </c>
      <c r="F347" t="inlineStr">
        <is>
          <t>Kyrkan</t>
        </is>
      </c>
      <c r="G347" t="n">
        <v>4.7</v>
      </c>
      <c r="H347" t="n">
        <v>0</v>
      </c>
      <c r="I347" t="n">
        <v>0</v>
      </c>
      <c r="J347" t="n">
        <v>0</v>
      </c>
      <c r="K347" t="n">
        <v>0</v>
      </c>
      <c r="L347" t="n">
        <v>0</v>
      </c>
      <c r="M347" t="n">
        <v>0</v>
      </c>
      <c r="N347" t="n">
        <v>0</v>
      </c>
      <c r="O347" t="n">
        <v>0</v>
      </c>
      <c r="P347" t="n">
        <v>0</v>
      </c>
      <c r="Q347" t="n">
        <v>0</v>
      </c>
      <c r="R347" s="2" t="inlineStr"/>
    </row>
    <row r="348" ht="15" customHeight="1">
      <c r="A348" t="inlineStr">
        <is>
          <t>A 50388-2024</t>
        </is>
      </c>
      <c r="B348" s="1" t="n">
        <v>45600</v>
      </c>
      <c r="C348" s="1" t="n">
        <v>46011</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24339-2024</t>
        </is>
      </c>
      <c r="B349" s="1" t="n">
        <v>45457</v>
      </c>
      <c r="C349" s="1" t="n">
        <v>46011</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521-2025</t>
        </is>
      </c>
      <c r="B350" s="1" t="n">
        <v>45664.48826388889</v>
      </c>
      <c r="C350" s="1" t="n">
        <v>46011</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4404-2025</t>
        </is>
      </c>
      <c r="B351" s="1" t="n">
        <v>45686</v>
      </c>
      <c r="C351" s="1" t="n">
        <v>46011</v>
      </c>
      <c r="D351" t="inlineStr">
        <is>
          <t>VÄRMLANDS LÄN</t>
        </is>
      </c>
      <c r="E351" t="inlineStr">
        <is>
          <t>ÅRJÄNG</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58141-2023</t>
        </is>
      </c>
      <c r="B352" s="1" t="n">
        <v>45245</v>
      </c>
      <c r="C352" s="1" t="n">
        <v>46011</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27138-2024</t>
        </is>
      </c>
      <c r="B353" s="1" t="n">
        <v>45471</v>
      </c>
      <c r="C353" s="1" t="n">
        <v>46011</v>
      </c>
      <c r="D353" t="inlineStr">
        <is>
          <t>VÄRMLANDS LÄN</t>
        </is>
      </c>
      <c r="E353" t="inlineStr">
        <is>
          <t>ÅRJÄNG</t>
        </is>
      </c>
      <c r="G353" t="n">
        <v>5.7</v>
      </c>
      <c r="H353" t="n">
        <v>0</v>
      </c>
      <c r="I353" t="n">
        <v>0</v>
      </c>
      <c r="J353" t="n">
        <v>0</v>
      </c>
      <c r="K353" t="n">
        <v>0</v>
      </c>
      <c r="L353" t="n">
        <v>0</v>
      </c>
      <c r="M353" t="n">
        <v>0</v>
      </c>
      <c r="N353" t="n">
        <v>0</v>
      </c>
      <c r="O353" t="n">
        <v>0</v>
      </c>
      <c r="P353" t="n">
        <v>0</v>
      </c>
      <c r="Q353" t="n">
        <v>0</v>
      </c>
      <c r="R353" s="2" t="inlineStr"/>
    </row>
    <row r="354" ht="15" customHeight="1">
      <c r="A354" t="inlineStr">
        <is>
          <t>A 34643-2024</t>
        </is>
      </c>
      <c r="B354" s="1" t="n">
        <v>45526</v>
      </c>
      <c r="C354" s="1" t="n">
        <v>46011</v>
      </c>
      <c r="D354" t="inlineStr">
        <is>
          <t>VÄRMLANDS LÄN</t>
        </is>
      </c>
      <c r="E354" t="inlineStr">
        <is>
          <t>ÅRJÄNG</t>
        </is>
      </c>
      <c r="G354" t="n">
        <v>3.4</v>
      </c>
      <c r="H354" t="n">
        <v>0</v>
      </c>
      <c r="I354" t="n">
        <v>0</v>
      </c>
      <c r="J354" t="n">
        <v>0</v>
      </c>
      <c r="K354" t="n">
        <v>0</v>
      </c>
      <c r="L354" t="n">
        <v>0</v>
      </c>
      <c r="M354" t="n">
        <v>0</v>
      </c>
      <c r="N354" t="n">
        <v>0</v>
      </c>
      <c r="O354" t="n">
        <v>0</v>
      </c>
      <c r="P354" t="n">
        <v>0</v>
      </c>
      <c r="Q354" t="n">
        <v>0</v>
      </c>
      <c r="R354" s="2" t="inlineStr"/>
    </row>
    <row r="355" ht="15" customHeight="1">
      <c r="A355" t="inlineStr">
        <is>
          <t>A 33304-2021</t>
        </is>
      </c>
      <c r="B355" s="1" t="n">
        <v>44377.43040509259</v>
      </c>
      <c r="C355" s="1" t="n">
        <v>46011</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30693-2021</t>
        </is>
      </c>
      <c r="B356" s="1" t="n">
        <v>44365</v>
      </c>
      <c r="C356" s="1" t="n">
        <v>46011</v>
      </c>
      <c r="D356" t="inlineStr">
        <is>
          <t>VÄRMLANDS LÄN</t>
        </is>
      </c>
      <c r="E356" t="inlineStr">
        <is>
          <t>ÅRJÄNG</t>
        </is>
      </c>
      <c r="G356" t="n">
        <v>8.4</v>
      </c>
      <c r="H356" t="n">
        <v>0</v>
      </c>
      <c r="I356" t="n">
        <v>0</v>
      </c>
      <c r="J356" t="n">
        <v>0</v>
      </c>
      <c r="K356" t="n">
        <v>0</v>
      </c>
      <c r="L356" t="n">
        <v>0</v>
      </c>
      <c r="M356" t="n">
        <v>0</v>
      </c>
      <c r="N356" t="n">
        <v>0</v>
      </c>
      <c r="O356" t="n">
        <v>0</v>
      </c>
      <c r="P356" t="n">
        <v>0</v>
      </c>
      <c r="Q356" t="n">
        <v>0</v>
      </c>
      <c r="R356" s="2" t="inlineStr"/>
    </row>
    <row r="357" ht="15" customHeight="1">
      <c r="A357" t="inlineStr">
        <is>
          <t>A 4606-2024</t>
        </is>
      </c>
      <c r="B357" s="1" t="n">
        <v>45328.3225</v>
      </c>
      <c r="C357" s="1" t="n">
        <v>46011</v>
      </c>
      <c r="D357" t="inlineStr">
        <is>
          <t>VÄRMLANDS LÄN</t>
        </is>
      </c>
      <c r="E357" t="inlineStr">
        <is>
          <t>ÅRJÄNG</t>
        </is>
      </c>
      <c r="G357" t="n">
        <v>3.9</v>
      </c>
      <c r="H357" t="n">
        <v>0</v>
      </c>
      <c r="I357" t="n">
        <v>0</v>
      </c>
      <c r="J357" t="n">
        <v>0</v>
      </c>
      <c r="K357" t="n">
        <v>0</v>
      </c>
      <c r="L357" t="n">
        <v>0</v>
      </c>
      <c r="M357" t="n">
        <v>0</v>
      </c>
      <c r="N357" t="n">
        <v>0</v>
      </c>
      <c r="O357" t="n">
        <v>0</v>
      </c>
      <c r="P357" t="n">
        <v>0</v>
      </c>
      <c r="Q357" t="n">
        <v>0</v>
      </c>
      <c r="R357" s="2" t="inlineStr"/>
    </row>
    <row r="358" ht="15" customHeight="1">
      <c r="A358" t="inlineStr">
        <is>
          <t>A 28115-2025</t>
        </is>
      </c>
      <c r="B358" s="1" t="n">
        <v>45818</v>
      </c>
      <c r="C358" s="1" t="n">
        <v>46011</v>
      </c>
      <c r="D358" t="inlineStr">
        <is>
          <t>VÄRMLANDS LÄN</t>
        </is>
      </c>
      <c r="E358" t="inlineStr">
        <is>
          <t>ÅRJÄNG</t>
        </is>
      </c>
      <c r="G358" t="n">
        <v>3</v>
      </c>
      <c r="H358" t="n">
        <v>0</v>
      </c>
      <c r="I358" t="n">
        <v>0</v>
      </c>
      <c r="J358" t="n">
        <v>0</v>
      </c>
      <c r="K358" t="n">
        <v>0</v>
      </c>
      <c r="L358" t="n">
        <v>0</v>
      </c>
      <c r="M358" t="n">
        <v>0</v>
      </c>
      <c r="N358" t="n">
        <v>0</v>
      </c>
      <c r="O358" t="n">
        <v>0</v>
      </c>
      <c r="P358" t="n">
        <v>0</v>
      </c>
      <c r="Q358" t="n">
        <v>0</v>
      </c>
      <c r="R358" s="2" t="inlineStr"/>
    </row>
    <row r="359" ht="15" customHeight="1">
      <c r="A359" t="inlineStr">
        <is>
          <t>A 53332-2023</t>
        </is>
      </c>
      <c r="B359" s="1" t="n">
        <v>45229</v>
      </c>
      <c r="C359" s="1" t="n">
        <v>46011</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72476-2021</t>
        </is>
      </c>
      <c r="B360" s="1" t="n">
        <v>44545.86997685185</v>
      </c>
      <c r="C360" s="1" t="n">
        <v>46011</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24252-2025</t>
        </is>
      </c>
      <c r="B361" s="1" t="n">
        <v>45797.40376157407</v>
      </c>
      <c r="C361" s="1" t="n">
        <v>46011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41201-2024</t>
        </is>
      </c>
      <c r="B362" s="1" t="n">
        <v>45559</v>
      </c>
      <c r="C362" s="1" t="n">
        <v>46011</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39008-2023</t>
        </is>
      </c>
      <c r="B363" s="1" t="n">
        <v>45162</v>
      </c>
      <c r="C363" s="1" t="n">
        <v>46011</v>
      </c>
      <c r="D363" t="inlineStr">
        <is>
          <t>VÄRMLANDS LÄN</t>
        </is>
      </c>
      <c r="E363" t="inlineStr">
        <is>
          <t>ÅRJÄNG</t>
        </is>
      </c>
      <c r="G363" t="n">
        <v>5.1</v>
      </c>
      <c r="H363" t="n">
        <v>0</v>
      </c>
      <c r="I363" t="n">
        <v>0</v>
      </c>
      <c r="J363" t="n">
        <v>0</v>
      </c>
      <c r="K363" t="n">
        <v>0</v>
      </c>
      <c r="L363" t="n">
        <v>0</v>
      </c>
      <c r="M363" t="n">
        <v>0</v>
      </c>
      <c r="N363" t="n">
        <v>0</v>
      </c>
      <c r="O363" t="n">
        <v>0</v>
      </c>
      <c r="P363" t="n">
        <v>0</v>
      </c>
      <c r="Q363" t="n">
        <v>0</v>
      </c>
      <c r="R363" s="2" t="inlineStr"/>
    </row>
    <row r="364" ht="15" customHeight="1">
      <c r="A364" t="inlineStr">
        <is>
          <t>A 19850-2025</t>
        </is>
      </c>
      <c r="B364" s="1" t="n">
        <v>45771</v>
      </c>
      <c r="C364" s="1" t="n">
        <v>46011</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19246-2024</t>
        </is>
      </c>
      <c r="B365" s="1" t="n">
        <v>45428</v>
      </c>
      <c r="C365" s="1" t="n">
        <v>46011</v>
      </c>
      <c r="D365" t="inlineStr">
        <is>
          <t>VÄRMLANDS LÄN</t>
        </is>
      </c>
      <c r="E365" t="inlineStr">
        <is>
          <t>ÅRJÄNG</t>
        </is>
      </c>
      <c r="F365" t="inlineStr">
        <is>
          <t>Bergvik skog väst AB</t>
        </is>
      </c>
      <c r="G365" t="n">
        <v>2.9</v>
      </c>
      <c r="H365" t="n">
        <v>0</v>
      </c>
      <c r="I365" t="n">
        <v>0</v>
      </c>
      <c r="J365" t="n">
        <v>0</v>
      </c>
      <c r="K365" t="n">
        <v>0</v>
      </c>
      <c r="L365" t="n">
        <v>0</v>
      </c>
      <c r="M365" t="n">
        <v>0</v>
      </c>
      <c r="N365" t="n">
        <v>0</v>
      </c>
      <c r="O365" t="n">
        <v>0</v>
      </c>
      <c r="P365" t="n">
        <v>0</v>
      </c>
      <c r="Q365" t="n">
        <v>0</v>
      </c>
      <c r="R365" s="2" t="inlineStr"/>
    </row>
    <row r="366" ht="15" customHeight="1">
      <c r="A366" t="inlineStr">
        <is>
          <t>A 24983-2025</t>
        </is>
      </c>
      <c r="B366" s="1" t="n">
        <v>45799.59841435185</v>
      </c>
      <c r="C366" s="1" t="n">
        <v>46011</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1665-2023</t>
        </is>
      </c>
      <c r="B367" s="1" t="n">
        <v>44938</v>
      </c>
      <c r="C367" s="1" t="n">
        <v>46011</v>
      </c>
      <c r="D367" t="inlineStr">
        <is>
          <t>VÄRMLANDS LÄN</t>
        </is>
      </c>
      <c r="E367" t="inlineStr">
        <is>
          <t>ÅRJÄNG</t>
        </is>
      </c>
      <c r="G367" t="n">
        <v>5.1</v>
      </c>
      <c r="H367" t="n">
        <v>0</v>
      </c>
      <c r="I367" t="n">
        <v>0</v>
      </c>
      <c r="J367" t="n">
        <v>0</v>
      </c>
      <c r="K367" t="n">
        <v>0</v>
      </c>
      <c r="L367" t="n">
        <v>0</v>
      </c>
      <c r="M367" t="n">
        <v>0</v>
      </c>
      <c r="N367" t="n">
        <v>0</v>
      </c>
      <c r="O367" t="n">
        <v>0</v>
      </c>
      <c r="P367" t="n">
        <v>0</v>
      </c>
      <c r="Q367" t="n">
        <v>0</v>
      </c>
      <c r="R367" s="2" t="inlineStr"/>
    </row>
    <row r="368" ht="15" customHeight="1">
      <c r="A368" t="inlineStr">
        <is>
          <t>A 38158-2023</t>
        </is>
      </c>
      <c r="B368" s="1" t="n">
        <v>45161</v>
      </c>
      <c r="C368" s="1" t="n">
        <v>46011</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28733-2024</t>
        </is>
      </c>
      <c r="B369" s="1" t="n">
        <v>45478</v>
      </c>
      <c r="C369" s="1" t="n">
        <v>46011</v>
      </c>
      <c r="D369" t="inlineStr">
        <is>
          <t>VÄRMLANDS LÄN</t>
        </is>
      </c>
      <c r="E369" t="inlineStr">
        <is>
          <t>ÅRJÄNG</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19877-2025</t>
        </is>
      </c>
      <c r="B370" s="1" t="n">
        <v>45771.55351851852</v>
      </c>
      <c r="C370" s="1" t="n">
        <v>46011</v>
      </c>
      <c r="D370" t="inlineStr">
        <is>
          <t>VÄRMLANDS LÄN</t>
        </is>
      </c>
      <c r="E370" t="inlineStr">
        <is>
          <t>ÅRJÄNG</t>
        </is>
      </c>
      <c r="G370" t="n">
        <v>6.3</v>
      </c>
      <c r="H370" t="n">
        <v>0</v>
      </c>
      <c r="I370" t="n">
        <v>0</v>
      </c>
      <c r="J370" t="n">
        <v>0</v>
      </c>
      <c r="K370" t="n">
        <v>0</v>
      </c>
      <c r="L370" t="n">
        <v>0</v>
      </c>
      <c r="M370" t="n">
        <v>0</v>
      </c>
      <c r="N370" t="n">
        <v>0</v>
      </c>
      <c r="O370" t="n">
        <v>0</v>
      </c>
      <c r="P370" t="n">
        <v>0</v>
      </c>
      <c r="Q370" t="n">
        <v>0</v>
      </c>
      <c r="R370" s="2" t="inlineStr"/>
    </row>
    <row r="371" ht="15" customHeight="1">
      <c r="A371" t="inlineStr">
        <is>
          <t>A 92-2022</t>
        </is>
      </c>
      <c r="B371" s="1" t="n">
        <v>44564</v>
      </c>
      <c r="C371" s="1" t="n">
        <v>46011</v>
      </c>
      <c r="D371" t="inlineStr">
        <is>
          <t>VÄRMLANDS LÄN</t>
        </is>
      </c>
      <c r="E371" t="inlineStr">
        <is>
          <t>ÅRJÄNG</t>
        </is>
      </c>
      <c r="G371" t="n">
        <v>10.4</v>
      </c>
      <c r="H371" t="n">
        <v>0</v>
      </c>
      <c r="I371" t="n">
        <v>0</v>
      </c>
      <c r="J371" t="n">
        <v>0</v>
      </c>
      <c r="K371" t="n">
        <v>0</v>
      </c>
      <c r="L371" t="n">
        <v>0</v>
      </c>
      <c r="M371" t="n">
        <v>0</v>
      </c>
      <c r="N371" t="n">
        <v>0</v>
      </c>
      <c r="O371" t="n">
        <v>0</v>
      </c>
      <c r="P371" t="n">
        <v>0</v>
      </c>
      <c r="Q371" t="n">
        <v>0</v>
      </c>
      <c r="R371" s="2" t="inlineStr"/>
    </row>
    <row r="372" ht="15" customHeight="1">
      <c r="A372" t="inlineStr">
        <is>
          <t>A 39094-2025</t>
        </is>
      </c>
      <c r="B372" s="1" t="n">
        <v>45888.4933912037</v>
      </c>
      <c r="C372" s="1" t="n">
        <v>46011</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39096-2025</t>
        </is>
      </c>
      <c r="B373" s="1" t="n">
        <v>45888.50145833333</v>
      </c>
      <c r="C373" s="1" t="n">
        <v>46011</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39079-2025</t>
        </is>
      </c>
      <c r="B374" s="1" t="n">
        <v>45888.48422453704</v>
      </c>
      <c r="C374" s="1" t="n">
        <v>46011</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9489-2023</t>
        </is>
      </c>
      <c r="B375" s="1" t="n">
        <v>44981</v>
      </c>
      <c r="C375" s="1" t="n">
        <v>46011</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36642-2021</t>
        </is>
      </c>
      <c r="B376" s="1" t="n">
        <v>44392</v>
      </c>
      <c r="C376" s="1" t="n">
        <v>46011</v>
      </c>
      <c r="D376" t="inlineStr">
        <is>
          <t>VÄRMLANDS LÄN</t>
        </is>
      </c>
      <c r="E376" t="inlineStr">
        <is>
          <t>ÅRJÄNG</t>
        </is>
      </c>
      <c r="G376" t="n">
        <v>6.1</v>
      </c>
      <c r="H376" t="n">
        <v>0</v>
      </c>
      <c r="I376" t="n">
        <v>0</v>
      </c>
      <c r="J376" t="n">
        <v>0</v>
      </c>
      <c r="K376" t="n">
        <v>0</v>
      </c>
      <c r="L376" t="n">
        <v>0</v>
      </c>
      <c r="M376" t="n">
        <v>0</v>
      </c>
      <c r="N376" t="n">
        <v>0</v>
      </c>
      <c r="O376" t="n">
        <v>0</v>
      </c>
      <c r="P376" t="n">
        <v>0</v>
      </c>
      <c r="Q376" t="n">
        <v>0</v>
      </c>
      <c r="R376" s="2" t="inlineStr"/>
    </row>
    <row r="377" ht="15" customHeight="1">
      <c r="A377" t="inlineStr">
        <is>
          <t>A 38867-2025</t>
        </is>
      </c>
      <c r="B377" s="1" t="n">
        <v>45887</v>
      </c>
      <c r="C377" s="1" t="n">
        <v>46011</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19245-2024</t>
        </is>
      </c>
      <c r="B378" s="1" t="n">
        <v>45428</v>
      </c>
      <c r="C378" s="1" t="n">
        <v>46011</v>
      </c>
      <c r="D378" t="inlineStr">
        <is>
          <t>VÄRMLANDS LÄN</t>
        </is>
      </c>
      <c r="E378" t="inlineStr">
        <is>
          <t>ÅRJÄNG</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38742-2025</t>
        </is>
      </c>
      <c r="B379" s="1" t="n">
        <v>45887.37425925926</v>
      </c>
      <c r="C379" s="1" t="n">
        <v>46011</v>
      </c>
      <c r="D379" t="inlineStr">
        <is>
          <t>VÄRMLANDS LÄN</t>
        </is>
      </c>
      <c r="E379" t="inlineStr">
        <is>
          <t>ÅRJÄNG</t>
        </is>
      </c>
      <c r="G379" t="n">
        <v>1.6</v>
      </c>
      <c r="H379" t="n">
        <v>0</v>
      </c>
      <c r="I379" t="n">
        <v>0</v>
      </c>
      <c r="J379" t="n">
        <v>0</v>
      </c>
      <c r="K379" t="n">
        <v>0</v>
      </c>
      <c r="L379" t="n">
        <v>0</v>
      </c>
      <c r="M379" t="n">
        <v>0</v>
      </c>
      <c r="N379" t="n">
        <v>0</v>
      </c>
      <c r="O379" t="n">
        <v>0</v>
      </c>
      <c r="P379" t="n">
        <v>0</v>
      </c>
      <c r="Q379" t="n">
        <v>0</v>
      </c>
      <c r="R379" s="2" t="inlineStr"/>
    </row>
    <row r="380" ht="15" customHeight="1">
      <c r="A380" t="inlineStr">
        <is>
          <t>A 61154-2021</t>
        </is>
      </c>
      <c r="B380" s="1" t="n">
        <v>44497</v>
      </c>
      <c r="C380" s="1" t="n">
        <v>46011</v>
      </c>
      <c r="D380" t="inlineStr">
        <is>
          <t>VÄRMLANDS LÄN</t>
        </is>
      </c>
      <c r="E380" t="inlineStr">
        <is>
          <t>ÅRJÄNG</t>
        </is>
      </c>
      <c r="G380" t="n">
        <v>1.6</v>
      </c>
      <c r="H380" t="n">
        <v>0</v>
      </c>
      <c r="I380" t="n">
        <v>0</v>
      </c>
      <c r="J380" t="n">
        <v>0</v>
      </c>
      <c r="K380" t="n">
        <v>0</v>
      </c>
      <c r="L380" t="n">
        <v>0</v>
      </c>
      <c r="M380" t="n">
        <v>0</v>
      </c>
      <c r="N380" t="n">
        <v>0</v>
      </c>
      <c r="O380" t="n">
        <v>0</v>
      </c>
      <c r="P380" t="n">
        <v>0</v>
      </c>
      <c r="Q380" t="n">
        <v>0</v>
      </c>
      <c r="R380" s="2" t="inlineStr"/>
    </row>
    <row r="381" ht="15" customHeight="1">
      <c r="A381" t="inlineStr">
        <is>
          <t>A 2969-2022</t>
        </is>
      </c>
      <c r="B381" s="1" t="n">
        <v>44581.70811342593</v>
      </c>
      <c r="C381" s="1" t="n">
        <v>46011</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26781-2025</t>
        </is>
      </c>
      <c r="B382" s="1" t="n">
        <v>45810.58258101852</v>
      </c>
      <c r="C382" s="1" t="n">
        <v>46011</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74448-2021</t>
        </is>
      </c>
      <c r="B383" s="1" t="n">
        <v>44560.47202546296</v>
      </c>
      <c r="C383" s="1" t="n">
        <v>46011</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61295-2022</t>
        </is>
      </c>
      <c r="B384" s="1" t="n">
        <v>44915</v>
      </c>
      <c r="C384" s="1" t="n">
        <v>46011</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10648-2023</t>
        </is>
      </c>
      <c r="B385" s="1" t="n">
        <v>44984</v>
      </c>
      <c r="C385" s="1" t="n">
        <v>46011</v>
      </c>
      <c r="D385" t="inlineStr">
        <is>
          <t>VÄRMLANDS LÄN</t>
        </is>
      </c>
      <c r="E385" t="inlineStr">
        <is>
          <t>ÅRJÄNG</t>
        </is>
      </c>
      <c r="G385" t="n">
        <v>0.6</v>
      </c>
      <c r="H385" t="n">
        <v>0</v>
      </c>
      <c r="I385" t="n">
        <v>0</v>
      </c>
      <c r="J385" t="n">
        <v>0</v>
      </c>
      <c r="K385" t="n">
        <v>0</v>
      </c>
      <c r="L385" t="n">
        <v>0</v>
      </c>
      <c r="M385" t="n">
        <v>0</v>
      </c>
      <c r="N385" t="n">
        <v>0</v>
      </c>
      <c r="O385" t="n">
        <v>0</v>
      </c>
      <c r="P385" t="n">
        <v>0</v>
      </c>
      <c r="Q385" t="n">
        <v>0</v>
      </c>
      <c r="R385" s="2" t="inlineStr"/>
    </row>
    <row r="386" ht="15" customHeight="1">
      <c r="A386" t="inlineStr">
        <is>
          <t>A 36282-2024</t>
        </is>
      </c>
      <c r="B386" s="1" t="n">
        <v>45534.5887962963</v>
      </c>
      <c r="C386" s="1" t="n">
        <v>46011</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36862-2025</t>
        </is>
      </c>
      <c r="B387" s="1" t="n">
        <v>45874</v>
      </c>
      <c r="C387" s="1" t="n">
        <v>46011</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9425-2025</t>
        </is>
      </c>
      <c r="B388" s="1" t="n">
        <v>45715.40350694444</v>
      </c>
      <c r="C388" s="1" t="n">
        <v>46011</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61545-2024</t>
        </is>
      </c>
      <c r="B389" s="1" t="n">
        <v>45646.59966435185</v>
      </c>
      <c r="C389" s="1" t="n">
        <v>46011</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39369-2025</t>
        </is>
      </c>
      <c r="B390" s="1" t="n">
        <v>45889.57848379629</v>
      </c>
      <c r="C390" s="1" t="n">
        <v>46011</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56566-2022</t>
        </is>
      </c>
      <c r="B391" s="1" t="n">
        <v>44893.50795138889</v>
      </c>
      <c r="C391" s="1" t="n">
        <v>46011</v>
      </c>
      <c r="D391" t="inlineStr">
        <is>
          <t>VÄRMLANDS LÄN</t>
        </is>
      </c>
      <c r="E391" t="inlineStr">
        <is>
          <t>ÅRJÄNG</t>
        </is>
      </c>
      <c r="G391" t="n">
        <v>2.2</v>
      </c>
      <c r="H391" t="n">
        <v>0</v>
      </c>
      <c r="I391" t="n">
        <v>0</v>
      </c>
      <c r="J391" t="n">
        <v>0</v>
      </c>
      <c r="K391" t="n">
        <v>0</v>
      </c>
      <c r="L391" t="n">
        <v>0</v>
      </c>
      <c r="M391" t="n">
        <v>0</v>
      </c>
      <c r="N391" t="n">
        <v>0</v>
      </c>
      <c r="O391" t="n">
        <v>0</v>
      </c>
      <c r="P391" t="n">
        <v>0</v>
      </c>
      <c r="Q391" t="n">
        <v>0</v>
      </c>
      <c r="R391" s="2" t="inlineStr"/>
    </row>
    <row r="392" ht="15" customHeight="1">
      <c r="A392" t="inlineStr">
        <is>
          <t>A 39578-2025</t>
        </is>
      </c>
      <c r="B392" s="1" t="n">
        <v>45890.49292824074</v>
      </c>
      <c r="C392" s="1" t="n">
        <v>46011</v>
      </c>
      <c r="D392" t="inlineStr">
        <is>
          <t>VÄRMLANDS LÄN</t>
        </is>
      </c>
      <c r="E392" t="inlineStr">
        <is>
          <t>ÅRJÄNG</t>
        </is>
      </c>
      <c r="G392" t="n">
        <v>5.5</v>
      </c>
      <c r="H392" t="n">
        <v>0</v>
      </c>
      <c r="I392" t="n">
        <v>0</v>
      </c>
      <c r="J392" t="n">
        <v>0</v>
      </c>
      <c r="K392" t="n">
        <v>0</v>
      </c>
      <c r="L392" t="n">
        <v>0</v>
      </c>
      <c r="M392" t="n">
        <v>0</v>
      </c>
      <c r="N392" t="n">
        <v>0</v>
      </c>
      <c r="O392" t="n">
        <v>0</v>
      </c>
      <c r="P392" t="n">
        <v>0</v>
      </c>
      <c r="Q392" t="n">
        <v>0</v>
      </c>
      <c r="R392" s="2" t="inlineStr"/>
    </row>
    <row r="393" ht="15" customHeight="1">
      <c r="A393" t="inlineStr">
        <is>
          <t>A 37347-2024</t>
        </is>
      </c>
      <c r="B393" s="1" t="n">
        <v>45540</v>
      </c>
      <c r="C393" s="1" t="n">
        <v>46011</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34172-2024</t>
        </is>
      </c>
      <c r="B394" s="1" t="n">
        <v>45524</v>
      </c>
      <c r="C394" s="1" t="n">
        <v>46011</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7700-2023</t>
        </is>
      </c>
      <c r="B395" s="1" t="n">
        <v>44967</v>
      </c>
      <c r="C395" s="1" t="n">
        <v>46011</v>
      </c>
      <c r="D395" t="inlineStr">
        <is>
          <t>VÄRMLANDS LÄN</t>
        </is>
      </c>
      <c r="E395" t="inlineStr">
        <is>
          <t>ÅRJÄNG</t>
        </is>
      </c>
      <c r="F395" t="inlineStr">
        <is>
          <t>Övriga Aktiebolag</t>
        </is>
      </c>
      <c r="G395" t="n">
        <v>4.3</v>
      </c>
      <c r="H395" t="n">
        <v>0</v>
      </c>
      <c r="I395" t="n">
        <v>0</v>
      </c>
      <c r="J395" t="n">
        <v>0</v>
      </c>
      <c r="K395" t="n">
        <v>0</v>
      </c>
      <c r="L395" t="n">
        <v>0</v>
      </c>
      <c r="M395" t="n">
        <v>0</v>
      </c>
      <c r="N395" t="n">
        <v>0</v>
      </c>
      <c r="O395" t="n">
        <v>0</v>
      </c>
      <c r="P395" t="n">
        <v>0</v>
      </c>
      <c r="Q395" t="n">
        <v>0</v>
      </c>
      <c r="R395" s="2" t="inlineStr"/>
    </row>
    <row r="396" ht="15" customHeight="1">
      <c r="A396" t="inlineStr">
        <is>
          <t>A 26258-2025</t>
        </is>
      </c>
      <c r="B396" s="1" t="n">
        <v>45805.58349537037</v>
      </c>
      <c r="C396" s="1" t="n">
        <v>46011</v>
      </c>
      <c r="D396" t="inlineStr">
        <is>
          <t>VÄRMLANDS LÄN</t>
        </is>
      </c>
      <c r="E396" t="inlineStr">
        <is>
          <t>ÅRJÄNG</t>
        </is>
      </c>
      <c r="G396" t="n">
        <v>2.3</v>
      </c>
      <c r="H396" t="n">
        <v>0</v>
      </c>
      <c r="I396" t="n">
        <v>0</v>
      </c>
      <c r="J396" t="n">
        <v>0</v>
      </c>
      <c r="K396" t="n">
        <v>0</v>
      </c>
      <c r="L396" t="n">
        <v>0</v>
      </c>
      <c r="M396" t="n">
        <v>0</v>
      </c>
      <c r="N396" t="n">
        <v>0</v>
      </c>
      <c r="O396" t="n">
        <v>0</v>
      </c>
      <c r="P396" t="n">
        <v>0</v>
      </c>
      <c r="Q396" t="n">
        <v>0</v>
      </c>
      <c r="R396" s="2" t="inlineStr"/>
    </row>
    <row r="397" ht="15" customHeight="1">
      <c r="A397" t="inlineStr">
        <is>
          <t>A 5319-2025</t>
        </is>
      </c>
      <c r="B397" s="1" t="n">
        <v>45692.52384259259</v>
      </c>
      <c r="C397" s="1" t="n">
        <v>46011</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37356-2024</t>
        </is>
      </c>
      <c r="B398" s="1" t="n">
        <v>45540</v>
      </c>
      <c r="C398" s="1" t="n">
        <v>46011</v>
      </c>
      <c r="D398" t="inlineStr">
        <is>
          <t>VÄRMLANDS LÄN</t>
        </is>
      </c>
      <c r="E398" t="inlineStr">
        <is>
          <t>ÅRJÄNG</t>
        </is>
      </c>
      <c r="G398" t="n">
        <v>3.4</v>
      </c>
      <c r="H398" t="n">
        <v>0</v>
      </c>
      <c r="I398" t="n">
        <v>0</v>
      </c>
      <c r="J398" t="n">
        <v>0</v>
      </c>
      <c r="K398" t="n">
        <v>0</v>
      </c>
      <c r="L398" t="n">
        <v>0</v>
      </c>
      <c r="M398" t="n">
        <v>0</v>
      </c>
      <c r="N398" t="n">
        <v>0</v>
      </c>
      <c r="O398" t="n">
        <v>0</v>
      </c>
      <c r="P398" t="n">
        <v>0</v>
      </c>
      <c r="Q398" t="n">
        <v>0</v>
      </c>
      <c r="R398" s="2" t="inlineStr"/>
    </row>
    <row r="399" ht="15" customHeight="1">
      <c r="A399" t="inlineStr">
        <is>
          <t>A 12840-2025</t>
        </is>
      </c>
      <c r="B399" s="1" t="n">
        <v>45733</v>
      </c>
      <c r="C399" s="1" t="n">
        <v>46011</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8146-2024</t>
        </is>
      </c>
      <c r="B400" s="1" t="n">
        <v>45351.57671296296</v>
      </c>
      <c r="C400" s="1" t="n">
        <v>46011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26758-2025</t>
        </is>
      </c>
      <c r="B401" s="1" t="n">
        <v>45807</v>
      </c>
      <c r="C401" s="1" t="n">
        <v>46011</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26728-2025</t>
        </is>
      </c>
      <c r="B402" s="1" t="n">
        <v>45810.50186342592</v>
      </c>
      <c r="C402" s="1" t="n">
        <v>46011</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40232-2025</t>
        </is>
      </c>
      <c r="B403" s="1" t="n">
        <v>45894.7147800926</v>
      </c>
      <c r="C403" s="1" t="n">
        <v>46011</v>
      </c>
      <c r="D403" t="inlineStr">
        <is>
          <t>VÄRMLANDS LÄN</t>
        </is>
      </c>
      <c r="E403" t="inlineStr">
        <is>
          <t>ÅRJÄNG</t>
        </is>
      </c>
      <c r="F403" t="inlineStr">
        <is>
          <t>Bergvik skog väst AB</t>
        </is>
      </c>
      <c r="G403" t="n">
        <v>1</v>
      </c>
      <c r="H403" t="n">
        <v>0</v>
      </c>
      <c r="I403" t="n">
        <v>0</v>
      </c>
      <c r="J403" t="n">
        <v>0</v>
      </c>
      <c r="K403" t="n">
        <v>0</v>
      </c>
      <c r="L403" t="n">
        <v>0</v>
      </c>
      <c r="M403" t="n">
        <v>0</v>
      </c>
      <c r="N403" t="n">
        <v>0</v>
      </c>
      <c r="O403" t="n">
        <v>0</v>
      </c>
      <c r="P403" t="n">
        <v>0</v>
      </c>
      <c r="Q403" t="n">
        <v>0</v>
      </c>
      <c r="R403" s="2" t="inlineStr"/>
    </row>
    <row r="404" ht="15" customHeight="1">
      <c r="A404" t="inlineStr">
        <is>
          <t>A 39781-2025</t>
        </is>
      </c>
      <c r="B404" s="1" t="n">
        <v>45891</v>
      </c>
      <c r="C404" s="1" t="n">
        <v>46011</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24789-2024</t>
        </is>
      </c>
      <c r="B405" s="1" t="n">
        <v>45460</v>
      </c>
      <c r="C405" s="1" t="n">
        <v>46011</v>
      </c>
      <c r="D405" t="inlineStr">
        <is>
          <t>VÄRMLANDS LÄN</t>
        </is>
      </c>
      <c r="E405" t="inlineStr">
        <is>
          <t>ÅRJÄNG</t>
        </is>
      </c>
      <c r="G405" t="n">
        <v>1.7</v>
      </c>
      <c r="H405" t="n">
        <v>0</v>
      </c>
      <c r="I405" t="n">
        <v>0</v>
      </c>
      <c r="J405" t="n">
        <v>0</v>
      </c>
      <c r="K405" t="n">
        <v>0</v>
      </c>
      <c r="L405" t="n">
        <v>0</v>
      </c>
      <c r="M405" t="n">
        <v>0</v>
      </c>
      <c r="N405" t="n">
        <v>0</v>
      </c>
      <c r="O405" t="n">
        <v>0</v>
      </c>
      <c r="P405" t="n">
        <v>0</v>
      </c>
      <c r="Q405" t="n">
        <v>0</v>
      </c>
      <c r="R405" s="2" t="inlineStr"/>
    </row>
    <row r="406" ht="15" customHeight="1">
      <c r="A406" t="inlineStr">
        <is>
          <t>A 40219-2025</t>
        </is>
      </c>
      <c r="B406" s="1" t="n">
        <v>45894.69025462963</v>
      </c>
      <c r="C406" s="1" t="n">
        <v>46011</v>
      </c>
      <c r="D406" t="inlineStr">
        <is>
          <t>VÄRMLANDS LÄN</t>
        </is>
      </c>
      <c r="E406" t="inlineStr">
        <is>
          <t>ÅRJÄNG</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55432-2024</t>
        </is>
      </c>
      <c r="B407" s="1" t="n">
        <v>45622</v>
      </c>
      <c r="C407" s="1" t="n">
        <v>46011</v>
      </c>
      <c r="D407" t="inlineStr">
        <is>
          <t>VÄRMLANDS LÄN</t>
        </is>
      </c>
      <c r="E407" t="inlineStr">
        <is>
          <t>ÅRJÄNG</t>
        </is>
      </c>
      <c r="G407" t="n">
        <v>6.9</v>
      </c>
      <c r="H407" t="n">
        <v>0</v>
      </c>
      <c r="I407" t="n">
        <v>0</v>
      </c>
      <c r="J407" t="n">
        <v>0</v>
      </c>
      <c r="K407" t="n">
        <v>0</v>
      </c>
      <c r="L407" t="n">
        <v>0</v>
      </c>
      <c r="M407" t="n">
        <v>0</v>
      </c>
      <c r="N407" t="n">
        <v>0</v>
      </c>
      <c r="O407" t="n">
        <v>0</v>
      </c>
      <c r="P407" t="n">
        <v>0</v>
      </c>
      <c r="Q407" t="n">
        <v>0</v>
      </c>
      <c r="R407" s="2" t="inlineStr"/>
    </row>
    <row r="408" ht="15" customHeight="1">
      <c r="A408" t="inlineStr">
        <is>
          <t>A 24971-2025</t>
        </is>
      </c>
      <c r="B408" s="1" t="n">
        <v>45799</v>
      </c>
      <c r="C408" s="1" t="n">
        <v>46011</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51265-2024</t>
        </is>
      </c>
      <c r="B409" s="1" t="n">
        <v>45602</v>
      </c>
      <c r="C409" s="1" t="n">
        <v>46011</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4865-2024</t>
        </is>
      </c>
      <c r="B410" s="1" t="n">
        <v>45329</v>
      </c>
      <c r="C410" s="1" t="n">
        <v>46011</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68328-2021</t>
        </is>
      </c>
      <c r="B411" s="1" t="n">
        <v>44527.35875</v>
      </c>
      <c r="C411" s="1" t="n">
        <v>46011</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26783-2024</t>
        </is>
      </c>
      <c r="B412" s="1" t="n">
        <v>45470</v>
      </c>
      <c r="C412" s="1" t="n">
        <v>46011</v>
      </c>
      <c r="D412" t="inlineStr">
        <is>
          <t>VÄRMLANDS LÄN</t>
        </is>
      </c>
      <c r="E412" t="inlineStr">
        <is>
          <t>ÅRJÄNG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18718-2023</t>
        </is>
      </c>
      <c r="B413" s="1" t="n">
        <v>45043.65459490741</v>
      </c>
      <c r="C413" s="1" t="n">
        <v>46011</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26434-2025</t>
        </is>
      </c>
      <c r="B414" s="1" t="n">
        <v>45807.39797453704</v>
      </c>
      <c r="C414" s="1" t="n">
        <v>46011</v>
      </c>
      <c r="D414" t="inlineStr">
        <is>
          <t>VÄRMLANDS LÄN</t>
        </is>
      </c>
      <c r="E414" t="inlineStr">
        <is>
          <t>ÅRJÄNG</t>
        </is>
      </c>
      <c r="G414" t="n">
        <v>2.2</v>
      </c>
      <c r="H414" t="n">
        <v>0</v>
      </c>
      <c r="I414" t="n">
        <v>0</v>
      </c>
      <c r="J414" t="n">
        <v>0</v>
      </c>
      <c r="K414" t="n">
        <v>0</v>
      </c>
      <c r="L414" t="n">
        <v>0</v>
      </c>
      <c r="M414" t="n">
        <v>0</v>
      </c>
      <c r="N414" t="n">
        <v>0</v>
      </c>
      <c r="O414" t="n">
        <v>0</v>
      </c>
      <c r="P414" t="n">
        <v>0</v>
      </c>
      <c r="Q414" t="n">
        <v>0</v>
      </c>
      <c r="R414" s="2" t="inlineStr"/>
    </row>
    <row r="415" ht="15" customHeight="1">
      <c r="A415" t="inlineStr">
        <is>
          <t>A 39905-2025</t>
        </is>
      </c>
      <c r="B415" s="1" t="n">
        <v>45891.63949074074</v>
      </c>
      <c r="C415" s="1" t="n">
        <v>46011</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52741-2024</t>
        </is>
      </c>
      <c r="B416" s="1" t="n">
        <v>45610</v>
      </c>
      <c r="C416" s="1" t="n">
        <v>46011</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44934-2024</t>
        </is>
      </c>
      <c r="B417" s="1" t="n">
        <v>45575</v>
      </c>
      <c r="C417" s="1" t="n">
        <v>46011</v>
      </c>
      <c r="D417" t="inlineStr">
        <is>
          <t>VÄRMLANDS LÄN</t>
        </is>
      </c>
      <c r="E417" t="inlineStr">
        <is>
          <t>ÅRJÄNG</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39776-2025</t>
        </is>
      </c>
      <c r="B418" s="1" t="n">
        <v>45891</v>
      </c>
      <c r="C418" s="1" t="n">
        <v>46011</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39779-2025</t>
        </is>
      </c>
      <c r="B419" s="1" t="n">
        <v>45891</v>
      </c>
      <c r="C419" s="1" t="n">
        <v>46011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43794-2024</t>
        </is>
      </c>
      <c r="B420" s="1" t="n">
        <v>45571.53519675926</v>
      </c>
      <c r="C420" s="1" t="n">
        <v>46011</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39725-2025</t>
        </is>
      </c>
      <c r="B421" s="1" t="n">
        <v>45891</v>
      </c>
      <c r="C421" s="1" t="n">
        <v>46011</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4137-2025</t>
        </is>
      </c>
      <c r="B422" s="1" t="n">
        <v>45685.35232638889</v>
      </c>
      <c r="C422" s="1" t="n">
        <v>46011</v>
      </c>
      <c r="D422" t="inlineStr">
        <is>
          <t>VÄRMLANDS LÄN</t>
        </is>
      </c>
      <c r="E422" t="inlineStr">
        <is>
          <t>ÅRJÄNG</t>
        </is>
      </c>
      <c r="G422" t="n">
        <v>3.3</v>
      </c>
      <c r="H422" t="n">
        <v>0</v>
      </c>
      <c r="I422" t="n">
        <v>0</v>
      </c>
      <c r="J422" t="n">
        <v>0</v>
      </c>
      <c r="K422" t="n">
        <v>0</v>
      </c>
      <c r="L422" t="n">
        <v>0</v>
      </c>
      <c r="M422" t="n">
        <v>0</v>
      </c>
      <c r="N422" t="n">
        <v>0</v>
      </c>
      <c r="O422" t="n">
        <v>0</v>
      </c>
      <c r="P422" t="n">
        <v>0</v>
      </c>
      <c r="Q422" t="n">
        <v>0</v>
      </c>
      <c r="R422" s="2" t="inlineStr"/>
    </row>
    <row r="423" ht="15" customHeight="1">
      <c r="A423" t="inlineStr">
        <is>
          <t>A 43517-2024</t>
        </is>
      </c>
      <c r="B423" s="1" t="n">
        <v>45569.32800925926</v>
      </c>
      <c r="C423" s="1" t="n">
        <v>46011</v>
      </c>
      <c r="D423" t="inlineStr">
        <is>
          <t>VÄRMLANDS LÄN</t>
        </is>
      </c>
      <c r="E423" t="inlineStr">
        <is>
          <t>ÅRJÄNG</t>
        </is>
      </c>
      <c r="G423" t="n">
        <v>5.9</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46011</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15323-2025</t>
        </is>
      </c>
      <c r="B425" s="1" t="n">
        <v>45747.32385416667</v>
      </c>
      <c r="C425" s="1" t="n">
        <v>46011</v>
      </c>
      <c r="D425" t="inlineStr">
        <is>
          <t>VÄRMLANDS LÄN</t>
        </is>
      </c>
      <c r="E425" t="inlineStr">
        <is>
          <t>ÅRJÄNG</t>
        </is>
      </c>
      <c r="G425" t="n">
        <v>5.5</v>
      </c>
      <c r="H425" t="n">
        <v>0</v>
      </c>
      <c r="I425" t="n">
        <v>0</v>
      </c>
      <c r="J425" t="n">
        <v>0</v>
      </c>
      <c r="K425" t="n">
        <v>0</v>
      </c>
      <c r="L425" t="n">
        <v>0</v>
      </c>
      <c r="M425" t="n">
        <v>0</v>
      </c>
      <c r="N425" t="n">
        <v>0</v>
      </c>
      <c r="O425" t="n">
        <v>0</v>
      </c>
      <c r="P425" t="n">
        <v>0</v>
      </c>
      <c r="Q425" t="n">
        <v>0</v>
      </c>
      <c r="R425" s="2" t="inlineStr"/>
    </row>
    <row r="426" ht="15" customHeight="1">
      <c r="A426" t="inlineStr">
        <is>
          <t>A 38065-2024</t>
        </is>
      </c>
      <c r="B426" s="1" t="n">
        <v>45544.8249537037</v>
      </c>
      <c r="C426" s="1" t="n">
        <v>46011</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60909-2024</t>
        </is>
      </c>
      <c r="B427" s="1" t="n">
        <v>45645</v>
      </c>
      <c r="C427" s="1" t="n">
        <v>46011</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40497-2025</t>
        </is>
      </c>
      <c r="B428" s="1" t="n">
        <v>45896.32087962963</v>
      </c>
      <c r="C428" s="1" t="n">
        <v>46011</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9749-2024</t>
        </is>
      </c>
      <c r="B429" s="1" t="n">
        <v>45362</v>
      </c>
      <c r="C429" s="1" t="n">
        <v>46011</v>
      </c>
      <c r="D429" t="inlineStr">
        <is>
          <t>VÄRMLANDS LÄN</t>
        </is>
      </c>
      <c r="E429" t="inlineStr">
        <is>
          <t>ÅRJÄNG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8357-2025</t>
        </is>
      </c>
      <c r="B430" s="1" t="n">
        <v>45708.79896990741</v>
      </c>
      <c r="C430" s="1" t="n">
        <v>46011</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10321-2025</t>
        </is>
      </c>
      <c r="B431" s="1" t="n">
        <v>45720</v>
      </c>
      <c r="C431" s="1" t="n">
        <v>46011</v>
      </c>
      <c r="D431" t="inlineStr">
        <is>
          <t>VÄRMLANDS LÄN</t>
        </is>
      </c>
      <c r="E431" t="inlineStr">
        <is>
          <t>ÅRJÄNG</t>
        </is>
      </c>
      <c r="G431" t="n">
        <v>3.4</v>
      </c>
      <c r="H431" t="n">
        <v>0</v>
      </c>
      <c r="I431" t="n">
        <v>0</v>
      </c>
      <c r="J431" t="n">
        <v>0</v>
      </c>
      <c r="K431" t="n">
        <v>0</v>
      </c>
      <c r="L431" t="n">
        <v>0</v>
      </c>
      <c r="M431" t="n">
        <v>0</v>
      </c>
      <c r="N431" t="n">
        <v>0</v>
      </c>
      <c r="O431" t="n">
        <v>0</v>
      </c>
      <c r="P431" t="n">
        <v>0</v>
      </c>
      <c r="Q431" t="n">
        <v>0</v>
      </c>
      <c r="R431" s="2" t="inlineStr"/>
    </row>
    <row r="432" ht="15" customHeight="1">
      <c r="A432" t="inlineStr">
        <is>
          <t>A 8614-2023</t>
        </is>
      </c>
      <c r="B432" s="1" t="n">
        <v>44977</v>
      </c>
      <c r="C432" s="1" t="n">
        <v>46011</v>
      </c>
      <c r="D432" t="inlineStr">
        <is>
          <t>VÄRMLANDS LÄN</t>
        </is>
      </c>
      <c r="E432" t="inlineStr">
        <is>
          <t>ÅRJÄNG</t>
        </is>
      </c>
      <c r="G432" t="n">
        <v>3.8</v>
      </c>
      <c r="H432" t="n">
        <v>0</v>
      </c>
      <c r="I432" t="n">
        <v>0</v>
      </c>
      <c r="J432" t="n">
        <v>0</v>
      </c>
      <c r="K432" t="n">
        <v>0</v>
      </c>
      <c r="L432" t="n">
        <v>0</v>
      </c>
      <c r="M432" t="n">
        <v>0</v>
      </c>
      <c r="N432" t="n">
        <v>0</v>
      </c>
      <c r="O432" t="n">
        <v>0</v>
      </c>
      <c r="P432" t="n">
        <v>0</v>
      </c>
      <c r="Q432" t="n">
        <v>0</v>
      </c>
      <c r="R432" s="2" t="inlineStr"/>
    </row>
    <row r="433" ht="15" customHeight="1">
      <c r="A433" t="inlineStr">
        <is>
          <t>A 56348-2024</t>
        </is>
      </c>
      <c r="B433" s="1" t="n">
        <v>45624</v>
      </c>
      <c r="C433" s="1" t="n">
        <v>46011</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26998-2025</t>
        </is>
      </c>
      <c r="B434" s="1" t="n">
        <v>45811</v>
      </c>
      <c r="C434" s="1" t="n">
        <v>46011</v>
      </c>
      <c r="D434" t="inlineStr">
        <is>
          <t>VÄRMLANDS LÄN</t>
        </is>
      </c>
      <c r="E434" t="inlineStr">
        <is>
          <t>ÅRJÄNG</t>
        </is>
      </c>
      <c r="G434" t="n">
        <v>1.8</v>
      </c>
      <c r="H434" t="n">
        <v>0</v>
      </c>
      <c r="I434" t="n">
        <v>0</v>
      </c>
      <c r="J434" t="n">
        <v>0</v>
      </c>
      <c r="K434" t="n">
        <v>0</v>
      </c>
      <c r="L434" t="n">
        <v>0</v>
      </c>
      <c r="M434" t="n">
        <v>0</v>
      </c>
      <c r="N434" t="n">
        <v>0</v>
      </c>
      <c r="O434" t="n">
        <v>0</v>
      </c>
      <c r="P434" t="n">
        <v>0</v>
      </c>
      <c r="Q434" t="n">
        <v>0</v>
      </c>
      <c r="R434" s="2" t="inlineStr"/>
    </row>
    <row r="435" ht="15" customHeight="1">
      <c r="A435" t="inlineStr">
        <is>
          <t>A 1571-2025</t>
        </is>
      </c>
      <c r="B435" s="1" t="n">
        <v>45670.55496527778</v>
      </c>
      <c r="C435" s="1" t="n">
        <v>46011</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40449-2025</t>
        </is>
      </c>
      <c r="B436" s="1" t="n">
        <v>45895</v>
      </c>
      <c r="C436" s="1" t="n">
        <v>46011</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24964-2025</t>
        </is>
      </c>
      <c r="B437" s="1" t="n">
        <v>45799</v>
      </c>
      <c r="C437" s="1" t="n">
        <v>46011</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40602-2025</t>
        </is>
      </c>
      <c r="B438" s="1" t="n">
        <v>45896</v>
      </c>
      <c r="C438" s="1" t="n">
        <v>46011</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26959-2025</t>
        </is>
      </c>
      <c r="B439" s="1" t="n">
        <v>45811.45909722222</v>
      </c>
      <c r="C439" s="1" t="n">
        <v>46011</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40458-2023</t>
        </is>
      </c>
      <c r="B440" s="1" t="n">
        <v>45170.32993055556</v>
      </c>
      <c r="C440" s="1" t="n">
        <v>46011</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40601-2025</t>
        </is>
      </c>
      <c r="B441" s="1" t="n">
        <v>45896</v>
      </c>
      <c r="C441" s="1" t="n">
        <v>46011</v>
      </c>
      <c r="D441" t="inlineStr">
        <is>
          <t>VÄRMLANDS LÄN</t>
        </is>
      </c>
      <c r="E441" t="inlineStr">
        <is>
          <t>ÅRJÄNG</t>
        </is>
      </c>
      <c r="G441" t="n">
        <v>2.1</v>
      </c>
      <c r="H441" t="n">
        <v>0</v>
      </c>
      <c r="I441" t="n">
        <v>0</v>
      </c>
      <c r="J441" t="n">
        <v>0</v>
      </c>
      <c r="K441" t="n">
        <v>0</v>
      </c>
      <c r="L441" t="n">
        <v>0</v>
      </c>
      <c r="M441" t="n">
        <v>0</v>
      </c>
      <c r="N441" t="n">
        <v>0</v>
      </c>
      <c r="O441" t="n">
        <v>0</v>
      </c>
      <c r="P441" t="n">
        <v>0</v>
      </c>
      <c r="Q441" t="n">
        <v>0</v>
      </c>
      <c r="R441" s="2" t="inlineStr"/>
    </row>
    <row r="442" ht="15" customHeight="1">
      <c r="A442" t="inlineStr">
        <is>
          <t>A 16010-2024</t>
        </is>
      </c>
      <c r="B442" s="1" t="n">
        <v>45405</v>
      </c>
      <c r="C442" s="1" t="n">
        <v>46011</v>
      </c>
      <c r="D442" t="inlineStr">
        <is>
          <t>VÄRMLANDS LÄN</t>
        </is>
      </c>
      <c r="E442" t="inlineStr">
        <is>
          <t>ÅRJÄNG</t>
        </is>
      </c>
      <c r="G442" t="n">
        <v>4.6</v>
      </c>
      <c r="H442" t="n">
        <v>0</v>
      </c>
      <c r="I442" t="n">
        <v>0</v>
      </c>
      <c r="J442" t="n">
        <v>0</v>
      </c>
      <c r="K442" t="n">
        <v>0</v>
      </c>
      <c r="L442" t="n">
        <v>0</v>
      </c>
      <c r="M442" t="n">
        <v>0</v>
      </c>
      <c r="N442" t="n">
        <v>0</v>
      </c>
      <c r="O442" t="n">
        <v>0</v>
      </c>
      <c r="P442" t="n">
        <v>0</v>
      </c>
      <c r="Q442" t="n">
        <v>0</v>
      </c>
      <c r="R442" s="2" t="inlineStr"/>
    </row>
    <row r="443" ht="15" customHeight="1">
      <c r="A443" t="inlineStr">
        <is>
          <t>A 62966-2023</t>
        </is>
      </c>
      <c r="B443" s="1" t="n">
        <v>45272.57006944445</v>
      </c>
      <c r="C443" s="1" t="n">
        <v>46011</v>
      </c>
      <c r="D443" t="inlineStr">
        <is>
          <t>VÄRMLANDS LÄN</t>
        </is>
      </c>
      <c r="E443" t="inlineStr">
        <is>
          <t>ÅRJÄNG</t>
        </is>
      </c>
      <c r="G443" t="n">
        <v>4.5</v>
      </c>
      <c r="H443" t="n">
        <v>0</v>
      </c>
      <c r="I443" t="n">
        <v>0</v>
      </c>
      <c r="J443" t="n">
        <v>0</v>
      </c>
      <c r="K443" t="n">
        <v>0</v>
      </c>
      <c r="L443" t="n">
        <v>0</v>
      </c>
      <c r="M443" t="n">
        <v>0</v>
      </c>
      <c r="N443" t="n">
        <v>0</v>
      </c>
      <c r="O443" t="n">
        <v>0</v>
      </c>
      <c r="P443" t="n">
        <v>0</v>
      </c>
      <c r="Q443" t="n">
        <v>0</v>
      </c>
      <c r="R443" s="2" t="inlineStr"/>
    </row>
    <row r="444" ht="15" customHeight="1">
      <c r="A444" t="inlineStr">
        <is>
          <t>A 27120-2025</t>
        </is>
      </c>
      <c r="B444" s="1" t="n">
        <v>45811.76232638889</v>
      </c>
      <c r="C444" s="1" t="n">
        <v>46011</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1200-2023</t>
        </is>
      </c>
      <c r="B445" s="1" t="n">
        <v>44935</v>
      </c>
      <c r="C445" s="1" t="n">
        <v>46011</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27247-2025</t>
        </is>
      </c>
      <c r="B446" s="1" t="n">
        <v>45812.46612268518</v>
      </c>
      <c r="C446" s="1" t="n">
        <v>46011</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41229-2025</t>
        </is>
      </c>
      <c r="B447" s="1" t="n">
        <v>45898.59108796297</v>
      </c>
      <c r="C447" s="1" t="n">
        <v>46011</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40699-2025</t>
        </is>
      </c>
      <c r="B448" s="1" t="n">
        <v>45897.31958333333</v>
      </c>
      <c r="C448" s="1" t="n">
        <v>46011</v>
      </c>
      <c r="D448" t="inlineStr">
        <is>
          <t>VÄRMLANDS LÄN</t>
        </is>
      </c>
      <c r="E448" t="inlineStr">
        <is>
          <t>ÅRJÄNG</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40628-2024</t>
        </is>
      </c>
      <c r="B449" s="1" t="n">
        <v>45557.61668981481</v>
      </c>
      <c r="C449" s="1" t="n">
        <v>46011</v>
      </c>
      <c r="D449" t="inlineStr">
        <is>
          <t>VÄRMLANDS LÄN</t>
        </is>
      </c>
      <c r="E449" t="inlineStr">
        <is>
          <t>ÅRJÄNG</t>
        </is>
      </c>
      <c r="G449" t="n">
        <v>3.3</v>
      </c>
      <c r="H449" t="n">
        <v>0</v>
      </c>
      <c r="I449" t="n">
        <v>0</v>
      </c>
      <c r="J449" t="n">
        <v>0</v>
      </c>
      <c r="K449" t="n">
        <v>0</v>
      </c>
      <c r="L449" t="n">
        <v>0</v>
      </c>
      <c r="M449" t="n">
        <v>0</v>
      </c>
      <c r="N449" t="n">
        <v>0</v>
      </c>
      <c r="O449" t="n">
        <v>0</v>
      </c>
      <c r="P449" t="n">
        <v>0</v>
      </c>
      <c r="Q449" t="n">
        <v>0</v>
      </c>
      <c r="R449" s="2" t="inlineStr"/>
    </row>
    <row r="450" ht="15" customHeight="1">
      <c r="A450" t="inlineStr">
        <is>
          <t>A 5106-2023</t>
        </is>
      </c>
      <c r="B450" s="1" t="n">
        <v>44953</v>
      </c>
      <c r="C450" s="1" t="n">
        <v>46011</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1929-2025</t>
        </is>
      </c>
      <c r="B451" s="1" t="n">
        <v>45671.73023148148</v>
      </c>
      <c r="C451" s="1" t="n">
        <v>46011</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15951-2025</t>
        </is>
      </c>
      <c r="B452" s="1" t="n">
        <v>45749</v>
      </c>
      <c r="C452" s="1" t="n">
        <v>46011</v>
      </c>
      <c r="D452" t="inlineStr">
        <is>
          <t>VÄRMLANDS LÄN</t>
        </is>
      </c>
      <c r="E452" t="inlineStr">
        <is>
          <t>ÅRJÄNG</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14710-2025</t>
        </is>
      </c>
      <c r="B453" s="1" t="n">
        <v>45742.60868055555</v>
      </c>
      <c r="C453" s="1" t="n">
        <v>46011</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15248-2025</t>
        </is>
      </c>
      <c r="B454" s="1" t="n">
        <v>45744</v>
      </c>
      <c r="C454" s="1" t="n">
        <v>46011</v>
      </c>
      <c r="D454" t="inlineStr">
        <is>
          <t>VÄRMLANDS LÄN</t>
        </is>
      </c>
      <c r="E454" t="inlineStr">
        <is>
          <t>ÅRJÄNG</t>
        </is>
      </c>
      <c r="G454" t="n">
        <v>3.2</v>
      </c>
      <c r="H454" t="n">
        <v>0</v>
      </c>
      <c r="I454" t="n">
        <v>0</v>
      </c>
      <c r="J454" t="n">
        <v>0</v>
      </c>
      <c r="K454" t="n">
        <v>0</v>
      </c>
      <c r="L454" t="n">
        <v>0</v>
      </c>
      <c r="M454" t="n">
        <v>0</v>
      </c>
      <c r="N454" t="n">
        <v>0</v>
      </c>
      <c r="O454" t="n">
        <v>0</v>
      </c>
      <c r="P454" t="n">
        <v>0</v>
      </c>
      <c r="Q454" t="n">
        <v>0</v>
      </c>
      <c r="R454" s="2" t="inlineStr"/>
    </row>
    <row r="455" ht="15" customHeight="1">
      <c r="A455" t="inlineStr">
        <is>
          <t>A 17426-2025</t>
        </is>
      </c>
      <c r="B455" s="1" t="n">
        <v>45757.40153935185</v>
      </c>
      <c r="C455" s="1" t="n">
        <v>46011</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8818-2022</t>
        </is>
      </c>
      <c r="B456" s="1" t="n">
        <v>44614.45849537037</v>
      </c>
      <c r="C456" s="1" t="n">
        <v>46011</v>
      </c>
      <c r="D456" t="inlineStr">
        <is>
          <t>VÄRMLANDS LÄN</t>
        </is>
      </c>
      <c r="E456" t="inlineStr">
        <is>
          <t>ÅRJÄNG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42233-2024</t>
        </is>
      </c>
      <c r="B457" s="1" t="n">
        <v>45562</v>
      </c>
      <c r="C457" s="1" t="n">
        <v>46011</v>
      </c>
      <c r="D457" t="inlineStr">
        <is>
          <t>VÄRMLANDS LÄN</t>
        </is>
      </c>
      <c r="E457" t="inlineStr">
        <is>
          <t>ÅRJÄNG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62720-2023</t>
        </is>
      </c>
      <c r="B458" s="1" t="n">
        <v>45271.5799537037</v>
      </c>
      <c r="C458" s="1" t="n">
        <v>46011</v>
      </c>
      <c r="D458" t="inlineStr">
        <is>
          <t>VÄRMLANDS LÄN</t>
        </is>
      </c>
      <c r="E458" t="inlineStr">
        <is>
          <t>ÅRJÄNG</t>
        </is>
      </c>
      <c r="G458" t="n">
        <v>0.8</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46011</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46011</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424-2025</t>
        </is>
      </c>
      <c r="B461" s="1" t="n">
        <v>45664</v>
      </c>
      <c r="C461" s="1" t="n">
        <v>46011</v>
      </c>
      <c r="D461" t="inlineStr">
        <is>
          <t>VÄRMLANDS LÄN</t>
        </is>
      </c>
      <c r="E461" t="inlineStr">
        <is>
          <t>ÅRJÄNG</t>
        </is>
      </c>
      <c r="G461" t="n">
        <v>1.8</v>
      </c>
      <c r="H461" t="n">
        <v>0</v>
      </c>
      <c r="I461" t="n">
        <v>0</v>
      </c>
      <c r="J461" t="n">
        <v>0</v>
      </c>
      <c r="K461" t="n">
        <v>0</v>
      </c>
      <c r="L461" t="n">
        <v>0</v>
      </c>
      <c r="M461" t="n">
        <v>0</v>
      </c>
      <c r="N461" t="n">
        <v>0</v>
      </c>
      <c r="O461" t="n">
        <v>0</v>
      </c>
      <c r="P461" t="n">
        <v>0</v>
      </c>
      <c r="Q461" t="n">
        <v>0</v>
      </c>
      <c r="R461" s="2" t="inlineStr"/>
    </row>
    <row r="462" ht="15" customHeight="1">
      <c r="A462" t="inlineStr">
        <is>
          <t>A 6559-2025</t>
        </is>
      </c>
      <c r="B462" s="1" t="n">
        <v>45699.73678240741</v>
      </c>
      <c r="C462" s="1" t="n">
        <v>46011</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41467-2025</t>
        </is>
      </c>
      <c r="B463" s="1" t="n">
        <v>45901.45755787037</v>
      </c>
      <c r="C463" s="1" t="n">
        <v>46011</v>
      </c>
      <c r="D463" t="inlineStr">
        <is>
          <t>VÄRMLANDS LÄN</t>
        </is>
      </c>
      <c r="E463" t="inlineStr">
        <is>
          <t>ÅRJÄNG</t>
        </is>
      </c>
      <c r="G463" t="n">
        <v>2</v>
      </c>
      <c r="H463" t="n">
        <v>0</v>
      </c>
      <c r="I463" t="n">
        <v>0</v>
      </c>
      <c r="J463" t="n">
        <v>0</v>
      </c>
      <c r="K463" t="n">
        <v>0</v>
      </c>
      <c r="L463" t="n">
        <v>0</v>
      </c>
      <c r="M463" t="n">
        <v>0</v>
      </c>
      <c r="N463" t="n">
        <v>0</v>
      </c>
      <c r="O463" t="n">
        <v>0</v>
      </c>
      <c r="P463" t="n">
        <v>0</v>
      </c>
      <c r="Q463" t="n">
        <v>0</v>
      </c>
      <c r="R463" s="2" t="inlineStr"/>
    </row>
    <row r="464" ht="15" customHeight="1">
      <c r="A464" t="inlineStr">
        <is>
          <t>A 41496-2025</t>
        </is>
      </c>
      <c r="B464" s="1" t="n">
        <v>45901</v>
      </c>
      <c r="C464" s="1" t="n">
        <v>46011</v>
      </c>
      <c r="D464" t="inlineStr">
        <is>
          <t>VÄRMLANDS LÄN</t>
        </is>
      </c>
      <c r="E464" t="inlineStr">
        <is>
          <t>ÅRJÄNG</t>
        </is>
      </c>
      <c r="G464" t="n">
        <v>5.8</v>
      </c>
      <c r="H464" t="n">
        <v>0</v>
      </c>
      <c r="I464" t="n">
        <v>0</v>
      </c>
      <c r="J464" t="n">
        <v>0</v>
      </c>
      <c r="K464" t="n">
        <v>0</v>
      </c>
      <c r="L464" t="n">
        <v>0</v>
      </c>
      <c r="M464" t="n">
        <v>0</v>
      </c>
      <c r="N464" t="n">
        <v>0</v>
      </c>
      <c r="O464" t="n">
        <v>0</v>
      </c>
      <c r="P464" t="n">
        <v>0</v>
      </c>
      <c r="Q464" t="n">
        <v>0</v>
      </c>
      <c r="R464" s="2" t="inlineStr"/>
    </row>
    <row r="465" ht="15" customHeight="1">
      <c r="A465" t="inlineStr">
        <is>
          <t>A 41499-2025</t>
        </is>
      </c>
      <c r="B465" s="1" t="n">
        <v>45901</v>
      </c>
      <c r="C465" s="1" t="n">
        <v>46011</v>
      </c>
      <c r="D465" t="inlineStr">
        <is>
          <t>VÄRMLANDS LÄN</t>
        </is>
      </c>
      <c r="E465" t="inlineStr">
        <is>
          <t>ÅRJÄNG</t>
        </is>
      </c>
      <c r="G465" t="n">
        <v>2.7</v>
      </c>
      <c r="H465" t="n">
        <v>0</v>
      </c>
      <c r="I465" t="n">
        <v>0</v>
      </c>
      <c r="J465" t="n">
        <v>0</v>
      </c>
      <c r="K465" t="n">
        <v>0</v>
      </c>
      <c r="L465" t="n">
        <v>0</v>
      </c>
      <c r="M465" t="n">
        <v>0</v>
      </c>
      <c r="N465" t="n">
        <v>0</v>
      </c>
      <c r="O465" t="n">
        <v>0</v>
      </c>
      <c r="P465" t="n">
        <v>0</v>
      </c>
      <c r="Q465" t="n">
        <v>0</v>
      </c>
      <c r="R465" s="2" t="inlineStr"/>
    </row>
    <row r="466" ht="15" customHeight="1">
      <c r="A466" t="inlineStr">
        <is>
          <t>A 41763-2025</t>
        </is>
      </c>
      <c r="B466" s="1" t="n">
        <v>45902.54175925926</v>
      </c>
      <c r="C466" s="1" t="n">
        <v>46011</v>
      </c>
      <c r="D466" t="inlineStr">
        <is>
          <t>VÄRMLANDS LÄN</t>
        </is>
      </c>
      <c r="E466" t="inlineStr">
        <is>
          <t>ÅRJÄNG</t>
        </is>
      </c>
      <c r="G466" t="n">
        <v>3.4</v>
      </c>
      <c r="H466" t="n">
        <v>0</v>
      </c>
      <c r="I466" t="n">
        <v>0</v>
      </c>
      <c r="J466" t="n">
        <v>0</v>
      </c>
      <c r="K466" t="n">
        <v>0</v>
      </c>
      <c r="L466" t="n">
        <v>0</v>
      </c>
      <c r="M466" t="n">
        <v>0</v>
      </c>
      <c r="N466" t="n">
        <v>0</v>
      </c>
      <c r="O466" t="n">
        <v>0</v>
      </c>
      <c r="P466" t="n">
        <v>0</v>
      </c>
      <c r="Q466" t="n">
        <v>0</v>
      </c>
      <c r="R466" s="2" t="inlineStr"/>
    </row>
    <row r="467" ht="15" customHeight="1">
      <c r="A467" t="inlineStr">
        <is>
          <t>A 41772-2025</t>
        </is>
      </c>
      <c r="B467" s="1" t="n">
        <v>45902.55828703703</v>
      </c>
      <c r="C467" s="1" t="n">
        <v>46011</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41771-2025</t>
        </is>
      </c>
      <c r="B468" s="1" t="n">
        <v>45902.55228009259</v>
      </c>
      <c r="C468" s="1" t="n">
        <v>46011</v>
      </c>
      <c r="D468" t="inlineStr">
        <is>
          <t>VÄRMLANDS LÄN</t>
        </is>
      </c>
      <c r="E468" t="inlineStr">
        <is>
          <t>ÅRJÄNG</t>
        </is>
      </c>
      <c r="G468" t="n">
        <v>1.9</v>
      </c>
      <c r="H468" t="n">
        <v>0</v>
      </c>
      <c r="I468" t="n">
        <v>0</v>
      </c>
      <c r="J468" t="n">
        <v>0</v>
      </c>
      <c r="K468" t="n">
        <v>0</v>
      </c>
      <c r="L468" t="n">
        <v>0</v>
      </c>
      <c r="M468" t="n">
        <v>0</v>
      </c>
      <c r="N468" t="n">
        <v>0</v>
      </c>
      <c r="O468" t="n">
        <v>0</v>
      </c>
      <c r="P468" t="n">
        <v>0</v>
      </c>
      <c r="Q468" t="n">
        <v>0</v>
      </c>
      <c r="R468" s="2" t="inlineStr"/>
    </row>
    <row r="469" ht="15" customHeight="1">
      <c r="A469" t="inlineStr">
        <is>
          <t>A 4408-2025</t>
        </is>
      </c>
      <c r="B469" s="1" t="n">
        <v>45686</v>
      </c>
      <c r="C469" s="1" t="n">
        <v>46011</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13196-2023</t>
        </is>
      </c>
      <c r="B470" s="1" t="n">
        <v>45002</v>
      </c>
      <c r="C470" s="1" t="n">
        <v>46011</v>
      </c>
      <c r="D470" t="inlineStr">
        <is>
          <t>VÄRMLANDS LÄN</t>
        </is>
      </c>
      <c r="E470" t="inlineStr">
        <is>
          <t>ÅRJÄNG</t>
        </is>
      </c>
      <c r="F470" t="inlineStr">
        <is>
          <t>Kyrkan</t>
        </is>
      </c>
      <c r="G470" t="n">
        <v>4.5</v>
      </c>
      <c r="H470" t="n">
        <v>0</v>
      </c>
      <c r="I470" t="n">
        <v>0</v>
      </c>
      <c r="J470" t="n">
        <v>0</v>
      </c>
      <c r="K470" t="n">
        <v>0</v>
      </c>
      <c r="L470" t="n">
        <v>0</v>
      </c>
      <c r="M470" t="n">
        <v>0</v>
      </c>
      <c r="N470" t="n">
        <v>0</v>
      </c>
      <c r="O470" t="n">
        <v>0</v>
      </c>
      <c r="P470" t="n">
        <v>0</v>
      </c>
      <c r="Q470" t="n">
        <v>0</v>
      </c>
      <c r="R470" s="2" t="inlineStr"/>
    </row>
    <row r="471" ht="15" customHeight="1">
      <c r="A471" t="inlineStr">
        <is>
          <t>A 41488-2025</t>
        </is>
      </c>
      <c r="B471" s="1" t="n">
        <v>45901.48288194444</v>
      </c>
      <c r="C471" s="1" t="n">
        <v>46011</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28874-2025</t>
        </is>
      </c>
      <c r="B472" s="1" t="n">
        <v>45820</v>
      </c>
      <c r="C472" s="1" t="n">
        <v>46011</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28690-2025</t>
        </is>
      </c>
      <c r="B473" s="1" t="n">
        <v>45819.73236111111</v>
      </c>
      <c r="C473" s="1" t="n">
        <v>46011</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46011</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16613-2022</t>
        </is>
      </c>
      <c r="B475" s="1" t="n">
        <v>44672</v>
      </c>
      <c r="C475" s="1" t="n">
        <v>46011</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28797-2025</t>
        </is>
      </c>
      <c r="B476" s="1" t="n">
        <v>45820.48179398148</v>
      </c>
      <c r="C476" s="1" t="n">
        <v>46011</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46011</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41725-2025</t>
        </is>
      </c>
      <c r="B478" s="1" t="n">
        <v>45902.45458333333</v>
      </c>
      <c r="C478" s="1" t="n">
        <v>46011</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28948-2025</t>
        </is>
      </c>
      <c r="B479" s="1" t="n">
        <v>45820</v>
      </c>
      <c r="C479" s="1" t="n">
        <v>46011</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28949-2025</t>
        </is>
      </c>
      <c r="B480" s="1" t="n">
        <v>45820</v>
      </c>
      <c r="C480" s="1" t="n">
        <v>46011</v>
      </c>
      <c r="D480" t="inlineStr">
        <is>
          <t>VÄRMLANDS LÄN</t>
        </is>
      </c>
      <c r="E480" t="inlineStr">
        <is>
          <t>ÅRJÄNG</t>
        </is>
      </c>
      <c r="G480" t="n">
        <v>0.3</v>
      </c>
      <c r="H480" t="n">
        <v>0</v>
      </c>
      <c r="I480" t="n">
        <v>0</v>
      </c>
      <c r="J480" t="n">
        <v>0</v>
      </c>
      <c r="K480" t="n">
        <v>0</v>
      </c>
      <c r="L480" t="n">
        <v>0</v>
      </c>
      <c r="M480" t="n">
        <v>0</v>
      </c>
      <c r="N480" t="n">
        <v>0</v>
      </c>
      <c r="O480" t="n">
        <v>0</v>
      </c>
      <c r="P480" t="n">
        <v>0</v>
      </c>
      <c r="Q480" t="n">
        <v>0</v>
      </c>
      <c r="R480" s="2" t="inlineStr"/>
    </row>
    <row r="481" ht="15" customHeight="1">
      <c r="A481" t="inlineStr">
        <is>
          <t>A 34387-2023</t>
        </is>
      </c>
      <c r="B481" s="1" t="n">
        <v>45139.50744212963</v>
      </c>
      <c r="C481" s="1" t="n">
        <v>46011</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28710-2025</t>
        </is>
      </c>
      <c r="B482" s="1" t="n">
        <v>45820.32953703704</v>
      </c>
      <c r="C482" s="1" t="n">
        <v>46011</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46011</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29136-2025</t>
        </is>
      </c>
      <c r="B484" s="1" t="n">
        <v>45821</v>
      </c>
      <c r="C484" s="1" t="n">
        <v>46011</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29138-2025</t>
        </is>
      </c>
      <c r="B485" s="1" t="n">
        <v>45821</v>
      </c>
      <c r="C485" s="1" t="n">
        <v>46011</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29146-2025</t>
        </is>
      </c>
      <c r="B486" s="1" t="n">
        <v>45821</v>
      </c>
      <c r="C486" s="1" t="n">
        <v>46011</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29007-2025</t>
        </is>
      </c>
      <c r="B487" s="1" t="n">
        <v>45821</v>
      </c>
      <c r="C487" s="1" t="n">
        <v>46011</v>
      </c>
      <c r="D487" t="inlineStr">
        <is>
          <t>VÄRMLANDS LÄN</t>
        </is>
      </c>
      <c r="E487" t="inlineStr">
        <is>
          <t>ÅRJÄNG</t>
        </is>
      </c>
      <c r="F487" t="inlineStr">
        <is>
          <t>Bergvik skog väst AB</t>
        </is>
      </c>
      <c r="G487" t="n">
        <v>6.2</v>
      </c>
      <c r="H487" t="n">
        <v>0</v>
      </c>
      <c r="I487" t="n">
        <v>0</v>
      </c>
      <c r="J487" t="n">
        <v>0</v>
      </c>
      <c r="K487" t="n">
        <v>0</v>
      </c>
      <c r="L487" t="n">
        <v>0</v>
      </c>
      <c r="M487" t="n">
        <v>0</v>
      </c>
      <c r="N487" t="n">
        <v>0</v>
      </c>
      <c r="O487" t="n">
        <v>0</v>
      </c>
      <c r="P487" t="n">
        <v>0</v>
      </c>
      <c r="Q487" t="n">
        <v>0</v>
      </c>
      <c r="R487" s="2" t="inlineStr"/>
    </row>
    <row r="488" ht="15" customHeight="1">
      <c r="A488" t="inlineStr">
        <is>
          <t>A 29026-2025</t>
        </is>
      </c>
      <c r="B488" s="1" t="n">
        <v>45821</v>
      </c>
      <c r="C488" s="1" t="n">
        <v>46011</v>
      </c>
      <c r="D488" t="inlineStr">
        <is>
          <t>VÄRMLANDS LÄN</t>
        </is>
      </c>
      <c r="E488" t="inlineStr">
        <is>
          <t>ÅRJÄNG</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29082-2025</t>
        </is>
      </c>
      <c r="B489" s="1" t="n">
        <v>45821</v>
      </c>
      <c r="C489" s="1" t="n">
        <v>46011</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42333-2025</t>
        </is>
      </c>
      <c r="B490" s="1" t="n">
        <v>45904</v>
      </c>
      <c r="C490" s="1" t="n">
        <v>46011</v>
      </c>
      <c r="D490" t="inlineStr">
        <is>
          <t>VÄRMLANDS LÄN</t>
        </is>
      </c>
      <c r="E490" t="inlineStr">
        <is>
          <t>ÅRJÄNG</t>
        </is>
      </c>
      <c r="G490" t="n">
        <v>3.8</v>
      </c>
      <c r="H490" t="n">
        <v>0</v>
      </c>
      <c r="I490" t="n">
        <v>0</v>
      </c>
      <c r="J490" t="n">
        <v>0</v>
      </c>
      <c r="K490" t="n">
        <v>0</v>
      </c>
      <c r="L490" t="n">
        <v>0</v>
      </c>
      <c r="M490" t="n">
        <v>0</v>
      </c>
      <c r="N490" t="n">
        <v>0</v>
      </c>
      <c r="O490" t="n">
        <v>0</v>
      </c>
      <c r="P490" t="n">
        <v>0</v>
      </c>
      <c r="Q490" t="n">
        <v>0</v>
      </c>
      <c r="R490" s="2" t="inlineStr"/>
    </row>
    <row r="491" ht="15" customHeight="1">
      <c r="A491" t="inlineStr">
        <is>
          <t>A 29166-2025</t>
        </is>
      </c>
      <c r="B491" s="1" t="n">
        <v>45821.68682870371</v>
      </c>
      <c r="C491" s="1" t="n">
        <v>46011</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28992-2025</t>
        </is>
      </c>
      <c r="B492" s="1" t="n">
        <v>45821</v>
      </c>
      <c r="C492" s="1" t="n">
        <v>46011</v>
      </c>
      <c r="D492" t="inlineStr">
        <is>
          <t>VÄRMLANDS LÄN</t>
        </is>
      </c>
      <c r="E492" t="inlineStr">
        <is>
          <t>ÅRJÄNG</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29208-2025</t>
        </is>
      </c>
      <c r="B493" s="1" t="n">
        <v>45823.80380787037</v>
      </c>
      <c r="C493" s="1" t="n">
        <v>46011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29169-2025</t>
        </is>
      </c>
      <c r="B494" s="1" t="n">
        <v>45821.69650462963</v>
      </c>
      <c r="C494" s="1" t="n">
        <v>46011</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29100-2025</t>
        </is>
      </c>
      <c r="B495" s="1" t="n">
        <v>45821</v>
      </c>
      <c r="C495" s="1" t="n">
        <v>46011</v>
      </c>
      <c r="D495" t="inlineStr">
        <is>
          <t>VÄRMLANDS LÄN</t>
        </is>
      </c>
      <c r="E495" t="inlineStr">
        <is>
          <t>ÅRJÄNG</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29139-2025</t>
        </is>
      </c>
      <c r="B496" s="1" t="n">
        <v>45821</v>
      </c>
      <c r="C496" s="1" t="n">
        <v>46011</v>
      </c>
      <c r="D496" t="inlineStr">
        <is>
          <t>VÄRMLANDS LÄN</t>
        </is>
      </c>
      <c r="E496" t="inlineStr">
        <is>
          <t>ÅRJÄNG</t>
        </is>
      </c>
      <c r="G496" t="n">
        <v>0.5</v>
      </c>
      <c r="H496" t="n">
        <v>0</v>
      </c>
      <c r="I496" t="n">
        <v>0</v>
      </c>
      <c r="J496" t="n">
        <v>0</v>
      </c>
      <c r="K496" t="n">
        <v>0</v>
      </c>
      <c r="L496" t="n">
        <v>0</v>
      </c>
      <c r="M496" t="n">
        <v>0</v>
      </c>
      <c r="N496" t="n">
        <v>0</v>
      </c>
      <c r="O496" t="n">
        <v>0</v>
      </c>
      <c r="P496" t="n">
        <v>0</v>
      </c>
      <c r="Q496" t="n">
        <v>0</v>
      </c>
      <c r="R496" s="2" t="inlineStr"/>
    </row>
    <row r="497" ht="15" customHeight="1">
      <c r="A497" t="inlineStr">
        <is>
          <t>A 6577-2025</t>
        </is>
      </c>
      <c r="B497" s="1" t="n">
        <v>45699.87793981482</v>
      </c>
      <c r="C497" s="1" t="n">
        <v>46011</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30134-2025</t>
        </is>
      </c>
      <c r="B498" s="1" t="n">
        <v>45826</v>
      </c>
      <c r="C498" s="1" t="n">
        <v>46011</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29783-2025</t>
        </is>
      </c>
      <c r="B499" s="1" t="n">
        <v>45825</v>
      </c>
      <c r="C499" s="1" t="n">
        <v>46011</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59068-2024</t>
        </is>
      </c>
      <c r="B500" s="1" t="n">
        <v>45636.95376157408</v>
      </c>
      <c r="C500" s="1" t="n">
        <v>46011</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29624-2025</t>
        </is>
      </c>
      <c r="B501" s="1" t="n">
        <v>45825.44246527777</v>
      </c>
      <c r="C501" s="1" t="n">
        <v>46011</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46011</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61868-2024</t>
        </is>
      </c>
      <c r="B503" s="1" t="n">
        <v>45651.47393518518</v>
      </c>
      <c r="C503" s="1" t="n">
        <v>46011</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13029-2025</t>
        </is>
      </c>
      <c r="B504" s="1" t="n">
        <v>45734.5703125</v>
      </c>
      <c r="C504" s="1" t="n">
        <v>46011</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42562-2025</t>
        </is>
      </c>
      <c r="B505" s="1" t="n">
        <v>45905.59986111111</v>
      </c>
      <c r="C505" s="1" t="n">
        <v>46011</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332-2021</t>
        </is>
      </c>
      <c r="B506" s="1" t="n">
        <v>44201</v>
      </c>
      <c r="C506" s="1" t="n">
        <v>46011</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3492-2024</t>
        </is>
      </c>
      <c r="B507" s="1" t="n">
        <v>45317</v>
      </c>
      <c r="C507" s="1" t="n">
        <v>46011</v>
      </c>
      <c r="D507" t="inlineStr">
        <is>
          <t>VÄRMLANDS LÄN</t>
        </is>
      </c>
      <c r="E507" t="inlineStr">
        <is>
          <t>ÅRJÄNG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38057-2024</t>
        </is>
      </c>
      <c r="B508" s="1" t="n">
        <v>45544.73293981481</v>
      </c>
      <c r="C508" s="1" t="n">
        <v>46011</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43012-2025</t>
        </is>
      </c>
      <c r="B509" s="1" t="n">
        <v>45909.48989583334</v>
      </c>
      <c r="C509" s="1" t="n">
        <v>46011</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42971-2025</t>
        </is>
      </c>
      <c r="B510" s="1" t="n">
        <v>45909.41502314815</v>
      </c>
      <c r="C510" s="1" t="n">
        <v>46011</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43162-2025</t>
        </is>
      </c>
      <c r="B511" s="1" t="n">
        <v>45910</v>
      </c>
      <c r="C511" s="1" t="n">
        <v>46011</v>
      </c>
      <c r="D511" t="inlineStr">
        <is>
          <t>VÄRMLANDS LÄN</t>
        </is>
      </c>
      <c r="E511" t="inlineStr">
        <is>
          <t>ÅRJÄNG</t>
        </is>
      </c>
      <c r="F511" t="inlineStr">
        <is>
          <t>Bergvik skog väst AB</t>
        </is>
      </c>
      <c r="G511" t="n">
        <v>12.9</v>
      </c>
      <c r="H511" t="n">
        <v>0</v>
      </c>
      <c r="I511" t="n">
        <v>0</v>
      </c>
      <c r="J511" t="n">
        <v>0</v>
      </c>
      <c r="K511" t="n">
        <v>0</v>
      </c>
      <c r="L511" t="n">
        <v>0</v>
      </c>
      <c r="M511" t="n">
        <v>0</v>
      </c>
      <c r="N511" t="n">
        <v>0</v>
      </c>
      <c r="O511" t="n">
        <v>0</v>
      </c>
      <c r="P511" t="n">
        <v>0</v>
      </c>
      <c r="Q511" t="n">
        <v>0</v>
      </c>
      <c r="R511" s="2" t="inlineStr"/>
    </row>
    <row r="512" ht="15" customHeight="1">
      <c r="A512" t="inlineStr">
        <is>
          <t>A 46957-2024</t>
        </is>
      </c>
      <c r="B512" s="1" t="n">
        <v>45586</v>
      </c>
      <c r="C512" s="1" t="n">
        <v>46011</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40349-2024</t>
        </is>
      </c>
      <c r="B513" s="1" t="n">
        <v>45555.35849537037</v>
      </c>
      <c r="C513" s="1" t="n">
        <v>46011</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43025-2025</t>
        </is>
      </c>
      <c r="B514" s="1" t="n">
        <v>45909.53126157408</v>
      </c>
      <c r="C514" s="1" t="n">
        <v>46011</v>
      </c>
      <c r="D514" t="inlineStr">
        <is>
          <t>VÄRMLANDS LÄN</t>
        </is>
      </c>
      <c r="E514" t="inlineStr">
        <is>
          <t>ÅRJÄNG</t>
        </is>
      </c>
      <c r="G514" t="n">
        <v>3.8</v>
      </c>
      <c r="H514" t="n">
        <v>0</v>
      </c>
      <c r="I514" t="n">
        <v>0</v>
      </c>
      <c r="J514" t="n">
        <v>0</v>
      </c>
      <c r="K514" t="n">
        <v>0</v>
      </c>
      <c r="L514" t="n">
        <v>0</v>
      </c>
      <c r="M514" t="n">
        <v>0</v>
      </c>
      <c r="N514" t="n">
        <v>0</v>
      </c>
      <c r="O514" t="n">
        <v>0</v>
      </c>
      <c r="P514" t="n">
        <v>0</v>
      </c>
      <c r="Q514" t="n">
        <v>0</v>
      </c>
      <c r="R514" s="2" t="inlineStr"/>
    </row>
    <row r="515" ht="15" customHeight="1">
      <c r="A515" t="inlineStr">
        <is>
          <t>A 43047-2025</t>
        </is>
      </c>
      <c r="B515" s="1" t="n">
        <v>45909.56127314815</v>
      </c>
      <c r="C515" s="1" t="n">
        <v>46011</v>
      </c>
      <c r="D515" t="inlineStr">
        <is>
          <t>VÄRMLANDS LÄN</t>
        </is>
      </c>
      <c r="E515" t="inlineStr">
        <is>
          <t>ÅRJÄNG</t>
        </is>
      </c>
      <c r="G515" t="n">
        <v>6.3</v>
      </c>
      <c r="H515" t="n">
        <v>0</v>
      </c>
      <c r="I515" t="n">
        <v>0</v>
      </c>
      <c r="J515" t="n">
        <v>0</v>
      </c>
      <c r="K515" t="n">
        <v>0</v>
      </c>
      <c r="L515" t="n">
        <v>0</v>
      </c>
      <c r="M515" t="n">
        <v>0</v>
      </c>
      <c r="N515" t="n">
        <v>0</v>
      </c>
      <c r="O515" t="n">
        <v>0</v>
      </c>
      <c r="P515" t="n">
        <v>0</v>
      </c>
      <c r="Q515" t="n">
        <v>0</v>
      </c>
      <c r="R515" s="2" t="inlineStr"/>
    </row>
    <row r="516" ht="15" customHeight="1">
      <c r="A516" t="inlineStr">
        <is>
          <t>A 43050-2025</t>
        </is>
      </c>
      <c r="B516" s="1" t="n">
        <v>45909.56809027777</v>
      </c>
      <c r="C516" s="1" t="n">
        <v>46011</v>
      </c>
      <c r="D516" t="inlineStr">
        <is>
          <t>VÄRMLANDS LÄN</t>
        </is>
      </c>
      <c r="E516" t="inlineStr">
        <is>
          <t>ÅRJÄNG</t>
        </is>
      </c>
      <c r="G516" t="n">
        <v>4.8</v>
      </c>
      <c r="H516" t="n">
        <v>0</v>
      </c>
      <c r="I516" t="n">
        <v>0</v>
      </c>
      <c r="J516" t="n">
        <v>0</v>
      </c>
      <c r="K516" t="n">
        <v>0</v>
      </c>
      <c r="L516" t="n">
        <v>0</v>
      </c>
      <c r="M516" t="n">
        <v>0</v>
      </c>
      <c r="N516" t="n">
        <v>0</v>
      </c>
      <c r="O516" t="n">
        <v>0</v>
      </c>
      <c r="P516" t="n">
        <v>0</v>
      </c>
      <c r="Q516" t="n">
        <v>0</v>
      </c>
      <c r="R516" s="2" t="inlineStr"/>
    </row>
    <row r="517" ht="15" customHeight="1">
      <c r="A517" t="inlineStr">
        <is>
          <t>A 31111-2025</t>
        </is>
      </c>
      <c r="B517" s="1" t="n">
        <v>45831</v>
      </c>
      <c r="C517" s="1" t="n">
        <v>46011</v>
      </c>
      <c r="D517" t="inlineStr">
        <is>
          <t>VÄRMLANDS LÄN</t>
        </is>
      </c>
      <c r="E517" t="inlineStr">
        <is>
          <t>ÅRJÄNG</t>
        </is>
      </c>
      <c r="G517" t="n">
        <v>6</v>
      </c>
      <c r="H517" t="n">
        <v>0</v>
      </c>
      <c r="I517" t="n">
        <v>0</v>
      </c>
      <c r="J517" t="n">
        <v>0</v>
      </c>
      <c r="K517" t="n">
        <v>0</v>
      </c>
      <c r="L517" t="n">
        <v>0</v>
      </c>
      <c r="M517" t="n">
        <v>0</v>
      </c>
      <c r="N517" t="n">
        <v>0</v>
      </c>
      <c r="O517" t="n">
        <v>0</v>
      </c>
      <c r="P517" t="n">
        <v>0</v>
      </c>
      <c r="Q517" t="n">
        <v>0</v>
      </c>
      <c r="R517" s="2" t="inlineStr"/>
    </row>
    <row r="518" ht="15" customHeight="1">
      <c r="A518" t="inlineStr">
        <is>
          <t>A 37191-2023</t>
        </is>
      </c>
      <c r="B518" s="1" t="n">
        <v>45154</v>
      </c>
      <c r="C518" s="1" t="n">
        <v>46011</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30761-2025</t>
        </is>
      </c>
      <c r="B519" s="1" t="n">
        <v>45831</v>
      </c>
      <c r="C519" s="1" t="n">
        <v>46011</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30579-2025</t>
        </is>
      </c>
      <c r="B520" s="1" t="n">
        <v>45831.41965277777</v>
      </c>
      <c r="C520" s="1" t="n">
        <v>46011</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30611-2025</t>
        </is>
      </c>
      <c r="B521" s="1" t="n">
        <v>45831.46104166667</v>
      </c>
      <c r="C521" s="1" t="n">
        <v>46011</v>
      </c>
      <c r="D521" t="inlineStr">
        <is>
          <t>VÄRMLANDS LÄN</t>
        </is>
      </c>
      <c r="E521" t="inlineStr">
        <is>
          <t>ÅRJÄNG</t>
        </is>
      </c>
      <c r="G521" t="n">
        <v>5.5</v>
      </c>
      <c r="H521" t="n">
        <v>0</v>
      </c>
      <c r="I521" t="n">
        <v>0</v>
      </c>
      <c r="J521" t="n">
        <v>0</v>
      </c>
      <c r="K521" t="n">
        <v>0</v>
      </c>
      <c r="L521" t="n">
        <v>0</v>
      </c>
      <c r="M521" t="n">
        <v>0</v>
      </c>
      <c r="N521" t="n">
        <v>0</v>
      </c>
      <c r="O521" t="n">
        <v>0</v>
      </c>
      <c r="P521" t="n">
        <v>0</v>
      </c>
      <c r="Q521" t="n">
        <v>0</v>
      </c>
      <c r="R521" s="2" t="inlineStr"/>
    </row>
    <row r="522" ht="15" customHeight="1">
      <c r="A522" t="inlineStr">
        <is>
          <t>A 21365-2022</t>
        </is>
      </c>
      <c r="B522" s="1" t="n">
        <v>44705</v>
      </c>
      <c r="C522" s="1" t="n">
        <v>46011</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30658-2025</t>
        </is>
      </c>
      <c r="B523" s="1" t="n">
        <v>45831.5072337963</v>
      </c>
      <c r="C523" s="1" t="n">
        <v>46011</v>
      </c>
      <c r="D523" t="inlineStr">
        <is>
          <t>VÄRMLANDS LÄN</t>
        </is>
      </c>
      <c r="E523" t="inlineStr">
        <is>
          <t>ÅRJÄNG</t>
        </is>
      </c>
      <c r="G523" t="n">
        <v>11</v>
      </c>
      <c r="H523" t="n">
        <v>0</v>
      </c>
      <c r="I523" t="n">
        <v>0</v>
      </c>
      <c r="J523" t="n">
        <v>0</v>
      </c>
      <c r="K523" t="n">
        <v>0</v>
      </c>
      <c r="L523" t="n">
        <v>0</v>
      </c>
      <c r="M523" t="n">
        <v>0</v>
      </c>
      <c r="N523" t="n">
        <v>0</v>
      </c>
      <c r="O523" t="n">
        <v>0</v>
      </c>
      <c r="P523" t="n">
        <v>0</v>
      </c>
      <c r="Q523" t="n">
        <v>0</v>
      </c>
      <c r="R523" s="2" t="inlineStr"/>
    </row>
    <row r="524" ht="15" customHeight="1">
      <c r="A524" t="inlineStr">
        <is>
          <t>A 43426-2025</t>
        </is>
      </c>
      <c r="B524" s="1" t="n">
        <v>45911.41869212963</v>
      </c>
      <c r="C524" s="1" t="n">
        <v>46011</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43484-2025</t>
        </is>
      </c>
      <c r="B525" s="1" t="n">
        <v>45911.5033912037</v>
      </c>
      <c r="C525" s="1" t="n">
        <v>46011</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53468-2021</t>
        </is>
      </c>
      <c r="B526" s="1" t="n">
        <v>44468.74127314815</v>
      </c>
      <c r="C526" s="1" t="n">
        <v>46011</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31063-2025</t>
        </is>
      </c>
      <c r="B527" s="1" t="n">
        <v>45831</v>
      </c>
      <c r="C527" s="1" t="n">
        <v>46011</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31073-2025</t>
        </is>
      </c>
      <c r="B528" s="1" t="n">
        <v>45831</v>
      </c>
      <c r="C528" s="1" t="n">
        <v>46011</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46011</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43650-2024</t>
        </is>
      </c>
      <c r="B530" s="1" t="n">
        <v>45569.53091435185</v>
      </c>
      <c r="C530" s="1" t="n">
        <v>46011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43434-2025</t>
        </is>
      </c>
      <c r="B531" s="1" t="n">
        <v>45911.42743055556</v>
      </c>
      <c r="C531" s="1" t="n">
        <v>46011</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21513-2024</t>
        </is>
      </c>
      <c r="B532" s="1" t="n">
        <v>45441</v>
      </c>
      <c r="C532" s="1" t="n">
        <v>46011</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14509-2022</t>
        </is>
      </c>
      <c r="B533" s="1" t="n">
        <v>44655</v>
      </c>
      <c r="C533" s="1" t="n">
        <v>46011</v>
      </c>
      <c r="D533" t="inlineStr">
        <is>
          <t>VÄRMLANDS LÄN</t>
        </is>
      </c>
      <c r="E533" t="inlineStr">
        <is>
          <t>ÅRJÄNG</t>
        </is>
      </c>
      <c r="G533" t="n">
        <v>0.2</v>
      </c>
      <c r="H533" t="n">
        <v>0</v>
      </c>
      <c r="I533" t="n">
        <v>0</v>
      </c>
      <c r="J533" t="n">
        <v>0</v>
      </c>
      <c r="K533" t="n">
        <v>0</v>
      </c>
      <c r="L533" t="n">
        <v>0</v>
      </c>
      <c r="M533" t="n">
        <v>0</v>
      </c>
      <c r="N533" t="n">
        <v>0</v>
      </c>
      <c r="O533" t="n">
        <v>0</v>
      </c>
      <c r="P533" t="n">
        <v>0</v>
      </c>
      <c r="Q533" t="n">
        <v>0</v>
      </c>
      <c r="R533" s="2" t="inlineStr"/>
    </row>
    <row r="534" ht="15" customHeight="1">
      <c r="A534" t="inlineStr">
        <is>
          <t>A 31282-2025</t>
        </is>
      </c>
      <c r="B534" s="1" t="n">
        <v>45833</v>
      </c>
      <c r="C534" s="1" t="n">
        <v>46011</v>
      </c>
      <c r="D534" t="inlineStr">
        <is>
          <t>VÄRMLANDS LÄN</t>
        </is>
      </c>
      <c r="E534" t="inlineStr">
        <is>
          <t>ÅRJÄNG</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31710-2025</t>
        </is>
      </c>
      <c r="B535" s="1" t="n">
        <v>45834.4325462963</v>
      </c>
      <c r="C535" s="1" t="n">
        <v>46011</v>
      </c>
      <c r="D535" t="inlineStr">
        <is>
          <t>VÄRMLANDS LÄN</t>
        </is>
      </c>
      <c r="E535" t="inlineStr">
        <is>
          <t>ÅRJÄNG</t>
        </is>
      </c>
      <c r="G535" t="n">
        <v>1.6</v>
      </c>
      <c r="H535" t="n">
        <v>0</v>
      </c>
      <c r="I535" t="n">
        <v>0</v>
      </c>
      <c r="J535" t="n">
        <v>0</v>
      </c>
      <c r="K535" t="n">
        <v>0</v>
      </c>
      <c r="L535" t="n">
        <v>0</v>
      </c>
      <c r="M535" t="n">
        <v>0</v>
      </c>
      <c r="N535" t="n">
        <v>0</v>
      </c>
      <c r="O535" t="n">
        <v>0</v>
      </c>
      <c r="P535" t="n">
        <v>0</v>
      </c>
      <c r="Q535" t="n">
        <v>0</v>
      </c>
      <c r="R535" s="2" t="inlineStr"/>
    </row>
    <row r="536" ht="15" customHeight="1">
      <c r="A536" t="inlineStr">
        <is>
          <t>A 59384-2023</t>
        </is>
      </c>
      <c r="B536" s="1" t="n">
        <v>45253</v>
      </c>
      <c r="C536" s="1" t="n">
        <v>46011</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44300-2025</t>
        </is>
      </c>
      <c r="B537" s="1" t="n">
        <v>45916.3702662037</v>
      </c>
      <c r="C537" s="1" t="n">
        <v>46011</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44452-2025</t>
        </is>
      </c>
      <c r="B538" s="1" t="n">
        <v>45916</v>
      </c>
      <c r="C538" s="1" t="n">
        <v>46011</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31591-2025</t>
        </is>
      </c>
      <c r="B539" s="1" t="n">
        <v>45833</v>
      </c>
      <c r="C539" s="1" t="n">
        <v>46011</v>
      </c>
      <c r="D539" t="inlineStr">
        <is>
          <t>VÄRMLANDS LÄN</t>
        </is>
      </c>
      <c r="E539" t="inlineStr">
        <is>
          <t>ÅRJÄNG</t>
        </is>
      </c>
      <c r="G539" t="n">
        <v>1.2</v>
      </c>
      <c r="H539" t="n">
        <v>0</v>
      </c>
      <c r="I539" t="n">
        <v>0</v>
      </c>
      <c r="J539" t="n">
        <v>0</v>
      </c>
      <c r="K539" t="n">
        <v>0</v>
      </c>
      <c r="L539" t="n">
        <v>0</v>
      </c>
      <c r="M539" t="n">
        <v>0</v>
      </c>
      <c r="N539" t="n">
        <v>0</v>
      </c>
      <c r="O539" t="n">
        <v>0</v>
      </c>
      <c r="P539" t="n">
        <v>0</v>
      </c>
      <c r="Q539" t="n">
        <v>0</v>
      </c>
      <c r="R539" s="2" t="inlineStr"/>
    </row>
    <row r="540" ht="15" customHeight="1">
      <c r="A540" t="inlineStr">
        <is>
          <t>A 31433-2025</t>
        </is>
      </c>
      <c r="B540" s="1" t="n">
        <v>45833</v>
      </c>
      <c r="C540" s="1" t="n">
        <v>46011</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31393-2025</t>
        </is>
      </c>
      <c r="B541" s="1" t="n">
        <v>45833.46305555556</v>
      </c>
      <c r="C541" s="1" t="n">
        <v>46011</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15718-2023</t>
        </is>
      </c>
      <c r="B542" s="1" t="n">
        <v>45021.55432870371</v>
      </c>
      <c r="C542" s="1" t="n">
        <v>46011</v>
      </c>
      <c r="D542" t="inlineStr">
        <is>
          <t>VÄRMLANDS LÄN</t>
        </is>
      </c>
      <c r="E542" t="inlineStr">
        <is>
          <t>ÅRJÄNG</t>
        </is>
      </c>
      <c r="G542" t="n">
        <v>2.9</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46011</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48911-2024</t>
        </is>
      </c>
      <c r="B544" s="1" t="n">
        <v>45594.36512731481</v>
      </c>
      <c r="C544" s="1" t="n">
        <v>46011</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8215-2025</t>
        </is>
      </c>
      <c r="B545" s="1" t="n">
        <v>45708.44832175926</v>
      </c>
      <c r="C545" s="1" t="n">
        <v>46011</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8230-2025</t>
        </is>
      </c>
      <c r="B546" s="1" t="n">
        <v>45708.47010416666</v>
      </c>
      <c r="C546" s="1" t="n">
        <v>46011</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46011</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40346-2024</t>
        </is>
      </c>
      <c r="B548" s="1" t="n">
        <v>45555.34840277778</v>
      </c>
      <c r="C548" s="1" t="n">
        <v>46011</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44924-2025</t>
        </is>
      </c>
      <c r="B549" s="1" t="n">
        <v>45918</v>
      </c>
      <c r="C549" s="1" t="n">
        <v>46011</v>
      </c>
      <c r="D549" t="inlineStr">
        <is>
          <t>VÄRMLANDS LÄN</t>
        </is>
      </c>
      <c r="E549" t="inlineStr">
        <is>
          <t>ÅRJÄNG</t>
        </is>
      </c>
      <c r="G549" t="n">
        <v>0.8</v>
      </c>
      <c r="H549" t="n">
        <v>0</v>
      </c>
      <c r="I549" t="n">
        <v>0</v>
      </c>
      <c r="J549" t="n">
        <v>0</v>
      </c>
      <c r="K549" t="n">
        <v>0</v>
      </c>
      <c r="L549" t="n">
        <v>0</v>
      </c>
      <c r="M549" t="n">
        <v>0</v>
      </c>
      <c r="N549" t="n">
        <v>0</v>
      </c>
      <c r="O549" t="n">
        <v>0</v>
      </c>
      <c r="P549" t="n">
        <v>0</v>
      </c>
      <c r="Q549" t="n">
        <v>0</v>
      </c>
      <c r="R549" s="2" t="inlineStr"/>
    </row>
    <row r="550" ht="15" customHeight="1">
      <c r="A550" t="inlineStr">
        <is>
          <t>A 49785-2024</t>
        </is>
      </c>
      <c r="B550" s="1" t="n">
        <v>45597.35758101852</v>
      </c>
      <c r="C550" s="1" t="n">
        <v>46011</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44768-2025</t>
        </is>
      </c>
      <c r="B551" s="1" t="n">
        <v>45917.74274305555</v>
      </c>
      <c r="C551" s="1" t="n">
        <v>46011</v>
      </c>
      <c r="D551" t="inlineStr">
        <is>
          <t>VÄRMLANDS LÄN</t>
        </is>
      </c>
      <c r="E551" t="inlineStr">
        <is>
          <t>ÅRJÄNG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32321-2025</t>
        </is>
      </c>
      <c r="B552" s="1" t="n">
        <v>45836</v>
      </c>
      <c r="C552" s="1" t="n">
        <v>46011</v>
      </c>
      <c r="D552" t="inlineStr">
        <is>
          <t>VÄRMLANDS LÄN</t>
        </is>
      </c>
      <c r="E552" t="inlineStr">
        <is>
          <t>ÅRJÄNG</t>
        </is>
      </c>
      <c r="G552" t="n">
        <v>2.4</v>
      </c>
      <c r="H552" t="n">
        <v>0</v>
      </c>
      <c r="I552" t="n">
        <v>0</v>
      </c>
      <c r="J552" t="n">
        <v>0</v>
      </c>
      <c r="K552" t="n">
        <v>0</v>
      </c>
      <c r="L552" t="n">
        <v>0</v>
      </c>
      <c r="M552" t="n">
        <v>0</v>
      </c>
      <c r="N552" t="n">
        <v>0</v>
      </c>
      <c r="O552" t="n">
        <v>0</v>
      </c>
      <c r="P552" t="n">
        <v>0</v>
      </c>
      <c r="Q552" t="n">
        <v>0</v>
      </c>
      <c r="R552" s="2" t="inlineStr"/>
    </row>
    <row r="553" ht="15" customHeight="1">
      <c r="A553" t="inlineStr">
        <is>
          <t>A 32330-2025</t>
        </is>
      </c>
      <c r="B553" s="1" t="n">
        <v>45836.50547453704</v>
      </c>
      <c r="C553" s="1" t="n">
        <v>46011</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32324-2025</t>
        </is>
      </c>
      <c r="B554" s="1" t="n">
        <v>45836.43634259259</v>
      </c>
      <c r="C554" s="1" t="n">
        <v>46011</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10239-2023</t>
        </is>
      </c>
      <c r="B555" s="1" t="n">
        <v>44986</v>
      </c>
      <c r="C555" s="1" t="n">
        <v>46011</v>
      </c>
      <c r="D555" t="inlineStr">
        <is>
          <t>VÄRMLANDS LÄN</t>
        </is>
      </c>
      <c r="E555" t="inlineStr">
        <is>
          <t>ÅRJÄNG</t>
        </is>
      </c>
      <c r="G555" t="n">
        <v>5.4</v>
      </c>
      <c r="H555" t="n">
        <v>0</v>
      </c>
      <c r="I555" t="n">
        <v>0</v>
      </c>
      <c r="J555" t="n">
        <v>0</v>
      </c>
      <c r="K555" t="n">
        <v>0</v>
      </c>
      <c r="L555" t="n">
        <v>0</v>
      </c>
      <c r="M555" t="n">
        <v>0</v>
      </c>
      <c r="N555" t="n">
        <v>0</v>
      </c>
      <c r="O555" t="n">
        <v>0</v>
      </c>
      <c r="P555" t="n">
        <v>0</v>
      </c>
      <c r="Q555" t="n">
        <v>0</v>
      </c>
      <c r="R555" s="2" t="inlineStr"/>
    </row>
    <row r="556" ht="15" customHeight="1">
      <c r="A556" t="inlineStr">
        <is>
          <t>A 45037-2025</t>
        </is>
      </c>
      <c r="B556" s="1" t="n">
        <v>45918</v>
      </c>
      <c r="C556" s="1" t="n">
        <v>46011</v>
      </c>
      <c r="D556" t="inlineStr">
        <is>
          <t>VÄRMLANDS LÄN</t>
        </is>
      </c>
      <c r="E556" t="inlineStr">
        <is>
          <t>ÅRJÄNG</t>
        </is>
      </c>
      <c r="G556" t="n">
        <v>8.5</v>
      </c>
      <c r="H556" t="n">
        <v>0</v>
      </c>
      <c r="I556" t="n">
        <v>0</v>
      </c>
      <c r="J556" t="n">
        <v>0</v>
      </c>
      <c r="K556" t="n">
        <v>0</v>
      </c>
      <c r="L556" t="n">
        <v>0</v>
      </c>
      <c r="M556" t="n">
        <v>0</v>
      </c>
      <c r="N556" t="n">
        <v>0</v>
      </c>
      <c r="O556" t="n">
        <v>0</v>
      </c>
      <c r="P556" t="n">
        <v>0</v>
      </c>
      <c r="Q556" t="n">
        <v>0</v>
      </c>
      <c r="R556" s="2" t="inlineStr"/>
    </row>
    <row r="557" ht="15" customHeight="1">
      <c r="A557" t="inlineStr">
        <is>
          <t>A 32326-2025</t>
        </is>
      </c>
      <c r="B557" s="1" t="n">
        <v>45836.44392361111</v>
      </c>
      <c r="C557" s="1" t="n">
        <v>46011</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29792-2022</t>
        </is>
      </c>
      <c r="B558" s="1" t="n">
        <v>44755.67122685185</v>
      </c>
      <c r="C558" s="1" t="n">
        <v>46011</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44956-2025</t>
        </is>
      </c>
      <c r="B559" s="1" t="n">
        <v>45918.61452546297</v>
      </c>
      <c r="C559" s="1" t="n">
        <v>46011</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45099-2025</t>
        </is>
      </c>
      <c r="B560" s="1" t="n">
        <v>45919</v>
      </c>
      <c r="C560" s="1" t="n">
        <v>46011</v>
      </c>
      <c r="D560" t="inlineStr">
        <is>
          <t>VÄRMLANDS LÄN</t>
        </is>
      </c>
      <c r="E560" t="inlineStr">
        <is>
          <t>ÅRJÄNG</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30346-2022</t>
        </is>
      </c>
      <c r="B561" s="1" t="n">
        <v>44760.55734953703</v>
      </c>
      <c r="C561" s="1" t="n">
        <v>46011</v>
      </c>
      <c r="D561" t="inlineStr">
        <is>
          <t>VÄRMLANDS LÄN</t>
        </is>
      </c>
      <c r="E561" t="inlineStr">
        <is>
          <t>ÅRJÄNG</t>
        </is>
      </c>
      <c r="G561" t="n">
        <v>6</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46011</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32920-2025</t>
        </is>
      </c>
      <c r="B563" s="1" t="n">
        <v>45839</v>
      </c>
      <c r="C563" s="1" t="n">
        <v>46011</v>
      </c>
      <c r="D563" t="inlineStr">
        <is>
          <t>VÄRMLANDS LÄN</t>
        </is>
      </c>
      <c r="E563" t="inlineStr">
        <is>
          <t>ÅRJÄNG</t>
        </is>
      </c>
      <c r="G563" t="n">
        <v>4.8</v>
      </c>
      <c r="H563" t="n">
        <v>0</v>
      </c>
      <c r="I563" t="n">
        <v>0</v>
      </c>
      <c r="J563" t="n">
        <v>0</v>
      </c>
      <c r="K563" t="n">
        <v>0</v>
      </c>
      <c r="L563" t="n">
        <v>0</v>
      </c>
      <c r="M563" t="n">
        <v>0</v>
      </c>
      <c r="N563" t="n">
        <v>0</v>
      </c>
      <c r="O563" t="n">
        <v>0</v>
      </c>
      <c r="P563" t="n">
        <v>0</v>
      </c>
      <c r="Q563" t="n">
        <v>0</v>
      </c>
      <c r="R563" s="2" t="inlineStr"/>
    </row>
    <row r="564" ht="15" customHeight="1">
      <c r="A564" t="inlineStr">
        <is>
          <t>A 45161-2025</t>
        </is>
      </c>
      <c r="B564" s="1" t="n">
        <v>45919</v>
      </c>
      <c r="C564" s="1" t="n">
        <v>46011</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10126-2023</t>
        </is>
      </c>
      <c r="B565" s="1" t="n">
        <v>44980</v>
      </c>
      <c r="C565" s="1" t="n">
        <v>46011</v>
      </c>
      <c r="D565" t="inlineStr">
        <is>
          <t>VÄRMLANDS LÄN</t>
        </is>
      </c>
      <c r="E565" t="inlineStr">
        <is>
          <t>ÅRJÄNG</t>
        </is>
      </c>
      <c r="G565" t="n">
        <v>2</v>
      </c>
      <c r="H565" t="n">
        <v>0</v>
      </c>
      <c r="I565" t="n">
        <v>0</v>
      </c>
      <c r="J565" t="n">
        <v>0</v>
      </c>
      <c r="K565" t="n">
        <v>0</v>
      </c>
      <c r="L565" t="n">
        <v>0</v>
      </c>
      <c r="M565" t="n">
        <v>0</v>
      </c>
      <c r="N565" t="n">
        <v>0</v>
      </c>
      <c r="O565" t="n">
        <v>0</v>
      </c>
      <c r="P565" t="n">
        <v>0</v>
      </c>
      <c r="Q565" t="n">
        <v>0</v>
      </c>
      <c r="R565" s="2" t="inlineStr"/>
    </row>
    <row r="566" ht="15" customHeight="1">
      <c r="A566" t="inlineStr">
        <is>
          <t>A 45137-2025</t>
        </is>
      </c>
      <c r="B566" s="1" t="n">
        <v>45919</v>
      </c>
      <c r="C566" s="1" t="n">
        <v>46011</v>
      </c>
      <c r="D566" t="inlineStr">
        <is>
          <t>VÄRMLANDS LÄN</t>
        </is>
      </c>
      <c r="E566" t="inlineStr">
        <is>
          <t>ÅRJÄNG</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45332-2025</t>
        </is>
      </c>
      <c r="B567" s="1" t="n">
        <v>45922</v>
      </c>
      <c r="C567" s="1" t="n">
        <v>46011</v>
      </c>
      <c r="D567" t="inlineStr">
        <is>
          <t>VÄRMLANDS LÄN</t>
        </is>
      </c>
      <c r="E567" t="inlineStr">
        <is>
          <t>ÅRJÄNG</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45329-2025</t>
        </is>
      </c>
      <c r="B568" s="1" t="n">
        <v>45922</v>
      </c>
      <c r="C568" s="1" t="n">
        <v>46011</v>
      </c>
      <c r="D568" t="inlineStr">
        <is>
          <t>VÄRMLANDS LÄN</t>
        </is>
      </c>
      <c r="E568" t="inlineStr">
        <is>
          <t>ÅRJÄNG</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32730-2025</t>
        </is>
      </c>
      <c r="B569" s="1" t="n">
        <v>45839.40315972222</v>
      </c>
      <c r="C569" s="1" t="n">
        <v>46011</v>
      </c>
      <c r="D569" t="inlineStr">
        <is>
          <t>VÄRMLANDS LÄN</t>
        </is>
      </c>
      <c r="E569" t="inlineStr">
        <is>
          <t>ÅRJÄNG</t>
        </is>
      </c>
      <c r="F569" t="inlineStr">
        <is>
          <t>Kyrkan</t>
        </is>
      </c>
      <c r="G569" t="n">
        <v>5.9</v>
      </c>
      <c r="H569" t="n">
        <v>0</v>
      </c>
      <c r="I569" t="n">
        <v>0</v>
      </c>
      <c r="J569" t="n">
        <v>0</v>
      </c>
      <c r="K569" t="n">
        <v>0</v>
      </c>
      <c r="L569" t="n">
        <v>0</v>
      </c>
      <c r="M569" t="n">
        <v>0</v>
      </c>
      <c r="N569" t="n">
        <v>0</v>
      </c>
      <c r="O569" t="n">
        <v>0</v>
      </c>
      <c r="P569" t="n">
        <v>0</v>
      </c>
      <c r="Q569" t="n">
        <v>0</v>
      </c>
      <c r="R569" s="2" t="inlineStr"/>
    </row>
    <row r="570" ht="15" customHeight="1">
      <c r="A570" t="inlineStr">
        <is>
          <t>A 34889-2022</t>
        </is>
      </c>
      <c r="B570" s="1" t="n">
        <v>44796</v>
      </c>
      <c r="C570" s="1" t="n">
        <v>46011</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45524-2025</t>
        </is>
      </c>
      <c r="B571" s="1" t="n">
        <v>45922</v>
      </c>
      <c r="C571" s="1" t="n">
        <v>46011</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14310-2022</t>
        </is>
      </c>
      <c r="B572" s="1" t="n">
        <v>44652</v>
      </c>
      <c r="C572" s="1" t="n">
        <v>46011</v>
      </c>
      <c r="D572" t="inlineStr">
        <is>
          <t>VÄRMLANDS LÄN</t>
        </is>
      </c>
      <c r="E572" t="inlineStr">
        <is>
          <t>ÅRJÄNG</t>
        </is>
      </c>
      <c r="G572" t="n">
        <v>2.5</v>
      </c>
      <c r="H572" t="n">
        <v>0</v>
      </c>
      <c r="I572" t="n">
        <v>0</v>
      </c>
      <c r="J572" t="n">
        <v>0</v>
      </c>
      <c r="K572" t="n">
        <v>0</v>
      </c>
      <c r="L572" t="n">
        <v>0</v>
      </c>
      <c r="M572" t="n">
        <v>0</v>
      </c>
      <c r="N572" t="n">
        <v>0</v>
      </c>
      <c r="O572" t="n">
        <v>0</v>
      </c>
      <c r="P572" t="n">
        <v>0</v>
      </c>
      <c r="Q572" t="n">
        <v>0</v>
      </c>
      <c r="R572" s="2" t="inlineStr"/>
    </row>
    <row r="573" ht="15" customHeight="1">
      <c r="A573" t="inlineStr">
        <is>
          <t>A 45192-2025</t>
        </is>
      </c>
      <c r="B573" s="1" t="n">
        <v>45919</v>
      </c>
      <c r="C573" s="1" t="n">
        <v>46011</v>
      </c>
      <c r="D573" t="inlineStr">
        <is>
          <t>VÄRMLANDS LÄN</t>
        </is>
      </c>
      <c r="E573" t="inlineStr">
        <is>
          <t>ÅRJÄNG</t>
        </is>
      </c>
      <c r="F573" t="inlineStr">
        <is>
          <t>Bergvik skog väst AB</t>
        </is>
      </c>
      <c r="G573" t="n">
        <v>3.8</v>
      </c>
      <c r="H573" t="n">
        <v>0</v>
      </c>
      <c r="I573" t="n">
        <v>0</v>
      </c>
      <c r="J573" t="n">
        <v>0</v>
      </c>
      <c r="K573" t="n">
        <v>0</v>
      </c>
      <c r="L573" t="n">
        <v>0</v>
      </c>
      <c r="M573" t="n">
        <v>0</v>
      </c>
      <c r="N573" t="n">
        <v>0</v>
      </c>
      <c r="O573" t="n">
        <v>0</v>
      </c>
      <c r="P573" t="n">
        <v>0</v>
      </c>
      <c r="Q573" t="n">
        <v>0</v>
      </c>
      <c r="R573" s="2" t="inlineStr"/>
    </row>
    <row r="574" ht="15" customHeight="1">
      <c r="A574" t="inlineStr">
        <is>
          <t>A 57142-2024</t>
        </is>
      </c>
      <c r="B574" s="1" t="n">
        <v>45628</v>
      </c>
      <c r="C574" s="1" t="n">
        <v>46011</v>
      </c>
      <c r="D574" t="inlineStr">
        <is>
          <t>VÄRMLANDS LÄN</t>
        </is>
      </c>
      <c r="E574" t="inlineStr">
        <is>
          <t>ÅRJÄNG</t>
        </is>
      </c>
      <c r="G574" t="n">
        <v>5.4</v>
      </c>
      <c r="H574" t="n">
        <v>0</v>
      </c>
      <c r="I574" t="n">
        <v>0</v>
      </c>
      <c r="J574" t="n">
        <v>0</v>
      </c>
      <c r="K574" t="n">
        <v>0</v>
      </c>
      <c r="L574" t="n">
        <v>0</v>
      </c>
      <c r="M574" t="n">
        <v>0</v>
      </c>
      <c r="N574" t="n">
        <v>0</v>
      </c>
      <c r="O574" t="n">
        <v>0</v>
      </c>
      <c r="P574" t="n">
        <v>0</v>
      </c>
      <c r="Q574" t="n">
        <v>0</v>
      </c>
      <c r="R574" s="2" t="inlineStr"/>
    </row>
    <row r="575" ht="15" customHeight="1">
      <c r="A575" t="inlineStr">
        <is>
          <t>A 45515-2025</t>
        </is>
      </c>
      <c r="B575" s="1" t="n">
        <v>45922</v>
      </c>
      <c r="C575" s="1" t="n">
        <v>46011</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45590-2025</t>
        </is>
      </c>
      <c r="B576" s="1" t="n">
        <v>45922</v>
      </c>
      <c r="C576" s="1" t="n">
        <v>46011</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45599-2025</t>
        </is>
      </c>
      <c r="B577" s="1" t="n">
        <v>45922</v>
      </c>
      <c r="C577" s="1" t="n">
        <v>46011</v>
      </c>
      <c r="D577" t="inlineStr">
        <is>
          <t>VÄRMLANDS LÄN</t>
        </is>
      </c>
      <c r="E577" t="inlineStr">
        <is>
          <t>ÅRJÄNG</t>
        </is>
      </c>
      <c r="G577" t="n">
        <v>6.7</v>
      </c>
      <c r="H577" t="n">
        <v>0</v>
      </c>
      <c r="I577" t="n">
        <v>0</v>
      </c>
      <c r="J577" t="n">
        <v>0</v>
      </c>
      <c r="K577" t="n">
        <v>0</v>
      </c>
      <c r="L577" t="n">
        <v>0</v>
      </c>
      <c r="M577" t="n">
        <v>0</v>
      </c>
      <c r="N577" t="n">
        <v>0</v>
      </c>
      <c r="O577" t="n">
        <v>0</v>
      </c>
      <c r="P577" t="n">
        <v>0</v>
      </c>
      <c r="Q577" t="n">
        <v>0</v>
      </c>
      <c r="R577" s="2" t="inlineStr"/>
    </row>
    <row r="578" ht="15" customHeight="1">
      <c r="A578" t="inlineStr">
        <is>
          <t>A 45203-2025</t>
        </is>
      </c>
      <c r="B578" s="1" t="n">
        <v>45919</v>
      </c>
      <c r="C578" s="1" t="n">
        <v>46011</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45159-2025</t>
        </is>
      </c>
      <c r="B579" s="1" t="n">
        <v>45919</v>
      </c>
      <c r="C579" s="1" t="n">
        <v>46011</v>
      </c>
      <c r="D579" t="inlineStr">
        <is>
          <t>VÄRMLANDS LÄN</t>
        </is>
      </c>
      <c r="E579" t="inlineStr">
        <is>
          <t>ÅRJÄNG</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45162-2025</t>
        </is>
      </c>
      <c r="B580" s="1" t="n">
        <v>45919</v>
      </c>
      <c r="C580" s="1" t="n">
        <v>46011</v>
      </c>
      <c r="D580" t="inlineStr">
        <is>
          <t>VÄRMLANDS LÄN</t>
        </is>
      </c>
      <c r="E580" t="inlineStr">
        <is>
          <t>ÅRJÄNG</t>
        </is>
      </c>
      <c r="G580" t="n">
        <v>3.3</v>
      </c>
      <c r="H580" t="n">
        <v>0</v>
      </c>
      <c r="I580" t="n">
        <v>0</v>
      </c>
      <c r="J580" t="n">
        <v>0</v>
      </c>
      <c r="K580" t="n">
        <v>0</v>
      </c>
      <c r="L580" t="n">
        <v>0</v>
      </c>
      <c r="M580" t="n">
        <v>0</v>
      </c>
      <c r="N580" t="n">
        <v>0</v>
      </c>
      <c r="O580" t="n">
        <v>0</v>
      </c>
      <c r="P580" t="n">
        <v>0</v>
      </c>
      <c r="Q580" t="n">
        <v>0</v>
      </c>
      <c r="R580" s="2" t="inlineStr"/>
    </row>
    <row r="581" ht="15" customHeight="1">
      <c r="A581" t="inlineStr">
        <is>
          <t>A 33237-2025</t>
        </is>
      </c>
      <c r="B581" s="1" t="n">
        <v>45840</v>
      </c>
      <c r="C581" s="1" t="n">
        <v>46011</v>
      </c>
      <c r="D581" t="inlineStr">
        <is>
          <t>VÄRMLANDS LÄN</t>
        </is>
      </c>
      <c r="E581" t="inlineStr">
        <is>
          <t>ÅRJÄNG</t>
        </is>
      </c>
      <c r="G581" t="n">
        <v>5.2</v>
      </c>
      <c r="H581" t="n">
        <v>0</v>
      </c>
      <c r="I581" t="n">
        <v>0</v>
      </c>
      <c r="J581" t="n">
        <v>0</v>
      </c>
      <c r="K581" t="n">
        <v>0</v>
      </c>
      <c r="L581" t="n">
        <v>0</v>
      </c>
      <c r="M581" t="n">
        <v>0</v>
      </c>
      <c r="N581" t="n">
        <v>0</v>
      </c>
      <c r="O581" t="n">
        <v>0</v>
      </c>
      <c r="P581" t="n">
        <v>0</v>
      </c>
      <c r="Q581" t="n">
        <v>0</v>
      </c>
      <c r="R581" s="2" t="inlineStr"/>
    </row>
    <row r="582" ht="15" customHeight="1">
      <c r="A582" t="inlineStr">
        <is>
          <t>A 45581-2025</t>
        </is>
      </c>
      <c r="B582" s="1" t="n">
        <v>45922</v>
      </c>
      <c r="C582" s="1" t="n">
        <v>46011</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45411-2025</t>
        </is>
      </c>
      <c r="B583" s="1" t="n">
        <v>45922</v>
      </c>
      <c r="C583" s="1" t="n">
        <v>46011</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14917-2024</t>
        </is>
      </c>
      <c r="B584" s="1" t="n">
        <v>45398</v>
      </c>
      <c r="C584" s="1" t="n">
        <v>46011</v>
      </c>
      <c r="D584" t="inlineStr">
        <is>
          <t>VÄRMLANDS LÄN</t>
        </is>
      </c>
      <c r="E584" t="inlineStr">
        <is>
          <t>ÅRJÄNG</t>
        </is>
      </c>
      <c r="G584" t="n">
        <v>19.9</v>
      </c>
      <c r="H584" t="n">
        <v>0</v>
      </c>
      <c r="I584" t="n">
        <v>0</v>
      </c>
      <c r="J584" t="n">
        <v>0</v>
      </c>
      <c r="K584" t="n">
        <v>0</v>
      </c>
      <c r="L584" t="n">
        <v>0</v>
      </c>
      <c r="M584" t="n">
        <v>0</v>
      </c>
      <c r="N584" t="n">
        <v>0</v>
      </c>
      <c r="O584" t="n">
        <v>0</v>
      </c>
      <c r="P584" t="n">
        <v>0</v>
      </c>
      <c r="Q584" t="n">
        <v>0</v>
      </c>
      <c r="R584" s="2" t="inlineStr"/>
    </row>
    <row r="585" ht="15" customHeight="1">
      <c r="A585" t="inlineStr">
        <is>
          <t>A 32924-2025</t>
        </is>
      </c>
      <c r="B585" s="1" t="n">
        <v>45839.65589120371</v>
      </c>
      <c r="C585" s="1" t="n">
        <v>46011</v>
      </c>
      <c r="D585" t="inlineStr">
        <is>
          <t>VÄRMLANDS LÄN</t>
        </is>
      </c>
      <c r="E585" t="inlineStr">
        <is>
          <t>ÅRJÄNG</t>
        </is>
      </c>
      <c r="G585" t="n">
        <v>4.5</v>
      </c>
      <c r="H585" t="n">
        <v>0</v>
      </c>
      <c r="I585" t="n">
        <v>0</v>
      </c>
      <c r="J585" t="n">
        <v>0</v>
      </c>
      <c r="K585" t="n">
        <v>0</v>
      </c>
      <c r="L585" t="n">
        <v>0</v>
      </c>
      <c r="M585" t="n">
        <v>0</v>
      </c>
      <c r="N585" t="n">
        <v>0</v>
      </c>
      <c r="O585" t="n">
        <v>0</v>
      </c>
      <c r="P585" t="n">
        <v>0</v>
      </c>
      <c r="Q585" t="n">
        <v>0</v>
      </c>
      <c r="R585" s="2" t="inlineStr"/>
    </row>
    <row r="586" ht="15" customHeight="1">
      <c r="A586" t="inlineStr">
        <is>
          <t>A 45166-2025</t>
        </is>
      </c>
      <c r="B586" s="1" t="n">
        <v>45919</v>
      </c>
      <c r="C586" s="1" t="n">
        <v>46011</v>
      </c>
      <c r="D586" t="inlineStr">
        <is>
          <t>VÄRMLANDS LÄN</t>
        </is>
      </c>
      <c r="E586" t="inlineStr">
        <is>
          <t>ÅRJÄNG</t>
        </is>
      </c>
      <c r="G586" t="n">
        <v>1</v>
      </c>
      <c r="H586" t="n">
        <v>0</v>
      </c>
      <c r="I586" t="n">
        <v>0</v>
      </c>
      <c r="J586" t="n">
        <v>0</v>
      </c>
      <c r="K586" t="n">
        <v>0</v>
      </c>
      <c r="L586" t="n">
        <v>0</v>
      </c>
      <c r="M586" t="n">
        <v>0</v>
      </c>
      <c r="N586" t="n">
        <v>0</v>
      </c>
      <c r="O586" t="n">
        <v>0</v>
      </c>
      <c r="P586" t="n">
        <v>0</v>
      </c>
      <c r="Q586" t="n">
        <v>0</v>
      </c>
      <c r="R586" s="2" t="inlineStr"/>
    </row>
    <row r="587" ht="15" customHeight="1">
      <c r="A587" t="inlineStr">
        <is>
          <t>A 53793-2024</t>
        </is>
      </c>
      <c r="B587" s="1" t="n">
        <v>45615</v>
      </c>
      <c r="C587" s="1" t="n">
        <v>46011</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44257-2025</t>
        </is>
      </c>
      <c r="B588" s="1" t="n">
        <v>45915</v>
      </c>
      <c r="C588" s="1" t="n">
        <v>46011</v>
      </c>
      <c r="D588" t="inlineStr">
        <is>
          <t>VÄRMLANDS LÄN</t>
        </is>
      </c>
      <c r="E588" t="inlineStr">
        <is>
          <t>ÅRJÄNG</t>
        </is>
      </c>
      <c r="G588" t="n">
        <v>3.6</v>
      </c>
      <c r="H588" t="n">
        <v>0</v>
      </c>
      <c r="I588" t="n">
        <v>0</v>
      </c>
      <c r="J588" t="n">
        <v>0</v>
      </c>
      <c r="K588" t="n">
        <v>0</v>
      </c>
      <c r="L588" t="n">
        <v>0</v>
      </c>
      <c r="M588" t="n">
        <v>0</v>
      </c>
      <c r="N588" t="n">
        <v>0</v>
      </c>
      <c r="O588" t="n">
        <v>0</v>
      </c>
      <c r="P588" t="n">
        <v>0</v>
      </c>
      <c r="Q588" t="n">
        <v>0</v>
      </c>
      <c r="R588" s="2" t="inlineStr"/>
    </row>
    <row r="589" ht="15" customHeight="1">
      <c r="A589" t="inlineStr">
        <is>
          <t>A 15537-2024</t>
        </is>
      </c>
      <c r="B589" s="1" t="n">
        <v>45401</v>
      </c>
      <c r="C589" s="1" t="n">
        <v>46011</v>
      </c>
      <c r="D589" t="inlineStr">
        <is>
          <t>VÄRMLANDS LÄN</t>
        </is>
      </c>
      <c r="E589" t="inlineStr">
        <is>
          <t>ÅRJÄNG</t>
        </is>
      </c>
      <c r="G589" t="n">
        <v>2</v>
      </c>
      <c r="H589" t="n">
        <v>0</v>
      </c>
      <c r="I589" t="n">
        <v>0</v>
      </c>
      <c r="J589" t="n">
        <v>0</v>
      </c>
      <c r="K589" t="n">
        <v>0</v>
      </c>
      <c r="L589" t="n">
        <v>0</v>
      </c>
      <c r="M589" t="n">
        <v>0</v>
      </c>
      <c r="N589" t="n">
        <v>0</v>
      </c>
      <c r="O589" t="n">
        <v>0</v>
      </c>
      <c r="P589" t="n">
        <v>0</v>
      </c>
      <c r="Q589" t="n">
        <v>0</v>
      </c>
      <c r="R589" s="2" t="inlineStr"/>
    </row>
    <row r="590" ht="15" customHeight="1">
      <c r="A590" t="inlineStr">
        <is>
          <t>A 60975-2022</t>
        </is>
      </c>
      <c r="B590" s="1" t="n">
        <v>44914</v>
      </c>
      <c r="C590" s="1" t="n">
        <v>46011</v>
      </c>
      <c r="D590" t="inlineStr">
        <is>
          <t>VÄRMLANDS LÄN</t>
        </is>
      </c>
      <c r="E590" t="inlineStr">
        <is>
          <t>ÅRJÄNG</t>
        </is>
      </c>
      <c r="G590" t="n">
        <v>1.3</v>
      </c>
      <c r="H590" t="n">
        <v>0</v>
      </c>
      <c r="I590" t="n">
        <v>0</v>
      </c>
      <c r="J590" t="n">
        <v>0</v>
      </c>
      <c r="K590" t="n">
        <v>0</v>
      </c>
      <c r="L590" t="n">
        <v>0</v>
      </c>
      <c r="M590" t="n">
        <v>0</v>
      </c>
      <c r="N590" t="n">
        <v>0</v>
      </c>
      <c r="O590" t="n">
        <v>0</v>
      </c>
      <c r="P590" t="n">
        <v>0</v>
      </c>
      <c r="Q590" t="n">
        <v>0</v>
      </c>
      <c r="R590" s="2" t="inlineStr"/>
    </row>
    <row r="591" ht="15" customHeight="1">
      <c r="A591" t="inlineStr">
        <is>
          <t>A 39156-2024</t>
        </is>
      </c>
      <c r="B591" s="1" t="n">
        <v>45548.62956018518</v>
      </c>
      <c r="C591" s="1" t="n">
        <v>46011</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4135-2025</t>
        </is>
      </c>
      <c r="B592" s="1" t="n">
        <v>45685</v>
      </c>
      <c r="C592" s="1" t="n">
        <v>46011</v>
      </c>
      <c r="D592" t="inlineStr">
        <is>
          <t>VÄRMLANDS LÄN</t>
        </is>
      </c>
      <c r="E592" t="inlineStr">
        <is>
          <t>ÅRJÄNG</t>
        </is>
      </c>
      <c r="G592" t="n">
        <v>4.4</v>
      </c>
      <c r="H592" t="n">
        <v>0</v>
      </c>
      <c r="I592" t="n">
        <v>0</v>
      </c>
      <c r="J592" t="n">
        <v>0</v>
      </c>
      <c r="K592" t="n">
        <v>0</v>
      </c>
      <c r="L592" t="n">
        <v>0</v>
      </c>
      <c r="M592" t="n">
        <v>0</v>
      </c>
      <c r="N592" t="n">
        <v>0</v>
      </c>
      <c r="O592" t="n">
        <v>0</v>
      </c>
      <c r="P592" t="n">
        <v>0</v>
      </c>
      <c r="Q592" t="n">
        <v>0</v>
      </c>
      <c r="R592" s="2" t="inlineStr"/>
    </row>
    <row r="593" ht="15" customHeight="1">
      <c r="A593" t="inlineStr">
        <is>
          <t>A 45907-2025</t>
        </is>
      </c>
      <c r="B593" s="1" t="n">
        <v>45923.70748842593</v>
      </c>
      <c r="C593" s="1" t="n">
        <v>46011</v>
      </c>
      <c r="D593" t="inlineStr">
        <is>
          <t>VÄRMLANDS LÄN</t>
        </is>
      </c>
      <c r="E593" t="inlineStr">
        <is>
          <t>ÅRJÄNG</t>
        </is>
      </c>
      <c r="G593" t="n">
        <v>2.9</v>
      </c>
      <c r="H593" t="n">
        <v>0</v>
      </c>
      <c r="I593" t="n">
        <v>0</v>
      </c>
      <c r="J593" t="n">
        <v>0</v>
      </c>
      <c r="K593" t="n">
        <v>0</v>
      </c>
      <c r="L593" t="n">
        <v>0</v>
      </c>
      <c r="M593" t="n">
        <v>0</v>
      </c>
      <c r="N593" t="n">
        <v>0</v>
      </c>
      <c r="O593" t="n">
        <v>0</v>
      </c>
      <c r="P593" t="n">
        <v>0</v>
      </c>
      <c r="Q593" t="n">
        <v>0</v>
      </c>
      <c r="R593" s="2" t="inlineStr"/>
    </row>
    <row r="594" ht="15" customHeight="1">
      <c r="A594" t="inlineStr">
        <is>
          <t>A 33412-2025</t>
        </is>
      </c>
      <c r="B594" s="1" t="n">
        <v>45841</v>
      </c>
      <c r="C594" s="1" t="n">
        <v>46011</v>
      </c>
      <c r="D594" t="inlineStr">
        <is>
          <t>VÄRMLANDS LÄN</t>
        </is>
      </c>
      <c r="E594" t="inlineStr">
        <is>
          <t>ÅRJÄNG</t>
        </is>
      </c>
      <c r="G594" t="n">
        <v>4.1</v>
      </c>
      <c r="H594" t="n">
        <v>0</v>
      </c>
      <c r="I594" t="n">
        <v>0</v>
      </c>
      <c r="J594" t="n">
        <v>0</v>
      </c>
      <c r="K594" t="n">
        <v>0</v>
      </c>
      <c r="L594" t="n">
        <v>0</v>
      </c>
      <c r="M594" t="n">
        <v>0</v>
      </c>
      <c r="N594" t="n">
        <v>0</v>
      </c>
      <c r="O594" t="n">
        <v>0</v>
      </c>
      <c r="P594" t="n">
        <v>0</v>
      </c>
      <c r="Q594" t="n">
        <v>0</v>
      </c>
      <c r="R594" s="2" t="inlineStr"/>
    </row>
    <row r="595" ht="15" customHeight="1">
      <c r="A595" t="inlineStr">
        <is>
          <t>A 45906-2025</t>
        </is>
      </c>
      <c r="B595" s="1" t="n">
        <v>45923.70627314815</v>
      </c>
      <c r="C595" s="1" t="n">
        <v>46011</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33526-2025</t>
        </is>
      </c>
      <c r="B596" s="1" t="n">
        <v>45841.54869212963</v>
      </c>
      <c r="C596" s="1" t="n">
        <v>46011</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33600-2025</t>
        </is>
      </c>
      <c r="B597" s="1" t="n">
        <v>45841.60918981482</v>
      </c>
      <c r="C597" s="1" t="n">
        <v>46011</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33481-2025</t>
        </is>
      </c>
      <c r="B598" s="1" t="n">
        <v>45841</v>
      </c>
      <c r="C598" s="1" t="n">
        <v>46011</v>
      </c>
      <c r="D598" t="inlineStr">
        <is>
          <t>VÄRMLANDS LÄN</t>
        </is>
      </c>
      <c r="E598" t="inlineStr">
        <is>
          <t>ÅRJÄNG</t>
        </is>
      </c>
      <c r="G598" t="n">
        <v>10.3</v>
      </c>
      <c r="H598" t="n">
        <v>0</v>
      </c>
      <c r="I598" t="n">
        <v>0</v>
      </c>
      <c r="J598" t="n">
        <v>0</v>
      </c>
      <c r="K598" t="n">
        <v>0</v>
      </c>
      <c r="L598" t="n">
        <v>0</v>
      </c>
      <c r="M598" t="n">
        <v>0</v>
      </c>
      <c r="N598" t="n">
        <v>0</v>
      </c>
      <c r="O598" t="n">
        <v>0</v>
      </c>
      <c r="P598" t="n">
        <v>0</v>
      </c>
      <c r="Q598" t="n">
        <v>0</v>
      </c>
      <c r="R598" s="2" t="inlineStr"/>
    </row>
    <row r="599" ht="15" customHeight="1">
      <c r="A599" t="inlineStr">
        <is>
          <t>A 55276-2025</t>
        </is>
      </c>
      <c r="B599" s="1" t="n">
        <v>45968.76534722222</v>
      </c>
      <c r="C599" s="1" t="n">
        <v>46011</v>
      </c>
      <c r="D599" t="inlineStr">
        <is>
          <t>VÄRMLANDS LÄN</t>
        </is>
      </c>
      <c r="E599" t="inlineStr">
        <is>
          <t>ÅRJÄNG</t>
        </is>
      </c>
      <c r="G599" t="n">
        <v>2.8</v>
      </c>
      <c r="H599" t="n">
        <v>0</v>
      </c>
      <c r="I599" t="n">
        <v>0</v>
      </c>
      <c r="J599" t="n">
        <v>0</v>
      </c>
      <c r="K599" t="n">
        <v>0</v>
      </c>
      <c r="L599" t="n">
        <v>0</v>
      </c>
      <c r="M599" t="n">
        <v>0</v>
      </c>
      <c r="N599" t="n">
        <v>0</v>
      </c>
      <c r="O599" t="n">
        <v>0</v>
      </c>
      <c r="P599" t="n">
        <v>0</v>
      </c>
      <c r="Q599" t="n">
        <v>0</v>
      </c>
      <c r="R599" s="2" t="inlineStr"/>
    </row>
    <row r="600" ht="15" customHeight="1">
      <c r="A600" t="inlineStr">
        <is>
          <t>A 33832-2025</t>
        </is>
      </c>
      <c r="B600" s="1" t="n">
        <v>45842.47506944444</v>
      </c>
      <c r="C600" s="1" t="n">
        <v>46011</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8685-2024</t>
        </is>
      </c>
      <c r="B601" s="1" t="n">
        <v>45356</v>
      </c>
      <c r="C601" s="1" t="n">
        <v>46011</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46301-2025</t>
        </is>
      </c>
      <c r="B602" s="1" t="n">
        <v>45925.41553240741</v>
      </c>
      <c r="C602" s="1" t="n">
        <v>46011</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46645-2025</t>
        </is>
      </c>
      <c r="B603" s="1" t="n">
        <v>45926.47527777778</v>
      </c>
      <c r="C603" s="1" t="n">
        <v>46011</v>
      </c>
      <c r="D603" t="inlineStr">
        <is>
          <t>VÄRMLANDS LÄN</t>
        </is>
      </c>
      <c r="E603" t="inlineStr">
        <is>
          <t>ÅRJÄNG</t>
        </is>
      </c>
      <c r="G603" t="n">
        <v>2.8</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46011</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33993-2025</t>
        </is>
      </c>
      <c r="B605" s="1" t="n">
        <v>45843.61189814815</v>
      </c>
      <c r="C605" s="1" t="n">
        <v>46011</v>
      </c>
      <c r="D605" t="inlineStr">
        <is>
          <t>VÄRMLANDS LÄN</t>
        </is>
      </c>
      <c r="E605" t="inlineStr">
        <is>
          <t>ÅRJÄNG</t>
        </is>
      </c>
      <c r="G605" t="n">
        <v>2.4</v>
      </c>
      <c r="H605" t="n">
        <v>0</v>
      </c>
      <c r="I605" t="n">
        <v>0</v>
      </c>
      <c r="J605" t="n">
        <v>0</v>
      </c>
      <c r="K605" t="n">
        <v>0</v>
      </c>
      <c r="L605" t="n">
        <v>0</v>
      </c>
      <c r="M605" t="n">
        <v>0</v>
      </c>
      <c r="N605" t="n">
        <v>0</v>
      </c>
      <c r="O605" t="n">
        <v>0</v>
      </c>
      <c r="P605" t="n">
        <v>0</v>
      </c>
      <c r="Q605" t="n">
        <v>0</v>
      </c>
      <c r="R605" s="2" t="inlineStr"/>
    </row>
    <row r="606" ht="15" customHeight="1">
      <c r="A606" t="inlineStr">
        <is>
          <t>A 34148-2025</t>
        </is>
      </c>
      <c r="B606" s="1" t="n">
        <v>45844</v>
      </c>
      <c r="C606" s="1" t="n">
        <v>46011</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33998-2025</t>
        </is>
      </c>
      <c r="B607" s="1" t="n">
        <v>45843.99453703704</v>
      </c>
      <c r="C607" s="1" t="n">
        <v>46011</v>
      </c>
      <c r="D607" t="inlineStr">
        <is>
          <t>VÄRMLANDS LÄN</t>
        </is>
      </c>
      <c r="E607" t="inlineStr">
        <is>
          <t>ÅRJÄNG</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55277-2025</t>
        </is>
      </c>
      <c r="B608" s="1" t="n">
        <v>45968.77537037037</v>
      </c>
      <c r="C608" s="1" t="n">
        <v>46011</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34243-2025</t>
        </is>
      </c>
      <c r="B609" s="1" t="n">
        <v>45845</v>
      </c>
      <c r="C609" s="1" t="n">
        <v>46011</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34248-2025</t>
        </is>
      </c>
      <c r="B610" s="1" t="n">
        <v>45845</v>
      </c>
      <c r="C610" s="1" t="n">
        <v>46011</v>
      </c>
      <c r="D610" t="inlineStr">
        <is>
          <t>VÄRMLANDS LÄN</t>
        </is>
      </c>
      <c r="E610" t="inlineStr">
        <is>
          <t>ÅRJÄNG</t>
        </is>
      </c>
      <c r="G610" t="n">
        <v>2.7</v>
      </c>
      <c r="H610" t="n">
        <v>0</v>
      </c>
      <c r="I610" t="n">
        <v>0</v>
      </c>
      <c r="J610" t="n">
        <v>0</v>
      </c>
      <c r="K610" t="n">
        <v>0</v>
      </c>
      <c r="L610" t="n">
        <v>0</v>
      </c>
      <c r="M610" t="n">
        <v>0</v>
      </c>
      <c r="N610" t="n">
        <v>0</v>
      </c>
      <c r="O610" t="n">
        <v>0</v>
      </c>
      <c r="P610" t="n">
        <v>0</v>
      </c>
      <c r="Q610" t="n">
        <v>0</v>
      </c>
      <c r="R610" s="2" t="inlineStr"/>
    </row>
    <row r="611" ht="15" customHeight="1">
      <c r="A611" t="inlineStr">
        <is>
          <t>A 34252-2025</t>
        </is>
      </c>
      <c r="B611" s="1" t="n">
        <v>45845</v>
      </c>
      <c r="C611" s="1" t="n">
        <v>46011</v>
      </c>
      <c r="D611" t="inlineStr">
        <is>
          <t>VÄRMLANDS LÄN</t>
        </is>
      </c>
      <c r="E611" t="inlineStr">
        <is>
          <t>ÅRJÄNG</t>
        </is>
      </c>
      <c r="G611" t="n">
        <v>7.1</v>
      </c>
      <c r="H611" t="n">
        <v>0</v>
      </c>
      <c r="I611" t="n">
        <v>0</v>
      </c>
      <c r="J611" t="n">
        <v>0</v>
      </c>
      <c r="K611" t="n">
        <v>0</v>
      </c>
      <c r="L611" t="n">
        <v>0</v>
      </c>
      <c r="M611" t="n">
        <v>0</v>
      </c>
      <c r="N611" t="n">
        <v>0</v>
      </c>
      <c r="O611" t="n">
        <v>0</v>
      </c>
      <c r="P611" t="n">
        <v>0</v>
      </c>
      <c r="Q611" t="n">
        <v>0</v>
      </c>
      <c r="R611" s="2" t="inlineStr"/>
      <c r="U611">
        <f>HYPERLINK("https://klasma.github.io/Logging_1765/knärot/A 34252-2025 karta knärot.png", "A 34252-2025")</f>
        <v/>
      </c>
      <c r="V611">
        <f>HYPERLINK("https://klasma.github.io/Logging_1765/klagomål/A 34252-2025 FSC-klagomål.docx", "A 34252-2025")</f>
        <v/>
      </c>
      <c r="W611">
        <f>HYPERLINK("https://klasma.github.io/Logging_1765/klagomålsmail/A 34252-2025 FSC-klagomål mail.docx", "A 34252-2025")</f>
        <v/>
      </c>
      <c r="X611">
        <f>HYPERLINK("https://klasma.github.io/Logging_1765/tillsyn/A 34252-2025 tillsynsbegäran.docx", "A 34252-2025")</f>
        <v/>
      </c>
      <c r="Y611">
        <f>HYPERLINK("https://klasma.github.io/Logging_1765/tillsynsmail/A 34252-2025 tillsynsbegäran mail.docx", "A 34252-2025")</f>
        <v/>
      </c>
    </row>
    <row r="612" ht="15" customHeight="1">
      <c r="A612" t="inlineStr">
        <is>
          <t>A 34077-2025</t>
        </is>
      </c>
      <c r="B612" s="1" t="n">
        <v>45845.45206018518</v>
      </c>
      <c r="C612" s="1" t="n">
        <v>46011</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46011</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34230-2025</t>
        </is>
      </c>
      <c r="B614" s="1" t="n">
        <v>45845</v>
      </c>
      <c r="C614" s="1" t="n">
        <v>46011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34235-2025</t>
        </is>
      </c>
      <c r="B615" s="1" t="n">
        <v>45845</v>
      </c>
      <c r="C615" s="1" t="n">
        <v>46011</v>
      </c>
      <c r="D615" t="inlineStr">
        <is>
          <t>VÄRMLANDS LÄN</t>
        </is>
      </c>
      <c r="E615" t="inlineStr">
        <is>
          <t>ÅRJÄNG</t>
        </is>
      </c>
      <c r="G615" t="n">
        <v>3.5</v>
      </c>
      <c r="H615" t="n">
        <v>0</v>
      </c>
      <c r="I615" t="n">
        <v>0</v>
      </c>
      <c r="J615" t="n">
        <v>0</v>
      </c>
      <c r="K615" t="n">
        <v>0</v>
      </c>
      <c r="L615" t="n">
        <v>0</v>
      </c>
      <c r="M615" t="n">
        <v>0</v>
      </c>
      <c r="N615" t="n">
        <v>0</v>
      </c>
      <c r="O615" t="n">
        <v>0</v>
      </c>
      <c r="P615" t="n">
        <v>0</v>
      </c>
      <c r="Q615" t="n">
        <v>0</v>
      </c>
      <c r="R615" s="2" t="inlineStr"/>
    </row>
    <row r="616" ht="15" customHeight="1">
      <c r="A616" t="inlineStr">
        <is>
          <t>A 64690-2023</t>
        </is>
      </c>
      <c r="B616" s="1" t="n">
        <v>45281.63434027778</v>
      </c>
      <c r="C616" s="1" t="n">
        <v>46011</v>
      </c>
      <c r="D616" t="inlineStr">
        <is>
          <t>VÄRMLANDS LÄN</t>
        </is>
      </c>
      <c r="E616" t="inlineStr">
        <is>
          <t>ÅRJÄNG</t>
        </is>
      </c>
      <c r="G616" t="n">
        <v>2.1</v>
      </c>
      <c r="H616" t="n">
        <v>0</v>
      </c>
      <c r="I616" t="n">
        <v>0</v>
      </c>
      <c r="J616" t="n">
        <v>0</v>
      </c>
      <c r="K616" t="n">
        <v>0</v>
      </c>
      <c r="L616" t="n">
        <v>0</v>
      </c>
      <c r="M616" t="n">
        <v>0</v>
      </c>
      <c r="N616" t="n">
        <v>0</v>
      </c>
      <c r="O616" t="n">
        <v>0</v>
      </c>
      <c r="P616" t="n">
        <v>0</v>
      </c>
      <c r="Q616" t="n">
        <v>0</v>
      </c>
      <c r="R616" s="2" t="inlineStr"/>
    </row>
    <row r="617" ht="15" customHeight="1">
      <c r="A617" t="inlineStr">
        <is>
          <t>A 9489-2025</t>
        </is>
      </c>
      <c r="B617" s="1" t="n">
        <v>45715</v>
      </c>
      <c r="C617" s="1" t="n">
        <v>46011</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55534-2025</t>
        </is>
      </c>
      <c r="B618" s="1" t="n">
        <v>45971.63193287037</v>
      </c>
      <c r="C618" s="1" t="n">
        <v>46011</v>
      </c>
      <c r="D618" t="inlineStr">
        <is>
          <t>VÄRMLANDS LÄN</t>
        </is>
      </c>
      <c r="E618" t="inlineStr">
        <is>
          <t>ÅRJÄNG</t>
        </is>
      </c>
      <c r="G618" t="n">
        <v>4.7</v>
      </c>
      <c r="H618" t="n">
        <v>0</v>
      </c>
      <c r="I618" t="n">
        <v>0</v>
      </c>
      <c r="J618" t="n">
        <v>0</v>
      </c>
      <c r="K618" t="n">
        <v>0</v>
      </c>
      <c r="L618" t="n">
        <v>0</v>
      </c>
      <c r="M618" t="n">
        <v>0</v>
      </c>
      <c r="N618" t="n">
        <v>0</v>
      </c>
      <c r="O618" t="n">
        <v>0</v>
      </c>
      <c r="P618" t="n">
        <v>0</v>
      </c>
      <c r="Q618" t="n">
        <v>0</v>
      </c>
      <c r="R618" s="2" t="inlineStr"/>
    </row>
    <row r="619" ht="15" customHeight="1">
      <c r="A619" t="inlineStr">
        <is>
          <t>A 7574-2024</t>
        </is>
      </c>
      <c r="B619" s="1" t="n">
        <v>45348</v>
      </c>
      <c r="C619" s="1" t="n">
        <v>46011</v>
      </c>
      <c r="D619" t="inlineStr">
        <is>
          <t>VÄRMLANDS LÄN</t>
        </is>
      </c>
      <c r="E619" t="inlineStr">
        <is>
          <t>ÅRJÄNG</t>
        </is>
      </c>
      <c r="G619" t="n">
        <v>4.6</v>
      </c>
      <c r="H619" t="n">
        <v>0</v>
      </c>
      <c r="I619" t="n">
        <v>0</v>
      </c>
      <c r="J619" t="n">
        <v>0</v>
      </c>
      <c r="K619" t="n">
        <v>0</v>
      </c>
      <c r="L619" t="n">
        <v>0</v>
      </c>
      <c r="M619" t="n">
        <v>0</v>
      </c>
      <c r="N619" t="n">
        <v>0</v>
      </c>
      <c r="O619" t="n">
        <v>0</v>
      </c>
      <c r="P619" t="n">
        <v>0</v>
      </c>
      <c r="Q619" t="n">
        <v>0</v>
      </c>
      <c r="R619" s="2" t="inlineStr"/>
    </row>
    <row r="620" ht="15" customHeight="1">
      <c r="A620" t="inlineStr">
        <is>
          <t>A 55285-2025</t>
        </is>
      </c>
      <c r="B620" s="1" t="n">
        <v>45968.84447916667</v>
      </c>
      <c r="C620" s="1" t="n">
        <v>46011</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60886-2023</t>
        </is>
      </c>
      <c r="B621" s="1" t="n">
        <v>45261</v>
      </c>
      <c r="C621" s="1" t="n">
        <v>46011</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47225-2025</t>
        </is>
      </c>
      <c r="B622" s="1" t="n">
        <v>45930.39145833333</v>
      </c>
      <c r="C622" s="1" t="n">
        <v>46011</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47426-2025</t>
        </is>
      </c>
      <c r="B623" s="1" t="n">
        <v>45930.63482638889</v>
      </c>
      <c r="C623" s="1" t="n">
        <v>46011</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31622-2024</t>
        </is>
      </c>
      <c r="B624" s="1" t="n">
        <v>45506</v>
      </c>
      <c r="C624" s="1" t="n">
        <v>46011</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47211-2025</t>
        </is>
      </c>
      <c r="B625" s="1" t="n">
        <v>45930.3815625</v>
      </c>
      <c r="C625" s="1" t="n">
        <v>46011</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24216-2024</t>
        </is>
      </c>
      <c r="B626" s="1" t="n">
        <v>45457</v>
      </c>
      <c r="C626" s="1" t="n">
        <v>46011</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34839-2025</t>
        </is>
      </c>
      <c r="B627" s="1" t="n">
        <v>45849.39505787037</v>
      </c>
      <c r="C627" s="1" t="n">
        <v>46011</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46023-2025</t>
        </is>
      </c>
      <c r="B628" s="1" t="n">
        <v>45924</v>
      </c>
      <c r="C628" s="1" t="n">
        <v>46011</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34840-2025</t>
        </is>
      </c>
      <c r="B629" s="1" t="n">
        <v>45849</v>
      </c>
      <c r="C629" s="1" t="n">
        <v>46011</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55592-2025</t>
        </is>
      </c>
      <c r="B630" s="1" t="n">
        <v>45971</v>
      </c>
      <c r="C630" s="1" t="n">
        <v>46011</v>
      </c>
      <c r="D630" t="inlineStr">
        <is>
          <t>VÄRMLANDS LÄN</t>
        </is>
      </c>
      <c r="E630" t="inlineStr">
        <is>
          <t>ÅRJÄNG</t>
        </is>
      </c>
      <c r="G630" t="n">
        <v>2.4</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46011</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35104-2025</t>
        </is>
      </c>
      <c r="B632" s="1" t="n">
        <v>45852.57070601852</v>
      </c>
      <c r="C632" s="1" t="n">
        <v>46011</v>
      </c>
      <c r="D632" t="inlineStr">
        <is>
          <t>VÄRMLANDS LÄN</t>
        </is>
      </c>
      <c r="E632" t="inlineStr">
        <is>
          <t>ÅRJÄNG</t>
        </is>
      </c>
      <c r="G632" t="n">
        <v>0.8</v>
      </c>
      <c r="H632" t="n">
        <v>0</v>
      </c>
      <c r="I632" t="n">
        <v>0</v>
      </c>
      <c r="J632" t="n">
        <v>0</v>
      </c>
      <c r="K632" t="n">
        <v>0</v>
      </c>
      <c r="L632" t="n">
        <v>0</v>
      </c>
      <c r="M632" t="n">
        <v>0</v>
      </c>
      <c r="N632" t="n">
        <v>0</v>
      </c>
      <c r="O632" t="n">
        <v>0</v>
      </c>
      <c r="P632" t="n">
        <v>0</v>
      </c>
      <c r="Q632" t="n">
        <v>0</v>
      </c>
      <c r="R632" s="2" t="inlineStr"/>
    </row>
    <row r="633" ht="15" customHeight="1">
      <c r="A633" t="inlineStr">
        <is>
          <t>A 3861-2025</t>
        </is>
      </c>
      <c r="B633" s="1" t="n">
        <v>45683</v>
      </c>
      <c r="C633" s="1" t="n">
        <v>46011</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18388-2025</t>
        </is>
      </c>
      <c r="B634" s="1" t="n">
        <v>45762</v>
      </c>
      <c r="C634" s="1" t="n">
        <v>46011</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34831-2025</t>
        </is>
      </c>
      <c r="B635" s="1" t="n">
        <v>45849</v>
      </c>
      <c r="C635" s="1" t="n">
        <v>46011</v>
      </c>
      <c r="D635" t="inlineStr">
        <is>
          <t>VÄRMLANDS LÄN</t>
        </is>
      </c>
      <c r="E635" t="inlineStr">
        <is>
          <t>ÅRJÄNG</t>
        </is>
      </c>
      <c r="G635" t="n">
        <v>5.4</v>
      </c>
      <c r="H635" t="n">
        <v>0</v>
      </c>
      <c r="I635" t="n">
        <v>0</v>
      </c>
      <c r="J635" t="n">
        <v>0</v>
      </c>
      <c r="K635" t="n">
        <v>0</v>
      </c>
      <c r="L635" t="n">
        <v>0</v>
      </c>
      <c r="M635" t="n">
        <v>0</v>
      </c>
      <c r="N635" t="n">
        <v>0</v>
      </c>
      <c r="O635" t="n">
        <v>0</v>
      </c>
      <c r="P635" t="n">
        <v>0</v>
      </c>
      <c r="Q635" t="n">
        <v>0</v>
      </c>
      <c r="R635" s="2" t="inlineStr"/>
    </row>
    <row r="636" ht="15" customHeight="1">
      <c r="A636" t="inlineStr">
        <is>
          <t>A 45994-2025</t>
        </is>
      </c>
      <c r="B636" s="1" t="n">
        <v>45924</v>
      </c>
      <c r="C636" s="1" t="n">
        <v>46011</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46942-2025</t>
        </is>
      </c>
      <c r="B637" s="1" t="n">
        <v>45929.45822916667</v>
      </c>
      <c r="C637" s="1" t="n">
        <v>46011</v>
      </c>
      <c r="D637" t="inlineStr">
        <is>
          <t>VÄRMLANDS LÄN</t>
        </is>
      </c>
      <c r="E637" t="inlineStr">
        <is>
          <t>ÅRJÄNG</t>
        </is>
      </c>
      <c r="G637" t="n">
        <v>0.4</v>
      </c>
      <c r="H637" t="n">
        <v>0</v>
      </c>
      <c r="I637" t="n">
        <v>0</v>
      </c>
      <c r="J637" t="n">
        <v>0</v>
      </c>
      <c r="K637" t="n">
        <v>0</v>
      </c>
      <c r="L637" t="n">
        <v>0</v>
      </c>
      <c r="M637" t="n">
        <v>0</v>
      </c>
      <c r="N637" t="n">
        <v>0</v>
      </c>
      <c r="O637" t="n">
        <v>0</v>
      </c>
      <c r="P637" t="n">
        <v>0</v>
      </c>
      <c r="Q637" t="n">
        <v>0</v>
      </c>
      <c r="R637" s="2" t="inlineStr"/>
    </row>
    <row r="638" ht="15" customHeight="1">
      <c r="A638" t="inlineStr">
        <is>
          <t>A 56168-2024</t>
        </is>
      </c>
      <c r="B638" s="1" t="n">
        <v>45623</v>
      </c>
      <c r="C638" s="1" t="n">
        <v>46011</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47007-2025</t>
        </is>
      </c>
      <c r="B639" s="1" t="n">
        <v>45929.56689814815</v>
      </c>
      <c r="C639" s="1" t="n">
        <v>46011</v>
      </c>
      <c r="D639" t="inlineStr">
        <is>
          <t>VÄRMLANDS LÄN</t>
        </is>
      </c>
      <c r="E639" t="inlineStr">
        <is>
          <t>ÅRJÄNG</t>
        </is>
      </c>
      <c r="G639" t="n">
        <v>0.5</v>
      </c>
      <c r="H639" t="n">
        <v>0</v>
      </c>
      <c r="I639" t="n">
        <v>0</v>
      </c>
      <c r="J639" t="n">
        <v>0</v>
      </c>
      <c r="K639" t="n">
        <v>0</v>
      </c>
      <c r="L639" t="n">
        <v>0</v>
      </c>
      <c r="M639" t="n">
        <v>0</v>
      </c>
      <c r="N639" t="n">
        <v>0</v>
      </c>
      <c r="O639" t="n">
        <v>0</v>
      </c>
      <c r="P639" t="n">
        <v>0</v>
      </c>
      <c r="Q639" t="n">
        <v>0</v>
      </c>
      <c r="R639" s="2" t="inlineStr"/>
    </row>
    <row r="640" ht="15" customHeight="1">
      <c r="A640" t="inlineStr">
        <is>
          <t>A 1912-2024</t>
        </is>
      </c>
      <c r="B640" s="1" t="n">
        <v>45308</v>
      </c>
      <c r="C640" s="1" t="n">
        <v>46011</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55662-2025</t>
        </is>
      </c>
      <c r="B641" s="1" t="n">
        <v>45972.39572916667</v>
      </c>
      <c r="C641" s="1" t="n">
        <v>46011</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38167-2022</t>
        </is>
      </c>
      <c r="B642" s="1" t="n">
        <v>44812</v>
      </c>
      <c r="C642" s="1" t="n">
        <v>46011</v>
      </c>
      <c r="D642" t="inlineStr">
        <is>
          <t>VÄRMLANDS LÄN</t>
        </is>
      </c>
      <c r="E642" t="inlineStr">
        <is>
          <t>ÅRJÄNG</t>
        </is>
      </c>
      <c r="G642" t="n">
        <v>10.5</v>
      </c>
      <c r="H642" t="n">
        <v>0</v>
      </c>
      <c r="I642" t="n">
        <v>0</v>
      </c>
      <c r="J642" t="n">
        <v>0</v>
      </c>
      <c r="K642" t="n">
        <v>0</v>
      </c>
      <c r="L642" t="n">
        <v>0</v>
      </c>
      <c r="M642" t="n">
        <v>0</v>
      </c>
      <c r="N642" t="n">
        <v>0</v>
      </c>
      <c r="O642" t="n">
        <v>0</v>
      </c>
      <c r="P642" t="n">
        <v>0</v>
      </c>
      <c r="Q642" t="n">
        <v>0</v>
      </c>
      <c r="R642" s="2" t="inlineStr"/>
    </row>
    <row r="643" ht="15" customHeight="1">
      <c r="A643" t="inlineStr">
        <is>
          <t>A 35295-2025</t>
        </is>
      </c>
      <c r="B643" s="1" t="n">
        <v>45854.40325231481</v>
      </c>
      <c r="C643" s="1" t="n">
        <v>46011</v>
      </c>
      <c r="D643" t="inlineStr">
        <is>
          <t>VÄRMLANDS LÄN</t>
        </is>
      </c>
      <c r="E643" t="inlineStr">
        <is>
          <t>ÅRJÄNG</t>
        </is>
      </c>
      <c r="G643" t="n">
        <v>6.2</v>
      </c>
      <c r="H643" t="n">
        <v>0</v>
      </c>
      <c r="I643" t="n">
        <v>0</v>
      </c>
      <c r="J643" t="n">
        <v>0</v>
      </c>
      <c r="K643" t="n">
        <v>0</v>
      </c>
      <c r="L643" t="n">
        <v>0</v>
      </c>
      <c r="M643" t="n">
        <v>0</v>
      </c>
      <c r="N643" t="n">
        <v>0</v>
      </c>
      <c r="O643" t="n">
        <v>0</v>
      </c>
      <c r="P643" t="n">
        <v>0</v>
      </c>
      <c r="Q643" t="n">
        <v>0</v>
      </c>
      <c r="R643" s="2" t="inlineStr"/>
    </row>
    <row r="644" ht="15" customHeight="1">
      <c r="A644" t="inlineStr">
        <is>
          <t>A 57161-2024</t>
        </is>
      </c>
      <c r="B644" s="1" t="n">
        <v>45628</v>
      </c>
      <c r="C644" s="1" t="n">
        <v>46011</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35304-2025</t>
        </is>
      </c>
      <c r="B645" s="1" t="n">
        <v>45854.43931712963</v>
      </c>
      <c r="C645" s="1" t="n">
        <v>46011</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34163-2025</t>
        </is>
      </c>
      <c r="B646" s="1" t="n">
        <v>45844</v>
      </c>
      <c r="C646" s="1" t="n">
        <v>46011</v>
      </c>
      <c r="D646" t="inlineStr">
        <is>
          <t>VÄRMLANDS LÄN</t>
        </is>
      </c>
      <c r="E646" t="inlineStr">
        <is>
          <t>ÅRJÄNG</t>
        </is>
      </c>
      <c r="G646" t="n">
        <v>4.5</v>
      </c>
      <c r="H646" t="n">
        <v>0</v>
      </c>
      <c r="I646" t="n">
        <v>0</v>
      </c>
      <c r="J646" t="n">
        <v>0</v>
      </c>
      <c r="K646" t="n">
        <v>0</v>
      </c>
      <c r="L646" t="n">
        <v>0</v>
      </c>
      <c r="M646" t="n">
        <v>0</v>
      </c>
      <c r="N646" t="n">
        <v>0</v>
      </c>
      <c r="O646" t="n">
        <v>0</v>
      </c>
      <c r="P646" t="n">
        <v>0</v>
      </c>
      <c r="Q646" t="n">
        <v>0</v>
      </c>
      <c r="R646" s="2" t="inlineStr"/>
    </row>
    <row r="647" ht="15" customHeight="1">
      <c r="A647" t="inlineStr">
        <is>
          <t>A 60202-2023</t>
        </is>
      </c>
      <c r="B647" s="1" t="n">
        <v>45257</v>
      </c>
      <c r="C647" s="1" t="n">
        <v>46011</v>
      </c>
      <c r="D647" t="inlineStr">
        <is>
          <t>VÄRMLANDS LÄN</t>
        </is>
      </c>
      <c r="E647" t="inlineStr">
        <is>
          <t>ÅRJÄNG</t>
        </is>
      </c>
      <c r="G647" t="n">
        <v>1.2</v>
      </c>
      <c r="H647" t="n">
        <v>0</v>
      </c>
      <c r="I647" t="n">
        <v>0</v>
      </c>
      <c r="J647" t="n">
        <v>0</v>
      </c>
      <c r="K647" t="n">
        <v>0</v>
      </c>
      <c r="L647" t="n">
        <v>0</v>
      </c>
      <c r="M647" t="n">
        <v>0</v>
      </c>
      <c r="N647" t="n">
        <v>0</v>
      </c>
      <c r="O647" t="n">
        <v>0</v>
      </c>
      <c r="P647" t="n">
        <v>0</v>
      </c>
      <c r="Q647" t="n">
        <v>0</v>
      </c>
      <c r="R647" s="2" t="inlineStr"/>
    </row>
    <row r="648" ht="15" customHeight="1">
      <c r="A648" t="inlineStr">
        <is>
          <t>A 34075-2025</t>
        </is>
      </c>
      <c r="B648" s="1" t="n">
        <v>45845</v>
      </c>
      <c r="C648" s="1" t="n">
        <v>46011</v>
      </c>
      <c r="D648" t="inlineStr">
        <is>
          <t>VÄRMLANDS LÄN</t>
        </is>
      </c>
      <c r="E648" t="inlineStr">
        <is>
          <t>ÅRJÄNG</t>
        </is>
      </c>
      <c r="G648" t="n">
        <v>3.4</v>
      </c>
      <c r="H648" t="n">
        <v>0</v>
      </c>
      <c r="I648" t="n">
        <v>0</v>
      </c>
      <c r="J648" t="n">
        <v>0</v>
      </c>
      <c r="K648" t="n">
        <v>0</v>
      </c>
      <c r="L648" t="n">
        <v>0</v>
      </c>
      <c r="M648" t="n">
        <v>0</v>
      </c>
      <c r="N648" t="n">
        <v>0</v>
      </c>
      <c r="O648" t="n">
        <v>0</v>
      </c>
      <c r="P648" t="n">
        <v>0</v>
      </c>
      <c r="Q648" t="n">
        <v>0</v>
      </c>
      <c r="R648" s="2" t="inlineStr"/>
    </row>
    <row r="649" ht="15" customHeight="1">
      <c r="A649" t="inlineStr">
        <is>
          <t>A 47112-2025</t>
        </is>
      </c>
      <c r="B649" s="1" t="n">
        <v>45929.66966435185</v>
      </c>
      <c r="C649" s="1" t="n">
        <v>46011</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34159-2025</t>
        </is>
      </c>
      <c r="B650" s="1" t="n">
        <v>45844</v>
      </c>
      <c r="C650" s="1" t="n">
        <v>46011</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55540-2025</t>
        </is>
      </c>
      <c r="B651" s="1" t="n">
        <v>45971.63444444445</v>
      </c>
      <c r="C651" s="1" t="n">
        <v>46011</v>
      </c>
      <c r="D651" t="inlineStr">
        <is>
          <t>VÄRMLANDS LÄN</t>
        </is>
      </c>
      <c r="E651" t="inlineStr">
        <is>
          <t>ÅRJÄNG</t>
        </is>
      </c>
      <c r="G651" t="n">
        <v>4.7</v>
      </c>
      <c r="H651" t="n">
        <v>0</v>
      </c>
      <c r="I651" t="n">
        <v>0</v>
      </c>
      <c r="J651" t="n">
        <v>0</v>
      </c>
      <c r="K651" t="n">
        <v>0</v>
      </c>
      <c r="L651" t="n">
        <v>0</v>
      </c>
      <c r="M651" t="n">
        <v>0</v>
      </c>
      <c r="N651" t="n">
        <v>0</v>
      </c>
      <c r="O651" t="n">
        <v>0</v>
      </c>
      <c r="P651" t="n">
        <v>0</v>
      </c>
      <c r="Q651" t="n">
        <v>0</v>
      </c>
      <c r="R651" s="2" t="inlineStr"/>
    </row>
    <row r="652" ht="15" customHeight="1">
      <c r="A652" t="inlineStr">
        <is>
          <t>A 42236-2024</t>
        </is>
      </c>
      <c r="B652" s="1" t="n">
        <v>45562</v>
      </c>
      <c r="C652" s="1" t="n">
        <v>46011</v>
      </c>
      <c r="D652" t="inlineStr">
        <is>
          <t>VÄRMLANDS LÄN</t>
        </is>
      </c>
      <c r="E652" t="inlineStr">
        <is>
          <t>ÅRJÄNG</t>
        </is>
      </c>
      <c r="G652" t="n">
        <v>3</v>
      </c>
      <c r="H652" t="n">
        <v>0</v>
      </c>
      <c r="I652" t="n">
        <v>0</v>
      </c>
      <c r="J652" t="n">
        <v>0</v>
      </c>
      <c r="K652" t="n">
        <v>0</v>
      </c>
      <c r="L652" t="n">
        <v>0</v>
      </c>
      <c r="M652" t="n">
        <v>0</v>
      </c>
      <c r="N652" t="n">
        <v>0</v>
      </c>
      <c r="O652" t="n">
        <v>0</v>
      </c>
      <c r="P652" t="n">
        <v>0</v>
      </c>
      <c r="Q652" t="n">
        <v>0</v>
      </c>
      <c r="R652" s="2" t="inlineStr"/>
    </row>
    <row r="653" ht="15" customHeight="1">
      <c r="A653" t="inlineStr">
        <is>
          <t>A 59484-2024</t>
        </is>
      </c>
      <c r="B653" s="1" t="n">
        <v>45638</v>
      </c>
      <c r="C653" s="1" t="n">
        <v>46011</v>
      </c>
      <c r="D653" t="inlineStr">
        <is>
          <t>VÄRMLANDS LÄN</t>
        </is>
      </c>
      <c r="E653" t="inlineStr">
        <is>
          <t>ÅRJÄNG</t>
        </is>
      </c>
      <c r="G653" t="n">
        <v>2.9</v>
      </c>
      <c r="H653" t="n">
        <v>0</v>
      </c>
      <c r="I653" t="n">
        <v>0</v>
      </c>
      <c r="J653" t="n">
        <v>0</v>
      </c>
      <c r="K653" t="n">
        <v>0</v>
      </c>
      <c r="L653" t="n">
        <v>0</v>
      </c>
      <c r="M653" t="n">
        <v>0</v>
      </c>
      <c r="N653" t="n">
        <v>0</v>
      </c>
      <c r="O653" t="n">
        <v>0</v>
      </c>
      <c r="P653" t="n">
        <v>0</v>
      </c>
      <c r="Q653" t="n">
        <v>0</v>
      </c>
      <c r="R653" s="2" t="inlineStr"/>
    </row>
    <row r="654" ht="15" customHeight="1">
      <c r="A654" t="inlineStr">
        <is>
          <t>A 47695-2025</t>
        </is>
      </c>
      <c r="B654" s="1" t="n">
        <v>45931.59943287037</v>
      </c>
      <c r="C654" s="1" t="n">
        <v>46011</v>
      </c>
      <c r="D654" t="inlineStr">
        <is>
          <t>VÄRMLANDS LÄN</t>
        </is>
      </c>
      <c r="E654" t="inlineStr">
        <is>
          <t>ÅRJÄNG</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56027-2025</t>
        </is>
      </c>
      <c r="B655" s="1" t="n">
        <v>45973.59994212963</v>
      </c>
      <c r="C655" s="1" t="n">
        <v>46011</v>
      </c>
      <c r="D655" t="inlineStr">
        <is>
          <t>VÄRMLANDS LÄN</t>
        </is>
      </c>
      <c r="E655" t="inlineStr">
        <is>
          <t>ÅRJÄNG</t>
        </is>
      </c>
      <c r="G655" t="n">
        <v>2.7</v>
      </c>
      <c r="H655" t="n">
        <v>0</v>
      </c>
      <c r="I655" t="n">
        <v>0</v>
      </c>
      <c r="J655" t="n">
        <v>0</v>
      </c>
      <c r="K655" t="n">
        <v>0</v>
      </c>
      <c r="L655" t="n">
        <v>0</v>
      </c>
      <c r="M655" t="n">
        <v>0</v>
      </c>
      <c r="N655" t="n">
        <v>0</v>
      </c>
      <c r="O655" t="n">
        <v>0</v>
      </c>
      <c r="P655" t="n">
        <v>0</v>
      </c>
      <c r="Q655" t="n">
        <v>0</v>
      </c>
      <c r="R655" s="2" t="inlineStr"/>
    </row>
    <row r="656" ht="15" customHeight="1">
      <c r="A656" t="inlineStr">
        <is>
          <t>A 51260-2024</t>
        </is>
      </c>
      <c r="B656" s="1" t="n">
        <v>45602</v>
      </c>
      <c r="C656" s="1" t="n">
        <v>46011</v>
      </c>
      <c r="D656" t="inlineStr">
        <is>
          <t>VÄRMLANDS LÄN</t>
        </is>
      </c>
      <c r="E656" t="inlineStr">
        <is>
          <t>ÅRJÄNG</t>
        </is>
      </c>
      <c r="G656" t="n">
        <v>1.7</v>
      </c>
      <c r="H656" t="n">
        <v>0</v>
      </c>
      <c r="I656" t="n">
        <v>0</v>
      </c>
      <c r="J656" t="n">
        <v>0</v>
      </c>
      <c r="K656" t="n">
        <v>0</v>
      </c>
      <c r="L656" t="n">
        <v>0</v>
      </c>
      <c r="M656" t="n">
        <v>0</v>
      </c>
      <c r="N656" t="n">
        <v>0</v>
      </c>
      <c r="O656" t="n">
        <v>0</v>
      </c>
      <c r="P656" t="n">
        <v>0</v>
      </c>
      <c r="Q656" t="n">
        <v>0</v>
      </c>
      <c r="R656" s="2" t="inlineStr"/>
    </row>
    <row r="657" ht="15" customHeight="1">
      <c r="A657" t="inlineStr">
        <is>
          <t>A 41205-2024</t>
        </is>
      </c>
      <c r="B657" s="1" t="n">
        <v>45559</v>
      </c>
      <c r="C657" s="1" t="n">
        <v>46011</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35414-2025</t>
        </is>
      </c>
      <c r="B658" s="1" t="n">
        <v>45855</v>
      </c>
      <c r="C658" s="1" t="n">
        <v>46011</v>
      </c>
      <c r="D658" t="inlineStr">
        <is>
          <t>VÄRMLANDS LÄN</t>
        </is>
      </c>
      <c r="E658" t="inlineStr">
        <is>
          <t>ÅRJÄNG</t>
        </is>
      </c>
      <c r="F658" t="inlineStr">
        <is>
          <t>Bergvik skog väst AB</t>
        </is>
      </c>
      <c r="G658" t="n">
        <v>6.8</v>
      </c>
      <c r="H658" t="n">
        <v>0</v>
      </c>
      <c r="I658" t="n">
        <v>0</v>
      </c>
      <c r="J658" t="n">
        <v>0</v>
      </c>
      <c r="K658" t="n">
        <v>0</v>
      </c>
      <c r="L658" t="n">
        <v>0</v>
      </c>
      <c r="M658" t="n">
        <v>0</v>
      </c>
      <c r="N658" t="n">
        <v>0</v>
      </c>
      <c r="O658" t="n">
        <v>0</v>
      </c>
      <c r="P658" t="n">
        <v>0</v>
      </c>
      <c r="Q658" t="n">
        <v>0</v>
      </c>
      <c r="R658" s="2" t="inlineStr"/>
    </row>
    <row r="659" ht="15" customHeight="1">
      <c r="A659" t="inlineStr">
        <is>
          <t>A 29570-2023</t>
        </is>
      </c>
      <c r="B659" s="1" t="n">
        <v>45106.6989699074</v>
      </c>
      <c r="C659" s="1" t="n">
        <v>46011</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47604-2025</t>
        </is>
      </c>
      <c r="B660" s="1" t="n">
        <v>45931.46254629629</v>
      </c>
      <c r="C660" s="1" t="n">
        <v>46011</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49780-2024</t>
        </is>
      </c>
      <c r="B661" s="1" t="n">
        <v>45597</v>
      </c>
      <c r="C661" s="1" t="n">
        <v>46011</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52382-2024</t>
        </is>
      </c>
      <c r="B662" s="1" t="n">
        <v>45608</v>
      </c>
      <c r="C662" s="1" t="n">
        <v>46011</v>
      </c>
      <c r="D662" t="inlineStr">
        <is>
          <t>VÄRMLANDS LÄN</t>
        </is>
      </c>
      <c r="E662" t="inlineStr">
        <is>
          <t>ÅRJÄNG</t>
        </is>
      </c>
      <c r="G662" t="n">
        <v>8.9</v>
      </c>
      <c r="H662" t="n">
        <v>0</v>
      </c>
      <c r="I662" t="n">
        <v>0</v>
      </c>
      <c r="J662" t="n">
        <v>0</v>
      </c>
      <c r="K662" t="n">
        <v>0</v>
      </c>
      <c r="L662" t="n">
        <v>0</v>
      </c>
      <c r="M662" t="n">
        <v>0</v>
      </c>
      <c r="N662" t="n">
        <v>0</v>
      </c>
      <c r="O662" t="n">
        <v>0</v>
      </c>
      <c r="P662" t="n">
        <v>0</v>
      </c>
      <c r="Q662" t="n">
        <v>0</v>
      </c>
      <c r="R662" s="2" t="inlineStr"/>
    </row>
    <row r="663" ht="15" customHeight="1">
      <c r="A663" t="inlineStr">
        <is>
          <t>A 47502-2025</t>
        </is>
      </c>
      <c r="B663" s="1" t="n">
        <v>45930.85274305556</v>
      </c>
      <c r="C663" s="1" t="n">
        <v>46011</v>
      </c>
      <c r="D663" t="inlineStr">
        <is>
          <t>VÄRMLANDS LÄN</t>
        </is>
      </c>
      <c r="E663" t="inlineStr">
        <is>
          <t>ÅRJÄNG</t>
        </is>
      </c>
      <c r="G663" t="n">
        <v>10.5</v>
      </c>
      <c r="H663" t="n">
        <v>0</v>
      </c>
      <c r="I663" t="n">
        <v>0</v>
      </c>
      <c r="J663" t="n">
        <v>0</v>
      </c>
      <c r="K663" t="n">
        <v>0</v>
      </c>
      <c r="L663" t="n">
        <v>0</v>
      </c>
      <c r="M663" t="n">
        <v>0</v>
      </c>
      <c r="N663" t="n">
        <v>0</v>
      </c>
      <c r="O663" t="n">
        <v>0</v>
      </c>
      <c r="P663" t="n">
        <v>0</v>
      </c>
      <c r="Q663" t="n">
        <v>0</v>
      </c>
      <c r="R663" s="2" t="inlineStr"/>
    </row>
    <row r="664" ht="15" customHeight="1">
      <c r="A664" t="inlineStr">
        <is>
          <t>A 60903-2023</t>
        </is>
      </c>
      <c r="B664" s="1" t="n">
        <v>45261</v>
      </c>
      <c r="C664" s="1" t="n">
        <v>46011</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46011</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46011</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46011</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47629-2025</t>
        </is>
      </c>
      <c r="B668" s="1" t="n">
        <v>45931</v>
      </c>
      <c r="C668" s="1" t="n">
        <v>46011</v>
      </c>
      <c r="D668" t="inlineStr">
        <is>
          <t>VÄRMLANDS LÄN</t>
        </is>
      </c>
      <c r="E668" t="inlineStr">
        <is>
          <t>ÅRJÄNG</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65849-2021</t>
        </is>
      </c>
      <c r="B669" s="1" t="n">
        <v>44517</v>
      </c>
      <c r="C669" s="1" t="n">
        <v>46011</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35869-2025</t>
        </is>
      </c>
      <c r="B670" s="1" t="n">
        <v>45862</v>
      </c>
      <c r="C670" s="1" t="n">
        <v>46011</v>
      </c>
      <c r="D670" t="inlineStr">
        <is>
          <t>VÄRMLANDS LÄN</t>
        </is>
      </c>
      <c r="E670" t="inlineStr">
        <is>
          <t>ÅRJÄNG</t>
        </is>
      </c>
      <c r="F670" t="inlineStr">
        <is>
          <t>Bergvik skog väst AB</t>
        </is>
      </c>
      <c r="G670" t="n">
        <v>4.1</v>
      </c>
      <c r="H670" t="n">
        <v>0</v>
      </c>
      <c r="I670" t="n">
        <v>0</v>
      </c>
      <c r="J670" t="n">
        <v>0</v>
      </c>
      <c r="K670" t="n">
        <v>0</v>
      </c>
      <c r="L670" t="n">
        <v>0</v>
      </c>
      <c r="M670" t="n">
        <v>0</v>
      </c>
      <c r="N670" t="n">
        <v>0</v>
      </c>
      <c r="O670" t="n">
        <v>0</v>
      </c>
      <c r="P670" t="n">
        <v>0</v>
      </c>
      <c r="Q670" t="n">
        <v>0</v>
      </c>
      <c r="R670" s="2" t="inlineStr"/>
    </row>
    <row r="671" ht="15" customHeight="1">
      <c r="A671" t="inlineStr">
        <is>
          <t>A 56096-2025</t>
        </is>
      </c>
      <c r="B671" s="1" t="n">
        <v>45973.68275462963</v>
      </c>
      <c r="C671" s="1" t="n">
        <v>46011</v>
      </c>
      <c r="D671" t="inlineStr">
        <is>
          <t>VÄRMLANDS LÄN</t>
        </is>
      </c>
      <c r="E671" t="inlineStr">
        <is>
          <t>ÅRJÄNG</t>
        </is>
      </c>
      <c r="F671" t="inlineStr">
        <is>
          <t>Kyrkan</t>
        </is>
      </c>
      <c r="G671" t="n">
        <v>10.5</v>
      </c>
      <c r="H671" t="n">
        <v>0</v>
      </c>
      <c r="I671" t="n">
        <v>0</v>
      </c>
      <c r="J671" t="n">
        <v>0</v>
      </c>
      <c r="K671" t="n">
        <v>0</v>
      </c>
      <c r="L671" t="n">
        <v>0</v>
      </c>
      <c r="M671" t="n">
        <v>0</v>
      </c>
      <c r="N671" t="n">
        <v>0</v>
      </c>
      <c r="O671" t="n">
        <v>0</v>
      </c>
      <c r="P671" t="n">
        <v>0</v>
      </c>
      <c r="Q671" t="n">
        <v>0</v>
      </c>
      <c r="R671" s="2" t="inlineStr"/>
    </row>
    <row r="672" ht="15" customHeight="1">
      <c r="A672" t="inlineStr">
        <is>
          <t>A 48805-2022</t>
        </is>
      </c>
      <c r="B672" s="1" t="n">
        <v>44854</v>
      </c>
      <c r="C672" s="1" t="n">
        <v>46011</v>
      </c>
      <c r="D672" t="inlineStr">
        <is>
          <t>VÄRMLANDS LÄN</t>
        </is>
      </c>
      <c r="E672" t="inlineStr">
        <is>
          <t>ÅRJÄNG</t>
        </is>
      </c>
      <c r="G672" t="n">
        <v>4</v>
      </c>
      <c r="H672" t="n">
        <v>0</v>
      </c>
      <c r="I672" t="n">
        <v>0</v>
      </c>
      <c r="J672" t="n">
        <v>0</v>
      </c>
      <c r="K672" t="n">
        <v>0</v>
      </c>
      <c r="L672" t="n">
        <v>0</v>
      </c>
      <c r="M672" t="n">
        <v>0</v>
      </c>
      <c r="N672" t="n">
        <v>0</v>
      </c>
      <c r="O672" t="n">
        <v>0</v>
      </c>
      <c r="P672" t="n">
        <v>0</v>
      </c>
      <c r="Q672" t="n">
        <v>0</v>
      </c>
      <c r="R672" s="2" t="inlineStr"/>
    </row>
    <row r="673" ht="15" customHeight="1">
      <c r="A673" t="inlineStr">
        <is>
          <t>A 53123-2024</t>
        </is>
      </c>
      <c r="B673" s="1" t="n">
        <v>45611.58819444444</v>
      </c>
      <c r="C673" s="1" t="n">
        <v>46011</v>
      </c>
      <c r="D673" t="inlineStr">
        <is>
          <t>VÄRMLANDS LÄN</t>
        </is>
      </c>
      <c r="E673" t="inlineStr">
        <is>
          <t>ÅRJÄNG</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36143-2025</t>
        </is>
      </c>
      <c r="B674" s="1" t="n">
        <v>45866.68708333333</v>
      </c>
      <c r="C674" s="1" t="n">
        <v>46011</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47572-2025</t>
        </is>
      </c>
      <c r="B675" s="1" t="n">
        <v>45931.39658564814</v>
      </c>
      <c r="C675" s="1" t="n">
        <v>46011</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47623-2025</t>
        </is>
      </c>
      <c r="B676" s="1" t="n">
        <v>45931</v>
      </c>
      <c r="C676" s="1" t="n">
        <v>46011</v>
      </c>
      <c r="D676" t="inlineStr">
        <is>
          <t>VÄRMLANDS LÄN</t>
        </is>
      </c>
      <c r="E676" t="inlineStr">
        <is>
          <t>ÅRJÄNG</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57005-2025</t>
        </is>
      </c>
      <c r="B677" s="1" t="n">
        <v>45978.76155092593</v>
      </c>
      <c r="C677" s="1" t="n">
        <v>46011</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57003-2025</t>
        </is>
      </c>
      <c r="B678" s="1" t="n">
        <v>45978.75783564815</v>
      </c>
      <c r="C678" s="1" t="n">
        <v>46011</v>
      </c>
      <c r="D678" t="inlineStr">
        <is>
          <t>VÄRMLANDS LÄN</t>
        </is>
      </c>
      <c r="E678" t="inlineStr">
        <is>
          <t>ÅRJÄNG</t>
        </is>
      </c>
      <c r="G678" t="n">
        <v>3</v>
      </c>
      <c r="H678" t="n">
        <v>0</v>
      </c>
      <c r="I678" t="n">
        <v>0</v>
      </c>
      <c r="J678" t="n">
        <v>0</v>
      </c>
      <c r="K678" t="n">
        <v>0</v>
      </c>
      <c r="L678" t="n">
        <v>0</v>
      </c>
      <c r="M678" t="n">
        <v>0</v>
      </c>
      <c r="N678" t="n">
        <v>0</v>
      </c>
      <c r="O678" t="n">
        <v>0</v>
      </c>
      <c r="P678" t="n">
        <v>0</v>
      </c>
      <c r="Q678" t="n">
        <v>0</v>
      </c>
      <c r="R678" s="2" t="inlineStr"/>
    </row>
    <row r="679" ht="15" customHeight="1">
      <c r="A679" t="inlineStr">
        <is>
          <t>A 1153-2023</t>
        </is>
      </c>
      <c r="B679" s="1" t="n">
        <v>44935</v>
      </c>
      <c r="C679" s="1" t="n">
        <v>46011</v>
      </c>
      <c r="D679" t="inlineStr">
        <is>
          <t>VÄRMLANDS LÄN</t>
        </is>
      </c>
      <c r="E679" t="inlineStr">
        <is>
          <t>ÅRJÄNG</t>
        </is>
      </c>
      <c r="G679" t="n">
        <v>3.2</v>
      </c>
      <c r="H679" t="n">
        <v>0</v>
      </c>
      <c r="I679" t="n">
        <v>0</v>
      </c>
      <c r="J679" t="n">
        <v>0</v>
      </c>
      <c r="K679" t="n">
        <v>0</v>
      </c>
      <c r="L679" t="n">
        <v>0</v>
      </c>
      <c r="M679" t="n">
        <v>0</v>
      </c>
      <c r="N679" t="n">
        <v>0</v>
      </c>
      <c r="O679" t="n">
        <v>0</v>
      </c>
      <c r="P679" t="n">
        <v>0</v>
      </c>
      <c r="Q679" t="n">
        <v>0</v>
      </c>
      <c r="R679" s="2" t="inlineStr"/>
    </row>
    <row r="680" ht="15" customHeight="1">
      <c r="A680" t="inlineStr">
        <is>
          <t>A 11265-2021</t>
        </is>
      </c>
      <c r="B680" s="1" t="n">
        <v>44263.44670138889</v>
      </c>
      <c r="C680" s="1" t="n">
        <v>46011</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48206-2025</t>
        </is>
      </c>
      <c r="B681" s="1" t="n">
        <v>45933.4884837963</v>
      </c>
      <c r="C681" s="1" t="n">
        <v>46011</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14340-2023</t>
        </is>
      </c>
      <c r="B682" s="1" t="n">
        <v>45012.36368055556</v>
      </c>
      <c r="C682" s="1" t="n">
        <v>46011</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49795-2024</t>
        </is>
      </c>
      <c r="B683" s="1" t="n">
        <v>45597.3713425926</v>
      </c>
      <c r="C683" s="1" t="n">
        <v>46011</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24342-2024</t>
        </is>
      </c>
      <c r="B684" s="1" t="n">
        <v>45457</v>
      </c>
      <c r="C684" s="1" t="n">
        <v>46011</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57004-2025</t>
        </is>
      </c>
      <c r="B685" s="1" t="n">
        <v>45978.75946759259</v>
      </c>
      <c r="C685" s="1" t="n">
        <v>46011</v>
      </c>
      <c r="D685" t="inlineStr">
        <is>
          <t>VÄRMLANDS LÄN</t>
        </is>
      </c>
      <c r="E685" t="inlineStr">
        <is>
          <t>ÅRJÄNG</t>
        </is>
      </c>
      <c r="G685" t="n">
        <v>2.2</v>
      </c>
      <c r="H685" t="n">
        <v>0</v>
      </c>
      <c r="I685" t="n">
        <v>0</v>
      </c>
      <c r="J685" t="n">
        <v>0</v>
      </c>
      <c r="K685" t="n">
        <v>0</v>
      </c>
      <c r="L685" t="n">
        <v>0</v>
      </c>
      <c r="M685" t="n">
        <v>0</v>
      </c>
      <c r="N685" t="n">
        <v>0</v>
      </c>
      <c r="O685" t="n">
        <v>0</v>
      </c>
      <c r="P685" t="n">
        <v>0</v>
      </c>
      <c r="Q685" t="n">
        <v>0</v>
      </c>
      <c r="R685" s="2" t="inlineStr"/>
    </row>
    <row r="686" ht="15" customHeight="1">
      <c r="A686" t="inlineStr">
        <is>
          <t>A 2116-2025</t>
        </is>
      </c>
      <c r="B686" s="1" t="n">
        <v>45672</v>
      </c>
      <c r="C686" s="1" t="n">
        <v>46011</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53726-2021</t>
        </is>
      </c>
      <c r="B687" s="1" t="n">
        <v>44469.51079861111</v>
      </c>
      <c r="C687" s="1" t="n">
        <v>46011</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36461-2025</t>
        </is>
      </c>
      <c r="B688" s="1" t="n">
        <v>45869</v>
      </c>
      <c r="C688" s="1" t="n">
        <v>46011</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46011</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13157-2024</t>
        </is>
      </c>
      <c r="B690" s="1" t="n">
        <v>45386</v>
      </c>
      <c r="C690" s="1" t="n">
        <v>46011</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48658-2025</t>
        </is>
      </c>
      <c r="B691" s="1" t="n">
        <v>45936.56628472222</v>
      </c>
      <c r="C691" s="1" t="n">
        <v>46011</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50509-2024</t>
        </is>
      </c>
      <c r="B692" s="1" t="n">
        <v>45601</v>
      </c>
      <c r="C692" s="1" t="n">
        <v>46011</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56629-2025</t>
        </is>
      </c>
      <c r="B693" s="1" t="n">
        <v>45975</v>
      </c>
      <c r="C693" s="1" t="n">
        <v>46011</v>
      </c>
      <c r="D693" t="inlineStr">
        <is>
          <t>VÄRMLANDS LÄN</t>
        </is>
      </c>
      <c r="E693" t="inlineStr">
        <is>
          <t>ÅRJÄNG</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32773-2024</t>
        </is>
      </c>
      <c r="B694" s="1" t="n">
        <v>45516.49834490741</v>
      </c>
      <c r="C694" s="1" t="n">
        <v>46011</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36819-2025</t>
        </is>
      </c>
      <c r="B695" s="1" t="n">
        <v>45873.84164351852</v>
      </c>
      <c r="C695" s="1" t="n">
        <v>46011</v>
      </c>
      <c r="D695" t="inlineStr">
        <is>
          <t>VÄRMLANDS LÄN</t>
        </is>
      </c>
      <c r="E695" t="inlineStr">
        <is>
          <t>ÅRJÄNG</t>
        </is>
      </c>
      <c r="G695" t="n">
        <v>2.3</v>
      </c>
      <c r="H695" t="n">
        <v>0</v>
      </c>
      <c r="I695" t="n">
        <v>0</v>
      </c>
      <c r="J695" t="n">
        <v>0</v>
      </c>
      <c r="K695" t="n">
        <v>0</v>
      </c>
      <c r="L695" t="n">
        <v>0</v>
      </c>
      <c r="M695" t="n">
        <v>0</v>
      </c>
      <c r="N695" t="n">
        <v>0</v>
      </c>
      <c r="O695" t="n">
        <v>0</v>
      </c>
      <c r="P695" t="n">
        <v>0</v>
      </c>
      <c r="Q695" t="n">
        <v>0</v>
      </c>
      <c r="R695" s="2" t="inlineStr"/>
    </row>
    <row r="696" ht="15" customHeight="1">
      <c r="A696" t="inlineStr">
        <is>
          <t>A 36834-2025</t>
        </is>
      </c>
      <c r="B696" s="1" t="n">
        <v>45874.35965277778</v>
      </c>
      <c r="C696" s="1" t="n">
        <v>46011</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36752-2025</t>
        </is>
      </c>
      <c r="B697" s="1" t="n">
        <v>45873</v>
      </c>
      <c r="C697" s="1" t="n">
        <v>46011</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11874-2025</t>
        </is>
      </c>
      <c r="B698" s="1" t="n">
        <v>45728.43699074074</v>
      </c>
      <c r="C698" s="1" t="n">
        <v>46011</v>
      </c>
      <c r="D698" t="inlineStr">
        <is>
          <t>VÄRMLANDS LÄN</t>
        </is>
      </c>
      <c r="E698" t="inlineStr">
        <is>
          <t>ÅRJÄNG</t>
        </is>
      </c>
      <c r="F698" t="inlineStr">
        <is>
          <t>Övriga Aktiebolag</t>
        </is>
      </c>
      <c r="G698" t="n">
        <v>3.5</v>
      </c>
      <c r="H698" t="n">
        <v>0</v>
      </c>
      <c r="I698" t="n">
        <v>0</v>
      </c>
      <c r="J698" t="n">
        <v>0</v>
      </c>
      <c r="K698" t="n">
        <v>0</v>
      </c>
      <c r="L698" t="n">
        <v>0</v>
      </c>
      <c r="M698" t="n">
        <v>0</v>
      </c>
      <c r="N698" t="n">
        <v>0</v>
      </c>
      <c r="O698" t="n">
        <v>0</v>
      </c>
      <c r="P698" t="n">
        <v>0</v>
      </c>
      <c r="Q698" t="n">
        <v>0</v>
      </c>
      <c r="R698" s="2" t="inlineStr"/>
    </row>
    <row r="699" ht="15" customHeight="1">
      <c r="A699" t="inlineStr">
        <is>
          <t>A 48156-2025</t>
        </is>
      </c>
      <c r="B699" s="1" t="n">
        <v>45933.41744212963</v>
      </c>
      <c r="C699" s="1" t="n">
        <v>46011</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15949-2025</t>
        </is>
      </c>
      <c r="B700" s="1" t="n">
        <v>45749</v>
      </c>
      <c r="C700" s="1" t="n">
        <v>46011</v>
      </c>
      <c r="D700" t="inlineStr">
        <is>
          <t>VÄRMLANDS LÄN</t>
        </is>
      </c>
      <c r="E700" t="inlineStr">
        <is>
          <t>ÅRJÄNG</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48567-2025</t>
        </is>
      </c>
      <c r="B701" s="1" t="n">
        <v>45936.44805555556</v>
      </c>
      <c r="C701" s="1" t="n">
        <v>46011</v>
      </c>
      <c r="D701" t="inlineStr">
        <is>
          <t>VÄRMLANDS LÄN</t>
        </is>
      </c>
      <c r="E701" t="inlineStr">
        <is>
          <t>ÅRJÄNG</t>
        </is>
      </c>
      <c r="G701" t="n">
        <v>4</v>
      </c>
      <c r="H701" t="n">
        <v>0</v>
      </c>
      <c r="I701" t="n">
        <v>0</v>
      </c>
      <c r="J701" t="n">
        <v>0</v>
      </c>
      <c r="K701" t="n">
        <v>0</v>
      </c>
      <c r="L701" t="n">
        <v>0</v>
      </c>
      <c r="M701" t="n">
        <v>0</v>
      </c>
      <c r="N701" t="n">
        <v>0</v>
      </c>
      <c r="O701" t="n">
        <v>0</v>
      </c>
      <c r="P701" t="n">
        <v>0</v>
      </c>
      <c r="Q701" t="n">
        <v>0</v>
      </c>
      <c r="R701" s="2" t="inlineStr"/>
    </row>
    <row r="702" ht="15" customHeight="1">
      <c r="A702" t="inlineStr">
        <is>
          <t>A 8246-2025</t>
        </is>
      </c>
      <c r="B702" s="1" t="n">
        <v>45708.48710648148</v>
      </c>
      <c r="C702" s="1" t="n">
        <v>46011</v>
      </c>
      <c r="D702" t="inlineStr">
        <is>
          <t>VÄRMLANDS LÄN</t>
        </is>
      </c>
      <c r="E702" t="inlineStr">
        <is>
          <t>ÅRJÄNG</t>
        </is>
      </c>
      <c r="G702" t="n">
        <v>1.1</v>
      </c>
      <c r="H702" t="n">
        <v>0</v>
      </c>
      <c r="I702" t="n">
        <v>0</v>
      </c>
      <c r="J702" t="n">
        <v>0</v>
      </c>
      <c r="K702" t="n">
        <v>0</v>
      </c>
      <c r="L702" t="n">
        <v>0</v>
      </c>
      <c r="M702" t="n">
        <v>0</v>
      </c>
      <c r="N702" t="n">
        <v>0</v>
      </c>
      <c r="O702" t="n">
        <v>0</v>
      </c>
      <c r="P702" t="n">
        <v>0</v>
      </c>
      <c r="Q702" t="n">
        <v>0</v>
      </c>
      <c r="R702" s="2" t="inlineStr"/>
    </row>
    <row r="703" ht="15" customHeight="1">
      <c r="A703" t="inlineStr">
        <is>
          <t>A 36857-2025</t>
        </is>
      </c>
      <c r="B703" s="1" t="n">
        <v>45874.40488425926</v>
      </c>
      <c r="C703" s="1" t="n">
        <v>46011</v>
      </c>
      <c r="D703" t="inlineStr">
        <is>
          <t>VÄRMLANDS LÄN</t>
        </is>
      </c>
      <c r="E703" t="inlineStr">
        <is>
          <t>ÅRJÄNG</t>
        </is>
      </c>
      <c r="G703" t="n">
        <v>5.2</v>
      </c>
      <c r="H703" t="n">
        <v>0</v>
      </c>
      <c r="I703" t="n">
        <v>0</v>
      </c>
      <c r="J703" t="n">
        <v>0</v>
      </c>
      <c r="K703" t="n">
        <v>0</v>
      </c>
      <c r="L703" t="n">
        <v>0</v>
      </c>
      <c r="M703" t="n">
        <v>0</v>
      </c>
      <c r="N703" t="n">
        <v>0</v>
      </c>
      <c r="O703" t="n">
        <v>0</v>
      </c>
      <c r="P703" t="n">
        <v>0</v>
      </c>
      <c r="Q703" t="n">
        <v>0</v>
      </c>
      <c r="R703" s="2" t="inlineStr"/>
    </row>
    <row r="704" ht="15" customHeight="1">
      <c r="A704" t="inlineStr">
        <is>
          <t>A 35726-2022</t>
        </is>
      </c>
      <c r="B704" s="1" t="n">
        <v>44799</v>
      </c>
      <c r="C704" s="1" t="n">
        <v>46011</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48225-2025</t>
        </is>
      </c>
      <c r="B705" s="1" t="n">
        <v>45933.50998842593</v>
      </c>
      <c r="C705" s="1" t="n">
        <v>46011</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36751-2025</t>
        </is>
      </c>
      <c r="B706" s="1" t="n">
        <v>45873</v>
      </c>
      <c r="C706" s="1" t="n">
        <v>46011</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36827-2025</t>
        </is>
      </c>
      <c r="B707" s="1" t="n">
        <v>45874</v>
      </c>
      <c r="C707" s="1" t="n">
        <v>46011</v>
      </c>
      <c r="D707" t="inlineStr">
        <is>
          <t>VÄRMLANDS LÄN</t>
        </is>
      </c>
      <c r="E707" t="inlineStr">
        <is>
          <t>ÅRJÄNG</t>
        </is>
      </c>
      <c r="G707" t="n">
        <v>0.7</v>
      </c>
      <c r="H707" t="n">
        <v>0</v>
      </c>
      <c r="I707" t="n">
        <v>0</v>
      </c>
      <c r="J707" t="n">
        <v>0</v>
      </c>
      <c r="K707" t="n">
        <v>0</v>
      </c>
      <c r="L707" t="n">
        <v>0</v>
      </c>
      <c r="M707" t="n">
        <v>0</v>
      </c>
      <c r="N707" t="n">
        <v>0</v>
      </c>
      <c r="O707" t="n">
        <v>0</v>
      </c>
      <c r="P707" t="n">
        <v>0</v>
      </c>
      <c r="Q707" t="n">
        <v>0</v>
      </c>
      <c r="R707" s="2" t="inlineStr"/>
    </row>
    <row r="708" ht="15" customHeight="1">
      <c r="A708" t="inlineStr">
        <is>
          <t>A 36839-2025</t>
        </is>
      </c>
      <c r="B708" s="1" t="n">
        <v>45874</v>
      </c>
      <c r="C708" s="1" t="n">
        <v>46011</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36780-2025</t>
        </is>
      </c>
      <c r="B709" s="1" t="n">
        <v>45873</v>
      </c>
      <c r="C709" s="1" t="n">
        <v>46011</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36831-2025</t>
        </is>
      </c>
      <c r="B710" s="1" t="n">
        <v>45874</v>
      </c>
      <c r="C710" s="1" t="n">
        <v>46011</v>
      </c>
      <c r="D710" t="inlineStr">
        <is>
          <t>VÄRMLANDS LÄN</t>
        </is>
      </c>
      <c r="E710" t="inlineStr">
        <is>
          <t>ÅRJÄNG</t>
        </is>
      </c>
      <c r="G710" t="n">
        <v>1.7</v>
      </c>
      <c r="H710" t="n">
        <v>0</v>
      </c>
      <c r="I710" t="n">
        <v>0</v>
      </c>
      <c r="J710" t="n">
        <v>0</v>
      </c>
      <c r="K710" t="n">
        <v>0</v>
      </c>
      <c r="L710" t="n">
        <v>0</v>
      </c>
      <c r="M710" t="n">
        <v>0</v>
      </c>
      <c r="N710" t="n">
        <v>0</v>
      </c>
      <c r="O710" t="n">
        <v>0</v>
      </c>
      <c r="P710" t="n">
        <v>0</v>
      </c>
      <c r="Q710" t="n">
        <v>0</v>
      </c>
      <c r="R710" s="2" t="inlineStr"/>
    </row>
    <row r="711" ht="15" customHeight="1">
      <c r="A711" t="inlineStr">
        <is>
          <t>A 60000-2024</t>
        </is>
      </c>
      <c r="B711" s="1" t="n">
        <v>45642</v>
      </c>
      <c r="C711" s="1" t="n">
        <v>46011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36865-2025</t>
        </is>
      </c>
      <c r="B712" s="1" t="n">
        <v>45874.41655092593</v>
      </c>
      <c r="C712" s="1" t="n">
        <v>46011</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37247-2025</t>
        </is>
      </c>
      <c r="B713" s="1" t="n">
        <v>45876.40268518519</v>
      </c>
      <c r="C713" s="1" t="n">
        <v>46011</v>
      </c>
      <c r="D713" t="inlineStr">
        <is>
          <t>VÄRMLANDS LÄN</t>
        </is>
      </c>
      <c r="E713" t="inlineStr">
        <is>
          <t>ÅRJÄNG</t>
        </is>
      </c>
      <c r="G713" t="n">
        <v>2.7</v>
      </c>
      <c r="H713" t="n">
        <v>0</v>
      </c>
      <c r="I713" t="n">
        <v>0</v>
      </c>
      <c r="J713" t="n">
        <v>0</v>
      </c>
      <c r="K713" t="n">
        <v>0</v>
      </c>
      <c r="L713" t="n">
        <v>0</v>
      </c>
      <c r="M713" t="n">
        <v>0</v>
      </c>
      <c r="N713" t="n">
        <v>0</v>
      </c>
      <c r="O713" t="n">
        <v>0</v>
      </c>
      <c r="P713" t="n">
        <v>0</v>
      </c>
      <c r="Q713" t="n">
        <v>0</v>
      </c>
      <c r="R713" s="2" t="inlineStr"/>
    </row>
    <row r="714" ht="15" customHeight="1">
      <c r="A714" t="inlineStr">
        <is>
          <t>A 57078-2025</t>
        </is>
      </c>
      <c r="B714" s="1" t="n">
        <v>45979.40554398148</v>
      </c>
      <c r="C714" s="1" t="n">
        <v>46011</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57218-2025</t>
        </is>
      </c>
      <c r="B715" s="1" t="n">
        <v>45979.61164351852</v>
      </c>
      <c r="C715" s="1" t="n">
        <v>46011</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46473-2024</t>
        </is>
      </c>
      <c r="B716" s="1" t="n">
        <v>45582</v>
      </c>
      <c r="C716" s="1" t="n">
        <v>46011</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37071-2025</t>
        </is>
      </c>
      <c r="B717" s="1" t="n">
        <v>45875.40101851852</v>
      </c>
      <c r="C717" s="1" t="n">
        <v>46011</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49424-2025</t>
        </is>
      </c>
      <c r="B718" s="1" t="n">
        <v>45938.72657407408</v>
      </c>
      <c r="C718" s="1" t="n">
        <v>46011</v>
      </c>
      <c r="D718" t="inlineStr">
        <is>
          <t>VÄRMLANDS LÄN</t>
        </is>
      </c>
      <c r="E718" t="inlineStr">
        <is>
          <t>ÅRJÄNG</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37419-2025</t>
        </is>
      </c>
      <c r="B719" s="1" t="n">
        <v>45877</v>
      </c>
      <c r="C719" s="1" t="n">
        <v>46011</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57273-2025</t>
        </is>
      </c>
      <c r="B720" s="1" t="n">
        <v>45979.68439814815</v>
      </c>
      <c r="C720" s="1" t="n">
        <v>46011</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37484-2025</t>
        </is>
      </c>
      <c r="B721" s="1" t="n">
        <v>45877</v>
      </c>
      <c r="C721" s="1" t="n">
        <v>46011</v>
      </c>
      <c r="D721" t="inlineStr">
        <is>
          <t>VÄRMLANDS LÄN</t>
        </is>
      </c>
      <c r="E721" t="inlineStr">
        <is>
          <t>ÅRJÄNG</t>
        </is>
      </c>
      <c r="G721" t="n">
        <v>2.2</v>
      </c>
      <c r="H721" t="n">
        <v>0</v>
      </c>
      <c r="I721" t="n">
        <v>0</v>
      </c>
      <c r="J721" t="n">
        <v>0</v>
      </c>
      <c r="K721" t="n">
        <v>0</v>
      </c>
      <c r="L721" t="n">
        <v>0</v>
      </c>
      <c r="M721" t="n">
        <v>0</v>
      </c>
      <c r="N721" t="n">
        <v>0</v>
      </c>
      <c r="O721" t="n">
        <v>0</v>
      </c>
      <c r="P721" t="n">
        <v>0</v>
      </c>
      <c r="Q721" t="n">
        <v>0</v>
      </c>
      <c r="R721" s="2" t="inlineStr"/>
    </row>
    <row r="722" ht="15" customHeight="1">
      <c r="A722" t="inlineStr">
        <is>
          <t>A 37507-2025</t>
        </is>
      </c>
      <c r="B722" s="1" t="n">
        <v>45877</v>
      </c>
      <c r="C722" s="1" t="n">
        <v>46011</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37402-2025</t>
        </is>
      </c>
      <c r="B723" s="1" t="n">
        <v>45877</v>
      </c>
      <c r="C723" s="1" t="n">
        <v>46011</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61119-2024</t>
        </is>
      </c>
      <c r="B724" s="1" t="n">
        <v>45645.57</v>
      </c>
      <c r="C724" s="1" t="n">
        <v>46011</v>
      </c>
      <c r="D724" t="inlineStr">
        <is>
          <t>VÄRMLANDS LÄN</t>
        </is>
      </c>
      <c r="E724" t="inlineStr">
        <is>
          <t>ÅRJÄNG</t>
        </is>
      </c>
      <c r="G724" t="n">
        <v>2.4</v>
      </c>
      <c r="H724" t="n">
        <v>0</v>
      </c>
      <c r="I724" t="n">
        <v>0</v>
      </c>
      <c r="J724" t="n">
        <v>0</v>
      </c>
      <c r="K724" t="n">
        <v>0</v>
      </c>
      <c r="L724" t="n">
        <v>0</v>
      </c>
      <c r="M724" t="n">
        <v>0</v>
      </c>
      <c r="N724" t="n">
        <v>0</v>
      </c>
      <c r="O724" t="n">
        <v>0</v>
      </c>
      <c r="P724" t="n">
        <v>0</v>
      </c>
      <c r="Q724" t="n">
        <v>0</v>
      </c>
      <c r="R724" s="2" t="inlineStr"/>
    </row>
    <row r="725" ht="15" customHeight="1">
      <c r="A725" t="inlineStr">
        <is>
          <t>A 37416-2025</t>
        </is>
      </c>
      <c r="B725" s="1" t="n">
        <v>45877</v>
      </c>
      <c r="C725" s="1" t="n">
        <v>46011</v>
      </c>
      <c r="D725" t="inlineStr">
        <is>
          <t>VÄRMLANDS LÄN</t>
        </is>
      </c>
      <c r="E725" t="inlineStr">
        <is>
          <t>ÅRJÄNG</t>
        </is>
      </c>
      <c r="G725" t="n">
        <v>3.8</v>
      </c>
      <c r="H725" t="n">
        <v>0</v>
      </c>
      <c r="I725" t="n">
        <v>0</v>
      </c>
      <c r="J725" t="n">
        <v>0</v>
      </c>
      <c r="K725" t="n">
        <v>0</v>
      </c>
      <c r="L725" t="n">
        <v>0</v>
      </c>
      <c r="M725" t="n">
        <v>0</v>
      </c>
      <c r="N725" t="n">
        <v>0</v>
      </c>
      <c r="O725" t="n">
        <v>0</v>
      </c>
      <c r="P725" t="n">
        <v>0</v>
      </c>
      <c r="Q725" t="n">
        <v>0</v>
      </c>
      <c r="R725" s="2" t="inlineStr"/>
    </row>
    <row r="726" ht="15" customHeight="1">
      <c r="A726" t="inlineStr">
        <is>
          <t>A 40447-2022</t>
        </is>
      </c>
      <c r="B726" s="1" t="n">
        <v>44823</v>
      </c>
      <c r="C726" s="1" t="n">
        <v>46011</v>
      </c>
      <c r="D726" t="inlineStr">
        <is>
          <t>VÄRMLANDS LÄN</t>
        </is>
      </c>
      <c r="E726" t="inlineStr">
        <is>
          <t>ÅRJÄNG</t>
        </is>
      </c>
      <c r="G726" t="n">
        <v>10.4</v>
      </c>
      <c r="H726" t="n">
        <v>0</v>
      </c>
      <c r="I726" t="n">
        <v>0</v>
      </c>
      <c r="J726" t="n">
        <v>0</v>
      </c>
      <c r="K726" t="n">
        <v>0</v>
      </c>
      <c r="L726" t="n">
        <v>0</v>
      </c>
      <c r="M726" t="n">
        <v>0</v>
      </c>
      <c r="N726" t="n">
        <v>0</v>
      </c>
      <c r="O726" t="n">
        <v>0</v>
      </c>
      <c r="P726" t="n">
        <v>0</v>
      </c>
      <c r="Q726" t="n">
        <v>0</v>
      </c>
      <c r="R726" s="2" t="inlineStr"/>
    </row>
    <row r="727" ht="15" customHeight="1">
      <c r="A727" t="inlineStr">
        <is>
          <t>A 37662-2025</t>
        </is>
      </c>
      <c r="B727" s="1" t="n">
        <v>45880</v>
      </c>
      <c r="C727" s="1" t="n">
        <v>46011</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37418-2025</t>
        </is>
      </c>
      <c r="B728" s="1" t="n">
        <v>45877</v>
      </c>
      <c r="C728" s="1" t="n">
        <v>46011</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37420-2025</t>
        </is>
      </c>
      <c r="B729" s="1" t="n">
        <v>45877</v>
      </c>
      <c r="C729" s="1" t="n">
        <v>46011</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37680-2025</t>
        </is>
      </c>
      <c r="B730" s="1" t="n">
        <v>45880.54208333333</v>
      </c>
      <c r="C730" s="1" t="n">
        <v>46011</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37681-2025</t>
        </is>
      </c>
      <c r="B731" s="1" t="n">
        <v>45880</v>
      </c>
      <c r="C731" s="1" t="n">
        <v>46011</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28382-2022</t>
        </is>
      </c>
      <c r="B732" s="1" t="n">
        <v>44747</v>
      </c>
      <c r="C732" s="1" t="n">
        <v>46011</v>
      </c>
      <c r="D732" t="inlineStr">
        <is>
          <t>VÄRMLANDS LÄN</t>
        </is>
      </c>
      <c r="E732" t="inlineStr">
        <is>
          <t>ÅRJÄNG</t>
        </is>
      </c>
      <c r="F732" t="inlineStr">
        <is>
          <t>Naturvårdsverket</t>
        </is>
      </c>
      <c r="G732" t="n">
        <v>1</v>
      </c>
      <c r="H732" t="n">
        <v>0</v>
      </c>
      <c r="I732" t="n">
        <v>0</v>
      </c>
      <c r="J732" t="n">
        <v>0</v>
      </c>
      <c r="K732" t="n">
        <v>0</v>
      </c>
      <c r="L732" t="n">
        <v>0</v>
      </c>
      <c r="M732" t="n">
        <v>0</v>
      </c>
      <c r="N732" t="n">
        <v>0</v>
      </c>
      <c r="O732" t="n">
        <v>0</v>
      </c>
      <c r="P732" t="n">
        <v>0</v>
      </c>
      <c r="Q732" t="n">
        <v>0</v>
      </c>
      <c r="R732" s="2" t="inlineStr"/>
    </row>
    <row r="733" ht="15" customHeight="1">
      <c r="A733" t="inlineStr">
        <is>
          <t>A 28439-2022</t>
        </is>
      </c>
      <c r="B733" s="1" t="n">
        <v>44747</v>
      </c>
      <c r="C733" s="1" t="n">
        <v>46011</v>
      </c>
      <c r="D733" t="inlineStr">
        <is>
          <t>VÄRMLANDS LÄN</t>
        </is>
      </c>
      <c r="E733" t="inlineStr">
        <is>
          <t>ÅRJÄNG</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37555-2025</t>
        </is>
      </c>
      <c r="B734" s="1" t="n">
        <v>45880</v>
      </c>
      <c r="C734" s="1" t="n">
        <v>46011</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28314-2025</t>
        </is>
      </c>
      <c r="B735" s="1" t="n">
        <v>45818.62592592592</v>
      </c>
      <c r="C735" s="1" t="n">
        <v>46011</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37655-2025</t>
        </is>
      </c>
      <c r="B736" s="1" t="n">
        <v>45880</v>
      </c>
      <c r="C736" s="1" t="n">
        <v>46011</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37510-2025</t>
        </is>
      </c>
      <c r="B737" s="1" t="n">
        <v>45877</v>
      </c>
      <c r="C737" s="1" t="n">
        <v>46011</v>
      </c>
      <c r="D737" t="inlineStr">
        <is>
          <t>VÄRMLANDS LÄN</t>
        </is>
      </c>
      <c r="E737" t="inlineStr">
        <is>
          <t>ÅRJÄNG</t>
        </is>
      </c>
      <c r="G737" t="n">
        <v>10.4</v>
      </c>
      <c r="H737" t="n">
        <v>0</v>
      </c>
      <c r="I737" t="n">
        <v>0</v>
      </c>
      <c r="J737" t="n">
        <v>0</v>
      </c>
      <c r="K737" t="n">
        <v>0</v>
      </c>
      <c r="L737" t="n">
        <v>0</v>
      </c>
      <c r="M737" t="n">
        <v>0</v>
      </c>
      <c r="N737" t="n">
        <v>0</v>
      </c>
      <c r="O737" t="n">
        <v>0</v>
      </c>
      <c r="P737" t="n">
        <v>0</v>
      </c>
      <c r="Q737" t="n">
        <v>0</v>
      </c>
      <c r="R737" s="2" t="inlineStr"/>
    </row>
    <row r="738" ht="15" customHeight="1">
      <c r="A738" t="inlineStr">
        <is>
          <t>A 9990-2025</t>
        </is>
      </c>
      <c r="B738" s="1" t="n">
        <v>45719</v>
      </c>
      <c r="C738" s="1" t="n">
        <v>46011</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57240-2025</t>
        </is>
      </c>
      <c r="B739" s="1" t="n">
        <v>45979.62587962963</v>
      </c>
      <c r="C739" s="1" t="n">
        <v>46011</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57439-2025</t>
        </is>
      </c>
      <c r="B740" s="1" t="n">
        <v>45980.48193287037</v>
      </c>
      <c r="C740" s="1" t="n">
        <v>46011</v>
      </c>
      <c r="D740" t="inlineStr">
        <is>
          <t>VÄRMLANDS LÄN</t>
        </is>
      </c>
      <c r="E740" t="inlineStr">
        <is>
          <t>ÅRJÄNG</t>
        </is>
      </c>
      <c r="G740" t="n">
        <v>4.4</v>
      </c>
      <c r="H740" t="n">
        <v>0</v>
      </c>
      <c r="I740" t="n">
        <v>0</v>
      </c>
      <c r="J740" t="n">
        <v>0</v>
      </c>
      <c r="K740" t="n">
        <v>0</v>
      </c>
      <c r="L740" t="n">
        <v>0</v>
      </c>
      <c r="M740" t="n">
        <v>0</v>
      </c>
      <c r="N740" t="n">
        <v>0</v>
      </c>
      <c r="O740" t="n">
        <v>0</v>
      </c>
      <c r="P740" t="n">
        <v>0</v>
      </c>
      <c r="Q740" t="n">
        <v>0</v>
      </c>
      <c r="R740" s="2" t="inlineStr"/>
    </row>
    <row r="741" ht="15" customHeight="1">
      <c r="A741" t="inlineStr">
        <is>
          <t>A 49727-2025</t>
        </is>
      </c>
      <c r="B741" s="1" t="n">
        <v>45939</v>
      </c>
      <c r="C741" s="1" t="n">
        <v>46011</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9992-2025</t>
        </is>
      </c>
      <c r="B742" s="1" t="n">
        <v>45719.43708333333</v>
      </c>
      <c r="C742" s="1" t="n">
        <v>46011</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34803-2021</t>
        </is>
      </c>
      <c r="B743" s="1" t="n">
        <v>44383</v>
      </c>
      <c r="C743" s="1" t="n">
        <v>46011</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49436-2025</t>
        </is>
      </c>
      <c r="B744" s="1" t="n">
        <v>45938.87913194444</v>
      </c>
      <c r="C744" s="1" t="n">
        <v>46011</v>
      </c>
      <c r="D744" t="inlineStr">
        <is>
          <t>VÄRMLANDS LÄN</t>
        </is>
      </c>
      <c r="E744" t="inlineStr">
        <is>
          <t>ÅRJÄNG</t>
        </is>
      </c>
      <c r="G744" t="n">
        <v>13.9</v>
      </c>
      <c r="H744" t="n">
        <v>0</v>
      </c>
      <c r="I744" t="n">
        <v>0</v>
      </c>
      <c r="J744" t="n">
        <v>0</v>
      </c>
      <c r="K744" t="n">
        <v>0</v>
      </c>
      <c r="L744" t="n">
        <v>0</v>
      </c>
      <c r="M744" t="n">
        <v>0</v>
      </c>
      <c r="N744" t="n">
        <v>0</v>
      </c>
      <c r="O744" t="n">
        <v>0</v>
      </c>
      <c r="P744" t="n">
        <v>0</v>
      </c>
      <c r="Q744" t="n">
        <v>0</v>
      </c>
      <c r="R744" s="2" t="inlineStr"/>
    </row>
    <row r="745" ht="15" customHeight="1">
      <c r="A745" t="inlineStr">
        <is>
          <t>A 49439-2025</t>
        </is>
      </c>
      <c r="B745" s="1" t="n">
        <v>45938.88315972222</v>
      </c>
      <c r="C745" s="1" t="n">
        <v>46011</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58427-2024</t>
        </is>
      </c>
      <c r="B746" s="1" t="n">
        <v>45634.89083333333</v>
      </c>
      <c r="C746" s="1" t="n">
        <v>46011</v>
      </c>
      <c r="D746" t="inlineStr">
        <is>
          <t>VÄRMLANDS LÄN</t>
        </is>
      </c>
      <c r="E746" t="inlineStr">
        <is>
          <t>ÅRJÄNG</t>
        </is>
      </c>
      <c r="G746" t="n">
        <v>1.2</v>
      </c>
      <c r="H746" t="n">
        <v>0</v>
      </c>
      <c r="I746" t="n">
        <v>0</v>
      </c>
      <c r="J746" t="n">
        <v>0</v>
      </c>
      <c r="K746" t="n">
        <v>0</v>
      </c>
      <c r="L746" t="n">
        <v>0</v>
      </c>
      <c r="M746" t="n">
        <v>0</v>
      </c>
      <c r="N746" t="n">
        <v>0</v>
      </c>
      <c r="O746" t="n">
        <v>0</v>
      </c>
      <c r="P746" t="n">
        <v>0</v>
      </c>
      <c r="Q746" t="n">
        <v>0</v>
      </c>
      <c r="R746" s="2" t="inlineStr"/>
    </row>
    <row r="747" ht="15" customHeight="1">
      <c r="A747" t="inlineStr">
        <is>
          <t>A 58428-2024</t>
        </is>
      </c>
      <c r="B747" s="1" t="n">
        <v>45634.90734953704</v>
      </c>
      <c r="C747" s="1" t="n">
        <v>46011</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17178-2021</t>
        </is>
      </c>
      <c r="B748" s="1" t="n">
        <v>44298.46592592593</v>
      </c>
      <c r="C748" s="1" t="n">
        <v>46011</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49728-2025</t>
        </is>
      </c>
      <c r="B749" s="1" t="n">
        <v>45939</v>
      </c>
      <c r="C749" s="1" t="n">
        <v>46011</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10180-2023</t>
        </is>
      </c>
      <c r="B750" s="1" t="n">
        <v>44986</v>
      </c>
      <c r="C750" s="1" t="n">
        <v>46011</v>
      </c>
      <c r="D750" t="inlineStr">
        <is>
          <t>VÄRMLANDS LÄN</t>
        </is>
      </c>
      <c r="E750" t="inlineStr">
        <is>
          <t>ÅRJÄNG</t>
        </is>
      </c>
      <c r="G750" t="n">
        <v>4.6</v>
      </c>
      <c r="H750" t="n">
        <v>0</v>
      </c>
      <c r="I750" t="n">
        <v>0</v>
      </c>
      <c r="J750" t="n">
        <v>0</v>
      </c>
      <c r="K750" t="n">
        <v>0</v>
      </c>
      <c r="L750" t="n">
        <v>0</v>
      </c>
      <c r="M750" t="n">
        <v>0</v>
      </c>
      <c r="N750" t="n">
        <v>0</v>
      </c>
      <c r="O750" t="n">
        <v>0</v>
      </c>
      <c r="P750" t="n">
        <v>0</v>
      </c>
      <c r="Q750" t="n">
        <v>0</v>
      </c>
      <c r="R750" s="2" t="inlineStr"/>
    </row>
    <row r="751" ht="15" customHeight="1">
      <c r="A751" t="inlineStr">
        <is>
          <t>A 49914-2025</t>
        </is>
      </c>
      <c r="B751" s="1" t="n">
        <v>45940.61268518519</v>
      </c>
      <c r="C751" s="1" t="n">
        <v>46011</v>
      </c>
      <c r="D751" t="inlineStr">
        <is>
          <t>VÄRMLANDS LÄN</t>
        </is>
      </c>
      <c r="E751" t="inlineStr">
        <is>
          <t>ÅRJÄNG</t>
        </is>
      </c>
      <c r="G751" t="n">
        <v>2</v>
      </c>
      <c r="H751" t="n">
        <v>0</v>
      </c>
      <c r="I751" t="n">
        <v>0</v>
      </c>
      <c r="J751" t="n">
        <v>0</v>
      </c>
      <c r="K751" t="n">
        <v>0</v>
      </c>
      <c r="L751" t="n">
        <v>0</v>
      </c>
      <c r="M751" t="n">
        <v>0</v>
      </c>
      <c r="N751" t="n">
        <v>0</v>
      </c>
      <c r="O751" t="n">
        <v>0</v>
      </c>
      <c r="P751" t="n">
        <v>0</v>
      </c>
      <c r="Q751" t="n">
        <v>0</v>
      </c>
      <c r="R751" s="2" t="inlineStr"/>
    </row>
    <row r="752" ht="15" customHeight="1">
      <c r="A752" t="inlineStr">
        <is>
          <t>A 69862-2021</t>
        </is>
      </c>
      <c r="B752" s="1" t="n">
        <v>44532</v>
      </c>
      <c r="C752" s="1" t="n">
        <v>46011</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29558-2024</t>
        </is>
      </c>
      <c r="B753" s="1" t="n">
        <v>45484</v>
      </c>
      <c r="C753" s="1" t="n">
        <v>46011</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57925-2025</t>
        </is>
      </c>
      <c r="B754" s="1" t="n">
        <v>45981.87783564815</v>
      </c>
      <c r="C754" s="1" t="n">
        <v>46011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23754-2024</t>
        </is>
      </c>
      <c r="B755" s="1" t="n">
        <v>45455</v>
      </c>
      <c r="C755" s="1" t="n">
        <v>46011</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49441-2025</t>
        </is>
      </c>
      <c r="B756" s="1" t="n">
        <v>45938.88782407407</v>
      </c>
      <c r="C756" s="1" t="n">
        <v>46011</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49442-2025</t>
        </is>
      </c>
      <c r="B757" s="1" t="n">
        <v>45938.88975694445</v>
      </c>
      <c r="C757" s="1" t="n">
        <v>46011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99-2025</t>
        </is>
      </c>
      <c r="B758" s="1" t="n">
        <v>45649</v>
      </c>
      <c r="C758" s="1" t="n">
        <v>46011</v>
      </c>
      <c r="D758" t="inlineStr">
        <is>
          <t>VÄRMLANDS LÄN</t>
        </is>
      </c>
      <c r="E758" t="inlineStr">
        <is>
          <t>ÅRJÄNG</t>
        </is>
      </c>
      <c r="G758" t="n">
        <v>0.6</v>
      </c>
      <c r="H758" t="n">
        <v>0</v>
      </c>
      <c r="I758" t="n">
        <v>0</v>
      </c>
      <c r="J758" t="n">
        <v>0</v>
      </c>
      <c r="K758" t="n">
        <v>0</v>
      </c>
      <c r="L758" t="n">
        <v>0</v>
      </c>
      <c r="M758" t="n">
        <v>0</v>
      </c>
      <c r="N758" t="n">
        <v>0</v>
      </c>
      <c r="O758" t="n">
        <v>0</v>
      </c>
      <c r="P758" t="n">
        <v>0</v>
      </c>
      <c r="Q758" t="n">
        <v>0</v>
      </c>
      <c r="R758" s="2" t="inlineStr"/>
    </row>
    <row r="759" ht="15" customHeight="1">
      <c r="A759" t="inlineStr">
        <is>
          <t>A 56030-2024</t>
        </is>
      </c>
      <c r="B759" s="1" t="n">
        <v>45624.31178240741</v>
      </c>
      <c r="C759" s="1" t="n">
        <v>46011</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40465-2023</t>
        </is>
      </c>
      <c r="B760" s="1" t="n">
        <v>45170.34325231481</v>
      </c>
      <c r="C760" s="1" t="n">
        <v>46011</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49437-2025</t>
        </is>
      </c>
      <c r="B761" s="1" t="n">
        <v>45938.8803587963</v>
      </c>
      <c r="C761" s="1" t="n">
        <v>46011</v>
      </c>
      <c r="D761" t="inlineStr">
        <is>
          <t>VÄRMLANDS LÄN</t>
        </is>
      </c>
      <c r="E761" t="inlineStr">
        <is>
          <t>ÅRJÄNG</t>
        </is>
      </c>
      <c r="G761" t="n">
        <v>5.2</v>
      </c>
      <c r="H761" t="n">
        <v>0</v>
      </c>
      <c r="I761" t="n">
        <v>0</v>
      </c>
      <c r="J761" t="n">
        <v>0</v>
      </c>
      <c r="K761" t="n">
        <v>0</v>
      </c>
      <c r="L761" t="n">
        <v>0</v>
      </c>
      <c r="M761" t="n">
        <v>0</v>
      </c>
      <c r="N761" t="n">
        <v>0</v>
      </c>
      <c r="O761" t="n">
        <v>0</v>
      </c>
      <c r="P761" t="n">
        <v>0</v>
      </c>
      <c r="Q761" t="n">
        <v>0</v>
      </c>
      <c r="R761" s="2" t="inlineStr"/>
    </row>
    <row r="762" ht="15" customHeight="1">
      <c r="A762" t="inlineStr">
        <is>
          <t>A 40366-2022</t>
        </is>
      </c>
      <c r="B762" s="1" t="n">
        <v>44823.38884259259</v>
      </c>
      <c r="C762" s="1" t="n">
        <v>46011</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49936-2025</t>
        </is>
      </c>
      <c r="B763" s="1" t="n">
        <v>45940.66287037037</v>
      </c>
      <c r="C763" s="1" t="n">
        <v>46011</v>
      </c>
      <c r="D763" t="inlineStr">
        <is>
          <t>VÄRMLANDS LÄN</t>
        </is>
      </c>
      <c r="E763" t="inlineStr">
        <is>
          <t>ÅRJÄNG</t>
        </is>
      </c>
      <c r="F763" t="inlineStr">
        <is>
          <t>Kyrkan</t>
        </is>
      </c>
      <c r="G763" t="n">
        <v>5.3</v>
      </c>
      <c r="H763" t="n">
        <v>0</v>
      </c>
      <c r="I763" t="n">
        <v>0</v>
      </c>
      <c r="J763" t="n">
        <v>0</v>
      </c>
      <c r="K763" t="n">
        <v>0</v>
      </c>
      <c r="L763" t="n">
        <v>0</v>
      </c>
      <c r="M763" t="n">
        <v>0</v>
      </c>
      <c r="N763" t="n">
        <v>0</v>
      </c>
      <c r="O763" t="n">
        <v>0</v>
      </c>
      <c r="P763" t="n">
        <v>0</v>
      </c>
      <c r="Q763" t="n">
        <v>0</v>
      </c>
      <c r="R763" s="2" t="inlineStr"/>
    </row>
    <row r="764" ht="15" customHeight="1">
      <c r="A764" t="inlineStr">
        <is>
          <t>A 65844-2021</t>
        </is>
      </c>
      <c r="B764" s="1" t="n">
        <v>44517.36067129629</v>
      </c>
      <c r="C764" s="1" t="n">
        <v>46011</v>
      </c>
      <c r="D764" t="inlineStr">
        <is>
          <t>VÄRMLANDS LÄN</t>
        </is>
      </c>
      <c r="E764" t="inlineStr">
        <is>
          <t>ÅRJÄNG</t>
        </is>
      </c>
      <c r="G764" t="n">
        <v>4.6</v>
      </c>
      <c r="H764" t="n">
        <v>0</v>
      </c>
      <c r="I764" t="n">
        <v>0</v>
      </c>
      <c r="J764" t="n">
        <v>0</v>
      </c>
      <c r="K764" t="n">
        <v>0</v>
      </c>
      <c r="L764" t="n">
        <v>0</v>
      </c>
      <c r="M764" t="n">
        <v>0</v>
      </c>
      <c r="N764" t="n">
        <v>0</v>
      </c>
      <c r="O764" t="n">
        <v>0</v>
      </c>
      <c r="P764" t="n">
        <v>0</v>
      </c>
      <c r="Q764" t="n">
        <v>0</v>
      </c>
      <c r="R764" s="2" t="inlineStr"/>
    </row>
    <row r="765" ht="15" customHeight="1">
      <c r="A765" t="inlineStr">
        <is>
          <t>A 49540-2025</t>
        </is>
      </c>
      <c r="B765" s="1" t="n">
        <v>45939.42537037037</v>
      </c>
      <c r="C765" s="1" t="n">
        <v>46011</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57929-2025</t>
        </is>
      </c>
      <c r="B766" s="1" t="n">
        <v>45981.89403935185</v>
      </c>
      <c r="C766" s="1" t="n">
        <v>46011</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57752-2025</t>
        </is>
      </c>
      <c r="B767" s="1" t="n">
        <v>45981</v>
      </c>
      <c r="C767" s="1" t="n">
        <v>46011</v>
      </c>
      <c r="D767" t="inlineStr">
        <is>
          <t>VÄRMLANDS LÄN</t>
        </is>
      </c>
      <c r="E767" t="inlineStr">
        <is>
          <t>ÅRJÄNG</t>
        </is>
      </c>
      <c r="G767" t="n">
        <v>4.3</v>
      </c>
      <c r="H767" t="n">
        <v>0</v>
      </c>
      <c r="I767" t="n">
        <v>0</v>
      </c>
      <c r="J767" t="n">
        <v>0</v>
      </c>
      <c r="K767" t="n">
        <v>0</v>
      </c>
      <c r="L767" t="n">
        <v>0</v>
      </c>
      <c r="M767" t="n">
        <v>0</v>
      </c>
      <c r="N767" t="n">
        <v>0</v>
      </c>
      <c r="O767" t="n">
        <v>0</v>
      </c>
      <c r="P767" t="n">
        <v>0</v>
      </c>
      <c r="Q767" t="n">
        <v>0</v>
      </c>
      <c r="R767" s="2" t="inlineStr"/>
    </row>
    <row r="768" ht="15" customHeight="1">
      <c r="A768" t="inlineStr">
        <is>
          <t>A 57924-2025</t>
        </is>
      </c>
      <c r="B768" s="1" t="n">
        <v>45981</v>
      </c>
      <c r="C768" s="1" t="n">
        <v>46011</v>
      </c>
      <c r="D768" t="inlineStr">
        <is>
          <t>VÄRMLANDS LÄN</t>
        </is>
      </c>
      <c r="E768" t="inlineStr">
        <is>
          <t>ÅRJÄNG</t>
        </is>
      </c>
      <c r="G768" t="n">
        <v>3</v>
      </c>
      <c r="H768" t="n">
        <v>0</v>
      </c>
      <c r="I768" t="n">
        <v>0</v>
      </c>
      <c r="J768" t="n">
        <v>0</v>
      </c>
      <c r="K768" t="n">
        <v>0</v>
      </c>
      <c r="L768" t="n">
        <v>0</v>
      </c>
      <c r="M768" t="n">
        <v>0</v>
      </c>
      <c r="N768" t="n">
        <v>0</v>
      </c>
      <c r="O768" t="n">
        <v>0</v>
      </c>
      <c r="P768" t="n">
        <v>0</v>
      </c>
      <c r="Q768" t="n">
        <v>0</v>
      </c>
      <c r="R768" s="2" t="inlineStr"/>
    </row>
    <row r="769" ht="15" customHeight="1">
      <c r="A769" t="inlineStr">
        <is>
          <t>A 50187-2025</t>
        </is>
      </c>
      <c r="B769" s="1" t="n">
        <v>45943.62962962963</v>
      </c>
      <c r="C769" s="1" t="n">
        <v>46011</v>
      </c>
      <c r="D769" t="inlineStr">
        <is>
          <t>VÄRMLANDS LÄN</t>
        </is>
      </c>
      <c r="E769" t="inlineStr">
        <is>
          <t>ÅRJÄNG</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58578-2025</t>
        </is>
      </c>
      <c r="B770" s="1" t="n">
        <v>45986.38496527778</v>
      </c>
      <c r="C770" s="1" t="n">
        <v>46011</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58518-2025</t>
        </is>
      </c>
      <c r="B771" s="1" t="n">
        <v>45985.7062037037</v>
      </c>
      <c r="C771" s="1" t="n">
        <v>46011</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57740-2025</t>
        </is>
      </c>
      <c r="B772" s="1" t="n">
        <v>45981</v>
      </c>
      <c r="C772" s="1" t="n">
        <v>46011</v>
      </c>
      <c r="D772" t="inlineStr">
        <is>
          <t>VÄRMLANDS LÄN</t>
        </is>
      </c>
      <c r="E772" t="inlineStr">
        <is>
          <t>ÅRJÄNG</t>
        </is>
      </c>
      <c r="G772" t="n">
        <v>6.4</v>
      </c>
      <c r="H772" t="n">
        <v>0</v>
      </c>
      <c r="I772" t="n">
        <v>0</v>
      </c>
      <c r="J772" t="n">
        <v>0</v>
      </c>
      <c r="K772" t="n">
        <v>0</v>
      </c>
      <c r="L772" t="n">
        <v>0</v>
      </c>
      <c r="M772" t="n">
        <v>0</v>
      </c>
      <c r="N772" t="n">
        <v>0</v>
      </c>
      <c r="O772" t="n">
        <v>0</v>
      </c>
      <c r="P772" t="n">
        <v>0</v>
      </c>
      <c r="Q772" t="n">
        <v>0</v>
      </c>
      <c r="R772" s="2" t="inlineStr"/>
    </row>
    <row r="773" ht="15" customHeight="1">
      <c r="A773" t="inlineStr">
        <is>
          <t>A 50295-2025</t>
        </is>
      </c>
      <c r="B773" s="1" t="n">
        <v>45944</v>
      </c>
      <c r="C773" s="1" t="n">
        <v>46011</v>
      </c>
      <c r="D773" t="inlineStr">
        <is>
          <t>VÄRMLANDS LÄN</t>
        </is>
      </c>
      <c r="E773" t="inlineStr">
        <is>
          <t>ÅRJÄNG</t>
        </is>
      </c>
      <c r="G773" t="n">
        <v>6</v>
      </c>
      <c r="H773" t="n">
        <v>0</v>
      </c>
      <c r="I773" t="n">
        <v>0</v>
      </c>
      <c r="J773" t="n">
        <v>0</v>
      </c>
      <c r="K773" t="n">
        <v>0</v>
      </c>
      <c r="L773" t="n">
        <v>0</v>
      </c>
      <c r="M773" t="n">
        <v>0</v>
      </c>
      <c r="N773" t="n">
        <v>0</v>
      </c>
      <c r="O773" t="n">
        <v>0</v>
      </c>
      <c r="P773" t="n">
        <v>0</v>
      </c>
      <c r="Q773" t="n">
        <v>0</v>
      </c>
      <c r="R773" s="2" t="inlineStr"/>
    </row>
    <row r="774" ht="15" customHeight="1">
      <c r="A774" t="inlineStr">
        <is>
          <t>A 58573-2025</t>
        </is>
      </c>
      <c r="B774" s="1" t="n">
        <v>45986.37599537037</v>
      </c>
      <c r="C774" s="1" t="n">
        <v>46011</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58577-2025</t>
        </is>
      </c>
      <c r="B775" s="1" t="n">
        <v>45986.38273148148</v>
      </c>
      <c r="C775" s="1" t="n">
        <v>46011</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57741-2025</t>
        </is>
      </c>
      <c r="B776" s="1" t="n">
        <v>45981</v>
      </c>
      <c r="C776" s="1" t="n">
        <v>46011</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50114-2025</t>
        </is>
      </c>
      <c r="B777" s="1" t="n">
        <v>45943</v>
      </c>
      <c r="C777" s="1" t="n">
        <v>46011</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50108-2025</t>
        </is>
      </c>
      <c r="B778" s="1" t="n">
        <v>45943</v>
      </c>
      <c r="C778" s="1" t="n">
        <v>46011</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50118-2025</t>
        </is>
      </c>
      <c r="B779" s="1" t="n">
        <v>45943</v>
      </c>
      <c r="C779" s="1" t="n">
        <v>46011</v>
      </c>
      <c r="D779" t="inlineStr">
        <is>
          <t>VÄRMLANDS LÄN</t>
        </is>
      </c>
      <c r="E779" t="inlineStr">
        <is>
          <t>ÅRJÄNG</t>
        </is>
      </c>
      <c r="G779" t="n">
        <v>7.7</v>
      </c>
      <c r="H779" t="n">
        <v>0</v>
      </c>
      <c r="I779" t="n">
        <v>0</v>
      </c>
      <c r="J779" t="n">
        <v>0</v>
      </c>
      <c r="K779" t="n">
        <v>0</v>
      </c>
      <c r="L779" t="n">
        <v>0</v>
      </c>
      <c r="M779" t="n">
        <v>0</v>
      </c>
      <c r="N779" t="n">
        <v>0</v>
      </c>
      <c r="O779" t="n">
        <v>0</v>
      </c>
      <c r="P779" t="n">
        <v>0</v>
      </c>
      <c r="Q779" t="n">
        <v>0</v>
      </c>
      <c r="R779" s="2" t="inlineStr"/>
    </row>
    <row r="780" ht="15" customHeight="1">
      <c r="A780" t="inlineStr">
        <is>
          <t>A 1279-2025</t>
        </is>
      </c>
      <c r="B780" s="1" t="n">
        <v>45667.48987268518</v>
      </c>
      <c r="C780" s="1" t="n">
        <v>46011</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49958-2025</t>
        </is>
      </c>
      <c r="B781" s="1" t="n">
        <v>45941.33325231481</v>
      </c>
      <c r="C781" s="1" t="n">
        <v>46011</v>
      </c>
      <c r="D781" t="inlineStr">
        <is>
          <t>VÄRMLANDS LÄN</t>
        </is>
      </c>
      <c r="E781" t="inlineStr">
        <is>
          <t>ÅRJÄNG</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49959-2025</t>
        </is>
      </c>
      <c r="B782" s="1" t="n">
        <v>45941.33649305555</v>
      </c>
      <c r="C782" s="1" t="n">
        <v>46011</v>
      </c>
      <c r="D782" t="inlineStr">
        <is>
          <t>VÄRMLANDS LÄN</t>
        </is>
      </c>
      <c r="E782" t="inlineStr">
        <is>
          <t>ÅRJÄNG</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10873-2023</t>
        </is>
      </c>
      <c r="B783" s="1" t="n">
        <v>44991.42243055555</v>
      </c>
      <c r="C783" s="1" t="n">
        <v>46011</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50112-2025</t>
        </is>
      </c>
      <c r="B784" s="1" t="n">
        <v>45943</v>
      </c>
      <c r="C784" s="1" t="n">
        <v>46011</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57917-2025</t>
        </is>
      </c>
      <c r="B785" s="1" t="n">
        <v>45981</v>
      </c>
      <c r="C785" s="1" t="n">
        <v>46011</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58571-2025</t>
        </is>
      </c>
      <c r="B786" s="1" t="n">
        <v>45986.37361111111</v>
      </c>
      <c r="C786" s="1" t="n">
        <v>46011</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30699-2021</t>
        </is>
      </c>
      <c r="B787" s="1" t="n">
        <v>44365.42443287037</v>
      </c>
      <c r="C787" s="1" t="n">
        <v>46011</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35157-2021</t>
        </is>
      </c>
      <c r="B788" s="1" t="n">
        <v>44383</v>
      </c>
      <c r="C788" s="1" t="n">
        <v>46011</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50050-2025</t>
        </is>
      </c>
      <c r="B789" s="1" t="n">
        <v>45942</v>
      </c>
      <c r="C789" s="1" t="n">
        <v>46011</v>
      </c>
      <c r="D789" t="inlineStr">
        <is>
          <t>VÄRMLANDS LÄN</t>
        </is>
      </c>
      <c r="E789" t="inlineStr">
        <is>
          <t>ÅRJÄNG</t>
        </is>
      </c>
      <c r="F789" t="inlineStr">
        <is>
          <t>Övriga Aktiebolag</t>
        </is>
      </c>
      <c r="G789" t="n">
        <v>2.9</v>
      </c>
      <c r="H789" t="n">
        <v>0</v>
      </c>
      <c r="I789" t="n">
        <v>0</v>
      </c>
      <c r="J789" t="n">
        <v>0</v>
      </c>
      <c r="K789" t="n">
        <v>0</v>
      </c>
      <c r="L789" t="n">
        <v>0</v>
      </c>
      <c r="M789" t="n">
        <v>0</v>
      </c>
      <c r="N789" t="n">
        <v>0</v>
      </c>
      <c r="O789" t="n">
        <v>0</v>
      </c>
      <c r="P789" t="n">
        <v>0</v>
      </c>
      <c r="Q789" t="n">
        <v>0</v>
      </c>
      <c r="R789" s="2" t="inlineStr"/>
    </row>
    <row r="790" ht="15" customHeight="1">
      <c r="A790" t="inlineStr">
        <is>
          <t>A 50304-2025</t>
        </is>
      </c>
      <c r="B790" s="1" t="n">
        <v>45944</v>
      </c>
      <c r="C790" s="1" t="n">
        <v>46011</v>
      </c>
      <c r="D790" t="inlineStr">
        <is>
          <t>VÄRMLANDS LÄN</t>
        </is>
      </c>
      <c r="E790" t="inlineStr">
        <is>
          <t>ÅRJÄNG</t>
        </is>
      </c>
      <c r="G790" t="n">
        <v>4.7</v>
      </c>
      <c r="H790" t="n">
        <v>0</v>
      </c>
      <c r="I790" t="n">
        <v>0</v>
      </c>
      <c r="J790" t="n">
        <v>0</v>
      </c>
      <c r="K790" t="n">
        <v>0</v>
      </c>
      <c r="L790" t="n">
        <v>0</v>
      </c>
      <c r="M790" t="n">
        <v>0</v>
      </c>
      <c r="N790" t="n">
        <v>0</v>
      </c>
      <c r="O790" t="n">
        <v>0</v>
      </c>
      <c r="P790" t="n">
        <v>0</v>
      </c>
      <c r="Q790" t="n">
        <v>0</v>
      </c>
      <c r="R790" s="2" t="inlineStr"/>
    </row>
    <row r="791" ht="15" customHeight="1">
      <c r="A791" t="inlineStr">
        <is>
          <t>A 21706-2024</t>
        </is>
      </c>
      <c r="B791" s="1" t="n">
        <v>45442</v>
      </c>
      <c r="C791" s="1" t="n">
        <v>46011</v>
      </c>
      <c r="D791" t="inlineStr">
        <is>
          <t>VÄRMLANDS LÄN</t>
        </is>
      </c>
      <c r="E791" t="inlineStr">
        <is>
          <t>ÅRJÄNG</t>
        </is>
      </c>
      <c r="G791" t="n">
        <v>10.4</v>
      </c>
      <c r="H791" t="n">
        <v>0</v>
      </c>
      <c r="I791" t="n">
        <v>0</v>
      </c>
      <c r="J791" t="n">
        <v>0</v>
      </c>
      <c r="K791" t="n">
        <v>0</v>
      </c>
      <c r="L791" t="n">
        <v>0</v>
      </c>
      <c r="M791" t="n">
        <v>0</v>
      </c>
      <c r="N791" t="n">
        <v>0</v>
      </c>
      <c r="O791" t="n">
        <v>0</v>
      </c>
      <c r="P791" t="n">
        <v>0</v>
      </c>
      <c r="Q791" t="n">
        <v>0</v>
      </c>
      <c r="R791" s="2" t="inlineStr"/>
    </row>
    <row r="792" ht="15" customHeight="1">
      <c r="A792" t="inlineStr">
        <is>
          <t>A 57301-2025</t>
        </is>
      </c>
      <c r="B792" s="1" t="n">
        <v>45979</v>
      </c>
      <c r="C792" s="1" t="n">
        <v>46011</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43040-2023</t>
        </is>
      </c>
      <c r="B793" s="1" t="n">
        <v>45182.68716435185</v>
      </c>
      <c r="C793" s="1" t="n">
        <v>46011</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58392-2025</t>
        </is>
      </c>
      <c r="B794" s="1" t="n">
        <v>45985.55128472222</v>
      </c>
      <c r="C794" s="1" t="n">
        <v>46011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8232-2025</t>
        </is>
      </c>
      <c r="B795" s="1" t="n">
        <v>45708.47144675926</v>
      </c>
      <c r="C795" s="1" t="n">
        <v>46011</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50931-2025</t>
        </is>
      </c>
      <c r="B796" s="1" t="n">
        <v>45946.68568287037</v>
      </c>
      <c r="C796" s="1" t="n">
        <v>46011</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50624-2025</t>
        </is>
      </c>
      <c r="B797" s="1" t="n">
        <v>45945.63518518519</v>
      </c>
      <c r="C797" s="1" t="n">
        <v>46011</v>
      </c>
      <c r="D797" t="inlineStr">
        <is>
          <t>VÄRMLANDS LÄN</t>
        </is>
      </c>
      <c r="E797" t="inlineStr">
        <is>
          <t>ÅRJÄNG</t>
        </is>
      </c>
      <c r="G797" t="n">
        <v>3.4</v>
      </c>
      <c r="H797" t="n">
        <v>0</v>
      </c>
      <c r="I797" t="n">
        <v>0</v>
      </c>
      <c r="J797" t="n">
        <v>0</v>
      </c>
      <c r="K797" t="n">
        <v>0</v>
      </c>
      <c r="L797" t="n">
        <v>0</v>
      </c>
      <c r="M797" t="n">
        <v>0</v>
      </c>
      <c r="N797" t="n">
        <v>0</v>
      </c>
      <c r="O797" t="n">
        <v>0</v>
      </c>
      <c r="P797" t="n">
        <v>0</v>
      </c>
      <c r="Q797" t="n">
        <v>0</v>
      </c>
      <c r="R797" s="2" t="inlineStr"/>
    </row>
    <row r="798" ht="15" customHeight="1">
      <c r="A798" t="inlineStr">
        <is>
          <t>A 50841-2025</t>
        </is>
      </c>
      <c r="B798" s="1" t="n">
        <v>45946.57050925926</v>
      </c>
      <c r="C798" s="1" t="n">
        <v>46011</v>
      </c>
      <c r="D798" t="inlineStr">
        <is>
          <t>VÄRMLANDS LÄN</t>
        </is>
      </c>
      <c r="E798" t="inlineStr">
        <is>
          <t>ÅRJÄNG</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50847-2025</t>
        </is>
      </c>
      <c r="B799" s="1" t="n">
        <v>45946.57590277777</v>
      </c>
      <c r="C799" s="1" t="n">
        <v>46011</v>
      </c>
      <c r="D799" t="inlineStr">
        <is>
          <t>VÄRMLANDS LÄN</t>
        </is>
      </c>
      <c r="E799" t="inlineStr">
        <is>
          <t>ÅRJÄNG</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4088-2025</t>
        </is>
      </c>
      <c r="B800" s="1" t="n">
        <v>45684.66329861111</v>
      </c>
      <c r="C800" s="1" t="n">
        <v>46011</v>
      </c>
      <c r="D800" t="inlineStr">
        <is>
          <t>VÄRMLANDS LÄN</t>
        </is>
      </c>
      <c r="E800" t="inlineStr">
        <is>
          <t>ÅRJÄNG</t>
        </is>
      </c>
      <c r="G800" t="n">
        <v>4.1</v>
      </c>
      <c r="H800" t="n">
        <v>0</v>
      </c>
      <c r="I800" t="n">
        <v>0</v>
      </c>
      <c r="J800" t="n">
        <v>0</v>
      </c>
      <c r="K800" t="n">
        <v>0</v>
      </c>
      <c r="L800" t="n">
        <v>0</v>
      </c>
      <c r="M800" t="n">
        <v>0</v>
      </c>
      <c r="N800" t="n">
        <v>0</v>
      </c>
      <c r="O800" t="n">
        <v>0</v>
      </c>
      <c r="P800" t="n">
        <v>0</v>
      </c>
      <c r="Q800" t="n">
        <v>0</v>
      </c>
      <c r="R800" s="2" t="inlineStr"/>
    </row>
    <row r="801" ht="15" customHeight="1">
      <c r="A801" t="inlineStr">
        <is>
          <t>A 10510-2023</t>
        </is>
      </c>
      <c r="B801" s="1" t="n">
        <v>44987.73665509259</v>
      </c>
      <c r="C801" s="1" t="n">
        <v>46011</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3458-2025</t>
        </is>
      </c>
      <c r="B802" s="1" t="n">
        <v>45680.48917824074</v>
      </c>
      <c r="C802" s="1" t="n">
        <v>46011</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24444-2025</t>
        </is>
      </c>
      <c r="B803" s="1" t="n">
        <v>45798</v>
      </c>
      <c r="C803" s="1" t="n">
        <v>46011</v>
      </c>
      <c r="D803" t="inlineStr">
        <is>
          <t>VÄRMLANDS LÄN</t>
        </is>
      </c>
      <c r="E803" t="inlineStr">
        <is>
          <t>ÅRJÄNG</t>
        </is>
      </c>
      <c r="G803" t="n">
        <v>5.1</v>
      </c>
      <c r="H803" t="n">
        <v>0</v>
      </c>
      <c r="I803" t="n">
        <v>0</v>
      </c>
      <c r="J803" t="n">
        <v>0</v>
      </c>
      <c r="K803" t="n">
        <v>0</v>
      </c>
      <c r="L803" t="n">
        <v>0</v>
      </c>
      <c r="M803" t="n">
        <v>0</v>
      </c>
      <c r="N803" t="n">
        <v>0</v>
      </c>
      <c r="O803" t="n">
        <v>0</v>
      </c>
      <c r="P803" t="n">
        <v>0</v>
      </c>
      <c r="Q803" t="n">
        <v>0</v>
      </c>
      <c r="R803" s="2" t="inlineStr"/>
    </row>
    <row r="804" ht="15" customHeight="1">
      <c r="A804" t="inlineStr">
        <is>
          <t>A 3479-2025</t>
        </is>
      </c>
      <c r="B804" s="1" t="n">
        <v>45680.53805555555</v>
      </c>
      <c r="C804" s="1" t="n">
        <v>46011</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10574-2023</t>
        </is>
      </c>
      <c r="B805" s="1" t="n">
        <v>44984</v>
      </c>
      <c r="C805" s="1" t="n">
        <v>46011</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62901-2021</t>
        </is>
      </c>
      <c r="B806" s="1" t="n">
        <v>44504</v>
      </c>
      <c r="C806" s="1" t="n">
        <v>46011</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50620-2025</t>
        </is>
      </c>
      <c r="B807" s="1" t="n">
        <v>45945.63163194444</v>
      </c>
      <c r="C807" s="1" t="n">
        <v>46011</v>
      </c>
      <c r="D807" t="inlineStr">
        <is>
          <t>VÄRMLANDS LÄN</t>
        </is>
      </c>
      <c r="E807" t="inlineStr">
        <is>
          <t>ÅRJÄNG</t>
        </is>
      </c>
      <c r="G807" t="n">
        <v>7.7</v>
      </c>
      <c r="H807" t="n">
        <v>0</v>
      </c>
      <c r="I807" t="n">
        <v>0</v>
      </c>
      <c r="J807" t="n">
        <v>0</v>
      </c>
      <c r="K807" t="n">
        <v>0</v>
      </c>
      <c r="L807" t="n">
        <v>0</v>
      </c>
      <c r="M807" t="n">
        <v>0</v>
      </c>
      <c r="N807" t="n">
        <v>0</v>
      </c>
      <c r="O807" t="n">
        <v>0</v>
      </c>
      <c r="P807" t="n">
        <v>0</v>
      </c>
      <c r="Q807" t="n">
        <v>0</v>
      </c>
      <c r="R807" s="2" t="inlineStr"/>
    </row>
    <row r="808" ht="15" customHeight="1">
      <c r="A808" t="inlineStr">
        <is>
          <t>A 15730-2023</t>
        </is>
      </c>
      <c r="B808" s="1" t="n">
        <v>45021</v>
      </c>
      <c r="C808" s="1" t="n">
        <v>46011</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33831-2023</t>
        </is>
      </c>
      <c r="B809" s="1" t="n">
        <v>45121</v>
      </c>
      <c r="C809" s="1" t="n">
        <v>46011</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59070-2024</t>
        </is>
      </c>
      <c r="B810" s="1" t="n">
        <v>45636.95711805556</v>
      </c>
      <c r="C810" s="1" t="n">
        <v>46011</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50554-2025</t>
        </is>
      </c>
      <c r="B811" s="1" t="n">
        <v>45945.52561342593</v>
      </c>
      <c r="C811" s="1" t="n">
        <v>46011</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24445-2025</t>
        </is>
      </c>
      <c r="B812" s="1" t="n">
        <v>45798</v>
      </c>
      <c r="C812" s="1" t="n">
        <v>46011</v>
      </c>
      <c r="D812" t="inlineStr">
        <is>
          <t>VÄRMLANDS LÄN</t>
        </is>
      </c>
      <c r="E812" t="inlineStr">
        <is>
          <t>ÅRJÄNG</t>
        </is>
      </c>
      <c r="G812" t="n">
        <v>6.4</v>
      </c>
      <c r="H812" t="n">
        <v>0</v>
      </c>
      <c r="I812" t="n">
        <v>0</v>
      </c>
      <c r="J812" t="n">
        <v>0</v>
      </c>
      <c r="K812" t="n">
        <v>0</v>
      </c>
      <c r="L812" t="n">
        <v>0</v>
      </c>
      <c r="M812" t="n">
        <v>0</v>
      </c>
      <c r="N812" t="n">
        <v>0</v>
      </c>
      <c r="O812" t="n">
        <v>0</v>
      </c>
      <c r="P812" t="n">
        <v>0</v>
      </c>
      <c r="Q812" t="n">
        <v>0</v>
      </c>
      <c r="R812" s="2" t="inlineStr"/>
    </row>
    <row r="813" ht="15" customHeight="1">
      <c r="A813" t="inlineStr">
        <is>
          <t>A 29603-2024</t>
        </is>
      </c>
      <c r="B813" s="1" t="n">
        <v>45484</v>
      </c>
      <c r="C813" s="1" t="n">
        <v>46011</v>
      </c>
      <c r="D813" t="inlineStr">
        <is>
          <t>VÄRMLANDS LÄN</t>
        </is>
      </c>
      <c r="E813" t="inlineStr">
        <is>
          <t>ÅRJÄNG</t>
        </is>
      </c>
      <c r="G813" t="n">
        <v>7.5</v>
      </c>
      <c r="H813" t="n">
        <v>0</v>
      </c>
      <c r="I813" t="n">
        <v>0</v>
      </c>
      <c r="J813" t="n">
        <v>0</v>
      </c>
      <c r="K813" t="n">
        <v>0</v>
      </c>
      <c r="L813" t="n">
        <v>0</v>
      </c>
      <c r="M813" t="n">
        <v>0</v>
      </c>
      <c r="N813" t="n">
        <v>0</v>
      </c>
      <c r="O813" t="n">
        <v>0</v>
      </c>
      <c r="P813" t="n">
        <v>0</v>
      </c>
      <c r="Q813" t="n">
        <v>0</v>
      </c>
      <c r="R813" s="2" t="inlineStr"/>
    </row>
    <row r="814" ht="15" customHeight="1">
      <c r="A814" t="inlineStr">
        <is>
          <t>A 50709-2025</t>
        </is>
      </c>
      <c r="B814" s="1" t="n">
        <v>45946</v>
      </c>
      <c r="C814" s="1" t="n">
        <v>46011</v>
      </c>
      <c r="D814" t="inlineStr">
        <is>
          <t>VÄRMLANDS LÄN</t>
        </is>
      </c>
      <c r="E814" t="inlineStr">
        <is>
          <t>ÅRJÄNG</t>
        </is>
      </c>
      <c r="G814" t="n">
        <v>3.3</v>
      </c>
      <c r="H814" t="n">
        <v>0</v>
      </c>
      <c r="I814" t="n">
        <v>0</v>
      </c>
      <c r="J814" t="n">
        <v>0</v>
      </c>
      <c r="K814" t="n">
        <v>0</v>
      </c>
      <c r="L814" t="n">
        <v>0</v>
      </c>
      <c r="M814" t="n">
        <v>0</v>
      </c>
      <c r="N814" t="n">
        <v>0</v>
      </c>
      <c r="O814" t="n">
        <v>0</v>
      </c>
      <c r="P814" t="n">
        <v>0</v>
      </c>
      <c r="Q814" t="n">
        <v>0</v>
      </c>
      <c r="R814" s="2" t="inlineStr"/>
    </row>
    <row r="815" ht="15" customHeight="1">
      <c r="A815" t="inlineStr">
        <is>
          <t>A 15546-2025</t>
        </is>
      </c>
      <c r="B815" s="1" t="n">
        <v>45747</v>
      </c>
      <c r="C815" s="1" t="n">
        <v>46011</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50545-2025</t>
        </is>
      </c>
      <c r="B816" s="1" t="n">
        <v>45945.50777777778</v>
      </c>
      <c r="C816" s="1" t="n">
        <v>46011</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50551-2025</t>
        </is>
      </c>
      <c r="B817" s="1" t="n">
        <v>45945.52244212963</v>
      </c>
      <c r="C817" s="1" t="n">
        <v>46011</v>
      </c>
      <c r="D817" t="inlineStr">
        <is>
          <t>VÄRMLANDS LÄN</t>
        </is>
      </c>
      <c r="E817" t="inlineStr">
        <is>
          <t>ÅRJÄNG</t>
        </is>
      </c>
      <c r="G817" t="n">
        <v>0.9</v>
      </c>
      <c r="H817" t="n">
        <v>0</v>
      </c>
      <c r="I817" t="n">
        <v>0</v>
      </c>
      <c r="J817" t="n">
        <v>0</v>
      </c>
      <c r="K817" t="n">
        <v>0</v>
      </c>
      <c r="L817" t="n">
        <v>0</v>
      </c>
      <c r="M817" t="n">
        <v>0</v>
      </c>
      <c r="N817" t="n">
        <v>0</v>
      </c>
      <c r="O817" t="n">
        <v>0</v>
      </c>
      <c r="P817" t="n">
        <v>0</v>
      </c>
      <c r="Q817" t="n">
        <v>0</v>
      </c>
      <c r="R817" s="2" t="inlineStr"/>
    </row>
    <row r="818" ht="15" customHeight="1">
      <c r="A818" t="inlineStr">
        <is>
          <t>A 50498-2025</t>
        </is>
      </c>
      <c r="B818" s="1" t="n">
        <v>45945.41553240741</v>
      </c>
      <c r="C818" s="1" t="n">
        <v>46011</v>
      </c>
      <c r="D818" t="inlineStr">
        <is>
          <t>VÄRMLANDS LÄN</t>
        </is>
      </c>
      <c r="E818" t="inlineStr">
        <is>
          <t>ÅRJÄNG</t>
        </is>
      </c>
      <c r="G818" t="n">
        <v>4.5</v>
      </c>
      <c r="H818" t="n">
        <v>0</v>
      </c>
      <c r="I818" t="n">
        <v>0</v>
      </c>
      <c r="J818" t="n">
        <v>0</v>
      </c>
      <c r="K818" t="n">
        <v>0</v>
      </c>
      <c r="L818" t="n">
        <v>0</v>
      </c>
      <c r="M818" t="n">
        <v>0</v>
      </c>
      <c r="N818" t="n">
        <v>0</v>
      </c>
      <c r="O818" t="n">
        <v>0</v>
      </c>
      <c r="P818" t="n">
        <v>0</v>
      </c>
      <c r="Q818" t="n">
        <v>0</v>
      </c>
      <c r="R818" s="2" t="inlineStr"/>
    </row>
    <row r="819" ht="15" customHeight="1">
      <c r="A819" t="inlineStr">
        <is>
          <t>A 7660-2025</t>
        </is>
      </c>
      <c r="B819" s="1" t="n">
        <v>45706.32505787037</v>
      </c>
      <c r="C819" s="1" t="n">
        <v>46011</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52278-2023</t>
        </is>
      </c>
      <c r="B820" s="1" t="n">
        <v>45224.57358796296</v>
      </c>
      <c r="C820" s="1" t="n">
        <v>46011</v>
      </c>
      <c r="D820" t="inlineStr">
        <is>
          <t>VÄRMLANDS LÄN</t>
        </is>
      </c>
      <c r="E820" t="inlineStr">
        <is>
          <t>ÅRJÄNG</t>
        </is>
      </c>
      <c r="G820" t="n">
        <v>3.1</v>
      </c>
      <c r="H820" t="n">
        <v>0</v>
      </c>
      <c r="I820" t="n">
        <v>0</v>
      </c>
      <c r="J820" t="n">
        <v>0</v>
      </c>
      <c r="K820" t="n">
        <v>0</v>
      </c>
      <c r="L820" t="n">
        <v>0</v>
      </c>
      <c r="M820" t="n">
        <v>0</v>
      </c>
      <c r="N820" t="n">
        <v>0</v>
      </c>
      <c r="O820" t="n">
        <v>0</v>
      </c>
      <c r="P820" t="n">
        <v>0</v>
      </c>
      <c r="Q820" t="n">
        <v>0</v>
      </c>
      <c r="R820" s="2" t="inlineStr"/>
    </row>
    <row r="821" ht="15" customHeight="1">
      <c r="A821" t="inlineStr">
        <is>
          <t>A 48130-2023</t>
        </is>
      </c>
      <c r="B821" s="1" t="n">
        <v>45201</v>
      </c>
      <c r="C821" s="1" t="n">
        <v>46011</v>
      </c>
      <c r="D821" t="inlineStr">
        <is>
          <t>VÄRMLANDS LÄN</t>
        </is>
      </c>
      <c r="E821" t="inlineStr">
        <is>
          <t>ÅRJÄNG</t>
        </is>
      </c>
      <c r="G821" t="n">
        <v>3</v>
      </c>
      <c r="H821" t="n">
        <v>0</v>
      </c>
      <c r="I821" t="n">
        <v>0</v>
      </c>
      <c r="J821" t="n">
        <v>0</v>
      </c>
      <c r="K821" t="n">
        <v>0</v>
      </c>
      <c r="L821" t="n">
        <v>0</v>
      </c>
      <c r="M821" t="n">
        <v>0</v>
      </c>
      <c r="N821" t="n">
        <v>0</v>
      </c>
      <c r="O821" t="n">
        <v>0</v>
      </c>
      <c r="P821" t="n">
        <v>0</v>
      </c>
      <c r="Q821" t="n">
        <v>0</v>
      </c>
      <c r="R821" s="2" t="inlineStr"/>
    </row>
    <row r="822" ht="15" customHeight="1">
      <c r="A822" t="inlineStr">
        <is>
          <t>A 8918-2025</t>
        </is>
      </c>
      <c r="B822" s="1" t="n">
        <v>45713.43067129629</v>
      </c>
      <c r="C822" s="1" t="n">
        <v>46011</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59336-2025</t>
        </is>
      </c>
      <c r="B823" s="1" t="n">
        <v>45979.67002314814</v>
      </c>
      <c r="C823" s="1" t="n">
        <v>46011</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36641-2021</t>
        </is>
      </c>
      <c r="B824" s="1" t="n">
        <v>44392.31038194444</v>
      </c>
      <c r="C824" s="1" t="n">
        <v>46011</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27001-2021</t>
        </is>
      </c>
      <c r="B825" s="1" t="n">
        <v>44350.35271990741</v>
      </c>
      <c r="C825" s="1" t="n">
        <v>46011</v>
      </c>
      <c r="D825" t="inlineStr">
        <is>
          <t>VÄRMLANDS LÄN</t>
        </is>
      </c>
      <c r="E825" t="inlineStr">
        <is>
          <t>ÅRJÄNG</t>
        </is>
      </c>
      <c r="G825" t="n">
        <v>3.7</v>
      </c>
      <c r="H825" t="n">
        <v>0</v>
      </c>
      <c r="I825" t="n">
        <v>0</v>
      </c>
      <c r="J825" t="n">
        <v>0</v>
      </c>
      <c r="K825" t="n">
        <v>0</v>
      </c>
      <c r="L825" t="n">
        <v>0</v>
      </c>
      <c r="M825" t="n">
        <v>0</v>
      </c>
      <c r="N825" t="n">
        <v>0</v>
      </c>
      <c r="O825" t="n">
        <v>0</v>
      </c>
      <c r="P825" t="n">
        <v>0</v>
      </c>
      <c r="Q825" t="n">
        <v>0</v>
      </c>
      <c r="R825" s="2" t="inlineStr"/>
    </row>
    <row r="826" ht="15" customHeight="1">
      <c r="A826" t="inlineStr">
        <is>
          <t>A 42576-2021</t>
        </is>
      </c>
      <c r="B826" s="1" t="n">
        <v>44428</v>
      </c>
      <c r="C826" s="1" t="n">
        <v>46011</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33525-2022</t>
        </is>
      </c>
      <c r="B827" s="1" t="n">
        <v>44789.31077546296</v>
      </c>
      <c r="C827" s="1" t="n">
        <v>46011</v>
      </c>
      <c r="D827" t="inlineStr">
        <is>
          <t>VÄRMLANDS LÄN</t>
        </is>
      </c>
      <c r="E827" t="inlineStr">
        <is>
          <t>ÅRJÄNG</t>
        </is>
      </c>
      <c r="G827" t="n">
        <v>2.2</v>
      </c>
      <c r="H827" t="n">
        <v>0</v>
      </c>
      <c r="I827" t="n">
        <v>0</v>
      </c>
      <c r="J827" t="n">
        <v>0</v>
      </c>
      <c r="K827" t="n">
        <v>0</v>
      </c>
      <c r="L827" t="n">
        <v>0</v>
      </c>
      <c r="M827" t="n">
        <v>0</v>
      </c>
      <c r="N827" t="n">
        <v>0</v>
      </c>
      <c r="O827" t="n">
        <v>0</v>
      </c>
      <c r="P827" t="n">
        <v>0</v>
      </c>
      <c r="Q827" t="n">
        <v>0</v>
      </c>
      <c r="R827" s="2" t="inlineStr"/>
    </row>
    <row r="828" ht="15" customHeight="1">
      <c r="A828" t="inlineStr">
        <is>
          <t>A 4763-2023</t>
        </is>
      </c>
      <c r="B828" s="1" t="n">
        <v>44957.57651620371</v>
      </c>
      <c r="C828" s="1" t="n">
        <v>46011</v>
      </c>
      <c r="D828" t="inlineStr">
        <is>
          <t>VÄRMLANDS LÄN</t>
        </is>
      </c>
      <c r="E828" t="inlineStr">
        <is>
          <t>ÅRJÄNG</t>
        </is>
      </c>
      <c r="G828" t="n">
        <v>0.8</v>
      </c>
      <c r="H828" t="n">
        <v>0</v>
      </c>
      <c r="I828" t="n">
        <v>0</v>
      </c>
      <c r="J828" t="n">
        <v>0</v>
      </c>
      <c r="K828" t="n">
        <v>0</v>
      </c>
      <c r="L828" t="n">
        <v>0</v>
      </c>
      <c r="M828" t="n">
        <v>0</v>
      </c>
      <c r="N828" t="n">
        <v>0</v>
      </c>
      <c r="O828" t="n">
        <v>0</v>
      </c>
      <c r="P828" t="n">
        <v>0</v>
      </c>
      <c r="Q828" t="n">
        <v>0</v>
      </c>
      <c r="R828" s="2" t="inlineStr"/>
    </row>
    <row r="829" ht="15" customHeight="1">
      <c r="A829" t="inlineStr">
        <is>
          <t>A 7877-2025</t>
        </is>
      </c>
      <c r="B829" s="1" t="n">
        <v>45706.76609953704</v>
      </c>
      <c r="C829" s="1" t="n">
        <v>46011</v>
      </c>
      <c r="D829" t="inlineStr">
        <is>
          <t>VÄRMLANDS LÄN</t>
        </is>
      </c>
      <c r="E829" t="inlineStr">
        <is>
          <t>ÅRJÄNG</t>
        </is>
      </c>
      <c r="G829" t="n">
        <v>2.8</v>
      </c>
      <c r="H829" t="n">
        <v>0</v>
      </c>
      <c r="I829" t="n">
        <v>0</v>
      </c>
      <c r="J829" t="n">
        <v>0</v>
      </c>
      <c r="K829" t="n">
        <v>0</v>
      </c>
      <c r="L829" t="n">
        <v>0</v>
      </c>
      <c r="M829" t="n">
        <v>0</v>
      </c>
      <c r="N829" t="n">
        <v>0</v>
      </c>
      <c r="O829" t="n">
        <v>0</v>
      </c>
      <c r="P829" t="n">
        <v>0</v>
      </c>
      <c r="Q829" t="n">
        <v>0</v>
      </c>
      <c r="R829" s="2" t="inlineStr"/>
    </row>
    <row r="830" ht="15" customHeight="1">
      <c r="A830" t="inlineStr">
        <is>
          <t>A 58971-2025</t>
        </is>
      </c>
      <c r="B830" s="1" t="n">
        <v>45987</v>
      </c>
      <c r="C830" s="1" t="n">
        <v>46011</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51282-2025</t>
        </is>
      </c>
      <c r="B831" s="1" t="n">
        <v>45950.33694444445</v>
      </c>
      <c r="C831" s="1" t="n">
        <v>46011</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11815-2025</t>
        </is>
      </c>
      <c r="B832" s="1" t="n">
        <v>45728.28719907408</v>
      </c>
      <c r="C832" s="1" t="n">
        <v>46011</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46011</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46011</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46011</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51430-2025</t>
        </is>
      </c>
      <c r="B836" s="1" t="n">
        <v>45950.54824074074</v>
      </c>
      <c r="C836" s="1" t="n">
        <v>46011</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51435-2025</t>
        </is>
      </c>
      <c r="B837" s="1" t="n">
        <v>45950.56015046296</v>
      </c>
      <c r="C837" s="1" t="n">
        <v>46011</v>
      </c>
      <c r="D837" t="inlineStr">
        <is>
          <t>VÄRMLANDS LÄN</t>
        </is>
      </c>
      <c r="E837" t="inlineStr">
        <is>
          <t>ÅRJÄNG</t>
        </is>
      </c>
      <c r="G837" t="n">
        <v>1.3</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46011</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46011</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46011</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60289-2025</t>
        </is>
      </c>
      <c r="B841" s="1" t="n">
        <v>45994</v>
      </c>
      <c r="C841" s="1" t="n">
        <v>46011</v>
      </c>
      <c r="D841" t="inlineStr">
        <is>
          <t>VÄRMLANDS LÄN</t>
        </is>
      </c>
      <c r="E841" t="inlineStr">
        <is>
          <t>ÅRJÄNG</t>
        </is>
      </c>
      <c r="G841" t="n">
        <v>5.4</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46011</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46011</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60194-2025</t>
        </is>
      </c>
      <c r="B844" s="1" t="n">
        <v>45994</v>
      </c>
      <c r="C844" s="1" t="n">
        <v>46011</v>
      </c>
      <c r="D844" t="inlineStr">
        <is>
          <t>VÄRMLANDS LÄN</t>
        </is>
      </c>
      <c r="E844" t="inlineStr">
        <is>
          <t>ÅRJÄNG</t>
        </is>
      </c>
      <c r="G844" t="n">
        <v>7.3</v>
      </c>
      <c r="H844" t="n">
        <v>0</v>
      </c>
      <c r="I844" t="n">
        <v>0</v>
      </c>
      <c r="J844" t="n">
        <v>0</v>
      </c>
      <c r="K844" t="n">
        <v>0</v>
      </c>
      <c r="L844" t="n">
        <v>0</v>
      </c>
      <c r="M844" t="n">
        <v>0</v>
      </c>
      <c r="N844" t="n">
        <v>0</v>
      </c>
      <c r="O844" t="n">
        <v>0</v>
      </c>
      <c r="P844" t="n">
        <v>0</v>
      </c>
      <c r="Q844" t="n">
        <v>0</v>
      </c>
      <c r="R844" s="2" t="inlineStr"/>
    </row>
    <row r="845" ht="15" customHeight="1">
      <c r="A845" t="inlineStr">
        <is>
          <t>A 60279-2025</t>
        </is>
      </c>
      <c r="B845" s="1" t="n">
        <v>45994</v>
      </c>
      <c r="C845" s="1" t="n">
        <v>46011</v>
      </c>
      <c r="D845" t="inlineStr">
        <is>
          <t>VÄRMLANDS LÄN</t>
        </is>
      </c>
      <c r="E845" t="inlineStr">
        <is>
          <t>ÅRJÄNG</t>
        </is>
      </c>
      <c r="G845" t="n">
        <v>0.6</v>
      </c>
      <c r="H845" t="n">
        <v>0</v>
      </c>
      <c r="I845" t="n">
        <v>0</v>
      </c>
      <c r="J845" t="n">
        <v>0</v>
      </c>
      <c r="K845" t="n">
        <v>0</v>
      </c>
      <c r="L845" t="n">
        <v>0</v>
      </c>
      <c r="M845" t="n">
        <v>0</v>
      </c>
      <c r="N845" t="n">
        <v>0</v>
      </c>
      <c r="O845" t="n">
        <v>0</v>
      </c>
      <c r="P845" t="n">
        <v>0</v>
      </c>
      <c r="Q845" t="n">
        <v>0</v>
      </c>
      <c r="R845" s="2" t="inlineStr"/>
    </row>
    <row r="846" ht="15" customHeight="1">
      <c r="A846" t="inlineStr">
        <is>
          <t>A 60283-2025</t>
        </is>
      </c>
      <c r="B846" s="1" t="n">
        <v>45994</v>
      </c>
      <c r="C846" s="1" t="n">
        <v>46011</v>
      </c>
      <c r="D846" t="inlineStr">
        <is>
          <t>VÄRMLANDS LÄN</t>
        </is>
      </c>
      <c r="E846" t="inlineStr">
        <is>
          <t>ÅRJÄNG</t>
        </is>
      </c>
      <c r="G846" t="n">
        <v>0.6</v>
      </c>
      <c r="H846" t="n">
        <v>0</v>
      </c>
      <c r="I846" t="n">
        <v>0</v>
      </c>
      <c r="J846" t="n">
        <v>0</v>
      </c>
      <c r="K846" t="n">
        <v>0</v>
      </c>
      <c r="L846" t="n">
        <v>0</v>
      </c>
      <c r="M846" t="n">
        <v>0</v>
      </c>
      <c r="N846" t="n">
        <v>0</v>
      </c>
      <c r="O846" t="n">
        <v>0</v>
      </c>
      <c r="P846" t="n">
        <v>0</v>
      </c>
      <c r="Q846" t="n">
        <v>0</v>
      </c>
      <c r="R846" s="2" t="inlineStr"/>
    </row>
    <row r="847" ht="15" customHeight="1">
      <c r="A847" t="inlineStr">
        <is>
          <t>A 1717-2025</t>
        </is>
      </c>
      <c r="B847" s="1" t="n">
        <v>45671.32938657407</v>
      </c>
      <c r="C847" s="1" t="n">
        <v>46011</v>
      </c>
      <c r="D847" t="inlineStr">
        <is>
          <t>VÄRMLANDS LÄN</t>
        </is>
      </c>
      <c r="E847" t="inlineStr">
        <is>
          <t>ÅRJÄNG</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62240-2022</t>
        </is>
      </c>
      <c r="B848" s="1" t="n">
        <v>44922</v>
      </c>
      <c r="C848" s="1" t="n">
        <v>46011</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60265-2025</t>
        </is>
      </c>
      <c r="B849" s="1" t="n">
        <v>45994</v>
      </c>
      <c r="C849" s="1" t="n">
        <v>46011</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13871-2025</t>
        </is>
      </c>
      <c r="B850" s="1" t="n">
        <v>45737.58568287037</v>
      </c>
      <c r="C850" s="1" t="n">
        <v>46011</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52709-2025</t>
        </is>
      </c>
      <c r="B851" s="1" t="n">
        <v>45953</v>
      </c>
      <c r="C851" s="1" t="n">
        <v>46011</v>
      </c>
      <c r="D851" t="inlineStr">
        <is>
          <t>VÄRMLANDS LÄN</t>
        </is>
      </c>
      <c r="E851" t="inlineStr">
        <is>
          <t>ÅRJÄNG</t>
        </is>
      </c>
      <c r="G851" t="n">
        <v>3</v>
      </c>
      <c r="H851" t="n">
        <v>0</v>
      </c>
      <c r="I851" t="n">
        <v>0</v>
      </c>
      <c r="J851" t="n">
        <v>0</v>
      </c>
      <c r="K851" t="n">
        <v>0</v>
      </c>
      <c r="L851" t="n">
        <v>0</v>
      </c>
      <c r="M851" t="n">
        <v>0</v>
      </c>
      <c r="N851" t="n">
        <v>0</v>
      </c>
      <c r="O851" t="n">
        <v>0</v>
      </c>
      <c r="P851" t="n">
        <v>0</v>
      </c>
      <c r="Q851" t="n">
        <v>0</v>
      </c>
      <c r="R851" s="2" t="inlineStr"/>
    </row>
    <row r="852" ht="15" customHeight="1">
      <c r="A852" t="inlineStr">
        <is>
          <t>A 60658-2025</t>
        </is>
      </c>
      <c r="B852" s="1" t="n">
        <v>45996</v>
      </c>
      <c r="C852" s="1" t="n">
        <v>46011</v>
      </c>
      <c r="D852" t="inlineStr">
        <is>
          <t>VÄRMLANDS LÄN</t>
        </is>
      </c>
      <c r="E852" t="inlineStr">
        <is>
          <t>ÅRJÄNG</t>
        </is>
      </c>
      <c r="G852" t="n">
        <v>10.5</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46011</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60663-2025</t>
        </is>
      </c>
      <c r="B854" s="1" t="n">
        <v>45996</v>
      </c>
      <c r="C854" s="1" t="n">
        <v>46011</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55091-2023</t>
        </is>
      </c>
      <c r="B855" s="1" t="n">
        <v>45237</v>
      </c>
      <c r="C855" s="1" t="n">
        <v>46011</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55517-2023</t>
        </is>
      </c>
      <c r="B856" s="1" t="n">
        <v>45232</v>
      </c>
      <c r="C856" s="1" t="n">
        <v>46011</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32950-2024</t>
        </is>
      </c>
      <c r="B857" s="1" t="n">
        <v>45517.36038194445</v>
      </c>
      <c r="C857" s="1" t="n">
        <v>46011</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37409-2025</t>
        </is>
      </c>
      <c r="B858" s="1" t="n">
        <v>45877</v>
      </c>
      <c r="C858" s="1" t="n">
        <v>46011</v>
      </c>
      <c r="D858" t="inlineStr">
        <is>
          <t>VÄRMLANDS LÄN</t>
        </is>
      </c>
      <c r="E858" t="inlineStr">
        <is>
          <t>ÅRJÄNG</t>
        </is>
      </c>
      <c r="G858" t="n">
        <v>4.8</v>
      </c>
      <c r="H858" t="n">
        <v>0</v>
      </c>
      <c r="I858" t="n">
        <v>0</v>
      </c>
      <c r="J858" t="n">
        <v>0</v>
      </c>
      <c r="K858" t="n">
        <v>0</v>
      </c>
      <c r="L858" t="n">
        <v>0</v>
      </c>
      <c r="M858" t="n">
        <v>0</v>
      </c>
      <c r="N858" t="n">
        <v>0</v>
      </c>
      <c r="O858" t="n">
        <v>0</v>
      </c>
      <c r="P858" t="n">
        <v>0</v>
      </c>
      <c r="Q858" t="n">
        <v>0</v>
      </c>
      <c r="R858" s="2" t="inlineStr"/>
    </row>
    <row r="859" ht="15" customHeight="1">
      <c r="A859" t="inlineStr">
        <is>
          <t>A 60657-2025</t>
        </is>
      </c>
      <c r="B859" s="1" t="n">
        <v>45996</v>
      </c>
      <c r="C859" s="1" t="n">
        <v>46011</v>
      </c>
      <c r="D859" t="inlineStr">
        <is>
          <t>VÄRMLANDS LÄN</t>
        </is>
      </c>
      <c r="E859" t="inlineStr">
        <is>
          <t>ÅRJÄNG</t>
        </is>
      </c>
      <c r="G859" t="n">
        <v>1.2</v>
      </c>
      <c r="H859" t="n">
        <v>0</v>
      </c>
      <c r="I859" t="n">
        <v>0</v>
      </c>
      <c r="J859" t="n">
        <v>0</v>
      </c>
      <c r="K859" t="n">
        <v>0</v>
      </c>
      <c r="L859" t="n">
        <v>0</v>
      </c>
      <c r="M859" t="n">
        <v>0</v>
      </c>
      <c r="N859" t="n">
        <v>0</v>
      </c>
      <c r="O859" t="n">
        <v>0</v>
      </c>
      <c r="P859" t="n">
        <v>0</v>
      </c>
      <c r="Q859" t="n">
        <v>0</v>
      </c>
      <c r="R859" s="2" t="inlineStr"/>
    </row>
    <row r="860" ht="15" customHeight="1">
      <c r="A860" t="inlineStr">
        <is>
          <t>A 60659-2025</t>
        </is>
      </c>
      <c r="B860" s="1" t="n">
        <v>45996</v>
      </c>
      <c r="C860" s="1" t="n">
        <v>46011</v>
      </c>
      <c r="D860" t="inlineStr">
        <is>
          <t>VÄRMLANDS LÄN</t>
        </is>
      </c>
      <c r="E860" t="inlineStr">
        <is>
          <t>ÅRJÄNG</t>
        </is>
      </c>
      <c r="G860" t="n">
        <v>10.2</v>
      </c>
      <c r="H860" t="n">
        <v>0</v>
      </c>
      <c r="I860" t="n">
        <v>0</v>
      </c>
      <c r="J860" t="n">
        <v>0</v>
      </c>
      <c r="K860" t="n">
        <v>0</v>
      </c>
      <c r="L860" t="n">
        <v>0</v>
      </c>
      <c r="M860" t="n">
        <v>0</v>
      </c>
      <c r="N860" t="n">
        <v>0</v>
      </c>
      <c r="O860" t="n">
        <v>0</v>
      </c>
      <c r="P860" t="n">
        <v>0</v>
      </c>
      <c r="Q860" t="n">
        <v>0</v>
      </c>
      <c r="R860" s="2" t="inlineStr"/>
    </row>
    <row r="861" ht="15" customHeight="1">
      <c r="A861" t="inlineStr">
        <is>
          <t>A 34205-2025</t>
        </is>
      </c>
      <c r="B861" s="1" t="n">
        <v>45845</v>
      </c>
      <c r="C861" s="1" t="n">
        <v>46011</v>
      </c>
      <c r="D861" t="inlineStr">
        <is>
          <t>VÄRMLANDS LÄN</t>
        </is>
      </c>
      <c r="E861" t="inlineStr">
        <is>
          <t>ÅRJÄNG</t>
        </is>
      </c>
      <c r="G861" t="n">
        <v>4.4</v>
      </c>
      <c r="H861" t="n">
        <v>0</v>
      </c>
      <c r="I861" t="n">
        <v>0</v>
      </c>
      <c r="J861" t="n">
        <v>0</v>
      </c>
      <c r="K861" t="n">
        <v>0</v>
      </c>
      <c r="L861" t="n">
        <v>0</v>
      </c>
      <c r="M861" t="n">
        <v>0</v>
      </c>
      <c r="N861" t="n">
        <v>0</v>
      </c>
      <c r="O861" t="n">
        <v>0</v>
      </c>
      <c r="P861" t="n">
        <v>0</v>
      </c>
      <c r="Q861" t="n">
        <v>0</v>
      </c>
      <c r="R861" s="2" t="inlineStr"/>
    </row>
    <row r="862" ht="15" customHeight="1">
      <c r="A862" t="inlineStr">
        <is>
          <t>A 15210-2025</t>
        </is>
      </c>
      <c r="B862" s="1" t="n">
        <v>45744</v>
      </c>
      <c r="C862" s="1" t="n">
        <v>46011</v>
      </c>
      <c r="D862" t="inlineStr">
        <is>
          <t>VÄRMLANDS LÄN</t>
        </is>
      </c>
      <c r="E862" t="inlineStr">
        <is>
          <t>ÅRJÄNG</t>
        </is>
      </c>
      <c r="G862" t="n">
        <v>2.7</v>
      </c>
      <c r="H862" t="n">
        <v>0</v>
      </c>
      <c r="I862" t="n">
        <v>0</v>
      </c>
      <c r="J862" t="n">
        <v>0</v>
      </c>
      <c r="K862" t="n">
        <v>0</v>
      </c>
      <c r="L862" t="n">
        <v>0</v>
      </c>
      <c r="M862" t="n">
        <v>0</v>
      </c>
      <c r="N862" t="n">
        <v>0</v>
      </c>
      <c r="O862" t="n">
        <v>0</v>
      </c>
      <c r="P862" t="n">
        <v>0</v>
      </c>
      <c r="Q862" t="n">
        <v>0</v>
      </c>
      <c r="R862" s="2" t="inlineStr"/>
    </row>
    <row r="863" ht="15" customHeight="1">
      <c r="A863" t="inlineStr">
        <is>
          <t>A 53103-2025</t>
        </is>
      </c>
      <c r="B863" s="1" t="n">
        <v>45958.43097222222</v>
      </c>
      <c r="C863" s="1" t="n">
        <v>46011</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53022-2025</t>
        </is>
      </c>
      <c r="B864" s="1" t="n">
        <v>45958.24024305555</v>
      </c>
      <c r="C864" s="1" t="n">
        <v>46011</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16112-2025</t>
        </is>
      </c>
      <c r="B865" s="1" t="n">
        <v>45750.37240740741</v>
      </c>
      <c r="C865" s="1" t="n">
        <v>46011</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5095-2023</t>
        </is>
      </c>
      <c r="B866" s="1" t="n">
        <v>44953</v>
      </c>
      <c r="C866" s="1" t="n">
        <v>46011</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37325-2024</t>
        </is>
      </c>
      <c r="B867" s="1" t="n">
        <v>45540</v>
      </c>
      <c r="C867" s="1" t="n">
        <v>46011</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12659-2025</t>
        </is>
      </c>
      <c r="B868" s="1" t="n">
        <v>45733.42350694445</v>
      </c>
      <c r="C868" s="1" t="n">
        <v>46011</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58788-2024</t>
        </is>
      </c>
      <c r="B869" s="1" t="n">
        <v>45635.96372685185</v>
      </c>
      <c r="C869" s="1" t="n">
        <v>46011</v>
      </c>
      <c r="D869" t="inlineStr">
        <is>
          <t>VÄRMLANDS LÄN</t>
        </is>
      </c>
      <c r="E869" t="inlineStr">
        <is>
          <t>ÅRJÄNG</t>
        </is>
      </c>
      <c r="G869" t="n">
        <v>12.4</v>
      </c>
      <c r="H869" t="n">
        <v>0</v>
      </c>
      <c r="I869" t="n">
        <v>0</v>
      </c>
      <c r="J869" t="n">
        <v>0</v>
      </c>
      <c r="K869" t="n">
        <v>0</v>
      </c>
      <c r="L869" t="n">
        <v>0</v>
      </c>
      <c r="M869" t="n">
        <v>0</v>
      </c>
      <c r="N869" t="n">
        <v>0</v>
      </c>
      <c r="O869" t="n">
        <v>0</v>
      </c>
      <c r="P869" t="n">
        <v>0</v>
      </c>
      <c r="Q869" t="n">
        <v>0</v>
      </c>
      <c r="R869" s="2" t="inlineStr"/>
    </row>
    <row r="870" ht="15" customHeight="1">
      <c r="A870" t="inlineStr">
        <is>
          <t>A 53024-2025</t>
        </is>
      </c>
      <c r="B870" s="1" t="n">
        <v>45958.32211805556</v>
      </c>
      <c r="C870" s="1" t="n">
        <v>46011</v>
      </c>
      <c r="D870" t="inlineStr">
        <is>
          <t>VÄRMLANDS LÄN</t>
        </is>
      </c>
      <c r="E870" t="inlineStr">
        <is>
          <t>ÅRJÄNG</t>
        </is>
      </c>
      <c r="G870" t="n">
        <v>2.1</v>
      </c>
      <c r="H870" t="n">
        <v>0</v>
      </c>
      <c r="I870" t="n">
        <v>0</v>
      </c>
      <c r="J870" t="n">
        <v>0</v>
      </c>
      <c r="K870" t="n">
        <v>0</v>
      </c>
      <c r="L870" t="n">
        <v>0</v>
      </c>
      <c r="M870" t="n">
        <v>0</v>
      </c>
      <c r="N870" t="n">
        <v>0</v>
      </c>
      <c r="O870" t="n">
        <v>0</v>
      </c>
      <c r="P870" t="n">
        <v>0</v>
      </c>
      <c r="Q870" t="n">
        <v>0</v>
      </c>
      <c r="R870" s="2" t="inlineStr"/>
    </row>
    <row r="871" ht="15" customHeight="1">
      <c r="A871" t="inlineStr">
        <is>
          <t>A 60377-2023</t>
        </is>
      </c>
      <c r="B871" s="1" t="n">
        <v>45259.40993055556</v>
      </c>
      <c r="C871" s="1" t="n">
        <v>46011</v>
      </c>
      <c r="D871" t="inlineStr">
        <is>
          <t>VÄRMLANDS LÄN</t>
        </is>
      </c>
      <c r="E871" t="inlineStr">
        <is>
          <t>ÅRJÄNG</t>
        </is>
      </c>
      <c r="G871" t="n">
        <v>3.1</v>
      </c>
      <c r="H871" t="n">
        <v>0</v>
      </c>
      <c r="I871" t="n">
        <v>0</v>
      </c>
      <c r="J871" t="n">
        <v>0</v>
      </c>
      <c r="K871" t="n">
        <v>0</v>
      </c>
      <c r="L871" t="n">
        <v>0</v>
      </c>
      <c r="M871" t="n">
        <v>0</v>
      </c>
      <c r="N871" t="n">
        <v>0</v>
      </c>
      <c r="O871" t="n">
        <v>0</v>
      </c>
      <c r="P871" t="n">
        <v>0</v>
      </c>
      <c r="Q871" t="n">
        <v>0</v>
      </c>
      <c r="R871" s="2" t="inlineStr"/>
    </row>
    <row r="872" ht="15" customHeight="1">
      <c r="A872" t="inlineStr">
        <is>
          <t>A 61050-2025</t>
        </is>
      </c>
      <c r="B872" s="1" t="n">
        <v>46000.32225694445</v>
      </c>
      <c r="C872" s="1" t="n">
        <v>46011</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23334-2023</t>
        </is>
      </c>
      <c r="B873" s="1" t="n">
        <v>45076</v>
      </c>
      <c r="C873" s="1" t="n">
        <v>46011</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60826-2025</t>
        </is>
      </c>
      <c r="B874" s="1" t="n">
        <v>45999.46019675926</v>
      </c>
      <c r="C874" s="1" t="n">
        <v>46011</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61097-2025</t>
        </is>
      </c>
      <c r="B875" s="1" t="n">
        <v>46000.43695601852</v>
      </c>
      <c r="C875" s="1" t="n">
        <v>46011</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37353-2024</t>
        </is>
      </c>
      <c r="B876" s="1" t="n">
        <v>45540</v>
      </c>
      <c r="C876" s="1" t="n">
        <v>46011</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54425-2021</t>
        </is>
      </c>
      <c r="B877" s="1" t="n">
        <v>44459</v>
      </c>
      <c r="C877" s="1" t="n">
        <v>46011</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61006-2025</t>
        </is>
      </c>
      <c r="B878" s="1" t="n">
        <v>45997</v>
      </c>
      <c r="C878" s="1" t="n">
        <v>46011</v>
      </c>
      <c r="D878" t="inlineStr">
        <is>
          <t>VÄRMLANDS LÄN</t>
        </is>
      </c>
      <c r="E878" t="inlineStr">
        <is>
          <t>ÅRJÄNG</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53160-2025</t>
        </is>
      </c>
      <c r="B879" s="1" t="n">
        <v>45958.49123842592</v>
      </c>
      <c r="C879" s="1" t="n">
        <v>46011</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61053-2025</t>
        </is>
      </c>
      <c r="B880" s="1" t="n">
        <v>46000.32866898148</v>
      </c>
      <c r="C880" s="1" t="n">
        <v>46011</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42783-2024</t>
        </is>
      </c>
      <c r="B881" s="1" t="n">
        <v>45566</v>
      </c>
      <c r="C881" s="1" t="n">
        <v>46011</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53073-2025</t>
        </is>
      </c>
      <c r="B882" s="1" t="n">
        <v>45958.38311342592</v>
      </c>
      <c r="C882" s="1" t="n">
        <v>46011</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36706-2024</t>
        </is>
      </c>
      <c r="B883" s="1" t="n">
        <v>45537</v>
      </c>
      <c r="C883" s="1" t="n">
        <v>46011</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53158-2025</t>
        </is>
      </c>
      <c r="B884" s="1" t="n">
        <v>45958.49064814814</v>
      </c>
      <c r="C884" s="1" t="n">
        <v>46011</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61113-2025</t>
        </is>
      </c>
      <c r="B885" s="1" t="n">
        <v>45999</v>
      </c>
      <c r="C885" s="1" t="n">
        <v>46011</v>
      </c>
      <c r="D885" t="inlineStr">
        <is>
          <t>VÄRMLANDS LÄN</t>
        </is>
      </c>
      <c r="E885" t="inlineStr">
        <is>
          <t>ÅRJÄNG</t>
        </is>
      </c>
      <c r="G885" t="n">
        <v>7.6</v>
      </c>
      <c r="H885" t="n">
        <v>0</v>
      </c>
      <c r="I885" t="n">
        <v>0</v>
      </c>
      <c r="J885" t="n">
        <v>0</v>
      </c>
      <c r="K885" t="n">
        <v>0</v>
      </c>
      <c r="L885" t="n">
        <v>0</v>
      </c>
      <c r="M885" t="n">
        <v>0</v>
      </c>
      <c r="N885" t="n">
        <v>0</v>
      </c>
      <c r="O885" t="n">
        <v>0</v>
      </c>
      <c r="P885" t="n">
        <v>0</v>
      </c>
      <c r="Q885" t="n">
        <v>0</v>
      </c>
      <c r="R885" s="2" t="inlineStr"/>
    </row>
    <row r="886" ht="15" customHeight="1">
      <c r="A886" t="inlineStr">
        <is>
          <t>A 61126-2025</t>
        </is>
      </c>
      <c r="B886" s="1" t="n">
        <v>46000.48131944444</v>
      </c>
      <c r="C886" s="1" t="n">
        <v>46011</v>
      </c>
      <c r="D886" t="inlineStr">
        <is>
          <t>VÄRMLANDS LÄN</t>
        </is>
      </c>
      <c r="E886" t="inlineStr">
        <is>
          <t>ÅRJÄNG</t>
        </is>
      </c>
      <c r="G886" t="n">
        <v>2.7</v>
      </c>
      <c r="H886" t="n">
        <v>0</v>
      </c>
      <c r="I886" t="n">
        <v>0</v>
      </c>
      <c r="J886" t="n">
        <v>0</v>
      </c>
      <c r="K886" t="n">
        <v>0</v>
      </c>
      <c r="L886" t="n">
        <v>0</v>
      </c>
      <c r="M886" t="n">
        <v>0</v>
      </c>
      <c r="N886" t="n">
        <v>0</v>
      </c>
      <c r="O886" t="n">
        <v>0</v>
      </c>
      <c r="P886" t="n">
        <v>0</v>
      </c>
      <c r="Q886" t="n">
        <v>0</v>
      </c>
      <c r="R886" s="2" t="inlineStr"/>
    </row>
    <row r="887" ht="15" customHeight="1">
      <c r="A887" t="inlineStr">
        <is>
          <t>A 52855-2025</t>
        </is>
      </c>
      <c r="B887" s="1" t="n">
        <v>45957.50030092592</v>
      </c>
      <c r="C887" s="1" t="n">
        <v>46011</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60801-2025</t>
        </is>
      </c>
      <c r="B888" s="1" t="n">
        <v>45999.43131944445</v>
      </c>
      <c r="C888" s="1" t="n">
        <v>46011</v>
      </c>
      <c r="D888" t="inlineStr">
        <is>
          <t>VÄRMLANDS LÄN</t>
        </is>
      </c>
      <c r="E888" t="inlineStr">
        <is>
          <t>ÅRJÄNG</t>
        </is>
      </c>
      <c r="G888" t="n">
        <v>3.8</v>
      </c>
      <c r="H888" t="n">
        <v>0</v>
      </c>
      <c r="I888" t="n">
        <v>0</v>
      </c>
      <c r="J888" t="n">
        <v>0</v>
      </c>
      <c r="K888" t="n">
        <v>0</v>
      </c>
      <c r="L888" t="n">
        <v>0</v>
      </c>
      <c r="M888" t="n">
        <v>0</v>
      </c>
      <c r="N888" t="n">
        <v>0</v>
      </c>
      <c r="O888" t="n">
        <v>0</v>
      </c>
      <c r="P888" t="n">
        <v>0</v>
      </c>
      <c r="Q888" t="n">
        <v>0</v>
      </c>
      <c r="R888" s="2" t="inlineStr"/>
    </row>
    <row r="889" ht="15" customHeight="1">
      <c r="A889" t="inlineStr">
        <is>
          <t>A 61547-2025</t>
        </is>
      </c>
      <c r="B889" s="1" t="n">
        <v>46001</v>
      </c>
      <c r="C889" s="1" t="n">
        <v>46011</v>
      </c>
      <c r="D889" t="inlineStr">
        <is>
          <t>VÄRMLANDS LÄN</t>
        </is>
      </c>
      <c r="E889" t="inlineStr">
        <is>
          <t>ÅRJÄNG</t>
        </is>
      </c>
      <c r="G889" t="n">
        <v>5.2</v>
      </c>
      <c r="H889" t="n">
        <v>0</v>
      </c>
      <c r="I889" t="n">
        <v>0</v>
      </c>
      <c r="J889" t="n">
        <v>0</v>
      </c>
      <c r="K889" t="n">
        <v>0</v>
      </c>
      <c r="L889" t="n">
        <v>0</v>
      </c>
      <c r="M889" t="n">
        <v>0</v>
      </c>
      <c r="N889" t="n">
        <v>0</v>
      </c>
      <c r="O889" t="n">
        <v>0</v>
      </c>
      <c r="P889" t="n">
        <v>0</v>
      </c>
      <c r="Q889" t="n">
        <v>0</v>
      </c>
      <c r="R889" s="2" t="inlineStr"/>
    </row>
    <row r="890" ht="15" customHeight="1">
      <c r="A890" t="inlineStr">
        <is>
          <t>A 13869-2025</t>
        </is>
      </c>
      <c r="B890" s="1" t="n">
        <v>45737.58268518518</v>
      </c>
      <c r="C890" s="1" t="n">
        <v>46011</v>
      </c>
      <c r="D890" t="inlineStr">
        <is>
          <t>VÄRMLANDS LÄN</t>
        </is>
      </c>
      <c r="E890" t="inlineStr">
        <is>
          <t>ÅRJÄNG</t>
        </is>
      </c>
      <c r="G890" t="n">
        <v>0.5</v>
      </c>
      <c r="H890" t="n">
        <v>0</v>
      </c>
      <c r="I890" t="n">
        <v>0</v>
      </c>
      <c r="J890" t="n">
        <v>0</v>
      </c>
      <c r="K890" t="n">
        <v>0</v>
      </c>
      <c r="L890" t="n">
        <v>0</v>
      </c>
      <c r="M890" t="n">
        <v>0</v>
      </c>
      <c r="N890" t="n">
        <v>0</v>
      </c>
      <c r="O890" t="n">
        <v>0</v>
      </c>
      <c r="P890" t="n">
        <v>0</v>
      </c>
      <c r="Q890" t="n">
        <v>0</v>
      </c>
      <c r="R890" s="2" t="inlineStr"/>
    </row>
    <row r="891" ht="15" customHeight="1">
      <c r="A891" t="inlineStr">
        <is>
          <t>A 74463-2021</t>
        </is>
      </c>
      <c r="B891" s="1" t="n">
        <v>44560.5255787037</v>
      </c>
      <c r="C891" s="1" t="n">
        <v>46011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62963-2023</t>
        </is>
      </c>
      <c r="B892" s="1" t="n">
        <v>45271</v>
      </c>
      <c r="C892" s="1" t="n">
        <v>46011</v>
      </c>
      <c r="D892" t="inlineStr">
        <is>
          <t>VÄRMLANDS LÄN</t>
        </is>
      </c>
      <c r="E892" t="inlineStr">
        <is>
          <t>ÅRJÄNG</t>
        </is>
      </c>
      <c r="G892" t="n">
        <v>0.5</v>
      </c>
      <c r="H892" t="n">
        <v>0</v>
      </c>
      <c r="I892" t="n">
        <v>0</v>
      </c>
      <c r="J892" t="n">
        <v>0</v>
      </c>
      <c r="K892" t="n">
        <v>0</v>
      </c>
      <c r="L892" t="n">
        <v>0</v>
      </c>
      <c r="M892" t="n">
        <v>0</v>
      </c>
      <c r="N892" t="n">
        <v>0</v>
      </c>
      <c r="O892" t="n">
        <v>0</v>
      </c>
      <c r="P892" t="n">
        <v>0</v>
      </c>
      <c r="Q892" t="n">
        <v>0</v>
      </c>
      <c r="R892" s="2" t="inlineStr"/>
    </row>
    <row r="893" ht="15" customHeight="1">
      <c r="A893" t="inlineStr">
        <is>
          <t>A 59479-2024</t>
        </is>
      </c>
      <c r="B893" s="1" t="n">
        <v>45638.52420138889</v>
      </c>
      <c r="C893" s="1" t="n">
        <v>46011</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34144-2022</t>
        </is>
      </c>
      <c r="B894" s="1" t="n">
        <v>44791.55983796297</v>
      </c>
      <c r="C894" s="1" t="n">
        <v>46011</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27045-2021</t>
        </is>
      </c>
      <c r="B895" s="1" t="n">
        <v>44350.43223379629</v>
      </c>
      <c r="C895" s="1" t="n">
        <v>46011</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61814-2024</t>
        </is>
      </c>
      <c r="B896" s="1" t="n">
        <v>45646</v>
      </c>
      <c r="C896" s="1" t="n">
        <v>46011</v>
      </c>
      <c r="D896" t="inlineStr">
        <is>
          <t>VÄRMLANDS LÄN</t>
        </is>
      </c>
      <c r="E896" t="inlineStr">
        <is>
          <t>ÅRJÄNG</t>
        </is>
      </c>
      <c r="G896" t="n">
        <v>5.3</v>
      </c>
      <c r="H896" t="n">
        <v>0</v>
      </c>
      <c r="I896" t="n">
        <v>0</v>
      </c>
      <c r="J896" t="n">
        <v>0</v>
      </c>
      <c r="K896" t="n">
        <v>0</v>
      </c>
      <c r="L896" t="n">
        <v>0</v>
      </c>
      <c r="M896" t="n">
        <v>0</v>
      </c>
      <c r="N896" t="n">
        <v>0</v>
      </c>
      <c r="O896" t="n">
        <v>0</v>
      </c>
      <c r="P896" t="n">
        <v>0</v>
      </c>
      <c r="Q896" t="n">
        <v>0</v>
      </c>
      <c r="R896" s="2" t="inlineStr"/>
    </row>
    <row r="897" ht="15" customHeight="1">
      <c r="A897" t="inlineStr">
        <is>
          <t>A 15575-2025</t>
        </is>
      </c>
      <c r="B897" s="1" t="n">
        <v>45747</v>
      </c>
      <c r="C897" s="1" t="n">
        <v>46011</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15577-2025</t>
        </is>
      </c>
      <c r="B898" s="1" t="n">
        <v>45747</v>
      </c>
      <c r="C898" s="1" t="n">
        <v>46011</v>
      </c>
      <c r="D898" t="inlineStr">
        <is>
          <t>VÄRMLANDS LÄN</t>
        </is>
      </c>
      <c r="E898" t="inlineStr">
        <is>
          <t>ÅRJÄNG</t>
        </is>
      </c>
      <c r="G898" t="n">
        <v>2.4</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46011</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53298-2025</t>
        </is>
      </c>
      <c r="B900" s="1" t="n">
        <v>45959.23447916667</v>
      </c>
      <c r="C900" s="1" t="n">
        <v>46011</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53642-2025</t>
        </is>
      </c>
      <c r="B901" s="1" t="n">
        <v>45960.51290509259</v>
      </c>
      <c r="C901" s="1" t="n">
        <v>46011</v>
      </c>
      <c r="D901" t="inlineStr">
        <is>
          <t>VÄRMLANDS LÄN</t>
        </is>
      </c>
      <c r="E901" t="inlineStr">
        <is>
          <t>ÅRJÄNG</t>
        </is>
      </c>
      <c r="G901" t="n">
        <v>3.7</v>
      </c>
      <c r="H901" t="n">
        <v>0</v>
      </c>
      <c r="I901" t="n">
        <v>0</v>
      </c>
      <c r="J901" t="n">
        <v>0</v>
      </c>
      <c r="K901" t="n">
        <v>0</v>
      </c>
      <c r="L901" t="n">
        <v>0</v>
      </c>
      <c r="M901" t="n">
        <v>0</v>
      </c>
      <c r="N901" t="n">
        <v>0</v>
      </c>
      <c r="O901" t="n">
        <v>0</v>
      </c>
      <c r="P901" t="n">
        <v>0</v>
      </c>
      <c r="Q901" t="n">
        <v>0</v>
      </c>
      <c r="R901" s="2" t="inlineStr"/>
    </row>
    <row r="902" ht="15" customHeight="1">
      <c r="A902" t="inlineStr">
        <is>
          <t>A 15237-2025</t>
        </is>
      </c>
      <c r="B902" s="1" t="n">
        <v>45744</v>
      </c>
      <c r="C902" s="1" t="n">
        <v>46011</v>
      </c>
      <c r="D902" t="inlineStr">
        <is>
          <t>VÄRMLANDS LÄN</t>
        </is>
      </c>
      <c r="E902" t="inlineStr">
        <is>
          <t>ÅRJÄNG</t>
        </is>
      </c>
      <c r="G902" t="n">
        <v>29.5</v>
      </c>
      <c r="H902" t="n">
        <v>0</v>
      </c>
      <c r="I902" t="n">
        <v>0</v>
      </c>
      <c r="J902" t="n">
        <v>0</v>
      </c>
      <c r="K902" t="n">
        <v>0</v>
      </c>
      <c r="L902" t="n">
        <v>0</v>
      </c>
      <c r="M902" t="n">
        <v>0</v>
      </c>
      <c r="N902" t="n">
        <v>0</v>
      </c>
      <c r="O902" t="n">
        <v>0</v>
      </c>
      <c r="P902" t="n">
        <v>0</v>
      </c>
      <c r="Q902" t="n">
        <v>0</v>
      </c>
      <c r="R902" s="2" t="inlineStr"/>
    </row>
    <row r="903" ht="15" customHeight="1">
      <c r="A903" t="inlineStr">
        <is>
          <t>A 61631-2025</t>
        </is>
      </c>
      <c r="B903" s="1" t="n">
        <v>46002.4105787037</v>
      </c>
      <c r="C903" s="1" t="n">
        <v>46011</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61548-2025</t>
        </is>
      </c>
      <c r="B904" s="1" t="n">
        <v>46001</v>
      </c>
      <c r="C904" s="1" t="n">
        <v>46011</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6354-2024</t>
        </is>
      </c>
      <c r="B905" s="1" t="n">
        <v>45338.46987268519</v>
      </c>
      <c r="C905" s="1" t="n">
        <v>46011</v>
      </c>
      <c r="D905" t="inlineStr">
        <is>
          <t>VÄRMLANDS LÄN</t>
        </is>
      </c>
      <c r="E905" t="inlineStr">
        <is>
          <t>ÅRJÄNG</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45960.65855324074</v>
      </c>
      <c r="C906" s="1" t="n">
        <v>46011</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53752-2025</t>
        </is>
      </c>
      <c r="B907" s="1" t="n">
        <v>45960.66131944444</v>
      </c>
      <c r="C907" s="1" t="n">
        <v>46011</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54155-2025</t>
        </is>
      </c>
      <c r="B908" s="1" t="n">
        <v>45964.49306712963</v>
      </c>
      <c r="C908" s="1" t="n">
        <v>46011</v>
      </c>
      <c r="D908" t="inlineStr">
        <is>
          <t>VÄRMLANDS LÄN</t>
        </is>
      </c>
      <c r="E908" t="inlineStr">
        <is>
          <t>ÅRJÄNG</t>
        </is>
      </c>
      <c r="G908" t="n">
        <v>7.2</v>
      </c>
      <c r="H908" t="n">
        <v>0</v>
      </c>
      <c r="I908" t="n">
        <v>0</v>
      </c>
      <c r="J908" t="n">
        <v>0</v>
      </c>
      <c r="K908" t="n">
        <v>0</v>
      </c>
      <c r="L908" t="n">
        <v>0</v>
      </c>
      <c r="M908" t="n">
        <v>0</v>
      </c>
      <c r="N908" t="n">
        <v>0</v>
      </c>
      <c r="O908" t="n">
        <v>0</v>
      </c>
      <c r="P908" t="n">
        <v>0</v>
      </c>
      <c r="Q908" t="n">
        <v>0</v>
      </c>
      <c r="R908" s="2" t="inlineStr"/>
    </row>
    <row r="909" ht="15" customHeight="1">
      <c r="A909" t="inlineStr">
        <is>
          <t>A 53929-2025</t>
        </is>
      </c>
      <c r="B909" s="1" t="n">
        <v>45961</v>
      </c>
      <c r="C909" s="1" t="n">
        <v>46011</v>
      </c>
      <c r="D909" t="inlineStr">
        <is>
          <t>VÄRMLANDS LÄN</t>
        </is>
      </c>
      <c r="E909" t="inlineStr">
        <is>
          <t>ÅRJÄNG</t>
        </is>
      </c>
      <c r="F909" t="inlineStr">
        <is>
          <t>Bergvik skog väst AB</t>
        </is>
      </c>
      <c r="G909" t="n">
        <v>34.3</v>
      </c>
      <c r="H909" t="n">
        <v>0</v>
      </c>
      <c r="I909" t="n">
        <v>0</v>
      </c>
      <c r="J909" t="n">
        <v>0</v>
      </c>
      <c r="K909" t="n">
        <v>0</v>
      </c>
      <c r="L909" t="n">
        <v>0</v>
      </c>
      <c r="M909" t="n">
        <v>0</v>
      </c>
      <c r="N909" t="n">
        <v>0</v>
      </c>
      <c r="O909" t="n">
        <v>0</v>
      </c>
      <c r="P909" t="n">
        <v>0</v>
      </c>
      <c r="Q909" t="n">
        <v>0</v>
      </c>
      <c r="R909" s="2" t="inlineStr"/>
    </row>
    <row r="910" ht="15" customHeight="1">
      <c r="A910" t="inlineStr">
        <is>
          <t>A 21519-2024</t>
        </is>
      </c>
      <c r="B910" s="1" t="n">
        <v>45441</v>
      </c>
      <c r="C910" s="1" t="n">
        <v>46011</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11776-2025</t>
        </is>
      </c>
      <c r="B911" s="1" t="n">
        <v>45727.70334490741</v>
      </c>
      <c r="C911" s="1" t="n">
        <v>46011</v>
      </c>
      <c r="D911" t="inlineStr">
        <is>
          <t>VÄRMLANDS LÄN</t>
        </is>
      </c>
      <c r="E911" t="inlineStr">
        <is>
          <t>ÅRJÄNG</t>
        </is>
      </c>
      <c r="G911" t="n">
        <v>7.2</v>
      </c>
      <c r="H911" t="n">
        <v>0</v>
      </c>
      <c r="I911" t="n">
        <v>0</v>
      </c>
      <c r="J911" t="n">
        <v>0</v>
      </c>
      <c r="K911" t="n">
        <v>0</v>
      </c>
      <c r="L911" t="n">
        <v>0</v>
      </c>
      <c r="M911" t="n">
        <v>0</v>
      </c>
      <c r="N911" t="n">
        <v>0</v>
      </c>
      <c r="O911" t="n">
        <v>0</v>
      </c>
      <c r="P911" t="n">
        <v>0</v>
      </c>
      <c r="Q911" t="n">
        <v>0</v>
      </c>
      <c r="R911" s="2" t="inlineStr"/>
    </row>
    <row r="912" ht="15" customHeight="1">
      <c r="A912" t="inlineStr">
        <is>
          <t>A 62086-2025</t>
        </is>
      </c>
      <c r="B912" s="1" t="n">
        <v>46006.37521990741</v>
      </c>
      <c r="C912" s="1" t="n">
        <v>46011</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20337-2023</t>
        </is>
      </c>
      <c r="B913" s="1" t="n">
        <v>45056.48157407407</v>
      </c>
      <c r="C913" s="1" t="n">
        <v>46011</v>
      </c>
      <c r="D913" t="inlineStr">
        <is>
          <t>VÄRMLANDS LÄN</t>
        </is>
      </c>
      <c r="E913" t="inlineStr">
        <is>
          <t>ÅRJÄNG</t>
        </is>
      </c>
      <c r="G913" t="n">
        <v>3.1</v>
      </c>
      <c r="H913" t="n">
        <v>0</v>
      </c>
      <c r="I913" t="n">
        <v>0</v>
      </c>
      <c r="J913" t="n">
        <v>0</v>
      </c>
      <c r="K913" t="n">
        <v>0</v>
      </c>
      <c r="L913" t="n">
        <v>0</v>
      </c>
      <c r="M913" t="n">
        <v>0</v>
      </c>
      <c r="N913" t="n">
        <v>0</v>
      </c>
      <c r="O913" t="n">
        <v>0</v>
      </c>
      <c r="P913" t="n">
        <v>0</v>
      </c>
      <c r="Q913" t="n">
        <v>0</v>
      </c>
      <c r="R913" s="2" t="inlineStr"/>
    </row>
    <row r="914" ht="15" customHeight="1">
      <c r="A914" t="inlineStr">
        <is>
          <t>A 42045-2024</t>
        </is>
      </c>
      <c r="B914" s="1" t="n">
        <v>45561</v>
      </c>
      <c r="C914" s="1" t="n">
        <v>46011</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45964.43324074074</v>
      </c>
      <c r="C915" s="1" t="n">
        <v>46011</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54129-2025</t>
        </is>
      </c>
      <c r="B916" s="1" t="n">
        <v>45964.46063657408</v>
      </c>
      <c r="C916" s="1" t="n">
        <v>46011</v>
      </c>
      <c r="D916" t="inlineStr">
        <is>
          <t>VÄRMLANDS LÄN</t>
        </is>
      </c>
      <c r="E916" t="inlineStr">
        <is>
          <t>ÅRJÄNG</t>
        </is>
      </c>
      <c r="G916" t="n">
        <v>3.1</v>
      </c>
      <c r="H916" t="n">
        <v>0</v>
      </c>
      <c r="I916" t="n">
        <v>0</v>
      </c>
      <c r="J916" t="n">
        <v>0</v>
      </c>
      <c r="K916" t="n">
        <v>0</v>
      </c>
      <c r="L916" t="n">
        <v>0</v>
      </c>
      <c r="M916" t="n">
        <v>0</v>
      </c>
      <c r="N916" t="n">
        <v>0</v>
      </c>
      <c r="O916" t="n">
        <v>0</v>
      </c>
      <c r="P916" t="n">
        <v>0</v>
      </c>
      <c r="Q916" t="n">
        <v>0</v>
      </c>
      <c r="R916" s="2" t="inlineStr"/>
    </row>
    <row r="917" ht="15" customHeight="1">
      <c r="A917" t="inlineStr">
        <is>
          <t>A 54159-2025</t>
        </is>
      </c>
      <c r="B917" s="1" t="n">
        <v>45964.50344907407</v>
      </c>
      <c r="C917" s="1" t="n">
        <v>46011</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25495-2024</t>
        </is>
      </c>
      <c r="B918" s="1" t="n">
        <v>45463</v>
      </c>
      <c r="C918" s="1" t="n">
        <v>46011</v>
      </c>
      <c r="D918" t="inlineStr">
        <is>
          <t>VÄRMLANDS LÄN</t>
        </is>
      </c>
      <c r="E918" t="inlineStr">
        <is>
          <t>ÅRJÄNG</t>
        </is>
      </c>
      <c r="F918" t="inlineStr">
        <is>
          <t>Kyrkan</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11793-2023</t>
        </is>
      </c>
      <c r="B919" s="1" t="n">
        <v>44993</v>
      </c>
      <c r="C919" s="1" t="n">
        <v>46011</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14788-2025</t>
        </is>
      </c>
      <c r="B920" s="1" t="n">
        <v>45742.78112268518</v>
      </c>
      <c r="C920" s="1" t="n">
        <v>46011</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19621-2025</t>
        </is>
      </c>
      <c r="B921" s="1" t="n">
        <v>45770</v>
      </c>
      <c r="C921" s="1" t="n">
        <v>46011</v>
      </c>
      <c r="D921" t="inlineStr">
        <is>
          <t>VÄRMLANDS LÄN</t>
        </is>
      </c>
      <c r="E921" t="inlineStr">
        <is>
          <t>ÅRJÄNG</t>
        </is>
      </c>
      <c r="F921" t="inlineStr">
        <is>
          <t>Övriga Aktiebolag</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22032-2023</t>
        </is>
      </c>
      <c r="B922" s="1" t="n">
        <v>45069.35378472223</v>
      </c>
      <c r="C922" s="1" t="n">
        <v>46011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32367-2023</t>
        </is>
      </c>
      <c r="B923" s="1" t="n">
        <v>45120.57167824074</v>
      </c>
      <c r="C923" s="1" t="n">
        <v>46011</v>
      </c>
      <c r="D923" t="inlineStr">
        <is>
          <t>VÄRMLANDS LÄN</t>
        </is>
      </c>
      <c r="E923" t="inlineStr">
        <is>
          <t>ÅRJÄNG</t>
        </is>
      </c>
      <c r="G923" t="n">
        <v>2.8</v>
      </c>
      <c r="H923" t="n">
        <v>0</v>
      </c>
      <c r="I923" t="n">
        <v>0</v>
      </c>
      <c r="J923" t="n">
        <v>0</v>
      </c>
      <c r="K923" t="n">
        <v>0</v>
      </c>
      <c r="L923" t="n">
        <v>0</v>
      </c>
      <c r="M923" t="n">
        <v>0</v>
      </c>
      <c r="N923" t="n">
        <v>0</v>
      </c>
      <c r="O923" t="n">
        <v>0</v>
      </c>
      <c r="P923" t="n">
        <v>0</v>
      </c>
      <c r="Q923" t="n">
        <v>0</v>
      </c>
      <c r="R923" s="2" t="inlineStr"/>
    </row>
    <row r="924" ht="15" customHeight="1">
      <c r="A924" t="inlineStr">
        <is>
          <t>A 32373-2023</t>
        </is>
      </c>
      <c r="B924" s="1" t="n">
        <v>45120.58025462963</v>
      </c>
      <c r="C924" s="1" t="n">
        <v>46011</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61263-2025</t>
        </is>
      </c>
      <c r="B925" s="1" t="n">
        <v>46000</v>
      </c>
      <c r="C925" s="1" t="n">
        <v>46011</v>
      </c>
      <c r="D925" t="inlineStr">
        <is>
          <t>VÄRMLANDS LÄN</t>
        </is>
      </c>
      <c r="E925" t="inlineStr">
        <is>
          <t>ÅRJÄNG</t>
        </is>
      </c>
      <c r="G925" t="n">
        <v>3.7</v>
      </c>
      <c r="H925" t="n">
        <v>0</v>
      </c>
      <c r="I925" t="n">
        <v>0</v>
      </c>
      <c r="J925" t="n">
        <v>0</v>
      </c>
      <c r="K925" t="n">
        <v>0</v>
      </c>
      <c r="L925" t="n">
        <v>0</v>
      </c>
      <c r="M925" t="n">
        <v>0</v>
      </c>
      <c r="N925" t="n">
        <v>0</v>
      </c>
      <c r="O925" t="n">
        <v>0</v>
      </c>
      <c r="P925" t="n">
        <v>0</v>
      </c>
      <c r="Q925" t="n">
        <v>0</v>
      </c>
      <c r="R925" s="2" t="inlineStr"/>
    </row>
    <row r="926" ht="15" customHeight="1">
      <c r="A926" t="inlineStr">
        <is>
          <t>A 56682-2021</t>
        </is>
      </c>
      <c r="B926" s="1" t="n">
        <v>44481</v>
      </c>
      <c r="C926" s="1" t="n">
        <v>46011</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3968-2025</t>
        </is>
      </c>
      <c r="B927" s="1" t="n">
        <v>45684.51925925926</v>
      </c>
      <c r="C927" s="1" t="n">
        <v>46011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52773-2022</t>
        </is>
      </c>
      <c r="B928" s="1" t="n">
        <v>44875.35628472222</v>
      </c>
      <c r="C928" s="1" t="n">
        <v>46011</v>
      </c>
      <c r="D928" t="inlineStr">
        <is>
          <t>VÄRMLANDS LÄN</t>
        </is>
      </c>
      <c r="E928" t="inlineStr">
        <is>
          <t>ÅRJÄNG</t>
        </is>
      </c>
      <c r="G928" t="n">
        <v>4.1</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46011</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54430-2025</t>
        </is>
      </c>
      <c r="B930" s="1" t="n">
        <v>45965.49414351852</v>
      </c>
      <c r="C930" s="1" t="n">
        <v>46011</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62804-2025</t>
        </is>
      </c>
      <c r="B931" s="1" t="n">
        <v>46008.64297453704</v>
      </c>
      <c r="C931" s="1" t="n">
        <v>46011</v>
      </c>
      <c r="D931" t="inlineStr">
        <is>
          <t>VÄRMLANDS LÄN</t>
        </is>
      </c>
      <c r="E931" t="inlineStr">
        <is>
          <t>ÅRJÄNG</t>
        </is>
      </c>
      <c r="F931" t="inlineStr">
        <is>
          <t>Kyrkan</t>
        </is>
      </c>
      <c r="G931" t="n">
        <v>10.4</v>
      </c>
      <c r="H931" t="n">
        <v>0</v>
      </c>
      <c r="I931" t="n">
        <v>0</v>
      </c>
      <c r="J931" t="n">
        <v>0</v>
      </c>
      <c r="K931" t="n">
        <v>0</v>
      </c>
      <c r="L931" t="n">
        <v>0</v>
      </c>
      <c r="M931" t="n">
        <v>0</v>
      </c>
      <c r="N931" t="n">
        <v>0</v>
      </c>
      <c r="O931" t="n">
        <v>0</v>
      </c>
      <c r="P931" t="n">
        <v>0</v>
      </c>
      <c r="Q931" t="n">
        <v>0</v>
      </c>
      <c r="R931" s="2" t="inlineStr"/>
    </row>
    <row r="932" ht="15" customHeight="1">
      <c r="A932" t="inlineStr">
        <is>
          <t>A 57178-2023</t>
        </is>
      </c>
      <c r="B932" s="1" t="n">
        <v>45240</v>
      </c>
      <c r="C932" s="1" t="n">
        <v>46011</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15574-2025</t>
        </is>
      </c>
      <c r="B933" s="1" t="n">
        <v>45747</v>
      </c>
      <c r="C933" s="1" t="n">
        <v>46011</v>
      </c>
      <c r="D933" t="inlineStr">
        <is>
          <t>VÄRMLANDS LÄN</t>
        </is>
      </c>
      <c r="E933" t="inlineStr">
        <is>
          <t>ÅRJÄNG</t>
        </is>
      </c>
      <c r="G933" t="n">
        <v>2.4</v>
      </c>
      <c r="H933" t="n">
        <v>0</v>
      </c>
      <c r="I933" t="n">
        <v>0</v>
      </c>
      <c r="J933" t="n">
        <v>0</v>
      </c>
      <c r="K933" t="n">
        <v>0</v>
      </c>
      <c r="L933" t="n">
        <v>0</v>
      </c>
      <c r="M933" t="n">
        <v>0</v>
      </c>
      <c r="N933" t="n">
        <v>0</v>
      </c>
      <c r="O933" t="n">
        <v>0</v>
      </c>
      <c r="P933" t="n">
        <v>0</v>
      </c>
      <c r="Q933" t="n">
        <v>0</v>
      </c>
      <c r="R933" s="2" t="inlineStr"/>
    </row>
    <row r="934" ht="15" customHeight="1">
      <c r="A934" t="inlineStr">
        <is>
          <t>A 54418-2025</t>
        </is>
      </c>
      <c r="B934" s="1" t="n">
        <v>45965.48027777778</v>
      </c>
      <c r="C934" s="1" t="n">
        <v>46011</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54420-2025</t>
        </is>
      </c>
      <c r="B935" s="1" t="n">
        <v>45965.4834837963</v>
      </c>
      <c r="C935" s="1" t="n">
        <v>46011</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61116-2025</t>
        </is>
      </c>
      <c r="B936" s="1" t="n">
        <v>45999</v>
      </c>
      <c r="C936" s="1" t="n">
        <v>46011</v>
      </c>
      <c r="D936" t="inlineStr">
        <is>
          <t>VÄRMLANDS LÄN</t>
        </is>
      </c>
      <c r="E936" t="inlineStr">
        <is>
          <t>ÅRJÄNG</t>
        </is>
      </c>
      <c r="G936" t="n">
        <v>4.4</v>
      </c>
      <c r="H936" t="n">
        <v>0</v>
      </c>
      <c r="I936" t="n">
        <v>0</v>
      </c>
      <c r="J936" t="n">
        <v>0</v>
      </c>
      <c r="K936" t="n">
        <v>0</v>
      </c>
      <c r="L936" t="n">
        <v>0</v>
      </c>
      <c r="M936" t="n">
        <v>0</v>
      </c>
      <c r="N936" t="n">
        <v>0</v>
      </c>
      <c r="O936" t="n">
        <v>0</v>
      </c>
      <c r="P936" t="n">
        <v>0</v>
      </c>
      <c r="Q936" t="n">
        <v>0</v>
      </c>
      <c r="R936" s="2" t="inlineStr"/>
    </row>
    <row r="937" ht="15" customHeight="1">
      <c r="A937" t="inlineStr">
        <is>
          <t>A 71472-2021</t>
        </is>
      </c>
      <c r="B937" s="1" t="n">
        <v>44540</v>
      </c>
      <c r="C937" s="1" t="n">
        <v>46011</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56329-2024</t>
        </is>
      </c>
      <c r="B938" s="1" t="n">
        <v>45624.79435185185</v>
      </c>
      <c r="C938" s="1" t="n">
        <v>46011</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58924-2025</t>
        </is>
      </c>
      <c r="B939" s="1" t="n">
        <v>45986</v>
      </c>
      <c r="C939" s="1" t="n">
        <v>46011</v>
      </c>
      <c r="D939" t="inlineStr">
        <is>
          <t>VÄRMLANDS LÄN</t>
        </is>
      </c>
      <c r="E939" t="inlineStr">
        <is>
          <t>ÅRJÄNG</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62851-2025</t>
        </is>
      </c>
      <c r="B940" s="1" t="n">
        <v>46008.703125</v>
      </c>
      <c r="C940" s="1" t="n">
        <v>46011</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7098-2024</t>
        </is>
      </c>
      <c r="B941" s="1" t="n">
        <v>45343</v>
      </c>
      <c r="C941" s="1" t="n">
        <v>46011</v>
      </c>
      <c r="D941" t="inlineStr">
        <is>
          <t>VÄRMLANDS LÄN</t>
        </is>
      </c>
      <c r="E941" t="inlineStr">
        <is>
          <t>ÅRJÄNG</t>
        </is>
      </c>
      <c r="G941" t="n">
        <v>5</v>
      </c>
      <c r="H941" t="n">
        <v>0</v>
      </c>
      <c r="I941" t="n">
        <v>0</v>
      </c>
      <c r="J941" t="n">
        <v>0</v>
      </c>
      <c r="K941" t="n">
        <v>0</v>
      </c>
      <c r="L941" t="n">
        <v>0</v>
      </c>
      <c r="M941" t="n">
        <v>0</v>
      </c>
      <c r="N941" t="n">
        <v>0</v>
      </c>
      <c r="O941" t="n">
        <v>0</v>
      </c>
      <c r="P941" t="n">
        <v>0</v>
      </c>
      <c r="Q941" t="n">
        <v>0</v>
      </c>
      <c r="R941" s="2" t="inlineStr"/>
    </row>
    <row r="942" ht="15" customHeight="1">
      <c r="A942" t="inlineStr">
        <is>
          <t>A 7100-2024</t>
        </is>
      </c>
      <c r="B942" s="1" t="n">
        <v>45343</v>
      </c>
      <c r="C942" s="1" t="n">
        <v>46011</v>
      </c>
      <c r="D942" t="inlineStr">
        <is>
          <t>VÄRMLANDS LÄN</t>
        </is>
      </c>
      <c r="E942" t="inlineStr">
        <is>
          <t>ÅRJÄNG</t>
        </is>
      </c>
      <c r="G942" t="n">
        <v>6.5</v>
      </c>
      <c r="H942" t="n">
        <v>0</v>
      </c>
      <c r="I942" t="n">
        <v>0</v>
      </c>
      <c r="J942" t="n">
        <v>0</v>
      </c>
      <c r="K942" t="n">
        <v>0</v>
      </c>
      <c r="L942" t="n">
        <v>0</v>
      </c>
      <c r="M942" t="n">
        <v>0</v>
      </c>
      <c r="N942" t="n">
        <v>0</v>
      </c>
      <c r="O942" t="n">
        <v>0</v>
      </c>
      <c r="P942" t="n">
        <v>0</v>
      </c>
      <c r="Q942" t="n">
        <v>0</v>
      </c>
      <c r="R942" s="2" t="inlineStr"/>
    </row>
    <row r="943" ht="15" customHeight="1">
      <c r="A943" t="inlineStr">
        <is>
          <t>A 45651-2024</t>
        </is>
      </c>
      <c r="B943" s="1" t="n">
        <v>45579</v>
      </c>
      <c r="C943" s="1" t="n">
        <v>46011</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70591-2021</t>
        </is>
      </c>
      <c r="B944" s="1" t="n">
        <v>44537.41471064815</v>
      </c>
      <c r="C944" s="1" t="n">
        <v>46011</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36563-2024</t>
        </is>
      </c>
      <c r="B945" s="1" t="n">
        <v>45537</v>
      </c>
      <c r="C945" s="1" t="n">
        <v>46011</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58491-2023</t>
        </is>
      </c>
      <c r="B946" s="1" t="n">
        <v>45246</v>
      </c>
      <c r="C946" s="1" t="n">
        <v>46011</v>
      </c>
      <c r="D946" t="inlineStr">
        <is>
          <t>VÄRMLANDS LÄN</t>
        </is>
      </c>
      <c r="E946" t="inlineStr">
        <is>
          <t>ÅRJÄNG</t>
        </is>
      </c>
      <c r="G946" t="n">
        <v>11.4</v>
      </c>
      <c r="H946" t="n">
        <v>0</v>
      </c>
      <c r="I946" t="n">
        <v>0</v>
      </c>
      <c r="J946" t="n">
        <v>0</v>
      </c>
      <c r="K946" t="n">
        <v>0</v>
      </c>
      <c r="L946" t="n">
        <v>0</v>
      </c>
      <c r="M946" t="n">
        <v>0</v>
      </c>
      <c r="N946" t="n">
        <v>0</v>
      </c>
      <c r="O946" t="n">
        <v>0</v>
      </c>
      <c r="P946" t="n">
        <v>0</v>
      </c>
      <c r="Q946" t="n">
        <v>0</v>
      </c>
      <c r="R946" s="2" t="inlineStr"/>
    </row>
    <row r="947" ht="15" customHeight="1">
      <c r="A947" t="inlineStr">
        <is>
          <t>A 60191-2023</t>
        </is>
      </c>
      <c r="B947" s="1" t="n">
        <v>45257</v>
      </c>
      <c r="C947" s="1" t="n">
        <v>46011</v>
      </c>
      <c r="D947" t="inlineStr">
        <is>
          <t>VÄRMLANDS LÄN</t>
        </is>
      </c>
      <c r="E947" t="inlineStr">
        <is>
          <t>ÅRJÄNG</t>
        </is>
      </c>
      <c r="G947" t="n">
        <v>7.6</v>
      </c>
      <c r="H947" t="n">
        <v>0</v>
      </c>
      <c r="I947" t="n">
        <v>0</v>
      </c>
      <c r="J947" t="n">
        <v>0</v>
      </c>
      <c r="K947" t="n">
        <v>0</v>
      </c>
      <c r="L947" t="n">
        <v>0</v>
      </c>
      <c r="M947" t="n">
        <v>0</v>
      </c>
      <c r="N947" t="n">
        <v>0</v>
      </c>
      <c r="O947" t="n">
        <v>0</v>
      </c>
      <c r="P947" t="n">
        <v>0</v>
      </c>
      <c r="Q947" t="n">
        <v>0</v>
      </c>
      <c r="R947" s="2" t="inlineStr"/>
    </row>
    <row r="948" ht="15" customHeight="1">
      <c r="A948" t="inlineStr">
        <is>
          <t>A 4784-2023</t>
        </is>
      </c>
      <c r="B948" s="1" t="n">
        <v>44957.59476851852</v>
      </c>
      <c r="C948" s="1" t="n">
        <v>46011</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54962-2025</t>
        </is>
      </c>
      <c r="B949" s="1" t="n">
        <v>45967.4825462963</v>
      </c>
      <c r="C949" s="1" t="n">
        <v>46011</v>
      </c>
      <c r="D949" t="inlineStr">
        <is>
          <t>VÄRMLANDS LÄN</t>
        </is>
      </c>
      <c r="E949" t="inlineStr">
        <is>
          <t>ÅRJÄNG</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55901-2023</t>
        </is>
      </c>
      <c r="B950" s="1" t="n">
        <v>45239.86618055555</v>
      </c>
      <c r="C950" s="1" t="n">
        <v>46011</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43029-2021</t>
        </is>
      </c>
      <c r="B951" s="1" t="n">
        <v>44431.49302083333</v>
      </c>
      <c r="C951" s="1" t="n">
        <v>46011</v>
      </c>
      <c r="D951" t="inlineStr">
        <is>
          <t>VÄRMLANDS LÄN</t>
        </is>
      </c>
      <c r="E951" t="inlineStr">
        <is>
          <t>ÅRJÄNG</t>
        </is>
      </c>
      <c r="G951" t="n">
        <v>5.5</v>
      </c>
      <c r="H951" t="n">
        <v>0</v>
      </c>
      <c r="I951" t="n">
        <v>0</v>
      </c>
      <c r="J951" t="n">
        <v>0</v>
      </c>
      <c r="K951" t="n">
        <v>0</v>
      </c>
      <c r="L951" t="n">
        <v>0</v>
      </c>
      <c r="M951" t="n">
        <v>0</v>
      </c>
      <c r="N951" t="n">
        <v>0</v>
      </c>
      <c r="O951" t="n">
        <v>0</v>
      </c>
      <c r="P951" t="n">
        <v>0</v>
      </c>
      <c r="Q951" t="n">
        <v>0</v>
      </c>
      <c r="R951" s="2" t="inlineStr"/>
    </row>
    <row r="952" ht="15" customHeight="1">
      <c r="A952" t="inlineStr">
        <is>
          <t>A 54990-2025</t>
        </is>
      </c>
      <c r="B952" s="1" t="n">
        <v>45967.57292824074</v>
      </c>
      <c r="C952" s="1" t="n">
        <v>46011</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69839-2021</t>
        </is>
      </c>
      <c r="B953" s="1" t="n">
        <v>44532</v>
      </c>
      <c r="C953" s="1" t="n">
        <v>46011</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1377-2023</t>
        </is>
      </c>
      <c r="B954" s="1" t="n">
        <v>44936.67111111111</v>
      </c>
      <c r="C954" s="1" t="n">
        <v>46011</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3734-2023</t>
        </is>
      </c>
      <c r="B955" s="1" t="n">
        <v>44948</v>
      </c>
      <c r="C955" s="1" t="n">
        <v>46011</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55017-2025</t>
        </is>
      </c>
      <c r="B956" s="1" t="n">
        <v>45967.61709490741</v>
      </c>
      <c r="C956" s="1" t="n">
        <v>46011</v>
      </c>
      <c r="D956" t="inlineStr">
        <is>
          <t>VÄRMLANDS LÄN</t>
        </is>
      </c>
      <c r="E956" t="inlineStr">
        <is>
          <t>ÅRJÄNG</t>
        </is>
      </c>
      <c r="G956" t="n">
        <v>10.2</v>
      </c>
      <c r="H956" t="n">
        <v>0</v>
      </c>
      <c r="I956" t="n">
        <v>0</v>
      </c>
      <c r="J956" t="n">
        <v>0</v>
      </c>
      <c r="K956" t="n">
        <v>0</v>
      </c>
      <c r="L956" t="n">
        <v>0</v>
      </c>
      <c r="M956" t="n">
        <v>0</v>
      </c>
      <c r="N956" t="n">
        <v>0</v>
      </c>
      <c r="O956" t="n">
        <v>0</v>
      </c>
      <c r="P956" t="n">
        <v>0</v>
      </c>
      <c r="Q956" t="n">
        <v>0</v>
      </c>
      <c r="R956" s="2" t="inlineStr"/>
    </row>
    <row r="957" ht="15" customHeight="1">
      <c r="A957" t="inlineStr">
        <is>
          <t>A 34350-2023</t>
        </is>
      </c>
      <c r="B957" s="1" t="n">
        <v>45139.40969907407</v>
      </c>
      <c r="C957" s="1" t="n">
        <v>46011</v>
      </c>
      <c r="D957" t="inlineStr">
        <is>
          <t>VÄRMLANDS LÄN</t>
        </is>
      </c>
      <c r="E957" t="inlineStr">
        <is>
          <t>ÅRJÄNG</t>
        </is>
      </c>
      <c r="G957" t="n">
        <v>3.2</v>
      </c>
      <c r="H957" t="n">
        <v>0</v>
      </c>
      <c r="I957" t="n">
        <v>0</v>
      </c>
      <c r="J957" t="n">
        <v>0</v>
      </c>
      <c r="K957" t="n">
        <v>0</v>
      </c>
      <c r="L957" t="n">
        <v>0</v>
      </c>
      <c r="M957" t="n">
        <v>0</v>
      </c>
      <c r="N957" t="n">
        <v>0</v>
      </c>
      <c r="O957" t="n">
        <v>0</v>
      </c>
      <c r="P957" t="n">
        <v>0</v>
      </c>
      <c r="Q957" t="n">
        <v>0</v>
      </c>
      <c r="R957" s="2" t="inlineStr"/>
    </row>
    <row r="958" ht="15" customHeight="1">
      <c r="A958" t="inlineStr">
        <is>
          <t>A 7619-2023</t>
        </is>
      </c>
      <c r="B958" s="1" t="n">
        <v>44967</v>
      </c>
      <c r="C958" s="1" t="n">
        <v>46011</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60377-2022</t>
        </is>
      </c>
      <c r="B959" s="1" t="n">
        <v>44904</v>
      </c>
      <c r="C959" s="1" t="n">
        <v>46011</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65844-2021</t>
        </is>
      </c>
      <c r="B960" s="1" t="n">
        <v>44517.36067129629</v>
      </c>
      <c r="C960" s="1" t="n">
        <v>46011</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46315-2024</t>
        </is>
      </c>
      <c r="B961" s="1" t="n">
        <v>45581.73703703703</v>
      </c>
      <c r="C961" s="1" t="n">
        <v>46011</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14910-2025</t>
        </is>
      </c>
      <c r="B962" s="1" t="n">
        <v>45743.52327546296</v>
      </c>
      <c r="C962" s="1" t="n">
        <v>46011</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68687-2020</t>
        </is>
      </c>
      <c r="B963" s="1" t="n">
        <v>44187</v>
      </c>
      <c r="C963" s="1" t="n">
        <v>46011</v>
      </c>
      <c r="D963" t="inlineStr">
        <is>
          <t>VÄRMLANDS LÄN</t>
        </is>
      </c>
      <c r="E963" t="inlineStr">
        <is>
          <t>ÅRJÄNG</t>
        </is>
      </c>
      <c r="G963" t="n">
        <v>7.6</v>
      </c>
      <c r="H963" t="n">
        <v>0</v>
      </c>
      <c r="I963" t="n">
        <v>0</v>
      </c>
      <c r="J963" t="n">
        <v>0</v>
      </c>
      <c r="K963" t="n">
        <v>0</v>
      </c>
      <c r="L963" t="n">
        <v>0</v>
      </c>
      <c r="M963" t="n">
        <v>0</v>
      </c>
      <c r="N963" t="n">
        <v>0</v>
      </c>
      <c r="O963" t="n">
        <v>0</v>
      </c>
      <c r="P963" t="n">
        <v>0</v>
      </c>
      <c r="Q963" t="n">
        <v>0</v>
      </c>
      <c r="R963" s="2" t="inlineStr"/>
    </row>
    <row r="964" ht="15" customHeight="1">
      <c r="A964" t="inlineStr">
        <is>
          <t>A 37220-2024</t>
        </is>
      </c>
      <c r="B964" s="1" t="n">
        <v>45539.84837962963</v>
      </c>
      <c r="C964" s="1" t="n">
        <v>46011</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12006-2023</t>
        </is>
      </c>
      <c r="B965" s="1" t="n">
        <v>44995.61495370371</v>
      </c>
      <c r="C965" s="1" t="n">
        <v>46011</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52803-2024</t>
        </is>
      </c>
      <c r="B966" s="1" t="n">
        <v>45610</v>
      </c>
      <c r="C966" s="1" t="n">
        <v>46011</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6405-2024</t>
        </is>
      </c>
      <c r="B967" s="1" t="n">
        <v>45338</v>
      </c>
      <c r="C967" s="1" t="n">
        <v>46011</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13859-2023</t>
        </is>
      </c>
      <c r="B968" s="1" t="n">
        <v>45007.63384259259</v>
      </c>
      <c r="C968" s="1" t="n">
        <v>46011</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63796-2021</t>
        </is>
      </c>
      <c r="B969" s="1" t="n">
        <v>44509</v>
      </c>
      <c r="C969" s="1" t="n">
        <v>46011</v>
      </c>
      <c r="D969" t="inlineStr">
        <is>
          <t>VÄRMLANDS LÄN</t>
        </is>
      </c>
      <c r="E969" t="inlineStr">
        <is>
          <t>ÅRJÄNG</t>
        </is>
      </c>
      <c r="G969" t="n">
        <v>2.1</v>
      </c>
      <c r="H969" t="n">
        <v>0</v>
      </c>
      <c r="I969" t="n">
        <v>0</v>
      </c>
      <c r="J969" t="n">
        <v>0</v>
      </c>
      <c r="K969" t="n">
        <v>0</v>
      </c>
      <c r="L969" t="n">
        <v>0</v>
      </c>
      <c r="M969" t="n">
        <v>0</v>
      </c>
      <c r="N969" t="n">
        <v>0</v>
      </c>
      <c r="O969" t="n">
        <v>0</v>
      </c>
      <c r="P969" t="n">
        <v>0</v>
      </c>
      <c r="Q969" t="n">
        <v>0</v>
      </c>
      <c r="R969" s="2" t="inlineStr"/>
    </row>
    <row r="970" ht="15" customHeight="1">
      <c r="A970" t="inlineStr">
        <is>
          <t>A 50941-2023</t>
        </is>
      </c>
      <c r="B970" s="1" t="n">
        <v>45218</v>
      </c>
      <c r="C970" s="1" t="n">
        <v>46011</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57651-2024</t>
        </is>
      </c>
      <c r="B971" s="1" t="n">
        <v>45630</v>
      </c>
      <c r="C971" s="1" t="n">
        <v>46011</v>
      </c>
      <c r="D971" t="inlineStr">
        <is>
          <t>VÄRMLANDS LÄN</t>
        </is>
      </c>
      <c r="E971" t="inlineStr">
        <is>
          <t>ÅRJÄNG</t>
        </is>
      </c>
      <c r="G971" t="n">
        <v>1.6</v>
      </c>
      <c r="H971" t="n">
        <v>0</v>
      </c>
      <c r="I971" t="n">
        <v>0</v>
      </c>
      <c r="J971" t="n">
        <v>0</v>
      </c>
      <c r="K971" t="n">
        <v>0</v>
      </c>
      <c r="L971" t="n">
        <v>0</v>
      </c>
      <c r="M971" t="n">
        <v>0</v>
      </c>
      <c r="N971" t="n">
        <v>0</v>
      </c>
      <c r="O971" t="n">
        <v>0</v>
      </c>
      <c r="P971" t="n">
        <v>0</v>
      </c>
      <c r="Q971" t="n">
        <v>0</v>
      </c>
      <c r="R971" s="2" t="inlineStr"/>
    </row>
    <row r="972" ht="15" customHeight="1">
      <c r="A972" t="inlineStr">
        <is>
          <t>A 35133-2024</t>
        </is>
      </c>
      <c r="B972" s="1" t="n">
        <v>45529</v>
      </c>
      <c r="C972" s="1" t="n">
        <v>46011</v>
      </c>
      <c r="D972" t="inlineStr">
        <is>
          <t>VÄRMLANDS LÄN</t>
        </is>
      </c>
      <c r="E972" t="inlineStr">
        <is>
          <t>ÅRJÄNG</t>
        </is>
      </c>
      <c r="G972" t="n">
        <v>10.2</v>
      </c>
      <c r="H972" t="n">
        <v>0</v>
      </c>
      <c r="I972" t="n">
        <v>0</v>
      </c>
      <c r="J972" t="n">
        <v>0</v>
      </c>
      <c r="K972" t="n">
        <v>0</v>
      </c>
      <c r="L972" t="n">
        <v>0</v>
      </c>
      <c r="M972" t="n">
        <v>0</v>
      </c>
      <c r="N972" t="n">
        <v>0</v>
      </c>
      <c r="O972" t="n">
        <v>0</v>
      </c>
      <c r="P972" t="n">
        <v>0</v>
      </c>
      <c r="Q972" t="n">
        <v>0</v>
      </c>
      <c r="R972" s="2" t="inlineStr"/>
    </row>
    <row r="973" ht="15" customHeight="1">
      <c r="A973" t="inlineStr">
        <is>
          <t>A 4465-2022</t>
        </is>
      </c>
      <c r="B973" s="1" t="n">
        <v>44589.60690972222</v>
      </c>
      <c r="C973" s="1" t="n">
        <v>46011</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58874-2023</t>
        </is>
      </c>
      <c r="B974" s="1" t="n">
        <v>45252</v>
      </c>
      <c r="C974" s="1" t="n">
        <v>46011</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62357-2021</t>
        </is>
      </c>
      <c r="B975" s="1" t="n">
        <v>44503.45271990741</v>
      </c>
      <c r="C975" s="1" t="n">
        <v>46011</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29204-2023</t>
        </is>
      </c>
      <c r="B976" s="1" t="n">
        <v>45105.5669212963</v>
      </c>
      <c r="C976" s="1" t="n">
        <v>46011</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38536-2024</t>
        </is>
      </c>
      <c r="B977" s="1" t="n">
        <v>45546.59431712963</v>
      </c>
      <c r="C977" s="1" t="n">
        <v>46011</v>
      </c>
      <c r="D977" t="inlineStr">
        <is>
          <t>VÄRMLANDS LÄN</t>
        </is>
      </c>
      <c r="E977" t="inlineStr">
        <is>
          <t>ÅRJÄNG</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17015-2023</t>
        </is>
      </c>
      <c r="B978" s="1" t="n">
        <v>45030</v>
      </c>
      <c r="C978" s="1" t="n">
        <v>46011</v>
      </c>
      <c r="D978" t="inlineStr">
        <is>
          <t>VÄRMLANDS LÄN</t>
        </is>
      </c>
      <c r="E978" t="inlineStr">
        <is>
          <t>ÅRJÄNG</t>
        </is>
      </c>
      <c r="F978" t="inlineStr">
        <is>
          <t>Övriga Aktiebolag</t>
        </is>
      </c>
      <c r="G978" t="n">
        <v>13.9</v>
      </c>
      <c r="H978" t="n">
        <v>0</v>
      </c>
      <c r="I978" t="n">
        <v>0</v>
      </c>
      <c r="J978" t="n">
        <v>0</v>
      </c>
      <c r="K978" t="n">
        <v>0</v>
      </c>
      <c r="L978" t="n">
        <v>0</v>
      </c>
      <c r="M978" t="n">
        <v>0</v>
      </c>
      <c r="N978" t="n">
        <v>0</v>
      </c>
      <c r="O978" t="n">
        <v>0</v>
      </c>
      <c r="P978" t="n">
        <v>0</v>
      </c>
      <c r="Q978" t="n">
        <v>0</v>
      </c>
      <c r="R978" s="2" t="inlineStr"/>
    </row>
    <row r="979" ht="15" customHeight="1">
      <c r="A979" t="inlineStr">
        <is>
          <t>A 38840-2023</t>
        </is>
      </c>
      <c r="B979" s="1" t="n">
        <v>45163.48267361111</v>
      </c>
      <c r="C979" s="1" t="n">
        <v>46011</v>
      </c>
      <c r="D979" t="inlineStr">
        <is>
          <t>VÄRMLANDS LÄN</t>
        </is>
      </c>
      <c r="E979" t="inlineStr">
        <is>
          <t>ÅRJÄNG</t>
        </is>
      </c>
      <c r="G979" t="n">
        <v>2.4</v>
      </c>
      <c r="H979" t="n">
        <v>0</v>
      </c>
      <c r="I979" t="n">
        <v>0</v>
      </c>
      <c r="J979" t="n">
        <v>0</v>
      </c>
      <c r="K979" t="n">
        <v>0</v>
      </c>
      <c r="L979" t="n">
        <v>0</v>
      </c>
      <c r="M979" t="n">
        <v>0</v>
      </c>
      <c r="N979" t="n">
        <v>0</v>
      </c>
      <c r="O979" t="n">
        <v>0</v>
      </c>
      <c r="P979" t="n">
        <v>0</v>
      </c>
      <c r="Q979" t="n">
        <v>0</v>
      </c>
      <c r="R979" s="2" t="inlineStr"/>
    </row>
    <row r="980" ht="15" customHeight="1">
      <c r="A980" t="inlineStr">
        <is>
          <t>A 36195-2023</t>
        </is>
      </c>
      <c r="B980" s="1" t="n">
        <v>45149</v>
      </c>
      <c r="C980" s="1" t="n">
        <v>46011</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7445-2024</t>
        </is>
      </c>
      <c r="B981" s="1" t="n">
        <v>45345.73023148148</v>
      </c>
      <c r="C981" s="1" t="n">
        <v>46011</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45635-2024</t>
        </is>
      </c>
      <c r="B982" s="1" t="n">
        <v>45579</v>
      </c>
      <c r="C982" s="1" t="n">
        <v>46011</v>
      </c>
      <c r="D982" t="inlineStr">
        <is>
          <t>VÄRMLANDS LÄN</t>
        </is>
      </c>
      <c r="E982" t="inlineStr">
        <is>
          <t>ÅRJÄNG</t>
        </is>
      </c>
      <c r="G982" t="n">
        <v>9.1</v>
      </c>
      <c r="H982" t="n">
        <v>0</v>
      </c>
      <c r="I982" t="n">
        <v>0</v>
      </c>
      <c r="J982" t="n">
        <v>0</v>
      </c>
      <c r="K982" t="n">
        <v>0</v>
      </c>
      <c r="L982" t="n">
        <v>0</v>
      </c>
      <c r="M982" t="n">
        <v>0</v>
      </c>
      <c r="N982" t="n">
        <v>0</v>
      </c>
      <c r="O982" t="n">
        <v>0</v>
      </c>
      <c r="P982" t="n">
        <v>0</v>
      </c>
      <c r="Q982" t="n">
        <v>0</v>
      </c>
      <c r="R982" s="2" t="inlineStr"/>
    </row>
    <row r="983" ht="15" customHeight="1">
      <c r="A983" t="inlineStr">
        <is>
          <t>A 54382-2024</t>
        </is>
      </c>
      <c r="B983" s="1" t="n">
        <v>45617.44510416667</v>
      </c>
      <c r="C983" s="1" t="n">
        <v>46011</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56115-2024</t>
        </is>
      </c>
      <c r="B984" s="1" t="n">
        <v>45624.45351851852</v>
      </c>
      <c r="C984" s="1" t="n">
        <v>46011</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56116-2024</t>
        </is>
      </c>
      <c r="B985" s="1" t="n">
        <v>45624.45506944445</v>
      </c>
      <c r="C985" s="1" t="n">
        <v>46011</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8625-2022</t>
        </is>
      </c>
      <c r="B986" s="1" t="n">
        <v>44613.61064814815</v>
      </c>
      <c r="C986" s="1" t="n">
        <v>46011</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36017-2024</t>
        </is>
      </c>
      <c r="B987" s="1" t="n">
        <v>45533</v>
      </c>
      <c r="C987" s="1" t="n">
        <v>46011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57152-2024</t>
        </is>
      </c>
      <c r="B988" s="1" t="n">
        <v>45628</v>
      </c>
      <c r="C988" s="1" t="n">
        <v>46011</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57158-2024</t>
        </is>
      </c>
      <c r="B989" s="1" t="n">
        <v>45628</v>
      </c>
      <c r="C989" s="1" t="n">
        <v>46011</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55686-2024</t>
        </is>
      </c>
      <c r="B990" s="1" t="n">
        <v>45622</v>
      </c>
      <c r="C990" s="1" t="n">
        <v>46011</v>
      </c>
      <c r="D990" t="inlineStr">
        <is>
          <t>VÄRMLANDS LÄN</t>
        </is>
      </c>
      <c r="E990" t="inlineStr">
        <is>
          <t>ÅRJÄNG</t>
        </is>
      </c>
      <c r="G990" t="n">
        <v>1.9</v>
      </c>
      <c r="H990" t="n">
        <v>0</v>
      </c>
      <c r="I990" t="n">
        <v>0</v>
      </c>
      <c r="J990" t="n">
        <v>0</v>
      </c>
      <c r="K990" t="n">
        <v>0</v>
      </c>
      <c r="L990" t="n">
        <v>0</v>
      </c>
      <c r="M990" t="n">
        <v>0</v>
      </c>
      <c r="N990" t="n">
        <v>0</v>
      </c>
      <c r="O990" t="n">
        <v>0</v>
      </c>
      <c r="P990" t="n">
        <v>0</v>
      </c>
      <c r="Q990" t="n">
        <v>0</v>
      </c>
      <c r="R990" s="2" t="inlineStr"/>
    </row>
    <row r="991" ht="15" customHeight="1">
      <c r="A991" t="inlineStr">
        <is>
          <t>A 58540-2024</t>
        </is>
      </c>
      <c r="B991" s="1" t="n">
        <v>45635</v>
      </c>
      <c r="C991" s="1" t="n">
        <v>46011</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47028-2024</t>
        </is>
      </c>
      <c r="B992" s="1" t="n">
        <v>45586</v>
      </c>
      <c r="C992" s="1" t="n">
        <v>46011</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37029-2024</t>
        </is>
      </c>
      <c r="B993" s="1" t="n">
        <v>45539.38806712963</v>
      </c>
      <c r="C993" s="1" t="n">
        <v>46011</v>
      </c>
      <c r="D993" t="inlineStr">
        <is>
          <t>VÄRMLANDS LÄN</t>
        </is>
      </c>
      <c r="E993" t="inlineStr">
        <is>
          <t>ÅRJÄNG</t>
        </is>
      </c>
      <c r="G993" t="n">
        <v>4.7</v>
      </c>
      <c r="H993" t="n">
        <v>0</v>
      </c>
      <c r="I993" t="n">
        <v>0</v>
      </c>
      <c r="J993" t="n">
        <v>0</v>
      </c>
      <c r="K993" t="n">
        <v>0</v>
      </c>
      <c r="L993" t="n">
        <v>0</v>
      </c>
      <c r="M993" t="n">
        <v>0</v>
      </c>
      <c r="N993" t="n">
        <v>0</v>
      </c>
      <c r="O993" t="n">
        <v>0</v>
      </c>
      <c r="P993" t="n">
        <v>0</v>
      </c>
      <c r="Q993" t="n">
        <v>0</v>
      </c>
      <c r="R993" s="2" t="inlineStr"/>
    </row>
    <row r="994" ht="15" customHeight="1">
      <c r="A994" t="inlineStr">
        <is>
          <t>A 16012-2024</t>
        </is>
      </c>
      <c r="B994" s="1" t="n">
        <v>45405.6524074074</v>
      </c>
      <c r="C994" s="1" t="n">
        <v>46011</v>
      </c>
      <c r="D994" t="inlineStr">
        <is>
          <t>VÄRMLANDS LÄN</t>
        </is>
      </c>
      <c r="E994" t="inlineStr">
        <is>
          <t>ÅRJÄNG</t>
        </is>
      </c>
      <c r="G994" t="n">
        <v>6.1</v>
      </c>
      <c r="H994" t="n">
        <v>0</v>
      </c>
      <c r="I994" t="n">
        <v>0</v>
      </c>
      <c r="J994" t="n">
        <v>0</v>
      </c>
      <c r="K994" t="n">
        <v>0</v>
      </c>
      <c r="L994" t="n">
        <v>0</v>
      </c>
      <c r="M994" t="n">
        <v>0</v>
      </c>
      <c r="N994" t="n">
        <v>0</v>
      </c>
      <c r="O994" t="n">
        <v>0</v>
      </c>
      <c r="P994" t="n">
        <v>0</v>
      </c>
      <c r="Q994" t="n">
        <v>0</v>
      </c>
      <c r="R994" s="2" t="inlineStr"/>
    </row>
    <row r="995" ht="15" customHeight="1">
      <c r="A995" t="inlineStr">
        <is>
          <t>A 31794-2023</t>
        </is>
      </c>
      <c r="B995" s="1" t="n">
        <v>45118.43856481482</v>
      </c>
      <c r="C995" s="1" t="n">
        <v>46011</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57126-2024</t>
        </is>
      </c>
      <c r="B996" s="1" t="n">
        <v>45629.37579861111</v>
      </c>
      <c r="C996" s="1" t="n">
        <v>46011</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58270-2024</t>
        </is>
      </c>
      <c r="B997" s="1" t="n">
        <v>45632.56928240741</v>
      </c>
      <c r="C997" s="1" t="n">
        <v>46011</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47981-2023</t>
        </is>
      </c>
      <c r="B998" s="1" t="n">
        <v>45198</v>
      </c>
      <c r="C998" s="1" t="n">
        <v>46011</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20463-2024</t>
        </is>
      </c>
      <c r="B999" s="1" t="n">
        <v>45435</v>
      </c>
      <c r="C999" s="1" t="n">
        <v>46011</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73363-2021</t>
        </is>
      </c>
      <c r="B1000" s="1" t="n">
        <v>44550</v>
      </c>
      <c r="C1000" s="1" t="n">
        <v>46011</v>
      </c>
      <c r="D1000" t="inlineStr">
        <is>
          <t>VÄRMLANDS LÄN</t>
        </is>
      </c>
      <c r="E1000" t="inlineStr">
        <is>
          <t>ÅRJÄNG</t>
        </is>
      </c>
      <c r="G1000" t="n">
        <v>11.5</v>
      </c>
      <c r="H1000" t="n">
        <v>0</v>
      </c>
      <c r="I1000" t="n">
        <v>0</v>
      </c>
      <c r="J1000" t="n">
        <v>0</v>
      </c>
      <c r="K1000" t="n">
        <v>0</v>
      </c>
      <c r="L1000" t="n">
        <v>0</v>
      </c>
      <c r="M1000" t="n">
        <v>0</v>
      </c>
      <c r="N1000" t="n">
        <v>0</v>
      </c>
      <c r="O1000" t="n">
        <v>0</v>
      </c>
      <c r="P1000" t="n">
        <v>0</v>
      </c>
      <c r="Q1000" t="n">
        <v>0</v>
      </c>
      <c r="R1000" s="2" t="inlineStr"/>
    </row>
    <row r="1001" ht="15" customHeight="1">
      <c r="A1001" t="inlineStr">
        <is>
          <t>A 37122-2022</t>
        </is>
      </c>
      <c r="B1001" s="1" t="n">
        <v>44806</v>
      </c>
      <c r="C1001" s="1" t="n">
        <v>46011</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59014-2024</t>
        </is>
      </c>
      <c r="B1002" s="1" t="n">
        <v>45636</v>
      </c>
      <c r="C1002" s="1" t="n">
        <v>46011</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37061-2023</t>
        </is>
      </c>
      <c r="B1003" s="1" t="n">
        <v>45155</v>
      </c>
      <c r="C1003" s="1" t="n">
        <v>46011</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20028-2023</t>
        </is>
      </c>
      <c r="B1004" s="1" t="n">
        <v>45054.64534722222</v>
      </c>
      <c r="C1004" s="1" t="n">
        <v>46011</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56644-2024</t>
        </is>
      </c>
      <c r="B1005" s="1" t="n">
        <v>45625</v>
      </c>
      <c r="C1005" s="1" t="n">
        <v>46011</v>
      </c>
      <c r="D1005" t="inlineStr">
        <is>
          <t>VÄRMLANDS LÄN</t>
        </is>
      </c>
      <c r="E1005" t="inlineStr">
        <is>
          <t>ÅRJÄNG</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40360-2024</t>
        </is>
      </c>
      <c r="B1006" s="1" t="n">
        <v>45555</v>
      </c>
      <c r="C1006" s="1" t="n">
        <v>46011</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45124-2024</t>
        </is>
      </c>
      <c r="B1007" s="1" t="n">
        <v>45575</v>
      </c>
      <c r="C1007" s="1" t="n">
        <v>46011</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5507-2024</t>
        </is>
      </c>
      <c r="B1008" s="1" t="n">
        <v>45334.36188657407</v>
      </c>
      <c r="C1008" s="1" t="n">
        <v>46011</v>
      </c>
      <c r="D1008" t="inlineStr">
        <is>
          <t>VÄRMLANDS LÄN</t>
        </is>
      </c>
      <c r="E1008" t="inlineStr">
        <is>
          <t>ÅRJÄNG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46011</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46011</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50918-2023</t>
        </is>
      </c>
      <c r="B1011" s="1" t="n">
        <v>45218.4339699074</v>
      </c>
      <c r="C1011" s="1" t="n">
        <v>46011</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56342-2024</t>
        </is>
      </c>
      <c r="B1012" s="1" t="n">
        <v>45624</v>
      </c>
      <c r="C1012" s="1" t="n">
        <v>46011</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56347-2024</t>
        </is>
      </c>
      <c r="B1013" s="1" t="n">
        <v>45624</v>
      </c>
      <c r="C1013" s="1" t="n">
        <v>46011</v>
      </c>
      <c r="D1013" t="inlineStr">
        <is>
          <t>VÄRMLANDS LÄN</t>
        </is>
      </c>
      <c r="E1013" t="inlineStr">
        <is>
          <t>ÅRJÄNG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23945-2023</t>
        </is>
      </c>
      <c r="B1014" s="1" t="n">
        <v>45075</v>
      </c>
      <c r="C1014" s="1" t="n">
        <v>46011</v>
      </c>
      <c r="D1014" t="inlineStr">
        <is>
          <t>VÄRMLANDS LÄN</t>
        </is>
      </c>
      <c r="E1014" t="inlineStr">
        <is>
          <t>ÅRJÄNG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58435-2024</t>
        </is>
      </c>
      <c r="B1015" s="1" t="n">
        <v>45634</v>
      </c>
      <c r="C1015" s="1" t="n">
        <v>46011</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32541-2023</t>
        </is>
      </c>
      <c r="B1016" s="1" t="n">
        <v>45121.39616898148</v>
      </c>
      <c r="C1016" s="1" t="n">
        <v>46011</v>
      </c>
      <c r="D1016" t="inlineStr">
        <is>
          <t>VÄRMLANDS LÄN</t>
        </is>
      </c>
      <c r="E1016" t="inlineStr">
        <is>
          <t>ÅRJÄNG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11704-2025</t>
        </is>
      </c>
      <c r="B1017" s="1" t="n">
        <v>45727.57896990741</v>
      </c>
      <c r="C1017" s="1" t="n">
        <v>46011</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15903-2022</t>
        </is>
      </c>
      <c r="B1018" s="1" t="n">
        <v>44664.57841435185</v>
      </c>
      <c r="C1018" s="1" t="n">
        <v>46011</v>
      </c>
      <c r="D1018" t="inlineStr">
        <is>
          <t>VÄRMLANDS LÄN</t>
        </is>
      </c>
      <c r="E1018" t="inlineStr">
        <is>
          <t>ÅRJÄNG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37765-2023</t>
        </is>
      </c>
      <c r="B1019" s="1" t="n">
        <v>45159</v>
      </c>
      <c r="C1019" s="1" t="n">
        <v>46011</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61226-2024</t>
        </is>
      </c>
      <c r="B1020" s="1" t="n">
        <v>45645.66853009259</v>
      </c>
      <c r="C1020" s="1" t="n">
        <v>46011</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46011</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4798-2022</t>
        </is>
      </c>
      <c r="B1022" s="1" t="n">
        <v>44592.6534375</v>
      </c>
      <c r="C1022" s="1" t="n">
        <v>46011</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60020-2024</t>
        </is>
      </c>
      <c r="B1023" s="1" t="n">
        <v>45642.44655092592</v>
      </c>
      <c r="C1023" s="1" t="n">
        <v>46011</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20674-2023</t>
        </is>
      </c>
      <c r="B1024" s="1" t="n">
        <v>45058</v>
      </c>
      <c r="C1024" s="1" t="n">
        <v>46011</v>
      </c>
      <c r="D1024" t="inlineStr">
        <is>
          <t>VÄRMLANDS LÄN</t>
        </is>
      </c>
      <c r="E1024" t="inlineStr">
        <is>
          <t>ÅRJÄNG</t>
        </is>
      </c>
      <c r="G1024" t="n">
        <v>11.1</v>
      </c>
      <c r="H1024" t="n">
        <v>0</v>
      </c>
      <c r="I1024" t="n">
        <v>0</v>
      </c>
      <c r="J1024" t="n">
        <v>0</v>
      </c>
      <c r="K1024" t="n">
        <v>0</v>
      </c>
      <c r="L1024" t="n">
        <v>0</v>
      </c>
      <c r="M1024" t="n">
        <v>0</v>
      </c>
      <c r="N1024" t="n">
        <v>0</v>
      </c>
      <c r="O1024" t="n">
        <v>0</v>
      </c>
      <c r="P1024" t="n">
        <v>0</v>
      </c>
      <c r="Q1024" t="n">
        <v>0</v>
      </c>
      <c r="R1024" s="2" t="inlineStr"/>
    </row>
    <row r="1025" ht="15" customHeight="1">
      <c r="A1025" t="inlineStr">
        <is>
          <t>A 39096-2023</t>
        </is>
      </c>
      <c r="B1025" s="1" t="n">
        <v>45164.55570601852</v>
      </c>
      <c r="C1025" s="1" t="n">
        <v>46011</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23878-2023</t>
        </is>
      </c>
      <c r="B1026" s="1" t="n">
        <v>45078</v>
      </c>
      <c r="C1026" s="1" t="n">
        <v>46011</v>
      </c>
      <c r="D1026" t="inlineStr">
        <is>
          <t>VÄRMLANDS LÄN</t>
        </is>
      </c>
      <c r="E1026" t="inlineStr">
        <is>
          <t>ÅRJÄNG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39178-2023</t>
        </is>
      </c>
      <c r="B1027" s="1" t="n">
        <v>45166.38395833333</v>
      </c>
      <c r="C1027" s="1" t="n">
        <v>46011</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5332-2025</t>
        </is>
      </c>
      <c r="B1028" s="1" t="n">
        <v>45692.53978009259</v>
      </c>
      <c r="C1028" s="1" t="n">
        <v>46011</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52574-2024</t>
        </is>
      </c>
      <c r="B1029" s="1" t="n">
        <v>45609</v>
      </c>
      <c r="C1029" s="1" t="n">
        <v>46011</v>
      </c>
      <c r="D1029" t="inlineStr">
        <is>
          <t>VÄRMLANDS LÄN</t>
        </is>
      </c>
      <c r="E1029" t="inlineStr">
        <is>
          <t>ÅRJÄNG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3656-2022</t>
        </is>
      </c>
      <c r="B1030" s="1" t="n">
        <v>44586</v>
      </c>
      <c r="C1030" s="1" t="n">
        <v>46011</v>
      </c>
      <c r="D1030" t="inlineStr">
        <is>
          <t>VÄRMLANDS LÄN</t>
        </is>
      </c>
      <c r="E1030" t="inlineStr">
        <is>
          <t>ÅRJÄNG</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11392-2024</t>
        </is>
      </c>
      <c r="B1031" s="1" t="n">
        <v>45372</v>
      </c>
      <c r="C1031" s="1" t="n">
        <v>46011</v>
      </c>
      <c r="D1031" t="inlineStr">
        <is>
          <t>VÄRMLANDS LÄN</t>
        </is>
      </c>
      <c r="E1031" t="inlineStr">
        <is>
          <t>ÅRJÄNG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70461-2021</t>
        </is>
      </c>
      <c r="B1032" s="1" t="n">
        <v>44536</v>
      </c>
      <c r="C1032" s="1" t="n">
        <v>46011</v>
      </c>
      <c r="D1032" t="inlineStr">
        <is>
          <t>VÄRMLANDS LÄN</t>
        </is>
      </c>
      <c r="E1032" t="inlineStr">
        <is>
          <t>ÅRJÄNG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38707-2023</t>
        </is>
      </c>
      <c r="B1033" s="1" t="n">
        <v>45163.34018518519</v>
      </c>
      <c r="C1033" s="1" t="n">
        <v>46011</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45643-2023</t>
        </is>
      </c>
      <c r="B1034" s="1" t="n">
        <v>45194.69827546296</v>
      </c>
      <c r="C1034" s="1" t="n">
        <v>46011</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55071-2024</t>
        </is>
      </c>
      <c r="B1035" s="1" t="n">
        <v>45621.41861111111</v>
      </c>
      <c r="C1035" s="1" t="n">
        <v>46011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52579-2024</t>
        </is>
      </c>
      <c r="B1036" s="1" t="n">
        <v>45609</v>
      </c>
      <c r="C1036" s="1" t="n">
        <v>46011</v>
      </c>
      <c r="D1036" t="inlineStr">
        <is>
          <t>VÄRMLANDS LÄN</t>
        </is>
      </c>
      <c r="E1036" t="inlineStr">
        <is>
          <t>ÅRJÄNG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44556-2023</t>
        </is>
      </c>
      <c r="B1037" s="1" t="n">
        <v>45189.53738425926</v>
      </c>
      <c r="C1037" s="1" t="n">
        <v>46011</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53742-2024</t>
        </is>
      </c>
      <c r="B1038" s="1" t="n">
        <v>45615.47130787037</v>
      </c>
      <c r="C1038" s="1" t="n">
        <v>46011</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56769-2024</t>
        </is>
      </c>
      <c r="B1039" s="1" t="n">
        <v>45628.41550925926</v>
      </c>
      <c r="C1039" s="1" t="n">
        <v>46011</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4582-2025</t>
        </is>
      </c>
      <c r="B1040" s="1" t="n">
        <v>45687</v>
      </c>
      <c r="C1040" s="1" t="n">
        <v>46011</v>
      </c>
      <c r="D1040" t="inlineStr">
        <is>
          <t>VÄRMLANDS LÄN</t>
        </is>
      </c>
      <c r="E1040" t="inlineStr">
        <is>
          <t>ÅRJÄNG</t>
        </is>
      </c>
      <c r="F1040" t="inlineStr">
        <is>
          <t>Övriga Aktiebolag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44004-2023</t>
        </is>
      </c>
      <c r="B1041" s="1" t="n">
        <v>45188.30134259259</v>
      </c>
      <c r="C1041" s="1" t="n">
        <v>46011</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44007-2023</t>
        </is>
      </c>
      <c r="B1042" s="1" t="n">
        <v>45188.31231481482</v>
      </c>
      <c r="C1042" s="1" t="n">
        <v>46011</v>
      </c>
      <c r="D1042" t="inlineStr">
        <is>
          <t>VÄRMLANDS LÄN</t>
        </is>
      </c>
      <c r="E1042" t="inlineStr">
        <is>
          <t>ÅRJÄNG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5741-2025</t>
        </is>
      </c>
      <c r="B1043" s="1" t="n">
        <v>45694.52100694444</v>
      </c>
      <c r="C1043" s="1" t="n">
        <v>46011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283-2025</t>
        </is>
      </c>
      <c r="B1044" s="1" t="n">
        <v>45656</v>
      </c>
      <c r="C1044" s="1" t="n">
        <v>46011</v>
      </c>
      <c r="D1044" t="inlineStr">
        <is>
          <t>VÄRMLANDS LÄN</t>
        </is>
      </c>
      <c r="E1044" t="inlineStr">
        <is>
          <t>ÅRJÄNG</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5127-2025</t>
        </is>
      </c>
      <c r="B1045" s="1" t="n">
        <v>45691.56623842593</v>
      </c>
      <c r="C1045" s="1" t="n">
        <v>46011</v>
      </c>
      <c r="D1045" t="inlineStr">
        <is>
          <t>VÄRMLANDS LÄN</t>
        </is>
      </c>
      <c r="E1045" t="inlineStr">
        <is>
          <t>ÅRJÄNG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55422-2023</t>
        </is>
      </c>
      <c r="B1046" s="1" t="n">
        <v>45238.41858796297</v>
      </c>
      <c r="C1046" s="1" t="n">
        <v>46011</v>
      </c>
      <c r="D1046" t="inlineStr">
        <is>
          <t>VÄRMLANDS LÄN</t>
        </is>
      </c>
      <c r="E1046" t="inlineStr">
        <is>
          <t>ÅRJÄNG</t>
        </is>
      </c>
      <c r="F1046" t="inlineStr">
        <is>
          <t>Kyrkan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8601-2022</t>
        </is>
      </c>
      <c r="B1047" s="1" t="n">
        <v>44613.57193287037</v>
      </c>
      <c r="C1047" s="1" t="n">
        <v>46011</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56060-2023</t>
        </is>
      </c>
      <c r="B1048" s="1" t="n">
        <v>45233</v>
      </c>
      <c r="C1048" s="1" t="n">
        <v>46011</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56655-2024</t>
        </is>
      </c>
      <c r="B1049" s="1" t="n">
        <v>45625</v>
      </c>
      <c r="C1049" s="1" t="n">
        <v>46011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27240-2023</t>
        </is>
      </c>
      <c r="B1050" s="1" t="n">
        <v>45096</v>
      </c>
      <c r="C1050" s="1" t="n">
        <v>46011</v>
      </c>
      <c r="D1050" t="inlineStr">
        <is>
          <t>VÄRMLANDS LÄN</t>
        </is>
      </c>
      <c r="E1050" t="inlineStr">
        <is>
          <t>ÅRJÄNG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12137-2025</t>
        </is>
      </c>
      <c r="B1051" s="1" t="n">
        <v>45729.39879629629</v>
      </c>
      <c r="C1051" s="1" t="n">
        <v>46011</v>
      </c>
      <c r="D1051" t="inlineStr">
        <is>
          <t>VÄRMLANDS LÄN</t>
        </is>
      </c>
      <c r="E1051" t="inlineStr">
        <is>
          <t>ÅRJÄNG</t>
        </is>
      </c>
      <c r="G1051" t="n">
        <v>12.6</v>
      </c>
      <c r="H1051" t="n">
        <v>0</v>
      </c>
      <c r="I1051" t="n">
        <v>0</v>
      </c>
      <c r="J1051" t="n">
        <v>0</v>
      </c>
      <c r="K1051" t="n">
        <v>0</v>
      </c>
      <c r="L1051" t="n">
        <v>0</v>
      </c>
      <c r="M1051" t="n">
        <v>0</v>
      </c>
      <c r="N1051" t="n">
        <v>0</v>
      </c>
      <c r="O1051" t="n">
        <v>0</v>
      </c>
      <c r="P1051" t="n">
        <v>0</v>
      </c>
      <c r="Q1051" t="n">
        <v>0</v>
      </c>
      <c r="R1051" s="2" t="inlineStr"/>
    </row>
    <row r="1052" ht="15" customHeight="1">
      <c r="A1052" t="inlineStr">
        <is>
          <t>A 46351-2023</t>
        </is>
      </c>
      <c r="B1052" s="1" t="n">
        <v>45197.42811342593</v>
      </c>
      <c r="C1052" s="1" t="n">
        <v>46011</v>
      </c>
      <c r="D1052" t="inlineStr">
        <is>
          <t>VÄRMLANDS LÄN</t>
        </is>
      </c>
      <c r="E1052" t="inlineStr">
        <is>
          <t>ÅRJÄNG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17361-2022</t>
        </is>
      </c>
      <c r="B1053" s="1" t="n">
        <v>44678.6044675926</v>
      </c>
      <c r="C1053" s="1" t="n">
        <v>46011</v>
      </c>
      <c r="D1053" t="inlineStr">
        <is>
          <t>VÄRMLANDS LÄN</t>
        </is>
      </c>
      <c r="E1053" t="inlineStr">
        <is>
          <t>ÅRJÄNG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57546-2024</t>
        </is>
      </c>
      <c r="B1054" s="1" t="n">
        <v>45629</v>
      </c>
      <c r="C1054" s="1" t="n">
        <v>46011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9427-2025</t>
        </is>
      </c>
      <c r="B1055" s="1" t="n">
        <v>45715</v>
      </c>
      <c r="C1055" s="1" t="n">
        <v>46011</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57306-2023</t>
        </is>
      </c>
      <c r="B1056" s="1" t="n">
        <v>45245.62431712963</v>
      </c>
      <c r="C1056" s="1" t="n">
        <v>46011</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48357-2023</t>
        </is>
      </c>
      <c r="B1057" s="1" t="n">
        <v>45202</v>
      </c>
      <c r="C1057" s="1" t="n">
        <v>46011</v>
      </c>
      <c r="D1057" t="inlineStr">
        <is>
          <t>VÄRMLANDS LÄN</t>
        </is>
      </c>
      <c r="E1057" t="inlineStr">
        <is>
          <t>ÅRJÄNG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39434-2023</t>
        </is>
      </c>
      <c r="B1058" s="1" t="n">
        <v>45166.69690972222</v>
      </c>
      <c r="C1058" s="1" t="n">
        <v>46011</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236-2025</t>
        </is>
      </c>
      <c r="B1059" s="1" t="n">
        <v>45653</v>
      </c>
      <c r="C1059" s="1" t="n">
        <v>46011</v>
      </c>
      <c r="D1059" t="inlineStr">
        <is>
          <t>VÄRMLANDS LÄN</t>
        </is>
      </c>
      <c r="E1059" t="inlineStr">
        <is>
          <t>ÅRJÄNG</t>
        </is>
      </c>
      <c r="F1059" t="inlineStr">
        <is>
          <t>Övriga Aktiebolag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1602-2025</t>
        </is>
      </c>
      <c r="B1060" s="1" t="n">
        <v>45670.59069444444</v>
      </c>
      <c r="C1060" s="1" t="n">
        <v>46011</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43253-2023</t>
        </is>
      </c>
      <c r="B1061" s="1" t="n">
        <v>45183.49578703703</v>
      </c>
      <c r="C1061" s="1" t="n">
        <v>46011</v>
      </c>
      <c r="D1061" t="inlineStr">
        <is>
          <t>VÄRMLANDS LÄN</t>
        </is>
      </c>
      <c r="E1061" t="inlineStr">
        <is>
          <t>ÅRJÄNG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17827-2025</t>
        </is>
      </c>
      <c r="B1062" s="1" t="n">
        <v>45758.57596064815</v>
      </c>
      <c r="C1062" s="1" t="n">
        <v>46011</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19920-2024</t>
        </is>
      </c>
      <c r="B1063" s="1" t="n">
        <v>45433.58947916667</v>
      </c>
      <c r="C1063" s="1" t="n">
        <v>46011</v>
      </c>
      <c r="D1063" t="inlineStr">
        <is>
          <t>VÄRMLANDS LÄN</t>
        </is>
      </c>
      <c r="E1063" t="inlineStr">
        <is>
          <t>ÅRJÄNG</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32095-2024</t>
        </is>
      </c>
      <c r="B1064" s="1" t="n">
        <v>45511.39107638889</v>
      </c>
      <c r="C1064" s="1" t="n">
        <v>46011</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301-2025</t>
        </is>
      </c>
      <c r="B1065" s="1" t="n">
        <v>45660.56</v>
      </c>
      <c r="C1065" s="1" t="n">
        <v>46011</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14434-2025</t>
        </is>
      </c>
      <c r="B1066" s="1" t="n">
        <v>45741</v>
      </c>
      <c r="C1066" s="1" t="n">
        <v>46011</v>
      </c>
      <c r="D1066" t="inlineStr">
        <is>
          <t>VÄRMLANDS LÄN</t>
        </is>
      </c>
      <c r="E1066" t="inlineStr">
        <is>
          <t>ÅRJÄNG</t>
        </is>
      </c>
      <c r="F1066" t="inlineStr">
        <is>
          <t>Övriga Aktiebolag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19248-2025</t>
        </is>
      </c>
      <c r="B1067" s="1" t="n">
        <v>45769.48710648148</v>
      </c>
      <c r="C1067" s="1" t="n">
        <v>46011</v>
      </c>
      <c r="D1067" t="inlineStr">
        <is>
          <t>VÄRMLANDS LÄN</t>
        </is>
      </c>
      <c r="E1067" t="inlineStr">
        <is>
          <t>ÅRJÄNG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6109-2025</t>
        </is>
      </c>
      <c r="B1068" s="1" t="n">
        <v>45698.31012731481</v>
      </c>
      <c r="C1068" s="1" t="n">
        <v>46011</v>
      </c>
      <c r="D1068" t="inlineStr">
        <is>
          <t>VÄRMLANDS LÄN</t>
        </is>
      </c>
      <c r="E1068" t="inlineStr">
        <is>
          <t>ÅRJÄNG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21443-2022</t>
        </is>
      </c>
      <c r="B1069" s="1" t="n">
        <v>44706.35293981482</v>
      </c>
      <c r="C1069" s="1" t="n">
        <v>46011</v>
      </c>
      <c r="D1069" t="inlineStr">
        <is>
          <t>VÄRMLANDS LÄN</t>
        </is>
      </c>
      <c r="E1069" t="inlineStr">
        <is>
          <t>ÅRJÄNG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48203-2023</t>
        </is>
      </c>
      <c r="B1070" s="1" t="n">
        <v>45200</v>
      </c>
      <c r="C1070" s="1" t="n">
        <v>46011</v>
      </c>
      <c r="D1070" t="inlineStr">
        <is>
          <t>VÄRMLANDS LÄN</t>
        </is>
      </c>
      <c r="E1070" t="inlineStr">
        <is>
          <t>ÅRJÄNG</t>
        </is>
      </c>
      <c r="F1070" t="inlineStr">
        <is>
          <t>Övriga Aktiebolag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42667-2023</t>
        </is>
      </c>
      <c r="B1071" s="1" t="n">
        <v>45176</v>
      </c>
      <c r="C1071" s="1" t="n">
        <v>46011</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13504-2025</t>
        </is>
      </c>
      <c r="B1072" s="1" t="n">
        <v>45736.46400462963</v>
      </c>
      <c r="C1072" s="1" t="n">
        <v>46011</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16519-2025</t>
        </is>
      </c>
      <c r="B1073" s="1" t="n">
        <v>45751</v>
      </c>
      <c r="C1073" s="1" t="n">
        <v>46011</v>
      </c>
      <c r="D1073" t="inlineStr">
        <is>
          <t>VÄRMLANDS LÄN</t>
        </is>
      </c>
      <c r="E1073" t="inlineStr">
        <is>
          <t>ÅRJÄNG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53554-2023</t>
        </is>
      </c>
      <c r="B1074" s="1" t="n">
        <v>45230</v>
      </c>
      <c r="C1074" s="1" t="n">
        <v>46011</v>
      </c>
      <c r="D1074" t="inlineStr">
        <is>
          <t>VÄRMLANDS LÄN</t>
        </is>
      </c>
      <c r="E1074" t="inlineStr">
        <is>
          <t>ÅRJÄNG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55574-2023</t>
        </is>
      </c>
      <c r="B1075" s="1" t="n">
        <v>45232</v>
      </c>
      <c r="C1075" s="1" t="n">
        <v>46011</v>
      </c>
      <c r="D1075" t="inlineStr">
        <is>
          <t>VÄRMLANDS LÄN</t>
        </is>
      </c>
      <c r="E1075" t="inlineStr">
        <is>
          <t>ÅRJÄNG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3729-2025</t>
        </is>
      </c>
      <c r="B1076" s="1" t="n">
        <v>45681.5497800926</v>
      </c>
      <c r="C1076" s="1" t="n">
        <v>46011</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60207-2023</t>
        </is>
      </c>
      <c r="B1077" s="1" t="n">
        <v>45257</v>
      </c>
      <c r="C1077" s="1" t="n">
        <v>46011</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58434-2023</t>
        </is>
      </c>
      <c r="B1078" s="1" t="n">
        <v>45250</v>
      </c>
      <c r="C1078" s="1" t="n">
        <v>46011</v>
      </c>
      <c r="D1078" t="inlineStr">
        <is>
          <t>VÄRMLANDS LÄN</t>
        </is>
      </c>
      <c r="E1078" t="inlineStr">
        <is>
          <t>ÅRJÄNG</t>
        </is>
      </c>
      <c r="F1078" t="inlineStr">
        <is>
          <t>Naturvårdsverket</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8356-2025</t>
        </is>
      </c>
      <c r="B1079" s="1" t="n">
        <v>45708.79752314815</v>
      </c>
      <c r="C1079" s="1" t="n">
        <v>46011</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18256-2024</t>
        </is>
      </c>
      <c r="B1080" s="1" t="n">
        <v>45421.52498842592</v>
      </c>
      <c r="C1080" s="1" t="n">
        <v>46011</v>
      </c>
      <c r="D1080" t="inlineStr">
        <is>
          <t>VÄRMLANDS LÄN</t>
        </is>
      </c>
      <c r="E1080" t="inlineStr">
        <is>
          <t>ÅRJÄNG</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24477-2022</t>
        </is>
      </c>
      <c r="B1081" s="1" t="n">
        <v>44726.65575231481</v>
      </c>
      <c r="C1081" s="1" t="n">
        <v>46011</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33525-2023</t>
        </is>
      </c>
      <c r="B1082" s="1" t="n">
        <v>45131.51326388889</v>
      </c>
      <c r="C1082" s="1" t="n">
        <v>46011</v>
      </c>
      <c r="D1082" t="inlineStr">
        <is>
          <t>VÄRMLANDS LÄN</t>
        </is>
      </c>
      <c r="E1082" t="inlineStr">
        <is>
          <t>ÅRJÄNG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46441-2023</t>
        </is>
      </c>
      <c r="B1083" s="1" t="n">
        <v>45197</v>
      </c>
      <c r="C1083" s="1" t="n">
        <v>46011</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59352-2022</t>
        </is>
      </c>
      <c r="B1084" s="1" t="n">
        <v>44904.7077199074</v>
      </c>
      <c r="C1084" s="1" t="n">
        <v>46011</v>
      </c>
      <c r="D1084" t="inlineStr">
        <is>
          <t>VÄRMLANDS LÄN</t>
        </is>
      </c>
      <c r="E1084" t="inlineStr">
        <is>
          <t>ÅRJÄNG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1115-2024</t>
        </is>
      </c>
      <c r="B1085" s="1" t="n">
        <v>45302</v>
      </c>
      <c r="C1085" s="1" t="n">
        <v>46011</v>
      </c>
      <c r="D1085" t="inlineStr">
        <is>
          <t>VÄRMLANDS LÄN</t>
        </is>
      </c>
      <c r="E1085" t="inlineStr">
        <is>
          <t>ÅRJÄNG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48453-2023</t>
        </is>
      </c>
      <c r="B1086" s="1" t="n">
        <v>45206.4346412037</v>
      </c>
      <c r="C1086" s="1" t="n">
        <v>46011</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59784-2023</t>
        </is>
      </c>
      <c r="B1087" s="1" t="n">
        <v>45257</v>
      </c>
      <c r="C1087" s="1" t="n">
        <v>46011</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59801-2023</t>
        </is>
      </c>
      <c r="B1088" s="1" t="n">
        <v>45254</v>
      </c>
      <c r="C1088" s="1" t="n">
        <v>46011</v>
      </c>
      <c r="D1088" t="inlineStr">
        <is>
          <t>VÄRMLANDS LÄN</t>
        </is>
      </c>
      <c r="E1088" t="inlineStr">
        <is>
          <t>ÅRJÄNG</t>
        </is>
      </c>
      <c r="G1088" t="n">
        <v>13.8</v>
      </c>
      <c r="H1088" t="n">
        <v>0</v>
      </c>
      <c r="I1088" t="n">
        <v>0</v>
      </c>
      <c r="J1088" t="n">
        <v>0</v>
      </c>
      <c r="K1088" t="n">
        <v>0</v>
      </c>
      <c r="L1088" t="n">
        <v>0</v>
      </c>
      <c r="M1088" t="n">
        <v>0</v>
      </c>
      <c r="N1088" t="n">
        <v>0</v>
      </c>
      <c r="O1088" t="n">
        <v>0</v>
      </c>
      <c r="P1088" t="n">
        <v>0</v>
      </c>
      <c r="Q1088" t="n">
        <v>0</v>
      </c>
      <c r="R1088" s="2" t="inlineStr"/>
    </row>
    <row r="1089" ht="15" customHeight="1">
      <c r="A1089" t="inlineStr">
        <is>
          <t>A 27311-2022</t>
        </is>
      </c>
      <c r="B1089" s="1" t="n">
        <v>44728</v>
      </c>
      <c r="C1089" s="1" t="n">
        <v>46011</v>
      </c>
      <c r="D1089" t="inlineStr">
        <is>
          <t>VÄRMLANDS LÄN</t>
        </is>
      </c>
      <c r="E1089" t="inlineStr">
        <is>
          <t>ÅRJÄNG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15954-2025</t>
        </is>
      </c>
      <c r="B1090" s="1" t="n">
        <v>45749</v>
      </c>
      <c r="C1090" s="1" t="n">
        <v>46011</v>
      </c>
      <c r="D1090" t="inlineStr">
        <is>
          <t>VÄRMLANDS LÄN</t>
        </is>
      </c>
      <c r="E1090" t="inlineStr">
        <is>
          <t>ÅRJÄNG</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687-2024</t>
        </is>
      </c>
      <c r="B1091" s="1" t="n">
        <v>45300.37333333334</v>
      </c>
      <c r="C1091" s="1" t="n">
        <v>46011</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713-2024</t>
        </is>
      </c>
      <c r="B1092" s="1" t="n">
        <v>45300.4261574074</v>
      </c>
      <c r="C1092" s="1" t="n">
        <v>46011</v>
      </c>
      <c r="D1092" t="inlineStr">
        <is>
          <t>VÄRMLANDS LÄN</t>
        </is>
      </c>
      <c r="E1092" t="inlineStr">
        <is>
          <t>ÅRJÄNG</t>
        </is>
      </c>
      <c r="F1092" t="inlineStr">
        <is>
          <t>Kyrkan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8835-2025</t>
        </is>
      </c>
      <c r="B1093" s="1" t="n">
        <v>45712.92547453703</v>
      </c>
      <c r="C1093" s="1" t="n">
        <v>46011</v>
      </c>
      <c r="D1093" t="inlineStr">
        <is>
          <t>VÄRMLANDS LÄN</t>
        </is>
      </c>
      <c r="E1093" t="inlineStr">
        <is>
          <t>ÅRJÄNG</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62288-2023</t>
        </is>
      </c>
      <c r="B1094" s="1" t="n">
        <v>45267.65707175926</v>
      </c>
      <c r="C1094" s="1" t="n">
        <v>46011</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18389-2022</t>
        </is>
      </c>
      <c r="B1095" s="1" t="n">
        <v>44685</v>
      </c>
      <c r="C1095" s="1" t="n">
        <v>46011</v>
      </c>
      <c r="D1095" t="inlineStr">
        <is>
          <t>VÄRMLANDS LÄN</t>
        </is>
      </c>
      <c r="E1095" t="inlineStr">
        <is>
          <t>ÅRJÄNG</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12993-2025</t>
        </is>
      </c>
      <c r="B1096" s="1" t="n">
        <v>45734.48583333333</v>
      </c>
      <c r="C1096" s="1" t="n">
        <v>46011</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9630-2025</t>
        </is>
      </c>
      <c r="B1097" s="1" t="n">
        <v>45715.71145833333</v>
      </c>
      <c r="C1097" s="1" t="n">
        <v>46011</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14446-2025</t>
        </is>
      </c>
      <c r="B1098" s="1" t="n">
        <v>45741.53552083333</v>
      </c>
      <c r="C1098" s="1" t="n">
        <v>46011</v>
      </c>
      <c r="D1098" t="inlineStr">
        <is>
          <t>VÄRMLANDS LÄN</t>
        </is>
      </c>
      <c r="E1098" t="inlineStr">
        <is>
          <t>ÅRJÄNG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8833-2025</t>
        </is>
      </c>
      <c r="B1099" s="1" t="n">
        <v>45712.91263888889</v>
      </c>
      <c r="C1099" s="1" t="n">
        <v>46011</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26265-2024</t>
        </is>
      </c>
      <c r="B1100" s="1" t="n">
        <v>45468</v>
      </c>
      <c r="C1100" s="1" t="n">
        <v>46011</v>
      </c>
      <c r="D1100" t="inlineStr">
        <is>
          <t>VÄRMLANDS LÄN</t>
        </is>
      </c>
      <c r="E1100" t="inlineStr">
        <is>
          <t>ÅRJÄNG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64381-2023</t>
        </is>
      </c>
      <c r="B1101" s="1" t="n">
        <v>45280</v>
      </c>
      <c r="C1101" s="1" t="n">
        <v>46011</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4545-2024</t>
        </is>
      </c>
      <c r="B1102" s="1" t="n">
        <v>45327</v>
      </c>
      <c r="C1102" s="1" t="n">
        <v>46011</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47332-2022</t>
        </is>
      </c>
      <c r="B1103" s="1" t="n">
        <v>44853</v>
      </c>
      <c r="C1103" s="1" t="n">
        <v>46011</v>
      </c>
      <c r="D1103" t="inlineStr">
        <is>
          <t>VÄRMLANDS LÄN</t>
        </is>
      </c>
      <c r="E1103" t="inlineStr">
        <is>
          <t>ÅRJÄNG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21145-2022</t>
        </is>
      </c>
      <c r="B1104" s="1" t="n">
        <v>44704</v>
      </c>
      <c r="C1104" s="1" t="n">
        <v>46011</v>
      </c>
      <c r="D1104" t="inlineStr">
        <is>
          <t>VÄRMLANDS LÄN</t>
        </is>
      </c>
      <c r="E1104" t="inlineStr">
        <is>
          <t>ÅRJÄNG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48389-2021</t>
        </is>
      </c>
      <c r="B1105" s="1" t="n">
        <v>44452.26943287037</v>
      </c>
      <c r="C1105" s="1" t="n">
        <v>46011</v>
      </c>
      <c r="D1105" t="inlineStr">
        <is>
          <t>VÄRMLANDS LÄN</t>
        </is>
      </c>
      <c r="E1105" t="inlineStr">
        <is>
          <t>ÅRJÄNG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9662-2024</t>
        </is>
      </c>
      <c r="B1106" s="1" t="n">
        <v>45362.43423611111</v>
      </c>
      <c r="C1106" s="1" t="n">
        <v>46011</v>
      </c>
      <c r="D1106" t="inlineStr">
        <is>
          <t>VÄRMLANDS LÄN</t>
        </is>
      </c>
      <c r="E1106" t="inlineStr">
        <is>
          <t>ÅRJÄNG</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7794-2024</t>
        </is>
      </c>
      <c r="B1107" s="1" t="n">
        <v>45349</v>
      </c>
      <c r="C1107" s="1" t="n">
        <v>46011</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46096-2021</t>
        </is>
      </c>
      <c r="B1108" s="1" t="n">
        <v>44442</v>
      </c>
      <c r="C1108" s="1" t="n">
        <v>46011</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10338-2024</t>
        </is>
      </c>
      <c r="B1109" s="1" t="n">
        <v>45365.58712962963</v>
      </c>
      <c r="C1109" s="1" t="n">
        <v>46011</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51895-2022</t>
        </is>
      </c>
      <c r="B1110" s="1" t="n">
        <v>44872.61237268519</v>
      </c>
      <c r="C1110" s="1" t="n">
        <v>46011</v>
      </c>
      <c r="D1110" t="inlineStr">
        <is>
          <t>VÄRMLANDS LÄN</t>
        </is>
      </c>
      <c r="E1110" t="inlineStr">
        <is>
          <t>ÅRJÄNG</t>
        </is>
      </c>
      <c r="F1110" t="inlineStr">
        <is>
          <t>Kyrkan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13647-2025</t>
        </is>
      </c>
      <c r="B1111" s="1" t="n">
        <v>45736.69149305556</v>
      </c>
      <c r="C1111" s="1" t="n">
        <v>46011</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5256-2023</t>
        </is>
      </c>
      <c r="B1112" s="1" t="n">
        <v>44959.45520833333</v>
      </c>
      <c r="C1112" s="1" t="n">
        <v>46011</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59624-2022</t>
        </is>
      </c>
      <c r="B1113" s="1" t="n">
        <v>44907.90521990741</v>
      </c>
      <c r="C1113" s="1" t="n">
        <v>46011</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64229-2023</t>
        </is>
      </c>
      <c r="B1114" s="1" t="n">
        <v>45279</v>
      </c>
      <c r="C1114" s="1" t="n">
        <v>46011</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7443-2024</t>
        </is>
      </c>
      <c r="B1115" s="1" t="n">
        <v>45345.72207175926</v>
      </c>
      <c r="C1115" s="1" t="n">
        <v>46011</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58486-2023</t>
        </is>
      </c>
      <c r="B1116" s="1" t="n">
        <v>45246</v>
      </c>
      <c r="C1116" s="1" t="n">
        <v>46011</v>
      </c>
      <c r="D1116" t="inlineStr">
        <is>
          <t>VÄRMLANDS LÄN</t>
        </is>
      </c>
      <c r="E1116" t="inlineStr">
        <is>
          <t>ÅRJÄNG</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46011</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23971-2023</t>
        </is>
      </c>
      <c r="B1118" s="1" t="n">
        <v>45078.63996527778</v>
      </c>
      <c r="C1118" s="1" t="n">
        <v>46011</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57708-2024</t>
        </is>
      </c>
      <c r="B1119" s="1" t="n">
        <v>45630</v>
      </c>
      <c r="C1119" s="1" t="n">
        <v>46011</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15547-2025</t>
        </is>
      </c>
      <c r="B1120" s="1" t="n">
        <v>45747</v>
      </c>
      <c r="C1120" s="1" t="n">
        <v>46011</v>
      </c>
      <c r="D1120" t="inlineStr">
        <is>
          <t>VÄRMLANDS LÄN</t>
        </is>
      </c>
      <c r="E1120" t="inlineStr">
        <is>
          <t>ÅRJÄNG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15548-2025</t>
        </is>
      </c>
      <c r="B1121" s="1" t="n">
        <v>45747</v>
      </c>
      <c r="C1121" s="1" t="n">
        <v>46011</v>
      </c>
      <c r="D1121" t="inlineStr">
        <is>
          <t>VÄRMLANDS LÄN</t>
        </is>
      </c>
      <c r="E1121" t="inlineStr">
        <is>
          <t>ÅRJÄNG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6107-2024</t>
        </is>
      </c>
      <c r="B1122" s="1" t="n">
        <v>45337</v>
      </c>
      <c r="C1122" s="1" t="n">
        <v>46011</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54013-2023</t>
        </is>
      </c>
      <c r="B1123" s="1" t="n">
        <v>45231.81550925926</v>
      </c>
      <c r="C1123" s="1" t="n">
        <v>46011</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15308-2022</t>
        </is>
      </c>
      <c r="B1124" s="1" t="n">
        <v>44659.45865740741</v>
      </c>
      <c r="C1124" s="1" t="n">
        <v>46011</v>
      </c>
      <c r="D1124" t="inlineStr">
        <is>
          <t>VÄRMLANDS LÄN</t>
        </is>
      </c>
      <c r="E1124" t="inlineStr">
        <is>
          <t>ÅRJÄNG</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7114-2023</t>
        </is>
      </c>
      <c r="B1125" s="1" t="n">
        <v>44970.39068287037</v>
      </c>
      <c r="C1125" s="1" t="n">
        <v>46011</v>
      </c>
      <c r="D1125" t="inlineStr">
        <is>
          <t>VÄRMLANDS LÄN</t>
        </is>
      </c>
      <c r="E1125" t="inlineStr">
        <is>
          <t>ÅRJÄNG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59976-2022</t>
        </is>
      </c>
      <c r="B1126" s="1" t="n">
        <v>44901</v>
      </c>
      <c r="C1126" s="1" t="n">
        <v>46011</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3298-2025</t>
        </is>
      </c>
      <c r="B1127" s="1" t="n">
        <v>45679.64770833333</v>
      </c>
      <c r="C1127" s="1" t="n">
        <v>46011</v>
      </c>
      <c r="D1127" t="inlineStr">
        <is>
          <t>VÄRMLANDS LÄN</t>
        </is>
      </c>
      <c r="E1127" t="inlineStr">
        <is>
          <t>ÅRJÄNG</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41283-2023</t>
        </is>
      </c>
      <c r="B1128" s="1" t="n">
        <v>45174.57032407408</v>
      </c>
      <c r="C1128" s="1" t="n">
        <v>46011</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46011</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46011</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49891-2022</t>
        </is>
      </c>
      <c r="B1131" s="1" t="n">
        <v>44864</v>
      </c>
      <c r="C1131" s="1" t="n">
        <v>46011</v>
      </c>
      <c r="D1131" t="inlineStr">
        <is>
          <t>VÄRMLANDS LÄN</t>
        </is>
      </c>
      <c r="E1131" t="inlineStr">
        <is>
          <t>ÅRJÄNG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59811-2023</t>
        </is>
      </c>
      <c r="B1132" s="1" t="n">
        <v>45254</v>
      </c>
      <c r="C1132" s="1" t="n">
        <v>46011</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24916-2024</t>
        </is>
      </c>
      <c r="B1133" s="1" t="n">
        <v>45461.6058449074</v>
      </c>
      <c r="C1133" s="1" t="n">
        <v>46011</v>
      </c>
      <c r="D1133" t="inlineStr">
        <is>
          <t>VÄRMLANDS LÄN</t>
        </is>
      </c>
      <c r="E1133" t="inlineStr">
        <is>
          <t>ÅRJÄNG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27692-2024</t>
        </is>
      </c>
      <c r="B1134" s="1" t="n">
        <v>45474</v>
      </c>
      <c r="C1134" s="1" t="n">
        <v>46011</v>
      </c>
      <c r="D1134" t="inlineStr">
        <is>
          <t>VÄRMLANDS LÄN</t>
        </is>
      </c>
      <c r="E1134" t="inlineStr">
        <is>
          <t>ÅRJÄNG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34425-2021</t>
        </is>
      </c>
      <c r="B1135" s="1" t="n">
        <v>44380</v>
      </c>
      <c r="C1135" s="1" t="n">
        <v>46011</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32973-2021</t>
        </is>
      </c>
      <c r="B1136" s="1" t="n">
        <v>44376</v>
      </c>
      <c r="C1136" s="1" t="n">
        <v>46011</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56333-2024</t>
        </is>
      </c>
      <c r="B1137" s="1" t="n">
        <v>45624.8005324074</v>
      </c>
      <c r="C1137" s="1" t="n">
        <v>46011</v>
      </c>
      <c r="D1137" t="inlineStr">
        <is>
          <t>VÄRMLANDS LÄN</t>
        </is>
      </c>
      <c r="E1137" t="inlineStr">
        <is>
          <t>ÅRJÄNG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61764-2022</t>
        </is>
      </c>
      <c r="B1138" s="1" t="n">
        <v>44911</v>
      </c>
      <c r="C1138" s="1" t="n">
        <v>46011</v>
      </c>
      <c r="D1138" t="inlineStr">
        <is>
          <t>VÄRMLANDS LÄN</t>
        </is>
      </c>
      <c r="E1138" t="inlineStr">
        <is>
          <t>ÅRJÄNG</t>
        </is>
      </c>
      <c r="F1138" t="inlineStr">
        <is>
          <t>Övriga Aktiebolag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19052-2023</t>
        </is>
      </c>
      <c r="B1139" s="1" t="n">
        <v>45047</v>
      </c>
      <c r="C1139" s="1" t="n">
        <v>46011</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15570-2025</t>
        </is>
      </c>
      <c r="B1140" s="1" t="n">
        <v>45747</v>
      </c>
      <c r="C1140" s="1" t="n">
        <v>46011</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15572-2025</t>
        </is>
      </c>
      <c r="B1141" s="1" t="n">
        <v>45747</v>
      </c>
      <c r="C1141" s="1" t="n">
        <v>46011</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15578-2025</t>
        </is>
      </c>
      <c r="B1142" s="1" t="n">
        <v>45747</v>
      </c>
      <c r="C1142" s="1" t="n">
        <v>46011</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69417-2021</t>
        </is>
      </c>
      <c r="B1143" s="1" t="n">
        <v>44531</v>
      </c>
      <c r="C1143" s="1" t="n">
        <v>46011</v>
      </c>
      <c r="D1143" t="inlineStr">
        <is>
          <t>VÄRMLANDS LÄN</t>
        </is>
      </c>
      <c r="E1143" t="inlineStr">
        <is>
          <t>ÅRJÄNG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38482-2024</t>
        </is>
      </c>
      <c r="B1144" s="1" t="n">
        <v>45546</v>
      </c>
      <c r="C1144" s="1" t="n">
        <v>46011</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65837-2021</t>
        </is>
      </c>
      <c r="B1145" s="1" t="n">
        <v>44517.35402777778</v>
      </c>
      <c r="C1145" s="1" t="n">
        <v>46011</v>
      </c>
      <c r="D1145" t="inlineStr">
        <is>
          <t>VÄRMLANDS LÄN</t>
        </is>
      </c>
      <c r="E1145" t="inlineStr">
        <is>
          <t>ÅRJÄNG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46011</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44417-2021</t>
        </is>
      </c>
      <c r="B1147" s="1" t="n">
        <v>44435.50591435185</v>
      </c>
      <c r="C1147" s="1" t="n">
        <v>46011</v>
      </c>
      <c r="D1147" t="inlineStr">
        <is>
          <t>VÄRMLANDS LÄN</t>
        </is>
      </c>
      <c r="E1147" t="inlineStr">
        <is>
          <t>ÅRJÄNG</t>
        </is>
      </c>
      <c r="G1147" t="n">
        <v>32.2</v>
      </c>
      <c r="H1147" t="n">
        <v>0</v>
      </c>
      <c r="I1147" t="n">
        <v>0</v>
      </c>
      <c r="J1147" t="n">
        <v>0</v>
      </c>
      <c r="K1147" t="n">
        <v>0</v>
      </c>
      <c r="L1147" t="n">
        <v>0</v>
      </c>
      <c r="M1147" t="n">
        <v>0</v>
      </c>
      <c r="N1147" t="n">
        <v>0</v>
      </c>
      <c r="O1147" t="n">
        <v>0</v>
      </c>
      <c r="P1147" t="n">
        <v>0</v>
      </c>
      <c r="Q1147" t="n">
        <v>0</v>
      </c>
      <c r="R1147" s="2" t="inlineStr"/>
    </row>
    <row r="1148" ht="15" customHeight="1">
      <c r="A1148" t="inlineStr">
        <is>
          <t>A 21362-2022</t>
        </is>
      </c>
      <c r="B1148" s="1" t="n">
        <v>44705</v>
      </c>
      <c r="C1148" s="1" t="n">
        <v>46011</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65854-2021</t>
        </is>
      </c>
      <c r="B1149" s="1" t="n">
        <v>44517.37467592592</v>
      </c>
      <c r="C1149" s="1" t="n">
        <v>46011</v>
      </c>
      <c r="D1149" t="inlineStr">
        <is>
          <t>VÄRMLANDS LÄN</t>
        </is>
      </c>
      <c r="E1149" t="inlineStr">
        <is>
          <t>ÅRJÄNG</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42149-2024</t>
        </is>
      </c>
      <c r="B1150" s="1" t="n">
        <v>45562.44591435185</v>
      </c>
      <c r="C1150" s="1" t="n">
        <v>46011</v>
      </c>
      <c r="D1150" t="inlineStr">
        <is>
          <t>VÄRMLANDS LÄN</t>
        </is>
      </c>
      <c r="E1150" t="inlineStr">
        <is>
          <t>ÅRJÄNG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8951-2021</t>
        </is>
      </c>
      <c r="B1151" s="1" t="n">
        <v>44246</v>
      </c>
      <c r="C1151" s="1" t="n">
        <v>46011</v>
      </c>
      <c r="D1151" t="inlineStr">
        <is>
          <t>VÄRMLANDS LÄN</t>
        </is>
      </c>
      <c r="E1151" t="inlineStr">
        <is>
          <t>ÅRJÄNG</t>
        </is>
      </c>
      <c r="F1151" t="inlineStr">
        <is>
          <t>Övriga Aktiebolag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47223-2021</t>
        </is>
      </c>
      <c r="B1152" s="1" t="n">
        <v>44446</v>
      </c>
      <c r="C1152" s="1" t="n">
        <v>46011</v>
      </c>
      <c r="D1152" t="inlineStr">
        <is>
          <t>VÄRMLANDS LÄN</t>
        </is>
      </c>
      <c r="E1152" t="inlineStr">
        <is>
          <t>ÅRJÄNG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4748-2023</t>
        </is>
      </c>
      <c r="B1153" s="1" t="n">
        <v>44957</v>
      </c>
      <c r="C1153" s="1" t="n">
        <v>46011</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45183.48121527778</v>
      </c>
      <c r="C1154" s="1" t="n">
        <v>46011</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42141-2024</t>
        </is>
      </c>
      <c r="B1155" s="1" t="n">
        <v>45562.43354166667</v>
      </c>
      <c r="C1155" s="1" t="n">
        <v>46011</v>
      </c>
      <c r="D1155" t="inlineStr">
        <is>
          <t>VÄRMLANDS LÄN</t>
        </is>
      </c>
      <c r="E1155" t="inlineStr">
        <is>
          <t>ÅRJÄNG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11026-2023</t>
        </is>
      </c>
      <c r="B1156" s="1" t="n">
        <v>44991</v>
      </c>
      <c r="C1156" s="1" t="n">
        <v>46011</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42455-2024</t>
        </is>
      </c>
      <c r="B1157" s="1" t="n">
        <v>45565</v>
      </c>
      <c r="C1157" s="1" t="n">
        <v>46011</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3796-2021</t>
        </is>
      </c>
      <c r="B1158" s="1" t="n">
        <v>44221</v>
      </c>
      <c r="C1158" s="1" t="n">
        <v>46011</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49673-2022</t>
        </is>
      </c>
      <c r="B1159" s="1" t="n">
        <v>44862.47881944444</v>
      </c>
      <c r="C1159" s="1" t="n">
        <v>46011</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54335-2021</t>
        </is>
      </c>
      <c r="B1160" s="1" t="n">
        <v>44472.93063657408</v>
      </c>
      <c r="C1160" s="1" t="n">
        <v>46011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11176-2023</t>
        </is>
      </c>
      <c r="B1161" s="1" t="n">
        <v>44987</v>
      </c>
      <c r="C1161" s="1" t="n">
        <v>46011</v>
      </c>
      <c r="D1161" t="inlineStr">
        <is>
          <t>VÄRMLANDS LÄN</t>
        </is>
      </c>
      <c r="E1161" t="inlineStr">
        <is>
          <t>ÅRJÄNG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8678-2022</t>
        </is>
      </c>
      <c r="B1162" s="1" t="n">
        <v>44613.68043981482</v>
      </c>
      <c r="C1162" s="1" t="n">
        <v>46011</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61009-2022</t>
        </is>
      </c>
      <c r="B1163" s="1" t="n">
        <v>44914.7541550926</v>
      </c>
      <c r="C1163" s="1" t="n">
        <v>46011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34574-2023</t>
        </is>
      </c>
      <c r="B1164" s="1" t="n">
        <v>45135</v>
      </c>
      <c r="C1164" s="1" t="n">
        <v>46011</v>
      </c>
      <c r="D1164" t="inlineStr">
        <is>
          <t>VÄRMLANDS LÄN</t>
        </is>
      </c>
      <c r="E1164" t="inlineStr">
        <is>
          <t>ÅRJÄNG</t>
        </is>
      </c>
      <c r="F1164" t="inlineStr">
        <is>
          <t>Övriga Aktiebolag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48293-2022</t>
        </is>
      </c>
      <c r="B1165" s="1" t="n">
        <v>44858.51623842592</v>
      </c>
      <c r="C1165" s="1" t="n">
        <v>46011</v>
      </c>
      <c r="D1165" t="inlineStr">
        <is>
          <t>VÄRMLANDS LÄN</t>
        </is>
      </c>
      <c r="E1165" t="inlineStr">
        <is>
          <t>ÅRJÄNG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38433-2024</t>
        </is>
      </c>
      <c r="B1166" s="1" t="n">
        <v>45546</v>
      </c>
      <c r="C1166" s="1" t="n">
        <v>46011</v>
      </c>
      <c r="D1166" t="inlineStr">
        <is>
          <t>VÄRMLANDS LÄN</t>
        </is>
      </c>
      <c r="E1166" t="inlineStr">
        <is>
          <t>ÅRJÄNG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7746-2022</t>
        </is>
      </c>
      <c r="B1167" s="1" t="n">
        <v>44608.39331018519</v>
      </c>
      <c r="C1167" s="1" t="n">
        <v>46011</v>
      </c>
      <c r="D1167" t="inlineStr">
        <is>
          <t>VÄRMLANDS LÄN</t>
        </is>
      </c>
      <c r="E1167" t="inlineStr">
        <is>
          <t>ÅRJÄNG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34410-2023</t>
        </is>
      </c>
      <c r="B1168" s="1" t="n">
        <v>45139.56870370371</v>
      </c>
      <c r="C1168" s="1" t="n">
        <v>46011</v>
      </c>
      <c r="D1168" t="inlineStr">
        <is>
          <t>VÄRMLANDS LÄN</t>
        </is>
      </c>
      <c r="E1168" t="inlineStr">
        <is>
          <t>ÅRJÄNG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7537-2021</t>
        </is>
      </c>
      <c r="B1169" s="1" t="n">
        <v>44239</v>
      </c>
      <c r="C1169" s="1" t="n">
        <v>46011</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50301-2024</t>
        </is>
      </c>
      <c r="B1170" s="1" t="n">
        <v>45600</v>
      </c>
      <c r="C1170" s="1" t="n">
        <v>46011</v>
      </c>
      <c r="D1170" t="inlineStr">
        <is>
          <t>VÄRMLANDS LÄN</t>
        </is>
      </c>
      <c r="E1170" t="inlineStr">
        <is>
          <t>ÅRJÄNG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15616-2023</t>
        </is>
      </c>
      <c r="B1171" s="1" t="n">
        <v>45020.88847222222</v>
      </c>
      <c r="C1171" s="1" t="n">
        <v>46011</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5342-2022</t>
        </is>
      </c>
      <c r="B1172" s="1" t="n">
        <v>44594.72582175926</v>
      </c>
      <c r="C1172" s="1" t="n">
        <v>46011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25654-2024</t>
        </is>
      </c>
      <c r="B1173" s="1" t="n">
        <v>45463</v>
      </c>
      <c r="C1173" s="1" t="n">
        <v>46011</v>
      </c>
      <c r="D1173" t="inlineStr">
        <is>
          <t>VÄRMLANDS LÄN</t>
        </is>
      </c>
      <c r="E1173" t="inlineStr">
        <is>
          <t>ÅRJÄNG</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30548-2023</t>
        </is>
      </c>
      <c r="B1174" s="1" t="n">
        <v>45111.77894675926</v>
      </c>
      <c r="C1174" s="1" t="n">
        <v>46011</v>
      </c>
      <c r="D1174" t="inlineStr">
        <is>
          <t>VÄRMLANDS LÄN</t>
        </is>
      </c>
      <c r="E1174" t="inlineStr">
        <is>
          <t>ÅRJÄNG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32776-2024</t>
        </is>
      </c>
      <c r="B1175" s="1" t="n">
        <v>45516</v>
      </c>
      <c r="C1175" s="1" t="n">
        <v>46011</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17174-2023</t>
        </is>
      </c>
      <c r="B1176" s="1" t="n">
        <v>45034</v>
      </c>
      <c r="C1176" s="1" t="n">
        <v>46011</v>
      </c>
      <c r="D1176" t="inlineStr">
        <is>
          <t>VÄRMLANDS LÄN</t>
        </is>
      </c>
      <c r="E1176" t="inlineStr">
        <is>
          <t>ÅRJÄNG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44385-2022</t>
        </is>
      </c>
      <c r="B1177" s="1" t="n">
        <v>44839</v>
      </c>
      <c r="C1177" s="1" t="n">
        <v>46011</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68180-2021</t>
        </is>
      </c>
      <c r="B1178" s="1" t="n">
        <v>44526.48689814815</v>
      </c>
      <c r="C1178" s="1" t="n">
        <v>46011</v>
      </c>
      <c r="D1178" t="inlineStr">
        <is>
          <t>VÄRMLANDS LÄN</t>
        </is>
      </c>
      <c r="E1178" t="inlineStr">
        <is>
          <t>ÅRJÄNG</t>
        </is>
      </c>
      <c r="F1178" t="inlineStr">
        <is>
          <t>Kyrkan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28384-2022</t>
        </is>
      </c>
      <c r="B1179" s="1" t="n">
        <v>44747</v>
      </c>
      <c r="C1179" s="1" t="n">
        <v>46011</v>
      </c>
      <c r="D1179" t="inlineStr">
        <is>
          <t>VÄRMLANDS LÄN</t>
        </is>
      </c>
      <c r="E1179" t="inlineStr">
        <is>
          <t>ÅRJÄNG</t>
        </is>
      </c>
      <c r="F1179" t="inlineStr">
        <is>
          <t>Naturvårdsverket</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47623-2024</t>
        </is>
      </c>
      <c r="B1180" s="1" t="n">
        <v>45588.33216435185</v>
      </c>
      <c r="C1180" s="1" t="n">
        <v>46011</v>
      </c>
      <c r="D1180" t="inlineStr">
        <is>
          <t>VÄRMLANDS LÄN</t>
        </is>
      </c>
      <c r="E1180" t="inlineStr">
        <is>
          <t>ÅRJÄNG</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23203-2023</t>
        </is>
      </c>
      <c r="B1181" s="1" t="n">
        <v>45075.61314814815</v>
      </c>
      <c r="C1181" s="1" t="n">
        <v>46011</v>
      </c>
      <c r="D1181" t="inlineStr">
        <is>
          <t>VÄRMLANDS LÄN</t>
        </is>
      </c>
      <c r="E1181" t="inlineStr">
        <is>
          <t>ÅRJÄNG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23212-2023</t>
        </is>
      </c>
      <c r="B1182" s="1" t="n">
        <v>45075.63211805555</v>
      </c>
      <c r="C1182" s="1" t="n">
        <v>46011</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24505-2023</t>
        </is>
      </c>
      <c r="B1183" s="1" t="n">
        <v>45082</v>
      </c>
      <c r="C1183" s="1" t="n">
        <v>46011</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56314-2024</t>
        </is>
      </c>
      <c r="B1184" s="1" t="n">
        <v>45624.72149305556</v>
      </c>
      <c r="C1184" s="1" t="n">
        <v>46011</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59622-2022</t>
        </is>
      </c>
      <c r="B1185" s="1" t="n">
        <v>44907.89939814815</v>
      </c>
      <c r="C1185" s="1" t="n">
        <v>46011</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45929-2024</t>
        </is>
      </c>
      <c r="B1186" s="1" t="n">
        <v>45580</v>
      </c>
      <c r="C1186" s="1" t="n">
        <v>46011</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45876-2024</t>
        </is>
      </c>
      <c r="B1187" s="1" t="n">
        <v>45580</v>
      </c>
      <c r="C1187" s="1" t="n">
        <v>46011</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47647-2021</t>
        </is>
      </c>
      <c r="B1188" s="1" t="n">
        <v>44448.40790509259</v>
      </c>
      <c r="C1188" s="1" t="n">
        <v>46011</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23870-2023</t>
        </is>
      </c>
      <c r="B1189" s="1" t="n">
        <v>45078</v>
      </c>
      <c r="C1189" s="1" t="n">
        <v>46011</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45962-2021</t>
        </is>
      </c>
      <c r="B1190" s="1" t="n">
        <v>44441</v>
      </c>
      <c r="C1190" s="1" t="n">
        <v>46011</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60126-2024</t>
        </is>
      </c>
      <c r="B1191" s="1" t="n">
        <v>45642.5919212963</v>
      </c>
      <c r="C1191" s="1" t="n">
        <v>46011</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12907-2022</t>
        </is>
      </c>
      <c r="B1192" s="1" t="n">
        <v>44642.62002314815</v>
      </c>
      <c r="C1192" s="1" t="n">
        <v>46011</v>
      </c>
      <c r="D1192" t="inlineStr">
        <is>
          <t>VÄRMLANDS LÄN</t>
        </is>
      </c>
      <c r="E1192" t="inlineStr">
        <is>
          <t>ÅRJÄNG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13060-2022</t>
        </is>
      </c>
      <c r="B1193" s="1" t="n">
        <v>44643</v>
      </c>
      <c r="C1193" s="1" t="n">
        <v>46011</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13160-2022</t>
        </is>
      </c>
      <c r="B1194" s="1" t="n">
        <v>44644.43545138889</v>
      </c>
      <c r="C1194" s="1" t="n">
        <v>46011</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8885-2021</t>
        </is>
      </c>
      <c r="B1195" s="1" t="n">
        <v>44248</v>
      </c>
      <c r="C1195" s="1" t="n">
        <v>46011</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60930-2021</t>
        </is>
      </c>
      <c r="B1196" s="1" t="n">
        <v>44497.46921296296</v>
      </c>
      <c r="C1196" s="1" t="n">
        <v>46011</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12209-2023</t>
        </is>
      </c>
      <c r="B1197" s="1" t="n">
        <v>44998</v>
      </c>
      <c r="C1197" s="1" t="n">
        <v>46011</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26866-2024</t>
        </is>
      </c>
      <c r="B1198" s="1" t="n">
        <v>45470</v>
      </c>
      <c r="C1198" s="1" t="n">
        <v>46011</v>
      </c>
      <c r="D1198" t="inlineStr">
        <is>
          <t>VÄRMLANDS LÄN</t>
        </is>
      </c>
      <c r="E1198" t="inlineStr">
        <is>
          <t>ÅRJÄNG</t>
        </is>
      </c>
      <c r="F1198" t="inlineStr">
        <is>
          <t>Kyrkan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49133-2024</t>
        </is>
      </c>
      <c r="B1199" s="1" t="n">
        <v>45594</v>
      </c>
      <c r="C1199" s="1" t="n">
        <v>46011</v>
      </c>
      <c r="D1199" t="inlineStr">
        <is>
          <t>VÄRMLANDS LÄN</t>
        </is>
      </c>
      <c r="E1199" t="inlineStr">
        <is>
          <t>ÅRJÄNG</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12740-2025</t>
        </is>
      </c>
      <c r="B1200" s="1" t="n">
        <v>45733</v>
      </c>
      <c r="C1200" s="1" t="n">
        <v>46011</v>
      </c>
      <c r="D1200" t="inlineStr">
        <is>
          <t>VÄRMLANDS LÄN</t>
        </is>
      </c>
      <c r="E1200" t="inlineStr">
        <is>
          <t>ÅRJÄNG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1415-2025</t>
        </is>
      </c>
      <c r="B1201" s="1" t="n">
        <v>45668.32795138889</v>
      </c>
      <c r="C1201" s="1" t="n">
        <v>46011</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15300-2025</t>
        </is>
      </c>
      <c r="B1202" s="1" t="n">
        <v>45746</v>
      </c>
      <c r="C1202" s="1" t="n">
        <v>46011</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6962-2025</t>
        </is>
      </c>
      <c r="B1203" s="1" t="n">
        <v>45701</v>
      </c>
      <c r="C1203" s="1" t="n">
        <v>46011</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46249-2023</t>
        </is>
      </c>
      <c r="B1204" s="1" t="n">
        <v>45196.89337962963</v>
      </c>
      <c r="C1204" s="1" t="n">
        <v>46011</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21392-2023</t>
        </is>
      </c>
      <c r="B1205" s="1" t="n">
        <v>45061</v>
      </c>
      <c r="C1205" s="1" t="n">
        <v>46011</v>
      </c>
      <c r="D1205" t="inlineStr">
        <is>
          <t>VÄRMLANDS LÄN</t>
        </is>
      </c>
      <c r="E1205" t="inlineStr">
        <is>
          <t>ÅRJÄNG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44140-2024</t>
        </is>
      </c>
      <c r="B1206" s="1" t="n">
        <v>45572</v>
      </c>
      <c r="C1206" s="1" t="n">
        <v>46011</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9441-2021</t>
        </is>
      </c>
      <c r="B1207" s="1" t="n">
        <v>44251</v>
      </c>
      <c r="C1207" s="1" t="n">
        <v>46011</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7184-2024</t>
        </is>
      </c>
      <c r="B1208" s="1" t="n">
        <v>45344</v>
      </c>
      <c r="C1208" s="1" t="n">
        <v>46011</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480-2025</t>
        </is>
      </c>
      <c r="B1209" s="1" t="n">
        <v>45664</v>
      </c>
      <c r="C1209" s="1" t="n">
        <v>46011</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2253-2025</t>
        </is>
      </c>
      <c r="B1210" s="1" t="n">
        <v>45673</v>
      </c>
      <c r="C1210" s="1" t="n">
        <v>46011</v>
      </c>
      <c r="D1210" t="inlineStr">
        <is>
          <t>VÄRMLANDS LÄN</t>
        </is>
      </c>
      <c r="E1210" t="inlineStr">
        <is>
          <t>ÅRJÄNG</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4976-2025</t>
        </is>
      </c>
      <c r="B1211" s="1" t="n">
        <v>45690.86565972222</v>
      </c>
      <c r="C1211" s="1" t="n">
        <v>46011</v>
      </c>
      <c r="D1211" t="inlineStr">
        <is>
          <t>VÄRMLANDS LÄN</t>
        </is>
      </c>
      <c r="E1211" t="inlineStr">
        <is>
          <t>ÅRJÄNG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13726-2024</t>
        </is>
      </c>
      <c r="B1212" s="1" t="n">
        <v>45390.68759259259</v>
      </c>
      <c r="C1212" s="1" t="n">
        <v>46011</v>
      </c>
      <c r="D1212" t="inlineStr">
        <is>
          <t>VÄRMLANDS LÄN</t>
        </is>
      </c>
      <c r="E1212" t="inlineStr">
        <is>
          <t>ÅRJÄNG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12068-2022</t>
        </is>
      </c>
      <c r="B1213" s="1" t="n">
        <v>44636</v>
      </c>
      <c r="C1213" s="1" t="n">
        <v>46011</v>
      </c>
      <c r="D1213" t="inlineStr">
        <is>
          <t>VÄRMLANDS LÄN</t>
        </is>
      </c>
      <c r="E1213" t="inlineStr">
        <is>
          <t>ÅRJÄNG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54437-2021</t>
        </is>
      </c>
      <c r="B1214" s="1" t="n">
        <v>44459</v>
      </c>
      <c r="C1214" s="1" t="n">
        <v>46011</v>
      </c>
      <c r="D1214" t="inlineStr">
        <is>
          <t>VÄRMLANDS LÄN</t>
        </is>
      </c>
      <c r="E1214" t="inlineStr">
        <is>
          <t>ÅRJÄNG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13814-2024</t>
        </is>
      </c>
      <c r="B1215" s="1" t="n">
        <v>45391</v>
      </c>
      <c r="C1215" s="1" t="n">
        <v>46011</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13819-2024</t>
        </is>
      </c>
      <c r="B1216" s="1" t="n">
        <v>45391.42252314815</v>
      </c>
      <c r="C1216" s="1" t="n">
        <v>46011</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12082-2023</t>
        </is>
      </c>
      <c r="B1217" s="1" t="n">
        <v>44997.78215277778</v>
      </c>
      <c r="C1217" s="1" t="n">
        <v>46011</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61913-2024</t>
        </is>
      </c>
      <c r="B1218" s="1" t="n">
        <v>45653.38708333333</v>
      </c>
      <c r="C1218" s="1" t="n">
        <v>46011</v>
      </c>
      <c r="D1218" t="inlineStr">
        <is>
          <t>VÄRMLANDS LÄN</t>
        </is>
      </c>
      <c r="E1218" t="inlineStr">
        <is>
          <t>ÅRJÄNG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5931-2023</t>
        </is>
      </c>
      <c r="B1219" s="1" t="n">
        <v>44963</v>
      </c>
      <c r="C1219" s="1" t="n">
        <v>46011</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33728-2021</t>
        </is>
      </c>
      <c r="B1220" s="1" t="n">
        <v>44378.47640046296</v>
      </c>
      <c r="C1220" s="1" t="n">
        <v>46011</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13317-2025</t>
        </is>
      </c>
      <c r="B1221" s="1" t="n">
        <v>45735.59452546296</v>
      </c>
      <c r="C1221" s="1" t="n">
        <v>46011</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64903-2023</t>
        </is>
      </c>
      <c r="B1222" s="1" t="n">
        <v>45282</v>
      </c>
      <c r="C1222" s="1" t="n">
        <v>46011</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17878-2024</t>
        </is>
      </c>
      <c r="B1223" s="1" t="n">
        <v>45419</v>
      </c>
      <c r="C1223" s="1" t="n">
        <v>46011</v>
      </c>
      <c r="D1223" t="inlineStr">
        <is>
          <t>VÄRMLANDS LÄN</t>
        </is>
      </c>
      <c r="E1223" t="inlineStr">
        <is>
          <t>ÅRJÄNG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64151-2023</t>
        </is>
      </c>
      <c r="B1224" s="1" t="n">
        <v>45279.58803240741</v>
      </c>
      <c r="C1224" s="1" t="n">
        <v>46011</v>
      </c>
      <c r="D1224" t="inlineStr">
        <is>
          <t>VÄRMLANDS LÄN</t>
        </is>
      </c>
      <c r="E1224" t="inlineStr">
        <is>
          <t>ÅRJÄNG</t>
        </is>
      </c>
      <c r="G1224" t="n">
        <v>24.5</v>
      </c>
      <c r="H1224" t="n">
        <v>0</v>
      </c>
      <c r="I1224" t="n">
        <v>0</v>
      </c>
      <c r="J1224" t="n">
        <v>0</v>
      </c>
      <c r="K1224" t="n">
        <v>0</v>
      </c>
      <c r="L1224" t="n">
        <v>0</v>
      </c>
      <c r="M1224" t="n">
        <v>0</v>
      </c>
      <c r="N1224" t="n">
        <v>0</v>
      </c>
      <c r="O1224" t="n">
        <v>0</v>
      </c>
      <c r="P1224" t="n">
        <v>0</v>
      </c>
      <c r="Q1224" t="n">
        <v>0</v>
      </c>
      <c r="R1224" s="2" t="inlineStr"/>
    </row>
    <row r="1225" ht="15" customHeight="1">
      <c r="A1225" t="inlineStr">
        <is>
          <t>A 8838-2023</t>
        </is>
      </c>
      <c r="B1225" s="1" t="n">
        <v>44978</v>
      </c>
      <c r="C1225" s="1" t="n">
        <v>46011</v>
      </c>
      <c r="D1225" t="inlineStr">
        <is>
          <t>VÄRMLANDS LÄN</t>
        </is>
      </c>
      <c r="E1225" t="inlineStr">
        <is>
          <t>ÅRJÄNG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51258-2022</t>
        </is>
      </c>
      <c r="B1226" s="1" t="n">
        <v>44868.67460648148</v>
      </c>
      <c r="C1226" s="1" t="n">
        <v>46011</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23847-2023</t>
        </is>
      </c>
      <c r="B1227" s="1" t="n">
        <v>45078</v>
      </c>
      <c r="C1227" s="1" t="n">
        <v>46011</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15327-2022</t>
        </is>
      </c>
      <c r="B1228" s="1" t="n">
        <v>44659</v>
      </c>
      <c r="C1228" s="1" t="n">
        <v>46011</v>
      </c>
      <c r="D1228" t="inlineStr">
        <is>
          <t>VÄRMLANDS LÄN</t>
        </is>
      </c>
      <c r="E1228" t="inlineStr">
        <is>
          <t>ÅRJÄNG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71812-2021</t>
        </is>
      </c>
      <c r="B1229" s="1" t="n">
        <v>44539</v>
      </c>
      <c r="C1229" s="1" t="n">
        <v>46011</v>
      </c>
      <c r="D1229" t="inlineStr">
        <is>
          <t>VÄRMLANDS LÄN</t>
        </is>
      </c>
      <c r="E1229" t="inlineStr">
        <is>
          <t>ÅRJÄNG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34580-2023</t>
        </is>
      </c>
      <c r="B1230" s="1" t="n">
        <v>45135</v>
      </c>
      <c r="C1230" s="1" t="n">
        <v>46011</v>
      </c>
      <c r="D1230" t="inlineStr">
        <is>
          <t>VÄRMLANDS LÄN</t>
        </is>
      </c>
      <c r="E1230" t="inlineStr">
        <is>
          <t>ÅRJÄNG</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15164-2023</t>
        </is>
      </c>
      <c r="B1231" s="1" t="n">
        <v>45016.59475694445</v>
      </c>
      <c r="C1231" s="1" t="n">
        <v>46011</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39187-2024</t>
        </is>
      </c>
      <c r="B1232" s="1" t="n">
        <v>45548.66915509259</v>
      </c>
      <c r="C1232" s="1" t="n">
        <v>46011</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24483-2024</t>
        </is>
      </c>
      <c r="B1233" s="1" t="n">
        <v>45459</v>
      </c>
      <c r="C1233" s="1" t="n">
        <v>46011</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24273-2023</t>
        </is>
      </c>
      <c r="B1234" s="1" t="n">
        <v>45079.6764699074</v>
      </c>
      <c r="C1234" s="1" t="n">
        <v>46011</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56940-2024</t>
        </is>
      </c>
      <c r="B1235" s="1" t="n">
        <v>45628.61755787037</v>
      </c>
      <c r="C1235" s="1" t="n">
        <v>46011</v>
      </c>
      <c r="D1235" t="inlineStr">
        <is>
          <t>VÄRMLANDS LÄN</t>
        </is>
      </c>
      <c r="E1235" t="inlineStr">
        <is>
          <t>ÅRJÄNG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36344-2023</t>
        </is>
      </c>
      <c r="B1236" s="1" t="n">
        <v>45152</v>
      </c>
      <c r="C1236" s="1" t="n">
        <v>46011</v>
      </c>
      <c r="D1236" t="inlineStr">
        <is>
          <t>VÄRMLANDS LÄN</t>
        </is>
      </c>
      <c r="E1236" t="inlineStr">
        <is>
          <t>ÅRJÄNG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23904-2023</t>
        </is>
      </c>
      <c r="B1237" s="1" t="n">
        <v>45078.55413194445</v>
      </c>
      <c r="C1237" s="1" t="n">
        <v>46011</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21177-2023</t>
        </is>
      </c>
      <c r="B1238" s="1" t="n">
        <v>45062</v>
      </c>
      <c r="C1238" s="1" t="n">
        <v>46011</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46317-2024</t>
        </is>
      </c>
      <c r="B1239" s="1" t="n">
        <v>45581.74462962963</v>
      </c>
      <c r="C1239" s="1" t="n">
        <v>46011</v>
      </c>
      <c r="D1239" t="inlineStr">
        <is>
          <t>VÄRMLANDS LÄN</t>
        </is>
      </c>
      <c r="E1239" t="inlineStr">
        <is>
          <t>ÅRJÄNG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1580-2025</t>
        </is>
      </c>
      <c r="B1240" s="1" t="n">
        <v>45670</v>
      </c>
      <c r="C1240" s="1" t="n">
        <v>46011</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39557-2023</t>
        </is>
      </c>
      <c r="B1241" s="1" t="n">
        <v>45167.38633101852</v>
      </c>
      <c r="C1241" s="1" t="n">
        <v>46011</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2551-2025</t>
        </is>
      </c>
      <c r="B1242" s="1" t="n">
        <v>45674.63969907408</v>
      </c>
      <c r="C1242" s="1" t="n">
        <v>46011</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3848-2025</t>
        </is>
      </c>
      <c r="B1243" s="1" t="n">
        <v>45683</v>
      </c>
      <c r="C1243" s="1" t="n">
        <v>46011</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47833-2023</t>
        </is>
      </c>
      <c r="B1244" s="1" t="n">
        <v>45204.36287037037</v>
      </c>
      <c r="C1244" s="1" t="n">
        <v>46011</v>
      </c>
      <c r="D1244" t="inlineStr">
        <is>
          <t>VÄRMLANDS LÄN</t>
        </is>
      </c>
      <c r="E1244" t="inlineStr">
        <is>
          <t>ÅRJÄNG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40352-2023</t>
        </is>
      </c>
      <c r="B1245" s="1" t="n">
        <v>45168</v>
      </c>
      <c r="C1245" s="1" t="n">
        <v>46011</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55167-2024</t>
        </is>
      </c>
      <c r="B1246" s="1" t="n">
        <v>45621</v>
      </c>
      <c r="C1246" s="1" t="n">
        <v>46011</v>
      </c>
      <c r="D1246" t="inlineStr">
        <is>
          <t>VÄRMLANDS LÄN</t>
        </is>
      </c>
      <c r="E1246" t="inlineStr">
        <is>
          <t>ÅRJÄNG</t>
        </is>
      </c>
      <c r="F1246" t="inlineStr">
        <is>
          <t>Bergvik skog väst AB</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33017-2022</t>
        </is>
      </c>
      <c r="B1247" s="1" t="n">
        <v>44785.32934027778</v>
      </c>
      <c r="C1247" s="1" t="n">
        <v>46011</v>
      </c>
      <c r="D1247" t="inlineStr">
        <is>
          <t>VÄRMLANDS LÄN</t>
        </is>
      </c>
      <c r="E1247" t="inlineStr">
        <is>
          <t>ÅRJÄNG</t>
        </is>
      </c>
      <c r="F1247" t="inlineStr">
        <is>
          <t>Kyrkan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16383-2022</t>
        </is>
      </c>
      <c r="B1248" s="1" t="n">
        <v>44671</v>
      </c>
      <c r="C1248" s="1" t="n">
        <v>46011</v>
      </c>
      <c r="D1248" t="inlineStr">
        <is>
          <t>VÄRMLANDS LÄN</t>
        </is>
      </c>
      <c r="E1248" t="inlineStr">
        <is>
          <t>ÅRJÄNG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13620-2023</t>
        </is>
      </c>
      <c r="B1249" s="1" t="n">
        <v>45006</v>
      </c>
      <c r="C1249" s="1" t="n">
        <v>46011</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16666-2025</t>
        </is>
      </c>
      <c r="B1250" s="1" t="n">
        <v>45754</v>
      </c>
      <c r="C1250" s="1" t="n">
        <v>46011</v>
      </c>
      <c r="D1250" t="inlineStr">
        <is>
          <t>VÄRMLANDS LÄN</t>
        </is>
      </c>
      <c r="E1250" t="inlineStr">
        <is>
          <t>ÅRJÄNG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16806-2024</t>
        </is>
      </c>
      <c r="B1251" s="1" t="n">
        <v>45411.45510416666</v>
      </c>
      <c r="C1251" s="1" t="n">
        <v>46011</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61873-2023</t>
        </is>
      </c>
      <c r="B1252" s="1" t="n">
        <v>45266.40989583333</v>
      </c>
      <c r="C1252" s="1" t="n">
        <v>46011</v>
      </c>
      <c r="D1252" t="inlineStr">
        <is>
          <t>VÄRMLANDS LÄN</t>
        </is>
      </c>
      <c r="E1252" t="inlineStr">
        <is>
          <t>ÅRJÄNG</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12687-2025</t>
        </is>
      </c>
      <c r="B1253" s="1" t="n">
        <v>45733.44953703704</v>
      </c>
      <c r="C1253" s="1" t="n">
        <v>46011</v>
      </c>
      <c r="D1253" t="inlineStr">
        <is>
          <t>VÄRMLANDS LÄN</t>
        </is>
      </c>
      <c r="E1253" t="inlineStr">
        <is>
          <t>ÅRJÄNG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28260-2024</t>
        </is>
      </c>
      <c r="B1254" s="1" t="n">
        <v>45477</v>
      </c>
      <c r="C1254" s="1" t="n">
        <v>46011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1560-2025</t>
        </is>
      </c>
      <c r="B1255" s="1" t="n">
        <v>45670.53878472222</v>
      </c>
      <c r="C1255" s="1" t="n">
        <v>46011</v>
      </c>
      <c r="D1255" t="inlineStr">
        <is>
          <t>VÄRMLANDS LÄN</t>
        </is>
      </c>
      <c r="E1255" t="inlineStr">
        <is>
          <t>ÅRJÄNG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30710-2023</t>
        </is>
      </c>
      <c r="B1256" s="1" t="n">
        <v>45112.59900462963</v>
      </c>
      <c r="C1256" s="1" t="n">
        <v>46011</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8255-2025</t>
        </is>
      </c>
      <c r="B1257" s="1" t="n">
        <v>45708.49788194444</v>
      </c>
      <c r="C1257" s="1" t="n">
        <v>46011</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34409-2023</t>
        </is>
      </c>
      <c r="B1258" s="1" t="n">
        <v>45139.56662037037</v>
      </c>
      <c r="C1258" s="1" t="n">
        <v>46011</v>
      </c>
      <c r="D1258" t="inlineStr">
        <is>
          <t>VÄRMLANDS LÄN</t>
        </is>
      </c>
      <c r="E1258" t="inlineStr">
        <is>
          <t>ÅRJÄNG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2222-2023</t>
        </is>
      </c>
      <c r="B1259" s="1" t="n">
        <v>44942.4250462963</v>
      </c>
      <c r="C1259" s="1" t="n">
        <v>46011</v>
      </c>
      <c r="D1259" t="inlineStr">
        <is>
          <t>VÄRMLANDS LÄN</t>
        </is>
      </c>
      <c r="E1259" t="inlineStr">
        <is>
          <t>ÅRJÄNG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29263-2023</t>
        </is>
      </c>
      <c r="B1260" s="1" t="n">
        <v>45105</v>
      </c>
      <c r="C1260" s="1" t="n">
        <v>46011</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20354-2023</t>
        </is>
      </c>
      <c r="B1261" s="1" t="n">
        <v>45056</v>
      </c>
      <c r="C1261" s="1" t="n">
        <v>46011</v>
      </c>
      <c r="D1261" t="inlineStr">
        <is>
          <t>VÄRMLANDS LÄN</t>
        </is>
      </c>
      <c r="E1261" t="inlineStr">
        <is>
          <t>ÅRJÄNG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6522-2021</t>
        </is>
      </c>
      <c r="B1262" s="1" t="n">
        <v>44236</v>
      </c>
      <c r="C1262" s="1" t="n">
        <v>46011</v>
      </c>
      <c r="D1262" t="inlineStr">
        <is>
          <t>VÄRMLANDS LÄN</t>
        </is>
      </c>
      <c r="E1262" t="inlineStr">
        <is>
          <t>ÅRJÄNG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13481-2025</t>
        </is>
      </c>
      <c r="B1263" s="1" t="n">
        <v>45736</v>
      </c>
      <c r="C1263" s="1" t="n">
        <v>46011</v>
      </c>
      <c r="D1263" t="inlineStr">
        <is>
          <t>VÄRMLANDS LÄN</t>
        </is>
      </c>
      <c r="E1263" t="inlineStr">
        <is>
          <t>ÅRJÄNG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5416-2025</t>
        </is>
      </c>
      <c r="B1264" s="1" t="n">
        <v>45692.67990740741</v>
      </c>
      <c r="C1264" s="1" t="n">
        <v>46011</v>
      </c>
      <c r="D1264" t="inlineStr">
        <is>
          <t>VÄRMLANDS LÄN</t>
        </is>
      </c>
      <c r="E1264" t="inlineStr">
        <is>
          <t>ÅRJÄNG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21996-2021</t>
        </is>
      </c>
      <c r="B1265" s="1" t="n">
        <v>44323</v>
      </c>
      <c r="C1265" s="1" t="n">
        <v>46011</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48014-2023</t>
        </is>
      </c>
      <c r="B1266" s="1" t="n">
        <v>45198</v>
      </c>
      <c r="C1266" s="1" t="n">
        <v>46011</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19843-2025</t>
        </is>
      </c>
      <c r="B1267" s="1" t="n">
        <v>45771</v>
      </c>
      <c r="C1267" s="1" t="n">
        <v>46011</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10681-2024</t>
        </is>
      </c>
      <c r="B1268" s="1" t="n">
        <v>45369.36349537037</v>
      </c>
      <c r="C1268" s="1" t="n">
        <v>46011</v>
      </c>
      <c r="D1268" t="inlineStr">
        <is>
          <t>VÄRMLANDS LÄN</t>
        </is>
      </c>
      <c r="E1268" t="inlineStr">
        <is>
          <t>ÅRJÄNG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11718-2024</t>
        </is>
      </c>
      <c r="B1269" s="1" t="n">
        <v>45373.63803240741</v>
      </c>
      <c r="C1269" s="1" t="n">
        <v>46011</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58769-2024</t>
        </is>
      </c>
      <c r="B1270" s="1" t="n">
        <v>45635.75688657408</v>
      </c>
      <c r="C1270" s="1" t="n">
        <v>46011</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3463-2025</t>
        </is>
      </c>
      <c r="B1271" s="1" t="n">
        <v>45680.49807870371</v>
      </c>
      <c r="C1271" s="1" t="n">
        <v>46011</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54900-2024</t>
        </is>
      </c>
      <c r="B1272" s="1" t="n">
        <v>45618.64770833333</v>
      </c>
      <c r="C1272" s="1" t="n">
        <v>46011</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48781-2024</t>
        </is>
      </c>
      <c r="B1273" s="1" t="n">
        <v>45593</v>
      </c>
      <c r="C1273" s="1" t="n">
        <v>46011</v>
      </c>
      <c r="D1273" t="inlineStr">
        <is>
          <t>VÄRMLANDS LÄN</t>
        </is>
      </c>
      <c r="E1273" t="inlineStr">
        <is>
          <t>ÅRJÄNG</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23940-2023</t>
        </is>
      </c>
      <c r="B1274" s="1" t="n">
        <v>45075</v>
      </c>
      <c r="C1274" s="1" t="n">
        <v>46011</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39536-2022</t>
        </is>
      </c>
      <c r="B1275" s="1" t="n">
        <v>44818</v>
      </c>
      <c r="C1275" s="1" t="n">
        <v>46011</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5095-2022</t>
        </is>
      </c>
      <c r="B1276" s="1" t="n">
        <v>44593.86192129629</v>
      </c>
      <c r="C1276" s="1" t="n">
        <v>46011</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2-2024</t>
        </is>
      </c>
      <c r="B1277" s="1" t="n">
        <v>45292.54944444444</v>
      </c>
      <c r="C1277" s="1" t="n">
        <v>46011</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7995-2025</t>
        </is>
      </c>
      <c r="B1278" s="1" t="n">
        <v>45707.515625</v>
      </c>
      <c r="C1278" s="1" t="n">
        <v>46011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58014-2022</t>
        </is>
      </c>
      <c r="B1279" s="1" t="n">
        <v>44893</v>
      </c>
      <c r="C1279" s="1" t="n">
        <v>46011</v>
      </c>
      <c r="D1279" t="inlineStr">
        <is>
          <t>VÄRMLANDS LÄN</t>
        </is>
      </c>
      <c r="E1279" t="inlineStr">
        <is>
          <t>ÅRJÄNG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36018-2024</t>
        </is>
      </c>
      <c r="B1280" s="1" t="n">
        <v>45533</v>
      </c>
      <c r="C1280" s="1" t="n">
        <v>46011</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36035-2024</t>
        </is>
      </c>
      <c r="B1281" s="1" t="n">
        <v>45533.59534722222</v>
      </c>
      <c r="C1281" s="1" t="n">
        <v>46011</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6646-2025</t>
        </is>
      </c>
      <c r="B1282" s="1" t="n">
        <v>45700</v>
      </c>
      <c r="C1282" s="1" t="n">
        <v>46011</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58152-2024</t>
        </is>
      </c>
      <c r="B1283" s="1" t="n">
        <v>45632.43947916666</v>
      </c>
      <c r="C1283" s="1" t="n">
        <v>46011</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10625-2025</t>
        </is>
      </c>
      <c r="B1284" s="1" t="n">
        <v>45721</v>
      </c>
      <c r="C1284" s="1" t="n">
        <v>46011</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10627-2025</t>
        </is>
      </c>
      <c r="B1285" s="1" t="n">
        <v>45721</v>
      </c>
      <c r="C1285" s="1" t="n">
        <v>46011</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3471-2023</t>
        </is>
      </c>
      <c r="B1286" s="1" t="n">
        <v>44949</v>
      </c>
      <c r="C1286" s="1" t="n">
        <v>46011</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59617-2022</t>
        </is>
      </c>
      <c r="B1287" s="1" t="n">
        <v>44907</v>
      </c>
      <c r="C1287" s="1" t="n">
        <v>46011</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59887-2023</t>
        </is>
      </c>
      <c r="B1288" s="1" t="n">
        <v>45257.59917824074</v>
      </c>
      <c r="C1288" s="1" t="n">
        <v>46011</v>
      </c>
      <c r="D1288" t="inlineStr">
        <is>
          <t>VÄRMLANDS LÄN</t>
        </is>
      </c>
      <c r="E1288" t="inlineStr">
        <is>
          <t>ÅRJÄNG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37382-2024</t>
        </is>
      </c>
      <c r="B1289" s="1" t="n">
        <v>45540</v>
      </c>
      <c r="C1289" s="1" t="n">
        <v>46011</v>
      </c>
      <c r="D1289" t="inlineStr">
        <is>
          <t>VÄRMLANDS LÄN</t>
        </is>
      </c>
      <c r="E1289" t="inlineStr">
        <is>
          <t>ÅRJÄNG</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46011</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59071-2024</t>
        </is>
      </c>
      <c r="B1291" s="1" t="n">
        <v>45636.96637731481</v>
      </c>
      <c r="C1291" s="1" t="n">
        <v>46011</v>
      </c>
      <c r="D1291" t="inlineStr">
        <is>
          <t>VÄRMLANDS LÄN</t>
        </is>
      </c>
      <c r="E1291" t="inlineStr">
        <is>
          <t>ÅRJÄNG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59073-2024</t>
        </is>
      </c>
      <c r="B1292" s="1" t="n">
        <v>45636.97232638889</v>
      </c>
      <c r="C1292" s="1" t="n">
        <v>46011</v>
      </c>
      <c r="D1292" t="inlineStr">
        <is>
          <t>VÄRMLANDS LÄN</t>
        </is>
      </c>
      <c r="E1292" t="inlineStr">
        <is>
          <t>ÅRJÄNG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28864-2023</t>
        </is>
      </c>
      <c r="B1293" s="1" t="n">
        <v>45104</v>
      </c>
      <c r="C1293" s="1" t="n">
        <v>46011</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10117-2023</t>
        </is>
      </c>
      <c r="B1294" s="1" t="n">
        <v>44986.34331018518</v>
      </c>
      <c r="C1294" s="1" t="n">
        <v>46011</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15579-2025</t>
        </is>
      </c>
      <c r="B1295" s="1" t="n">
        <v>45747</v>
      </c>
      <c r="C1295" s="1" t="n">
        <v>46011</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15303-2025</t>
        </is>
      </c>
      <c r="B1296" s="1" t="n">
        <v>45746</v>
      </c>
      <c r="C1296" s="1" t="n">
        <v>46011</v>
      </c>
      <c r="D1296" t="inlineStr">
        <is>
          <t>VÄRMLANDS LÄN</t>
        </is>
      </c>
      <c r="E1296" t="inlineStr">
        <is>
          <t>ÅRJÄNG</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11401-2025</t>
        </is>
      </c>
      <c r="B1297" s="1" t="n">
        <v>45726</v>
      </c>
      <c r="C1297" s="1" t="n">
        <v>46011</v>
      </c>
      <c r="D1297" t="inlineStr">
        <is>
          <t>VÄRMLANDS LÄN</t>
        </is>
      </c>
      <c r="E1297" t="inlineStr">
        <is>
          <t>ÅRJÄNG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58789-2024</t>
        </is>
      </c>
      <c r="B1298" s="1" t="n">
        <v>45635.98438657408</v>
      </c>
      <c r="C1298" s="1" t="n">
        <v>46011</v>
      </c>
      <c r="D1298" t="inlineStr">
        <is>
          <t>VÄRMLANDS LÄN</t>
        </is>
      </c>
      <c r="E1298" t="inlineStr">
        <is>
          <t>ÅRJÄNG</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32550-2024</t>
        </is>
      </c>
      <c r="B1299" s="1" t="n">
        <v>45513.50606481481</v>
      </c>
      <c r="C1299" s="1" t="n">
        <v>46011</v>
      </c>
      <c r="D1299" t="inlineStr">
        <is>
          <t>VÄRMLANDS LÄN</t>
        </is>
      </c>
      <c r="E1299" t="inlineStr">
        <is>
          <t>ÅRJÄNG</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46319-2024</t>
        </is>
      </c>
      <c r="B1300" s="1" t="n">
        <v>45581.760625</v>
      </c>
      <c r="C1300" s="1" t="n">
        <v>46011</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15230-2025</t>
        </is>
      </c>
      <c r="B1301" s="1" t="n">
        <v>45744</v>
      </c>
      <c r="C1301" s="1" t="n">
        <v>46011</v>
      </c>
      <c r="D1301" t="inlineStr">
        <is>
          <t>VÄRMLANDS LÄN</t>
        </is>
      </c>
      <c r="E1301" t="inlineStr">
        <is>
          <t>ÅRJÄNG</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20372-2025</t>
        </is>
      </c>
      <c r="B1302" s="1" t="n">
        <v>45775.42027777778</v>
      </c>
      <c r="C1302" s="1" t="n">
        <v>46011</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45634-2023</t>
        </is>
      </c>
      <c r="B1303" s="1" t="n">
        <v>45194</v>
      </c>
      <c r="C1303" s="1" t="n">
        <v>46011</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6551-2025</t>
        </is>
      </c>
      <c r="B1304" s="1" t="n">
        <v>45699.71454861111</v>
      </c>
      <c r="C1304" s="1" t="n">
        <v>46011</v>
      </c>
      <c r="D1304" t="inlineStr">
        <is>
          <t>VÄRMLANDS LÄN</t>
        </is>
      </c>
      <c r="E1304" t="inlineStr">
        <is>
          <t>ÅRJÄNG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48444-2023</t>
        </is>
      </c>
      <c r="B1305" s="1" t="n">
        <v>45206.37090277778</v>
      </c>
      <c r="C1305" s="1" t="n">
        <v>46011</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58290-2024</t>
        </is>
      </c>
      <c r="B1306" s="1" t="n">
        <v>45632.5916087963</v>
      </c>
      <c r="C1306" s="1" t="n">
        <v>46011</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1615-2025</t>
        </is>
      </c>
      <c r="B1307" s="1" t="n">
        <v>45670.60484953703</v>
      </c>
      <c r="C1307" s="1" t="n">
        <v>46011</v>
      </c>
      <c r="D1307" t="inlineStr">
        <is>
          <t>VÄRMLANDS LÄN</t>
        </is>
      </c>
      <c r="E1307" t="inlineStr">
        <is>
          <t>ÅRJÄNG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45827-2024</t>
        </is>
      </c>
      <c r="B1308" s="1" t="n">
        <v>45579</v>
      </c>
      <c r="C1308" s="1" t="n">
        <v>46011</v>
      </c>
      <c r="D1308" t="inlineStr">
        <is>
          <t>VÄRMLANDS LÄN</t>
        </is>
      </c>
      <c r="E1308" t="inlineStr">
        <is>
          <t>ÅRJÄNG</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32778-2024</t>
        </is>
      </c>
      <c r="B1309" s="1" t="n">
        <v>45516.5083912037</v>
      </c>
      <c r="C1309" s="1" t="n">
        <v>46011</v>
      </c>
      <c r="D1309" t="inlineStr">
        <is>
          <t>VÄRMLANDS LÄN</t>
        </is>
      </c>
      <c r="E1309" t="inlineStr">
        <is>
          <t>ÅRJÄNG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42230-2024</t>
        </is>
      </c>
      <c r="B1310" s="1" t="n">
        <v>45562</v>
      </c>
      <c r="C1310" s="1" t="n">
        <v>46011</v>
      </c>
      <c r="D1310" t="inlineStr">
        <is>
          <t>VÄRMLANDS LÄN</t>
        </is>
      </c>
      <c r="E1310" t="inlineStr">
        <is>
          <t>ÅRJÄNG</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4189-2025</t>
        </is>
      </c>
      <c r="B1311" s="1" t="n">
        <v>45685</v>
      </c>
      <c r="C1311" s="1" t="n">
        <v>46011</v>
      </c>
      <c r="D1311" t="inlineStr">
        <is>
          <t>VÄRMLANDS LÄN</t>
        </is>
      </c>
      <c r="E1311" t="inlineStr">
        <is>
          <t>ÅRJÄNG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20747-2025</t>
        </is>
      </c>
      <c r="B1312" s="1" t="n">
        <v>45776.56221064815</v>
      </c>
      <c r="C1312" s="1" t="n">
        <v>46011</v>
      </c>
      <c r="D1312" t="inlineStr">
        <is>
          <t>VÄRMLANDS LÄN</t>
        </is>
      </c>
      <c r="E1312" t="inlineStr">
        <is>
          <t>ÅRJÄNG</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20975-2025</t>
        </is>
      </c>
      <c r="B1313" s="1" t="n">
        <v>45777.45922453704</v>
      </c>
      <c r="C1313" s="1" t="n">
        <v>46011</v>
      </c>
      <c r="D1313" t="inlineStr">
        <is>
          <t>VÄRMLANDS LÄN</t>
        </is>
      </c>
      <c r="E1313" t="inlineStr">
        <is>
          <t>ÅRJÄNG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20957-2025</t>
        </is>
      </c>
      <c r="B1314" s="1" t="n">
        <v>45777.44613425926</v>
      </c>
      <c r="C1314" s="1" t="n">
        <v>46011</v>
      </c>
      <c r="D1314" t="inlineStr">
        <is>
          <t>VÄRMLANDS LÄN</t>
        </is>
      </c>
      <c r="E1314" t="inlineStr">
        <is>
          <t>ÅRJÄNG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21258-2025</t>
        </is>
      </c>
      <c r="B1315" s="1" t="n">
        <v>45779.59001157407</v>
      </c>
      <c r="C1315" s="1" t="n">
        <v>46011</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11198-2025</t>
        </is>
      </c>
      <c r="B1316" s="1" t="n">
        <v>45725</v>
      </c>
      <c r="C1316" s="1" t="n">
        <v>46011</v>
      </c>
      <c r="D1316" t="inlineStr">
        <is>
          <t>VÄRMLANDS LÄN</t>
        </is>
      </c>
      <c r="E1316" t="inlineStr">
        <is>
          <t>ÅRJÄNG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7193-2024</t>
        </is>
      </c>
      <c r="B1317" s="1" t="n">
        <v>45344</v>
      </c>
      <c r="C1317" s="1" t="n">
        <v>46011</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1467-2025</t>
        </is>
      </c>
      <c r="B1318" s="1" t="n">
        <v>45667</v>
      </c>
      <c r="C1318" s="1" t="n">
        <v>46011</v>
      </c>
      <c r="D1318" t="inlineStr">
        <is>
          <t>VÄRMLANDS LÄN</t>
        </is>
      </c>
      <c r="E1318" t="inlineStr">
        <is>
          <t>ÅRJÄNG</t>
        </is>
      </c>
      <c r="F1318" t="inlineStr">
        <is>
          <t>Övriga Aktiebolag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31793-2023</t>
        </is>
      </c>
      <c r="B1319" s="1" t="n">
        <v>45118.43685185185</v>
      </c>
      <c r="C1319" s="1" t="n">
        <v>46011</v>
      </c>
      <c r="D1319" t="inlineStr">
        <is>
          <t>VÄRMLANDS LÄN</t>
        </is>
      </c>
      <c r="E1319" t="inlineStr">
        <is>
          <t>ÅRJÄNG</t>
        </is>
      </c>
      <c r="G1319" t="n">
        <v>10.9</v>
      </c>
      <c r="H1319" t="n">
        <v>0</v>
      </c>
      <c r="I1319" t="n">
        <v>0</v>
      </c>
      <c r="J1319" t="n">
        <v>0</v>
      </c>
      <c r="K1319" t="n">
        <v>0</v>
      </c>
      <c r="L1319" t="n">
        <v>0</v>
      </c>
      <c r="M1319" t="n">
        <v>0</v>
      </c>
      <c r="N1319" t="n">
        <v>0</v>
      </c>
      <c r="O1319" t="n">
        <v>0</v>
      </c>
      <c r="P1319" t="n">
        <v>0</v>
      </c>
      <c r="Q1319" t="n">
        <v>0</v>
      </c>
      <c r="R1319" s="2" t="inlineStr"/>
    </row>
    <row r="1320" ht="15" customHeight="1">
      <c r="A1320" t="inlineStr">
        <is>
          <t>A 50347-2024</t>
        </is>
      </c>
      <c r="B1320" s="1" t="n">
        <v>45600</v>
      </c>
      <c r="C1320" s="1" t="n">
        <v>46011</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22276-2025</t>
        </is>
      </c>
      <c r="B1321" s="1" t="n">
        <v>45786.32737268518</v>
      </c>
      <c r="C1321" s="1" t="n">
        <v>46011</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22352-2025</t>
        </is>
      </c>
      <c r="B1322" s="1" t="n">
        <v>45786.45491898148</v>
      </c>
      <c r="C1322" s="1" t="n">
        <v>46011</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63203-2021</t>
        </is>
      </c>
      <c r="B1323" s="1" t="n">
        <v>44507.78568287037</v>
      </c>
      <c r="C1323" s="1" t="n">
        <v>46011</v>
      </c>
      <c r="D1323" t="inlineStr">
        <is>
          <t>VÄRMLANDS LÄN</t>
        </is>
      </c>
      <c r="E1323" t="inlineStr">
        <is>
          <t>ÅRJÄNG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8094-2025</t>
        </is>
      </c>
      <c r="B1324" s="1" t="n">
        <v>45707.68126157407</v>
      </c>
      <c r="C1324" s="1" t="n">
        <v>46011</v>
      </c>
      <c r="D1324" t="inlineStr">
        <is>
          <t>VÄRMLANDS LÄN</t>
        </is>
      </c>
      <c r="E1324" t="inlineStr">
        <is>
          <t>ÅRJÄNG</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22281-2025</t>
        </is>
      </c>
      <c r="B1325" s="1" t="n">
        <v>45786.33900462963</v>
      </c>
      <c r="C1325" s="1" t="n">
        <v>46011</v>
      </c>
      <c r="D1325" t="inlineStr">
        <is>
          <t>VÄRMLANDS LÄN</t>
        </is>
      </c>
      <c r="E1325" t="inlineStr">
        <is>
          <t>ÅRJÄNG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22667-2025</t>
        </is>
      </c>
      <c r="B1326" s="1" t="n">
        <v>45789</v>
      </c>
      <c r="C1326" s="1" t="n">
        <v>46011</v>
      </c>
      <c r="D1326" t="inlineStr">
        <is>
          <t>VÄRMLANDS LÄN</t>
        </is>
      </c>
      <c r="E1326" t="inlineStr">
        <is>
          <t>ÅRJÄNG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23039-2025</t>
        </is>
      </c>
      <c r="B1327" s="1" t="n">
        <v>45790</v>
      </c>
      <c r="C1327" s="1" t="n">
        <v>46011</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22556-2025</t>
        </is>
      </c>
      <c r="B1328" s="1" t="n">
        <v>45788.93663194445</v>
      </c>
      <c r="C1328" s="1" t="n">
        <v>46011</v>
      </c>
      <c r="D1328" t="inlineStr">
        <is>
          <t>VÄRMLANDS LÄN</t>
        </is>
      </c>
      <c r="E1328" t="inlineStr">
        <is>
          <t>ÅRJÄNG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37026-2024</t>
        </is>
      </c>
      <c r="B1329" s="1" t="n">
        <v>45539</v>
      </c>
      <c r="C1329" s="1" t="n">
        <v>46011</v>
      </c>
      <c r="D1329" t="inlineStr">
        <is>
          <t>VÄRMLANDS LÄN</t>
        </is>
      </c>
      <c r="E1329" t="inlineStr">
        <is>
          <t>ÅRJÄNG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11899-2025</t>
        </is>
      </c>
      <c r="B1330" s="1" t="n">
        <v>45728</v>
      </c>
      <c r="C1330" s="1" t="n">
        <v>46011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22635-2025</t>
        </is>
      </c>
      <c r="B1331" s="1" t="n">
        <v>45789</v>
      </c>
      <c r="C1331" s="1" t="n">
        <v>46011</v>
      </c>
      <c r="D1331" t="inlineStr">
        <is>
          <t>VÄRMLANDS LÄN</t>
        </is>
      </c>
      <c r="E1331" t="inlineStr">
        <is>
          <t>ÅRJÄNG</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22727-2025</t>
        </is>
      </c>
      <c r="B1332" s="1" t="n">
        <v>45789.5744212963</v>
      </c>
      <c r="C1332" s="1" t="n">
        <v>46011</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43659-2024</t>
        </is>
      </c>
      <c r="B1333" s="1" t="n">
        <v>45569</v>
      </c>
      <c r="C1333" s="1" t="n">
        <v>46011</v>
      </c>
      <c r="D1333" t="inlineStr">
        <is>
          <t>VÄRMLANDS LÄN</t>
        </is>
      </c>
      <c r="E1333" t="inlineStr">
        <is>
          <t>ÅRJÄNG</t>
        </is>
      </c>
      <c r="G1333" t="n">
        <v>6</v>
      </c>
      <c r="H1333" t="n">
        <v>0</v>
      </c>
      <c r="I1333" t="n">
        <v>0</v>
      </c>
      <c r="J1333" t="n">
        <v>0</v>
      </c>
      <c r="K1333" t="n">
        <v>0</v>
      </c>
      <c r="L1333" t="n">
        <v>0</v>
      </c>
      <c r="M1333" t="n">
        <v>0</v>
      </c>
      <c r="N1333" t="n">
        <v>0</v>
      </c>
      <c r="O1333" t="n">
        <v>0</v>
      </c>
      <c r="P1333" t="n">
        <v>0</v>
      </c>
      <c r="Q1333" t="n">
        <v>0</v>
      </c>
      <c r="R1333" s="2" t="inlineStr"/>
    </row>
    <row r="1334">
      <c r="A1334" t="inlineStr">
        <is>
          <t>A 62266-2023</t>
        </is>
      </c>
      <c r="B1334" s="1" t="n">
        <v>45266</v>
      </c>
      <c r="C1334" s="1" t="n">
        <v>46011</v>
      </c>
      <c r="D1334" t="inlineStr">
        <is>
          <t>VÄRMLANDS LÄN</t>
        </is>
      </c>
      <c r="E1334" t="inlineStr">
        <is>
          <t>ÅRJÄNG</t>
        </is>
      </c>
      <c r="G1334" t="n">
        <v>10.5</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2025-12-20T14:10:41Z</dcterms:created>
  <dcterms:modified xmlns:dcterms="http://purl.org/dc/terms/" xmlns:xsi="http://www.w3.org/2001/XMLSchema-instance" xsi:type="dcterms:W3CDTF">2025-12-20T14:10:42Z</dcterms:modified>
</cp:coreProperties>
</file>