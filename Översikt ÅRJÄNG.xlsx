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45999</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45999</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45999</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45999</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52132-2022</t>
        </is>
      </c>
      <c r="B11" s="1" t="n">
        <v>44873</v>
      </c>
      <c r="C11" s="1" t="n">
        <v>45999</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45999</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45999</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7996-2025</t>
        </is>
      </c>
      <c r="B14" s="1" t="n">
        <v>45707.52001157407</v>
      </c>
      <c r="C14" s="1" t="n">
        <v>45999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45999</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11156-2024</t>
        </is>
      </c>
      <c r="B16" s="1" t="n">
        <v>45371</v>
      </c>
      <c r="C16" s="1" t="n">
        <v>45999</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53216-2025</t>
        </is>
      </c>
      <c r="B17" s="1" t="n">
        <v>45958</v>
      </c>
      <c r="C17" s="1" t="n">
        <v>45999</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17268-2022</t>
        </is>
      </c>
      <c r="B18" s="1" t="n">
        <v>44678</v>
      </c>
      <c r="C18" s="1" t="n">
        <v>45999</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45999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45999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45999</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45999</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41729-2025</t>
        </is>
      </c>
      <c r="B23" s="1" t="n">
        <v>45902.45789351852</v>
      </c>
      <c r="C23" s="1" t="n">
        <v>45999</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45999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45999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45999</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60741-2023</t>
        </is>
      </c>
      <c r="B27" s="1" t="n">
        <v>45260</v>
      </c>
      <c r="C27" s="1" t="n">
        <v>45999</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39251-2023</t>
        </is>
      </c>
      <c r="B28" s="1" t="n">
        <v>45166.47168981482</v>
      </c>
      <c r="C28" s="1" t="n">
        <v>45999</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60688-2023</t>
        </is>
      </c>
      <c r="B29" s="1" t="n">
        <v>45260</v>
      </c>
      <c r="C29" s="1" t="n">
        <v>45999</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45094-2024</t>
        </is>
      </c>
      <c r="B30" s="1" t="n">
        <v>45575</v>
      </c>
      <c r="C30" s="1" t="n">
        <v>45999</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45999</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45999</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6134-2023</t>
        </is>
      </c>
      <c r="B33" s="1" t="n">
        <v>44964.62440972222</v>
      </c>
      <c r="C33" s="1" t="n">
        <v>45999</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7998-2025</t>
        </is>
      </c>
      <c r="B34" s="1" t="n">
        <v>45707.52335648148</v>
      </c>
      <c r="C34" s="1" t="n">
        <v>45999</v>
      </c>
      <c r="D34" t="inlineStr">
        <is>
          <t>VÄRMLANDS LÄN</t>
        </is>
      </c>
      <c r="E34" t="inlineStr">
        <is>
          <t>ÅRJÄNG</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HYPERLINK("https://klasma.github.io/Logging_1765/artfynd/A 7998-2025 artfynd.xlsx", "A 7998-2025")</f>
        <v/>
      </c>
      <c r="T34">
        <f>HYPERLINK("https://klasma.github.io/Logging_1765/kartor/A 7998-2025 karta.png", "A 7998-2025")</f>
        <v/>
      </c>
      <c r="V34">
        <f>HYPERLINK("https://klasma.github.io/Logging_1765/klagomål/A 7998-2025 FSC-klagomål.docx", "A 7998-2025")</f>
        <v/>
      </c>
      <c r="W34">
        <f>HYPERLINK("https://klasma.github.io/Logging_1765/klagomålsmail/A 7998-2025 FSC-klagomål mail.docx", "A 7998-2025")</f>
        <v/>
      </c>
      <c r="X34">
        <f>HYPERLINK("https://klasma.github.io/Logging_1765/tillsyn/A 7998-2025 tillsynsbegäran.docx", "A 7998-2025")</f>
        <v/>
      </c>
      <c r="Y34">
        <f>HYPERLINK("https://klasma.github.io/Logging_1765/tillsynsmail/A 7998-2025 tillsynsbegäran mail.docx", "A 7998-2025")</f>
        <v/>
      </c>
      <c r="Z34">
        <f>HYPERLINK("https://klasma.github.io/Logging_1765/fåglar/A 7998-2025 prioriterade fågelarter.docx", "A 7998-2025")</f>
        <v/>
      </c>
    </row>
    <row r="35" ht="15" customHeight="1">
      <c r="A35" t="inlineStr">
        <is>
          <t>A 28418-2021</t>
        </is>
      </c>
      <c r="B35" s="1" t="n">
        <v>44356</v>
      </c>
      <c r="C35" s="1" t="n">
        <v>45999</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48449-2021</t>
        </is>
      </c>
      <c r="B36" s="1" t="n">
        <v>44452</v>
      </c>
      <c r="C36" s="1" t="n">
        <v>45999</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3974-2021</t>
        </is>
      </c>
      <c r="B37" s="1" t="n">
        <v>44217</v>
      </c>
      <c r="C37" s="1" t="n">
        <v>45999</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45938-2022</t>
        </is>
      </c>
      <c r="B38" s="1" t="n">
        <v>44846</v>
      </c>
      <c r="C38" s="1" t="n">
        <v>45999</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45999</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45999</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34188-2021</t>
        </is>
      </c>
      <c r="B41" s="1" t="n">
        <v>44379</v>
      </c>
      <c r="C41" s="1" t="n">
        <v>45999</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28317-2023</t>
        </is>
      </c>
      <c r="B42" s="1" t="n">
        <v>45099</v>
      </c>
      <c r="C42" s="1" t="n">
        <v>45999</v>
      </c>
      <c r="D42" t="inlineStr">
        <is>
          <t>VÄRMLANDS LÄN</t>
        </is>
      </c>
      <c r="E42" t="inlineStr">
        <is>
          <t>ÅRJÄNG</t>
        </is>
      </c>
      <c r="G42" t="n">
        <v>10.2</v>
      </c>
      <c r="H42" t="n">
        <v>1</v>
      </c>
      <c r="I42" t="n">
        <v>0</v>
      </c>
      <c r="J42" t="n">
        <v>1</v>
      </c>
      <c r="K42" t="n">
        <v>0</v>
      </c>
      <c r="L42" t="n">
        <v>0</v>
      </c>
      <c r="M42" t="n">
        <v>0</v>
      </c>
      <c r="N42" t="n">
        <v>0</v>
      </c>
      <c r="O42" t="n">
        <v>1</v>
      </c>
      <c r="P42" t="n">
        <v>0</v>
      </c>
      <c r="Q42" t="n">
        <v>1</v>
      </c>
      <c r="R42" s="2" t="inlineStr">
        <is>
          <t>Duvhök</t>
        </is>
      </c>
      <c r="S42">
        <f>HYPERLINK("https://klasma.github.io/Logging_1765/artfynd/A 28317-2023 artfynd.xlsx", "A 28317-2023")</f>
        <v/>
      </c>
      <c r="T42">
        <f>HYPERLINK("https://klasma.github.io/Logging_1765/kartor/A 28317-2023 karta.png", "A 28317-2023")</f>
        <v/>
      </c>
      <c r="V42">
        <f>HYPERLINK("https://klasma.github.io/Logging_1765/klagomål/A 28317-2023 FSC-klagomål.docx", "A 28317-2023")</f>
        <v/>
      </c>
      <c r="W42">
        <f>HYPERLINK("https://klasma.github.io/Logging_1765/klagomålsmail/A 28317-2023 FSC-klagomål mail.docx", "A 28317-2023")</f>
        <v/>
      </c>
      <c r="X42">
        <f>HYPERLINK("https://klasma.github.io/Logging_1765/tillsyn/A 28317-2023 tillsynsbegäran.docx", "A 28317-2023")</f>
        <v/>
      </c>
      <c r="Y42">
        <f>HYPERLINK("https://klasma.github.io/Logging_1765/tillsynsmail/A 28317-2023 tillsynsbegäran mail.docx", "A 28317-2023")</f>
        <v/>
      </c>
      <c r="Z42">
        <f>HYPERLINK("https://klasma.github.io/Logging_1765/fåglar/A 28317-2023 prioriterade fågelarter.docx", "A 28317-2023")</f>
        <v/>
      </c>
    </row>
    <row r="43" ht="15" customHeight="1">
      <c r="A43" t="inlineStr">
        <is>
          <t>A 15418-2021</t>
        </is>
      </c>
      <c r="B43" s="1" t="n">
        <v>44285</v>
      </c>
      <c r="C43" s="1" t="n">
        <v>45999</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2212-2025</t>
        </is>
      </c>
      <c r="B44" s="1" t="n">
        <v>45673</v>
      </c>
      <c r="C44" s="1" t="n">
        <v>45999</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45999</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8630-2025</t>
        </is>
      </c>
      <c r="B46" s="1" t="n">
        <v>45711.70400462963</v>
      </c>
      <c r="C46" s="1" t="n">
        <v>45999</v>
      </c>
      <c r="D46" t="inlineStr">
        <is>
          <t>VÄRMLANDS LÄN</t>
        </is>
      </c>
      <c r="E46" t="inlineStr">
        <is>
          <t>ÅRJÄNG</t>
        </is>
      </c>
      <c r="G46" t="n">
        <v>3.1</v>
      </c>
      <c r="H46" t="n">
        <v>0</v>
      </c>
      <c r="I46" t="n">
        <v>1</v>
      </c>
      <c r="J46" t="n">
        <v>0</v>
      </c>
      <c r="K46" t="n">
        <v>0</v>
      </c>
      <c r="L46" t="n">
        <v>0</v>
      </c>
      <c r="M46" t="n">
        <v>0</v>
      </c>
      <c r="N46" t="n">
        <v>0</v>
      </c>
      <c r="O46" t="n">
        <v>0</v>
      </c>
      <c r="P46" t="n">
        <v>0</v>
      </c>
      <c r="Q46" t="n">
        <v>1</v>
      </c>
      <c r="R46" s="2" t="inlineStr">
        <is>
          <t>Dropptaggsvamp</t>
        </is>
      </c>
      <c r="S46">
        <f>HYPERLINK("https://klasma.github.io/Logging_1765/artfynd/A 8630-2025 artfynd.xlsx", "A 8630-2025")</f>
        <v/>
      </c>
      <c r="T46">
        <f>HYPERLINK("https://klasma.github.io/Logging_1765/kartor/A 8630-2025 karta.png", "A 8630-2025")</f>
        <v/>
      </c>
      <c r="V46">
        <f>HYPERLINK("https://klasma.github.io/Logging_1765/klagomål/A 8630-2025 FSC-klagomål.docx", "A 8630-2025")</f>
        <v/>
      </c>
      <c r="W46">
        <f>HYPERLINK("https://klasma.github.io/Logging_1765/klagomålsmail/A 8630-2025 FSC-klagomål mail.docx", "A 8630-2025")</f>
        <v/>
      </c>
      <c r="X46">
        <f>HYPERLINK("https://klasma.github.io/Logging_1765/tillsyn/A 8630-2025 tillsynsbegäran.docx", "A 8630-2025")</f>
        <v/>
      </c>
      <c r="Y46">
        <f>HYPERLINK("https://klasma.github.io/Logging_1765/tillsynsmail/A 8630-2025 tillsynsbegäran mail.docx", "A 8630-2025")</f>
        <v/>
      </c>
    </row>
    <row r="47" ht="15" customHeight="1">
      <c r="A47" t="inlineStr">
        <is>
          <t>A 11880-2025</t>
        </is>
      </c>
      <c r="B47" s="1" t="n">
        <v>45728.4462037037</v>
      </c>
      <c r="C47" s="1" t="n">
        <v>45999</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36385-2025</t>
        </is>
      </c>
      <c r="B48" s="1" t="n">
        <v>45868</v>
      </c>
      <c r="C48" s="1" t="n">
        <v>45999</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47476-2025</t>
        </is>
      </c>
      <c r="B49" s="1" t="n">
        <v>45930.67951388889</v>
      </c>
      <c r="C49" s="1" t="n">
        <v>45999</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45999</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14898-2025</t>
        </is>
      </c>
      <c r="B51" s="1" t="n">
        <v>45743.47967592593</v>
      </c>
      <c r="C51" s="1" t="n">
        <v>45999</v>
      </c>
      <c r="D51" t="inlineStr">
        <is>
          <t>VÄRMLANDS LÄN</t>
        </is>
      </c>
      <c r="E51" t="inlineStr">
        <is>
          <t>ÅRJÄNG</t>
        </is>
      </c>
      <c r="G51" t="n">
        <v>9.300000000000001</v>
      </c>
      <c r="H51" t="n">
        <v>0</v>
      </c>
      <c r="I51" t="n">
        <v>1</v>
      </c>
      <c r="J51" t="n">
        <v>0</v>
      </c>
      <c r="K51" t="n">
        <v>0</v>
      </c>
      <c r="L51" t="n">
        <v>0</v>
      </c>
      <c r="M51" t="n">
        <v>0</v>
      </c>
      <c r="N51" t="n">
        <v>0</v>
      </c>
      <c r="O51" t="n">
        <v>0</v>
      </c>
      <c r="P51" t="n">
        <v>0</v>
      </c>
      <c r="Q51" t="n">
        <v>1</v>
      </c>
      <c r="R51" s="2" t="inlineStr">
        <is>
          <t>Dropptaggsvamp</t>
        </is>
      </c>
      <c r="S51">
        <f>HYPERLINK("https://klasma.github.io/Logging_1765/artfynd/A 14898-2025 artfynd.xlsx", "A 14898-2025")</f>
        <v/>
      </c>
      <c r="T51">
        <f>HYPERLINK("https://klasma.github.io/Logging_1765/kartor/A 14898-2025 karta.png", "A 14898-2025")</f>
        <v/>
      </c>
      <c r="V51">
        <f>HYPERLINK("https://klasma.github.io/Logging_1765/klagomål/A 14898-2025 FSC-klagomål.docx", "A 14898-2025")</f>
        <v/>
      </c>
      <c r="W51">
        <f>HYPERLINK("https://klasma.github.io/Logging_1765/klagomålsmail/A 14898-2025 FSC-klagomål mail.docx", "A 14898-2025")</f>
        <v/>
      </c>
      <c r="X51">
        <f>HYPERLINK("https://klasma.github.io/Logging_1765/tillsyn/A 14898-2025 tillsynsbegäran.docx", "A 14898-2025")</f>
        <v/>
      </c>
      <c r="Y51">
        <f>HYPERLINK("https://klasma.github.io/Logging_1765/tillsynsmail/A 14898-2025 tillsynsbegäran mail.docx", "A 14898-2025")</f>
        <v/>
      </c>
    </row>
    <row r="52" ht="15" customHeight="1">
      <c r="A52" t="inlineStr">
        <is>
          <t>A 57430-2025</t>
        </is>
      </c>
      <c r="B52" s="1" t="n">
        <v>45980.47327546297</v>
      </c>
      <c r="C52" s="1" t="n">
        <v>45999</v>
      </c>
      <c r="D52" t="inlineStr">
        <is>
          <t>VÄRMLANDS LÄN</t>
        </is>
      </c>
      <c r="E52" t="inlineStr">
        <is>
          <t>ÅRJÄNG</t>
        </is>
      </c>
      <c r="G52" t="n">
        <v>1.4</v>
      </c>
      <c r="H52" t="n">
        <v>1</v>
      </c>
      <c r="I52" t="n">
        <v>0</v>
      </c>
      <c r="J52" t="n">
        <v>0</v>
      </c>
      <c r="K52" t="n">
        <v>0</v>
      </c>
      <c r="L52" t="n">
        <v>0</v>
      </c>
      <c r="M52" t="n">
        <v>0</v>
      </c>
      <c r="N52" t="n">
        <v>0</v>
      </c>
      <c r="O52" t="n">
        <v>0</v>
      </c>
      <c r="P52" t="n">
        <v>0</v>
      </c>
      <c r="Q52" t="n">
        <v>1</v>
      </c>
      <c r="R52" s="2" t="inlineStr">
        <is>
          <t>Grönvit nattviol</t>
        </is>
      </c>
      <c r="S52">
        <f>HYPERLINK("https://klasma.github.io/Logging_1765/artfynd/A 57430-2025 artfynd.xlsx", "A 57430-2025")</f>
        <v/>
      </c>
      <c r="T52">
        <f>HYPERLINK("https://klasma.github.io/Logging_1765/kartor/A 57430-2025 karta.png", "A 57430-2025")</f>
        <v/>
      </c>
      <c r="V52">
        <f>HYPERLINK("https://klasma.github.io/Logging_1765/klagomål/A 57430-2025 FSC-klagomål.docx", "A 57430-2025")</f>
        <v/>
      </c>
      <c r="W52">
        <f>HYPERLINK("https://klasma.github.io/Logging_1765/klagomålsmail/A 57430-2025 FSC-klagomål mail.docx", "A 57430-2025")</f>
        <v/>
      </c>
      <c r="X52">
        <f>HYPERLINK("https://klasma.github.io/Logging_1765/tillsyn/A 57430-2025 tillsynsbegäran.docx", "A 57430-2025")</f>
        <v/>
      </c>
      <c r="Y52">
        <f>HYPERLINK("https://klasma.github.io/Logging_1765/tillsynsmail/A 57430-2025 tillsynsbegäran mail.docx", "A 57430-2025")</f>
        <v/>
      </c>
    </row>
    <row r="53" ht="15" customHeight="1">
      <c r="A53" t="inlineStr">
        <is>
          <t>A 45230-2025</t>
        </is>
      </c>
      <c r="B53" s="1" t="n">
        <v>45919</v>
      </c>
      <c r="C53" s="1" t="n">
        <v>45999</v>
      </c>
      <c r="D53" t="inlineStr">
        <is>
          <t>VÄRMLANDS LÄN</t>
        </is>
      </c>
      <c r="E53" t="inlineStr">
        <is>
          <t>ÅRJÄNG</t>
        </is>
      </c>
      <c r="F53" t="inlineStr">
        <is>
          <t>Bergvik skog väst AB</t>
        </is>
      </c>
      <c r="G53" t="n">
        <v>4.6</v>
      </c>
      <c r="H53" t="n">
        <v>1</v>
      </c>
      <c r="I53" t="n">
        <v>0</v>
      </c>
      <c r="J53" t="n">
        <v>0</v>
      </c>
      <c r="K53" t="n">
        <v>0</v>
      </c>
      <c r="L53" t="n">
        <v>0</v>
      </c>
      <c r="M53" t="n">
        <v>0</v>
      </c>
      <c r="N53" t="n">
        <v>0</v>
      </c>
      <c r="O53" t="n">
        <v>0</v>
      </c>
      <c r="P53" t="n">
        <v>0</v>
      </c>
      <c r="Q53" t="n">
        <v>1</v>
      </c>
      <c r="R53" s="2" t="inlineStr">
        <is>
          <t>Mattlummer</t>
        </is>
      </c>
      <c r="S53">
        <f>HYPERLINK("https://klasma.github.io/Logging_1765/artfynd/A 45230-2025 artfynd.xlsx", "A 45230-2025")</f>
        <v/>
      </c>
      <c r="T53">
        <f>HYPERLINK("https://klasma.github.io/Logging_1765/kartor/A 45230-2025 karta.png", "A 45230-2025")</f>
        <v/>
      </c>
      <c r="V53">
        <f>HYPERLINK("https://klasma.github.io/Logging_1765/klagomål/A 45230-2025 FSC-klagomål.docx", "A 45230-2025")</f>
        <v/>
      </c>
      <c r="W53">
        <f>HYPERLINK("https://klasma.github.io/Logging_1765/klagomålsmail/A 45230-2025 FSC-klagomål mail.docx", "A 45230-2025")</f>
        <v/>
      </c>
      <c r="X53">
        <f>HYPERLINK("https://klasma.github.io/Logging_1765/tillsyn/A 45230-2025 tillsynsbegäran.docx", "A 45230-2025")</f>
        <v/>
      </c>
      <c r="Y53">
        <f>HYPERLINK("https://klasma.github.io/Logging_1765/tillsynsmail/A 45230-2025 tillsynsbegäran mail.docx", "A 45230-2025")</f>
        <v/>
      </c>
    </row>
    <row r="54" ht="15" customHeight="1">
      <c r="A54" t="inlineStr">
        <is>
          <t>A 27001-2025</t>
        </is>
      </c>
      <c r="B54" s="1" t="n">
        <v>45811</v>
      </c>
      <c r="C54" s="1" t="n">
        <v>45999</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30550-2023</t>
        </is>
      </c>
      <c r="B55" s="1" t="n">
        <v>45111</v>
      </c>
      <c r="C55" s="1" t="n">
        <v>45999</v>
      </c>
      <c r="D55" t="inlineStr">
        <is>
          <t>VÄRMLANDS LÄN</t>
        </is>
      </c>
      <c r="E55" t="inlineStr">
        <is>
          <t>ÅRJÄNG</t>
        </is>
      </c>
      <c r="G55" t="n">
        <v>3</v>
      </c>
      <c r="H55" t="n">
        <v>0</v>
      </c>
      <c r="I55" t="n">
        <v>0</v>
      </c>
      <c r="J55" t="n">
        <v>1</v>
      </c>
      <c r="K55" t="n">
        <v>0</v>
      </c>
      <c r="L55" t="n">
        <v>0</v>
      </c>
      <c r="M55" t="n">
        <v>0</v>
      </c>
      <c r="N55" t="n">
        <v>0</v>
      </c>
      <c r="O55" t="n">
        <v>1</v>
      </c>
      <c r="P55" t="n">
        <v>0</v>
      </c>
      <c r="Q55" t="n">
        <v>1</v>
      </c>
      <c r="R55" s="2" t="inlineStr">
        <is>
          <t>Lunglav</t>
        </is>
      </c>
      <c r="S55">
        <f>HYPERLINK("https://klasma.github.io/Logging_1765/artfynd/A 30550-2023 artfynd.xlsx", "A 30550-2023")</f>
        <v/>
      </c>
      <c r="T55">
        <f>HYPERLINK("https://klasma.github.io/Logging_1765/kartor/A 30550-2023 karta.png", "A 30550-2023")</f>
        <v/>
      </c>
      <c r="V55">
        <f>HYPERLINK("https://klasma.github.io/Logging_1765/klagomål/A 30550-2023 FSC-klagomål.docx", "A 30550-2023")</f>
        <v/>
      </c>
      <c r="W55">
        <f>HYPERLINK("https://klasma.github.io/Logging_1765/klagomålsmail/A 30550-2023 FSC-klagomål mail.docx", "A 30550-2023")</f>
        <v/>
      </c>
      <c r="X55">
        <f>HYPERLINK("https://klasma.github.io/Logging_1765/tillsyn/A 30550-2023 tillsynsbegäran.docx", "A 30550-2023")</f>
        <v/>
      </c>
      <c r="Y55">
        <f>HYPERLINK("https://klasma.github.io/Logging_1765/tillsynsmail/A 30550-2023 tillsynsbegäran mail.docx", "A 30550-2023")</f>
        <v/>
      </c>
    </row>
    <row r="56" ht="15" customHeight="1">
      <c r="A56" t="inlineStr">
        <is>
          <t>A 52826-2022</t>
        </is>
      </c>
      <c r="B56" s="1" t="n">
        <v>44875.45353009259</v>
      </c>
      <c r="C56" s="1" t="n">
        <v>45999</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45999</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45999</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45999</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45999</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45999</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45999</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45999</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45999</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45999</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45999</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45999</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45999</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45999</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45999</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45999</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45999</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45999</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45999</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45999</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45999</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45999</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45999</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45999</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45999</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45999</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45999</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45999</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45999</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45999</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7774-2021</t>
        </is>
      </c>
      <c r="B86" s="1" t="n">
        <v>44242</v>
      </c>
      <c r="C86" s="1" t="n">
        <v>45999</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45999</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45999</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45999</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45999</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45999</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45999</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45999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45999</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45999</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45999</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45999</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45999</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45999</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45999</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45999</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45999</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45999</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45999</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45999</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45999</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45999</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45999</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45999</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45999</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45999</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45999</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45999</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45999</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45999</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45999</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45999</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45999</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45999</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45999</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45999</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45999</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45999</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45999</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45999</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45999</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45999</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44581.70393518519</v>
      </c>
      <c r="C128" s="1" t="n">
        <v>45999</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66599-2021</t>
        </is>
      </c>
      <c r="B129" s="1" t="n">
        <v>44519</v>
      </c>
      <c r="C129" s="1" t="n">
        <v>45999</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45999</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45999</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3973-2021</t>
        </is>
      </c>
      <c r="B132" s="1" t="n">
        <v>44217</v>
      </c>
      <c r="C132" s="1" t="n">
        <v>45999</v>
      </c>
      <c r="D132" t="inlineStr">
        <is>
          <t>VÄRMLANDS LÄN</t>
        </is>
      </c>
      <c r="E132" t="inlineStr">
        <is>
          <t>ÅRJÄNG</t>
        </is>
      </c>
      <c r="G132" t="n">
        <v>1.1</v>
      </c>
      <c r="H132" t="n">
        <v>0</v>
      </c>
      <c r="I132" t="n">
        <v>0</v>
      </c>
      <c r="J132" t="n">
        <v>0</v>
      </c>
      <c r="K132" t="n">
        <v>0</v>
      </c>
      <c r="L132" t="n">
        <v>0</v>
      </c>
      <c r="M132" t="n">
        <v>0</v>
      </c>
      <c r="N132" t="n">
        <v>0</v>
      </c>
      <c r="O132" t="n">
        <v>0</v>
      </c>
      <c r="P132" t="n">
        <v>0</v>
      </c>
      <c r="Q132" t="n">
        <v>0</v>
      </c>
      <c r="R132" s="2" t="inlineStr"/>
    </row>
    <row r="133" ht="15" customHeight="1">
      <c r="A133" t="inlineStr">
        <is>
          <t>A 62984-2021</t>
        </is>
      </c>
      <c r="B133" s="1" t="n">
        <v>44505.36910879629</v>
      </c>
      <c r="C133" s="1" t="n">
        <v>45999</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45999</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71840-2021</t>
        </is>
      </c>
      <c r="B135" s="1" t="n">
        <v>44543</v>
      </c>
      <c r="C135" s="1" t="n">
        <v>45999</v>
      </c>
      <c r="D135" t="inlineStr">
        <is>
          <t>VÄRMLANDS LÄN</t>
        </is>
      </c>
      <c r="E135" t="inlineStr">
        <is>
          <t>ÅRJÄNG</t>
        </is>
      </c>
      <c r="G135" t="n">
        <v>6.5</v>
      </c>
      <c r="H135" t="n">
        <v>0</v>
      </c>
      <c r="I135" t="n">
        <v>0</v>
      </c>
      <c r="J135" t="n">
        <v>0</v>
      </c>
      <c r="K135" t="n">
        <v>0</v>
      </c>
      <c r="L135" t="n">
        <v>0</v>
      </c>
      <c r="M135" t="n">
        <v>0</v>
      </c>
      <c r="N135" t="n">
        <v>0</v>
      </c>
      <c r="O135" t="n">
        <v>0</v>
      </c>
      <c r="P135" t="n">
        <v>0</v>
      </c>
      <c r="Q135" t="n">
        <v>0</v>
      </c>
      <c r="R135" s="2" t="inlineStr"/>
    </row>
    <row r="136" ht="15" customHeight="1">
      <c r="A136" t="inlineStr">
        <is>
          <t>A 29701-2021</t>
        </is>
      </c>
      <c r="B136" s="1" t="n">
        <v>44362</v>
      </c>
      <c r="C136" s="1" t="n">
        <v>45999</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17248-2021</t>
        </is>
      </c>
      <c r="B137" s="1" t="n">
        <v>44298.53222222222</v>
      </c>
      <c r="C137" s="1" t="n">
        <v>45999</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36087-2021</t>
        </is>
      </c>
      <c r="B138" s="1" t="n">
        <v>44389</v>
      </c>
      <c r="C138" s="1" t="n">
        <v>45999</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10612-2022</t>
        </is>
      </c>
      <c r="B139" s="1" t="n">
        <v>44624</v>
      </c>
      <c r="C139" s="1" t="n">
        <v>45999</v>
      </c>
      <c r="D139" t="inlineStr">
        <is>
          <t>VÄRMLANDS LÄN</t>
        </is>
      </c>
      <c r="E139" t="inlineStr">
        <is>
          <t>ÅRJÄNG</t>
        </is>
      </c>
      <c r="G139" t="n">
        <v>6.8</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45999</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28934-2022</t>
        </is>
      </c>
      <c r="B141" s="1" t="n">
        <v>44749.58420138889</v>
      </c>
      <c r="C141" s="1" t="n">
        <v>45999</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50858-2021</t>
        </is>
      </c>
      <c r="B142" s="1" t="n">
        <v>44459</v>
      </c>
      <c r="C142" s="1" t="n">
        <v>45999</v>
      </c>
      <c r="D142" t="inlineStr">
        <is>
          <t>VÄRMLANDS LÄN</t>
        </is>
      </c>
      <c r="E142" t="inlineStr">
        <is>
          <t>ÅRJÄNG</t>
        </is>
      </c>
      <c r="G142" t="n">
        <v>7.2</v>
      </c>
      <c r="H142" t="n">
        <v>0</v>
      </c>
      <c r="I142" t="n">
        <v>0</v>
      </c>
      <c r="J142" t="n">
        <v>0</v>
      </c>
      <c r="K142" t="n">
        <v>0</v>
      </c>
      <c r="L142" t="n">
        <v>0</v>
      </c>
      <c r="M142" t="n">
        <v>0</v>
      </c>
      <c r="N142" t="n">
        <v>0</v>
      </c>
      <c r="O142" t="n">
        <v>0</v>
      </c>
      <c r="P142" t="n">
        <v>0</v>
      </c>
      <c r="Q142" t="n">
        <v>0</v>
      </c>
      <c r="R142" s="2" t="inlineStr"/>
    </row>
    <row r="143" ht="15" customHeight="1">
      <c r="A143" t="inlineStr">
        <is>
          <t>A 16399-2022</t>
        </is>
      </c>
      <c r="B143" s="1" t="n">
        <v>44671</v>
      </c>
      <c r="C143" s="1" t="n">
        <v>45999</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47015-2021</t>
        </is>
      </c>
      <c r="B144" s="1" t="n">
        <v>44446</v>
      </c>
      <c r="C144" s="1" t="n">
        <v>45999</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23450-2021</t>
        </is>
      </c>
      <c r="B145" s="1" t="n">
        <v>44333</v>
      </c>
      <c r="C145" s="1" t="n">
        <v>45999</v>
      </c>
      <c r="D145" t="inlineStr">
        <is>
          <t>VÄRMLANDS LÄN</t>
        </is>
      </c>
      <c r="E145" t="inlineStr">
        <is>
          <t>ÅRJÄNG</t>
        </is>
      </c>
      <c r="G145" t="n">
        <v>5.1</v>
      </c>
      <c r="H145" t="n">
        <v>0</v>
      </c>
      <c r="I145" t="n">
        <v>0</v>
      </c>
      <c r="J145" t="n">
        <v>0</v>
      </c>
      <c r="K145" t="n">
        <v>0</v>
      </c>
      <c r="L145" t="n">
        <v>0</v>
      </c>
      <c r="M145" t="n">
        <v>0</v>
      </c>
      <c r="N145" t="n">
        <v>0</v>
      </c>
      <c r="O145" t="n">
        <v>0</v>
      </c>
      <c r="P145" t="n">
        <v>0</v>
      </c>
      <c r="Q145" t="n">
        <v>0</v>
      </c>
      <c r="R145" s="2" t="inlineStr"/>
    </row>
    <row r="146" ht="15" customHeight="1">
      <c r="A146" t="inlineStr">
        <is>
          <t>A 56311-2021</t>
        </is>
      </c>
      <c r="B146" s="1" t="n">
        <v>44480.34019675926</v>
      </c>
      <c r="C146" s="1" t="n">
        <v>45999</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27745-2021</t>
        </is>
      </c>
      <c r="B147" s="1" t="n">
        <v>44354</v>
      </c>
      <c r="C147" s="1" t="n">
        <v>45999</v>
      </c>
      <c r="D147" t="inlineStr">
        <is>
          <t>VÄRMLANDS LÄN</t>
        </is>
      </c>
      <c r="E147" t="inlineStr">
        <is>
          <t>ÅRJÄNG</t>
        </is>
      </c>
      <c r="G147" t="n">
        <v>0.6</v>
      </c>
      <c r="H147" t="n">
        <v>0</v>
      </c>
      <c r="I147" t="n">
        <v>0</v>
      </c>
      <c r="J147" t="n">
        <v>0</v>
      </c>
      <c r="K147" t="n">
        <v>0</v>
      </c>
      <c r="L147" t="n">
        <v>0</v>
      </c>
      <c r="M147" t="n">
        <v>0</v>
      </c>
      <c r="N147" t="n">
        <v>0</v>
      </c>
      <c r="O147" t="n">
        <v>0</v>
      </c>
      <c r="P147" t="n">
        <v>0</v>
      </c>
      <c r="Q147" t="n">
        <v>0</v>
      </c>
      <c r="R147" s="2" t="inlineStr"/>
    </row>
    <row r="148" ht="15" customHeight="1">
      <c r="A148" t="inlineStr">
        <is>
          <t>A 68344-2020</t>
        </is>
      </c>
      <c r="B148" s="1" t="n">
        <v>44186</v>
      </c>
      <c r="C148" s="1" t="n">
        <v>45999</v>
      </c>
      <c r="D148" t="inlineStr">
        <is>
          <t>VÄRMLANDS LÄN</t>
        </is>
      </c>
      <c r="E148" t="inlineStr">
        <is>
          <t>ÅRJÄNG</t>
        </is>
      </c>
      <c r="G148" t="n">
        <v>2.8</v>
      </c>
      <c r="H148" t="n">
        <v>0</v>
      </c>
      <c r="I148" t="n">
        <v>0</v>
      </c>
      <c r="J148" t="n">
        <v>0</v>
      </c>
      <c r="K148" t="n">
        <v>0</v>
      </c>
      <c r="L148" t="n">
        <v>0</v>
      </c>
      <c r="M148" t="n">
        <v>0</v>
      </c>
      <c r="N148" t="n">
        <v>0</v>
      </c>
      <c r="O148" t="n">
        <v>0</v>
      </c>
      <c r="P148" t="n">
        <v>0</v>
      </c>
      <c r="Q148" t="n">
        <v>0</v>
      </c>
      <c r="R148" s="2" t="inlineStr"/>
    </row>
    <row r="149" ht="15" customHeight="1">
      <c r="A149" t="inlineStr">
        <is>
          <t>A 50223-2021</t>
        </is>
      </c>
      <c r="B149" s="1" t="n">
        <v>44457</v>
      </c>
      <c r="C149" s="1" t="n">
        <v>45999</v>
      </c>
      <c r="D149" t="inlineStr">
        <is>
          <t>VÄRMLANDS LÄN</t>
        </is>
      </c>
      <c r="E149" t="inlineStr">
        <is>
          <t>ÅRJÄNG</t>
        </is>
      </c>
      <c r="G149" t="n">
        <v>1.2</v>
      </c>
      <c r="H149" t="n">
        <v>0</v>
      </c>
      <c r="I149" t="n">
        <v>0</v>
      </c>
      <c r="J149" t="n">
        <v>0</v>
      </c>
      <c r="K149" t="n">
        <v>0</v>
      </c>
      <c r="L149" t="n">
        <v>0</v>
      </c>
      <c r="M149" t="n">
        <v>0</v>
      </c>
      <c r="N149" t="n">
        <v>0</v>
      </c>
      <c r="O149" t="n">
        <v>0</v>
      </c>
      <c r="P149" t="n">
        <v>0</v>
      </c>
      <c r="Q149" t="n">
        <v>0</v>
      </c>
      <c r="R149" s="2" t="inlineStr"/>
    </row>
    <row r="150" ht="15" customHeight="1">
      <c r="A150" t="inlineStr">
        <is>
          <t>A 71819-2021</t>
        </is>
      </c>
      <c r="B150" s="1" t="n">
        <v>44540</v>
      </c>
      <c r="C150" s="1" t="n">
        <v>45999</v>
      </c>
      <c r="D150" t="inlineStr">
        <is>
          <t>VÄRMLANDS LÄN</t>
        </is>
      </c>
      <c r="E150" t="inlineStr">
        <is>
          <t>ÅRJÄNG</t>
        </is>
      </c>
      <c r="F150" t="inlineStr">
        <is>
          <t>Övriga Aktiebolag</t>
        </is>
      </c>
      <c r="G150" t="n">
        <v>7.5</v>
      </c>
      <c r="H150" t="n">
        <v>0</v>
      </c>
      <c r="I150" t="n">
        <v>0</v>
      </c>
      <c r="J150" t="n">
        <v>0</v>
      </c>
      <c r="K150" t="n">
        <v>0</v>
      </c>
      <c r="L150" t="n">
        <v>0</v>
      </c>
      <c r="M150" t="n">
        <v>0</v>
      </c>
      <c r="N150" t="n">
        <v>0</v>
      </c>
      <c r="O150" t="n">
        <v>0</v>
      </c>
      <c r="P150" t="n">
        <v>0</v>
      </c>
      <c r="Q150" t="n">
        <v>0</v>
      </c>
      <c r="R150" s="2" t="inlineStr"/>
    </row>
    <row r="151" ht="15" customHeight="1">
      <c r="A151" t="inlineStr">
        <is>
          <t>A 67023-2021</t>
        </is>
      </c>
      <c r="B151" s="1" t="n">
        <v>44522</v>
      </c>
      <c r="C151" s="1" t="n">
        <v>45999</v>
      </c>
      <c r="D151" t="inlineStr">
        <is>
          <t>VÄRMLANDS LÄN</t>
        </is>
      </c>
      <c r="E151" t="inlineStr">
        <is>
          <t>ÅRJÄNG</t>
        </is>
      </c>
      <c r="G151" t="n">
        <v>4.7</v>
      </c>
      <c r="H151" t="n">
        <v>0</v>
      </c>
      <c r="I151" t="n">
        <v>0</v>
      </c>
      <c r="J151" t="n">
        <v>0</v>
      </c>
      <c r="K151" t="n">
        <v>0</v>
      </c>
      <c r="L151" t="n">
        <v>0</v>
      </c>
      <c r="M151" t="n">
        <v>0</v>
      </c>
      <c r="N151" t="n">
        <v>0</v>
      </c>
      <c r="O151" t="n">
        <v>0</v>
      </c>
      <c r="P151" t="n">
        <v>0</v>
      </c>
      <c r="Q151" t="n">
        <v>0</v>
      </c>
      <c r="R151" s="2" t="inlineStr"/>
    </row>
    <row r="152" ht="15" customHeight="1">
      <c r="A152" t="inlineStr">
        <is>
          <t>A 52830-2022</t>
        </is>
      </c>
      <c r="B152" s="1" t="n">
        <v>44875.45650462963</v>
      </c>
      <c r="C152" s="1" t="n">
        <v>45999</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19458-2021</t>
        </is>
      </c>
      <c r="B153" s="1" t="n">
        <v>44311</v>
      </c>
      <c r="C153" s="1" t="n">
        <v>45999</v>
      </c>
      <c r="D153" t="inlineStr">
        <is>
          <t>VÄRMLANDS LÄN</t>
        </is>
      </c>
      <c r="E153" t="inlineStr">
        <is>
          <t>ÅRJÄNG</t>
        </is>
      </c>
      <c r="G153" t="n">
        <v>15.6</v>
      </c>
      <c r="H153" t="n">
        <v>0</v>
      </c>
      <c r="I153" t="n">
        <v>0</v>
      </c>
      <c r="J153" t="n">
        <v>0</v>
      </c>
      <c r="K153" t="n">
        <v>0</v>
      </c>
      <c r="L153" t="n">
        <v>0</v>
      </c>
      <c r="M153" t="n">
        <v>0</v>
      </c>
      <c r="N153" t="n">
        <v>0</v>
      </c>
      <c r="O153" t="n">
        <v>0</v>
      </c>
      <c r="P153" t="n">
        <v>0</v>
      </c>
      <c r="Q153" t="n">
        <v>0</v>
      </c>
      <c r="R153" s="2" t="inlineStr"/>
    </row>
    <row r="154" ht="15" customHeight="1">
      <c r="A154" t="inlineStr">
        <is>
          <t>A 516-2022</t>
        </is>
      </c>
      <c r="B154" s="1" t="n">
        <v>44566</v>
      </c>
      <c r="C154" s="1" t="n">
        <v>45999</v>
      </c>
      <c r="D154" t="inlineStr">
        <is>
          <t>VÄRMLANDS LÄN</t>
        </is>
      </c>
      <c r="E154" t="inlineStr">
        <is>
          <t>ÅRJÄNG</t>
        </is>
      </c>
      <c r="G154" t="n">
        <v>2.3</v>
      </c>
      <c r="H154" t="n">
        <v>0</v>
      </c>
      <c r="I154" t="n">
        <v>0</v>
      </c>
      <c r="J154" t="n">
        <v>0</v>
      </c>
      <c r="K154" t="n">
        <v>0</v>
      </c>
      <c r="L154" t="n">
        <v>0</v>
      </c>
      <c r="M154" t="n">
        <v>0</v>
      </c>
      <c r="N154" t="n">
        <v>0</v>
      </c>
      <c r="O154" t="n">
        <v>0</v>
      </c>
      <c r="P154" t="n">
        <v>0</v>
      </c>
      <c r="Q154" t="n">
        <v>0</v>
      </c>
      <c r="R154" s="2" t="inlineStr"/>
    </row>
    <row r="155" ht="15" customHeight="1">
      <c r="A155" t="inlineStr">
        <is>
          <t>A 10541-2021</t>
        </is>
      </c>
      <c r="B155" s="1" t="n">
        <v>44258</v>
      </c>
      <c r="C155" s="1" t="n">
        <v>45999</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45999</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45999</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2970-2022</t>
        </is>
      </c>
      <c r="B158" s="1" t="n">
        <v>44581.71481481481</v>
      </c>
      <c r="C158" s="1" t="n">
        <v>45999</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45999</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45999</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45999</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45999</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45999</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45999</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69647-2020</t>
        </is>
      </c>
      <c r="B165" s="1" t="n">
        <v>44195</v>
      </c>
      <c r="C165" s="1" t="n">
        <v>45999</v>
      </c>
      <c r="D165" t="inlineStr">
        <is>
          <t>VÄRMLANDS LÄN</t>
        </is>
      </c>
      <c r="E165" t="inlineStr">
        <is>
          <t>ÅRJÄNG</t>
        </is>
      </c>
      <c r="G165" t="n">
        <v>1.6</v>
      </c>
      <c r="H165" t="n">
        <v>0</v>
      </c>
      <c r="I165" t="n">
        <v>0</v>
      </c>
      <c r="J165" t="n">
        <v>0</v>
      </c>
      <c r="K165" t="n">
        <v>0</v>
      </c>
      <c r="L165" t="n">
        <v>0</v>
      </c>
      <c r="M165" t="n">
        <v>0</v>
      </c>
      <c r="N165" t="n">
        <v>0</v>
      </c>
      <c r="O165" t="n">
        <v>0</v>
      </c>
      <c r="P165" t="n">
        <v>0</v>
      </c>
      <c r="Q165" t="n">
        <v>0</v>
      </c>
      <c r="R165" s="2" t="inlineStr"/>
    </row>
    <row r="166" ht="15" customHeight="1">
      <c r="A166" t="inlineStr">
        <is>
          <t>A 74187-2021</t>
        </is>
      </c>
      <c r="B166" s="1" t="n">
        <v>44553</v>
      </c>
      <c r="C166" s="1" t="n">
        <v>45999</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63205-2021</t>
        </is>
      </c>
      <c r="B167" s="1" t="n">
        <v>44507.79876157407</v>
      </c>
      <c r="C167" s="1" t="n">
        <v>45999</v>
      </c>
      <c r="D167" t="inlineStr">
        <is>
          <t>VÄRMLANDS LÄN</t>
        </is>
      </c>
      <c r="E167" t="inlineStr">
        <is>
          <t>ÅRJÄNG</t>
        </is>
      </c>
      <c r="G167" t="n">
        <v>1.8</v>
      </c>
      <c r="H167" t="n">
        <v>0</v>
      </c>
      <c r="I167" t="n">
        <v>0</v>
      </c>
      <c r="J167" t="n">
        <v>0</v>
      </c>
      <c r="K167" t="n">
        <v>0</v>
      </c>
      <c r="L167" t="n">
        <v>0</v>
      </c>
      <c r="M167" t="n">
        <v>0</v>
      </c>
      <c r="N167" t="n">
        <v>0</v>
      </c>
      <c r="O167" t="n">
        <v>0</v>
      </c>
      <c r="P167" t="n">
        <v>0</v>
      </c>
      <c r="Q167" t="n">
        <v>0</v>
      </c>
      <c r="R167" s="2" t="inlineStr"/>
    </row>
    <row r="168" ht="15" customHeight="1">
      <c r="A168" t="inlineStr">
        <is>
          <t>A 53722-2021</t>
        </is>
      </c>
      <c r="B168" s="1" t="n">
        <v>44469</v>
      </c>
      <c r="C168" s="1" t="n">
        <v>45999</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1932-2022</t>
        </is>
      </c>
      <c r="B169" s="1" t="n">
        <v>44575.43302083333</v>
      </c>
      <c r="C169" s="1" t="n">
        <v>45999</v>
      </c>
      <c r="D169" t="inlineStr">
        <is>
          <t>VÄRMLANDS LÄN</t>
        </is>
      </c>
      <c r="E169" t="inlineStr">
        <is>
          <t>ÅRJÄNG</t>
        </is>
      </c>
      <c r="G169" t="n">
        <v>2.4</v>
      </c>
      <c r="H169" t="n">
        <v>0</v>
      </c>
      <c r="I169" t="n">
        <v>0</v>
      </c>
      <c r="J169" t="n">
        <v>0</v>
      </c>
      <c r="K169" t="n">
        <v>0</v>
      </c>
      <c r="L169" t="n">
        <v>0</v>
      </c>
      <c r="M169" t="n">
        <v>0</v>
      </c>
      <c r="N169" t="n">
        <v>0</v>
      </c>
      <c r="O169" t="n">
        <v>0</v>
      </c>
      <c r="P169" t="n">
        <v>0</v>
      </c>
      <c r="Q169" t="n">
        <v>0</v>
      </c>
      <c r="R169" s="2" t="inlineStr"/>
    </row>
    <row r="170" ht="15" customHeight="1">
      <c r="A170" t="inlineStr">
        <is>
          <t>A 18840-2022</t>
        </is>
      </c>
      <c r="B170" s="1" t="n">
        <v>44690</v>
      </c>
      <c r="C170" s="1" t="n">
        <v>45999</v>
      </c>
      <c r="D170" t="inlineStr">
        <is>
          <t>VÄRMLANDS LÄN</t>
        </is>
      </c>
      <c r="E170" t="inlineStr">
        <is>
          <t>ÅRJÄNG</t>
        </is>
      </c>
      <c r="G170" t="n">
        <v>2.9</v>
      </c>
      <c r="H170" t="n">
        <v>0</v>
      </c>
      <c r="I170" t="n">
        <v>0</v>
      </c>
      <c r="J170" t="n">
        <v>0</v>
      </c>
      <c r="K170" t="n">
        <v>0</v>
      </c>
      <c r="L170" t="n">
        <v>0</v>
      </c>
      <c r="M170" t="n">
        <v>0</v>
      </c>
      <c r="N170" t="n">
        <v>0</v>
      </c>
      <c r="O170" t="n">
        <v>0</v>
      </c>
      <c r="P170" t="n">
        <v>0</v>
      </c>
      <c r="Q170" t="n">
        <v>0</v>
      </c>
      <c r="R170" s="2" t="inlineStr"/>
    </row>
    <row r="171" ht="15" customHeight="1">
      <c r="A171" t="inlineStr">
        <is>
          <t>A 74166-2021</t>
        </is>
      </c>
      <c r="B171" s="1" t="n">
        <v>44558</v>
      </c>
      <c r="C171" s="1" t="n">
        <v>45999</v>
      </c>
      <c r="D171" t="inlineStr">
        <is>
          <t>VÄRMLANDS LÄN</t>
        </is>
      </c>
      <c r="E171" t="inlineStr">
        <is>
          <t>ÅRJÄNG</t>
        </is>
      </c>
      <c r="G171" t="n">
        <v>1.4</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45999</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60713-2021</t>
        </is>
      </c>
      <c r="B173" s="1" t="n">
        <v>44496</v>
      </c>
      <c r="C173" s="1" t="n">
        <v>45999</v>
      </c>
      <c r="D173" t="inlineStr">
        <is>
          <t>VÄRMLANDS LÄN</t>
        </is>
      </c>
      <c r="E173" t="inlineStr">
        <is>
          <t>ÅRJÄNG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66334-2020</t>
        </is>
      </c>
      <c r="B174" s="1" t="n">
        <v>44174</v>
      </c>
      <c r="C174" s="1" t="n">
        <v>45999</v>
      </c>
      <c r="D174" t="inlineStr">
        <is>
          <t>VÄRMLANDS LÄN</t>
        </is>
      </c>
      <c r="E174" t="inlineStr">
        <is>
          <t>ÅRJÄNG</t>
        </is>
      </c>
      <c r="F174" t="inlineStr">
        <is>
          <t>Övriga Aktiebolag</t>
        </is>
      </c>
      <c r="G174" t="n">
        <v>1.9</v>
      </c>
      <c r="H174" t="n">
        <v>0</v>
      </c>
      <c r="I174" t="n">
        <v>0</v>
      </c>
      <c r="J174" t="n">
        <v>0</v>
      </c>
      <c r="K174" t="n">
        <v>0</v>
      </c>
      <c r="L174" t="n">
        <v>0</v>
      </c>
      <c r="M174" t="n">
        <v>0</v>
      </c>
      <c r="N174" t="n">
        <v>0</v>
      </c>
      <c r="O174" t="n">
        <v>0</v>
      </c>
      <c r="P174" t="n">
        <v>0</v>
      </c>
      <c r="Q174" t="n">
        <v>0</v>
      </c>
      <c r="R174" s="2" t="inlineStr"/>
    </row>
    <row r="175" ht="15" customHeight="1">
      <c r="A175" t="inlineStr">
        <is>
          <t>A 73138-2021</t>
        </is>
      </c>
      <c r="B175" s="1" t="n">
        <v>44550</v>
      </c>
      <c r="C175" s="1" t="n">
        <v>45999</v>
      </c>
      <c r="D175" t="inlineStr">
        <is>
          <t>VÄRMLANDS LÄN</t>
        </is>
      </c>
      <c r="E175" t="inlineStr">
        <is>
          <t>ÅRJÄNG</t>
        </is>
      </c>
      <c r="G175" t="n">
        <v>4.3</v>
      </c>
      <c r="H175" t="n">
        <v>0</v>
      </c>
      <c r="I175" t="n">
        <v>0</v>
      </c>
      <c r="J175" t="n">
        <v>0</v>
      </c>
      <c r="K175" t="n">
        <v>0</v>
      </c>
      <c r="L175" t="n">
        <v>0</v>
      </c>
      <c r="M175" t="n">
        <v>0</v>
      </c>
      <c r="N175" t="n">
        <v>0</v>
      </c>
      <c r="O175" t="n">
        <v>0</v>
      </c>
      <c r="P175" t="n">
        <v>0</v>
      </c>
      <c r="Q175" t="n">
        <v>0</v>
      </c>
      <c r="R175" s="2" t="inlineStr"/>
    </row>
    <row r="176" ht="15" customHeight="1">
      <c r="A176" t="inlineStr">
        <is>
          <t>A 74189-2021</t>
        </is>
      </c>
      <c r="B176" s="1" t="n">
        <v>44553</v>
      </c>
      <c r="C176" s="1" t="n">
        <v>45999</v>
      </c>
      <c r="D176" t="inlineStr">
        <is>
          <t>VÄRMLANDS LÄN</t>
        </is>
      </c>
      <c r="E176" t="inlineStr">
        <is>
          <t>ÅRJÄNG</t>
        </is>
      </c>
      <c r="G176" t="n">
        <v>1.9</v>
      </c>
      <c r="H176" t="n">
        <v>0</v>
      </c>
      <c r="I176" t="n">
        <v>0</v>
      </c>
      <c r="J176" t="n">
        <v>0</v>
      </c>
      <c r="K176" t="n">
        <v>0</v>
      </c>
      <c r="L176" t="n">
        <v>0</v>
      </c>
      <c r="M176" t="n">
        <v>0</v>
      </c>
      <c r="N176" t="n">
        <v>0</v>
      </c>
      <c r="O176" t="n">
        <v>0</v>
      </c>
      <c r="P176" t="n">
        <v>0</v>
      </c>
      <c r="Q176" t="n">
        <v>0</v>
      </c>
      <c r="R176" s="2" t="inlineStr"/>
    </row>
    <row r="177" ht="15" customHeight="1">
      <c r="A177" t="inlineStr">
        <is>
          <t>A 72291-2021</t>
        </is>
      </c>
      <c r="B177" s="1" t="n">
        <v>44545.37615740741</v>
      </c>
      <c r="C177" s="1" t="n">
        <v>45999</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13156-2022</t>
        </is>
      </c>
      <c r="B178" s="1" t="n">
        <v>44643</v>
      </c>
      <c r="C178" s="1" t="n">
        <v>45999</v>
      </c>
      <c r="D178" t="inlineStr">
        <is>
          <t>VÄRMLANDS LÄN</t>
        </is>
      </c>
      <c r="E178" t="inlineStr">
        <is>
          <t>ÅRJÄNG</t>
        </is>
      </c>
      <c r="G178" t="n">
        <v>7.8</v>
      </c>
      <c r="H178" t="n">
        <v>0</v>
      </c>
      <c r="I178" t="n">
        <v>0</v>
      </c>
      <c r="J178" t="n">
        <v>0</v>
      </c>
      <c r="K178" t="n">
        <v>0</v>
      </c>
      <c r="L178" t="n">
        <v>0</v>
      </c>
      <c r="M178" t="n">
        <v>0</v>
      </c>
      <c r="N178" t="n">
        <v>0</v>
      </c>
      <c r="O178" t="n">
        <v>0</v>
      </c>
      <c r="P178" t="n">
        <v>0</v>
      </c>
      <c r="Q178" t="n">
        <v>0</v>
      </c>
      <c r="R178" s="2" t="inlineStr"/>
    </row>
    <row r="179" ht="15" customHeight="1">
      <c r="A179" t="inlineStr">
        <is>
          <t>A 47005-2021</t>
        </is>
      </c>
      <c r="B179" s="1" t="n">
        <v>44446</v>
      </c>
      <c r="C179" s="1" t="n">
        <v>45999</v>
      </c>
      <c r="D179" t="inlineStr">
        <is>
          <t>VÄRMLANDS LÄN</t>
        </is>
      </c>
      <c r="E179" t="inlineStr">
        <is>
          <t>ÅRJÄNG</t>
        </is>
      </c>
      <c r="G179" t="n">
        <v>6.3</v>
      </c>
      <c r="H179" t="n">
        <v>0</v>
      </c>
      <c r="I179" t="n">
        <v>0</v>
      </c>
      <c r="J179" t="n">
        <v>0</v>
      </c>
      <c r="K179" t="n">
        <v>0</v>
      </c>
      <c r="L179" t="n">
        <v>0</v>
      </c>
      <c r="M179" t="n">
        <v>0</v>
      </c>
      <c r="N179" t="n">
        <v>0</v>
      </c>
      <c r="O179" t="n">
        <v>0</v>
      </c>
      <c r="P179" t="n">
        <v>0</v>
      </c>
      <c r="Q179" t="n">
        <v>0</v>
      </c>
      <c r="R179" s="2" t="inlineStr"/>
    </row>
    <row r="180" ht="15" customHeight="1">
      <c r="A180" t="inlineStr">
        <is>
          <t>A 47033-2021</t>
        </is>
      </c>
      <c r="B180" s="1" t="n">
        <v>44446</v>
      </c>
      <c r="C180" s="1" t="n">
        <v>45999</v>
      </c>
      <c r="D180" t="inlineStr">
        <is>
          <t>VÄRMLANDS LÄN</t>
        </is>
      </c>
      <c r="E180" t="inlineStr">
        <is>
          <t>ÅRJÄNG</t>
        </is>
      </c>
      <c r="G180" t="n">
        <v>0.6</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45999</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9407-2022</t>
        </is>
      </c>
      <c r="B182" s="1" t="n">
        <v>44616.65760416666</v>
      </c>
      <c r="C182" s="1" t="n">
        <v>45999</v>
      </c>
      <c r="D182" t="inlineStr">
        <is>
          <t>VÄRMLANDS LÄN</t>
        </is>
      </c>
      <c r="E182" t="inlineStr">
        <is>
          <t>ÅRJÄNG</t>
        </is>
      </c>
      <c r="G182" t="n">
        <v>0.9</v>
      </c>
      <c r="H182" t="n">
        <v>0</v>
      </c>
      <c r="I182" t="n">
        <v>0</v>
      </c>
      <c r="J182" t="n">
        <v>0</v>
      </c>
      <c r="K182" t="n">
        <v>0</v>
      </c>
      <c r="L182" t="n">
        <v>0</v>
      </c>
      <c r="M182" t="n">
        <v>0</v>
      </c>
      <c r="N182" t="n">
        <v>0</v>
      </c>
      <c r="O182" t="n">
        <v>0</v>
      </c>
      <c r="P182" t="n">
        <v>0</v>
      </c>
      <c r="Q182" t="n">
        <v>0</v>
      </c>
      <c r="R182" s="2" t="inlineStr"/>
    </row>
    <row r="183" ht="15" customHeight="1">
      <c r="A183" t="inlineStr">
        <is>
          <t>A 8938-2022</t>
        </is>
      </c>
      <c r="B183" s="1" t="n">
        <v>44614.7222337963</v>
      </c>
      <c r="C183" s="1" t="n">
        <v>45999</v>
      </c>
      <c r="D183" t="inlineStr">
        <is>
          <t>VÄRMLANDS LÄN</t>
        </is>
      </c>
      <c r="E183" t="inlineStr">
        <is>
          <t>ÅRJÄNG</t>
        </is>
      </c>
      <c r="G183" t="n">
        <v>11.9</v>
      </c>
      <c r="H183" t="n">
        <v>0</v>
      </c>
      <c r="I183" t="n">
        <v>0</v>
      </c>
      <c r="J183" t="n">
        <v>0</v>
      </c>
      <c r="K183" t="n">
        <v>0</v>
      </c>
      <c r="L183" t="n">
        <v>0</v>
      </c>
      <c r="M183" t="n">
        <v>0</v>
      </c>
      <c r="N183" t="n">
        <v>0</v>
      </c>
      <c r="O183" t="n">
        <v>0</v>
      </c>
      <c r="P183" t="n">
        <v>0</v>
      </c>
      <c r="Q183" t="n">
        <v>0</v>
      </c>
      <c r="R183" s="2" t="inlineStr"/>
    </row>
    <row r="184" ht="15" customHeight="1">
      <c r="A184" t="inlineStr">
        <is>
          <t>A 48622-2022</t>
        </is>
      </c>
      <c r="B184" s="1" t="n">
        <v>44859</v>
      </c>
      <c r="C184" s="1" t="n">
        <v>45999</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36948-2021</t>
        </is>
      </c>
      <c r="B185" s="1" t="n">
        <v>44393.53646990741</v>
      </c>
      <c r="C185" s="1" t="n">
        <v>45999</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59341-2021</t>
        </is>
      </c>
      <c r="B186" s="1" t="n">
        <v>44491</v>
      </c>
      <c r="C186" s="1" t="n">
        <v>45999</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2141-2022</t>
        </is>
      </c>
      <c r="B187" s="1" t="n">
        <v>44571</v>
      </c>
      <c r="C187" s="1" t="n">
        <v>45999</v>
      </c>
      <c r="D187" t="inlineStr">
        <is>
          <t>VÄRMLANDS LÄN</t>
        </is>
      </c>
      <c r="E187" t="inlineStr">
        <is>
          <t>ÅRJÄNG</t>
        </is>
      </c>
      <c r="G187" t="n">
        <v>1.5</v>
      </c>
      <c r="H187" t="n">
        <v>0</v>
      </c>
      <c r="I187" t="n">
        <v>0</v>
      </c>
      <c r="J187" t="n">
        <v>0</v>
      </c>
      <c r="K187" t="n">
        <v>0</v>
      </c>
      <c r="L187" t="n">
        <v>0</v>
      </c>
      <c r="M187" t="n">
        <v>0</v>
      </c>
      <c r="N187" t="n">
        <v>0</v>
      </c>
      <c r="O187" t="n">
        <v>0</v>
      </c>
      <c r="P187" t="n">
        <v>0</v>
      </c>
      <c r="Q187" t="n">
        <v>0</v>
      </c>
      <c r="R187" s="2" t="inlineStr"/>
    </row>
    <row r="188" ht="15" customHeight="1">
      <c r="A188" t="inlineStr">
        <is>
          <t>A 36016-2022</t>
        </is>
      </c>
      <c r="B188" s="1" t="n">
        <v>44802.64721064815</v>
      </c>
      <c r="C188" s="1" t="n">
        <v>45999</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47013-2021</t>
        </is>
      </c>
      <c r="B189" s="1" t="n">
        <v>44446</v>
      </c>
      <c r="C189" s="1" t="n">
        <v>45999</v>
      </c>
      <c r="D189" t="inlineStr">
        <is>
          <t>VÄRMLANDS LÄN</t>
        </is>
      </c>
      <c r="E189" t="inlineStr">
        <is>
          <t>ÅRJÄNG</t>
        </is>
      </c>
      <c r="G189" t="n">
        <v>1.7</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45999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2143-2022</t>
        </is>
      </c>
      <c r="B191" s="1" t="n">
        <v>44571</v>
      </c>
      <c r="C191" s="1" t="n">
        <v>45999</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17135-2022</t>
        </is>
      </c>
      <c r="B192" s="1" t="n">
        <v>44677</v>
      </c>
      <c r="C192" s="1" t="n">
        <v>45999</v>
      </c>
      <c r="D192" t="inlineStr">
        <is>
          <t>VÄRMLANDS LÄN</t>
        </is>
      </c>
      <c r="E192" t="inlineStr">
        <is>
          <t>ÅRJÄNG</t>
        </is>
      </c>
      <c r="G192" t="n">
        <v>9</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44825.33496527778</v>
      </c>
      <c r="C193" s="1" t="n">
        <v>45999</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16176-2021</t>
        </is>
      </c>
      <c r="B194" s="1" t="n">
        <v>44292</v>
      </c>
      <c r="C194" s="1" t="n">
        <v>45999</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59143-2021</t>
        </is>
      </c>
      <c r="B195" s="1" t="n">
        <v>44490</v>
      </c>
      <c r="C195" s="1" t="n">
        <v>45999</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33915-2022</t>
        </is>
      </c>
      <c r="B196" s="1" t="n">
        <v>44790.63480324074</v>
      </c>
      <c r="C196" s="1" t="n">
        <v>45999</v>
      </c>
      <c r="D196" t="inlineStr">
        <is>
          <t>VÄRMLANDS LÄN</t>
        </is>
      </c>
      <c r="E196" t="inlineStr">
        <is>
          <t>ÅRJÄNG</t>
        </is>
      </c>
      <c r="G196" t="n">
        <v>2</v>
      </c>
      <c r="H196" t="n">
        <v>0</v>
      </c>
      <c r="I196" t="n">
        <v>0</v>
      </c>
      <c r="J196" t="n">
        <v>0</v>
      </c>
      <c r="K196" t="n">
        <v>0</v>
      </c>
      <c r="L196" t="n">
        <v>0</v>
      </c>
      <c r="M196" t="n">
        <v>0</v>
      </c>
      <c r="N196" t="n">
        <v>0</v>
      </c>
      <c r="O196" t="n">
        <v>0</v>
      </c>
      <c r="P196" t="n">
        <v>0</v>
      </c>
      <c r="Q196" t="n">
        <v>0</v>
      </c>
      <c r="R196" s="2" t="inlineStr"/>
    </row>
    <row r="197" ht="15" customHeight="1">
      <c r="A197" t="inlineStr">
        <is>
          <t>A 53679-2022</t>
        </is>
      </c>
      <c r="B197" s="1" t="n">
        <v>44879</v>
      </c>
      <c r="C197" s="1" t="n">
        <v>45999</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61143-2021</t>
        </is>
      </c>
      <c r="B198" s="1" t="n">
        <v>44498</v>
      </c>
      <c r="C198" s="1" t="n">
        <v>45999</v>
      </c>
      <c r="D198" t="inlineStr">
        <is>
          <t>VÄRMLANDS LÄN</t>
        </is>
      </c>
      <c r="E198" t="inlineStr">
        <is>
          <t>ÅRJÄNG</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52730-2021</t>
        </is>
      </c>
      <c r="B199" s="1" t="n">
        <v>44467.29457175926</v>
      </c>
      <c r="C199" s="1" t="n">
        <v>45999</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61240-2021</t>
        </is>
      </c>
      <c r="B200" s="1" t="n">
        <v>44496</v>
      </c>
      <c r="C200" s="1" t="n">
        <v>45999</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35543-2021</t>
        </is>
      </c>
      <c r="B201" s="1" t="n">
        <v>44385</v>
      </c>
      <c r="C201" s="1" t="n">
        <v>45999</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59453-2021</t>
        </is>
      </c>
      <c r="B202" s="1" t="n">
        <v>44491</v>
      </c>
      <c r="C202" s="1" t="n">
        <v>45999</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53262-2022</t>
        </is>
      </c>
      <c r="B203" s="1" t="n">
        <v>44876</v>
      </c>
      <c r="C203" s="1" t="n">
        <v>45999</v>
      </c>
      <c r="D203" t="inlineStr">
        <is>
          <t>VÄRMLANDS LÄN</t>
        </is>
      </c>
      <c r="E203" t="inlineStr">
        <is>
          <t>ÅRJÄNG</t>
        </is>
      </c>
      <c r="G203" t="n">
        <v>0.7</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45999</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41416-2021</t>
        </is>
      </c>
      <c r="B205" s="1" t="n">
        <v>44424</v>
      </c>
      <c r="C205" s="1" t="n">
        <v>45999</v>
      </c>
      <c r="D205" t="inlineStr">
        <is>
          <t>VÄRMLANDS LÄN</t>
        </is>
      </c>
      <c r="E205" t="inlineStr">
        <is>
          <t>ÅRJÄNG</t>
        </is>
      </c>
      <c r="G205" t="n">
        <v>10.4</v>
      </c>
      <c r="H205" t="n">
        <v>0</v>
      </c>
      <c r="I205" t="n">
        <v>0</v>
      </c>
      <c r="J205" t="n">
        <v>0</v>
      </c>
      <c r="K205" t="n">
        <v>0</v>
      </c>
      <c r="L205" t="n">
        <v>0</v>
      </c>
      <c r="M205" t="n">
        <v>0</v>
      </c>
      <c r="N205" t="n">
        <v>0</v>
      </c>
      <c r="O205" t="n">
        <v>0</v>
      </c>
      <c r="P205" t="n">
        <v>0</v>
      </c>
      <c r="Q205" t="n">
        <v>0</v>
      </c>
      <c r="R205" s="2" t="inlineStr"/>
    </row>
    <row r="206" ht="15" customHeight="1">
      <c r="A206" t="inlineStr">
        <is>
          <t>A 48192-2022</t>
        </is>
      </c>
      <c r="B206" s="1" t="n">
        <v>44853</v>
      </c>
      <c r="C206" s="1" t="n">
        <v>45999</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4400-2022</t>
        </is>
      </c>
      <c r="B207" s="1" t="n">
        <v>44588</v>
      </c>
      <c r="C207" s="1" t="n">
        <v>45999</v>
      </c>
      <c r="D207" t="inlineStr">
        <is>
          <t>VÄRMLANDS LÄN</t>
        </is>
      </c>
      <c r="E207" t="inlineStr">
        <is>
          <t>ÅRJÄNG</t>
        </is>
      </c>
      <c r="G207" t="n">
        <v>3.4</v>
      </c>
      <c r="H207" t="n">
        <v>0</v>
      </c>
      <c r="I207" t="n">
        <v>0</v>
      </c>
      <c r="J207" t="n">
        <v>0</v>
      </c>
      <c r="K207" t="n">
        <v>0</v>
      </c>
      <c r="L207" t="n">
        <v>0</v>
      </c>
      <c r="M207" t="n">
        <v>0</v>
      </c>
      <c r="N207" t="n">
        <v>0</v>
      </c>
      <c r="O207" t="n">
        <v>0</v>
      </c>
      <c r="P207" t="n">
        <v>0</v>
      </c>
      <c r="Q207" t="n">
        <v>0</v>
      </c>
      <c r="R207" s="2" t="inlineStr"/>
    </row>
    <row r="208" ht="15" customHeight="1">
      <c r="A208" t="inlineStr">
        <is>
          <t>A 7555-2021</t>
        </is>
      </c>
      <c r="B208" s="1" t="n">
        <v>44239</v>
      </c>
      <c r="C208" s="1" t="n">
        <v>45999</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45999</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45999</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66080-2020</t>
        </is>
      </c>
      <c r="B211" s="1" t="n">
        <v>44175</v>
      </c>
      <c r="C211" s="1" t="n">
        <v>45999</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45999</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40439-2022</t>
        </is>
      </c>
      <c r="B213" s="1" t="n">
        <v>44823.4903125</v>
      </c>
      <c r="C213" s="1" t="n">
        <v>45999</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14507-2022</t>
        </is>
      </c>
      <c r="B214" s="1" t="n">
        <v>44655</v>
      </c>
      <c r="C214" s="1" t="n">
        <v>45999</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10006-2022</t>
        </is>
      </c>
      <c r="B215" s="1" t="n">
        <v>44621</v>
      </c>
      <c r="C215" s="1" t="n">
        <v>45999</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3917-2022</t>
        </is>
      </c>
      <c r="B216" s="1" t="n">
        <v>44587</v>
      </c>
      <c r="C216" s="1" t="n">
        <v>45999</v>
      </c>
      <c r="D216" t="inlineStr">
        <is>
          <t>VÄRMLANDS LÄN</t>
        </is>
      </c>
      <c r="E216" t="inlineStr">
        <is>
          <t>ÅRJÄNG</t>
        </is>
      </c>
      <c r="G216" t="n">
        <v>1.4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45999</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8957-2021</t>
        </is>
      </c>
      <c r="B218" s="1" t="n">
        <v>44246</v>
      </c>
      <c r="C218" s="1" t="n">
        <v>45999</v>
      </c>
      <c r="D218" t="inlineStr">
        <is>
          <t>VÄRMLANDS LÄN</t>
        </is>
      </c>
      <c r="E218" t="inlineStr">
        <is>
          <t>ÅRJÄNG</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45999</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36532-2022</t>
        </is>
      </c>
      <c r="B220" s="1" t="n">
        <v>44804</v>
      </c>
      <c r="C220" s="1" t="n">
        <v>45999</v>
      </c>
      <c r="D220" t="inlineStr">
        <is>
          <t>VÄRMLANDS LÄN</t>
        </is>
      </c>
      <c r="E220" t="inlineStr">
        <is>
          <t>ÅRJÄNG</t>
        </is>
      </c>
      <c r="G220" t="n">
        <v>12.7</v>
      </c>
      <c r="H220" t="n">
        <v>0</v>
      </c>
      <c r="I220" t="n">
        <v>0</v>
      </c>
      <c r="J220" t="n">
        <v>0</v>
      </c>
      <c r="K220" t="n">
        <v>0</v>
      </c>
      <c r="L220" t="n">
        <v>0</v>
      </c>
      <c r="M220" t="n">
        <v>0</v>
      </c>
      <c r="N220" t="n">
        <v>0</v>
      </c>
      <c r="O220" t="n">
        <v>0</v>
      </c>
      <c r="P220" t="n">
        <v>0</v>
      </c>
      <c r="Q220" t="n">
        <v>0</v>
      </c>
      <c r="R220" s="2" t="inlineStr"/>
    </row>
    <row r="221" ht="15" customHeight="1">
      <c r="A221" t="inlineStr">
        <is>
          <t>A 6900-2021</t>
        </is>
      </c>
      <c r="B221" s="1" t="n">
        <v>44237</v>
      </c>
      <c r="C221" s="1" t="n">
        <v>45999</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6908-2021</t>
        </is>
      </c>
      <c r="B222" s="1" t="n">
        <v>44237</v>
      </c>
      <c r="C222" s="1" t="n">
        <v>45999</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10594-2021</t>
        </is>
      </c>
      <c r="B223" s="1" t="n">
        <v>44258</v>
      </c>
      <c r="C223" s="1" t="n">
        <v>45999</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45999</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9630-2022</t>
        </is>
      </c>
      <c r="B225" s="1" t="n">
        <v>44617</v>
      </c>
      <c r="C225" s="1" t="n">
        <v>45999</v>
      </c>
      <c r="D225" t="inlineStr">
        <is>
          <t>VÄRMLANDS LÄN</t>
        </is>
      </c>
      <c r="E225" t="inlineStr">
        <is>
          <t>ÅRJÄNG</t>
        </is>
      </c>
      <c r="G225" t="n">
        <v>0.3</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45999</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46248-2021</t>
        </is>
      </c>
      <c r="B227" s="1" t="n">
        <v>44442</v>
      </c>
      <c r="C227" s="1" t="n">
        <v>45999</v>
      </c>
      <c r="D227" t="inlineStr">
        <is>
          <t>VÄRMLANDS LÄN</t>
        </is>
      </c>
      <c r="E227" t="inlineStr">
        <is>
          <t>ÅRJÄNG</t>
        </is>
      </c>
      <c r="G227" t="n">
        <v>1.7</v>
      </c>
      <c r="H227" t="n">
        <v>0</v>
      </c>
      <c r="I227" t="n">
        <v>0</v>
      </c>
      <c r="J227" t="n">
        <v>0</v>
      </c>
      <c r="K227" t="n">
        <v>0</v>
      </c>
      <c r="L227" t="n">
        <v>0</v>
      </c>
      <c r="M227" t="n">
        <v>0</v>
      </c>
      <c r="N227" t="n">
        <v>0</v>
      </c>
      <c r="O227" t="n">
        <v>0</v>
      </c>
      <c r="P227" t="n">
        <v>0</v>
      </c>
      <c r="Q227" t="n">
        <v>0</v>
      </c>
      <c r="R227" s="2" t="inlineStr"/>
    </row>
    <row r="228" ht="15" customHeight="1">
      <c r="A228" t="inlineStr">
        <is>
          <t>A 10884-2022</t>
        </is>
      </c>
      <c r="B228" s="1" t="n">
        <v>44627.72101851852</v>
      </c>
      <c r="C228" s="1" t="n">
        <v>45999</v>
      </c>
      <c r="D228" t="inlineStr">
        <is>
          <t>VÄRMLANDS LÄN</t>
        </is>
      </c>
      <c r="E228" t="inlineStr">
        <is>
          <t>ÅRJÄNG</t>
        </is>
      </c>
      <c r="G228" t="n">
        <v>1.3</v>
      </c>
      <c r="H228" t="n">
        <v>0</v>
      </c>
      <c r="I228" t="n">
        <v>0</v>
      </c>
      <c r="J228" t="n">
        <v>0</v>
      </c>
      <c r="K228" t="n">
        <v>0</v>
      </c>
      <c r="L228" t="n">
        <v>0</v>
      </c>
      <c r="M228" t="n">
        <v>0</v>
      </c>
      <c r="N228" t="n">
        <v>0</v>
      </c>
      <c r="O228" t="n">
        <v>0</v>
      </c>
      <c r="P228" t="n">
        <v>0</v>
      </c>
      <c r="Q228" t="n">
        <v>0</v>
      </c>
      <c r="R228" s="2" t="inlineStr"/>
    </row>
    <row r="229" ht="15" customHeight="1">
      <c r="A229" t="inlineStr">
        <is>
          <t>A 55654-2022</t>
        </is>
      </c>
      <c r="B229" s="1" t="n">
        <v>44888</v>
      </c>
      <c r="C229" s="1" t="n">
        <v>45999</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12853-2021</t>
        </is>
      </c>
      <c r="B230" s="1" t="n">
        <v>44271</v>
      </c>
      <c r="C230" s="1" t="n">
        <v>45999</v>
      </c>
      <c r="D230" t="inlineStr">
        <is>
          <t>VÄRMLANDS LÄN</t>
        </is>
      </c>
      <c r="E230" t="inlineStr">
        <is>
          <t>ÅRJÄNG</t>
        </is>
      </c>
      <c r="G230" t="n">
        <v>2.1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45999</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11936-2022</t>
        </is>
      </c>
      <c r="B232" s="1" t="n">
        <v>44635</v>
      </c>
      <c r="C232" s="1" t="n">
        <v>45999</v>
      </c>
      <c r="D232" t="inlineStr">
        <is>
          <t>VÄRMLANDS LÄN</t>
        </is>
      </c>
      <c r="E232" t="inlineStr">
        <is>
          <t>ÅRJÄNG</t>
        </is>
      </c>
      <c r="G232" t="n">
        <v>11.1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45999</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71837-2021</t>
        </is>
      </c>
      <c r="B234" s="1" t="n">
        <v>44543</v>
      </c>
      <c r="C234" s="1" t="n">
        <v>45999</v>
      </c>
      <c r="D234" t="inlineStr">
        <is>
          <t>VÄRMLANDS LÄN</t>
        </is>
      </c>
      <c r="E234" t="inlineStr">
        <is>
          <t>ÅRJÄNG</t>
        </is>
      </c>
      <c r="G234" t="n">
        <v>7.2</v>
      </c>
      <c r="H234" t="n">
        <v>0</v>
      </c>
      <c r="I234" t="n">
        <v>0</v>
      </c>
      <c r="J234" t="n">
        <v>0</v>
      </c>
      <c r="K234" t="n">
        <v>0</v>
      </c>
      <c r="L234" t="n">
        <v>0</v>
      </c>
      <c r="M234" t="n">
        <v>0</v>
      </c>
      <c r="N234" t="n">
        <v>0</v>
      </c>
      <c r="O234" t="n">
        <v>0</v>
      </c>
      <c r="P234" t="n">
        <v>0</v>
      </c>
      <c r="Q234" t="n">
        <v>0</v>
      </c>
      <c r="R234" s="2" t="inlineStr"/>
    </row>
    <row r="235" ht="15" customHeight="1">
      <c r="A235" t="inlineStr">
        <is>
          <t>A 51975-2022</t>
        </is>
      </c>
      <c r="B235" s="1" t="n">
        <v>44872.71702546296</v>
      </c>
      <c r="C235" s="1" t="n">
        <v>45999</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45999</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16400-2022</t>
        </is>
      </c>
      <c r="B237" s="1" t="n">
        <v>44671</v>
      </c>
      <c r="C237" s="1" t="n">
        <v>45999</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65979-2021</t>
        </is>
      </c>
      <c r="B238" s="1" t="n">
        <v>44517.54078703704</v>
      </c>
      <c r="C238" s="1" t="n">
        <v>45999</v>
      </c>
      <c r="D238" t="inlineStr">
        <is>
          <t>VÄRMLANDS LÄN</t>
        </is>
      </c>
      <c r="E238" t="inlineStr">
        <is>
          <t>ÅRJÄNG</t>
        </is>
      </c>
      <c r="G238" t="n">
        <v>5.1</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45999</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45999</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45999</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30817-2021</t>
        </is>
      </c>
      <c r="B242" s="1" t="n">
        <v>44365</v>
      </c>
      <c r="C242" s="1" t="n">
        <v>45999</v>
      </c>
      <c r="D242" t="inlineStr">
        <is>
          <t>VÄRMLANDS LÄN</t>
        </is>
      </c>
      <c r="E242" t="inlineStr">
        <is>
          <t>ÅRJÄNG</t>
        </is>
      </c>
      <c r="G242" t="n">
        <v>5.6</v>
      </c>
      <c r="H242" t="n">
        <v>0</v>
      </c>
      <c r="I242" t="n">
        <v>0</v>
      </c>
      <c r="J242" t="n">
        <v>0</v>
      </c>
      <c r="K242" t="n">
        <v>0</v>
      </c>
      <c r="L242" t="n">
        <v>0</v>
      </c>
      <c r="M242" t="n">
        <v>0</v>
      </c>
      <c r="N242" t="n">
        <v>0</v>
      </c>
      <c r="O242" t="n">
        <v>0</v>
      </c>
      <c r="P242" t="n">
        <v>0</v>
      </c>
      <c r="Q242" t="n">
        <v>0</v>
      </c>
      <c r="R242" s="2" t="inlineStr"/>
    </row>
    <row r="243" ht="15" customHeight="1">
      <c r="A243" t="inlineStr">
        <is>
          <t>A 5346-2022</t>
        </is>
      </c>
      <c r="B243" s="1" t="n">
        <v>44594.74583333333</v>
      </c>
      <c r="C243" s="1" t="n">
        <v>45999</v>
      </c>
      <c r="D243" t="inlineStr">
        <is>
          <t>VÄRMLANDS LÄN</t>
        </is>
      </c>
      <c r="E243" t="inlineStr">
        <is>
          <t>ÅRJÄNG</t>
        </is>
      </c>
      <c r="G243" t="n">
        <v>0.4</v>
      </c>
      <c r="H243" t="n">
        <v>0</v>
      </c>
      <c r="I243" t="n">
        <v>0</v>
      </c>
      <c r="J243" t="n">
        <v>0</v>
      </c>
      <c r="K243" t="n">
        <v>0</v>
      </c>
      <c r="L243" t="n">
        <v>0</v>
      </c>
      <c r="M243" t="n">
        <v>0</v>
      </c>
      <c r="N243" t="n">
        <v>0</v>
      </c>
      <c r="O243" t="n">
        <v>0</v>
      </c>
      <c r="P243" t="n">
        <v>0</v>
      </c>
      <c r="Q243" t="n">
        <v>0</v>
      </c>
      <c r="R243" s="2" t="inlineStr"/>
    </row>
    <row r="244" ht="15" customHeight="1">
      <c r="A244" t="inlineStr">
        <is>
          <t>A 5713-2021</t>
        </is>
      </c>
      <c r="B244" s="1" t="n">
        <v>44230</v>
      </c>
      <c r="C244" s="1" t="n">
        <v>45999</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23451-2021</t>
        </is>
      </c>
      <c r="B245" s="1" t="n">
        <v>44333.89180555556</v>
      </c>
      <c r="C245" s="1" t="n">
        <v>45999</v>
      </c>
      <c r="D245" t="inlineStr">
        <is>
          <t>VÄRMLANDS LÄN</t>
        </is>
      </c>
      <c r="E245" t="inlineStr">
        <is>
          <t>ÅRJÄNG</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45999</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17927-2021</t>
        </is>
      </c>
      <c r="B247" s="1" t="n">
        <v>44301</v>
      </c>
      <c r="C247" s="1" t="n">
        <v>45999</v>
      </c>
      <c r="D247" t="inlineStr">
        <is>
          <t>VÄRMLANDS LÄN</t>
        </is>
      </c>
      <c r="E247" t="inlineStr">
        <is>
          <t>ÅRJÄNG</t>
        </is>
      </c>
      <c r="G247" t="n">
        <v>3.4</v>
      </c>
      <c r="H247" t="n">
        <v>0</v>
      </c>
      <c r="I247" t="n">
        <v>0</v>
      </c>
      <c r="J247" t="n">
        <v>0</v>
      </c>
      <c r="K247" t="n">
        <v>0</v>
      </c>
      <c r="L247" t="n">
        <v>0</v>
      </c>
      <c r="M247" t="n">
        <v>0</v>
      </c>
      <c r="N247" t="n">
        <v>0</v>
      </c>
      <c r="O247" t="n">
        <v>0</v>
      </c>
      <c r="P247" t="n">
        <v>0</v>
      </c>
      <c r="Q247" t="n">
        <v>0</v>
      </c>
      <c r="R247" s="2" t="inlineStr"/>
    </row>
    <row r="248" ht="15" customHeight="1">
      <c r="A248" t="inlineStr">
        <is>
          <t>A 56993-2021</t>
        </is>
      </c>
      <c r="B248" s="1" t="n">
        <v>44482</v>
      </c>
      <c r="C248" s="1" t="n">
        <v>45999</v>
      </c>
      <c r="D248" t="inlineStr">
        <is>
          <t>VÄRMLANDS LÄN</t>
        </is>
      </c>
      <c r="E248" t="inlineStr">
        <is>
          <t>ÅRJÄNG</t>
        </is>
      </c>
      <c r="G248" t="n">
        <v>3.8</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45999</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45999</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50569-2021</t>
        </is>
      </c>
      <c r="B251" s="1" t="n">
        <v>44459</v>
      </c>
      <c r="C251" s="1" t="n">
        <v>45999</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39661-2022</t>
        </is>
      </c>
      <c r="B252" s="1" t="n">
        <v>44818.79202546296</v>
      </c>
      <c r="C252" s="1" t="n">
        <v>45999</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28437-2021</t>
        </is>
      </c>
      <c r="B253" s="1" t="n">
        <v>44356.53327546296</v>
      </c>
      <c r="C253" s="1" t="n">
        <v>45999</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12137-2021</t>
        </is>
      </c>
      <c r="B254" s="1" t="n">
        <v>44266</v>
      </c>
      <c r="C254" s="1" t="n">
        <v>45999</v>
      </c>
      <c r="D254" t="inlineStr">
        <is>
          <t>VÄRMLANDS LÄN</t>
        </is>
      </c>
      <c r="E254" t="inlineStr">
        <is>
          <t>ÅRJÄNG</t>
        </is>
      </c>
      <c r="G254" t="n">
        <v>1.7</v>
      </c>
      <c r="H254" t="n">
        <v>0</v>
      </c>
      <c r="I254" t="n">
        <v>0</v>
      </c>
      <c r="J254" t="n">
        <v>0</v>
      </c>
      <c r="K254" t="n">
        <v>0</v>
      </c>
      <c r="L254" t="n">
        <v>0</v>
      </c>
      <c r="M254" t="n">
        <v>0</v>
      </c>
      <c r="N254" t="n">
        <v>0</v>
      </c>
      <c r="O254" t="n">
        <v>0</v>
      </c>
      <c r="P254" t="n">
        <v>0</v>
      </c>
      <c r="Q254" t="n">
        <v>0</v>
      </c>
      <c r="R254" s="2" t="inlineStr"/>
    </row>
    <row r="255" ht="15" customHeight="1">
      <c r="A255" t="inlineStr">
        <is>
          <t>A 15249-2021</t>
        </is>
      </c>
      <c r="B255" s="1" t="n">
        <v>44282</v>
      </c>
      <c r="C255" s="1" t="n">
        <v>45999</v>
      </c>
      <c r="D255" t="inlineStr">
        <is>
          <t>VÄRMLANDS LÄN</t>
        </is>
      </c>
      <c r="E255" t="inlineStr">
        <is>
          <t>ÅRJÄNG</t>
        </is>
      </c>
      <c r="F255" t="inlineStr">
        <is>
          <t>Övriga Aktiebolag</t>
        </is>
      </c>
      <c r="G255" t="n">
        <v>1.3</v>
      </c>
      <c r="H255" t="n">
        <v>0</v>
      </c>
      <c r="I255" t="n">
        <v>0</v>
      </c>
      <c r="J255" t="n">
        <v>0</v>
      </c>
      <c r="K255" t="n">
        <v>0</v>
      </c>
      <c r="L255" t="n">
        <v>0</v>
      </c>
      <c r="M255" t="n">
        <v>0</v>
      </c>
      <c r="N255" t="n">
        <v>0</v>
      </c>
      <c r="O255" t="n">
        <v>0</v>
      </c>
      <c r="P255" t="n">
        <v>0</v>
      </c>
      <c r="Q255" t="n">
        <v>0</v>
      </c>
      <c r="R255" s="2" t="inlineStr"/>
    </row>
    <row r="256" ht="15" customHeight="1">
      <c r="A256" t="inlineStr">
        <is>
          <t>A 9484-2021</t>
        </is>
      </c>
      <c r="B256" s="1" t="n">
        <v>44251</v>
      </c>
      <c r="C256" s="1" t="n">
        <v>45999</v>
      </c>
      <c r="D256" t="inlineStr">
        <is>
          <t>VÄRMLANDS LÄN</t>
        </is>
      </c>
      <c r="E256" t="inlineStr">
        <is>
          <t>ÅRJÄNG</t>
        </is>
      </c>
      <c r="G256" t="n">
        <v>0.8</v>
      </c>
      <c r="H256" t="n">
        <v>0</v>
      </c>
      <c r="I256" t="n">
        <v>0</v>
      </c>
      <c r="J256" t="n">
        <v>0</v>
      </c>
      <c r="K256" t="n">
        <v>0</v>
      </c>
      <c r="L256" t="n">
        <v>0</v>
      </c>
      <c r="M256" t="n">
        <v>0</v>
      </c>
      <c r="N256" t="n">
        <v>0</v>
      </c>
      <c r="O256" t="n">
        <v>0</v>
      </c>
      <c r="P256" t="n">
        <v>0</v>
      </c>
      <c r="Q256" t="n">
        <v>0</v>
      </c>
      <c r="R256" s="2" t="inlineStr"/>
    </row>
    <row r="257" ht="15" customHeight="1">
      <c r="A257" t="inlineStr">
        <is>
          <t>A 14094-2021</t>
        </is>
      </c>
      <c r="B257" s="1" t="n">
        <v>44278.29547453704</v>
      </c>
      <c r="C257" s="1" t="n">
        <v>45999</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53739-2021</t>
        </is>
      </c>
      <c r="B258" s="1" t="n">
        <v>44469</v>
      </c>
      <c r="C258" s="1" t="n">
        <v>45999</v>
      </c>
      <c r="D258" t="inlineStr">
        <is>
          <t>VÄRMLANDS LÄN</t>
        </is>
      </c>
      <c r="E258" t="inlineStr">
        <is>
          <t>ÅRJÄNG</t>
        </is>
      </c>
      <c r="G258" t="n">
        <v>15.9</v>
      </c>
      <c r="H258" t="n">
        <v>0</v>
      </c>
      <c r="I258" t="n">
        <v>0</v>
      </c>
      <c r="J258" t="n">
        <v>0</v>
      </c>
      <c r="K258" t="n">
        <v>0</v>
      </c>
      <c r="L258" t="n">
        <v>0</v>
      </c>
      <c r="M258" t="n">
        <v>0</v>
      </c>
      <c r="N258" t="n">
        <v>0</v>
      </c>
      <c r="O258" t="n">
        <v>0</v>
      </c>
      <c r="P258" t="n">
        <v>0</v>
      </c>
      <c r="Q258" t="n">
        <v>0</v>
      </c>
      <c r="R258" s="2" t="inlineStr"/>
    </row>
    <row r="259" ht="15" customHeight="1">
      <c r="A259" t="inlineStr">
        <is>
          <t>A 47035-2021</t>
        </is>
      </c>
      <c r="B259" s="1" t="n">
        <v>44446</v>
      </c>
      <c r="C259" s="1" t="n">
        <v>45999</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21701-2021</t>
        </is>
      </c>
      <c r="B260" s="1" t="n">
        <v>44322</v>
      </c>
      <c r="C260" s="1" t="n">
        <v>45999</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33025-2021</t>
        </is>
      </c>
      <c r="B261" s="1" t="n">
        <v>44376</v>
      </c>
      <c r="C261" s="1" t="n">
        <v>45999</v>
      </c>
      <c r="D261" t="inlineStr">
        <is>
          <t>VÄRMLANDS LÄN</t>
        </is>
      </c>
      <c r="E261" t="inlineStr">
        <is>
          <t>ÅRJÄNG</t>
        </is>
      </c>
      <c r="G261" t="n">
        <v>0.9</v>
      </c>
      <c r="H261" t="n">
        <v>0</v>
      </c>
      <c r="I261" t="n">
        <v>0</v>
      </c>
      <c r="J261" t="n">
        <v>0</v>
      </c>
      <c r="K261" t="n">
        <v>0</v>
      </c>
      <c r="L261" t="n">
        <v>0</v>
      </c>
      <c r="M261" t="n">
        <v>0</v>
      </c>
      <c r="N261" t="n">
        <v>0</v>
      </c>
      <c r="O261" t="n">
        <v>0</v>
      </c>
      <c r="P261" t="n">
        <v>0</v>
      </c>
      <c r="Q261" t="n">
        <v>0</v>
      </c>
      <c r="R261" s="2" t="inlineStr"/>
    </row>
    <row r="262" ht="15" customHeight="1">
      <c r="A262" t="inlineStr">
        <is>
          <t>A 28925-2022</t>
        </is>
      </c>
      <c r="B262" s="1" t="n">
        <v>44749.57684027778</v>
      </c>
      <c r="C262" s="1" t="n">
        <v>45999</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45999</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45999</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50044-2022</t>
        </is>
      </c>
      <c r="B265" s="1" t="n">
        <v>44865</v>
      </c>
      <c r="C265" s="1" t="n">
        <v>45999</v>
      </c>
      <c r="D265" t="inlineStr">
        <is>
          <t>VÄRMLANDS LÄN</t>
        </is>
      </c>
      <c r="E265" t="inlineStr">
        <is>
          <t>ÅRJÄNG</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11815-2025</t>
        </is>
      </c>
      <c r="B266" s="1" t="n">
        <v>45728.28719907408</v>
      </c>
      <c r="C266" s="1" t="n">
        <v>45999</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15165-2025</t>
        </is>
      </c>
      <c r="B267" s="1" t="n">
        <v>45744.48599537037</v>
      </c>
      <c r="C267" s="1" t="n">
        <v>45999</v>
      </c>
      <c r="D267" t="inlineStr">
        <is>
          <t>VÄRMLANDS LÄN</t>
        </is>
      </c>
      <c r="E267" t="inlineStr">
        <is>
          <t>ÅRJÄNG</t>
        </is>
      </c>
      <c r="G267" t="n">
        <v>3</v>
      </c>
      <c r="H267" t="n">
        <v>0</v>
      </c>
      <c r="I267" t="n">
        <v>0</v>
      </c>
      <c r="J267" t="n">
        <v>0</v>
      </c>
      <c r="K267" t="n">
        <v>0</v>
      </c>
      <c r="L267" t="n">
        <v>0</v>
      </c>
      <c r="M267" t="n">
        <v>0</v>
      </c>
      <c r="N267" t="n">
        <v>0</v>
      </c>
      <c r="O267" t="n">
        <v>0</v>
      </c>
      <c r="P267" t="n">
        <v>0</v>
      </c>
      <c r="Q267" t="n">
        <v>0</v>
      </c>
      <c r="R267" s="2" t="inlineStr"/>
    </row>
    <row r="268" ht="15" customHeight="1">
      <c r="A268" t="inlineStr">
        <is>
          <t>A 19242-2025</t>
        </is>
      </c>
      <c r="B268" s="1" t="n">
        <v>45769.47761574074</v>
      </c>
      <c r="C268" s="1" t="n">
        <v>45999</v>
      </c>
      <c r="D268" t="inlineStr">
        <is>
          <t>VÄRMLANDS LÄN</t>
        </is>
      </c>
      <c r="E268" t="inlineStr">
        <is>
          <t>ÅRJÄNG</t>
        </is>
      </c>
      <c r="G268" t="n">
        <v>17.5</v>
      </c>
      <c r="H268" t="n">
        <v>0</v>
      </c>
      <c r="I268" t="n">
        <v>0</v>
      </c>
      <c r="J268" t="n">
        <v>0</v>
      </c>
      <c r="K268" t="n">
        <v>0</v>
      </c>
      <c r="L268" t="n">
        <v>0</v>
      </c>
      <c r="M268" t="n">
        <v>0</v>
      </c>
      <c r="N268" t="n">
        <v>0</v>
      </c>
      <c r="O268" t="n">
        <v>0</v>
      </c>
      <c r="P268" t="n">
        <v>0</v>
      </c>
      <c r="Q268" t="n">
        <v>0</v>
      </c>
      <c r="R268" s="2" t="inlineStr"/>
    </row>
    <row r="269" ht="15" customHeight="1">
      <c r="A269" t="inlineStr">
        <is>
          <t>A 55377-2024</t>
        </is>
      </c>
      <c r="B269" s="1" t="n">
        <v>45621.9885300926</v>
      </c>
      <c r="C269" s="1" t="n">
        <v>45999</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16977-2025</t>
        </is>
      </c>
      <c r="B270" s="1" t="n">
        <v>45755.47517361111</v>
      </c>
      <c r="C270" s="1" t="n">
        <v>45999</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45999</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51493-2023</t>
        </is>
      </c>
      <c r="B272" s="1" t="n">
        <v>45215</v>
      </c>
      <c r="C272" s="1" t="n">
        <v>45999</v>
      </c>
      <c r="D272" t="inlineStr">
        <is>
          <t>VÄRMLANDS LÄN</t>
        </is>
      </c>
      <c r="E272" t="inlineStr">
        <is>
          <t>ÅRJÄNG</t>
        </is>
      </c>
      <c r="F272" t="inlineStr">
        <is>
          <t>Övriga Aktiebolag</t>
        </is>
      </c>
      <c r="G272" t="n">
        <v>9.1</v>
      </c>
      <c r="H272" t="n">
        <v>0</v>
      </c>
      <c r="I272" t="n">
        <v>0</v>
      </c>
      <c r="J272" t="n">
        <v>0</v>
      </c>
      <c r="K272" t="n">
        <v>0</v>
      </c>
      <c r="L272" t="n">
        <v>0</v>
      </c>
      <c r="M272" t="n">
        <v>0</v>
      </c>
      <c r="N272" t="n">
        <v>0</v>
      </c>
      <c r="O272" t="n">
        <v>0</v>
      </c>
      <c r="P272" t="n">
        <v>0</v>
      </c>
      <c r="Q272" t="n">
        <v>0</v>
      </c>
      <c r="R272" s="2" t="inlineStr"/>
    </row>
    <row r="273" ht="15" customHeight="1">
      <c r="A273" t="inlineStr">
        <is>
          <t>A 56778-2024</t>
        </is>
      </c>
      <c r="B273" s="1" t="n">
        <v>45628</v>
      </c>
      <c r="C273" s="1" t="n">
        <v>45999</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18309-2025</t>
        </is>
      </c>
      <c r="B274" s="1" t="n">
        <v>45762.44186342593</v>
      </c>
      <c r="C274" s="1" t="n">
        <v>45999</v>
      </c>
      <c r="D274" t="inlineStr">
        <is>
          <t>VÄRMLANDS LÄN</t>
        </is>
      </c>
      <c r="E274" t="inlineStr">
        <is>
          <t>ÅRJÄNG</t>
        </is>
      </c>
      <c r="G274" t="n">
        <v>6.2</v>
      </c>
      <c r="H274" t="n">
        <v>0</v>
      </c>
      <c r="I274" t="n">
        <v>0</v>
      </c>
      <c r="J274" t="n">
        <v>0</v>
      </c>
      <c r="K274" t="n">
        <v>0</v>
      </c>
      <c r="L274" t="n">
        <v>0</v>
      </c>
      <c r="M274" t="n">
        <v>0</v>
      </c>
      <c r="N274" t="n">
        <v>0</v>
      </c>
      <c r="O274" t="n">
        <v>0</v>
      </c>
      <c r="P274" t="n">
        <v>0</v>
      </c>
      <c r="Q274" t="n">
        <v>0</v>
      </c>
      <c r="R274" s="2" t="inlineStr"/>
    </row>
    <row r="275" ht="15" customHeight="1">
      <c r="A275" t="inlineStr">
        <is>
          <t>A 4668-2025</t>
        </is>
      </c>
      <c r="B275" s="1" t="n">
        <v>45687.76229166667</v>
      </c>
      <c r="C275" s="1" t="n">
        <v>45999</v>
      </c>
      <c r="D275" t="inlineStr">
        <is>
          <t>VÄRMLANDS LÄN</t>
        </is>
      </c>
      <c r="E275" t="inlineStr">
        <is>
          <t>ÅRJÄNG</t>
        </is>
      </c>
      <c r="G275" t="n">
        <v>8.5</v>
      </c>
      <c r="H275" t="n">
        <v>0</v>
      </c>
      <c r="I275" t="n">
        <v>0</v>
      </c>
      <c r="J275" t="n">
        <v>0</v>
      </c>
      <c r="K275" t="n">
        <v>0</v>
      </c>
      <c r="L275" t="n">
        <v>0</v>
      </c>
      <c r="M275" t="n">
        <v>0</v>
      </c>
      <c r="N275" t="n">
        <v>0</v>
      </c>
      <c r="O275" t="n">
        <v>0</v>
      </c>
      <c r="P275" t="n">
        <v>0</v>
      </c>
      <c r="Q275" t="n">
        <v>0</v>
      </c>
      <c r="R275" s="2" t="inlineStr"/>
    </row>
    <row r="276" ht="15" customHeight="1">
      <c r="A276" t="inlineStr">
        <is>
          <t>A 54961-2024</t>
        </is>
      </c>
      <c r="B276" s="1" t="n">
        <v>45619.9753125</v>
      </c>
      <c r="C276" s="1" t="n">
        <v>45999</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14917-2025</t>
        </is>
      </c>
      <c r="B277" s="1" t="n">
        <v>45743.53748842593</v>
      </c>
      <c r="C277" s="1" t="n">
        <v>45999</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54950-2022</t>
        </is>
      </c>
      <c r="B278" s="1" t="n">
        <v>44886</v>
      </c>
      <c r="C278" s="1" t="n">
        <v>45999</v>
      </c>
      <c r="D278" t="inlineStr">
        <is>
          <t>VÄRMLANDS LÄN</t>
        </is>
      </c>
      <c r="E278" t="inlineStr">
        <is>
          <t>ÅRJÄNG</t>
        </is>
      </c>
      <c r="G278" t="n">
        <v>13</v>
      </c>
      <c r="H278" t="n">
        <v>0</v>
      </c>
      <c r="I278" t="n">
        <v>0</v>
      </c>
      <c r="J278" t="n">
        <v>0</v>
      </c>
      <c r="K278" t="n">
        <v>0</v>
      </c>
      <c r="L278" t="n">
        <v>0</v>
      </c>
      <c r="M278" t="n">
        <v>0</v>
      </c>
      <c r="N278" t="n">
        <v>0</v>
      </c>
      <c r="O278" t="n">
        <v>0</v>
      </c>
      <c r="P278" t="n">
        <v>0</v>
      </c>
      <c r="Q278" t="n">
        <v>0</v>
      </c>
      <c r="R278" s="2" t="inlineStr"/>
    </row>
    <row r="279" ht="15" customHeight="1">
      <c r="A279" t="inlineStr">
        <is>
          <t>A 8831-2025</t>
        </is>
      </c>
      <c r="B279" s="1" t="n">
        <v>45712.90697916667</v>
      </c>
      <c r="C279" s="1" t="n">
        <v>45999</v>
      </c>
      <c r="D279" t="inlineStr">
        <is>
          <t>VÄRMLANDS LÄN</t>
        </is>
      </c>
      <c r="E279" t="inlineStr">
        <is>
          <t>ÅRJÄNG</t>
        </is>
      </c>
      <c r="G279" t="n">
        <v>32.9</v>
      </c>
      <c r="H279" t="n">
        <v>0</v>
      </c>
      <c r="I279" t="n">
        <v>0</v>
      </c>
      <c r="J279" t="n">
        <v>0</v>
      </c>
      <c r="K279" t="n">
        <v>0</v>
      </c>
      <c r="L279" t="n">
        <v>0</v>
      </c>
      <c r="M279" t="n">
        <v>0</v>
      </c>
      <c r="N279" t="n">
        <v>0</v>
      </c>
      <c r="O279" t="n">
        <v>0</v>
      </c>
      <c r="P279" t="n">
        <v>0</v>
      </c>
      <c r="Q279" t="n">
        <v>0</v>
      </c>
      <c r="R279" s="2" t="inlineStr"/>
    </row>
    <row r="280" ht="15" customHeight="1">
      <c r="A280" t="inlineStr">
        <is>
          <t>A 8834-2025</t>
        </is>
      </c>
      <c r="B280" s="1" t="n">
        <v>45712.921875</v>
      </c>
      <c r="C280" s="1" t="n">
        <v>45999</v>
      </c>
      <c r="D280" t="inlineStr">
        <is>
          <t>VÄRMLANDS LÄN</t>
        </is>
      </c>
      <c r="E280" t="inlineStr">
        <is>
          <t>ÅRJÄNG</t>
        </is>
      </c>
      <c r="G280" t="n">
        <v>2.2</v>
      </c>
      <c r="H280" t="n">
        <v>0</v>
      </c>
      <c r="I280" t="n">
        <v>0</v>
      </c>
      <c r="J280" t="n">
        <v>0</v>
      </c>
      <c r="K280" t="n">
        <v>0</v>
      </c>
      <c r="L280" t="n">
        <v>0</v>
      </c>
      <c r="M280" t="n">
        <v>0</v>
      </c>
      <c r="N280" t="n">
        <v>0</v>
      </c>
      <c r="O280" t="n">
        <v>0</v>
      </c>
      <c r="P280" t="n">
        <v>0</v>
      </c>
      <c r="Q280" t="n">
        <v>0</v>
      </c>
      <c r="R280" s="2" t="inlineStr"/>
    </row>
    <row r="281" ht="15" customHeight="1">
      <c r="A281" t="inlineStr">
        <is>
          <t>A 13001-2025</t>
        </is>
      </c>
      <c r="B281" s="1" t="n">
        <v>45734.49777777777</v>
      </c>
      <c r="C281" s="1" t="n">
        <v>45999</v>
      </c>
      <c r="D281" t="inlineStr">
        <is>
          <t>VÄRMLANDS LÄN</t>
        </is>
      </c>
      <c r="E281" t="inlineStr">
        <is>
          <t>ÅRJÄNG</t>
        </is>
      </c>
      <c r="G281" t="n">
        <v>15.8</v>
      </c>
      <c r="H281" t="n">
        <v>0</v>
      </c>
      <c r="I281" t="n">
        <v>0</v>
      </c>
      <c r="J281" t="n">
        <v>0</v>
      </c>
      <c r="K281" t="n">
        <v>0</v>
      </c>
      <c r="L281" t="n">
        <v>0</v>
      </c>
      <c r="M281" t="n">
        <v>0</v>
      </c>
      <c r="N281" t="n">
        <v>0</v>
      </c>
      <c r="O281" t="n">
        <v>0</v>
      </c>
      <c r="P281" t="n">
        <v>0</v>
      </c>
      <c r="Q281" t="n">
        <v>0</v>
      </c>
      <c r="R281" s="2" t="inlineStr"/>
    </row>
    <row r="282" ht="15" customHeight="1">
      <c r="A282" t="inlineStr">
        <is>
          <t>A 13002-2025</t>
        </is>
      </c>
      <c r="B282" s="1" t="n">
        <v>45734.50288194444</v>
      </c>
      <c r="C282" s="1" t="n">
        <v>45999</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1717-2025</t>
        </is>
      </c>
      <c r="B283" s="1" t="n">
        <v>45671.32938657407</v>
      </c>
      <c r="C283" s="1" t="n">
        <v>45999</v>
      </c>
      <c r="D283" t="inlineStr">
        <is>
          <t>VÄRMLANDS LÄN</t>
        </is>
      </c>
      <c r="E283" t="inlineStr">
        <is>
          <t>ÅRJÄNG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62240-2022</t>
        </is>
      </c>
      <c r="B284" s="1" t="n">
        <v>44922</v>
      </c>
      <c r="C284" s="1" t="n">
        <v>45999</v>
      </c>
      <c r="D284" t="inlineStr">
        <is>
          <t>VÄRMLANDS LÄN</t>
        </is>
      </c>
      <c r="E284" t="inlineStr">
        <is>
          <t>ÅRJÄNG</t>
        </is>
      </c>
      <c r="G284" t="n">
        <v>0.5</v>
      </c>
      <c r="H284" t="n">
        <v>0</v>
      </c>
      <c r="I284" t="n">
        <v>0</v>
      </c>
      <c r="J284" t="n">
        <v>0</v>
      </c>
      <c r="K284" t="n">
        <v>0</v>
      </c>
      <c r="L284" t="n">
        <v>0</v>
      </c>
      <c r="M284" t="n">
        <v>0</v>
      </c>
      <c r="N284" t="n">
        <v>0</v>
      </c>
      <c r="O284" t="n">
        <v>0</v>
      </c>
      <c r="P284" t="n">
        <v>0</v>
      </c>
      <c r="Q284" t="n">
        <v>0</v>
      </c>
      <c r="R284" s="2" t="inlineStr"/>
    </row>
    <row r="285" ht="15" customHeight="1">
      <c r="A285" t="inlineStr">
        <is>
          <t>A 5122-2025</t>
        </is>
      </c>
      <c r="B285" s="1" t="n">
        <v>45691.55863425926</v>
      </c>
      <c r="C285" s="1" t="n">
        <v>45999</v>
      </c>
      <c r="D285" t="inlineStr">
        <is>
          <t>VÄRMLANDS LÄN</t>
        </is>
      </c>
      <c r="E285" t="inlineStr">
        <is>
          <t>ÅRJÄNG</t>
        </is>
      </c>
      <c r="G285" t="n">
        <v>5.7</v>
      </c>
      <c r="H285" t="n">
        <v>0</v>
      </c>
      <c r="I285" t="n">
        <v>0</v>
      </c>
      <c r="J285" t="n">
        <v>0</v>
      </c>
      <c r="K285" t="n">
        <v>0</v>
      </c>
      <c r="L285" t="n">
        <v>0</v>
      </c>
      <c r="M285" t="n">
        <v>0</v>
      </c>
      <c r="N285" t="n">
        <v>0</v>
      </c>
      <c r="O285" t="n">
        <v>0</v>
      </c>
      <c r="P285" t="n">
        <v>0</v>
      </c>
      <c r="Q285" t="n">
        <v>0</v>
      </c>
      <c r="R285" s="2" t="inlineStr"/>
    </row>
    <row r="286" ht="15" customHeight="1">
      <c r="A286" t="inlineStr">
        <is>
          <t>A 19964-2023</t>
        </is>
      </c>
      <c r="B286" s="1" t="n">
        <v>45051</v>
      </c>
      <c r="C286" s="1" t="n">
        <v>45999</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16079-2024</t>
        </is>
      </c>
      <c r="B287" s="1" t="n">
        <v>45406</v>
      </c>
      <c r="C287" s="1" t="n">
        <v>45999</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12072-2024</t>
        </is>
      </c>
      <c r="B288" s="1" t="n">
        <v>45377</v>
      </c>
      <c r="C288" s="1" t="n">
        <v>45999</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13871-2025</t>
        </is>
      </c>
      <c r="B289" s="1" t="n">
        <v>45737.58568287037</v>
      </c>
      <c r="C289" s="1" t="n">
        <v>45999</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47228-2023</t>
        </is>
      </c>
      <c r="B290" s="1" t="n">
        <v>45202.3709837963</v>
      </c>
      <c r="C290" s="1" t="n">
        <v>45999</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47688-2023</t>
        </is>
      </c>
      <c r="B291" s="1" t="n">
        <v>45203</v>
      </c>
      <c r="C291" s="1" t="n">
        <v>45999</v>
      </c>
      <c r="D291" t="inlineStr">
        <is>
          <t>VÄRMLANDS LÄN</t>
        </is>
      </c>
      <c r="E291" t="inlineStr">
        <is>
          <t>ÅRJÄNG</t>
        </is>
      </c>
      <c r="F291" t="inlineStr">
        <is>
          <t>Övriga Aktiebolag</t>
        </is>
      </c>
      <c r="G291" t="n">
        <v>20.3</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45999</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29098-2022</t>
        </is>
      </c>
      <c r="B293" s="1" t="n">
        <v>44750</v>
      </c>
      <c r="C293" s="1" t="n">
        <v>45999</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16791-2025</t>
        </is>
      </c>
      <c r="B294" s="1" t="n">
        <v>45754</v>
      </c>
      <c r="C294" s="1" t="n">
        <v>45999</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11805-2024</t>
        </is>
      </c>
      <c r="B295" s="1" t="n">
        <v>45375.76523148148</v>
      </c>
      <c r="C295" s="1" t="n">
        <v>45999</v>
      </c>
      <c r="D295" t="inlineStr">
        <is>
          <t>VÄRMLANDS LÄN</t>
        </is>
      </c>
      <c r="E295" t="inlineStr">
        <is>
          <t>ÅRJÄNG</t>
        </is>
      </c>
      <c r="G295" t="n">
        <v>4.4</v>
      </c>
      <c r="H295" t="n">
        <v>0</v>
      </c>
      <c r="I295" t="n">
        <v>0</v>
      </c>
      <c r="J295" t="n">
        <v>0</v>
      </c>
      <c r="K295" t="n">
        <v>0</v>
      </c>
      <c r="L295" t="n">
        <v>0</v>
      </c>
      <c r="M295" t="n">
        <v>0</v>
      </c>
      <c r="N295" t="n">
        <v>0</v>
      </c>
      <c r="O295" t="n">
        <v>0</v>
      </c>
      <c r="P295" t="n">
        <v>0</v>
      </c>
      <c r="Q295" t="n">
        <v>0</v>
      </c>
      <c r="R295" s="2" t="inlineStr"/>
    </row>
    <row r="296" ht="15" customHeight="1">
      <c r="A296" t="inlineStr">
        <is>
          <t>A 15828-2024</t>
        </is>
      </c>
      <c r="B296" s="1" t="n">
        <v>45404</v>
      </c>
      <c r="C296" s="1" t="n">
        <v>45999</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45999</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59746-2023</t>
        </is>
      </c>
      <c r="B298" s="1" t="n">
        <v>45254</v>
      </c>
      <c r="C298" s="1" t="n">
        <v>45999</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45999</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55091-2023</t>
        </is>
      </c>
      <c r="B300" s="1" t="n">
        <v>45237</v>
      </c>
      <c r="C300" s="1" t="n">
        <v>45999</v>
      </c>
      <c r="D300" t="inlineStr">
        <is>
          <t>VÄRMLANDS LÄN</t>
        </is>
      </c>
      <c r="E300" t="inlineStr">
        <is>
          <t>ÅRJÄNG</t>
        </is>
      </c>
      <c r="G300" t="n">
        <v>3.8</v>
      </c>
      <c r="H300" t="n">
        <v>0</v>
      </c>
      <c r="I300" t="n">
        <v>0</v>
      </c>
      <c r="J300" t="n">
        <v>0</v>
      </c>
      <c r="K300" t="n">
        <v>0</v>
      </c>
      <c r="L300" t="n">
        <v>0</v>
      </c>
      <c r="M300" t="n">
        <v>0</v>
      </c>
      <c r="N300" t="n">
        <v>0</v>
      </c>
      <c r="O300" t="n">
        <v>0</v>
      </c>
      <c r="P300" t="n">
        <v>0</v>
      </c>
      <c r="Q300" t="n">
        <v>0</v>
      </c>
      <c r="R300" s="2" t="inlineStr"/>
    </row>
    <row r="301" ht="15" customHeight="1">
      <c r="A301" t="inlineStr">
        <is>
          <t>A 30459-2022</t>
        </is>
      </c>
      <c r="B301" s="1" t="n">
        <v>44761</v>
      </c>
      <c r="C301" s="1" t="n">
        <v>45999</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55517-2023</t>
        </is>
      </c>
      <c r="B302" s="1" t="n">
        <v>45232</v>
      </c>
      <c r="C302" s="1" t="n">
        <v>45999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40490-2022</t>
        </is>
      </c>
      <c r="B303" s="1" t="n">
        <v>44823.58560185185</v>
      </c>
      <c r="C303" s="1" t="n">
        <v>45999</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32950-2024</t>
        </is>
      </c>
      <c r="B304" s="1" t="n">
        <v>45517.36038194445</v>
      </c>
      <c r="C304" s="1" t="n">
        <v>45999</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59385-2023</t>
        </is>
      </c>
      <c r="B305" s="1" t="n">
        <v>45253</v>
      </c>
      <c r="C305" s="1" t="n">
        <v>45999</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13036-2025</t>
        </is>
      </c>
      <c r="B306" s="1" t="n">
        <v>45734.57474537037</v>
      </c>
      <c r="C306" s="1" t="n">
        <v>45999</v>
      </c>
      <c r="D306" t="inlineStr">
        <is>
          <t>VÄRMLANDS LÄN</t>
        </is>
      </c>
      <c r="E306" t="inlineStr">
        <is>
          <t>ÅRJÄNG</t>
        </is>
      </c>
      <c r="G306" t="n">
        <v>5.6</v>
      </c>
      <c r="H306" t="n">
        <v>0</v>
      </c>
      <c r="I306" t="n">
        <v>0</v>
      </c>
      <c r="J306" t="n">
        <v>0</v>
      </c>
      <c r="K306" t="n">
        <v>0</v>
      </c>
      <c r="L306" t="n">
        <v>0</v>
      </c>
      <c r="M306" t="n">
        <v>0</v>
      </c>
      <c r="N306" t="n">
        <v>0</v>
      </c>
      <c r="O306" t="n">
        <v>0</v>
      </c>
      <c r="P306" t="n">
        <v>0</v>
      </c>
      <c r="Q306" t="n">
        <v>0</v>
      </c>
      <c r="R306" s="2" t="inlineStr"/>
    </row>
    <row r="307" ht="15" customHeight="1">
      <c r="A307" t="inlineStr">
        <is>
          <t>A 9909-2024</t>
        </is>
      </c>
      <c r="B307" s="1" t="n">
        <v>45363.53642361111</v>
      </c>
      <c r="C307" s="1" t="n">
        <v>45999</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51109-2022</t>
        </is>
      </c>
      <c r="B308" s="1" t="n">
        <v>44868.43569444444</v>
      </c>
      <c r="C308" s="1" t="n">
        <v>45999</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41986-2022</t>
        </is>
      </c>
      <c r="B309" s="1" t="n">
        <v>44830.4380787037</v>
      </c>
      <c r="C309" s="1" t="n">
        <v>45999</v>
      </c>
      <c r="D309" t="inlineStr">
        <is>
          <t>VÄRMLANDS LÄN</t>
        </is>
      </c>
      <c r="E309" t="inlineStr">
        <is>
          <t>ÅRJÄNG</t>
        </is>
      </c>
      <c r="G309" t="n">
        <v>4.3</v>
      </c>
      <c r="H309" t="n">
        <v>0</v>
      </c>
      <c r="I309" t="n">
        <v>0</v>
      </c>
      <c r="J309" t="n">
        <v>0</v>
      </c>
      <c r="K309" t="n">
        <v>0</v>
      </c>
      <c r="L309" t="n">
        <v>0</v>
      </c>
      <c r="M309" t="n">
        <v>0</v>
      </c>
      <c r="N309" t="n">
        <v>0</v>
      </c>
      <c r="O309" t="n">
        <v>0</v>
      </c>
      <c r="P309" t="n">
        <v>0</v>
      </c>
      <c r="Q309" t="n">
        <v>0</v>
      </c>
      <c r="R309" s="2" t="inlineStr"/>
    </row>
    <row r="310" ht="15" customHeight="1">
      <c r="A310" t="inlineStr">
        <is>
          <t>A 19511-2024</t>
        </is>
      </c>
      <c r="B310" s="1" t="n">
        <v>45429.6099537037</v>
      </c>
      <c r="C310" s="1" t="n">
        <v>45999</v>
      </c>
      <c r="D310" t="inlineStr">
        <is>
          <t>VÄRMLANDS LÄN</t>
        </is>
      </c>
      <c r="E310" t="inlineStr">
        <is>
          <t>ÅRJÄNG</t>
        </is>
      </c>
      <c r="G310" t="n">
        <v>1.2</v>
      </c>
      <c r="H310" t="n">
        <v>0</v>
      </c>
      <c r="I310" t="n">
        <v>0</v>
      </c>
      <c r="J310" t="n">
        <v>0</v>
      </c>
      <c r="K310" t="n">
        <v>0</v>
      </c>
      <c r="L310" t="n">
        <v>0</v>
      </c>
      <c r="M310" t="n">
        <v>0</v>
      </c>
      <c r="N310" t="n">
        <v>0</v>
      </c>
      <c r="O310" t="n">
        <v>0</v>
      </c>
      <c r="P310" t="n">
        <v>0</v>
      </c>
      <c r="Q310" t="n">
        <v>0</v>
      </c>
      <c r="R310" s="2" t="inlineStr"/>
    </row>
    <row r="311" ht="15" customHeight="1">
      <c r="A311" t="inlineStr">
        <is>
          <t>A 19516-2024</t>
        </is>
      </c>
      <c r="B311" s="1" t="n">
        <v>45429.61491898148</v>
      </c>
      <c r="C311" s="1" t="n">
        <v>45999</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6034-2021</t>
        </is>
      </c>
      <c r="B312" s="1" t="n">
        <v>44232.33623842592</v>
      </c>
      <c r="C312" s="1" t="n">
        <v>45999</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13734-2024</t>
        </is>
      </c>
      <c r="B313" s="1" t="n">
        <v>45387</v>
      </c>
      <c r="C313" s="1" t="n">
        <v>45999</v>
      </c>
      <c r="D313" t="inlineStr">
        <is>
          <t>VÄRMLANDS LÄN</t>
        </is>
      </c>
      <c r="E313" t="inlineStr">
        <is>
          <t>ÅRJÄNG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13824-2024</t>
        </is>
      </c>
      <c r="B314" s="1" t="n">
        <v>45391.42951388889</v>
      </c>
      <c r="C314" s="1" t="n">
        <v>45999</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74430-2021</t>
        </is>
      </c>
      <c r="B315" s="1" t="n">
        <v>44560.43342592593</v>
      </c>
      <c r="C315" s="1" t="n">
        <v>45999</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15148-2025</t>
        </is>
      </c>
      <c r="B316" s="1" t="n">
        <v>45744.45298611111</v>
      </c>
      <c r="C316" s="1" t="n">
        <v>45999</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935-2021</t>
        </is>
      </c>
      <c r="B317" s="1" t="n">
        <v>44207</v>
      </c>
      <c r="C317" s="1" t="n">
        <v>45999</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15210-2025</t>
        </is>
      </c>
      <c r="B318" s="1" t="n">
        <v>45744</v>
      </c>
      <c r="C318" s="1" t="n">
        <v>45999</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26880-2023</t>
        </is>
      </c>
      <c r="B319" s="1" t="n">
        <v>45093.58373842593</v>
      </c>
      <c r="C319" s="1" t="n">
        <v>45999</v>
      </c>
      <c r="D319" t="inlineStr">
        <is>
          <t>VÄRMLANDS LÄN</t>
        </is>
      </c>
      <c r="E319" t="inlineStr">
        <is>
          <t>ÅRJÄNG</t>
        </is>
      </c>
      <c r="G319" t="n">
        <v>3.6</v>
      </c>
      <c r="H319" t="n">
        <v>0</v>
      </c>
      <c r="I319" t="n">
        <v>0</v>
      </c>
      <c r="J319" t="n">
        <v>0</v>
      </c>
      <c r="K319" t="n">
        <v>0</v>
      </c>
      <c r="L319" t="n">
        <v>0</v>
      </c>
      <c r="M319" t="n">
        <v>0</v>
      </c>
      <c r="N319" t="n">
        <v>0</v>
      </c>
      <c r="O319" t="n">
        <v>0</v>
      </c>
      <c r="P319" t="n">
        <v>0</v>
      </c>
      <c r="Q319" t="n">
        <v>0</v>
      </c>
      <c r="R319" s="2" t="inlineStr"/>
    </row>
    <row r="320" ht="15" customHeight="1">
      <c r="A320" t="inlineStr">
        <is>
          <t>A 13998-2024</t>
        </is>
      </c>
      <c r="B320" s="1" t="n">
        <v>45392</v>
      </c>
      <c r="C320" s="1" t="n">
        <v>45999</v>
      </c>
      <c r="D320" t="inlineStr">
        <is>
          <t>VÄRMLANDS LÄN</t>
        </is>
      </c>
      <c r="E320" t="inlineStr">
        <is>
          <t>ÅRJÄNG</t>
        </is>
      </c>
      <c r="G320" t="n">
        <v>1.8</v>
      </c>
      <c r="H320" t="n">
        <v>0</v>
      </c>
      <c r="I320" t="n">
        <v>0</v>
      </c>
      <c r="J320" t="n">
        <v>0</v>
      </c>
      <c r="K320" t="n">
        <v>0</v>
      </c>
      <c r="L320" t="n">
        <v>0</v>
      </c>
      <c r="M320" t="n">
        <v>0</v>
      </c>
      <c r="N320" t="n">
        <v>0</v>
      </c>
      <c r="O320" t="n">
        <v>0</v>
      </c>
      <c r="P320" t="n">
        <v>0</v>
      </c>
      <c r="Q320" t="n">
        <v>0</v>
      </c>
      <c r="R320" s="2" t="inlineStr"/>
    </row>
    <row r="321" ht="15" customHeight="1">
      <c r="A321" t="inlineStr">
        <is>
          <t>A 15953-2025</t>
        </is>
      </c>
      <c r="B321" s="1" t="n">
        <v>45749</v>
      </c>
      <c r="C321" s="1" t="n">
        <v>45999</v>
      </c>
      <c r="D321" t="inlineStr">
        <is>
          <t>VÄRMLANDS LÄN</t>
        </is>
      </c>
      <c r="E321" t="inlineStr">
        <is>
          <t>ÅRJÄNG</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16112-2025</t>
        </is>
      </c>
      <c r="B322" s="1" t="n">
        <v>45750.37240740741</v>
      </c>
      <c r="C322" s="1" t="n">
        <v>45999</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14768-2024</t>
        </is>
      </c>
      <c r="B323" s="1" t="n">
        <v>45397</v>
      </c>
      <c r="C323" s="1" t="n">
        <v>45999</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16676-2021</t>
        </is>
      </c>
      <c r="B324" s="1" t="n">
        <v>44294.5668287037</v>
      </c>
      <c r="C324" s="1" t="n">
        <v>45999</v>
      </c>
      <c r="D324" t="inlineStr">
        <is>
          <t>VÄRMLANDS LÄN</t>
        </is>
      </c>
      <c r="E324" t="inlineStr">
        <is>
          <t>ÅRJÄNG</t>
        </is>
      </c>
      <c r="G324" t="n">
        <v>4.3</v>
      </c>
      <c r="H324" t="n">
        <v>0</v>
      </c>
      <c r="I324" t="n">
        <v>0</v>
      </c>
      <c r="J324" t="n">
        <v>0</v>
      </c>
      <c r="K324" t="n">
        <v>0</v>
      </c>
      <c r="L324" t="n">
        <v>0</v>
      </c>
      <c r="M324" t="n">
        <v>0</v>
      </c>
      <c r="N324" t="n">
        <v>0</v>
      </c>
      <c r="O324" t="n">
        <v>0</v>
      </c>
      <c r="P324" t="n">
        <v>0</v>
      </c>
      <c r="Q324" t="n">
        <v>0</v>
      </c>
      <c r="R324" s="2" t="inlineStr"/>
    </row>
    <row r="325" ht="15" customHeight="1">
      <c r="A325" t="inlineStr">
        <is>
          <t>A 5095-2023</t>
        </is>
      </c>
      <c r="B325" s="1" t="n">
        <v>44953</v>
      </c>
      <c r="C325" s="1" t="n">
        <v>45999</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44647-2021</t>
        </is>
      </c>
      <c r="B326" s="1" t="n">
        <v>44437.83967592593</v>
      </c>
      <c r="C326" s="1" t="n">
        <v>45999</v>
      </c>
      <c r="D326" t="inlineStr">
        <is>
          <t>VÄRMLANDS LÄN</t>
        </is>
      </c>
      <c r="E326" t="inlineStr">
        <is>
          <t>ÅRJÄNG</t>
        </is>
      </c>
      <c r="G326" t="n">
        <v>3</v>
      </c>
      <c r="H326" t="n">
        <v>0</v>
      </c>
      <c r="I326" t="n">
        <v>0</v>
      </c>
      <c r="J326" t="n">
        <v>0</v>
      </c>
      <c r="K326" t="n">
        <v>0</v>
      </c>
      <c r="L326" t="n">
        <v>0</v>
      </c>
      <c r="M326" t="n">
        <v>0</v>
      </c>
      <c r="N326" t="n">
        <v>0</v>
      </c>
      <c r="O326" t="n">
        <v>0</v>
      </c>
      <c r="P326" t="n">
        <v>0</v>
      </c>
      <c r="Q326" t="n">
        <v>0</v>
      </c>
      <c r="R326" s="2" t="inlineStr"/>
    </row>
    <row r="327" ht="15" customHeight="1">
      <c r="A327" t="inlineStr">
        <is>
          <t>A 42241-2024</t>
        </is>
      </c>
      <c r="B327" s="1" t="n">
        <v>45562</v>
      </c>
      <c r="C327" s="1" t="n">
        <v>45999</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8408-2022</t>
        </is>
      </c>
      <c r="B328" s="1" t="n">
        <v>44610</v>
      </c>
      <c r="C328" s="1" t="n">
        <v>45999</v>
      </c>
      <c r="D328" t="inlineStr">
        <is>
          <t>VÄRMLANDS LÄN</t>
        </is>
      </c>
      <c r="E328" t="inlineStr">
        <is>
          <t>ÅRJÄNG</t>
        </is>
      </c>
      <c r="G328" t="n">
        <v>3.9</v>
      </c>
      <c r="H328" t="n">
        <v>0</v>
      </c>
      <c r="I328" t="n">
        <v>0</v>
      </c>
      <c r="J328" t="n">
        <v>0</v>
      </c>
      <c r="K328" t="n">
        <v>0</v>
      </c>
      <c r="L328" t="n">
        <v>0</v>
      </c>
      <c r="M328" t="n">
        <v>0</v>
      </c>
      <c r="N328" t="n">
        <v>0</v>
      </c>
      <c r="O328" t="n">
        <v>0</v>
      </c>
      <c r="P328" t="n">
        <v>0</v>
      </c>
      <c r="Q328" t="n">
        <v>0</v>
      </c>
      <c r="R328" s="2" t="inlineStr"/>
    </row>
    <row r="329" ht="15" customHeight="1">
      <c r="A329" t="inlineStr">
        <is>
          <t>A 540-2024</t>
        </is>
      </c>
      <c r="B329" s="1" t="n">
        <v>45299</v>
      </c>
      <c r="C329" s="1" t="n">
        <v>45999</v>
      </c>
      <c r="D329" t="inlineStr">
        <is>
          <t>VÄRMLANDS LÄN</t>
        </is>
      </c>
      <c r="E329" t="inlineStr">
        <is>
          <t>ÅRJÄNG</t>
        </is>
      </c>
      <c r="F329" t="inlineStr">
        <is>
          <t>Kyrkan</t>
        </is>
      </c>
      <c r="G329" t="n">
        <v>7</v>
      </c>
      <c r="H329" t="n">
        <v>0</v>
      </c>
      <c r="I329" t="n">
        <v>0</v>
      </c>
      <c r="J329" t="n">
        <v>0</v>
      </c>
      <c r="K329" t="n">
        <v>0</v>
      </c>
      <c r="L329" t="n">
        <v>0</v>
      </c>
      <c r="M329" t="n">
        <v>0</v>
      </c>
      <c r="N329" t="n">
        <v>0</v>
      </c>
      <c r="O329" t="n">
        <v>0</v>
      </c>
      <c r="P329" t="n">
        <v>0</v>
      </c>
      <c r="Q329" t="n">
        <v>0</v>
      </c>
      <c r="R329" s="2" t="inlineStr"/>
    </row>
    <row r="330" ht="15" customHeight="1">
      <c r="A330" t="inlineStr">
        <is>
          <t>A 19410-2024</t>
        </is>
      </c>
      <c r="B330" s="1" t="n">
        <v>45429</v>
      </c>
      <c r="C330" s="1" t="n">
        <v>45999</v>
      </c>
      <c r="D330" t="inlineStr">
        <is>
          <t>VÄRMLANDS LÄN</t>
        </is>
      </c>
      <c r="E330" t="inlineStr">
        <is>
          <t>ÅRJÄNG</t>
        </is>
      </c>
      <c r="G330" t="n">
        <v>7.9</v>
      </c>
      <c r="H330" t="n">
        <v>0</v>
      </c>
      <c r="I330" t="n">
        <v>0</v>
      </c>
      <c r="J330" t="n">
        <v>0</v>
      </c>
      <c r="K330" t="n">
        <v>0</v>
      </c>
      <c r="L330" t="n">
        <v>0</v>
      </c>
      <c r="M330" t="n">
        <v>0</v>
      </c>
      <c r="N330" t="n">
        <v>0</v>
      </c>
      <c r="O330" t="n">
        <v>0</v>
      </c>
      <c r="P330" t="n">
        <v>0</v>
      </c>
      <c r="Q330" t="n">
        <v>0</v>
      </c>
      <c r="R330" s="2" t="inlineStr"/>
    </row>
    <row r="331" ht="15" customHeight="1">
      <c r="A331" t="inlineStr">
        <is>
          <t>A 23048-2024</t>
        </is>
      </c>
      <c r="B331" s="1" t="n">
        <v>45450.42488425926</v>
      </c>
      <c r="C331" s="1" t="n">
        <v>45999</v>
      </c>
      <c r="D331" t="inlineStr">
        <is>
          <t>VÄRMLANDS LÄN</t>
        </is>
      </c>
      <c r="E331" t="inlineStr">
        <is>
          <t>ÅRJÄNG</t>
        </is>
      </c>
      <c r="G331" t="n">
        <v>2.2</v>
      </c>
      <c r="H331" t="n">
        <v>0</v>
      </c>
      <c r="I331" t="n">
        <v>0</v>
      </c>
      <c r="J331" t="n">
        <v>0</v>
      </c>
      <c r="K331" t="n">
        <v>0</v>
      </c>
      <c r="L331" t="n">
        <v>0</v>
      </c>
      <c r="M331" t="n">
        <v>0</v>
      </c>
      <c r="N331" t="n">
        <v>0</v>
      </c>
      <c r="O331" t="n">
        <v>0</v>
      </c>
      <c r="P331" t="n">
        <v>0</v>
      </c>
      <c r="Q331" t="n">
        <v>0</v>
      </c>
      <c r="R331" s="2" t="inlineStr"/>
    </row>
    <row r="332" ht="15" customHeight="1">
      <c r="A332" t="inlineStr">
        <is>
          <t>A 23051-2024</t>
        </is>
      </c>
      <c r="B332" s="1" t="n">
        <v>45450.42902777778</v>
      </c>
      <c r="C332" s="1" t="n">
        <v>45999</v>
      </c>
      <c r="D332" t="inlineStr">
        <is>
          <t>VÄRMLANDS LÄN</t>
        </is>
      </c>
      <c r="E332" t="inlineStr">
        <is>
          <t>ÅRJÄNG</t>
        </is>
      </c>
      <c r="G332" t="n">
        <v>2.4</v>
      </c>
      <c r="H332" t="n">
        <v>0</v>
      </c>
      <c r="I332" t="n">
        <v>0</v>
      </c>
      <c r="J332" t="n">
        <v>0</v>
      </c>
      <c r="K332" t="n">
        <v>0</v>
      </c>
      <c r="L332" t="n">
        <v>0</v>
      </c>
      <c r="M332" t="n">
        <v>0</v>
      </c>
      <c r="N332" t="n">
        <v>0</v>
      </c>
      <c r="O332" t="n">
        <v>0</v>
      </c>
      <c r="P332" t="n">
        <v>0</v>
      </c>
      <c r="Q332" t="n">
        <v>0</v>
      </c>
      <c r="R332" s="2" t="inlineStr"/>
    </row>
    <row r="333" ht="15" customHeight="1">
      <c r="A333" t="inlineStr">
        <is>
          <t>A 37325-2024</t>
        </is>
      </c>
      <c r="B333" s="1" t="n">
        <v>45540</v>
      </c>
      <c r="C333" s="1" t="n">
        <v>45999</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12659-2025</t>
        </is>
      </c>
      <c r="B334" s="1" t="n">
        <v>45733.42350694445</v>
      </c>
      <c r="C334" s="1" t="n">
        <v>45999</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26259-2024</t>
        </is>
      </c>
      <c r="B335" s="1" t="n">
        <v>45468</v>
      </c>
      <c r="C335" s="1" t="n">
        <v>45999</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58788-2024</t>
        </is>
      </c>
      <c r="B336" s="1" t="n">
        <v>45635.96372685185</v>
      </c>
      <c r="C336" s="1" t="n">
        <v>45999</v>
      </c>
      <c r="D336" t="inlineStr">
        <is>
          <t>VÄRMLANDS LÄN</t>
        </is>
      </c>
      <c r="E336" t="inlineStr">
        <is>
          <t>ÅRJÄNG</t>
        </is>
      </c>
      <c r="G336" t="n">
        <v>12.4</v>
      </c>
      <c r="H336" t="n">
        <v>0</v>
      </c>
      <c r="I336" t="n">
        <v>0</v>
      </c>
      <c r="J336" t="n">
        <v>0</v>
      </c>
      <c r="K336" t="n">
        <v>0</v>
      </c>
      <c r="L336" t="n">
        <v>0</v>
      </c>
      <c r="M336" t="n">
        <v>0</v>
      </c>
      <c r="N336" t="n">
        <v>0</v>
      </c>
      <c r="O336" t="n">
        <v>0</v>
      </c>
      <c r="P336" t="n">
        <v>0</v>
      </c>
      <c r="Q336" t="n">
        <v>0</v>
      </c>
      <c r="R336" s="2" t="inlineStr"/>
    </row>
    <row r="337" ht="15" customHeight="1">
      <c r="A337" t="inlineStr">
        <is>
          <t>A 60377-2023</t>
        </is>
      </c>
      <c r="B337" s="1" t="n">
        <v>45259.40993055556</v>
      </c>
      <c r="C337" s="1" t="n">
        <v>45999</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57062-2022</t>
        </is>
      </c>
      <c r="B338" s="1" t="n">
        <v>44895.40797453704</v>
      </c>
      <c r="C338" s="1" t="n">
        <v>45999</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24893-2024</t>
        </is>
      </c>
      <c r="B339" s="1" t="n">
        <v>45461.57194444445</v>
      </c>
      <c r="C339" s="1" t="n">
        <v>45999</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34032-2021</t>
        </is>
      </c>
      <c r="B340" s="1" t="n">
        <v>44378</v>
      </c>
      <c r="C340" s="1" t="n">
        <v>45999</v>
      </c>
      <c r="D340" t="inlineStr">
        <is>
          <t>VÄRMLANDS LÄN</t>
        </is>
      </c>
      <c r="E340" t="inlineStr">
        <is>
          <t>ÅRJÄNG</t>
        </is>
      </c>
      <c r="F340" t="inlineStr">
        <is>
          <t>Övriga Aktiebolag</t>
        </is>
      </c>
      <c r="G340" t="n">
        <v>1.4</v>
      </c>
      <c r="H340" t="n">
        <v>0</v>
      </c>
      <c r="I340" t="n">
        <v>0</v>
      </c>
      <c r="J340" t="n">
        <v>0</v>
      </c>
      <c r="K340" t="n">
        <v>0</v>
      </c>
      <c r="L340" t="n">
        <v>0</v>
      </c>
      <c r="M340" t="n">
        <v>0</v>
      </c>
      <c r="N340" t="n">
        <v>0</v>
      </c>
      <c r="O340" t="n">
        <v>0</v>
      </c>
      <c r="P340" t="n">
        <v>0</v>
      </c>
      <c r="Q340" t="n">
        <v>0</v>
      </c>
      <c r="R340" s="2" t="inlineStr"/>
    </row>
    <row r="341" ht="15" customHeight="1">
      <c r="A341" t="inlineStr">
        <is>
          <t>A 50537-2023</t>
        </is>
      </c>
      <c r="B341" s="1" t="n">
        <v>45217</v>
      </c>
      <c r="C341" s="1" t="n">
        <v>45999</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43027-2021</t>
        </is>
      </c>
      <c r="B342" s="1" t="n">
        <v>44431.49119212963</v>
      </c>
      <c r="C342" s="1" t="n">
        <v>45999</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23334-2023</t>
        </is>
      </c>
      <c r="B343" s="1" t="n">
        <v>45076</v>
      </c>
      <c r="C343" s="1" t="n">
        <v>45999</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387-2021</t>
        </is>
      </c>
      <c r="B344" s="1" t="n">
        <v>44201</v>
      </c>
      <c r="C344" s="1" t="n">
        <v>45999</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24281-2024</t>
        </is>
      </c>
      <c r="B345" s="1" t="n">
        <v>45457</v>
      </c>
      <c r="C345" s="1" t="n">
        <v>45999</v>
      </c>
      <c r="D345" t="inlineStr">
        <is>
          <t>VÄRMLANDS LÄN</t>
        </is>
      </c>
      <c r="E345" t="inlineStr">
        <is>
          <t>ÅRJÄNG</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21081-2023</t>
        </is>
      </c>
      <c r="B346" s="1" t="n">
        <v>45057</v>
      </c>
      <c r="C346" s="1" t="n">
        <v>45999</v>
      </c>
      <c r="D346" t="inlineStr">
        <is>
          <t>VÄRMLANDS LÄN</t>
        </is>
      </c>
      <c r="E346" t="inlineStr">
        <is>
          <t>ÅRJÄNG</t>
        </is>
      </c>
      <c r="G346" t="n">
        <v>5.1</v>
      </c>
      <c r="H346" t="n">
        <v>0</v>
      </c>
      <c r="I346" t="n">
        <v>0</v>
      </c>
      <c r="J346" t="n">
        <v>0</v>
      </c>
      <c r="K346" t="n">
        <v>0</v>
      </c>
      <c r="L346" t="n">
        <v>0</v>
      </c>
      <c r="M346" t="n">
        <v>0</v>
      </c>
      <c r="N346" t="n">
        <v>0</v>
      </c>
      <c r="O346" t="n">
        <v>0</v>
      </c>
      <c r="P346" t="n">
        <v>0</v>
      </c>
      <c r="Q346" t="n">
        <v>0</v>
      </c>
      <c r="R346" s="2" t="inlineStr"/>
    </row>
    <row r="347" ht="15" customHeight="1">
      <c r="A347" t="inlineStr">
        <is>
          <t>A 37353-2024</t>
        </is>
      </c>
      <c r="B347" s="1" t="n">
        <v>45540</v>
      </c>
      <c r="C347" s="1" t="n">
        <v>45999</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12352-2021</t>
        </is>
      </c>
      <c r="B348" s="1" t="n">
        <v>44267.44386574074</v>
      </c>
      <c r="C348" s="1" t="n">
        <v>45999</v>
      </c>
      <c r="D348" t="inlineStr">
        <is>
          <t>VÄRMLANDS LÄN</t>
        </is>
      </c>
      <c r="E348" t="inlineStr">
        <is>
          <t>ÅRJÄNG</t>
        </is>
      </c>
      <c r="G348" t="n">
        <v>7.1</v>
      </c>
      <c r="H348" t="n">
        <v>0</v>
      </c>
      <c r="I348" t="n">
        <v>0</v>
      </c>
      <c r="J348" t="n">
        <v>0</v>
      </c>
      <c r="K348" t="n">
        <v>0</v>
      </c>
      <c r="L348" t="n">
        <v>0</v>
      </c>
      <c r="M348" t="n">
        <v>0</v>
      </c>
      <c r="N348" t="n">
        <v>0</v>
      </c>
      <c r="O348" t="n">
        <v>0</v>
      </c>
      <c r="P348" t="n">
        <v>0</v>
      </c>
      <c r="Q348" t="n">
        <v>0</v>
      </c>
      <c r="R348" s="2" t="inlineStr"/>
    </row>
    <row r="349" ht="15" customHeight="1">
      <c r="A349" t="inlineStr">
        <is>
          <t>A 54425-2021</t>
        </is>
      </c>
      <c r="B349" s="1" t="n">
        <v>44459</v>
      </c>
      <c r="C349" s="1" t="n">
        <v>45999</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23216-2023</t>
        </is>
      </c>
      <c r="B350" s="1" t="n">
        <v>45075</v>
      </c>
      <c r="C350" s="1" t="n">
        <v>45999</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58436-2023</t>
        </is>
      </c>
      <c r="B351" s="1" t="n">
        <v>45250</v>
      </c>
      <c r="C351" s="1" t="n">
        <v>45999</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74086-2021</t>
        </is>
      </c>
      <c r="B352" s="1" t="n">
        <v>44557.58112268519</v>
      </c>
      <c r="C352" s="1" t="n">
        <v>45999</v>
      </c>
      <c r="D352" t="inlineStr">
        <is>
          <t>VÄRMLANDS LÄN</t>
        </is>
      </c>
      <c r="E352" t="inlineStr">
        <is>
          <t>ÅRJÄNG</t>
        </is>
      </c>
      <c r="G352" t="n">
        <v>3.6</v>
      </c>
      <c r="H352" t="n">
        <v>0</v>
      </c>
      <c r="I352" t="n">
        <v>0</v>
      </c>
      <c r="J352" t="n">
        <v>0</v>
      </c>
      <c r="K352" t="n">
        <v>0</v>
      </c>
      <c r="L352" t="n">
        <v>0</v>
      </c>
      <c r="M352" t="n">
        <v>0</v>
      </c>
      <c r="N352" t="n">
        <v>0</v>
      </c>
      <c r="O352" t="n">
        <v>0</v>
      </c>
      <c r="P352" t="n">
        <v>0</v>
      </c>
      <c r="Q352" t="n">
        <v>0</v>
      </c>
      <c r="R352" s="2" t="inlineStr"/>
    </row>
    <row r="353" ht="15" customHeight="1">
      <c r="A353" t="inlineStr">
        <is>
          <t>A 62261-2023</t>
        </is>
      </c>
      <c r="B353" s="1" t="n">
        <v>45266</v>
      </c>
      <c r="C353" s="1" t="n">
        <v>45999</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49641-2021</t>
        </is>
      </c>
      <c r="B354" s="1" t="n">
        <v>44455.44327546296</v>
      </c>
      <c r="C354" s="1" t="n">
        <v>45999</v>
      </c>
      <c r="D354" t="inlineStr">
        <is>
          <t>VÄRMLANDS LÄN</t>
        </is>
      </c>
      <c r="E354" t="inlineStr">
        <is>
          <t>ÅRJÄNG</t>
        </is>
      </c>
      <c r="G354" t="n">
        <v>3.2</v>
      </c>
      <c r="H354" t="n">
        <v>0</v>
      </c>
      <c r="I354" t="n">
        <v>0</v>
      </c>
      <c r="J354" t="n">
        <v>0</v>
      </c>
      <c r="K354" t="n">
        <v>0</v>
      </c>
      <c r="L354" t="n">
        <v>0</v>
      </c>
      <c r="M354" t="n">
        <v>0</v>
      </c>
      <c r="N354" t="n">
        <v>0</v>
      </c>
      <c r="O354" t="n">
        <v>0</v>
      </c>
      <c r="P354" t="n">
        <v>0</v>
      </c>
      <c r="Q354" t="n">
        <v>0</v>
      </c>
      <c r="R354" s="2" t="inlineStr"/>
    </row>
    <row r="355" ht="15" customHeight="1">
      <c r="A355" t="inlineStr">
        <is>
          <t>A 42783-2024</t>
        </is>
      </c>
      <c r="B355" s="1" t="n">
        <v>45566</v>
      </c>
      <c r="C355" s="1" t="n">
        <v>45999</v>
      </c>
      <c r="D355" t="inlineStr">
        <is>
          <t>VÄRMLANDS LÄN</t>
        </is>
      </c>
      <c r="E355" t="inlineStr">
        <is>
          <t>ÅRJÄNG</t>
        </is>
      </c>
      <c r="G355" t="n">
        <v>2.1</v>
      </c>
      <c r="H355" t="n">
        <v>0</v>
      </c>
      <c r="I355" t="n">
        <v>0</v>
      </c>
      <c r="J355" t="n">
        <v>0</v>
      </c>
      <c r="K355" t="n">
        <v>0</v>
      </c>
      <c r="L355" t="n">
        <v>0</v>
      </c>
      <c r="M355" t="n">
        <v>0</v>
      </c>
      <c r="N355" t="n">
        <v>0</v>
      </c>
      <c r="O355" t="n">
        <v>0</v>
      </c>
      <c r="P355" t="n">
        <v>0</v>
      </c>
      <c r="Q355" t="n">
        <v>0</v>
      </c>
      <c r="R355" s="2" t="inlineStr"/>
    </row>
    <row r="356" ht="15" customHeight="1">
      <c r="A356" t="inlineStr">
        <is>
          <t>A 36706-2024</t>
        </is>
      </c>
      <c r="B356" s="1" t="n">
        <v>45537</v>
      </c>
      <c r="C356" s="1" t="n">
        <v>45999</v>
      </c>
      <c r="D356" t="inlineStr">
        <is>
          <t>VÄRMLANDS LÄN</t>
        </is>
      </c>
      <c r="E356" t="inlineStr">
        <is>
          <t>ÅRJÄNG</t>
        </is>
      </c>
      <c r="G356" t="n">
        <v>5.3</v>
      </c>
      <c r="H356" t="n">
        <v>0</v>
      </c>
      <c r="I356" t="n">
        <v>0</v>
      </c>
      <c r="J356" t="n">
        <v>0</v>
      </c>
      <c r="K356" t="n">
        <v>0</v>
      </c>
      <c r="L356" t="n">
        <v>0</v>
      </c>
      <c r="M356" t="n">
        <v>0</v>
      </c>
      <c r="N356" t="n">
        <v>0</v>
      </c>
      <c r="O356" t="n">
        <v>0</v>
      </c>
      <c r="P356" t="n">
        <v>0</v>
      </c>
      <c r="Q356" t="n">
        <v>0</v>
      </c>
      <c r="R356" s="2" t="inlineStr"/>
    </row>
    <row r="357" ht="15" customHeight="1">
      <c r="A357" t="inlineStr">
        <is>
          <t>A 32338-2024</t>
        </is>
      </c>
      <c r="B357" s="1" t="n">
        <v>45512</v>
      </c>
      <c r="C357" s="1" t="n">
        <v>45999</v>
      </c>
      <c r="D357" t="inlineStr">
        <is>
          <t>VÄRMLANDS LÄN</t>
        </is>
      </c>
      <c r="E357" t="inlineStr">
        <is>
          <t>ÅRJÄNG</t>
        </is>
      </c>
      <c r="G357" t="n">
        <v>2.1</v>
      </c>
      <c r="H357" t="n">
        <v>0</v>
      </c>
      <c r="I357" t="n">
        <v>0</v>
      </c>
      <c r="J357" t="n">
        <v>0</v>
      </c>
      <c r="K357" t="n">
        <v>0</v>
      </c>
      <c r="L357" t="n">
        <v>0</v>
      </c>
      <c r="M357" t="n">
        <v>0</v>
      </c>
      <c r="N357" t="n">
        <v>0</v>
      </c>
      <c r="O357" t="n">
        <v>0</v>
      </c>
      <c r="P357" t="n">
        <v>0</v>
      </c>
      <c r="Q357" t="n">
        <v>0</v>
      </c>
      <c r="R357" s="2" t="inlineStr"/>
    </row>
    <row r="358" ht="15" customHeight="1">
      <c r="A358" t="inlineStr">
        <is>
          <t>A 5863-2023</t>
        </is>
      </c>
      <c r="B358" s="1" t="n">
        <v>44963</v>
      </c>
      <c r="C358" s="1" t="n">
        <v>45999</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13155-2024</t>
        </is>
      </c>
      <c r="B359" s="1" t="n">
        <v>45386</v>
      </c>
      <c r="C359" s="1" t="n">
        <v>45999</v>
      </c>
      <c r="D359" t="inlineStr">
        <is>
          <t>VÄRMLANDS LÄN</t>
        </is>
      </c>
      <c r="E359" t="inlineStr">
        <is>
          <t>ÅRJÄNG</t>
        </is>
      </c>
      <c r="G359" t="n">
        <v>2.2</v>
      </c>
      <c r="H359" t="n">
        <v>0</v>
      </c>
      <c r="I359" t="n">
        <v>0</v>
      </c>
      <c r="J359" t="n">
        <v>0</v>
      </c>
      <c r="K359" t="n">
        <v>0</v>
      </c>
      <c r="L359" t="n">
        <v>0</v>
      </c>
      <c r="M359" t="n">
        <v>0</v>
      </c>
      <c r="N359" t="n">
        <v>0</v>
      </c>
      <c r="O359" t="n">
        <v>0</v>
      </c>
      <c r="P359" t="n">
        <v>0</v>
      </c>
      <c r="Q359" t="n">
        <v>0</v>
      </c>
      <c r="R359" s="2" t="inlineStr"/>
    </row>
    <row r="360" ht="15" customHeight="1">
      <c r="A360" t="inlineStr">
        <is>
          <t>A 13869-2025</t>
        </is>
      </c>
      <c r="B360" s="1" t="n">
        <v>45737.58268518518</v>
      </c>
      <c r="C360" s="1" t="n">
        <v>45999</v>
      </c>
      <c r="D360" t="inlineStr">
        <is>
          <t>VÄRMLANDS LÄN</t>
        </is>
      </c>
      <c r="E360" t="inlineStr">
        <is>
          <t>ÅRJÄNG</t>
        </is>
      </c>
      <c r="G360" t="n">
        <v>0.5</v>
      </c>
      <c r="H360" t="n">
        <v>0</v>
      </c>
      <c r="I360" t="n">
        <v>0</v>
      </c>
      <c r="J360" t="n">
        <v>0</v>
      </c>
      <c r="K360" t="n">
        <v>0</v>
      </c>
      <c r="L360" t="n">
        <v>0</v>
      </c>
      <c r="M360" t="n">
        <v>0</v>
      </c>
      <c r="N360" t="n">
        <v>0</v>
      </c>
      <c r="O360" t="n">
        <v>0</v>
      </c>
      <c r="P360" t="n">
        <v>0</v>
      </c>
      <c r="Q360" t="n">
        <v>0</v>
      </c>
      <c r="R360" s="2" t="inlineStr"/>
    </row>
    <row r="361" ht="15" customHeight="1">
      <c r="A361" t="inlineStr">
        <is>
          <t>A 26284-2021</t>
        </is>
      </c>
      <c r="B361" s="1" t="n">
        <v>44347</v>
      </c>
      <c r="C361" s="1" t="n">
        <v>45999</v>
      </c>
      <c r="D361" t="inlineStr">
        <is>
          <t>VÄRMLANDS LÄN</t>
        </is>
      </c>
      <c r="E361" t="inlineStr">
        <is>
          <t>ÅRJÄNG</t>
        </is>
      </c>
      <c r="G361" t="n">
        <v>0.8</v>
      </c>
      <c r="H361" t="n">
        <v>0</v>
      </c>
      <c r="I361" t="n">
        <v>0</v>
      </c>
      <c r="J361" t="n">
        <v>0</v>
      </c>
      <c r="K361" t="n">
        <v>0</v>
      </c>
      <c r="L361" t="n">
        <v>0</v>
      </c>
      <c r="M361" t="n">
        <v>0</v>
      </c>
      <c r="N361" t="n">
        <v>0</v>
      </c>
      <c r="O361" t="n">
        <v>0</v>
      </c>
      <c r="P361" t="n">
        <v>0</v>
      </c>
      <c r="Q361" t="n">
        <v>0</v>
      </c>
      <c r="R361" s="2" t="inlineStr"/>
    </row>
    <row r="362" ht="15" customHeight="1">
      <c r="A362" t="inlineStr">
        <is>
          <t>A 49701-2022</t>
        </is>
      </c>
      <c r="B362" s="1" t="n">
        <v>44862.53201388889</v>
      </c>
      <c r="C362" s="1" t="n">
        <v>45999</v>
      </c>
      <c r="D362" t="inlineStr">
        <is>
          <t>VÄRMLANDS LÄN</t>
        </is>
      </c>
      <c r="E362" t="inlineStr">
        <is>
          <t>ÅRJÄNG</t>
        </is>
      </c>
      <c r="G362" t="n">
        <v>2.3</v>
      </c>
      <c r="H362" t="n">
        <v>0</v>
      </c>
      <c r="I362" t="n">
        <v>0</v>
      </c>
      <c r="J362" t="n">
        <v>0</v>
      </c>
      <c r="K362" t="n">
        <v>0</v>
      </c>
      <c r="L362" t="n">
        <v>0</v>
      </c>
      <c r="M362" t="n">
        <v>0</v>
      </c>
      <c r="N362" t="n">
        <v>0</v>
      </c>
      <c r="O362" t="n">
        <v>0</v>
      </c>
      <c r="P362" t="n">
        <v>0</v>
      </c>
      <c r="Q362" t="n">
        <v>0</v>
      </c>
      <c r="R362" s="2" t="inlineStr"/>
    </row>
    <row r="363" ht="15" customHeight="1">
      <c r="A363" t="inlineStr">
        <is>
          <t>A 16562-2024</t>
        </is>
      </c>
      <c r="B363" s="1" t="n">
        <v>45408.45829861111</v>
      </c>
      <c r="C363" s="1" t="n">
        <v>45999</v>
      </c>
      <c r="D363" t="inlineStr">
        <is>
          <t>VÄRMLANDS LÄN</t>
        </is>
      </c>
      <c r="E363" t="inlineStr">
        <is>
          <t>ÅRJÄNG</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74463-2021</t>
        </is>
      </c>
      <c r="B364" s="1" t="n">
        <v>44560.5255787037</v>
      </c>
      <c r="C364" s="1" t="n">
        <v>45999</v>
      </c>
      <c r="D364" t="inlineStr">
        <is>
          <t>VÄRMLANDS LÄN</t>
        </is>
      </c>
      <c r="E364" t="inlineStr">
        <is>
          <t>ÅRJÄNG</t>
        </is>
      </c>
      <c r="G364" t="n">
        <v>1</v>
      </c>
      <c r="H364" t="n">
        <v>0</v>
      </c>
      <c r="I364" t="n">
        <v>0</v>
      </c>
      <c r="J364" t="n">
        <v>0</v>
      </c>
      <c r="K364" t="n">
        <v>0</v>
      </c>
      <c r="L364" t="n">
        <v>0</v>
      </c>
      <c r="M364" t="n">
        <v>0</v>
      </c>
      <c r="N364" t="n">
        <v>0</v>
      </c>
      <c r="O364" t="n">
        <v>0</v>
      </c>
      <c r="P364" t="n">
        <v>0</v>
      </c>
      <c r="Q364" t="n">
        <v>0</v>
      </c>
      <c r="R364" s="2" t="inlineStr"/>
    </row>
    <row r="365" ht="15" customHeight="1">
      <c r="A365" t="inlineStr">
        <is>
          <t>A 62963-2023</t>
        </is>
      </c>
      <c r="B365" s="1" t="n">
        <v>45271</v>
      </c>
      <c r="C365" s="1" t="n">
        <v>45999</v>
      </c>
      <c r="D365" t="inlineStr">
        <is>
          <t>VÄRMLANDS LÄN</t>
        </is>
      </c>
      <c r="E365" t="inlineStr">
        <is>
          <t>ÅRJÄNG</t>
        </is>
      </c>
      <c r="G365" t="n">
        <v>0.5</v>
      </c>
      <c r="H365" t="n">
        <v>0</v>
      </c>
      <c r="I365" t="n">
        <v>0</v>
      </c>
      <c r="J365" t="n">
        <v>0</v>
      </c>
      <c r="K365" t="n">
        <v>0</v>
      </c>
      <c r="L365" t="n">
        <v>0</v>
      </c>
      <c r="M365" t="n">
        <v>0</v>
      </c>
      <c r="N365" t="n">
        <v>0</v>
      </c>
      <c r="O365" t="n">
        <v>0</v>
      </c>
      <c r="P365" t="n">
        <v>0</v>
      </c>
      <c r="Q365" t="n">
        <v>0</v>
      </c>
      <c r="R365" s="2" t="inlineStr"/>
    </row>
    <row r="366" ht="15" customHeight="1">
      <c r="A366" t="inlineStr">
        <is>
          <t>A 59479-2024</t>
        </is>
      </c>
      <c r="B366" s="1" t="n">
        <v>45638.52420138889</v>
      </c>
      <c r="C366" s="1" t="n">
        <v>45999</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34144-2022</t>
        </is>
      </c>
      <c r="B367" s="1" t="n">
        <v>44791.55983796297</v>
      </c>
      <c r="C367" s="1" t="n">
        <v>45999</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27045-2021</t>
        </is>
      </c>
      <c r="B368" s="1" t="n">
        <v>44350.43223379629</v>
      </c>
      <c r="C368" s="1" t="n">
        <v>45999</v>
      </c>
      <c r="D368" t="inlineStr">
        <is>
          <t>VÄRMLANDS LÄN</t>
        </is>
      </c>
      <c r="E368" t="inlineStr">
        <is>
          <t>ÅRJÄNG</t>
        </is>
      </c>
      <c r="G368" t="n">
        <v>2</v>
      </c>
      <c r="H368" t="n">
        <v>0</v>
      </c>
      <c r="I368" t="n">
        <v>0</v>
      </c>
      <c r="J368" t="n">
        <v>0</v>
      </c>
      <c r="K368" t="n">
        <v>0</v>
      </c>
      <c r="L368" t="n">
        <v>0</v>
      </c>
      <c r="M368" t="n">
        <v>0</v>
      </c>
      <c r="N368" t="n">
        <v>0</v>
      </c>
      <c r="O368" t="n">
        <v>0</v>
      </c>
      <c r="P368" t="n">
        <v>0</v>
      </c>
      <c r="Q368" t="n">
        <v>0</v>
      </c>
      <c r="R368" s="2" t="inlineStr"/>
    </row>
    <row r="369" ht="15" customHeight="1">
      <c r="A369" t="inlineStr">
        <is>
          <t>A 60172-2023</t>
        </is>
      </c>
      <c r="B369" s="1" t="n">
        <v>45257</v>
      </c>
      <c r="C369" s="1" t="n">
        <v>45999</v>
      </c>
      <c r="D369" t="inlineStr">
        <is>
          <t>VÄRMLANDS LÄN</t>
        </is>
      </c>
      <c r="E369" t="inlineStr">
        <is>
          <t>ÅRJÄNG</t>
        </is>
      </c>
      <c r="G369" t="n">
        <v>2.1</v>
      </c>
      <c r="H369" t="n">
        <v>0</v>
      </c>
      <c r="I369" t="n">
        <v>0</v>
      </c>
      <c r="J369" t="n">
        <v>0</v>
      </c>
      <c r="K369" t="n">
        <v>0</v>
      </c>
      <c r="L369" t="n">
        <v>0</v>
      </c>
      <c r="M369" t="n">
        <v>0</v>
      </c>
      <c r="N369" t="n">
        <v>0</v>
      </c>
      <c r="O369" t="n">
        <v>0</v>
      </c>
      <c r="P369" t="n">
        <v>0</v>
      </c>
      <c r="Q369" t="n">
        <v>0</v>
      </c>
      <c r="R369" s="2" t="inlineStr"/>
    </row>
    <row r="370" ht="15" customHeight="1">
      <c r="A370" t="inlineStr">
        <is>
          <t>A 92-2022</t>
        </is>
      </c>
      <c r="B370" s="1" t="n">
        <v>44564</v>
      </c>
      <c r="C370" s="1" t="n">
        <v>45999</v>
      </c>
      <c r="D370" t="inlineStr">
        <is>
          <t>VÄRMLANDS LÄN</t>
        </is>
      </c>
      <c r="E370" t="inlineStr">
        <is>
          <t>ÅRJÄNG</t>
        </is>
      </c>
      <c r="G370" t="n">
        <v>10.4</v>
      </c>
      <c r="H370" t="n">
        <v>0</v>
      </c>
      <c r="I370" t="n">
        <v>0</v>
      </c>
      <c r="J370" t="n">
        <v>0</v>
      </c>
      <c r="K370" t="n">
        <v>0</v>
      </c>
      <c r="L370" t="n">
        <v>0</v>
      </c>
      <c r="M370" t="n">
        <v>0</v>
      </c>
      <c r="N370" t="n">
        <v>0</v>
      </c>
      <c r="O370" t="n">
        <v>0</v>
      </c>
      <c r="P370" t="n">
        <v>0</v>
      </c>
      <c r="Q370" t="n">
        <v>0</v>
      </c>
      <c r="R370" s="2" t="inlineStr"/>
    </row>
    <row r="371" ht="15" customHeight="1">
      <c r="A371" t="inlineStr">
        <is>
          <t>A 26833-2024</t>
        </is>
      </c>
      <c r="B371" s="1" t="n">
        <v>45470</v>
      </c>
      <c r="C371" s="1" t="n">
        <v>45999</v>
      </c>
      <c r="D371" t="inlineStr">
        <is>
          <t>VÄRMLANDS LÄN</t>
        </is>
      </c>
      <c r="E371" t="inlineStr">
        <is>
          <t>ÅRJÄNG</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23690-2024</t>
        </is>
      </c>
      <c r="B372" s="1" t="n">
        <v>45454.65612268518</v>
      </c>
      <c r="C372" s="1" t="n">
        <v>45999</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61814-2024</t>
        </is>
      </c>
      <c r="B373" s="1" t="n">
        <v>45646</v>
      </c>
      <c r="C373" s="1" t="n">
        <v>45999</v>
      </c>
      <c r="D373" t="inlineStr">
        <is>
          <t>VÄRMLANDS LÄN</t>
        </is>
      </c>
      <c r="E373" t="inlineStr">
        <is>
          <t>ÅRJÄNG</t>
        </is>
      </c>
      <c r="G373" t="n">
        <v>5.3</v>
      </c>
      <c r="H373" t="n">
        <v>0</v>
      </c>
      <c r="I373" t="n">
        <v>0</v>
      </c>
      <c r="J373" t="n">
        <v>0</v>
      </c>
      <c r="K373" t="n">
        <v>0</v>
      </c>
      <c r="L373" t="n">
        <v>0</v>
      </c>
      <c r="M373" t="n">
        <v>0</v>
      </c>
      <c r="N373" t="n">
        <v>0</v>
      </c>
      <c r="O373" t="n">
        <v>0</v>
      </c>
      <c r="P373" t="n">
        <v>0</v>
      </c>
      <c r="Q373" t="n">
        <v>0</v>
      </c>
      <c r="R373" s="2" t="inlineStr"/>
    </row>
    <row r="374" ht="15" customHeight="1">
      <c r="A374" t="inlineStr">
        <is>
          <t>A 57992-2023</t>
        </is>
      </c>
      <c r="B374" s="1" t="n">
        <v>45244</v>
      </c>
      <c r="C374" s="1" t="n">
        <v>45999</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15575-2025</t>
        </is>
      </c>
      <c r="B375" s="1" t="n">
        <v>45747</v>
      </c>
      <c r="C375" s="1" t="n">
        <v>45999</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15577-2025</t>
        </is>
      </c>
      <c r="B376" s="1" t="n">
        <v>45747</v>
      </c>
      <c r="C376" s="1" t="n">
        <v>45999</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23871-2023</t>
        </is>
      </c>
      <c r="B377" s="1" t="n">
        <v>45078</v>
      </c>
      <c r="C377" s="1" t="n">
        <v>45999</v>
      </c>
      <c r="D377" t="inlineStr">
        <is>
          <t>VÄRMLANDS LÄN</t>
        </is>
      </c>
      <c r="E377" t="inlineStr">
        <is>
          <t>ÅRJÄNG</t>
        </is>
      </c>
      <c r="G377" t="n">
        <v>4</v>
      </c>
      <c r="H377" t="n">
        <v>0</v>
      </c>
      <c r="I377" t="n">
        <v>0</v>
      </c>
      <c r="J377" t="n">
        <v>0</v>
      </c>
      <c r="K377" t="n">
        <v>0</v>
      </c>
      <c r="L377" t="n">
        <v>0</v>
      </c>
      <c r="M377" t="n">
        <v>0</v>
      </c>
      <c r="N377" t="n">
        <v>0</v>
      </c>
      <c r="O377" t="n">
        <v>0</v>
      </c>
      <c r="P377" t="n">
        <v>0</v>
      </c>
      <c r="Q377" t="n">
        <v>0</v>
      </c>
      <c r="R377" s="2" t="inlineStr"/>
    </row>
    <row r="378" ht="15" customHeight="1">
      <c r="A378" t="inlineStr">
        <is>
          <t>A 51269-2022</t>
        </is>
      </c>
      <c r="B378" s="1" t="n">
        <v>44868</v>
      </c>
      <c r="C378" s="1" t="n">
        <v>45999</v>
      </c>
      <c r="D378" t="inlineStr">
        <is>
          <t>VÄRMLANDS LÄN</t>
        </is>
      </c>
      <c r="E378" t="inlineStr">
        <is>
          <t>ÅRJÄNG</t>
        </is>
      </c>
      <c r="G378" t="n">
        <v>2.1</v>
      </c>
      <c r="H378" t="n">
        <v>0</v>
      </c>
      <c r="I378" t="n">
        <v>0</v>
      </c>
      <c r="J378" t="n">
        <v>0</v>
      </c>
      <c r="K378" t="n">
        <v>0</v>
      </c>
      <c r="L378" t="n">
        <v>0</v>
      </c>
      <c r="M378" t="n">
        <v>0</v>
      </c>
      <c r="N378" t="n">
        <v>0</v>
      </c>
      <c r="O378" t="n">
        <v>0</v>
      </c>
      <c r="P378" t="n">
        <v>0</v>
      </c>
      <c r="Q378" t="n">
        <v>0</v>
      </c>
      <c r="R378" s="2" t="inlineStr"/>
    </row>
    <row r="379" ht="15" customHeight="1">
      <c r="A379" t="inlineStr">
        <is>
          <t>A 62609-2023</t>
        </is>
      </c>
      <c r="B379" s="1" t="n">
        <v>45267</v>
      </c>
      <c r="C379" s="1" t="n">
        <v>45999</v>
      </c>
      <c r="D379" t="inlineStr">
        <is>
          <t>VÄRMLANDS LÄN</t>
        </is>
      </c>
      <c r="E379" t="inlineStr">
        <is>
          <t>ÅRJÄNG</t>
        </is>
      </c>
      <c r="G379" t="n">
        <v>14.4</v>
      </c>
      <c r="H379" t="n">
        <v>0</v>
      </c>
      <c r="I379" t="n">
        <v>0</v>
      </c>
      <c r="J379" t="n">
        <v>0</v>
      </c>
      <c r="K379" t="n">
        <v>0</v>
      </c>
      <c r="L379" t="n">
        <v>0</v>
      </c>
      <c r="M379" t="n">
        <v>0</v>
      </c>
      <c r="N379" t="n">
        <v>0</v>
      </c>
      <c r="O379" t="n">
        <v>0</v>
      </c>
      <c r="P379" t="n">
        <v>0</v>
      </c>
      <c r="Q379" t="n">
        <v>0</v>
      </c>
      <c r="R379" s="2" t="inlineStr"/>
    </row>
    <row r="380" ht="15" customHeight="1">
      <c r="A380" t="inlineStr">
        <is>
          <t>A 34526-2023</t>
        </is>
      </c>
      <c r="B380" s="1" t="n">
        <v>45140.41518518519</v>
      </c>
      <c r="C380" s="1" t="n">
        <v>45999</v>
      </c>
      <c r="D380" t="inlineStr">
        <is>
          <t>VÄRMLANDS LÄN</t>
        </is>
      </c>
      <c r="E380" t="inlineStr">
        <is>
          <t>ÅRJÄNG</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15237-2025</t>
        </is>
      </c>
      <c r="B381" s="1" t="n">
        <v>45744</v>
      </c>
      <c r="C381" s="1" t="n">
        <v>45999</v>
      </c>
      <c r="D381" t="inlineStr">
        <is>
          <t>VÄRMLANDS LÄN</t>
        </is>
      </c>
      <c r="E381" t="inlineStr">
        <is>
          <t>ÅRJÄNG</t>
        </is>
      </c>
      <c r="G381" t="n">
        <v>29.5</v>
      </c>
      <c r="H381" t="n">
        <v>0</v>
      </c>
      <c r="I381" t="n">
        <v>0</v>
      </c>
      <c r="J381" t="n">
        <v>0</v>
      </c>
      <c r="K381" t="n">
        <v>0</v>
      </c>
      <c r="L381" t="n">
        <v>0</v>
      </c>
      <c r="M381" t="n">
        <v>0</v>
      </c>
      <c r="N381" t="n">
        <v>0</v>
      </c>
      <c r="O381" t="n">
        <v>0</v>
      </c>
      <c r="P381" t="n">
        <v>0</v>
      </c>
      <c r="Q381" t="n">
        <v>0</v>
      </c>
      <c r="R381" s="2" t="inlineStr"/>
    </row>
    <row r="382" ht="15" customHeight="1">
      <c r="A382" t="inlineStr">
        <is>
          <t>A 50388-2024</t>
        </is>
      </c>
      <c r="B382" s="1" t="n">
        <v>45600</v>
      </c>
      <c r="C382" s="1" t="n">
        <v>45999</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24339-2024</t>
        </is>
      </c>
      <c r="B383" s="1" t="n">
        <v>45457</v>
      </c>
      <c r="C383" s="1" t="n">
        <v>45999</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6354-2024</t>
        </is>
      </c>
      <c r="B384" s="1" t="n">
        <v>45338.46987268519</v>
      </c>
      <c r="C384" s="1" t="n">
        <v>45999</v>
      </c>
      <c r="D384" t="inlineStr">
        <is>
          <t>VÄRMLANDS LÄN</t>
        </is>
      </c>
      <c r="E384" t="inlineStr">
        <is>
          <t>ÅRJÄNG</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58141-2023</t>
        </is>
      </c>
      <c r="B385" s="1" t="n">
        <v>45245</v>
      </c>
      <c r="C385" s="1" t="n">
        <v>45999</v>
      </c>
      <c r="D385" t="inlineStr">
        <is>
          <t>VÄRMLANDS LÄN</t>
        </is>
      </c>
      <c r="E385" t="inlineStr">
        <is>
          <t>ÅRJÄNG</t>
        </is>
      </c>
      <c r="G385" t="n">
        <v>6.2</v>
      </c>
      <c r="H385" t="n">
        <v>0</v>
      </c>
      <c r="I385" t="n">
        <v>0</v>
      </c>
      <c r="J385" t="n">
        <v>0</v>
      </c>
      <c r="K385" t="n">
        <v>0</v>
      </c>
      <c r="L385" t="n">
        <v>0</v>
      </c>
      <c r="M385" t="n">
        <v>0</v>
      </c>
      <c r="N385" t="n">
        <v>0</v>
      </c>
      <c r="O385" t="n">
        <v>0</v>
      </c>
      <c r="P385" t="n">
        <v>0</v>
      </c>
      <c r="Q385" t="n">
        <v>0</v>
      </c>
      <c r="R385" s="2" t="inlineStr"/>
    </row>
    <row r="386" ht="15" customHeight="1">
      <c r="A386" t="inlineStr">
        <is>
          <t>A 27138-2024</t>
        </is>
      </c>
      <c r="B386" s="1" t="n">
        <v>45471</v>
      </c>
      <c r="C386" s="1" t="n">
        <v>45999</v>
      </c>
      <c r="D386" t="inlineStr">
        <is>
          <t>VÄRMLANDS LÄN</t>
        </is>
      </c>
      <c r="E386" t="inlineStr">
        <is>
          <t>ÅRJÄNG</t>
        </is>
      </c>
      <c r="G386" t="n">
        <v>5.7</v>
      </c>
      <c r="H386" t="n">
        <v>0</v>
      </c>
      <c r="I386" t="n">
        <v>0</v>
      </c>
      <c r="J386" t="n">
        <v>0</v>
      </c>
      <c r="K386" t="n">
        <v>0</v>
      </c>
      <c r="L386" t="n">
        <v>0</v>
      </c>
      <c r="M386" t="n">
        <v>0</v>
      </c>
      <c r="N386" t="n">
        <v>0</v>
      </c>
      <c r="O386" t="n">
        <v>0</v>
      </c>
      <c r="P386" t="n">
        <v>0</v>
      </c>
      <c r="Q386" t="n">
        <v>0</v>
      </c>
      <c r="R386" s="2" t="inlineStr"/>
    </row>
    <row r="387" ht="15" customHeight="1">
      <c r="A387" t="inlineStr">
        <is>
          <t>A 33304-2021</t>
        </is>
      </c>
      <c r="B387" s="1" t="n">
        <v>44377.43040509259</v>
      </c>
      <c r="C387" s="1" t="n">
        <v>45999</v>
      </c>
      <c r="D387" t="inlineStr">
        <is>
          <t>VÄRMLANDS LÄN</t>
        </is>
      </c>
      <c r="E387" t="inlineStr">
        <is>
          <t>ÅRJÄNG</t>
        </is>
      </c>
      <c r="G387" t="n">
        <v>4.9</v>
      </c>
      <c r="H387" t="n">
        <v>0</v>
      </c>
      <c r="I387" t="n">
        <v>0</v>
      </c>
      <c r="J387" t="n">
        <v>0</v>
      </c>
      <c r="K387" t="n">
        <v>0</v>
      </c>
      <c r="L387" t="n">
        <v>0</v>
      </c>
      <c r="M387" t="n">
        <v>0</v>
      </c>
      <c r="N387" t="n">
        <v>0</v>
      </c>
      <c r="O387" t="n">
        <v>0</v>
      </c>
      <c r="P387" t="n">
        <v>0</v>
      </c>
      <c r="Q387" t="n">
        <v>0</v>
      </c>
      <c r="R387" s="2" t="inlineStr"/>
    </row>
    <row r="388" ht="15" customHeight="1">
      <c r="A388" t="inlineStr">
        <is>
          <t>A 30693-2021</t>
        </is>
      </c>
      <c r="B388" s="1" t="n">
        <v>44365</v>
      </c>
      <c r="C388" s="1" t="n">
        <v>45999</v>
      </c>
      <c r="D388" t="inlineStr">
        <is>
          <t>VÄRMLANDS LÄN</t>
        </is>
      </c>
      <c r="E388" t="inlineStr">
        <is>
          <t>ÅRJÄNG</t>
        </is>
      </c>
      <c r="G388" t="n">
        <v>8.4</v>
      </c>
      <c r="H388" t="n">
        <v>0</v>
      </c>
      <c r="I388" t="n">
        <v>0</v>
      </c>
      <c r="J388" t="n">
        <v>0</v>
      </c>
      <c r="K388" t="n">
        <v>0</v>
      </c>
      <c r="L388" t="n">
        <v>0</v>
      </c>
      <c r="M388" t="n">
        <v>0</v>
      </c>
      <c r="N388" t="n">
        <v>0</v>
      </c>
      <c r="O388" t="n">
        <v>0</v>
      </c>
      <c r="P388" t="n">
        <v>0</v>
      </c>
      <c r="Q388" t="n">
        <v>0</v>
      </c>
      <c r="R388" s="2" t="inlineStr"/>
    </row>
    <row r="389" ht="15" customHeight="1">
      <c r="A389" t="inlineStr">
        <is>
          <t>A 21519-2024</t>
        </is>
      </c>
      <c r="B389" s="1" t="n">
        <v>45441</v>
      </c>
      <c r="C389" s="1" t="n">
        <v>45999</v>
      </c>
      <c r="D389" t="inlineStr">
        <is>
          <t>VÄRMLANDS LÄN</t>
        </is>
      </c>
      <c r="E389" t="inlineStr">
        <is>
          <t>ÅRJÄNG</t>
        </is>
      </c>
      <c r="G389" t="n">
        <v>1.5</v>
      </c>
      <c r="H389" t="n">
        <v>0</v>
      </c>
      <c r="I389" t="n">
        <v>0</v>
      </c>
      <c r="J389" t="n">
        <v>0</v>
      </c>
      <c r="K389" t="n">
        <v>0</v>
      </c>
      <c r="L389" t="n">
        <v>0</v>
      </c>
      <c r="M389" t="n">
        <v>0</v>
      </c>
      <c r="N389" t="n">
        <v>0</v>
      </c>
      <c r="O389" t="n">
        <v>0</v>
      </c>
      <c r="P389" t="n">
        <v>0</v>
      </c>
      <c r="Q389" t="n">
        <v>0</v>
      </c>
      <c r="R389" s="2" t="inlineStr"/>
    </row>
    <row r="390" ht="15" customHeight="1">
      <c r="A390" t="inlineStr">
        <is>
          <t>A 11776-2025</t>
        </is>
      </c>
      <c r="B390" s="1" t="n">
        <v>45727.70334490741</v>
      </c>
      <c r="C390" s="1" t="n">
        <v>45999</v>
      </c>
      <c r="D390" t="inlineStr">
        <is>
          <t>VÄRMLANDS LÄN</t>
        </is>
      </c>
      <c r="E390" t="inlineStr">
        <is>
          <t>ÅRJÄNG</t>
        </is>
      </c>
      <c r="G390" t="n">
        <v>7.2</v>
      </c>
      <c r="H390" t="n">
        <v>0</v>
      </c>
      <c r="I390" t="n">
        <v>0</v>
      </c>
      <c r="J390" t="n">
        <v>0</v>
      </c>
      <c r="K390" t="n">
        <v>0</v>
      </c>
      <c r="L390" t="n">
        <v>0</v>
      </c>
      <c r="M390" t="n">
        <v>0</v>
      </c>
      <c r="N390" t="n">
        <v>0</v>
      </c>
      <c r="O390" t="n">
        <v>0</v>
      </c>
      <c r="P390" t="n">
        <v>0</v>
      </c>
      <c r="Q390" t="n">
        <v>0</v>
      </c>
      <c r="R390" s="2" t="inlineStr"/>
    </row>
    <row r="391" ht="15" customHeight="1">
      <c r="A391" t="inlineStr">
        <is>
          <t>A 72476-2021</t>
        </is>
      </c>
      <c r="B391" s="1" t="n">
        <v>44545.86997685185</v>
      </c>
      <c r="C391" s="1" t="n">
        <v>45999</v>
      </c>
      <c r="D391" t="inlineStr">
        <is>
          <t>VÄRMLANDS LÄN</t>
        </is>
      </c>
      <c r="E391" t="inlineStr">
        <is>
          <t>ÅRJÄNG</t>
        </is>
      </c>
      <c r="G391" t="n">
        <v>1.9</v>
      </c>
      <c r="H391" t="n">
        <v>0</v>
      </c>
      <c r="I391" t="n">
        <v>0</v>
      </c>
      <c r="J391" t="n">
        <v>0</v>
      </c>
      <c r="K391" t="n">
        <v>0</v>
      </c>
      <c r="L391" t="n">
        <v>0</v>
      </c>
      <c r="M391" t="n">
        <v>0</v>
      </c>
      <c r="N391" t="n">
        <v>0</v>
      </c>
      <c r="O391" t="n">
        <v>0</v>
      </c>
      <c r="P391" t="n">
        <v>0</v>
      </c>
      <c r="Q391" t="n">
        <v>0</v>
      </c>
      <c r="R391" s="2" t="inlineStr"/>
    </row>
    <row r="392" ht="15" customHeight="1">
      <c r="A392" t="inlineStr">
        <is>
          <t>A 20337-2023</t>
        </is>
      </c>
      <c r="B392" s="1" t="n">
        <v>45056.48157407407</v>
      </c>
      <c r="C392" s="1" t="n">
        <v>45999</v>
      </c>
      <c r="D392" t="inlineStr">
        <is>
          <t>VÄRMLANDS LÄN</t>
        </is>
      </c>
      <c r="E392" t="inlineStr">
        <is>
          <t>ÅRJÄNG</t>
        </is>
      </c>
      <c r="G392" t="n">
        <v>3.1</v>
      </c>
      <c r="H392" t="n">
        <v>0</v>
      </c>
      <c r="I392" t="n">
        <v>0</v>
      </c>
      <c r="J392" t="n">
        <v>0</v>
      </c>
      <c r="K392" t="n">
        <v>0</v>
      </c>
      <c r="L392" t="n">
        <v>0</v>
      </c>
      <c r="M392" t="n">
        <v>0</v>
      </c>
      <c r="N392" t="n">
        <v>0</v>
      </c>
      <c r="O392" t="n">
        <v>0</v>
      </c>
      <c r="P392" t="n">
        <v>0</v>
      </c>
      <c r="Q392" t="n">
        <v>0</v>
      </c>
      <c r="R392" s="2" t="inlineStr"/>
    </row>
    <row r="393" ht="15" customHeight="1">
      <c r="A393" t="inlineStr">
        <is>
          <t>A 39008-2023</t>
        </is>
      </c>
      <c r="B393" s="1" t="n">
        <v>45162</v>
      </c>
      <c r="C393" s="1" t="n">
        <v>45999</v>
      </c>
      <c r="D393" t="inlineStr">
        <is>
          <t>VÄRMLANDS LÄN</t>
        </is>
      </c>
      <c r="E393" t="inlineStr">
        <is>
          <t>ÅRJÄNG</t>
        </is>
      </c>
      <c r="G393" t="n">
        <v>5.1</v>
      </c>
      <c r="H393" t="n">
        <v>0</v>
      </c>
      <c r="I393" t="n">
        <v>0</v>
      </c>
      <c r="J393" t="n">
        <v>0</v>
      </c>
      <c r="K393" t="n">
        <v>0</v>
      </c>
      <c r="L393" t="n">
        <v>0</v>
      </c>
      <c r="M393" t="n">
        <v>0</v>
      </c>
      <c r="N393" t="n">
        <v>0</v>
      </c>
      <c r="O393" t="n">
        <v>0</v>
      </c>
      <c r="P393" t="n">
        <v>0</v>
      </c>
      <c r="Q393" t="n">
        <v>0</v>
      </c>
      <c r="R393" s="2" t="inlineStr"/>
    </row>
    <row r="394" ht="15" customHeight="1">
      <c r="A394" t="inlineStr">
        <is>
          <t>A 42045-2024</t>
        </is>
      </c>
      <c r="B394" s="1" t="n">
        <v>45561</v>
      </c>
      <c r="C394" s="1" t="n">
        <v>45999</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19246-2024</t>
        </is>
      </c>
      <c r="B395" s="1" t="n">
        <v>45428</v>
      </c>
      <c r="C395" s="1" t="n">
        <v>45999</v>
      </c>
      <c r="D395" t="inlineStr">
        <is>
          <t>VÄRMLANDS LÄN</t>
        </is>
      </c>
      <c r="E395" t="inlineStr">
        <is>
          <t>ÅRJÄNG</t>
        </is>
      </c>
      <c r="F395" t="inlineStr">
        <is>
          <t>Bergvik skog väst AB</t>
        </is>
      </c>
      <c r="G395" t="n">
        <v>2.9</v>
      </c>
      <c r="H395" t="n">
        <v>0</v>
      </c>
      <c r="I395" t="n">
        <v>0</v>
      </c>
      <c r="J395" t="n">
        <v>0</v>
      </c>
      <c r="K395" t="n">
        <v>0</v>
      </c>
      <c r="L395" t="n">
        <v>0</v>
      </c>
      <c r="M395" t="n">
        <v>0</v>
      </c>
      <c r="N395" t="n">
        <v>0</v>
      </c>
      <c r="O395" t="n">
        <v>0</v>
      </c>
      <c r="P395" t="n">
        <v>0</v>
      </c>
      <c r="Q395" t="n">
        <v>0</v>
      </c>
      <c r="R395" s="2" t="inlineStr"/>
    </row>
    <row r="396" ht="15" customHeight="1">
      <c r="A396" t="inlineStr">
        <is>
          <t>A 1665-2023</t>
        </is>
      </c>
      <c r="B396" s="1" t="n">
        <v>44938</v>
      </c>
      <c r="C396" s="1" t="n">
        <v>45999</v>
      </c>
      <c r="D396" t="inlineStr">
        <is>
          <t>VÄRMLANDS LÄN</t>
        </is>
      </c>
      <c r="E396" t="inlineStr">
        <is>
          <t>ÅRJÄNG</t>
        </is>
      </c>
      <c r="G396" t="n">
        <v>5.1</v>
      </c>
      <c r="H396" t="n">
        <v>0</v>
      </c>
      <c r="I396" t="n">
        <v>0</v>
      </c>
      <c r="J396" t="n">
        <v>0</v>
      </c>
      <c r="K396" t="n">
        <v>0</v>
      </c>
      <c r="L396" t="n">
        <v>0</v>
      </c>
      <c r="M396" t="n">
        <v>0</v>
      </c>
      <c r="N396" t="n">
        <v>0</v>
      </c>
      <c r="O396" t="n">
        <v>0</v>
      </c>
      <c r="P396" t="n">
        <v>0</v>
      </c>
      <c r="Q396" t="n">
        <v>0</v>
      </c>
      <c r="R396" s="2" t="inlineStr"/>
    </row>
    <row r="397" ht="15" customHeight="1">
      <c r="A397" t="inlineStr">
        <is>
          <t>A 38158-2023</t>
        </is>
      </c>
      <c r="B397" s="1" t="n">
        <v>45161</v>
      </c>
      <c r="C397" s="1" t="n">
        <v>45999</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28733-2024</t>
        </is>
      </c>
      <c r="B398" s="1" t="n">
        <v>45478</v>
      </c>
      <c r="C398" s="1" t="n">
        <v>45999</v>
      </c>
      <c r="D398" t="inlineStr">
        <is>
          <t>VÄRMLANDS LÄN</t>
        </is>
      </c>
      <c r="E398" t="inlineStr">
        <is>
          <t>ÅRJÄNG</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25495-2024</t>
        </is>
      </c>
      <c r="B399" s="1" t="n">
        <v>45463</v>
      </c>
      <c r="C399" s="1" t="n">
        <v>45999</v>
      </c>
      <c r="D399" t="inlineStr">
        <is>
          <t>VÄRMLANDS LÄN</t>
        </is>
      </c>
      <c r="E399" t="inlineStr">
        <is>
          <t>ÅRJÄNG</t>
        </is>
      </c>
      <c r="F399" t="inlineStr">
        <is>
          <t>Kyrkan</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19893-2022</t>
        </is>
      </c>
      <c r="B400" s="1" t="n">
        <v>44697</v>
      </c>
      <c r="C400" s="1" t="n">
        <v>45999</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11793-2023</t>
        </is>
      </c>
      <c r="B401" s="1" t="n">
        <v>44993</v>
      </c>
      <c r="C401" s="1" t="n">
        <v>45999</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9489-2023</t>
        </is>
      </c>
      <c r="B402" s="1" t="n">
        <v>44981</v>
      </c>
      <c r="C402" s="1" t="n">
        <v>45999</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72996-2021</t>
        </is>
      </c>
      <c r="B403" s="1" t="n">
        <v>44549.8596875</v>
      </c>
      <c r="C403" s="1" t="n">
        <v>45999</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4915-2022</t>
        </is>
      </c>
      <c r="B404" s="1" t="n">
        <v>44593</v>
      </c>
      <c r="C404" s="1" t="n">
        <v>45999</v>
      </c>
      <c r="D404" t="inlineStr">
        <is>
          <t>VÄRMLANDS LÄN</t>
        </is>
      </c>
      <c r="E404" t="inlineStr">
        <is>
          <t>ÅRJÄNG</t>
        </is>
      </c>
      <c r="G404" t="n">
        <v>3.7</v>
      </c>
      <c r="H404" t="n">
        <v>0</v>
      </c>
      <c r="I404" t="n">
        <v>0</v>
      </c>
      <c r="J404" t="n">
        <v>0</v>
      </c>
      <c r="K404" t="n">
        <v>0</v>
      </c>
      <c r="L404" t="n">
        <v>0</v>
      </c>
      <c r="M404" t="n">
        <v>0</v>
      </c>
      <c r="N404" t="n">
        <v>0</v>
      </c>
      <c r="O404" t="n">
        <v>0</v>
      </c>
      <c r="P404" t="n">
        <v>0</v>
      </c>
      <c r="Q404" t="n">
        <v>0</v>
      </c>
      <c r="R404" s="2" t="inlineStr"/>
    </row>
    <row r="405" ht="15" customHeight="1">
      <c r="A405" t="inlineStr">
        <is>
          <t>A 36642-2021</t>
        </is>
      </c>
      <c r="B405" s="1" t="n">
        <v>44392</v>
      </c>
      <c r="C405" s="1" t="n">
        <v>45999</v>
      </c>
      <c r="D405" t="inlineStr">
        <is>
          <t>VÄRMLANDS LÄN</t>
        </is>
      </c>
      <c r="E405" t="inlineStr">
        <is>
          <t>ÅRJÄNG</t>
        </is>
      </c>
      <c r="G405" t="n">
        <v>6.1</v>
      </c>
      <c r="H405" t="n">
        <v>0</v>
      </c>
      <c r="I405" t="n">
        <v>0</v>
      </c>
      <c r="J405" t="n">
        <v>0</v>
      </c>
      <c r="K405" t="n">
        <v>0</v>
      </c>
      <c r="L405" t="n">
        <v>0</v>
      </c>
      <c r="M405" t="n">
        <v>0</v>
      </c>
      <c r="N405" t="n">
        <v>0</v>
      </c>
      <c r="O405" t="n">
        <v>0</v>
      </c>
      <c r="P405" t="n">
        <v>0</v>
      </c>
      <c r="Q405" t="n">
        <v>0</v>
      </c>
      <c r="R405" s="2" t="inlineStr"/>
    </row>
    <row r="406" ht="15" customHeight="1">
      <c r="A406" t="inlineStr">
        <is>
          <t>A 19621-2025</t>
        </is>
      </c>
      <c r="B406" s="1" t="n">
        <v>45770</v>
      </c>
      <c r="C406" s="1" t="n">
        <v>45999</v>
      </c>
      <c r="D406" t="inlineStr">
        <is>
          <t>VÄRMLANDS LÄN</t>
        </is>
      </c>
      <c r="E406" t="inlineStr">
        <is>
          <t>ÅRJÄNG</t>
        </is>
      </c>
      <c r="F406" t="inlineStr">
        <is>
          <t>Övriga Aktiebolag</t>
        </is>
      </c>
      <c r="G406" t="n">
        <v>7.7</v>
      </c>
      <c r="H406" t="n">
        <v>0</v>
      </c>
      <c r="I406" t="n">
        <v>0</v>
      </c>
      <c r="J406" t="n">
        <v>0</v>
      </c>
      <c r="K406" t="n">
        <v>0</v>
      </c>
      <c r="L406" t="n">
        <v>0</v>
      </c>
      <c r="M406" t="n">
        <v>0</v>
      </c>
      <c r="N406" t="n">
        <v>0</v>
      </c>
      <c r="O406" t="n">
        <v>0</v>
      </c>
      <c r="P406" t="n">
        <v>0</v>
      </c>
      <c r="Q406" t="n">
        <v>0</v>
      </c>
      <c r="R406" s="2" t="inlineStr"/>
    </row>
    <row r="407" ht="15" customHeight="1">
      <c r="A407" t="inlineStr">
        <is>
          <t>A 48389-2021</t>
        </is>
      </c>
      <c r="B407" s="1" t="n">
        <v>44452.26943287037</v>
      </c>
      <c r="C407" s="1" t="n">
        <v>45999</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14788-2025</t>
        </is>
      </c>
      <c r="B408" s="1" t="n">
        <v>45742.78112268518</v>
      </c>
      <c r="C408" s="1" t="n">
        <v>45999</v>
      </c>
      <c r="D408" t="inlineStr">
        <is>
          <t>VÄRMLANDS LÄN</t>
        </is>
      </c>
      <c r="E408" t="inlineStr">
        <is>
          <t>ÅRJÄNG</t>
        </is>
      </c>
      <c r="G408" t="n">
        <v>2.5</v>
      </c>
      <c r="H408" t="n">
        <v>0</v>
      </c>
      <c r="I408" t="n">
        <v>0</v>
      </c>
      <c r="J408" t="n">
        <v>0</v>
      </c>
      <c r="K408" t="n">
        <v>0</v>
      </c>
      <c r="L408" t="n">
        <v>0</v>
      </c>
      <c r="M408" t="n">
        <v>0</v>
      </c>
      <c r="N408" t="n">
        <v>0</v>
      </c>
      <c r="O408" t="n">
        <v>0</v>
      </c>
      <c r="P408" t="n">
        <v>0</v>
      </c>
      <c r="Q408" t="n">
        <v>0</v>
      </c>
      <c r="R408" s="2" t="inlineStr"/>
    </row>
    <row r="409" ht="15" customHeight="1">
      <c r="A409" t="inlineStr">
        <is>
          <t>A 9662-2024</t>
        </is>
      </c>
      <c r="B409" s="1" t="n">
        <v>45362.43423611111</v>
      </c>
      <c r="C409" s="1" t="n">
        <v>45999</v>
      </c>
      <c r="D409" t="inlineStr">
        <is>
          <t>VÄRMLANDS LÄN</t>
        </is>
      </c>
      <c r="E409" t="inlineStr">
        <is>
          <t>ÅRJÄNG</t>
        </is>
      </c>
      <c r="G409" t="n">
        <v>5.7</v>
      </c>
      <c r="H409" t="n">
        <v>0</v>
      </c>
      <c r="I409" t="n">
        <v>0</v>
      </c>
      <c r="J409" t="n">
        <v>0</v>
      </c>
      <c r="K409" t="n">
        <v>0</v>
      </c>
      <c r="L409" t="n">
        <v>0</v>
      </c>
      <c r="M409" t="n">
        <v>0</v>
      </c>
      <c r="N409" t="n">
        <v>0</v>
      </c>
      <c r="O409" t="n">
        <v>0</v>
      </c>
      <c r="P409" t="n">
        <v>0</v>
      </c>
      <c r="Q409" t="n">
        <v>0</v>
      </c>
      <c r="R409" s="2" t="inlineStr"/>
    </row>
    <row r="410" ht="15" customHeight="1">
      <c r="A410" t="inlineStr">
        <is>
          <t>A 7794-2024</t>
        </is>
      </c>
      <c r="B410" s="1" t="n">
        <v>45349</v>
      </c>
      <c r="C410" s="1" t="n">
        <v>45999</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22032-2023</t>
        </is>
      </c>
      <c r="B411" s="1" t="n">
        <v>45069.35378472223</v>
      </c>
      <c r="C411" s="1" t="n">
        <v>45999</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32367-2023</t>
        </is>
      </c>
      <c r="B412" s="1" t="n">
        <v>45120.57167824074</v>
      </c>
      <c r="C412" s="1" t="n">
        <v>45999</v>
      </c>
      <c r="D412" t="inlineStr">
        <is>
          <t>VÄRMLANDS LÄN</t>
        </is>
      </c>
      <c r="E412" t="inlineStr">
        <is>
          <t>ÅRJÄNG</t>
        </is>
      </c>
      <c r="G412" t="n">
        <v>2.8</v>
      </c>
      <c r="H412" t="n">
        <v>0</v>
      </c>
      <c r="I412" t="n">
        <v>0</v>
      </c>
      <c r="J412" t="n">
        <v>0</v>
      </c>
      <c r="K412" t="n">
        <v>0</v>
      </c>
      <c r="L412" t="n">
        <v>0</v>
      </c>
      <c r="M412" t="n">
        <v>0</v>
      </c>
      <c r="N412" t="n">
        <v>0</v>
      </c>
      <c r="O412" t="n">
        <v>0</v>
      </c>
      <c r="P412" t="n">
        <v>0</v>
      </c>
      <c r="Q412" t="n">
        <v>0</v>
      </c>
      <c r="R412" s="2" t="inlineStr"/>
    </row>
    <row r="413" ht="15" customHeight="1">
      <c r="A413" t="inlineStr">
        <is>
          <t>A 32373-2023</t>
        </is>
      </c>
      <c r="B413" s="1" t="n">
        <v>45120.58025462963</v>
      </c>
      <c r="C413" s="1" t="n">
        <v>45999</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56682-2021</t>
        </is>
      </c>
      <c r="B414" s="1" t="n">
        <v>44481</v>
      </c>
      <c r="C414" s="1" t="n">
        <v>45999</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3968-2025</t>
        </is>
      </c>
      <c r="B415" s="1" t="n">
        <v>45684.51925925926</v>
      </c>
      <c r="C415" s="1" t="n">
        <v>45999</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52773-2022</t>
        </is>
      </c>
      <c r="B416" s="1" t="n">
        <v>44875.35628472222</v>
      </c>
      <c r="C416" s="1" t="n">
        <v>45999</v>
      </c>
      <c r="D416" t="inlineStr">
        <is>
          <t>VÄRMLANDS LÄN</t>
        </is>
      </c>
      <c r="E416" t="inlineStr">
        <is>
          <t>ÅRJÄNG</t>
        </is>
      </c>
      <c r="G416" t="n">
        <v>4.1</v>
      </c>
      <c r="H416" t="n">
        <v>0</v>
      </c>
      <c r="I416" t="n">
        <v>0</v>
      </c>
      <c r="J416" t="n">
        <v>0</v>
      </c>
      <c r="K416" t="n">
        <v>0</v>
      </c>
      <c r="L416" t="n">
        <v>0</v>
      </c>
      <c r="M416" t="n">
        <v>0</v>
      </c>
      <c r="N416" t="n">
        <v>0</v>
      </c>
      <c r="O416" t="n">
        <v>0</v>
      </c>
      <c r="P416" t="n">
        <v>0</v>
      </c>
      <c r="Q416" t="n">
        <v>0</v>
      </c>
      <c r="R416" s="2" t="inlineStr"/>
    </row>
    <row r="417" ht="15" customHeight="1">
      <c r="A417" t="inlineStr">
        <is>
          <t>A 46096-2021</t>
        </is>
      </c>
      <c r="B417" s="1" t="n">
        <v>44442</v>
      </c>
      <c r="C417" s="1" t="n">
        <v>45999</v>
      </c>
      <c r="D417" t="inlineStr">
        <is>
          <t>VÄRMLANDS LÄN</t>
        </is>
      </c>
      <c r="E417" t="inlineStr">
        <is>
          <t>ÅRJÄNG</t>
        </is>
      </c>
      <c r="G417" t="n">
        <v>1.2</v>
      </c>
      <c r="H417" t="n">
        <v>0</v>
      </c>
      <c r="I417" t="n">
        <v>0</v>
      </c>
      <c r="J417" t="n">
        <v>0</v>
      </c>
      <c r="K417" t="n">
        <v>0</v>
      </c>
      <c r="L417" t="n">
        <v>0</v>
      </c>
      <c r="M417" t="n">
        <v>0</v>
      </c>
      <c r="N417" t="n">
        <v>0</v>
      </c>
      <c r="O417" t="n">
        <v>0</v>
      </c>
      <c r="P417" t="n">
        <v>0</v>
      </c>
      <c r="Q417" t="n">
        <v>0</v>
      </c>
      <c r="R417" s="2" t="inlineStr"/>
    </row>
    <row r="418" ht="15" customHeight="1">
      <c r="A418" t="inlineStr">
        <is>
          <t>A 6562-2023</t>
        </is>
      </c>
      <c r="B418" s="1" t="n">
        <v>44966</v>
      </c>
      <c r="C418" s="1" t="n">
        <v>45999</v>
      </c>
      <c r="D418" t="inlineStr">
        <is>
          <t>VÄRMLANDS LÄN</t>
        </is>
      </c>
      <c r="E418" t="inlineStr">
        <is>
          <t>ÅRJÄNG</t>
        </is>
      </c>
      <c r="G418" t="n">
        <v>1</v>
      </c>
      <c r="H418" t="n">
        <v>0</v>
      </c>
      <c r="I418" t="n">
        <v>0</v>
      </c>
      <c r="J418" t="n">
        <v>0</v>
      </c>
      <c r="K418" t="n">
        <v>0</v>
      </c>
      <c r="L418" t="n">
        <v>0</v>
      </c>
      <c r="M418" t="n">
        <v>0</v>
      </c>
      <c r="N418" t="n">
        <v>0</v>
      </c>
      <c r="O418" t="n">
        <v>0</v>
      </c>
      <c r="P418" t="n">
        <v>0</v>
      </c>
      <c r="Q418" t="n">
        <v>0</v>
      </c>
      <c r="R418" s="2" t="inlineStr"/>
    </row>
    <row r="419" ht="15" customHeight="1">
      <c r="A419" t="inlineStr">
        <is>
          <t>A 10338-2024</t>
        </is>
      </c>
      <c r="B419" s="1" t="n">
        <v>45365.58712962963</v>
      </c>
      <c r="C419" s="1" t="n">
        <v>45999</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51895-2022</t>
        </is>
      </c>
      <c r="B420" s="1" t="n">
        <v>44872.61237268519</v>
      </c>
      <c r="C420" s="1" t="n">
        <v>45999</v>
      </c>
      <c r="D420" t="inlineStr">
        <is>
          <t>VÄRMLANDS LÄN</t>
        </is>
      </c>
      <c r="E420" t="inlineStr">
        <is>
          <t>ÅRJÄNG</t>
        </is>
      </c>
      <c r="F420" t="inlineStr">
        <is>
          <t>Kyrkan</t>
        </is>
      </c>
      <c r="G420" t="n">
        <v>3.1</v>
      </c>
      <c r="H420" t="n">
        <v>0</v>
      </c>
      <c r="I420" t="n">
        <v>0</v>
      </c>
      <c r="J420" t="n">
        <v>0</v>
      </c>
      <c r="K420" t="n">
        <v>0</v>
      </c>
      <c r="L420" t="n">
        <v>0</v>
      </c>
      <c r="M420" t="n">
        <v>0</v>
      </c>
      <c r="N420" t="n">
        <v>0</v>
      </c>
      <c r="O420" t="n">
        <v>0</v>
      </c>
      <c r="P420" t="n">
        <v>0</v>
      </c>
      <c r="Q420" t="n">
        <v>0</v>
      </c>
      <c r="R420" s="2" t="inlineStr"/>
    </row>
    <row r="421" ht="15" customHeight="1">
      <c r="A421" t="inlineStr">
        <is>
          <t>A 13647-2025</t>
        </is>
      </c>
      <c r="B421" s="1" t="n">
        <v>45736.69149305556</v>
      </c>
      <c r="C421" s="1" t="n">
        <v>45999</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5256-2023</t>
        </is>
      </c>
      <c r="B422" s="1" t="n">
        <v>44959.45520833333</v>
      </c>
      <c r="C422" s="1" t="n">
        <v>45999</v>
      </c>
      <c r="D422" t="inlineStr">
        <is>
          <t>VÄRMLANDS LÄN</t>
        </is>
      </c>
      <c r="E422" t="inlineStr">
        <is>
          <t>ÅRJÄNG</t>
        </is>
      </c>
      <c r="G422" t="n">
        <v>1.7</v>
      </c>
      <c r="H422" t="n">
        <v>0</v>
      </c>
      <c r="I422" t="n">
        <v>0</v>
      </c>
      <c r="J422" t="n">
        <v>0</v>
      </c>
      <c r="K422" t="n">
        <v>0</v>
      </c>
      <c r="L422" t="n">
        <v>0</v>
      </c>
      <c r="M422" t="n">
        <v>0</v>
      </c>
      <c r="N422" t="n">
        <v>0</v>
      </c>
      <c r="O422" t="n">
        <v>0</v>
      </c>
      <c r="P422" t="n">
        <v>0</v>
      </c>
      <c r="Q422" t="n">
        <v>0</v>
      </c>
      <c r="R422" s="2" t="inlineStr"/>
    </row>
    <row r="423" ht="15" customHeight="1">
      <c r="A423" t="inlineStr">
        <is>
          <t>A 57178-2023</t>
        </is>
      </c>
      <c r="B423" s="1" t="n">
        <v>45240</v>
      </c>
      <c r="C423" s="1" t="n">
        <v>45999</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15574-2025</t>
        </is>
      </c>
      <c r="B424" s="1" t="n">
        <v>45747</v>
      </c>
      <c r="C424" s="1" t="n">
        <v>45999</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37949-2022</t>
        </is>
      </c>
      <c r="B425" s="1" t="n">
        <v>44811.48773148148</v>
      </c>
      <c r="C425" s="1" t="n">
        <v>45999</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71472-2021</t>
        </is>
      </c>
      <c r="B426" s="1" t="n">
        <v>44540</v>
      </c>
      <c r="C426" s="1" t="n">
        <v>45999</v>
      </c>
      <c r="D426" t="inlineStr">
        <is>
          <t>VÄRMLANDS LÄN</t>
        </is>
      </c>
      <c r="E426" t="inlineStr">
        <is>
          <t>ÅRJÄNG</t>
        </is>
      </c>
      <c r="G426" t="n">
        <v>1.9</v>
      </c>
      <c r="H426" t="n">
        <v>0</v>
      </c>
      <c r="I426" t="n">
        <v>0</v>
      </c>
      <c r="J426" t="n">
        <v>0</v>
      </c>
      <c r="K426" t="n">
        <v>0</v>
      </c>
      <c r="L426" t="n">
        <v>0</v>
      </c>
      <c r="M426" t="n">
        <v>0</v>
      </c>
      <c r="N426" t="n">
        <v>0</v>
      </c>
      <c r="O426" t="n">
        <v>0</v>
      </c>
      <c r="P426" t="n">
        <v>0</v>
      </c>
      <c r="Q426" t="n">
        <v>0</v>
      </c>
      <c r="R426" s="2" t="inlineStr"/>
    </row>
    <row r="427" ht="15" customHeight="1">
      <c r="A427" t="inlineStr">
        <is>
          <t>A 59624-2022</t>
        </is>
      </c>
      <c r="B427" s="1" t="n">
        <v>44907.90521990741</v>
      </c>
      <c r="C427" s="1" t="n">
        <v>45999</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56329-2024</t>
        </is>
      </c>
      <c r="B428" s="1" t="n">
        <v>45624.79435185185</v>
      </c>
      <c r="C428" s="1" t="n">
        <v>45999</v>
      </c>
      <c r="D428" t="inlineStr">
        <is>
          <t>VÄRMLANDS LÄN</t>
        </is>
      </c>
      <c r="E428" t="inlineStr">
        <is>
          <t>ÅRJÄNG</t>
        </is>
      </c>
      <c r="G428" t="n">
        <v>4.6</v>
      </c>
      <c r="H428" t="n">
        <v>0</v>
      </c>
      <c r="I428" t="n">
        <v>0</v>
      </c>
      <c r="J428" t="n">
        <v>0</v>
      </c>
      <c r="K428" t="n">
        <v>0</v>
      </c>
      <c r="L428" t="n">
        <v>0</v>
      </c>
      <c r="M428" t="n">
        <v>0</v>
      </c>
      <c r="N428" t="n">
        <v>0</v>
      </c>
      <c r="O428" t="n">
        <v>0</v>
      </c>
      <c r="P428" t="n">
        <v>0</v>
      </c>
      <c r="Q428" t="n">
        <v>0</v>
      </c>
      <c r="R428" s="2" t="inlineStr"/>
    </row>
    <row r="429" ht="15" customHeight="1">
      <c r="A429" t="inlineStr">
        <is>
          <t>A 64229-2023</t>
        </is>
      </c>
      <c r="B429" s="1" t="n">
        <v>45279</v>
      </c>
      <c r="C429" s="1" t="n">
        <v>45999</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7098-2024</t>
        </is>
      </c>
      <c r="B430" s="1" t="n">
        <v>45343</v>
      </c>
      <c r="C430" s="1" t="n">
        <v>45999</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7100-2024</t>
        </is>
      </c>
      <c r="B431" s="1" t="n">
        <v>45343</v>
      </c>
      <c r="C431" s="1" t="n">
        <v>45999</v>
      </c>
      <c r="D431" t="inlineStr">
        <is>
          <t>VÄRMLANDS LÄN</t>
        </is>
      </c>
      <c r="E431" t="inlineStr">
        <is>
          <t>ÅRJÄNG</t>
        </is>
      </c>
      <c r="G431" t="n">
        <v>6.5</v>
      </c>
      <c r="H431" t="n">
        <v>0</v>
      </c>
      <c r="I431" t="n">
        <v>0</v>
      </c>
      <c r="J431" t="n">
        <v>0</v>
      </c>
      <c r="K431" t="n">
        <v>0</v>
      </c>
      <c r="L431" t="n">
        <v>0</v>
      </c>
      <c r="M431" t="n">
        <v>0</v>
      </c>
      <c r="N431" t="n">
        <v>0</v>
      </c>
      <c r="O431" t="n">
        <v>0</v>
      </c>
      <c r="P431" t="n">
        <v>0</v>
      </c>
      <c r="Q431" t="n">
        <v>0</v>
      </c>
      <c r="R431" s="2" t="inlineStr"/>
    </row>
    <row r="432" ht="15" customHeight="1">
      <c r="A432" t="inlineStr">
        <is>
          <t>A 45651-2024</t>
        </is>
      </c>
      <c r="B432" s="1" t="n">
        <v>45579</v>
      </c>
      <c r="C432" s="1" t="n">
        <v>45999</v>
      </c>
      <c r="D432" t="inlineStr">
        <is>
          <t>VÄRMLANDS LÄN</t>
        </is>
      </c>
      <c r="E432" t="inlineStr">
        <is>
          <t>ÅRJÄNG</t>
        </is>
      </c>
      <c r="G432" t="n">
        <v>1.1</v>
      </c>
      <c r="H432" t="n">
        <v>0</v>
      </c>
      <c r="I432" t="n">
        <v>0</v>
      </c>
      <c r="J432" t="n">
        <v>0</v>
      </c>
      <c r="K432" t="n">
        <v>0</v>
      </c>
      <c r="L432" t="n">
        <v>0</v>
      </c>
      <c r="M432" t="n">
        <v>0</v>
      </c>
      <c r="N432" t="n">
        <v>0</v>
      </c>
      <c r="O432" t="n">
        <v>0</v>
      </c>
      <c r="P432" t="n">
        <v>0</v>
      </c>
      <c r="Q432" t="n">
        <v>0</v>
      </c>
      <c r="R432" s="2" t="inlineStr"/>
    </row>
    <row r="433" ht="15" customHeight="1">
      <c r="A433" t="inlineStr">
        <is>
          <t>A 70591-2021</t>
        </is>
      </c>
      <c r="B433" s="1" t="n">
        <v>44537.41471064815</v>
      </c>
      <c r="C433" s="1" t="n">
        <v>45999</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36563-2024</t>
        </is>
      </c>
      <c r="B434" s="1" t="n">
        <v>45537</v>
      </c>
      <c r="C434" s="1" t="n">
        <v>45999</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7443-2024</t>
        </is>
      </c>
      <c r="B435" s="1" t="n">
        <v>45345.72207175926</v>
      </c>
      <c r="C435" s="1" t="n">
        <v>45999</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58491-2023</t>
        </is>
      </c>
      <c r="B436" s="1" t="n">
        <v>45246</v>
      </c>
      <c r="C436" s="1" t="n">
        <v>45999</v>
      </c>
      <c r="D436" t="inlineStr">
        <is>
          <t>VÄRMLANDS LÄN</t>
        </is>
      </c>
      <c r="E436" t="inlineStr">
        <is>
          <t>ÅRJÄNG</t>
        </is>
      </c>
      <c r="G436" t="n">
        <v>11.4</v>
      </c>
      <c r="H436" t="n">
        <v>0</v>
      </c>
      <c r="I436" t="n">
        <v>0</v>
      </c>
      <c r="J436" t="n">
        <v>0</v>
      </c>
      <c r="K436" t="n">
        <v>0</v>
      </c>
      <c r="L436" t="n">
        <v>0</v>
      </c>
      <c r="M436" t="n">
        <v>0</v>
      </c>
      <c r="N436" t="n">
        <v>0</v>
      </c>
      <c r="O436" t="n">
        <v>0</v>
      </c>
      <c r="P436" t="n">
        <v>0</v>
      </c>
      <c r="Q436" t="n">
        <v>0</v>
      </c>
      <c r="R436" s="2" t="inlineStr"/>
    </row>
    <row r="437" ht="15" customHeight="1">
      <c r="A437" t="inlineStr">
        <is>
          <t>A 58486-2023</t>
        </is>
      </c>
      <c r="B437" s="1" t="n">
        <v>45246</v>
      </c>
      <c r="C437" s="1" t="n">
        <v>45999</v>
      </c>
      <c r="D437" t="inlineStr">
        <is>
          <t>VÄRMLANDS LÄN</t>
        </is>
      </c>
      <c r="E437" t="inlineStr">
        <is>
          <t>ÅRJÄNG</t>
        </is>
      </c>
      <c r="G437" t="n">
        <v>8.5</v>
      </c>
      <c r="H437" t="n">
        <v>0</v>
      </c>
      <c r="I437" t="n">
        <v>0</v>
      </c>
      <c r="J437" t="n">
        <v>0</v>
      </c>
      <c r="K437" t="n">
        <v>0</v>
      </c>
      <c r="L437" t="n">
        <v>0</v>
      </c>
      <c r="M437" t="n">
        <v>0</v>
      </c>
      <c r="N437" t="n">
        <v>0</v>
      </c>
      <c r="O437" t="n">
        <v>0</v>
      </c>
      <c r="P437" t="n">
        <v>0</v>
      </c>
      <c r="Q437" t="n">
        <v>0</v>
      </c>
      <c r="R437" s="2" t="inlineStr"/>
    </row>
    <row r="438" ht="15" customHeight="1">
      <c r="A438" t="inlineStr">
        <is>
          <t>A 36587-2024</t>
        </is>
      </c>
      <c r="B438" s="1" t="n">
        <v>45537</v>
      </c>
      <c r="C438" s="1" t="n">
        <v>45999</v>
      </c>
      <c r="D438" t="inlineStr">
        <is>
          <t>VÄRMLANDS LÄN</t>
        </is>
      </c>
      <c r="E438" t="inlineStr">
        <is>
          <t>ÅRJÄNG</t>
        </is>
      </c>
      <c r="G438" t="n">
        <v>2.6</v>
      </c>
      <c r="H438" t="n">
        <v>0</v>
      </c>
      <c r="I438" t="n">
        <v>0</v>
      </c>
      <c r="J438" t="n">
        <v>0</v>
      </c>
      <c r="K438" t="n">
        <v>0</v>
      </c>
      <c r="L438" t="n">
        <v>0</v>
      </c>
      <c r="M438" t="n">
        <v>0</v>
      </c>
      <c r="N438" t="n">
        <v>0</v>
      </c>
      <c r="O438" t="n">
        <v>0</v>
      </c>
      <c r="P438" t="n">
        <v>0</v>
      </c>
      <c r="Q438" t="n">
        <v>0</v>
      </c>
      <c r="R438" s="2" t="inlineStr"/>
    </row>
    <row r="439" ht="15" customHeight="1">
      <c r="A439" t="inlineStr">
        <is>
          <t>A 60191-2023</t>
        </is>
      </c>
      <c r="B439" s="1" t="n">
        <v>45257</v>
      </c>
      <c r="C439" s="1" t="n">
        <v>45999</v>
      </c>
      <c r="D439" t="inlineStr">
        <is>
          <t>VÄRMLANDS LÄN</t>
        </is>
      </c>
      <c r="E439" t="inlineStr">
        <is>
          <t>ÅRJÄNG</t>
        </is>
      </c>
      <c r="G439" t="n">
        <v>7.6</v>
      </c>
      <c r="H439" t="n">
        <v>0</v>
      </c>
      <c r="I439" t="n">
        <v>0</v>
      </c>
      <c r="J439" t="n">
        <v>0</v>
      </c>
      <c r="K439" t="n">
        <v>0</v>
      </c>
      <c r="L439" t="n">
        <v>0</v>
      </c>
      <c r="M439" t="n">
        <v>0</v>
      </c>
      <c r="N439" t="n">
        <v>0</v>
      </c>
      <c r="O439" t="n">
        <v>0</v>
      </c>
      <c r="P439" t="n">
        <v>0</v>
      </c>
      <c r="Q439" t="n">
        <v>0</v>
      </c>
      <c r="R439" s="2" t="inlineStr"/>
    </row>
    <row r="440" ht="15" customHeight="1">
      <c r="A440" t="inlineStr">
        <is>
          <t>A 4784-2023</t>
        </is>
      </c>
      <c r="B440" s="1" t="n">
        <v>44957.59476851852</v>
      </c>
      <c r="C440" s="1" t="n">
        <v>45999</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23971-2023</t>
        </is>
      </c>
      <c r="B441" s="1" t="n">
        <v>45078.63996527778</v>
      </c>
      <c r="C441" s="1" t="n">
        <v>45999</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55901-2023</t>
        </is>
      </c>
      <c r="B442" s="1" t="n">
        <v>45239.86618055555</v>
      </c>
      <c r="C442" s="1" t="n">
        <v>45999</v>
      </c>
      <c r="D442" t="inlineStr">
        <is>
          <t>VÄRMLANDS LÄN</t>
        </is>
      </c>
      <c r="E442" t="inlineStr">
        <is>
          <t>ÅRJÄNG</t>
        </is>
      </c>
      <c r="G442" t="n">
        <v>1.3</v>
      </c>
      <c r="H442" t="n">
        <v>0</v>
      </c>
      <c r="I442" t="n">
        <v>0</v>
      </c>
      <c r="J442" t="n">
        <v>0</v>
      </c>
      <c r="K442" t="n">
        <v>0</v>
      </c>
      <c r="L442" t="n">
        <v>0</v>
      </c>
      <c r="M442" t="n">
        <v>0</v>
      </c>
      <c r="N442" t="n">
        <v>0</v>
      </c>
      <c r="O442" t="n">
        <v>0</v>
      </c>
      <c r="P442" t="n">
        <v>0</v>
      </c>
      <c r="Q442" t="n">
        <v>0</v>
      </c>
      <c r="R442" s="2" t="inlineStr"/>
    </row>
    <row r="443" ht="15" customHeight="1">
      <c r="A443" t="inlineStr">
        <is>
          <t>A 43029-2021</t>
        </is>
      </c>
      <c r="B443" s="1" t="n">
        <v>44431.49302083333</v>
      </c>
      <c r="C443" s="1" t="n">
        <v>45999</v>
      </c>
      <c r="D443" t="inlineStr">
        <is>
          <t>VÄRMLANDS LÄN</t>
        </is>
      </c>
      <c r="E443" t="inlineStr">
        <is>
          <t>ÅRJÄNG</t>
        </is>
      </c>
      <c r="G443" t="n">
        <v>5.5</v>
      </c>
      <c r="H443" t="n">
        <v>0</v>
      </c>
      <c r="I443" t="n">
        <v>0</v>
      </c>
      <c r="J443" t="n">
        <v>0</v>
      </c>
      <c r="K443" t="n">
        <v>0</v>
      </c>
      <c r="L443" t="n">
        <v>0</v>
      </c>
      <c r="M443" t="n">
        <v>0</v>
      </c>
      <c r="N443" t="n">
        <v>0</v>
      </c>
      <c r="O443" t="n">
        <v>0</v>
      </c>
      <c r="P443" t="n">
        <v>0</v>
      </c>
      <c r="Q443" t="n">
        <v>0</v>
      </c>
      <c r="R443" s="2" t="inlineStr"/>
    </row>
    <row r="444" ht="15" customHeight="1">
      <c r="A444" t="inlineStr">
        <is>
          <t>A 57708-2024</t>
        </is>
      </c>
      <c r="B444" s="1" t="n">
        <v>45630</v>
      </c>
      <c r="C444" s="1" t="n">
        <v>45999</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15547-2025</t>
        </is>
      </c>
      <c r="B445" s="1" t="n">
        <v>45747</v>
      </c>
      <c r="C445" s="1" t="n">
        <v>45999</v>
      </c>
      <c r="D445" t="inlineStr">
        <is>
          <t>VÄRMLANDS LÄN</t>
        </is>
      </c>
      <c r="E445" t="inlineStr">
        <is>
          <t>ÅRJÄNG</t>
        </is>
      </c>
      <c r="G445" t="n">
        <v>5.8</v>
      </c>
      <c r="H445" t="n">
        <v>0</v>
      </c>
      <c r="I445" t="n">
        <v>0</v>
      </c>
      <c r="J445" t="n">
        <v>0</v>
      </c>
      <c r="K445" t="n">
        <v>0</v>
      </c>
      <c r="L445" t="n">
        <v>0</v>
      </c>
      <c r="M445" t="n">
        <v>0</v>
      </c>
      <c r="N445" t="n">
        <v>0</v>
      </c>
      <c r="O445" t="n">
        <v>0</v>
      </c>
      <c r="P445" t="n">
        <v>0</v>
      </c>
      <c r="Q445" t="n">
        <v>0</v>
      </c>
      <c r="R445" s="2" t="inlineStr"/>
    </row>
    <row r="446" ht="15" customHeight="1">
      <c r="A446" t="inlineStr">
        <is>
          <t>A 15548-2025</t>
        </is>
      </c>
      <c r="B446" s="1" t="n">
        <v>45747</v>
      </c>
      <c r="C446" s="1" t="n">
        <v>45999</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6107-2024</t>
        </is>
      </c>
      <c r="B447" s="1" t="n">
        <v>45337</v>
      </c>
      <c r="C447" s="1" t="n">
        <v>45999</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69839-2021</t>
        </is>
      </c>
      <c r="B448" s="1" t="n">
        <v>44532</v>
      </c>
      <c r="C448" s="1" t="n">
        <v>45999</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54013-2023</t>
        </is>
      </c>
      <c r="B449" s="1" t="n">
        <v>45231.81550925926</v>
      </c>
      <c r="C449" s="1" t="n">
        <v>45999</v>
      </c>
      <c r="D449" t="inlineStr">
        <is>
          <t>VÄRMLANDS LÄN</t>
        </is>
      </c>
      <c r="E449" t="inlineStr">
        <is>
          <t>ÅRJÄNG</t>
        </is>
      </c>
      <c r="G449" t="n">
        <v>1.3</v>
      </c>
      <c r="H449" t="n">
        <v>0</v>
      </c>
      <c r="I449" t="n">
        <v>0</v>
      </c>
      <c r="J449" t="n">
        <v>0</v>
      </c>
      <c r="K449" t="n">
        <v>0</v>
      </c>
      <c r="L449" t="n">
        <v>0</v>
      </c>
      <c r="M449" t="n">
        <v>0</v>
      </c>
      <c r="N449" t="n">
        <v>0</v>
      </c>
      <c r="O449" t="n">
        <v>0</v>
      </c>
      <c r="P449" t="n">
        <v>0</v>
      </c>
      <c r="Q449" t="n">
        <v>0</v>
      </c>
      <c r="R449" s="2" t="inlineStr"/>
    </row>
    <row r="450" ht="15" customHeight="1">
      <c r="A450" t="inlineStr">
        <is>
          <t>A 15308-2022</t>
        </is>
      </c>
      <c r="B450" s="1" t="n">
        <v>44659.45865740741</v>
      </c>
      <c r="C450" s="1" t="n">
        <v>45999</v>
      </c>
      <c r="D450" t="inlineStr">
        <is>
          <t>VÄRMLANDS LÄN</t>
        </is>
      </c>
      <c r="E450" t="inlineStr">
        <is>
          <t>ÅRJÄNG</t>
        </is>
      </c>
      <c r="G450" t="n">
        <v>10.7</v>
      </c>
      <c r="H450" t="n">
        <v>0</v>
      </c>
      <c r="I450" t="n">
        <v>0</v>
      </c>
      <c r="J450" t="n">
        <v>0</v>
      </c>
      <c r="K450" t="n">
        <v>0</v>
      </c>
      <c r="L450" t="n">
        <v>0</v>
      </c>
      <c r="M450" t="n">
        <v>0</v>
      </c>
      <c r="N450" t="n">
        <v>0</v>
      </c>
      <c r="O450" t="n">
        <v>0</v>
      </c>
      <c r="P450" t="n">
        <v>0</v>
      </c>
      <c r="Q450" t="n">
        <v>0</v>
      </c>
      <c r="R450" s="2" t="inlineStr"/>
    </row>
    <row r="451" ht="15" customHeight="1">
      <c r="A451" t="inlineStr">
        <is>
          <t>A 1377-2023</t>
        </is>
      </c>
      <c r="B451" s="1" t="n">
        <v>44936.67111111111</v>
      </c>
      <c r="C451" s="1" t="n">
        <v>45999</v>
      </c>
      <c r="D451" t="inlineStr">
        <is>
          <t>VÄRMLANDS LÄN</t>
        </is>
      </c>
      <c r="E451" t="inlineStr">
        <is>
          <t>ÅRJÄNG</t>
        </is>
      </c>
      <c r="G451" t="n">
        <v>1.6</v>
      </c>
      <c r="H451" t="n">
        <v>0</v>
      </c>
      <c r="I451" t="n">
        <v>0</v>
      </c>
      <c r="J451" t="n">
        <v>0</v>
      </c>
      <c r="K451" t="n">
        <v>0</v>
      </c>
      <c r="L451" t="n">
        <v>0</v>
      </c>
      <c r="M451" t="n">
        <v>0</v>
      </c>
      <c r="N451" t="n">
        <v>0</v>
      </c>
      <c r="O451" t="n">
        <v>0</v>
      </c>
      <c r="P451" t="n">
        <v>0</v>
      </c>
      <c r="Q451" t="n">
        <v>0</v>
      </c>
      <c r="R451" s="2" t="inlineStr"/>
    </row>
    <row r="452" ht="15" customHeight="1">
      <c r="A452" t="inlineStr">
        <is>
          <t>A 69024-2021</t>
        </is>
      </c>
      <c r="B452" s="1" t="n">
        <v>44530.61547453704</v>
      </c>
      <c r="C452" s="1" t="n">
        <v>45999</v>
      </c>
      <c r="D452" t="inlineStr">
        <is>
          <t>VÄRMLANDS LÄN</t>
        </is>
      </c>
      <c r="E452" t="inlineStr">
        <is>
          <t>ÅRJÄNG</t>
        </is>
      </c>
      <c r="G452" t="n">
        <v>0.3</v>
      </c>
      <c r="H452" t="n">
        <v>0</v>
      </c>
      <c r="I452" t="n">
        <v>0</v>
      </c>
      <c r="J452" t="n">
        <v>0</v>
      </c>
      <c r="K452" t="n">
        <v>0</v>
      </c>
      <c r="L452" t="n">
        <v>0</v>
      </c>
      <c r="M452" t="n">
        <v>0</v>
      </c>
      <c r="N452" t="n">
        <v>0</v>
      </c>
      <c r="O452" t="n">
        <v>0</v>
      </c>
      <c r="P452" t="n">
        <v>0</v>
      </c>
      <c r="Q452" t="n">
        <v>0</v>
      </c>
      <c r="R452" s="2" t="inlineStr"/>
    </row>
    <row r="453" ht="15" customHeight="1">
      <c r="A453" t="inlineStr">
        <is>
          <t>A 40643-2022</t>
        </is>
      </c>
      <c r="B453" s="1" t="n">
        <v>44824.32023148148</v>
      </c>
      <c r="C453" s="1" t="n">
        <v>45999</v>
      </c>
      <c r="D453" t="inlineStr">
        <is>
          <t>VÄRMLANDS LÄN</t>
        </is>
      </c>
      <c r="E453" t="inlineStr">
        <is>
          <t>ÅRJÄNG</t>
        </is>
      </c>
      <c r="G453" t="n">
        <v>0.4</v>
      </c>
      <c r="H453" t="n">
        <v>0</v>
      </c>
      <c r="I453" t="n">
        <v>0</v>
      </c>
      <c r="J453" t="n">
        <v>0</v>
      </c>
      <c r="K453" t="n">
        <v>0</v>
      </c>
      <c r="L453" t="n">
        <v>0</v>
      </c>
      <c r="M453" t="n">
        <v>0</v>
      </c>
      <c r="N453" t="n">
        <v>0</v>
      </c>
      <c r="O453" t="n">
        <v>0</v>
      </c>
      <c r="P453" t="n">
        <v>0</v>
      </c>
      <c r="Q453" t="n">
        <v>0</v>
      </c>
      <c r="R453" s="2" t="inlineStr"/>
    </row>
    <row r="454" ht="15" customHeight="1">
      <c r="A454" t="inlineStr">
        <is>
          <t>A 3734-2023</t>
        </is>
      </c>
      <c r="B454" s="1" t="n">
        <v>44948</v>
      </c>
      <c r="C454" s="1" t="n">
        <v>45999</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10518-2022</t>
        </is>
      </c>
      <c r="B455" s="1" t="n">
        <v>44623.77545138889</v>
      </c>
      <c r="C455" s="1" t="n">
        <v>45999</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19245-2024</t>
        </is>
      </c>
      <c r="B456" s="1" t="n">
        <v>45428</v>
      </c>
      <c r="C456" s="1" t="n">
        <v>45999</v>
      </c>
      <c r="D456" t="inlineStr">
        <is>
          <t>VÄRMLANDS LÄN</t>
        </is>
      </c>
      <c r="E456" t="inlineStr">
        <is>
          <t>ÅRJÄNG</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7114-2023</t>
        </is>
      </c>
      <c r="B457" s="1" t="n">
        <v>44970.39068287037</v>
      </c>
      <c r="C457" s="1" t="n">
        <v>45999</v>
      </c>
      <c r="D457" t="inlineStr">
        <is>
          <t>VÄRMLANDS LÄN</t>
        </is>
      </c>
      <c r="E457" t="inlineStr">
        <is>
          <t>ÅRJÄNG</t>
        </is>
      </c>
      <c r="G457" t="n">
        <v>4.7</v>
      </c>
      <c r="H457" t="n">
        <v>0</v>
      </c>
      <c r="I457" t="n">
        <v>0</v>
      </c>
      <c r="J457" t="n">
        <v>0</v>
      </c>
      <c r="K457" t="n">
        <v>0</v>
      </c>
      <c r="L457" t="n">
        <v>0</v>
      </c>
      <c r="M457" t="n">
        <v>0</v>
      </c>
      <c r="N457" t="n">
        <v>0</v>
      </c>
      <c r="O457" t="n">
        <v>0</v>
      </c>
      <c r="P457" t="n">
        <v>0</v>
      </c>
      <c r="Q457" t="n">
        <v>0</v>
      </c>
      <c r="R457" s="2" t="inlineStr"/>
    </row>
    <row r="458" ht="15" customHeight="1">
      <c r="A458" t="inlineStr">
        <is>
          <t>A 59976-2022</t>
        </is>
      </c>
      <c r="B458" s="1" t="n">
        <v>44901</v>
      </c>
      <c r="C458" s="1" t="n">
        <v>45999</v>
      </c>
      <c r="D458" t="inlineStr">
        <is>
          <t>VÄRMLANDS LÄN</t>
        </is>
      </c>
      <c r="E458" t="inlineStr">
        <is>
          <t>ÅRJÄNG</t>
        </is>
      </c>
      <c r="G458" t="n">
        <v>1</v>
      </c>
      <c r="H458" t="n">
        <v>0</v>
      </c>
      <c r="I458" t="n">
        <v>0</v>
      </c>
      <c r="J458" t="n">
        <v>0</v>
      </c>
      <c r="K458" t="n">
        <v>0</v>
      </c>
      <c r="L458" t="n">
        <v>0</v>
      </c>
      <c r="M458" t="n">
        <v>0</v>
      </c>
      <c r="N458" t="n">
        <v>0</v>
      </c>
      <c r="O458" t="n">
        <v>0</v>
      </c>
      <c r="P458" t="n">
        <v>0</v>
      </c>
      <c r="Q458" t="n">
        <v>0</v>
      </c>
      <c r="R458" s="2" t="inlineStr"/>
    </row>
    <row r="459" ht="15" customHeight="1">
      <c r="A459" t="inlineStr">
        <is>
          <t>A 34350-2023</t>
        </is>
      </c>
      <c r="B459" s="1" t="n">
        <v>45139.40969907407</v>
      </c>
      <c r="C459" s="1" t="n">
        <v>45999</v>
      </c>
      <c r="D459" t="inlineStr">
        <is>
          <t>VÄRMLANDS LÄN</t>
        </is>
      </c>
      <c r="E459" t="inlineStr">
        <is>
          <t>ÅRJÄNG</t>
        </is>
      </c>
      <c r="G459" t="n">
        <v>3.2</v>
      </c>
      <c r="H459" t="n">
        <v>0</v>
      </c>
      <c r="I459" t="n">
        <v>0</v>
      </c>
      <c r="J459" t="n">
        <v>0</v>
      </c>
      <c r="K459" t="n">
        <v>0</v>
      </c>
      <c r="L459" t="n">
        <v>0</v>
      </c>
      <c r="M459" t="n">
        <v>0</v>
      </c>
      <c r="N459" t="n">
        <v>0</v>
      </c>
      <c r="O459" t="n">
        <v>0</v>
      </c>
      <c r="P459" t="n">
        <v>0</v>
      </c>
      <c r="Q459" t="n">
        <v>0</v>
      </c>
      <c r="R459" s="2" t="inlineStr"/>
    </row>
    <row r="460" ht="15" customHeight="1">
      <c r="A460" t="inlineStr">
        <is>
          <t>A 7619-2023</t>
        </is>
      </c>
      <c r="B460" s="1" t="n">
        <v>44967</v>
      </c>
      <c r="C460" s="1" t="n">
        <v>45999</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3298-2025</t>
        </is>
      </c>
      <c r="B461" s="1" t="n">
        <v>45679.64770833333</v>
      </c>
      <c r="C461" s="1" t="n">
        <v>45999</v>
      </c>
      <c r="D461" t="inlineStr">
        <is>
          <t>VÄRMLANDS LÄN</t>
        </is>
      </c>
      <c r="E461" t="inlineStr">
        <is>
          <t>ÅRJÄNG</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6551-2025</t>
        </is>
      </c>
      <c r="B462" s="1" t="n">
        <v>45699.71454861111</v>
      </c>
      <c r="C462" s="1" t="n">
        <v>45999</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41283-2023</t>
        </is>
      </c>
      <c r="B463" s="1" t="n">
        <v>45174.57032407408</v>
      </c>
      <c r="C463" s="1" t="n">
        <v>45999</v>
      </c>
      <c r="D463" t="inlineStr">
        <is>
          <t>VÄRMLANDS LÄN</t>
        </is>
      </c>
      <c r="E463" t="inlineStr">
        <is>
          <t>ÅRJÄNG</t>
        </is>
      </c>
      <c r="G463" t="n">
        <v>9.6</v>
      </c>
      <c r="H463" t="n">
        <v>0</v>
      </c>
      <c r="I463" t="n">
        <v>0</v>
      </c>
      <c r="J463" t="n">
        <v>0</v>
      </c>
      <c r="K463" t="n">
        <v>0</v>
      </c>
      <c r="L463" t="n">
        <v>0</v>
      </c>
      <c r="M463" t="n">
        <v>0</v>
      </c>
      <c r="N463" t="n">
        <v>0</v>
      </c>
      <c r="O463" t="n">
        <v>0</v>
      </c>
      <c r="P463" t="n">
        <v>0</v>
      </c>
      <c r="Q463" t="n">
        <v>0</v>
      </c>
      <c r="R463" s="2" t="inlineStr"/>
    </row>
    <row r="464" ht="15" customHeight="1">
      <c r="A464" t="inlineStr">
        <is>
          <t>A 60377-2022</t>
        </is>
      </c>
      <c r="B464" s="1" t="n">
        <v>44904</v>
      </c>
      <c r="C464" s="1" t="n">
        <v>45999</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48444-2023</t>
        </is>
      </c>
      <c r="B465" s="1" t="n">
        <v>45206.37090277778</v>
      </c>
      <c r="C465" s="1" t="n">
        <v>45999</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65844-2021</t>
        </is>
      </c>
      <c r="B466" s="1" t="n">
        <v>44517.36067129629</v>
      </c>
      <c r="C466" s="1" t="n">
        <v>45999</v>
      </c>
      <c r="D466" t="inlineStr">
        <is>
          <t>VÄRMLANDS LÄN</t>
        </is>
      </c>
      <c r="E466" t="inlineStr">
        <is>
          <t>ÅRJÄNG</t>
        </is>
      </c>
      <c r="G466" t="n">
        <v>4.6</v>
      </c>
      <c r="H466" t="n">
        <v>0</v>
      </c>
      <c r="I466" t="n">
        <v>0</v>
      </c>
      <c r="J466" t="n">
        <v>0</v>
      </c>
      <c r="K466" t="n">
        <v>0</v>
      </c>
      <c r="L466" t="n">
        <v>0</v>
      </c>
      <c r="M466" t="n">
        <v>0</v>
      </c>
      <c r="N466" t="n">
        <v>0</v>
      </c>
      <c r="O466" t="n">
        <v>0</v>
      </c>
      <c r="P466" t="n">
        <v>0</v>
      </c>
      <c r="Q466" t="n">
        <v>0</v>
      </c>
      <c r="R466" s="2" t="inlineStr"/>
    </row>
    <row r="467" ht="15" customHeight="1">
      <c r="A467" t="inlineStr">
        <is>
          <t>A 61154-2021</t>
        </is>
      </c>
      <c r="B467" s="1" t="n">
        <v>44497</v>
      </c>
      <c r="C467" s="1" t="n">
        <v>45999</v>
      </c>
      <c r="D467" t="inlineStr">
        <is>
          <t>VÄRMLANDS LÄN</t>
        </is>
      </c>
      <c r="E467" t="inlineStr">
        <is>
          <t>ÅRJÄNG</t>
        </is>
      </c>
      <c r="G467" t="n">
        <v>1.6</v>
      </c>
      <c r="H467" t="n">
        <v>0</v>
      </c>
      <c r="I467" t="n">
        <v>0</v>
      </c>
      <c r="J467" t="n">
        <v>0</v>
      </c>
      <c r="K467" t="n">
        <v>0</v>
      </c>
      <c r="L467" t="n">
        <v>0</v>
      </c>
      <c r="M467" t="n">
        <v>0</v>
      </c>
      <c r="N467" t="n">
        <v>0</v>
      </c>
      <c r="O467" t="n">
        <v>0</v>
      </c>
      <c r="P467" t="n">
        <v>0</v>
      </c>
      <c r="Q467" t="n">
        <v>0</v>
      </c>
      <c r="R467" s="2" t="inlineStr"/>
    </row>
    <row r="468" ht="15" customHeight="1">
      <c r="A468" t="inlineStr">
        <is>
          <t>A 46315-2024</t>
        </is>
      </c>
      <c r="B468" s="1" t="n">
        <v>45581.73703703703</v>
      </c>
      <c r="C468" s="1" t="n">
        <v>45999</v>
      </c>
      <c r="D468" t="inlineStr">
        <is>
          <t>VÄRMLANDS LÄN</t>
        </is>
      </c>
      <c r="E468" t="inlineStr">
        <is>
          <t>ÅRJÄNG</t>
        </is>
      </c>
      <c r="G468" t="n">
        <v>2.1</v>
      </c>
      <c r="H468" t="n">
        <v>0</v>
      </c>
      <c r="I468" t="n">
        <v>0</v>
      </c>
      <c r="J468" t="n">
        <v>0</v>
      </c>
      <c r="K468" t="n">
        <v>0</v>
      </c>
      <c r="L468" t="n">
        <v>0</v>
      </c>
      <c r="M468" t="n">
        <v>0</v>
      </c>
      <c r="N468" t="n">
        <v>0</v>
      </c>
      <c r="O468" t="n">
        <v>0</v>
      </c>
      <c r="P468" t="n">
        <v>0</v>
      </c>
      <c r="Q468" t="n">
        <v>0</v>
      </c>
      <c r="R468" s="2" t="inlineStr"/>
    </row>
    <row r="469" ht="15" customHeight="1">
      <c r="A469" t="inlineStr">
        <is>
          <t>A 14910-2025</t>
        </is>
      </c>
      <c r="B469" s="1" t="n">
        <v>45743.52327546296</v>
      </c>
      <c r="C469" s="1" t="n">
        <v>45999</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36592-2024</t>
        </is>
      </c>
      <c r="B470" s="1" t="n">
        <v>45537</v>
      </c>
      <c r="C470" s="1" t="n">
        <v>45999</v>
      </c>
      <c r="D470" t="inlineStr">
        <is>
          <t>VÄRMLANDS LÄN</t>
        </is>
      </c>
      <c r="E470" t="inlineStr">
        <is>
          <t>ÅRJÄNG</t>
        </is>
      </c>
      <c r="G470" t="n">
        <v>4.4</v>
      </c>
      <c r="H470" t="n">
        <v>0</v>
      </c>
      <c r="I470" t="n">
        <v>0</v>
      </c>
      <c r="J470" t="n">
        <v>0</v>
      </c>
      <c r="K470" t="n">
        <v>0</v>
      </c>
      <c r="L470" t="n">
        <v>0</v>
      </c>
      <c r="M470" t="n">
        <v>0</v>
      </c>
      <c r="N470" t="n">
        <v>0</v>
      </c>
      <c r="O470" t="n">
        <v>0</v>
      </c>
      <c r="P470" t="n">
        <v>0</v>
      </c>
      <c r="Q470" t="n">
        <v>0</v>
      </c>
      <c r="R470" s="2" t="inlineStr"/>
    </row>
    <row r="471" ht="15" customHeight="1">
      <c r="A471" t="inlineStr">
        <is>
          <t>A 56757-2023</t>
        </is>
      </c>
      <c r="B471" s="1" t="n">
        <v>45244.37539351852</v>
      </c>
      <c r="C471" s="1" t="n">
        <v>45999</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49891-2022</t>
        </is>
      </c>
      <c r="B472" s="1" t="n">
        <v>44864</v>
      </c>
      <c r="C472" s="1" t="n">
        <v>45999</v>
      </c>
      <c r="D472" t="inlineStr">
        <is>
          <t>VÄRMLANDS LÄN</t>
        </is>
      </c>
      <c r="E472" t="inlineStr">
        <is>
          <t>ÅRJÄNG</t>
        </is>
      </c>
      <c r="G472" t="n">
        <v>5.6</v>
      </c>
      <c r="H472" t="n">
        <v>0</v>
      </c>
      <c r="I472" t="n">
        <v>0</v>
      </c>
      <c r="J472" t="n">
        <v>0</v>
      </c>
      <c r="K472" t="n">
        <v>0</v>
      </c>
      <c r="L472" t="n">
        <v>0</v>
      </c>
      <c r="M472" t="n">
        <v>0</v>
      </c>
      <c r="N472" t="n">
        <v>0</v>
      </c>
      <c r="O472" t="n">
        <v>0</v>
      </c>
      <c r="P472" t="n">
        <v>0</v>
      </c>
      <c r="Q472" t="n">
        <v>0</v>
      </c>
      <c r="R472" s="2" t="inlineStr"/>
    </row>
    <row r="473" ht="15" customHeight="1">
      <c r="A473" t="inlineStr">
        <is>
          <t>A 68687-2020</t>
        </is>
      </c>
      <c r="B473" s="1" t="n">
        <v>44187</v>
      </c>
      <c r="C473" s="1" t="n">
        <v>45999</v>
      </c>
      <c r="D473" t="inlineStr">
        <is>
          <t>VÄRMLANDS LÄN</t>
        </is>
      </c>
      <c r="E473" t="inlineStr">
        <is>
          <t>ÅRJÄNG</t>
        </is>
      </c>
      <c r="G473" t="n">
        <v>7.6</v>
      </c>
      <c r="H473" t="n">
        <v>0</v>
      </c>
      <c r="I473" t="n">
        <v>0</v>
      </c>
      <c r="J473" t="n">
        <v>0</v>
      </c>
      <c r="K473" t="n">
        <v>0</v>
      </c>
      <c r="L473" t="n">
        <v>0</v>
      </c>
      <c r="M473" t="n">
        <v>0</v>
      </c>
      <c r="N473" t="n">
        <v>0</v>
      </c>
      <c r="O473" t="n">
        <v>0</v>
      </c>
      <c r="P473" t="n">
        <v>0</v>
      </c>
      <c r="Q473" t="n">
        <v>0</v>
      </c>
      <c r="R473" s="2" t="inlineStr"/>
    </row>
    <row r="474" ht="15" customHeight="1">
      <c r="A474" t="inlineStr">
        <is>
          <t>A 59811-2023</t>
        </is>
      </c>
      <c r="B474" s="1" t="n">
        <v>45254</v>
      </c>
      <c r="C474" s="1" t="n">
        <v>45999</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58290-2024</t>
        </is>
      </c>
      <c r="B475" s="1" t="n">
        <v>45632.5916087963</v>
      </c>
      <c r="C475" s="1" t="n">
        <v>45999</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37220-2024</t>
        </is>
      </c>
      <c r="B476" s="1" t="n">
        <v>45539.84837962963</v>
      </c>
      <c r="C476" s="1" t="n">
        <v>45999</v>
      </c>
      <c r="D476" t="inlineStr">
        <is>
          <t>VÄRMLANDS LÄN</t>
        </is>
      </c>
      <c r="E476" t="inlineStr">
        <is>
          <t>ÅRJÄNG</t>
        </is>
      </c>
      <c r="G476" t="n">
        <v>3.5</v>
      </c>
      <c r="H476" t="n">
        <v>0</v>
      </c>
      <c r="I476" t="n">
        <v>0</v>
      </c>
      <c r="J476" t="n">
        <v>0</v>
      </c>
      <c r="K476" t="n">
        <v>0</v>
      </c>
      <c r="L476" t="n">
        <v>0</v>
      </c>
      <c r="M476" t="n">
        <v>0</v>
      </c>
      <c r="N476" t="n">
        <v>0</v>
      </c>
      <c r="O476" t="n">
        <v>0</v>
      </c>
      <c r="P476" t="n">
        <v>0</v>
      </c>
      <c r="Q476" t="n">
        <v>0</v>
      </c>
      <c r="R476" s="2" t="inlineStr"/>
    </row>
    <row r="477" ht="15" customHeight="1">
      <c r="A477" t="inlineStr">
        <is>
          <t>A 12006-2023</t>
        </is>
      </c>
      <c r="B477" s="1" t="n">
        <v>44995.61495370371</v>
      </c>
      <c r="C477" s="1" t="n">
        <v>45999</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24916-2024</t>
        </is>
      </c>
      <c r="B478" s="1" t="n">
        <v>45461.6058449074</v>
      </c>
      <c r="C478" s="1" t="n">
        <v>45999</v>
      </c>
      <c r="D478" t="inlineStr">
        <is>
          <t>VÄRMLANDS LÄN</t>
        </is>
      </c>
      <c r="E478" t="inlineStr">
        <is>
          <t>ÅRJÄNG</t>
        </is>
      </c>
      <c r="G478" t="n">
        <v>0.7</v>
      </c>
      <c r="H478" t="n">
        <v>0</v>
      </c>
      <c r="I478" t="n">
        <v>0</v>
      </c>
      <c r="J478" t="n">
        <v>0</v>
      </c>
      <c r="K478" t="n">
        <v>0</v>
      </c>
      <c r="L478" t="n">
        <v>0</v>
      </c>
      <c r="M478" t="n">
        <v>0</v>
      </c>
      <c r="N478" t="n">
        <v>0</v>
      </c>
      <c r="O478" t="n">
        <v>0</v>
      </c>
      <c r="P478" t="n">
        <v>0</v>
      </c>
      <c r="Q478" t="n">
        <v>0</v>
      </c>
      <c r="R478" s="2" t="inlineStr"/>
    </row>
    <row r="479" ht="15" customHeight="1">
      <c r="A479" t="inlineStr">
        <is>
          <t>A 52803-2024</t>
        </is>
      </c>
      <c r="B479" s="1" t="n">
        <v>45610</v>
      </c>
      <c r="C479" s="1" t="n">
        <v>45999</v>
      </c>
      <c r="D479" t="inlineStr">
        <is>
          <t>VÄRMLANDS LÄN</t>
        </is>
      </c>
      <c r="E479" t="inlineStr">
        <is>
          <t>ÅRJÄNG</t>
        </is>
      </c>
      <c r="G479" t="n">
        <v>1.3</v>
      </c>
      <c r="H479" t="n">
        <v>0</v>
      </c>
      <c r="I479" t="n">
        <v>0</v>
      </c>
      <c r="J479" t="n">
        <v>0</v>
      </c>
      <c r="K479" t="n">
        <v>0</v>
      </c>
      <c r="L479" t="n">
        <v>0</v>
      </c>
      <c r="M479" t="n">
        <v>0</v>
      </c>
      <c r="N479" t="n">
        <v>0</v>
      </c>
      <c r="O479" t="n">
        <v>0</v>
      </c>
      <c r="P479" t="n">
        <v>0</v>
      </c>
      <c r="Q479" t="n">
        <v>0</v>
      </c>
      <c r="R479" s="2" t="inlineStr"/>
    </row>
    <row r="480" ht="15" customHeight="1">
      <c r="A480" t="inlineStr">
        <is>
          <t>A 27692-2024</t>
        </is>
      </c>
      <c r="B480" s="1" t="n">
        <v>45474</v>
      </c>
      <c r="C480" s="1" t="n">
        <v>45999</v>
      </c>
      <c r="D480" t="inlineStr">
        <is>
          <t>VÄRMLANDS LÄN</t>
        </is>
      </c>
      <c r="E480" t="inlineStr">
        <is>
          <t>ÅRJÄNG</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6405-2024</t>
        </is>
      </c>
      <c r="B481" s="1" t="n">
        <v>45338</v>
      </c>
      <c r="C481" s="1" t="n">
        <v>45999</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34425-2021</t>
        </is>
      </c>
      <c r="B482" s="1" t="n">
        <v>44380</v>
      </c>
      <c r="C482" s="1" t="n">
        <v>45999</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32973-2021</t>
        </is>
      </c>
      <c r="B483" s="1" t="n">
        <v>44376</v>
      </c>
      <c r="C483" s="1" t="n">
        <v>45999</v>
      </c>
      <c r="D483" t="inlineStr">
        <is>
          <t>VÄRMLANDS LÄN</t>
        </is>
      </c>
      <c r="E483" t="inlineStr">
        <is>
          <t>ÅRJÄNG</t>
        </is>
      </c>
      <c r="G483" t="n">
        <v>1.8</v>
      </c>
      <c r="H483" t="n">
        <v>0</v>
      </c>
      <c r="I483" t="n">
        <v>0</v>
      </c>
      <c r="J483" t="n">
        <v>0</v>
      </c>
      <c r="K483" t="n">
        <v>0</v>
      </c>
      <c r="L483" t="n">
        <v>0</v>
      </c>
      <c r="M483" t="n">
        <v>0</v>
      </c>
      <c r="N483" t="n">
        <v>0</v>
      </c>
      <c r="O483" t="n">
        <v>0</v>
      </c>
      <c r="P483" t="n">
        <v>0</v>
      </c>
      <c r="Q483" t="n">
        <v>0</v>
      </c>
      <c r="R483" s="2" t="inlineStr"/>
    </row>
    <row r="484" ht="15" customHeight="1">
      <c r="A484" t="inlineStr">
        <is>
          <t>A 13859-2023</t>
        </is>
      </c>
      <c r="B484" s="1" t="n">
        <v>45007.63384259259</v>
      </c>
      <c r="C484" s="1" t="n">
        <v>45999</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56333-2024</t>
        </is>
      </c>
      <c r="B485" s="1" t="n">
        <v>45624.8005324074</v>
      </c>
      <c r="C485" s="1" t="n">
        <v>45999</v>
      </c>
      <c r="D485" t="inlineStr">
        <is>
          <t>VÄRMLANDS LÄN</t>
        </is>
      </c>
      <c r="E485" t="inlineStr">
        <is>
          <t>ÅRJÄNG</t>
        </is>
      </c>
      <c r="G485" t="n">
        <v>3.2</v>
      </c>
      <c r="H485" t="n">
        <v>0</v>
      </c>
      <c r="I485" t="n">
        <v>0</v>
      </c>
      <c r="J485" t="n">
        <v>0</v>
      </c>
      <c r="K485" t="n">
        <v>0</v>
      </c>
      <c r="L485" t="n">
        <v>0</v>
      </c>
      <c r="M485" t="n">
        <v>0</v>
      </c>
      <c r="N485" t="n">
        <v>0</v>
      </c>
      <c r="O485" t="n">
        <v>0</v>
      </c>
      <c r="P485" t="n">
        <v>0</v>
      </c>
      <c r="Q485" t="n">
        <v>0</v>
      </c>
      <c r="R485" s="2" t="inlineStr"/>
    </row>
    <row r="486" ht="15" customHeight="1">
      <c r="A486" t="inlineStr">
        <is>
          <t>A 63796-2021</t>
        </is>
      </c>
      <c r="B486" s="1" t="n">
        <v>44509</v>
      </c>
      <c r="C486" s="1" t="n">
        <v>45999</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61764-2022</t>
        </is>
      </c>
      <c r="B487" s="1" t="n">
        <v>44911</v>
      </c>
      <c r="C487" s="1" t="n">
        <v>45999</v>
      </c>
      <c r="D487" t="inlineStr">
        <is>
          <t>VÄRMLANDS LÄN</t>
        </is>
      </c>
      <c r="E487" t="inlineStr">
        <is>
          <t>ÅRJÄNG</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19052-2023</t>
        </is>
      </c>
      <c r="B488" s="1" t="n">
        <v>45047</v>
      </c>
      <c r="C488" s="1" t="n">
        <v>45999</v>
      </c>
      <c r="D488" t="inlineStr">
        <is>
          <t>VÄRMLANDS LÄN</t>
        </is>
      </c>
      <c r="E488" t="inlineStr">
        <is>
          <t>ÅRJÄNG</t>
        </is>
      </c>
      <c r="G488" t="n">
        <v>3.5</v>
      </c>
      <c r="H488" t="n">
        <v>0</v>
      </c>
      <c r="I488" t="n">
        <v>0</v>
      </c>
      <c r="J488" t="n">
        <v>0</v>
      </c>
      <c r="K488" t="n">
        <v>0</v>
      </c>
      <c r="L488" t="n">
        <v>0</v>
      </c>
      <c r="M488" t="n">
        <v>0</v>
      </c>
      <c r="N488" t="n">
        <v>0</v>
      </c>
      <c r="O488" t="n">
        <v>0</v>
      </c>
      <c r="P488" t="n">
        <v>0</v>
      </c>
      <c r="Q488" t="n">
        <v>0</v>
      </c>
      <c r="R488" s="2" t="inlineStr"/>
    </row>
    <row r="489" ht="15" customHeight="1">
      <c r="A489" t="inlineStr">
        <is>
          <t>A 50941-2023</t>
        </is>
      </c>
      <c r="B489" s="1" t="n">
        <v>45218</v>
      </c>
      <c r="C489" s="1" t="n">
        <v>45999</v>
      </c>
      <c r="D489" t="inlineStr">
        <is>
          <t>VÄRMLANDS LÄN</t>
        </is>
      </c>
      <c r="E489" t="inlineStr">
        <is>
          <t>ÅRJÄNG</t>
        </is>
      </c>
      <c r="G489" t="n">
        <v>1.1</v>
      </c>
      <c r="H489" t="n">
        <v>0</v>
      </c>
      <c r="I489" t="n">
        <v>0</v>
      </c>
      <c r="J489" t="n">
        <v>0</v>
      </c>
      <c r="K489" t="n">
        <v>0</v>
      </c>
      <c r="L489" t="n">
        <v>0</v>
      </c>
      <c r="M489" t="n">
        <v>0</v>
      </c>
      <c r="N489" t="n">
        <v>0</v>
      </c>
      <c r="O489" t="n">
        <v>0</v>
      </c>
      <c r="P489" t="n">
        <v>0</v>
      </c>
      <c r="Q489" t="n">
        <v>0</v>
      </c>
      <c r="R489" s="2" t="inlineStr"/>
    </row>
    <row r="490" ht="15" customHeight="1">
      <c r="A490" t="inlineStr">
        <is>
          <t>A 57651-2024</t>
        </is>
      </c>
      <c r="B490" s="1" t="n">
        <v>45630</v>
      </c>
      <c r="C490" s="1" t="n">
        <v>45999</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35133-2024</t>
        </is>
      </c>
      <c r="B491" s="1" t="n">
        <v>45529</v>
      </c>
      <c r="C491" s="1" t="n">
        <v>45999</v>
      </c>
      <c r="D491" t="inlineStr">
        <is>
          <t>VÄRMLANDS LÄN</t>
        </is>
      </c>
      <c r="E491" t="inlineStr">
        <is>
          <t>ÅRJÄNG</t>
        </is>
      </c>
      <c r="G491" t="n">
        <v>10.2</v>
      </c>
      <c r="H491" t="n">
        <v>0</v>
      </c>
      <c r="I491" t="n">
        <v>0</v>
      </c>
      <c r="J491" t="n">
        <v>0</v>
      </c>
      <c r="K491" t="n">
        <v>0</v>
      </c>
      <c r="L491" t="n">
        <v>0</v>
      </c>
      <c r="M491" t="n">
        <v>0</v>
      </c>
      <c r="N491" t="n">
        <v>0</v>
      </c>
      <c r="O491" t="n">
        <v>0</v>
      </c>
      <c r="P491" t="n">
        <v>0</v>
      </c>
      <c r="Q491" t="n">
        <v>0</v>
      </c>
      <c r="R491" s="2" t="inlineStr"/>
    </row>
    <row r="492" ht="15" customHeight="1">
      <c r="A492" t="inlineStr">
        <is>
          <t>A 4465-2022</t>
        </is>
      </c>
      <c r="B492" s="1" t="n">
        <v>44589.60690972222</v>
      </c>
      <c r="C492" s="1" t="n">
        <v>45999</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58874-2023</t>
        </is>
      </c>
      <c r="B493" s="1" t="n">
        <v>45252</v>
      </c>
      <c r="C493" s="1" t="n">
        <v>45999</v>
      </c>
      <c r="D493" t="inlineStr">
        <is>
          <t>VÄRMLANDS LÄN</t>
        </is>
      </c>
      <c r="E493" t="inlineStr">
        <is>
          <t>ÅRJÄNG</t>
        </is>
      </c>
      <c r="G493" t="n">
        <v>2.5</v>
      </c>
      <c r="H493" t="n">
        <v>0</v>
      </c>
      <c r="I493" t="n">
        <v>0</v>
      </c>
      <c r="J493" t="n">
        <v>0</v>
      </c>
      <c r="K493" t="n">
        <v>0</v>
      </c>
      <c r="L493" t="n">
        <v>0</v>
      </c>
      <c r="M493" t="n">
        <v>0</v>
      </c>
      <c r="N493" t="n">
        <v>0</v>
      </c>
      <c r="O493" t="n">
        <v>0</v>
      </c>
      <c r="P493" t="n">
        <v>0</v>
      </c>
      <c r="Q493" t="n">
        <v>0</v>
      </c>
      <c r="R493" s="2" t="inlineStr"/>
    </row>
    <row r="494" ht="15" customHeight="1">
      <c r="A494" t="inlineStr">
        <is>
          <t>A 62357-2021</t>
        </is>
      </c>
      <c r="B494" s="1" t="n">
        <v>44503.45271990741</v>
      </c>
      <c r="C494" s="1" t="n">
        <v>45999</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15570-2025</t>
        </is>
      </c>
      <c r="B495" s="1" t="n">
        <v>45747</v>
      </c>
      <c r="C495" s="1" t="n">
        <v>45999</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15572-2025</t>
        </is>
      </c>
      <c r="B496" s="1" t="n">
        <v>45747</v>
      </c>
      <c r="C496" s="1" t="n">
        <v>45999</v>
      </c>
      <c r="D496" t="inlineStr">
        <is>
          <t>VÄRMLANDS LÄN</t>
        </is>
      </c>
      <c r="E496" t="inlineStr">
        <is>
          <t>ÅRJÄNG</t>
        </is>
      </c>
      <c r="G496" t="n">
        <v>1.6</v>
      </c>
      <c r="H496" t="n">
        <v>0</v>
      </c>
      <c r="I496" t="n">
        <v>0</v>
      </c>
      <c r="J496" t="n">
        <v>0</v>
      </c>
      <c r="K496" t="n">
        <v>0</v>
      </c>
      <c r="L496" t="n">
        <v>0</v>
      </c>
      <c r="M496" t="n">
        <v>0</v>
      </c>
      <c r="N496" t="n">
        <v>0</v>
      </c>
      <c r="O496" t="n">
        <v>0</v>
      </c>
      <c r="P496" t="n">
        <v>0</v>
      </c>
      <c r="Q496" t="n">
        <v>0</v>
      </c>
      <c r="R496" s="2" t="inlineStr"/>
    </row>
    <row r="497" ht="15" customHeight="1">
      <c r="A497" t="inlineStr">
        <is>
          <t>A 15578-2025</t>
        </is>
      </c>
      <c r="B497" s="1" t="n">
        <v>45747</v>
      </c>
      <c r="C497" s="1" t="n">
        <v>45999</v>
      </c>
      <c r="D497" t="inlineStr">
        <is>
          <t>VÄRMLANDS LÄN</t>
        </is>
      </c>
      <c r="E497" t="inlineStr">
        <is>
          <t>ÅRJÄNG</t>
        </is>
      </c>
      <c r="G497" t="n">
        <v>4.6</v>
      </c>
      <c r="H497" t="n">
        <v>0</v>
      </c>
      <c r="I497" t="n">
        <v>0</v>
      </c>
      <c r="J497" t="n">
        <v>0</v>
      </c>
      <c r="K497" t="n">
        <v>0</v>
      </c>
      <c r="L497" t="n">
        <v>0</v>
      </c>
      <c r="M497" t="n">
        <v>0</v>
      </c>
      <c r="N497" t="n">
        <v>0</v>
      </c>
      <c r="O497" t="n">
        <v>0</v>
      </c>
      <c r="P497" t="n">
        <v>0</v>
      </c>
      <c r="Q497" t="n">
        <v>0</v>
      </c>
      <c r="R497" s="2" t="inlineStr"/>
    </row>
    <row r="498" ht="15" customHeight="1">
      <c r="A498" t="inlineStr">
        <is>
          <t>A 69417-2021</t>
        </is>
      </c>
      <c r="B498" s="1" t="n">
        <v>44531</v>
      </c>
      <c r="C498" s="1" t="n">
        <v>45999</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1615-2025</t>
        </is>
      </c>
      <c r="B499" s="1" t="n">
        <v>45670.60484953703</v>
      </c>
      <c r="C499" s="1" t="n">
        <v>45999</v>
      </c>
      <c r="D499" t="inlineStr">
        <is>
          <t>VÄRMLANDS LÄN</t>
        </is>
      </c>
      <c r="E499" t="inlineStr">
        <is>
          <t>ÅRJÄNG</t>
        </is>
      </c>
      <c r="G499" t="n">
        <v>3.3</v>
      </c>
      <c r="H499" t="n">
        <v>0</v>
      </c>
      <c r="I499" t="n">
        <v>0</v>
      </c>
      <c r="J499" t="n">
        <v>0</v>
      </c>
      <c r="K499" t="n">
        <v>0</v>
      </c>
      <c r="L499" t="n">
        <v>0</v>
      </c>
      <c r="M499" t="n">
        <v>0</v>
      </c>
      <c r="N499" t="n">
        <v>0</v>
      </c>
      <c r="O499" t="n">
        <v>0</v>
      </c>
      <c r="P499" t="n">
        <v>0</v>
      </c>
      <c r="Q499" t="n">
        <v>0</v>
      </c>
      <c r="R499" s="2" t="inlineStr"/>
    </row>
    <row r="500" ht="15" customHeight="1">
      <c r="A500" t="inlineStr">
        <is>
          <t>A 29204-2023</t>
        </is>
      </c>
      <c r="B500" s="1" t="n">
        <v>45105.5669212963</v>
      </c>
      <c r="C500" s="1" t="n">
        <v>45999</v>
      </c>
      <c r="D500" t="inlineStr">
        <is>
          <t>VÄRMLANDS LÄN</t>
        </is>
      </c>
      <c r="E500" t="inlineStr">
        <is>
          <t>ÅRJÄNG</t>
        </is>
      </c>
      <c r="G500" t="n">
        <v>1.5</v>
      </c>
      <c r="H500" t="n">
        <v>0</v>
      </c>
      <c r="I500" t="n">
        <v>0</v>
      </c>
      <c r="J500" t="n">
        <v>0</v>
      </c>
      <c r="K500" t="n">
        <v>0</v>
      </c>
      <c r="L500" t="n">
        <v>0</v>
      </c>
      <c r="M500" t="n">
        <v>0</v>
      </c>
      <c r="N500" t="n">
        <v>0</v>
      </c>
      <c r="O500" t="n">
        <v>0</v>
      </c>
      <c r="P500" t="n">
        <v>0</v>
      </c>
      <c r="Q500" t="n">
        <v>0</v>
      </c>
      <c r="R500" s="2" t="inlineStr"/>
    </row>
    <row r="501" ht="15" customHeight="1">
      <c r="A501" t="inlineStr">
        <is>
          <t>A 38482-2024</t>
        </is>
      </c>
      <c r="B501" s="1" t="n">
        <v>45546</v>
      </c>
      <c r="C501" s="1" t="n">
        <v>45999</v>
      </c>
      <c r="D501" t="inlineStr">
        <is>
          <t>VÄRMLANDS LÄN</t>
        </is>
      </c>
      <c r="E501" t="inlineStr">
        <is>
          <t>ÅRJÄNG</t>
        </is>
      </c>
      <c r="G501" t="n">
        <v>2.8</v>
      </c>
      <c r="H501" t="n">
        <v>0</v>
      </c>
      <c r="I501" t="n">
        <v>0</v>
      </c>
      <c r="J501" t="n">
        <v>0</v>
      </c>
      <c r="K501" t="n">
        <v>0</v>
      </c>
      <c r="L501" t="n">
        <v>0</v>
      </c>
      <c r="M501" t="n">
        <v>0</v>
      </c>
      <c r="N501" t="n">
        <v>0</v>
      </c>
      <c r="O501" t="n">
        <v>0</v>
      </c>
      <c r="P501" t="n">
        <v>0</v>
      </c>
      <c r="Q501" t="n">
        <v>0</v>
      </c>
      <c r="R501" s="2" t="inlineStr"/>
    </row>
    <row r="502" ht="15" customHeight="1">
      <c r="A502" t="inlineStr">
        <is>
          <t>A 38536-2024</t>
        </is>
      </c>
      <c r="B502" s="1" t="n">
        <v>45546.59431712963</v>
      </c>
      <c r="C502" s="1" t="n">
        <v>45999</v>
      </c>
      <c r="D502" t="inlineStr">
        <is>
          <t>VÄRMLANDS LÄN</t>
        </is>
      </c>
      <c r="E502" t="inlineStr">
        <is>
          <t>ÅRJÄNG</t>
        </is>
      </c>
      <c r="F502" t="inlineStr">
        <is>
          <t>Bergvik skog väst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17015-2023</t>
        </is>
      </c>
      <c r="B503" s="1" t="n">
        <v>45030</v>
      </c>
      <c r="C503" s="1" t="n">
        <v>45999</v>
      </c>
      <c r="D503" t="inlineStr">
        <is>
          <t>VÄRMLANDS LÄN</t>
        </is>
      </c>
      <c r="E503" t="inlineStr">
        <is>
          <t>ÅRJÄNG</t>
        </is>
      </c>
      <c r="F503" t="inlineStr">
        <is>
          <t>Övriga Aktiebolag</t>
        </is>
      </c>
      <c r="G503" t="n">
        <v>13.9</v>
      </c>
      <c r="H503" t="n">
        <v>0</v>
      </c>
      <c r="I503" t="n">
        <v>0</v>
      </c>
      <c r="J503" t="n">
        <v>0</v>
      </c>
      <c r="K503" t="n">
        <v>0</v>
      </c>
      <c r="L503" t="n">
        <v>0</v>
      </c>
      <c r="M503" t="n">
        <v>0</v>
      </c>
      <c r="N503" t="n">
        <v>0</v>
      </c>
      <c r="O503" t="n">
        <v>0</v>
      </c>
      <c r="P503" t="n">
        <v>0</v>
      </c>
      <c r="Q503" t="n">
        <v>0</v>
      </c>
      <c r="R503" s="2" t="inlineStr"/>
    </row>
    <row r="504" ht="15" customHeight="1">
      <c r="A504" t="inlineStr">
        <is>
          <t>A 67134-2020</t>
        </is>
      </c>
      <c r="B504" s="1" t="n">
        <v>44179</v>
      </c>
      <c r="C504" s="1" t="n">
        <v>45999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65837-2021</t>
        </is>
      </c>
      <c r="B505" s="1" t="n">
        <v>44517.35402777778</v>
      </c>
      <c r="C505" s="1" t="n">
        <v>45999</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49405-2022</t>
        </is>
      </c>
      <c r="B506" s="1" t="n">
        <v>44861.63182870371</v>
      </c>
      <c r="C506" s="1" t="n">
        <v>45999</v>
      </c>
      <c r="D506" t="inlineStr">
        <is>
          <t>VÄRMLANDS LÄN</t>
        </is>
      </c>
      <c r="E506" t="inlineStr">
        <is>
          <t>ÅRJÄNG</t>
        </is>
      </c>
      <c r="G506" t="n">
        <v>1.1</v>
      </c>
      <c r="H506" t="n">
        <v>0</v>
      </c>
      <c r="I506" t="n">
        <v>0</v>
      </c>
      <c r="J506" t="n">
        <v>0</v>
      </c>
      <c r="K506" t="n">
        <v>0</v>
      </c>
      <c r="L506" t="n">
        <v>0</v>
      </c>
      <c r="M506" t="n">
        <v>0</v>
      </c>
      <c r="N506" t="n">
        <v>0</v>
      </c>
      <c r="O506" t="n">
        <v>0</v>
      </c>
      <c r="P506" t="n">
        <v>0</v>
      </c>
      <c r="Q506" t="n">
        <v>0</v>
      </c>
      <c r="R506" s="2" t="inlineStr"/>
    </row>
    <row r="507" ht="15" customHeight="1">
      <c r="A507" t="inlineStr">
        <is>
          <t>A 44417-2021</t>
        </is>
      </c>
      <c r="B507" s="1" t="n">
        <v>44435.50591435185</v>
      </c>
      <c r="C507" s="1" t="n">
        <v>45999</v>
      </c>
      <c r="D507" t="inlineStr">
        <is>
          <t>VÄRMLANDS LÄN</t>
        </is>
      </c>
      <c r="E507" t="inlineStr">
        <is>
          <t>ÅRJÄNG</t>
        </is>
      </c>
      <c r="G507" t="n">
        <v>32.2</v>
      </c>
      <c r="H507" t="n">
        <v>0</v>
      </c>
      <c r="I507" t="n">
        <v>0</v>
      </c>
      <c r="J507" t="n">
        <v>0</v>
      </c>
      <c r="K507" t="n">
        <v>0</v>
      </c>
      <c r="L507" t="n">
        <v>0</v>
      </c>
      <c r="M507" t="n">
        <v>0</v>
      </c>
      <c r="N507" t="n">
        <v>0</v>
      </c>
      <c r="O507" t="n">
        <v>0</v>
      </c>
      <c r="P507" t="n">
        <v>0</v>
      </c>
      <c r="Q507" t="n">
        <v>0</v>
      </c>
      <c r="R507" s="2" t="inlineStr"/>
    </row>
    <row r="508" ht="15" customHeight="1">
      <c r="A508" t="inlineStr">
        <is>
          <t>A 21362-2022</t>
        </is>
      </c>
      <c r="B508" s="1" t="n">
        <v>44705</v>
      </c>
      <c r="C508" s="1" t="n">
        <v>45999</v>
      </c>
      <c r="D508" t="inlineStr">
        <is>
          <t>VÄRMLANDS LÄN</t>
        </is>
      </c>
      <c r="E508" t="inlineStr">
        <is>
          <t>ÅRJÄNG</t>
        </is>
      </c>
      <c r="G508" t="n">
        <v>1.6</v>
      </c>
      <c r="H508" t="n">
        <v>0</v>
      </c>
      <c r="I508" t="n">
        <v>0</v>
      </c>
      <c r="J508" t="n">
        <v>0</v>
      </c>
      <c r="K508" t="n">
        <v>0</v>
      </c>
      <c r="L508" t="n">
        <v>0</v>
      </c>
      <c r="M508" t="n">
        <v>0</v>
      </c>
      <c r="N508" t="n">
        <v>0</v>
      </c>
      <c r="O508" t="n">
        <v>0</v>
      </c>
      <c r="P508" t="n">
        <v>0</v>
      </c>
      <c r="Q508" t="n">
        <v>0</v>
      </c>
      <c r="R508" s="2" t="inlineStr"/>
    </row>
    <row r="509" ht="15" customHeight="1">
      <c r="A509" t="inlineStr">
        <is>
          <t>A 65854-2021</t>
        </is>
      </c>
      <c r="B509" s="1" t="n">
        <v>44517.37467592592</v>
      </c>
      <c r="C509" s="1" t="n">
        <v>45999</v>
      </c>
      <c r="D509" t="inlineStr">
        <is>
          <t>VÄRMLANDS LÄN</t>
        </is>
      </c>
      <c r="E509" t="inlineStr">
        <is>
          <t>ÅRJÄNG</t>
        </is>
      </c>
      <c r="G509" t="n">
        <v>11.1</v>
      </c>
      <c r="H509" t="n">
        <v>0</v>
      </c>
      <c r="I509" t="n">
        <v>0</v>
      </c>
      <c r="J509" t="n">
        <v>0</v>
      </c>
      <c r="K509" t="n">
        <v>0</v>
      </c>
      <c r="L509" t="n">
        <v>0</v>
      </c>
      <c r="M509" t="n">
        <v>0</v>
      </c>
      <c r="N509" t="n">
        <v>0</v>
      </c>
      <c r="O509" t="n">
        <v>0</v>
      </c>
      <c r="P509" t="n">
        <v>0</v>
      </c>
      <c r="Q509" t="n">
        <v>0</v>
      </c>
      <c r="R509" s="2" t="inlineStr"/>
    </row>
    <row r="510" ht="15" customHeight="1">
      <c r="A510" t="inlineStr">
        <is>
          <t>A 38840-2023</t>
        </is>
      </c>
      <c r="B510" s="1" t="n">
        <v>45163.48267361111</v>
      </c>
      <c r="C510" s="1" t="n">
        <v>45999</v>
      </c>
      <c r="D510" t="inlineStr">
        <is>
          <t>VÄRMLANDS LÄN</t>
        </is>
      </c>
      <c r="E510" t="inlineStr">
        <is>
          <t>ÅRJÄNG</t>
        </is>
      </c>
      <c r="G510" t="n">
        <v>2.4</v>
      </c>
      <c r="H510" t="n">
        <v>0</v>
      </c>
      <c r="I510" t="n">
        <v>0</v>
      </c>
      <c r="J510" t="n">
        <v>0</v>
      </c>
      <c r="K510" t="n">
        <v>0</v>
      </c>
      <c r="L510" t="n">
        <v>0</v>
      </c>
      <c r="M510" t="n">
        <v>0</v>
      </c>
      <c r="N510" t="n">
        <v>0</v>
      </c>
      <c r="O510" t="n">
        <v>0</v>
      </c>
      <c r="P510" t="n">
        <v>0</v>
      </c>
      <c r="Q510" t="n">
        <v>0</v>
      </c>
      <c r="R510" s="2" t="inlineStr"/>
    </row>
    <row r="511" ht="15" customHeight="1">
      <c r="A511" t="inlineStr">
        <is>
          <t>A 42149-2024</t>
        </is>
      </c>
      <c r="B511" s="1" t="n">
        <v>45562.44591435185</v>
      </c>
      <c r="C511" s="1" t="n">
        <v>45999</v>
      </c>
      <c r="D511" t="inlineStr">
        <is>
          <t>VÄRMLANDS LÄN</t>
        </is>
      </c>
      <c r="E511" t="inlineStr">
        <is>
          <t>ÅRJÄNG</t>
        </is>
      </c>
      <c r="G511" t="n">
        <v>1.9</v>
      </c>
      <c r="H511" t="n">
        <v>0</v>
      </c>
      <c r="I511" t="n">
        <v>0</v>
      </c>
      <c r="J511" t="n">
        <v>0</v>
      </c>
      <c r="K511" t="n">
        <v>0</v>
      </c>
      <c r="L511" t="n">
        <v>0</v>
      </c>
      <c r="M511" t="n">
        <v>0</v>
      </c>
      <c r="N511" t="n">
        <v>0</v>
      </c>
      <c r="O511" t="n">
        <v>0</v>
      </c>
      <c r="P511" t="n">
        <v>0</v>
      </c>
      <c r="Q511" t="n">
        <v>0</v>
      </c>
      <c r="R511" s="2" t="inlineStr"/>
    </row>
    <row r="512" ht="15" customHeight="1">
      <c r="A512" t="inlineStr">
        <is>
          <t>A 36195-2023</t>
        </is>
      </c>
      <c r="B512" s="1" t="n">
        <v>45149</v>
      </c>
      <c r="C512" s="1" t="n">
        <v>45999</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8951-2021</t>
        </is>
      </c>
      <c r="B513" s="1" t="n">
        <v>44246</v>
      </c>
      <c r="C513" s="1" t="n">
        <v>45999</v>
      </c>
      <c r="D513" t="inlineStr">
        <is>
          <t>VÄRMLANDS LÄN</t>
        </is>
      </c>
      <c r="E513" t="inlineStr">
        <is>
          <t>ÅRJÄNG</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47223-2021</t>
        </is>
      </c>
      <c r="B514" s="1" t="n">
        <v>44446</v>
      </c>
      <c r="C514" s="1" t="n">
        <v>45999</v>
      </c>
      <c r="D514" t="inlineStr">
        <is>
          <t>VÄRMLANDS LÄN</t>
        </is>
      </c>
      <c r="E514" t="inlineStr">
        <is>
          <t>ÅRJÄNG</t>
        </is>
      </c>
      <c r="G514" t="n">
        <v>5.4</v>
      </c>
      <c r="H514" t="n">
        <v>0</v>
      </c>
      <c r="I514" t="n">
        <v>0</v>
      </c>
      <c r="J514" t="n">
        <v>0</v>
      </c>
      <c r="K514" t="n">
        <v>0</v>
      </c>
      <c r="L514" t="n">
        <v>0</v>
      </c>
      <c r="M514" t="n">
        <v>0</v>
      </c>
      <c r="N514" t="n">
        <v>0</v>
      </c>
      <c r="O514" t="n">
        <v>0</v>
      </c>
      <c r="P514" t="n">
        <v>0</v>
      </c>
      <c r="Q514" t="n">
        <v>0</v>
      </c>
      <c r="R514" s="2" t="inlineStr"/>
    </row>
    <row r="515" ht="15" customHeight="1">
      <c r="A515" t="inlineStr">
        <is>
          <t>A 7445-2024</t>
        </is>
      </c>
      <c r="B515" s="1" t="n">
        <v>45345.73023148148</v>
      </c>
      <c r="C515" s="1" t="n">
        <v>45999</v>
      </c>
      <c r="D515" t="inlineStr">
        <is>
          <t>VÄRMLANDS LÄN</t>
        </is>
      </c>
      <c r="E515" t="inlineStr">
        <is>
          <t>ÅRJÄNG</t>
        </is>
      </c>
      <c r="G515" t="n">
        <v>0.5</v>
      </c>
      <c r="H515" t="n">
        <v>0</v>
      </c>
      <c r="I515" t="n">
        <v>0</v>
      </c>
      <c r="J515" t="n">
        <v>0</v>
      </c>
      <c r="K515" t="n">
        <v>0</v>
      </c>
      <c r="L515" t="n">
        <v>0</v>
      </c>
      <c r="M515" t="n">
        <v>0</v>
      </c>
      <c r="N515" t="n">
        <v>0</v>
      </c>
      <c r="O515" t="n">
        <v>0</v>
      </c>
      <c r="P515" t="n">
        <v>0</v>
      </c>
      <c r="Q515" t="n">
        <v>0</v>
      </c>
      <c r="R515" s="2" t="inlineStr"/>
    </row>
    <row r="516" ht="15" customHeight="1">
      <c r="A516" t="inlineStr">
        <is>
          <t>A 45635-2024</t>
        </is>
      </c>
      <c r="B516" s="1" t="n">
        <v>45579</v>
      </c>
      <c r="C516" s="1" t="n">
        <v>45999</v>
      </c>
      <c r="D516" t="inlineStr">
        <is>
          <t>VÄRMLANDS LÄN</t>
        </is>
      </c>
      <c r="E516" t="inlineStr">
        <is>
          <t>ÅRJÄNG</t>
        </is>
      </c>
      <c r="G516" t="n">
        <v>9.1</v>
      </c>
      <c r="H516" t="n">
        <v>0</v>
      </c>
      <c r="I516" t="n">
        <v>0</v>
      </c>
      <c r="J516" t="n">
        <v>0</v>
      </c>
      <c r="K516" t="n">
        <v>0</v>
      </c>
      <c r="L516" t="n">
        <v>0</v>
      </c>
      <c r="M516" t="n">
        <v>0</v>
      </c>
      <c r="N516" t="n">
        <v>0</v>
      </c>
      <c r="O516" t="n">
        <v>0</v>
      </c>
      <c r="P516" t="n">
        <v>0</v>
      </c>
      <c r="Q516" t="n">
        <v>0</v>
      </c>
      <c r="R516" s="2" t="inlineStr"/>
    </row>
    <row r="517" ht="15" customHeight="1">
      <c r="A517" t="inlineStr">
        <is>
          <t>A 4748-2023</t>
        </is>
      </c>
      <c r="B517" s="1" t="n">
        <v>44957</v>
      </c>
      <c r="C517" s="1" t="n">
        <v>45999</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43244-2023</t>
        </is>
      </c>
      <c r="B518" s="1" t="n">
        <v>45183.48121527778</v>
      </c>
      <c r="C518" s="1" t="n">
        <v>45999</v>
      </c>
      <c r="D518" t="inlineStr">
        <is>
          <t>VÄRMLANDS LÄN</t>
        </is>
      </c>
      <c r="E518" t="inlineStr">
        <is>
          <t>ÅRJÄNG</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42141-2024</t>
        </is>
      </c>
      <c r="B519" s="1" t="n">
        <v>45562.43354166667</v>
      </c>
      <c r="C519" s="1" t="n">
        <v>45999</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54382-2024</t>
        </is>
      </c>
      <c r="B520" s="1" t="n">
        <v>45617.44510416667</v>
      </c>
      <c r="C520" s="1" t="n">
        <v>45999</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56115-2024</t>
        </is>
      </c>
      <c r="B521" s="1" t="n">
        <v>45624.45351851852</v>
      </c>
      <c r="C521" s="1" t="n">
        <v>45999</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56116-2024</t>
        </is>
      </c>
      <c r="B522" s="1" t="n">
        <v>45624.45506944445</v>
      </c>
      <c r="C522" s="1" t="n">
        <v>45999</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11026-2023</t>
        </is>
      </c>
      <c r="B523" s="1" t="n">
        <v>44991</v>
      </c>
      <c r="C523" s="1" t="n">
        <v>45999</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8625-2022</t>
        </is>
      </c>
      <c r="B524" s="1" t="n">
        <v>44613.61064814815</v>
      </c>
      <c r="C524" s="1" t="n">
        <v>45999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42455-2024</t>
        </is>
      </c>
      <c r="B525" s="1" t="n">
        <v>45565</v>
      </c>
      <c r="C525" s="1" t="n">
        <v>45999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36017-2024</t>
        </is>
      </c>
      <c r="B526" s="1" t="n">
        <v>45533</v>
      </c>
      <c r="C526" s="1" t="n">
        <v>45999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3796-2021</t>
        </is>
      </c>
      <c r="B527" s="1" t="n">
        <v>44221</v>
      </c>
      <c r="C527" s="1" t="n">
        <v>45999</v>
      </c>
      <c r="D527" t="inlineStr">
        <is>
          <t>VÄRMLANDS LÄN</t>
        </is>
      </c>
      <c r="E527" t="inlineStr">
        <is>
          <t>ÅRJÄNG</t>
        </is>
      </c>
      <c r="G527" t="n">
        <v>4</v>
      </c>
      <c r="H527" t="n">
        <v>0</v>
      </c>
      <c r="I527" t="n">
        <v>0</v>
      </c>
      <c r="J527" t="n">
        <v>0</v>
      </c>
      <c r="K527" t="n">
        <v>0</v>
      </c>
      <c r="L527" t="n">
        <v>0</v>
      </c>
      <c r="M527" t="n">
        <v>0</v>
      </c>
      <c r="N527" t="n">
        <v>0</v>
      </c>
      <c r="O527" t="n">
        <v>0</v>
      </c>
      <c r="P527" t="n">
        <v>0</v>
      </c>
      <c r="Q527" t="n">
        <v>0</v>
      </c>
      <c r="R527" s="2" t="inlineStr"/>
    </row>
    <row r="528" ht="15" customHeight="1">
      <c r="A528" t="inlineStr">
        <is>
          <t>A 49673-2022</t>
        </is>
      </c>
      <c r="B528" s="1" t="n">
        <v>44862.47881944444</v>
      </c>
      <c r="C528" s="1" t="n">
        <v>45999</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57152-2024</t>
        </is>
      </c>
      <c r="B529" s="1" t="n">
        <v>45628</v>
      </c>
      <c r="C529" s="1" t="n">
        <v>45999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57158-2024</t>
        </is>
      </c>
      <c r="B530" s="1" t="n">
        <v>45628</v>
      </c>
      <c r="C530" s="1" t="n">
        <v>45999</v>
      </c>
      <c r="D530" t="inlineStr">
        <is>
          <t>VÄRMLANDS LÄN</t>
        </is>
      </c>
      <c r="E530" t="inlineStr">
        <is>
          <t>ÅRJÄNG</t>
        </is>
      </c>
      <c r="G530" t="n">
        <v>6.3</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44472.93063657408</v>
      </c>
      <c r="C531" s="1" t="n">
        <v>45999</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55686-2024</t>
        </is>
      </c>
      <c r="B532" s="1" t="n">
        <v>45622</v>
      </c>
      <c r="C532" s="1" t="n">
        <v>45999</v>
      </c>
      <c r="D532" t="inlineStr">
        <is>
          <t>VÄRMLANDS LÄN</t>
        </is>
      </c>
      <c r="E532" t="inlineStr">
        <is>
          <t>ÅRJÄNG</t>
        </is>
      </c>
      <c r="G532" t="n">
        <v>1.9</v>
      </c>
      <c r="H532" t="n">
        <v>0</v>
      </c>
      <c r="I532" t="n">
        <v>0</v>
      </c>
      <c r="J532" t="n">
        <v>0</v>
      </c>
      <c r="K532" t="n">
        <v>0</v>
      </c>
      <c r="L532" t="n">
        <v>0</v>
      </c>
      <c r="M532" t="n">
        <v>0</v>
      </c>
      <c r="N532" t="n">
        <v>0</v>
      </c>
      <c r="O532" t="n">
        <v>0</v>
      </c>
      <c r="P532" t="n">
        <v>0</v>
      </c>
      <c r="Q532" t="n">
        <v>0</v>
      </c>
      <c r="R532" s="2" t="inlineStr"/>
    </row>
    <row r="533" ht="15" customHeight="1">
      <c r="A533" t="inlineStr">
        <is>
          <t>A 11176-2023</t>
        </is>
      </c>
      <c r="B533" s="1" t="n">
        <v>44987</v>
      </c>
      <c r="C533" s="1" t="n">
        <v>45999</v>
      </c>
      <c r="D533" t="inlineStr">
        <is>
          <t>VÄRMLANDS LÄN</t>
        </is>
      </c>
      <c r="E533" t="inlineStr">
        <is>
          <t>ÅRJÄNG</t>
        </is>
      </c>
      <c r="G533" t="n">
        <v>5.2</v>
      </c>
      <c r="H533" t="n">
        <v>0</v>
      </c>
      <c r="I533" t="n">
        <v>0</v>
      </c>
      <c r="J533" t="n">
        <v>0</v>
      </c>
      <c r="K533" t="n">
        <v>0</v>
      </c>
      <c r="L533" t="n">
        <v>0</v>
      </c>
      <c r="M533" t="n">
        <v>0</v>
      </c>
      <c r="N533" t="n">
        <v>0</v>
      </c>
      <c r="O533" t="n">
        <v>0</v>
      </c>
      <c r="P533" t="n">
        <v>0</v>
      </c>
      <c r="Q533" t="n">
        <v>0</v>
      </c>
      <c r="R533" s="2" t="inlineStr"/>
    </row>
    <row r="534" ht="15" customHeight="1">
      <c r="A534" t="inlineStr">
        <is>
          <t>A 58540-2024</t>
        </is>
      </c>
      <c r="B534" s="1" t="n">
        <v>45635</v>
      </c>
      <c r="C534" s="1" t="n">
        <v>45999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8678-2022</t>
        </is>
      </c>
      <c r="B535" s="1" t="n">
        <v>44613.68043981482</v>
      </c>
      <c r="C535" s="1" t="n">
        <v>45999</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61009-2022</t>
        </is>
      </c>
      <c r="B536" s="1" t="n">
        <v>44914.7541550926</v>
      </c>
      <c r="C536" s="1" t="n">
        <v>45999</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34574-2023</t>
        </is>
      </c>
      <c r="B537" s="1" t="n">
        <v>45135</v>
      </c>
      <c r="C537" s="1" t="n">
        <v>45999</v>
      </c>
      <c r="D537" t="inlineStr">
        <is>
          <t>VÄRMLANDS LÄN</t>
        </is>
      </c>
      <c r="E537" t="inlineStr">
        <is>
          <t>ÅRJÄNG</t>
        </is>
      </c>
      <c r="F537" t="inlineStr">
        <is>
          <t>Övriga Aktiebolag</t>
        </is>
      </c>
      <c r="G537" t="n">
        <v>5.9</v>
      </c>
      <c r="H537" t="n">
        <v>0</v>
      </c>
      <c r="I537" t="n">
        <v>0</v>
      </c>
      <c r="J537" t="n">
        <v>0</v>
      </c>
      <c r="K537" t="n">
        <v>0</v>
      </c>
      <c r="L537" t="n">
        <v>0</v>
      </c>
      <c r="M537" t="n">
        <v>0</v>
      </c>
      <c r="N537" t="n">
        <v>0</v>
      </c>
      <c r="O537" t="n">
        <v>0</v>
      </c>
      <c r="P537" t="n">
        <v>0</v>
      </c>
      <c r="Q537" t="n">
        <v>0</v>
      </c>
      <c r="R537" s="2" t="inlineStr"/>
    </row>
    <row r="538" ht="15" customHeight="1">
      <c r="A538" t="inlineStr">
        <is>
          <t>A 48293-2022</t>
        </is>
      </c>
      <c r="B538" s="1" t="n">
        <v>44858.51623842592</v>
      </c>
      <c r="C538" s="1" t="n">
        <v>45999</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38433-2024</t>
        </is>
      </c>
      <c r="B539" s="1" t="n">
        <v>45546</v>
      </c>
      <c r="C539" s="1" t="n">
        <v>45999</v>
      </c>
      <c r="D539" t="inlineStr">
        <is>
          <t>VÄRMLANDS LÄN</t>
        </is>
      </c>
      <c r="E539" t="inlineStr">
        <is>
          <t>ÅRJÄNG</t>
        </is>
      </c>
      <c r="G539" t="n">
        <v>0.3</v>
      </c>
      <c r="H539" t="n">
        <v>0</v>
      </c>
      <c r="I539" t="n">
        <v>0</v>
      </c>
      <c r="J539" t="n">
        <v>0</v>
      </c>
      <c r="K539" t="n">
        <v>0</v>
      </c>
      <c r="L539" t="n">
        <v>0</v>
      </c>
      <c r="M539" t="n">
        <v>0</v>
      </c>
      <c r="N539" t="n">
        <v>0</v>
      </c>
      <c r="O539" t="n">
        <v>0</v>
      </c>
      <c r="P539" t="n">
        <v>0</v>
      </c>
      <c r="Q539" t="n">
        <v>0</v>
      </c>
      <c r="R539" s="2" t="inlineStr"/>
    </row>
    <row r="540" ht="15" customHeight="1">
      <c r="A540" t="inlineStr">
        <is>
          <t>A 47028-2024</t>
        </is>
      </c>
      <c r="B540" s="1" t="n">
        <v>45586</v>
      </c>
      <c r="C540" s="1" t="n">
        <v>45999</v>
      </c>
      <c r="D540" t="inlineStr">
        <is>
          <t>VÄRMLANDS LÄN</t>
        </is>
      </c>
      <c r="E540" t="inlineStr">
        <is>
          <t>ÅRJÄNG</t>
        </is>
      </c>
      <c r="G540" t="n">
        <v>1.4</v>
      </c>
      <c r="H540" t="n">
        <v>0</v>
      </c>
      <c r="I540" t="n">
        <v>0</v>
      </c>
      <c r="J540" t="n">
        <v>0</v>
      </c>
      <c r="K540" t="n">
        <v>0</v>
      </c>
      <c r="L540" t="n">
        <v>0</v>
      </c>
      <c r="M540" t="n">
        <v>0</v>
      </c>
      <c r="N540" t="n">
        <v>0</v>
      </c>
      <c r="O540" t="n">
        <v>0</v>
      </c>
      <c r="P540" t="n">
        <v>0</v>
      </c>
      <c r="Q540" t="n">
        <v>0</v>
      </c>
      <c r="R540" s="2" t="inlineStr"/>
    </row>
    <row r="541" ht="15" customHeight="1">
      <c r="A541" t="inlineStr">
        <is>
          <t>A 37029-2024</t>
        </is>
      </c>
      <c r="B541" s="1" t="n">
        <v>45539.38806712963</v>
      </c>
      <c r="C541" s="1" t="n">
        <v>45999</v>
      </c>
      <c r="D541" t="inlineStr">
        <is>
          <t>VÄRMLANDS LÄN</t>
        </is>
      </c>
      <c r="E541" t="inlineStr">
        <is>
          <t>ÅRJÄNG</t>
        </is>
      </c>
      <c r="G541" t="n">
        <v>4.7</v>
      </c>
      <c r="H541" t="n">
        <v>0</v>
      </c>
      <c r="I541" t="n">
        <v>0</v>
      </c>
      <c r="J541" t="n">
        <v>0</v>
      </c>
      <c r="K541" t="n">
        <v>0</v>
      </c>
      <c r="L541" t="n">
        <v>0</v>
      </c>
      <c r="M541" t="n">
        <v>0</v>
      </c>
      <c r="N541" t="n">
        <v>0</v>
      </c>
      <c r="O541" t="n">
        <v>0</v>
      </c>
      <c r="P541" t="n">
        <v>0</v>
      </c>
      <c r="Q541" t="n">
        <v>0</v>
      </c>
      <c r="R541" s="2" t="inlineStr"/>
    </row>
    <row r="542" ht="15" customHeight="1">
      <c r="A542" t="inlineStr">
        <is>
          <t>A 16012-2024</t>
        </is>
      </c>
      <c r="B542" s="1" t="n">
        <v>45405.6524074074</v>
      </c>
      <c r="C542" s="1" t="n">
        <v>45999</v>
      </c>
      <c r="D542" t="inlineStr">
        <is>
          <t>VÄRMLANDS LÄN</t>
        </is>
      </c>
      <c r="E542" t="inlineStr">
        <is>
          <t>ÅRJÄNG</t>
        </is>
      </c>
      <c r="G542" t="n">
        <v>6.1</v>
      </c>
      <c r="H542" t="n">
        <v>0</v>
      </c>
      <c r="I542" t="n">
        <v>0</v>
      </c>
      <c r="J542" t="n">
        <v>0</v>
      </c>
      <c r="K542" t="n">
        <v>0</v>
      </c>
      <c r="L542" t="n">
        <v>0</v>
      </c>
      <c r="M542" t="n">
        <v>0</v>
      </c>
      <c r="N542" t="n">
        <v>0</v>
      </c>
      <c r="O542" t="n">
        <v>0</v>
      </c>
      <c r="P542" t="n">
        <v>0</v>
      </c>
      <c r="Q542" t="n">
        <v>0</v>
      </c>
      <c r="R542" s="2" t="inlineStr"/>
    </row>
    <row r="543" ht="15" customHeight="1">
      <c r="A543" t="inlineStr">
        <is>
          <t>A 45827-2024</t>
        </is>
      </c>
      <c r="B543" s="1" t="n">
        <v>45579</v>
      </c>
      <c r="C543" s="1" t="n">
        <v>45999</v>
      </c>
      <c r="D543" t="inlineStr">
        <is>
          <t>VÄRMLANDS LÄN</t>
        </is>
      </c>
      <c r="E543" t="inlineStr">
        <is>
          <t>ÅRJÄNG</t>
        </is>
      </c>
      <c r="G543" t="n">
        <v>4.9</v>
      </c>
      <c r="H543" t="n">
        <v>0</v>
      </c>
      <c r="I543" t="n">
        <v>0</v>
      </c>
      <c r="J543" t="n">
        <v>0</v>
      </c>
      <c r="K543" t="n">
        <v>0</v>
      </c>
      <c r="L543" t="n">
        <v>0</v>
      </c>
      <c r="M543" t="n">
        <v>0</v>
      </c>
      <c r="N543" t="n">
        <v>0</v>
      </c>
      <c r="O543" t="n">
        <v>0</v>
      </c>
      <c r="P543" t="n">
        <v>0</v>
      </c>
      <c r="Q543" t="n">
        <v>0</v>
      </c>
      <c r="R543" s="2" t="inlineStr"/>
    </row>
    <row r="544" ht="15" customHeight="1">
      <c r="A544" t="inlineStr">
        <is>
          <t>A 7746-2022</t>
        </is>
      </c>
      <c r="B544" s="1" t="n">
        <v>44608.39331018519</v>
      </c>
      <c r="C544" s="1" t="n">
        <v>45999</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34410-2023</t>
        </is>
      </c>
      <c r="B545" s="1" t="n">
        <v>45139.56870370371</v>
      </c>
      <c r="C545" s="1" t="n">
        <v>45999</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31794-2023</t>
        </is>
      </c>
      <c r="B546" s="1" t="n">
        <v>45118.43856481482</v>
      </c>
      <c r="C546" s="1" t="n">
        <v>45999</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57126-2024</t>
        </is>
      </c>
      <c r="B547" s="1" t="n">
        <v>45629.37579861111</v>
      </c>
      <c r="C547" s="1" t="n">
        <v>45999</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7537-2021</t>
        </is>
      </c>
      <c r="B548" s="1" t="n">
        <v>44239</v>
      </c>
      <c r="C548" s="1" t="n">
        <v>45999</v>
      </c>
      <c r="D548" t="inlineStr">
        <is>
          <t>VÄRMLANDS LÄN</t>
        </is>
      </c>
      <c r="E548" t="inlineStr">
        <is>
          <t>ÅRJÄNG</t>
        </is>
      </c>
      <c r="G548" t="n">
        <v>4.2</v>
      </c>
      <c r="H548" t="n">
        <v>0</v>
      </c>
      <c r="I548" t="n">
        <v>0</v>
      </c>
      <c r="J548" t="n">
        <v>0</v>
      </c>
      <c r="K548" t="n">
        <v>0</v>
      </c>
      <c r="L548" t="n">
        <v>0</v>
      </c>
      <c r="M548" t="n">
        <v>0</v>
      </c>
      <c r="N548" t="n">
        <v>0</v>
      </c>
      <c r="O548" t="n">
        <v>0</v>
      </c>
      <c r="P548" t="n">
        <v>0</v>
      </c>
      <c r="Q548" t="n">
        <v>0</v>
      </c>
      <c r="R548" s="2" t="inlineStr"/>
    </row>
    <row r="549" ht="15" customHeight="1">
      <c r="A549" t="inlineStr">
        <is>
          <t>A 50301-2024</t>
        </is>
      </c>
      <c r="B549" s="1" t="n">
        <v>45600</v>
      </c>
      <c r="C549" s="1" t="n">
        <v>45999</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15616-2023</t>
        </is>
      </c>
      <c r="B550" s="1" t="n">
        <v>45020.88847222222</v>
      </c>
      <c r="C550" s="1" t="n">
        <v>45999</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5342-2022</t>
        </is>
      </c>
      <c r="B551" s="1" t="n">
        <v>44594.72582175926</v>
      </c>
      <c r="C551" s="1" t="n">
        <v>45999</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25654-2024</t>
        </is>
      </c>
      <c r="B552" s="1" t="n">
        <v>45463</v>
      </c>
      <c r="C552" s="1" t="n">
        <v>45999</v>
      </c>
      <c r="D552" t="inlineStr">
        <is>
          <t>VÄRMLANDS LÄN</t>
        </is>
      </c>
      <c r="E552" t="inlineStr">
        <is>
          <t>ÅRJÄNG</t>
        </is>
      </c>
      <c r="G552" t="n">
        <v>16.9</v>
      </c>
      <c r="H552" t="n">
        <v>0</v>
      </c>
      <c r="I552" t="n">
        <v>0</v>
      </c>
      <c r="J552" t="n">
        <v>0</v>
      </c>
      <c r="K552" t="n">
        <v>0</v>
      </c>
      <c r="L552" t="n">
        <v>0</v>
      </c>
      <c r="M552" t="n">
        <v>0</v>
      </c>
      <c r="N552" t="n">
        <v>0</v>
      </c>
      <c r="O552" t="n">
        <v>0</v>
      </c>
      <c r="P552" t="n">
        <v>0</v>
      </c>
      <c r="Q552" t="n">
        <v>0</v>
      </c>
      <c r="R552" s="2" t="inlineStr"/>
    </row>
    <row r="553" ht="15" customHeight="1">
      <c r="A553" t="inlineStr">
        <is>
          <t>A 58270-2024</t>
        </is>
      </c>
      <c r="B553" s="1" t="n">
        <v>45632.56928240741</v>
      </c>
      <c r="C553" s="1" t="n">
        <v>45999</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47981-2023</t>
        </is>
      </c>
      <c r="B554" s="1" t="n">
        <v>45198</v>
      </c>
      <c r="C554" s="1" t="n">
        <v>45999</v>
      </c>
      <c r="D554" t="inlineStr">
        <is>
          <t>VÄRMLANDS LÄN</t>
        </is>
      </c>
      <c r="E554" t="inlineStr">
        <is>
          <t>ÅRJÄNG</t>
        </is>
      </c>
      <c r="G554" t="n">
        <v>1.1</v>
      </c>
      <c r="H554" t="n">
        <v>0</v>
      </c>
      <c r="I554" t="n">
        <v>0</v>
      </c>
      <c r="J554" t="n">
        <v>0</v>
      </c>
      <c r="K554" t="n">
        <v>0</v>
      </c>
      <c r="L554" t="n">
        <v>0</v>
      </c>
      <c r="M554" t="n">
        <v>0</v>
      </c>
      <c r="N554" t="n">
        <v>0</v>
      </c>
      <c r="O554" t="n">
        <v>0</v>
      </c>
      <c r="P554" t="n">
        <v>0</v>
      </c>
      <c r="Q554" t="n">
        <v>0</v>
      </c>
      <c r="R554" s="2" t="inlineStr"/>
    </row>
    <row r="555" ht="15" customHeight="1">
      <c r="A555" t="inlineStr">
        <is>
          <t>A 20463-2024</t>
        </is>
      </c>
      <c r="B555" s="1" t="n">
        <v>45435</v>
      </c>
      <c r="C555" s="1" t="n">
        <v>45999</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30548-2023</t>
        </is>
      </c>
      <c r="B556" s="1" t="n">
        <v>45111.77894675926</v>
      </c>
      <c r="C556" s="1" t="n">
        <v>45999</v>
      </c>
      <c r="D556" t="inlineStr">
        <is>
          <t>VÄRMLANDS LÄN</t>
        </is>
      </c>
      <c r="E556" t="inlineStr">
        <is>
          <t>ÅRJÄNG</t>
        </is>
      </c>
      <c r="G556" t="n">
        <v>4.7</v>
      </c>
      <c r="H556" t="n">
        <v>0</v>
      </c>
      <c r="I556" t="n">
        <v>0</v>
      </c>
      <c r="J556" t="n">
        <v>0</v>
      </c>
      <c r="K556" t="n">
        <v>0</v>
      </c>
      <c r="L556" t="n">
        <v>0</v>
      </c>
      <c r="M556" t="n">
        <v>0</v>
      </c>
      <c r="N556" t="n">
        <v>0</v>
      </c>
      <c r="O556" t="n">
        <v>0</v>
      </c>
      <c r="P556" t="n">
        <v>0</v>
      </c>
      <c r="Q556" t="n">
        <v>0</v>
      </c>
      <c r="R556" s="2" t="inlineStr"/>
    </row>
    <row r="557" ht="15" customHeight="1">
      <c r="A557" t="inlineStr">
        <is>
          <t>A 32776-2024</t>
        </is>
      </c>
      <c r="B557" s="1" t="n">
        <v>45516</v>
      </c>
      <c r="C557" s="1" t="n">
        <v>45999</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17174-2023</t>
        </is>
      </c>
      <c r="B558" s="1" t="n">
        <v>45034</v>
      </c>
      <c r="C558" s="1" t="n">
        <v>45999</v>
      </c>
      <c r="D558" t="inlineStr">
        <is>
          <t>VÄRMLANDS LÄN</t>
        </is>
      </c>
      <c r="E558" t="inlineStr">
        <is>
          <t>ÅRJÄNG</t>
        </is>
      </c>
      <c r="G558" t="n">
        <v>4.9</v>
      </c>
      <c r="H558" t="n">
        <v>0</v>
      </c>
      <c r="I558" t="n">
        <v>0</v>
      </c>
      <c r="J558" t="n">
        <v>0</v>
      </c>
      <c r="K558" t="n">
        <v>0</v>
      </c>
      <c r="L558" t="n">
        <v>0</v>
      </c>
      <c r="M558" t="n">
        <v>0</v>
      </c>
      <c r="N558" t="n">
        <v>0</v>
      </c>
      <c r="O558" t="n">
        <v>0</v>
      </c>
      <c r="P558" t="n">
        <v>0</v>
      </c>
      <c r="Q558" t="n">
        <v>0</v>
      </c>
      <c r="R558" s="2" t="inlineStr"/>
    </row>
    <row r="559" ht="15" customHeight="1">
      <c r="A559" t="inlineStr">
        <is>
          <t>A 32778-2024</t>
        </is>
      </c>
      <c r="B559" s="1" t="n">
        <v>45516.5083912037</v>
      </c>
      <c r="C559" s="1" t="n">
        <v>45999</v>
      </c>
      <c r="D559" t="inlineStr">
        <is>
          <t>VÄRMLANDS LÄN</t>
        </is>
      </c>
      <c r="E559" t="inlineStr">
        <is>
          <t>ÅRJÄNG</t>
        </is>
      </c>
      <c r="G559" t="n">
        <v>2.8</v>
      </c>
      <c r="H559" t="n">
        <v>0</v>
      </c>
      <c r="I559" t="n">
        <v>0</v>
      </c>
      <c r="J559" t="n">
        <v>0</v>
      </c>
      <c r="K559" t="n">
        <v>0</v>
      </c>
      <c r="L559" t="n">
        <v>0</v>
      </c>
      <c r="M559" t="n">
        <v>0</v>
      </c>
      <c r="N559" t="n">
        <v>0</v>
      </c>
      <c r="O559" t="n">
        <v>0</v>
      </c>
      <c r="P559" t="n">
        <v>0</v>
      </c>
      <c r="Q559" t="n">
        <v>0</v>
      </c>
      <c r="R559" s="2" t="inlineStr"/>
    </row>
    <row r="560" ht="15" customHeight="1">
      <c r="A560" t="inlineStr">
        <is>
          <t>A 44385-2022</t>
        </is>
      </c>
      <c r="B560" s="1" t="n">
        <v>44839</v>
      </c>
      <c r="C560" s="1" t="n">
        <v>45999</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68180-2021</t>
        </is>
      </c>
      <c r="B561" s="1" t="n">
        <v>44526.48689814815</v>
      </c>
      <c r="C561" s="1" t="n">
        <v>45999</v>
      </c>
      <c r="D561" t="inlineStr">
        <is>
          <t>VÄRMLANDS LÄN</t>
        </is>
      </c>
      <c r="E561" t="inlineStr">
        <is>
          <t>ÅRJÄNG</t>
        </is>
      </c>
      <c r="F561" t="inlineStr">
        <is>
          <t>Kyrkan</t>
        </is>
      </c>
      <c r="G561" t="n">
        <v>4.1</v>
      </c>
      <c r="H561" t="n">
        <v>0</v>
      </c>
      <c r="I561" t="n">
        <v>0</v>
      </c>
      <c r="J561" t="n">
        <v>0</v>
      </c>
      <c r="K561" t="n">
        <v>0</v>
      </c>
      <c r="L561" t="n">
        <v>0</v>
      </c>
      <c r="M561" t="n">
        <v>0</v>
      </c>
      <c r="N561" t="n">
        <v>0</v>
      </c>
      <c r="O561" t="n">
        <v>0</v>
      </c>
      <c r="P561" t="n">
        <v>0</v>
      </c>
      <c r="Q561" t="n">
        <v>0</v>
      </c>
      <c r="R561" s="2" t="inlineStr"/>
    </row>
    <row r="562" ht="15" customHeight="1">
      <c r="A562" t="inlineStr">
        <is>
          <t>A 28384-2022</t>
        </is>
      </c>
      <c r="B562" s="1" t="n">
        <v>44747</v>
      </c>
      <c r="C562" s="1" t="n">
        <v>45999</v>
      </c>
      <c r="D562" t="inlineStr">
        <is>
          <t>VÄRMLANDS LÄN</t>
        </is>
      </c>
      <c r="E562" t="inlineStr">
        <is>
          <t>ÅRJÄNG</t>
        </is>
      </c>
      <c r="F562" t="inlineStr">
        <is>
          <t>Naturvårdsverket</t>
        </is>
      </c>
      <c r="G562" t="n">
        <v>1.7</v>
      </c>
      <c r="H562" t="n">
        <v>0</v>
      </c>
      <c r="I562" t="n">
        <v>0</v>
      </c>
      <c r="J562" t="n">
        <v>0</v>
      </c>
      <c r="K562" t="n">
        <v>0</v>
      </c>
      <c r="L562" t="n">
        <v>0</v>
      </c>
      <c r="M562" t="n">
        <v>0</v>
      </c>
      <c r="N562" t="n">
        <v>0</v>
      </c>
      <c r="O562" t="n">
        <v>0</v>
      </c>
      <c r="P562" t="n">
        <v>0</v>
      </c>
      <c r="Q562" t="n">
        <v>0</v>
      </c>
      <c r="R562" s="2" t="inlineStr"/>
    </row>
    <row r="563" ht="15" customHeight="1">
      <c r="A563" t="inlineStr">
        <is>
          <t>A 73363-2021</t>
        </is>
      </c>
      <c r="B563" s="1" t="n">
        <v>44550</v>
      </c>
      <c r="C563" s="1" t="n">
        <v>45999</v>
      </c>
      <c r="D563" t="inlineStr">
        <is>
          <t>VÄRMLANDS LÄN</t>
        </is>
      </c>
      <c r="E563" t="inlineStr">
        <is>
          <t>ÅRJÄNG</t>
        </is>
      </c>
      <c r="G563" t="n">
        <v>11.5</v>
      </c>
      <c r="H563" t="n">
        <v>0</v>
      </c>
      <c r="I563" t="n">
        <v>0</v>
      </c>
      <c r="J563" t="n">
        <v>0</v>
      </c>
      <c r="K563" t="n">
        <v>0</v>
      </c>
      <c r="L563" t="n">
        <v>0</v>
      </c>
      <c r="M563" t="n">
        <v>0</v>
      </c>
      <c r="N563" t="n">
        <v>0</v>
      </c>
      <c r="O563" t="n">
        <v>0</v>
      </c>
      <c r="P563" t="n">
        <v>0</v>
      </c>
      <c r="Q563" t="n">
        <v>0</v>
      </c>
      <c r="R563" s="2" t="inlineStr"/>
    </row>
    <row r="564" ht="15" customHeight="1">
      <c r="A564" t="inlineStr">
        <is>
          <t>A 47623-2024</t>
        </is>
      </c>
      <c r="B564" s="1" t="n">
        <v>45588.33216435185</v>
      </c>
      <c r="C564" s="1" t="n">
        <v>45999</v>
      </c>
      <c r="D564" t="inlineStr">
        <is>
          <t>VÄRMLANDS LÄN</t>
        </is>
      </c>
      <c r="E564" t="inlineStr">
        <is>
          <t>ÅRJÄNG</t>
        </is>
      </c>
      <c r="F564" t="inlineStr">
        <is>
          <t>Kommuner</t>
        </is>
      </c>
      <c r="G564" t="n">
        <v>2.7</v>
      </c>
      <c r="H564" t="n">
        <v>0</v>
      </c>
      <c r="I564" t="n">
        <v>0</v>
      </c>
      <c r="J564" t="n">
        <v>0</v>
      </c>
      <c r="K564" t="n">
        <v>0</v>
      </c>
      <c r="L564" t="n">
        <v>0</v>
      </c>
      <c r="M564" t="n">
        <v>0</v>
      </c>
      <c r="N564" t="n">
        <v>0</v>
      </c>
      <c r="O564" t="n">
        <v>0</v>
      </c>
      <c r="P564" t="n">
        <v>0</v>
      </c>
      <c r="Q564" t="n">
        <v>0</v>
      </c>
      <c r="R564" s="2" t="inlineStr"/>
    </row>
    <row r="565" ht="15" customHeight="1">
      <c r="A565" t="inlineStr">
        <is>
          <t>A 23203-2023</t>
        </is>
      </c>
      <c r="B565" s="1" t="n">
        <v>45075.61314814815</v>
      </c>
      <c r="C565" s="1" t="n">
        <v>45999</v>
      </c>
      <c r="D565" t="inlineStr">
        <is>
          <t>VÄRMLANDS LÄN</t>
        </is>
      </c>
      <c r="E565" t="inlineStr">
        <is>
          <t>ÅRJÄNG</t>
        </is>
      </c>
      <c r="G565" t="n">
        <v>4.3</v>
      </c>
      <c r="H565" t="n">
        <v>0</v>
      </c>
      <c r="I565" t="n">
        <v>0</v>
      </c>
      <c r="J565" t="n">
        <v>0</v>
      </c>
      <c r="K565" t="n">
        <v>0</v>
      </c>
      <c r="L565" t="n">
        <v>0</v>
      </c>
      <c r="M565" t="n">
        <v>0</v>
      </c>
      <c r="N565" t="n">
        <v>0</v>
      </c>
      <c r="O565" t="n">
        <v>0</v>
      </c>
      <c r="P565" t="n">
        <v>0</v>
      </c>
      <c r="Q565" t="n">
        <v>0</v>
      </c>
      <c r="R565" s="2" t="inlineStr"/>
    </row>
    <row r="566" ht="15" customHeight="1">
      <c r="A566" t="inlineStr">
        <is>
          <t>A 23212-2023</t>
        </is>
      </c>
      <c r="B566" s="1" t="n">
        <v>45075.63211805555</v>
      </c>
      <c r="C566" s="1" t="n">
        <v>45999</v>
      </c>
      <c r="D566" t="inlineStr">
        <is>
          <t>VÄRMLANDS LÄN</t>
        </is>
      </c>
      <c r="E566" t="inlineStr">
        <is>
          <t>ÅRJÄNG</t>
        </is>
      </c>
      <c r="G566" t="n">
        <v>1.5</v>
      </c>
      <c r="H566" t="n">
        <v>0</v>
      </c>
      <c r="I566" t="n">
        <v>0</v>
      </c>
      <c r="J566" t="n">
        <v>0</v>
      </c>
      <c r="K566" t="n">
        <v>0</v>
      </c>
      <c r="L566" t="n">
        <v>0</v>
      </c>
      <c r="M566" t="n">
        <v>0</v>
      </c>
      <c r="N566" t="n">
        <v>0</v>
      </c>
      <c r="O566" t="n">
        <v>0</v>
      </c>
      <c r="P566" t="n">
        <v>0</v>
      </c>
      <c r="Q566" t="n">
        <v>0</v>
      </c>
      <c r="R566" s="2" t="inlineStr"/>
    </row>
    <row r="567" ht="15" customHeight="1">
      <c r="A567" t="inlineStr">
        <is>
          <t>A 24505-2023</t>
        </is>
      </c>
      <c r="B567" s="1" t="n">
        <v>45082</v>
      </c>
      <c r="C567" s="1" t="n">
        <v>45999</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56314-2024</t>
        </is>
      </c>
      <c r="B568" s="1" t="n">
        <v>45624.72149305556</v>
      </c>
      <c r="C568" s="1" t="n">
        <v>45999</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37122-2022</t>
        </is>
      </c>
      <c r="B569" s="1" t="n">
        <v>44806</v>
      </c>
      <c r="C569" s="1" t="n">
        <v>45999</v>
      </c>
      <c r="D569" t="inlineStr">
        <is>
          <t>VÄRMLANDS LÄN</t>
        </is>
      </c>
      <c r="E569" t="inlineStr">
        <is>
          <t>ÅRJÄNG</t>
        </is>
      </c>
      <c r="G569" t="n">
        <v>2.3</v>
      </c>
      <c r="H569" t="n">
        <v>0</v>
      </c>
      <c r="I569" t="n">
        <v>0</v>
      </c>
      <c r="J569" t="n">
        <v>0</v>
      </c>
      <c r="K569" t="n">
        <v>0</v>
      </c>
      <c r="L569" t="n">
        <v>0</v>
      </c>
      <c r="M569" t="n">
        <v>0</v>
      </c>
      <c r="N569" t="n">
        <v>0</v>
      </c>
      <c r="O569" t="n">
        <v>0</v>
      </c>
      <c r="P569" t="n">
        <v>0</v>
      </c>
      <c r="Q569" t="n">
        <v>0</v>
      </c>
      <c r="R569" s="2" t="inlineStr"/>
    </row>
    <row r="570" ht="15" customHeight="1">
      <c r="A570" t="inlineStr">
        <is>
          <t>A 59622-2022</t>
        </is>
      </c>
      <c r="B570" s="1" t="n">
        <v>44907.89939814815</v>
      </c>
      <c r="C570" s="1" t="n">
        <v>45999</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65751-2020</t>
        </is>
      </c>
      <c r="B571" s="1" t="n">
        <v>44174</v>
      </c>
      <c r="C571" s="1" t="n">
        <v>45999</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42230-2024</t>
        </is>
      </c>
      <c r="B572" s="1" t="n">
        <v>45562</v>
      </c>
      <c r="C572" s="1" t="n">
        <v>45999</v>
      </c>
      <c r="D572" t="inlineStr">
        <is>
          <t>VÄRMLANDS LÄN</t>
        </is>
      </c>
      <c r="E572" t="inlineStr">
        <is>
          <t>ÅRJÄNG</t>
        </is>
      </c>
      <c r="G572" t="n">
        <v>8.6</v>
      </c>
      <c r="H572" t="n">
        <v>0</v>
      </c>
      <c r="I572" t="n">
        <v>0</v>
      </c>
      <c r="J572" t="n">
        <v>0</v>
      </c>
      <c r="K572" t="n">
        <v>0</v>
      </c>
      <c r="L572" t="n">
        <v>0</v>
      </c>
      <c r="M572" t="n">
        <v>0</v>
      </c>
      <c r="N572" t="n">
        <v>0</v>
      </c>
      <c r="O572" t="n">
        <v>0</v>
      </c>
      <c r="P572" t="n">
        <v>0</v>
      </c>
      <c r="Q572" t="n">
        <v>0</v>
      </c>
      <c r="R572" s="2" t="inlineStr"/>
    </row>
    <row r="573" ht="15" customHeight="1">
      <c r="A573" t="inlineStr">
        <is>
          <t>A 45929-2024</t>
        </is>
      </c>
      <c r="B573" s="1" t="n">
        <v>45580</v>
      </c>
      <c r="C573" s="1" t="n">
        <v>45999</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59014-2024</t>
        </is>
      </c>
      <c r="B574" s="1" t="n">
        <v>45636</v>
      </c>
      <c r="C574" s="1" t="n">
        <v>45999</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45876-2024</t>
        </is>
      </c>
      <c r="B575" s="1" t="n">
        <v>45580</v>
      </c>
      <c r="C575" s="1" t="n">
        <v>45999</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4189-2025</t>
        </is>
      </c>
      <c r="B576" s="1" t="n">
        <v>45685</v>
      </c>
      <c r="C576" s="1" t="n">
        <v>45999</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37061-2023</t>
        </is>
      </c>
      <c r="B577" s="1" t="n">
        <v>45155</v>
      </c>
      <c r="C577" s="1" t="n">
        <v>45999</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20028-2023</t>
        </is>
      </c>
      <c r="B578" s="1" t="n">
        <v>45054.64534722222</v>
      </c>
      <c r="C578" s="1" t="n">
        <v>45999</v>
      </c>
      <c r="D578" t="inlineStr">
        <is>
          <t>VÄRMLANDS LÄN</t>
        </is>
      </c>
      <c r="E578" t="inlineStr">
        <is>
          <t>ÅRJÄNG</t>
        </is>
      </c>
      <c r="G578" t="n">
        <v>0.7</v>
      </c>
      <c r="H578" t="n">
        <v>0</v>
      </c>
      <c r="I578" t="n">
        <v>0</v>
      </c>
      <c r="J578" t="n">
        <v>0</v>
      </c>
      <c r="K578" t="n">
        <v>0</v>
      </c>
      <c r="L578" t="n">
        <v>0</v>
      </c>
      <c r="M578" t="n">
        <v>0</v>
      </c>
      <c r="N578" t="n">
        <v>0</v>
      </c>
      <c r="O578" t="n">
        <v>0</v>
      </c>
      <c r="P578" t="n">
        <v>0</v>
      </c>
      <c r="Q578" t="n">
        <v>0</v>
      </c>
      <c r="R578" s="2" t="inlineStr"/>
    </row>
    <row r="579" ht="15" customHeight="1">
      <c r="A579" t="inlineStr">
        <is>
          <t>A 47647-2021</t>
        </is>
      </c>
      <c r="B579" s="1" t="n">
        <v>44448.40790509259</v>
      </c>
      <c r="C579" s="1" t="n">
        <v>45999</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56644-2024</t>
        </is>
      </c>
      <c r="B580" s="1" t="n">
        <v>45625</v>
      </c>
      <c r="C580" s="1" t="n">
        <v>45999</v>
      </c>
      <c r="D580" t="inlineStr">
        <is>
          <t>VÄRMLANDS LÄN</t>
        </is>
      </c>
      <c r="E580" t="inlineStr">
        <is>
          <t>ÅRJÄNG</t>
        </is>
      </c>
      <c r="G580" t="n">
        <v>12.6</v>
      </c>
      <c r="H580" t="n">
        <v>0</v>
      </c>
      <c r="I580" t="n">
        <v>0</v>
      </c>
      <c r="J580" t="n">
        <v>0</v>
      </c>
      <c r="K580" t="n">
        <v>0</v>
      </c>
      <c r="L580" t="n">
        <v>0</v>
      </c>
      <c r="M580" t="n">
        <v>0</v>
      </c>
      <c r="N580" t="n">
        <v>0</v>
      </c>
      <c r="O580" t="n">
        <v>0</v>
      </c>
      <c r="P580" t="n">
        <v>0</v>
      </c>
      <c r="Q580" t="n">
        <v>0</v>
      </c>
      <c r="R580" s="2" t="inlineStr"/>
    </row>
    <row r="581" ht="15" customHeight="1">
      <c r="A581" t="inlineStr">
        <is>
          <t>A 40360-2024</t>
        </is>
      </c>
      <c r="B581" s="1" t="n">
        <v>45555</v>
      </c>
      <c r="C581" s="1" t="n">
        <v>45999</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2969-2022</t>
        </is>
      </c>
      <c r="B582" s="1" t="n">
        <v>44581.70811342593</v>
      </c>
      <c r="C582" s="1" t="n">
        <v>45999</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45124-2024</t>
        </is>
      </c>
      <c r="B583" s="1" t="n">
        <v>45575</v>
      </c>
      <c r="C583" s="1" t="n">
        <v>45999</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5507-2024</t>
        </is>
      </c>
      <c r="B584" s="1" t="n">
        <v>45334.36188657407</v>
      </c>
      <c r="C584" s="1" t="n">
        <v>45999</v>
      </c>
      <c r="D584" t="inlineStr">
        <is>
          <t>VÄRMLANDS LÄN</t>
        </is>
      </c>
      <c r="E584" t="inlineStr">
        <is>
          <t>ÅRJÄNG</t>
        </is>
      </c>
      <c r="G584" t="n">
        <v>4.8</v>
      </c>
      <c r="H584" t="n">
        <v>0</v>
      </c>
      <c r="I584" t="n">
        <v>0</v>
      </c>
      <c r="J584" t="n">
        <v>0</v>
      </c>
      <c r="K584" t="n">
        <v>0</v>
      </c>
      <c r="L584" t="n">
        <v>0</v>
      </c>
      <c r="M584" t="n">
        <v>0</v>
      </c>
      <c r="N584" t="n">
        <v>0</v>
      </c>
      <c r="O584" t="n">
        <v>0</v>
      </c>
      <c r="P584" t="n">
        <v>0</v>
      </c>
      <c r="Q584" t="n">
        <v>0</v>
      </c>
      <c r="R584" s="2" t="inlineStr"/>
    </row>
    <row r="585" ht="15" customHeight="1">
      <c r="A585" t="inlineStr">
        <is>
          <t>A 23870-2023</t>
        </is>
      </c>
      <c r="B585" s="1" t="n">
        <v>45078</v>
      </c>
      <c r="C585" s="1" t="n">
        <v>45999</v>
      </c>
      <c r="D585" t="inlineStr">
        <is>
          <t>VÄRMLANDS LÄN</t>
        </is>
      </c>
      <c r="E585" t="inlineStr">
        <is>
          <t>ÅRJÄNG</t>
        </is>
      </c>
      <c r="G585" t="n">
        <v>1.6</v>
      </c>
      <c r="H585" t="n">
        <v>0</v>
      </c>
      <c r="I585" t="n">
        <v>0</v>
      </c>
      <c r="J585" t="n">
        <v>0</v>
      </c>
      <c r="K585" t="n">
        <v>0</v>
      </c>
      <c r="L585" t="n">
        <v>0</v>
      </c>
      <c r="M585" t="n">
        <v>0</v>
      </c>
      <c r="N585" t="n">
        <v>0</v>
      </c>
      <c r="O585" t="n">
        <v>0</v>
      </c>
      <c r="P585" t="n">
        <v>0</v>
      </c>
      <c r="Q585" t="n">
        <v>0</v>
      </c>
      <c r="R585" s="2" t="inlineStr"/>
    </row>
    <row r="586" ht="15" customHeight="1">
      <c r="A586" t="inlineStr">
        <is>
          <t>A 20747-2025</t>
        </is>
      </c>
      <c r="B586" s="1" t="n">
        <v>45776.56221064815</v>
      </c>
      <c r="C586" s="1" t="n">
        <v>45999</v>
      </c>
      <c r="D586" t="inlineStr">
        <is>
          <t>VÄRMLANDS LÄN</t>
        </is>
      </c>
      <c r="E586" t="inlineStr">
        <is>
          <t>ÅRJÄNG</t>
        </is>
      </c>
      <c r="G586" t="n">
        <v>12.2</v>
      </c>
      <c r="H586" t="n">
        <v>0</v>
      </c>
      <c r="I586" t="n">
        <v>0</v>
      </c>
      <c r="J586" t="n">
        <v>0</v>
      </c>
      <c r="K586" t="n">
        <v>0</v>
      </c>
      <c r="L586" t="n">
        <v>0</v>
      </c>
      <c r="M586" t="n">
        <v>0</v>
      </c>
      <c r="N586" t="n">
        <v>0</v>
      </c>
      <c r="O586" t="n">
        <v>0</v>
      </c>
      <c r="P586" t="n">
        <v>0</v>
      </c>
      <c r="Q586" t="n">
        <v>0</v>
      </c>
      <c r="R586" s="2" t="inlineStr"/>
    </row>
    <row r="587" ht="15" customHeight="1">
      <c r="A587" t="inlineStr">
        <is>
          <t>A 45962-2021</t>
        </is>
      </c>
      <c r="B587" s="1" t="n">
        <v>44441</v>
      </c>
      <c r="C587" s="1" t="n">
        <v>45999</v>
      </c>
      <c r="D587" t="inlineStr">
        <is>
          <t>VÄRMLANDS LÄN</t>
        </is>
      </c>
      <c r="E587" t="inlineStr">
        <is>
          <t>ÅRJÄNG</t>
        </is>
      </c>
      <c r="G587" t="n">
        <v>4.3</v>
      </c>
      <c r="H587" t="n">
        <v>0</v>
      </c>
      <c r="I587" t="n">
        <v>0</v>
      </c>
      <c r="J587" t="n">
        <v>0</v>
      </c>
      <c r="K587" t="n">
        <v>0</v>
      </c>
      <c r="L587" t="n">
        <v>0</v>
      </c>
      <c r="M587" t="n">
        <v>0</v>
      </c>
      <c r="N587" t="n">
        <v>0</v>
      </c>
      <c r="O587" t="n">
        <v>0</v>
      </c>
      <c r="P587" t="n">
        <v>0</v>
      </c>
      <c r="Q587" t="n">
        <v>0</v>
      </c>
      <c r="R587" s="2" t="inlineStr"/>
    </row>
    <row r="588" ht="15" customHeight="1">
      <c r="A588" t="inlineStr">
        <is>
          <t>A 60126-2024</t>
        </is>
      </c>
      <c r="B588" s="1" t="n">
        <v>45642.5919212963</v>
      </c>
      <c r="C588" s="1" t="n">
        <v>45999</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73623-2021</t>
        </is>
      </c>
      <c r="B589" s="1" t="n">
        <v>44552</v>
      </c>
      <c r="C589" s="1" t="n">
        <v>45999</v>
      </c>
      <c r="D589" t="inlineStr">
        <is>
          <t>VÄRMLANDS LÄN</t>
        </is>
      </c>
      <c r="E589" t="inlineStr">
        <is>
          <t>ÅRJÄNG</t>
        </is>
      </c>
      <c r="G589" t="n">
        <v>7.4</v>
      </c>
      <c r="H589" t="n">
        <v>0</v>
      </c>
      <c r="I589" t="n">
        <v>0</v>
      </c>
      <c r="J589" t="n">
        <v>0</v>
      </c>
      <c r="K589" t="n">
        <v>0</v>
      </c>
      <c r="L589" t="n">
        <v>0</v>
      </c>
      <c r="M589" t="n">
        <v>0</v>
      </c>
      <c r="N589" t="n">
        <v>0</v>
      </c>
      <c r="O589" t="n">
        <v>0</v>
      </c>
      <c r="P589" t="n">
        <v>0</v>
      </c>
      <c r="Q589" t="n">
        <v>0</v>
      </c>
      <c r="R589" s="2" t="inlineStr"/>
    </row>
    <row r="590" ht="15" customHeight="1">
      <c r="A590" t="inlineStr">
        <is>
          <t>A 12907-2022</t>
        </is>
      </c>
      <c r="B590" s="1" t="n">
        <v>44642.62002314815</v>
      </c>
      <c r="C590" s="1" t="n">
        <v>45999</v>
      </c>
      <c r="D590" t="inlineStr">
        <is>
          <t>VÄRMLANDS LÄN</t>
        </is>
      </c>
      <c r="E590" t="inlineStr">
        <is>
          <t>ÅRJÄNG</t>
        </is>
      </c>
      <c r="G590" t="n">
        <v>7.3</v>
      </c>
      <c r="H590" t="n">
        <v>0</v>
      </c>
      <c r="I590" t="n">
        <v>0</v>
      </c>
      <c r="J590" t="n">
        <v>0</v>
      </c>
      <c r="K590" t="n">
        <v>0</v>
      </c>
      <c r="L590" t="n">
        <v>0</v>
      </c>
      <c r="M590" t="n">
        <v>0</v>
      </c>
      <c r="N590" t="n">
        <v>0</v>
      </c>
      <c r="O590" t="n">
        <v>0</v>
      </c>
      <c r="P590" t="n">
        <v>0</v>
      </c>
      <c r="Q590" t="n">
        <v>0</v>
      </c>
      <c r="R590" s="2" t="inlineStr"/>
    </row>
    <row r="591" ht="15" customHeight="1">
      <c r="A591" t="inlineStr">
        <is>
          <t>A 13060-2022</t>
        </is>
      </c>
      <c r="B591" s="1" t="n">
        <v>44643</v>
      </c>
      <c r="C591" s="1" t="n">
        <v>45999</v>
      </c>
      <c r="D591" t="inlineStr">
        <is>
          <t>VÄRMLANDS LÄN</t>
        </is>
      </c>
      <c r="E591" t="inlineStr">
        <is>
          <t>ÅRJÄNG</t>
        </is>
      </c>
      <c r="G591" t="n">
        <v>2.6</v>
      </c>
      <c r="H591" t="n">
        <v>0</v>
      </c>
      <c r="I591" t="n">
        <v>0</v>
      </c>
      <c r="J591" t="n">
        <v>0</v>
      </c>
      <c r="K591" t="n">
        <v>0</v>
      </c>
      <c r="L591" t="n">
        <v>0</v>
      </c>
      <c r="M591" t="n">
        <v>0</v>
      </c>
      <c r="N591" t="n">
        <v>0</v>
      </c>
      <c r="O591" t="n">
        <v>0</v>
      </c>
      <c r="P591" t="n">
        <v>0</v>
      </c>
      <c r="Q591" t="n">
        <v>0</v>
      </c>
      <c r="R591" s="2" t="inlineStr"/>
    </row>
    <row r="592" ht="15" customHeight="1">
      <c r="A592" t="inlineStr">
        <is>
          <t>A 74448-2021</t>
        </is>
      </c>
      <c r="B592" s="1" t="n">
        <v>44560.47202546296</v>
      </c>
      <c r="C592" s="1" t="n">
        <v>45999</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61295-2022</t>
        </is>
      </c>
      <c r="B593" s="1" t="n">
        <v>44915</v>
      </c>
      <c r="C593" s="1" t="n">
        <v>45999</v>
      </c>
      <c r="D593" t="inlineStr">
        <is>
          <t>VÄRMLANDS LÄN</t>
        </is>
      </c>
      <c r="E593" t="inlineStr">
        <is>
          <t>ÅRJÄNG</t>
        </is>
      </c>
      <c r="G593" t="n">
        <v>0.4</v>
      </c>
      <c r="H593" t="n">
        <v>0</v>
      </c>
      <c r="I593" t="n">
        <v>0</v>
      </c>
      <c r="J593" t="n">
        <v>0</v>
      </c>
      <c r="K593" t="n">
        <v>0</v>
      </c>
      <c r="L593" t="n">
        <v>0</v>
      </c>
      <c r="M593" t="n">
        <v>0</v>
      </c>
      <c r="N593" t="n">
        <v>0</v>
      </c>
      <c r="O593" t="n">
        <v>0</v>
      </c>
      <c r="P593" t="n">
        <v>0</v>
      </c>
      <c r="Q593" t="n">
        <v>0</v>
      </c>
      <c r="R593" s="2" t="inlineStr"/>
    </row>
    <row r="594" ht="15" customHeight="1">
      <c r="A594" t="inlineStr">
        <is>
          <t>A 10648-2023</t>
        </is>
      </c>
      <c r="B594" s="1" t="n">
        <v>44984</v>
      </c>
      <c r="C594" s="1" t="n">
        <v>45999</v>
      </c>
      <c r="D594" t="inlineStr">
        <is>
          <t>VÄRMLANDS LÄN</t>
        </is>
      </c>
      <c r="E594" t="inlineStr">
        <is>
          <t>ÅRJÄNG</t>
        </is>
      </c>
      <c r="G594" t="n">
        <v>0.6</v>
      </c>
      <c r="H594" t="n">
        <v>0</v>
      </c>
      <c r="I594" t="n">
        <v>0</v>
      </c>
      <c r="J594" t="n">
        <v>0</v>
      </c>
      <c r="K594" t="n">
        <v>0</v>
      </c>
      <c r="L594" t="n">
        <v>0</v>
      </c>
      <c r="M594" t="n">
        <v>0</v>
      </c>
      <c r="N594" t="n">
        <v>0</v>
      </c>
      <c r="O594" t="n">
        <v>0</v>
      </c>
      <c r="P594" t="n">
        <v>0</v>
      </c>
      <c r="Q594" t="n">
        <v>0</v>
      </c>
      <c r="R594" s="2" t="inlineStr"/>
    </row>
    <row r="595" ht="15" customHeight="1">
      <c r="A595" t="inlineStr">
        <is>
          <t>A 36282-2024</t>
        </is>
      </c>
      <c r="B595" s="1" t="n">
        <v>45534.5887962963</v>
      </c>
      <c r="C595" s="1" t="n">
        <v>45999</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19313-2023</t>
        </is>
      </c>
      <c r="B596" s="1" t="n">
        <v>45049</v>
      </c>
      <c r="C596" s="1" t="n">
        <v>45999</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50918-2023</t>
        </is>
      </c>
      <c r="B597" s="1" t="n">
        <v>45218.4339699074</v>
      </c>
      <c r="C597" s="1" t="n">
        <v>45999</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20975-2025</t>
        </is>
      </c>
      <c r="B598" s="1" t="n">
        <v>45777.45922453704</v>
      </c>
      <c r="C598" s="1" t="n">
        <v>45999</v>
      </c>
      <c r="D598" t="inlineStr">
        <is>
          <t>VÄRMLANDS LÄN</t>
        </is>
      </c>
      <c r="E598" t="inlineStr">
        <is>
          <t>ÅRJÄNG</t>
        </is>
      </c>
      <c r="G598" t="n">
        <v>1.3</v>
      </c>
      <c r="H598" t="n">
        <v>0</v>
      </c>
      <c r="I598" t="n">
        <v>0</v>
      </c>
      <c r="J598" t="n">
        <v>0</v>
      </c>
      <c r="K598" t="n">
        <v>0</v>
      </c>
      <c r="L598" t="n">
        <v>0</v>
      </c>
      <c r="M598" t="n">
        <v>0</v>
      </c>
      <c r="N598" t="n">
        <v>0</v>
      </c>
      <c r="O598" t="n">
        <v>0</v>
      </c>
      <c r="P598" t="n">
        <v>0</v>
      </c>
      <c r="Q598" t="n">
        <v>0</v>
      </c>
      <c r="R598" s="2" t="inlineStr"/>
    </row>
    <row r="599" ht="15" customHeight="1">
      <c r="A599" t="inlineStr">
        <is>
          <t>A 56342-2024</t>
        </is>
      </c>
      <c r="B599" s="1" t="n">
        <v>45624</v>
      </c>
      <c r="C599" s="1" t="n">
        <v>45999</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56347-2024</t>
        </is>
      </c>
      <c r="B600" s="1" t="n">
        <v>45624</v>
      </c>
      <c r="C600" s="1" t="n">
        <v>45999</v>
      </c>
      <c r="D600" t="inlineStr">
        <is>
          <t>VÄRMLANDS LÄN</t>
        </is>
      </c>
      <c r="E600" t="inlineStr">
        <is>
          <t>ÅRJÄNG</t>
        </is>
      </c>
      <c r="G600" t="n">
        <v>4.7</v>
      </c>
      <c r="H600" t="n">
        <v>0</v>
      </c>
      <c r="I600" t="n">
        <v>0</v>
      </c>
      <c r="J600" t="n">
        <v>0</v>
      </c>
      <c r="K600" t="n">
        <v>0</v>
      </c>
      <c r="L600" t="n">
        <v>0</v>
      </c>
      <c r="M600" t="n">
        <v>0</v>
      </c>
      <c r="N600" t="n">
        <v>0</v>
      </c>
      <c r="O600" t="n">
        <v>0</v>
      </c>
      <c r="P600" t="n">
        <v>0</v>
      </c>
      <c r="Q600" t="n">
        <v>0</v>
      </c>
      <c r="R600" s="2" t="inlineStr"/>
    </row>
    <row r="601" ht="15" customHeight="1">
      <c r="A601" t="inlineStr">
        <is>
          <t>A 20957-2025</t>
        </is>
      </c>
      <c r="B601" s="1" t="n">
        <v>45777.44613425926</v>
      </c>
      <c r="C601" s="1" t="n">
        <v>45999</v>
      </c>
      <c r="D601" t="inlineStr">
        <is>
          <t>VÄRMLANDS LÄN</t>
        </is>
      </c>
      <c r="E601" t="inlineStr">
        <is>
          <t>ÅRJÄNG</t>
        </is>
      </c>
      <c r="G601" t="n">
        <v>6.2</v>
      </c>
      <c r="H601" t="n">
        <v>0</v>
      </c>
      <c r="I601" t="n">
        <v>0</v>
      </c>
      <c r="J601" t="n">
        <v>0</v>
      </c>
      <c r="K601" t="n">
        <v>0</v>
      </c>
      <c r="L601" t="n">
        <v>0</v>
      </c>
      <c r="M601" t="n">
        <v>0</v>
      </c>
      <c r="N601" t="n">
        <v>0</v>
      </c>
      <c r="O601" t="n">
        <v>0</v>
      </c>
      <c r="P601" t="n">
        <v>0</v>
      </c>
      <c r="Q601" t="n">
        <v>0</v>
      </c>
      <c r="R601" s="2" t="inlineStr"/>
    </row>
    <row r="602" ht="15" customHeight="1">
      <c r="A602" t="inlineStr">
        <is>
          <t>A 61545-2024</t>
        </is>
      </c>
      <c r="B602" s="1" t="n">
        <v>45646.59966435185</v>
      </c>
      <c r="C602" s="1" t="n">
        <v>45999</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13160-2022</t>
        </is>
      </c>
      <c r="B603" s="1" t="n">
        <v>44644.43545138889</v>
      </c>
      <c r="C603" s="1" t="n">
        <v>45999</v>
      </c>
      <c r="D603" t="inlineStr">
        <is>
          <t>VÄRMLANDS LÄN</t>
        </is>
      </c>
      <c r="E603" t="inlineStr">
        <is>
          <t>ÅRJÄNG</t>
        </is>
      </c>
      <c r="G603" t="n">
        <v>1.2</v>
      </c>
      <c r="H603" t="n">
        <v>0</v>
      </c>
      <c r="I603" t="n">
        <v>0</v>
      </c>
      <c r="J603" t="n">
        <v>0</v>
      </c>
      <c r="K603" t="n">
        <v>0</v>
      </c>
      <c r="L603" t="n">
        <v>0</v>
      </c>
      <c r="M603" t="n">
        <v>0</v>
      </c>
      <c r="N603" t="n">
        <v>0</v>
      </c>
      <c r="O603" t="n">
        <v>0</v>
      </c>
      <c r="P603" t="n">
        <v>0</v>
      </c>
      <c r="Q603" t="n">
        <v>0</v>
      </c>
      <c r="R603" s="2" t="inlineStr"/>
    </row>
    <row r="604" ht="15" customHeight="1">
      <c r="A604" t="inlineStr">
        <is>
          <t>A 8885-2021</t>
        </is>
      </c>
      <c r="B604" s="1" t="n">
        <v>44248</v>
      </c>
      <c r="C604" s="1" t="n">
        <v>45999</v>
      </c>
      <c r="D604" t="inlineStr">
        <is>
          <t>VÄRMLANDS LÄN</t>
        </is>
      </c>
      <c r="E604" t="inlineStr">
        <is>
          <t>ÅRJÄNG</t>
        </is>
      </c>
      <c r="G604" t="n">
        <v>1.5</v>
      </c>
      <c r="H604" t="n">
        <v>0</v>
      </c>
      <c r="I604" t="n">
        <v>0</v>
      </c>
      <c r="J604" t="n">
        <v>0</v>
      </c>
      <c r="K604" t="n">
        <v>0</v>
      </c>
      <c r="L604" t="n">
        <v>0</v>
      </c>
      <c r="M604" t="n">
        <v>0</v>
      </c>
      <c r="N604" t="n">
        <v>0</v>
      </c>
      <c r="O604" t="n">
        <v>0</v>
      </c>
      <c r="P604" t="n">
        <v>0</v>
      </c>
      <c r="Q604" t="n">
        <v>0</v>
      </c>
      <c r="R604" s="2" t="inlineStr"/>
    </row>
    <row r="605" ht="15" customHeight="1">
      <c r="A605" t="inlineStr">
        <is>
          <t>A 60930-2021</t>
        </is>
      </c>
      <c r="B605" s="1" t="n">
        <v>44497.46921296296</v>
      </c>
      <c r="C605" s="1" t="n">
        <v>45999</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56566-2022</t>
        </is>
      </c>
      <c r="B606" s="1" t="n">
        <v>44893.50795138889</v>
      </c>
      <c r="C606" s="1" t="n">
        <v>45999</v>
      </c>
      <c r="D606" t="inlineStr">
        <is>
          <t>VÄRMLANDS LÄN</t>
        </is>
      </c>
      <c r="E606" t="inlineStr">
        <is>
          <t>ÅRJÄNG</t>
        </is>
      </c>
      <c r="G606" t="n">
        <v>2.2</v>
      </c>
      <c r="H606" t="n">
        <v>0</v>
      </c>
      <c r="I606" t="n">
        <v>0</v>
      </c>
      <c r="J606" t="n">
        <v>0</v>
      </c>
      <c r="K606" t="n">
        <v>0</v>
      </c>
      <c r="L606" t="n">
        <v>0</v>
      </c>
      <c r="M606" t="n">
        <v>0</v>
      </c>
      <c r="N606" t="n">
        <v>0</v>
      </c>
      <c r="O606" t="n">
        <v>0</v>
      </c>
      <c r="P606" t="n">
        <v>0</v>
      </c>
      <c r="Q606" t="n">
        <v>0</v>
      </c>
      <c r="R606" s="2" t="inlineStr"/>
    </row>
    <row r="607" ht="15" customHeight="1">
      <c r="A607" t="inlineStr">
        <is>
          <t>A 23945-2023</t>
        </is>
      </c>
      <c r="B607" s="1" t="n">
        <v>45075</v>
      </c>
      <c r="C607" s="1" t="n">
        <v>45999</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12209-2023</t>
        </is>
      </c>
      <c r="B608" s="1" t="n">
        <v>44998</v>
      </c>
      <c r="C608" s="1" t="n">
        <v>45999</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58435-2024</t>
        </is>
      </c>
      <c r="B609" s="1" t="n">
        <v>45634</v>
      </c>
      <c r="C609" s="1" t="n">
        <v>45999</v>
      </c>
      <c r="D609" t="inlineStr">
        <is>
          <t>VÄRMLANDS LÄN</t>
        </is>
      </c>
      <c r="E609" t="inlineStr">
        <is>
          <t>ÅRJÄNG</t>
        </is>
      </c>
      <c r="G609" t="n">
        <v>6.7</v>
      </c>
      <c r="H609" t="n">
        <v>0</v>
      </c>
      <c r="I609" t="n">
        <v>0</v>
      </c>
      <c r="J609" t="n">
        <v>0</v>
      </c>
      <c r="K609" t="n">
        <v>0</v>
      </c>
      <c r="L609" t="n">
        <v>0</v>
      </c>
      <c r="M609" t="n">
        <v>0</v>
      </c>
      <c r="N609" t="n">
        <v>0</v>
      </c>
      <c r="O609" t="n">
        <v>0</v>
      </c>
      <c r="P609" t="n">
        <v>0</v>
      </c>
      <c r="Q609" t="n">
        <v>0</v>
      </c>
      <c r="R609" s="2" t="inlineStr"/>
    </row>
    <row r="610" ht="15" customHeight="1">
      <c r="A610" t="inlineStr">
        <is>
          <t>A 37347-2024</t>
        </is>
      </c>
      <c r="B610" s="1" t="n">
        <v>45540</v>
      </c>
      <c r="C610" s="1" t="n">
        <v>45999</v>
      </c>
      <c r="D610" t="inlineStr">
        <is>
          <t>VÄRMLANDS LÄN</t>
        </is>
      </c>
      <c r="E610" t="inlineStr">
        <is>
          <t>ÅRJÄNG</t>
        </is>
      </c>
      <c r="G610" t="n">
        <v>1.9</v>
      </c>
      <c r="H610" t="n">
        <v>0</v>
      </c>
      <c r="I610" t="n">
        <v>0</v>
      </c>
      <c r="J610" t="n">
        <v>0</v>
      </c>
      <c r="K610" t="n">
        <v>0</v>
      </c>
      <c r="L610" t="n">
        <v>0</v>
      </c>
      <c r="M610" t="n">
        <v>0</v>
      </c>
      <c r="N610" t="n">
        <v>0</v>
      </c>
      <c r="O610" t="n">
        <v>0</v>
      </c>
      <c r="P610" t="n">
        <v>0</v>
      </c>
      <c r="Q610" t="n">
        <v>0</v>
      </c>
      <c r="R610" s="2" t="inlineStr"/>
    </row>
    <row r="611" ht="15" customHeight="1">
      <c r="A611" t="inlineStr">
        <is>
          <t>A 32541-2023</t>
        </is>
      </c>
      <c r="B611" s="1" t="n">
        <v>45121.39616898148</v>
      </c>
      <c r="C611" s="1" t="n">
        <v>45999</v>
      </c>
      <c r="D611" t="inlineStr">
        <is>
          <t>VÄRMLANDS LÄN</t>
        </is>
      </c>
      <c r="E611" t="inlineStr">
        <is>
          <t>ÅRJÄNG</t>
        </is>
      </c>
      <c r="G611" t="n">
        <v>0.4</v>
      </c>
      <c r="H611" t="n">
        <v>0</v>
      </c>
      <c r="I611" t="n">
        <v>0</v>
      </c>
      <c r="J611" t="n">
        <v>0</v>
      </c>
      <c r="K611" t="n">
        <v>0</v>
      </c>
      <c r="L611" t="n">
        <v>0</v>
      </c>
      <c r="M611" t="n">
        <v>0</v>
      </c>
      <c r="N611" t="n">
        <v>0</v>
      </c>
      <c r="O611" t="n">
        <v>0</v>
      </c>
      <c r="P611" t="n">
        <v>0</v>
      </c>
      <c r="Q611" t="n">
        <v>0</v>
      </c>
      <c r="R611" s="2" t="inlineStr"/>
    </row>
    <row r="612" ht="15" customHeight="1">
      <c r="A612" t="inlineStr">
        <is>
          <t>A 11704-2025</t>
        </is>
      </c>
      <c r="B612" s="1" t="n">
        <v>45727.57896990741</v>
      </c>
      <c r="C612" s="1" t="n">
        <v>45999</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34172-2024</t>
        </is>
      </c>
      <c r="B613" s="1" t="n">
        <v>45524</v>
      </c>
      <c r="C613" s="1" t="n">
        <v>45999</v>
      </c>
      <c r="D613" t="inlineStr">
        <is>
          <t>VÄRMLANDS LÄN</t>
        </is>
      </c>
      <c r="E613" t="inlineStr">
        <is>
          <t>ÅRJÄNG</t>
        </is>
      </c>
      <c r="G613" t="n">
        <v>0.9</v>
      </c>
      <c r="H613" t="n">
        <v>0</v>
      </c>
      <c r="I613" t="n">
        <v>0</v>
      </c>
      <c r="J613" t="n">
        <v>0</v>
      </c>
      <c r="K613" t="n">
        <v>0</v>
      </c>
      <c r="L613" t="n">
        <v>0</v>
      </c>
      <c r="M613" t="n">
        <v>0</v>
      </c>
      <c r="N613" t="n">
        <v>0</v>
      </c>
      <c r="O613" t="n">
        <v>0</v>
      </c>
      <c r="P613" t="n">
        <v>0</v>
      </c>
      <c r="Q613" t="n">
        <v>0</v>
      </c>
      <c r="R613" s="2" t="inlineStr"/>
    </row>
    <row r="614" ht="15" customHeight="1">
      <c r="A614" t="inlineStr">
        <is>
          <t>A 26866-2024</t>
        </is>
      </c>
      <c r="B614" s="1" t="n">
        <v>45470</v>
      </c>
      <c r="C614" s="1" t="n">
        <v>45999</v>
      </c>
      <c r="D614" t="inlineStr">
        <is>
          <t>VÄRMLANDS LÄN</t>
        </is>
      </c>
      <c r="E614" t="inlineStr">
        <is>
          <t>ÅRJÄNG</t>
        </is>
      </c>
      <c r="F614" t="inlineStr">
        <is>
          <t>Kyrkan</t>
        </is>
      </c>
      <c r="G614" t="n">
        <v>3.3</v>
      </c>
      <c r="H614" t="n">
        <v>0</v>
      </c>
      <c r="I614" t="n">
        <v>0</v>
      </c>
      <c r="J614" t="n">
        <v>0</v>
      </c>
      <c r="K614" t="n">
        <v>0</v>
      </c>
      <c r="L614" t="n">
        <v>0</v>
      </c>
      <c r="M614" t="n">
        <v>0</v>
      </c>
      <c r="N614" t="n">
        <v>0</v>
      </c>
      <c r="O614" t="n">
        <v>0</v>
      </c>
      <c r="P614" t="n">
        <v>0</v>
      </c>
      <c r="Q614" t="n">
        <v>0</v>
      </c>
      <c r="R614" s="2" t="inlineStr"/>
    </row>
    <row r="615" ht="15" customHeight="1">
      <c r="A615" t="inlineStr">
        <is>
          <t>A 15903-2022</t>
        </is>
      </c>
      <c r="B615" s="1" t="n">
        <v>44664.57841435185</v>
      </c>
      <c r="C615" s="1" t="n">
        <v>45999</v>
      </c>
      <c r="D615" t="inlineStr">
        <is>
          <t>VÄRMLANDS LÄN</t>
        </is>
      </c>
      <c r="E615" t="inlineStr">
        <is>
          <t>ÅRJÄNG</t>
        </is>
      </c>
      <c r="G615" t="n">
        <v>5</v>
      </c>
      <c r="H615" t="n">
        <v>0</v>
      </c>
      <c r="I615" t="n">
        <v>0</v>
      </c>
      <c r="J615" t="n">
        <v>0</v>
      </c>
      <c r="K615" t="n">
        <v>0</v>
      </c>
      <c r="L615" t="n">
        <v>0</v>
      </c>
      <c r="M615" t="n">
        <v>0</v>
      </c>
      <c r="N615" t="n">
        <v>0</v>
      </c>
      <c r="O615" t="n">
        <v>0</v>
      </c>
      <c r="P615" t="n">
        <v>0</v>
      </c>
      <c r="Q615" t="n">
        <v>0</v>
      </c>
      <c r="R615" s="2" t="inlineStr"/>
    </row>
    <row r="616" ht="15" customHeight="1">
      <c r="A616" t="inlineStr">
        <is>
          <t>A 7700-2023</t>
        </is>
      </c>
      <c r="B616" s="1" t="n">
        <v>44967</v>
      </c>
      <c r="C616" s="1" t="n">
        <v>45999</v>
      </c>
      <c r="D616" t="inlineStr">
        <is>
          <t>VÄRMLANDS LÄN</t>
        </is>
      </c>
      <c r="E616" t="inlineStr">
        <is>
          <t>ÅRJÄNG</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49133-2024</t>
        </is>
      </c>
      <c r="B617" s="1" t="n">
        <v>45594</v>
      </c>
      <c r="C617" s="1" t="n">
        <v>45999</v>
      </c>
      <c r="D617" t="inlineStr">
        <is>
          <t>VÄRMLANDS LÄN</t>
        </is>
      </c>
      <c r="E617" t="inlineStr">
        <is>
          <t>ÅRJÄNG</t>
        </is>
      </c>
      <c r="G617" t="n">
        <v>7.5</v>
      </c>
      <c r="H617" t="n">
        <v>0</v>
      </c>
      <c r="I617" t="n">
        <v>0</v>
      </c>
      <c r="J617" t="n">
        <v>0</v>
      </c>
      <c r="K617" t="n">
        <v>0</v>
      </c>
      <c r="L617" t="n">
        <v>0</v>
      </c>
      <c r="M617" t="n">
        <v>0</v>
      </c>
      <c r="N617" t="n">
        <v>0</v>
      </c>
      <c r="O617" t="n">
        <v>0</v>
      </c>
      <c r="P617" t="n">
        <v>0</v>
      </c>
      <c r="Q617" t="n">
        <v>0</v>
      </c>
      <c r="R617" s="2" t="inlineStr"/>
    </row>
    <row r="618" ht="15" customHeight="1">
      <c r="A618" t="inlineStr">
        <is>
          <t>A 37765-2023</t>
        </is>
      </c>
      <c r="B618" s="1" t="n">
        <v>45159</v>
      </c>
      <c r="C618" s="1" t="n">
        <v>45999</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12740-2025</t>
        </is>
      </c>
      <c r="B619" s="1" t="n">
        <v>45733</v>
      </c>
      <c r="C619" s="1" t="n">
        <v>45999</v>
      </c>
      <c r="D619" t="inlineStr">
        <is>
          <t>VÄRMLANDS LÄN</t>
        </is>
      </c>
      <c r="E619" t="inlineStr">
        <is>
          <t>ÅRJÄNG</t>
        </is>
      </c>
      <c r="G619" t="n">
        <v>2.9</v>
      </c>
      <c r="H619" t="n">
        <v>0</v>
      </c>
      <c r="I619" t="n">
        <v>0</v>
      </c>
      <c r="J619" t="n">
        <v>0</v>
      </c>
      <c r="K619" t="n">
        <v>0</v>
      </c>
      <c r="L619" t="n">
        <v>0</v>
      </c>
      <c r="M619" t="n">
        <v>0</v>
      </c>
      <c r="N619" t="n">
        <v>0</v>
      </c>
      <c r="O619" t="n">
        <v>0</v>
      </c>
      <c r="P619" t="n">
        <v>0</v>
      </c>
      <c r="Q619" t="n">
        <v>0</v>
      </c>
      <c r="R619" s="2" t="inlineStr"/>
    </row>
    <row r="620" ht="15" customHeight="1">
      <c r="A620" t="inlineStr">
        <is>
          <t>A 1415-2025</t>
        </is>
      </c>
      <c r="B620" s="1" t="n">
        <v>45668.32795138889</v>
      </c>
      <c r="C620" s="1" t="n">
        <v>45999</v>
      </c>
      <c r="D620" t="inlineStr">
        <is>
          <t>VÄRMLANDS LÄN</t>
        </is>
      </c>
      <c r="E620" t="inlineStr">
        <is>
          <t>ÅRJÄNG</t>
        </is>
      </c>
      <c r="G620" t="n">
        <v>2.3</v>
      </c>
      <c r="H620" t="n">
        <v>0</v>
      </c>
      <c r="I620" t="n">
        <v>0</v>
      </c>
      <c r="J620" t="n">
        <v>0</v>
      </c>
      <c r="K620" t="n">
        <v>0</v>
      </c>
      <c r="L620" t="n">
        <v>0</v>
      </c>
      <c r="M620" t="n">
        <v>0</v>
      </c>
      <c r="N620" t="n">
        <v>0</v>
      </c>
      <c r="O620" t="n">
        <v>0</v>
      </c>
      <c r="P620" t="n">
        <v>0</v>
      </c>
      <c r="Q620" t="n">
        <v>0</v>
      </c>
      <c r="R620" s="2" t="inlineStr"/>
    </row>
    <row r="621" ht="15" customHeight="1">
      <c r="A621" t="inlineStr">
        <is>
          <t>A 15300-2025</t>
        </is>
      </c>
      <c r="B621" s="1" t="n">
        <v>45746</v>
      </c>
      <c r="C621" s="1" t="n">
        <v>45999</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37356-2024</t>
        </is>
      </c>
      <c r="B622" s="1" t="n">
        <v>45540</v>
      </c>
      <c r="C622" s="1" t="n">
        <v>45999</v>
      </c>
      <c r="D622" t="inlineStr">
        <is>
          <t>VÄRMLANDS LÄN</t>
        </is>
      </c>
      <c r="E622" t="inlineStr">
        <is>
          <t>ÅRJÄNG</t>
        </is>
      </c>
      <c r="G622" t="n">
        <v>3.4</v>
      </c>
      <c r="H622" t="n">
        <v>0</v>
      </c>
      <c r="I622" t="n">
        <v>0</v>
      </c>
      <c r="J622" t="n">
        <v>0</v>
      </c>
      <c r="K622" t="n">
        <v>0</v>
      </c>
      <c r="L622" t="n">
        <v>0</v>
      </c>
      <c r="M622" t="n">
        <v>0</v>
      </c>
      <c r="N622" t="n">
        <v>0</v>
      </c>
      <c r="O622" t="n">
        <v>0</v>
      </c>
      <c r="P622" t="n">
        <v>0</v>
      </c>
      <c r="Q622" t="n">
        <v>0</v>
      </c>
      <c r="R622" s="2" t="inlineStr"/>
    </row>
    <row r="623" ht="15" customHeight="1">
      <c r="A623" t="inlineStr">
        <is>
          <t>A 6962-2025</t>
        </is>
      </c>
      <c r="B623" s="1" t="n">
        <v>45701</v>
      </c>
      <c r="C623" s="1" t="n">
        <v>45999</v>
      </c>
      <c r="D623" t="inlineStr">
        <is>
          <t>VÄRMLANDS LÄN</t>
        </is>
      </c>
      <c r="E623" t="inlineStr">
        <is>
          <t>ÅRJÄNG</t>
        </is>
      </c>
      <c r="G623" t="n">
        <v>2.6</v>
      </c>
      <c r="H623" t="n">
        <v>0</v>
      </c>
      <c r="I623" t="n">
        <v>0</v>
      </c>
      <c r="J623" t="n">
        <v>0</v>
      </c>
      <c r="K623" t="n">
        <v>0</v>
      </c>
      <c r="L623" t="n">
        <v>0</v>
      </c>
      <c r="M623" t="n">
        <v>0</v>
      </c>
      <c r="N623" t="n">
        <v>0</v>
      </c>
      <c r="O623" t="n">
        <v>0</v>
      </c>
      <c r="P623" t="n">
        <v>0</v>
      </c>
      <c r="Q623" t="n">
        <v>0</v>
      </c>
      <c r="R623" s="2" t="inlineStr"/>
    </row>
    <row r="624" ht="15" customHeight="1">
      <c r="A624" t="inlineStr">
        <is>
          <t>A 61226-2024</t>
        </is>
      </c>
      <c r="B624" s="1" t="n">
        <v>45645.66853009259</v>
      </c>
      <c r="C624" s="1" t="n">
        <v>45999</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21258-2025</t>
        </is>
      </c>
      <c r="B625" s="1" t="n">
        <v>45779.59001157407</v>
      </c>
      <c r="C625" s="1" t="n">
        <v>45999</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51157-2024</t>
        </is>
      </c>
      <c r="B626" s="1" t="n">
        <v>45603</v>
      </c>
      <c r="C626" s="1" t="n">
        <v>45999</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46249-2023</t>
        </is>
      </c>
      <c r="B627" s="1" t="n">
        <v>45196.89337962963</v>
      </c>
      <c r="C627" s="1" t="n">
        <v>45999</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4798-2022</t>
        </is>
      </c>
      <c r="B628" s="1" t="n">
        <v>44592.6534375</v>
      </c>
      <c r="C628" s="1" t="n">
        <v>45999</v>
      </c>
      <c r="D628" t="inlineStr">
        <is>
          <t>VÄRMLANDS LÄN</t>
        </is>
      </c>
      <c r="E628" t="inlineStr">
        <is>
          <t>ÅRJÄNG</t>
        </is>
      </c>
      <c r="G628" t="n">
        <v>4.1</v>
      </c>
      <c r="H628" t="n">
        <v>0</v>
      </c>
      <c r="I628" t="n">
        <v>0</v>
      </c>
      <c r="J628" t="n">
        <v>0</v>
      </c>
      <c r="K628" t="n">
        <v>0</v>
      </c>
      <c r="L628" t="n">
        <v>0</v>
      </c>
      <c r="M628" t="n">
        <v>0</v>
      </c>
      <c r="N628" t="n">
        <v>0</v>
      </c>
      <c r="O628" t="n">
        <v>0</v>
      </c>
      <c r="P628" t="n">
        <v>0</v>
      </c>
      <c r="Q628" t="n">
        <v>0</v>
      </c>
      <c r="R628" s="2" t="inlineStr"/>
    </row>
    <row r="629" ht="15" customHeight="1">
      <c r="A629" t="inlineStr">
        <is>
          <t>A 60020-2024</t>
        </is>
      </c>
      <c r="B629" s="1" t="n">
        <v>45642.44655092592</v>
      </c>
      <c r="C629" s="1" t="n">
        <v>45999</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11198-2025</t>
        </is>
      </c>
      <c r="B630" s="1" t="n">
        <v>45725</v>
      </c>
      <c r="C630" s="1" t="n">
        <v>45999</v>
      </c>
      <c r="D630" t="inlineStr">
        <is>
          <t>VÄRMLANDS LÄN</t>
        </is>
      </c>
      <c r="E630" t="inlineStr">
        <is>
          <t>ÅRJÄNG</t>
        </is>
      </c>
      <c r="G630" t="n">
        <v>3.5</v>
      </c>
      <c r="H630" t="n">
        <v>0</v>
      </c>
      <c r="I630" t="n">
        <v>0</v>
      </c>
      <c r="J630" t="n">
        <v>0</v>
      </c>
      <c r="K630" t="n">
        <v>0</v>
      </c>
      <c r="L630" t="n">
        <v>0</v>
      </c>
      <c r="M630" t="n">
        <v>0</v>
      </c>
      <c r="N630" t="n">
        <v>0</v>
      </c>
      <c r="O630" t="n">
        <v>0</v>
      </c>
      <c r="P630" t="n">
        <v>0</v>
      </c>
      <c r="Q630" t="n">
        <v>0</v>
      </c>
      <c r="R630" s="2" t="inlineStr"/>
    </row>
    <row r="631" ht="15" customHeight="1">
      <c r="A631" t="inlineStr">
        <is>
          <t>A 21392-2023</t>
        </is>
      </c>
      <c r="B631" s="1" t="n">
        <v>45061</v>
      </c>
      <c r="C631" s="1" t="n">
        <v>45999</v>
      </c>
      <c r="D631" t="inlineStr">
        <is>
          <t>VÄRMLANDS LÄN</t>
        </is>
      </c>
      <c r="E631" t="inlineStr">
        <is>
          <t>ÅRJÄNG</t>
        </is>
      </c>
      <c r="G631" t="n">
        <v>11.7</v>
      </c>
      <c r="H631" t="n">
        <v>0</v>
      </c>
      <c r="I631" t="n">
        <v>0</v>
      </c>
      <c r="J631" t="n">
        <v>0</v>
      </c>
      <c r="K631" t="n">
        <v>0</v>
      </c>
      <c r="L631" t="n">
        <v>0</v>
      </c>
      <c r="M631" t="n">
        <v>0</v>
      </c>
      <c r="N631" t="n">
        <v>0</v>
      </c>
      <c r="O631" t="n">
        <v>0</v>
      </c>
      <c r="P631" t="n">
        <v>0</v>
      </c>
      <c r="Q631" t="n">
        <v>0</v>
      </c>
      <c r="R631" s="2" t="inlineStr"/>
    </row>
    <row r="632" ht="15" customHeight="1">
      <c r="A632" t="inlineStr">
        <is>
          <t>A 44140-2024</t>
        </is>
      </c>
      <c r="B632" s="1" t="n">
        <v>45572</v>
      </c>
      <c r="C632" s="1" t="n">
        <v>45999</v>
      </c>
      <c r="D632" t="inlineStr">
        <is>
          <t>VÄRMLANDS LÄN</t>
        </is>
      </c>
      <c r="E632" t="inlineStr">
        <is>
          <t>ÅRJÄNG</t>
        </is>
      </c>
      <c r="G632" t="n">
        <v>0.7</v>
      </c>
      <c r="H632" t="n">
        <v>0</v>
      </c>
      <c r="I632" t="n">
        <v>0</v>
      </c>
      <c r="J632" t="n">
        <v>0</v>
      </c>
      <c r="K632" t="n">
        <v>0</v>
      </c>
      <c r="L632" t="n">
        <v>0</v>
      </c>
      <c r="M632" t="n">
        <v>0</v>
      </c>
      <c r="N632" t="n">
        <v>0</v>
      </c>
      <c r="O632" t="n">
        <v>0</v>
      </c>
      <c r="P632" t="n">
        <v>0</v>
      </c>
      <c r="Q632" t="n">
        <v>0</v>
      </c>
      <c r="R632" s="2" t="inlineStr"/>
    </row>
    <row r="633" ht="15" customHeight="1">
      <c r="A633" t="inlineStr">
        <is>
          <t>A 7193-2024</t>
        </is>
      </c>
      <c r="B633" s="1" t="n">
        <v>45344</v>
      </c>
      <c r="C633" s="1" t="n">
        <v>45999</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9441-2021</t>
        </is>
      </c>
      <c r="B634" s="1" t="n">
        <v>44251</v>
      </c>
      <c r="C634" s="1" t="n">
        <v>45999</v>
      </c>
      <c r="D634" t="inlineStr">
        <is>
          <t>VÄRMLANDS LÄN</t>
        </is>
      </c>
      <c r="E634" t="inlineStr">
        <is>
          <t>ÅRJÄNG</t>
        </is>
      </c>
      <c r="G634" t="n">
        <v>1.3</v>
      </c>
      <c r="H634" t="n">
        <v>0</v>
      </c>
      <c r="I634" t="n">
        <v>0</v>
      </c>
      <c r="J634" t="n">
        <v>0</v>
      </c>
      <c r="K634" t="n">
        <v>0</v>
      </c>
      <c r="L634" t="n">
        <v>0</v>
      </c>
      <c r="M634" t="n">
        <v>0</v>
      </c>
      <c r="N634" t="n">
        <v>0</v>
      </c>
      <c r="O634" t="n">
        <v>0</v>
      </c>
      <c r="P634" t="n">
        <v>0</v>
      </c>
      <c r="Q634" t="n">
        <v>0</v>
      </c>
      <c r="R634" s="2" t="inlineStr"/>
    </row>
    <row r="635" ht="15" customHeight="1">
      <c r="A635" t="inlineStr">
        <is>
          <t>A 68328-2021</t>
        </is>
      </c>
      <c r="B635" s="1" t="n">
        <v>44527.35875</v>
      </c>
      <c r="C635" s="1" t="n">
        <v>45999</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7184-2024</t>
        </is>
      </c>
      <c r="B636" s="1" t="n">
        <v>45344</v>
      </c>
      <c r="C636" s="1" t="n">
        <v>45999</v>
      </c>
      <c r="D636" t="inlineStr">
        <is>
          <t>VÄRMLANDS LÄN</t>
        </is>
      </c>
      <c r="E636" t="inlineStr">
        <is>
          <t>ÅRJÄNG</t>
        </is>
      </c>
      <c r="G636" t="n">
        <v>1.3</v>
      </c>
      <c r="H636" t="n">
        <v>0</v>
      </c>
      <c r="I636" t="n">
        <v>0</v>
      </c>
      <c r="J636" t="n">
        <v>0</v>
      </c>
      <c r="K636" t="n">
        <v>0</v>
      </c>
      <c r="L636" t="n">
        <v>0</v>
      </c>
      <c r="M636" t="n">
        <v>0</v>
      </c>
      <c r="N636" t="n">
        <v>0</v>
      </c>
      <c r="O636" t="n">
        <v>0</v>
      </c>
      <c r="P636" t="n">
        <v>0</v>
      </c>
      <c r="Q636" t="n">
        <v>0</v>
      </c>
      <c r="R636" s="2" t="inlineStr"/>
    </row>
    <row r="637" ht="15" customHeight="1">
      <c r="A637" t="inlineStr">
        <is>
          <t>A 20674-2023</t>
        </is>
      </c>
      <c r="B637" s="1" t="n">
        <v>45058</v>
      </c>
      <c r="C637" s="1" t="n">
        <v>45999</v>
      </c>
      <c r="D637" t="inlineStr">
        <is>
          <t>VÄRMLANDS LÄN</t>
        </is>
      </c>
      <c r="E637" t="inlineStr">
        <is>
          <t>ÅRJÄNG</t>
        </is>
      </c>
      <c r="G637" t="n">
        <v>11.1</v>
      </c>
      <c r="H637" t="n">
        <v>0</v>
      </c>
      <c r="I637" t="n">
        <v>0</v>
      </c>
      <c r="J637" t="n">
        <v>0</v>
      </c>
      <c r="K637" t="n">
        <v>0</v>
      </c>
      <c r="L637" t="n">
        <v>0</v>
      </c>
      <c r="M637" t="n">
        <v>0</v>
      </c>
      <c r="N637" t="n">
        <v>0</v>
      </c>
      <c r="O637" t="n">
        <v>0</v>
      </c>
      <c r="P637" t="n">
        <v>0</v>
      </c>
      <c r="Q637" t="n">
        <v>0</v>
      </c>
      <c r="R637" s="2" t="inlineStr"/>
    </row>
    <row r="638" ht="15" customHeight="1">
      <c r="A638" t="inlineStr">
        <is>
          <t>A 39096-2023</t>
        </is>
      </c>
      <c r="B638" s="1" t="n">
        <v>45164.55570601852</v>
      </c>
      <c r="C638" s="1" t="n">
        <v>45999</v>
      </c>
      <c r="D638" t="inlineStr">
        <is>
          <t>VÄRMLANDS LÄN</t>
        </is>
      </c>
      <c r="E638" t="inlineStr">
        <is>
          <t>ÅRJÄNG</t>
        </is>
      </c>
      <c r="G638" t="n">
        <v>5.1</v>
      </c>
      <c r="H638" t="n">
        <v>0</v>
      </c>
      <c r="I638" t="n">
        <v>0</v>
      </c>
      <c r="J638" t="n">
        <v>0</v>
      </c>
      <c r="K638" t="n">
        <v>0</v>
      </c>
      <c r="L638" t="n">
        <v>0</v>
      </c>
      <c r="M638" t="n">
        <v>0</v>
      </c>
      <c r="N638" t="n">
        <v>0</v>
      </c>
      <c r="O638" t="n">
        <v>0</v>
      </c>
      <c r="P638" t="n">
        <v>0</v>
      </c>
      <c r="Q638" t="n">
        <v>0</v>
      </c>
      <c r="R638" s="2" t="inlineStr"/>
    </row>
    <row r="639" ht="15" customHeight="1">
      <c r="A639" t="inlineStr">
        <is>
          <t>A 23878-2023</t>
        </is>
      </c>
      <c r="B639" s="1" t="n">
        <v>45078</v>
      </c>
      <c r="C639" s="1" t="n">
        <v>45999</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480-2025</t>
        </is>
      </c>
      <c r="B640" s="1" t="n">
        <v>45664</v>
      </c>
      <c r="C640" s="1" t="n">
        <v>45999</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2253-2025</t>
        </is>
      </c>
      <c r="B641" s="1" t="n">
        <v>45673</v>
      </c>
      <c r="C641" s="1" t="n">
        <v>45999</v>
      </c>
      <c r="D641" t="inlineStr">
        <is>
          <t>VÄRMLANDS LÄN</t>
        </is>
      </c>
      <c r="E641" t="inlineStr">
        <is>
          <t>ÅRJÄNG</t>
        </is>
      </c>
      <c r="G641" t="n">
        <v>12.4</v>
      </c>
      <c r="H641" t="n">
        <v>0</v>
      </c>
      <c r="I641" t="n">
        <v>0</v>
      </c>
      <c r="J641" t="n">
        <v>0</v>
      </c>
      <c r="K641" t="n">
        <v>0</v>
      </c>
      <c r="L641" t="n">
        <v>0</v>
      </c>
      <c r="M641" t="n">
        <v>0</v>
      </c>
      <c r="N641" t="n">
        <v>0</v>
      </c>
      <c r="O641" t="n">
        <v>0</v>
      </c>
      <c r="P641" t="n">
        <v>0</v>
      </c>
      <c r="Q641" t="n">
        <v>0</v>
      </c>
      <c r="R641" s="2" t="inlineStr"/>
    </row>
    <row r="642" ht="15" customHeight="1">
      <c r="A642" t="inlineStr">
        <is>
          <t>A 4976-2025</t>
        </is>
      </c>
      <c r="B642" s="1" t="n">
        <v>45690.86565972222</v>
      </c>
      <c r="C642" s="1" t="n">
        <v>45999</v>
      </c>
      <c r="D642" t="inlineStr">
        <is>
          <t>VÄRMLANDS LÄN</t>
        </is>
      </c>
      <c r="E642" t="inlineStr">
        <is>
          <t>ÅRJÄNG</t>
        </is>
      </c>
      <c r="G642" t="n">
        <v>4.5</v>
      </c>
      <c r="H642" t="n">
        <v>0</v>
      </c>
      <c r="I642" t="n">
        <v>0</v>
      </c>
      <c r="J642" t="n">
        <v>0</v>
      </c>
      <c r="K642" t="n">
        <v>0</v>
      </c>
      <c r="L642" t="n">
        <v>0</v>
      </c>
      <c r="M642" t="n">
        <v>0</v>
      </c>
      <c r="N642" t="n">
        <v>0</v>
      </c>
      <c r="O642" t="n">
        <v>0</v>
      </c>
      <c r="P642" t="n">
        <v>0</v>
      </c>
      <c r="Q642" t="n">
        <v>0</v>
      </c>
      <c r="R642" s="2" t="inlineStr"/>
    </row>
    <row r="643" ht="15" customHeight="1">
      <c r="A643" t="inlineStr">
        <is>
          <t>A 39178-2023</t>
        </is>
      </c>
      <c r="B643" s="1" t="n">
        <v>45166.38395833333</v>
      </c>
      <c r="C643" s="1" t="n">
        <v>45999</v>
      </c>
      <c r="D643" t="inlineStr">
        <is>
          <t>VÄRMLANDS LÄN</t>
        </is>
      </c>
      <c r="E643" t="inlineStr">
        <is>
          <t>ÅRJÄNG</t>
        </is>
      </c>
      <c r="G643" t="n">
        <v>2.1</v>
      </c>
      <c r="H643" t="n">
        <v>0</v>
      </c>
      <c r="I643" t="n">
        <v>0</v>
      </c>
      <c r="J643" t="n">
        <v>0</v>
      </c>
      <c r="K643" t="n">
        <v>0</v>
      </c>
      <c r="L643" t="n">
        <v>0</v>
      </c>
      <c r="M643" t="n">
        <v>0</v>
      </c>
      <c r="N643" t="n">
        <v>0</v>
      </c>
      <c r="O643" t="n">
        <v>0</v>
      </c>
      <c r="P643" t="n">
        <v>0</v>
      </c>
      <c r="Q643" t="n">
        <v>0</v>
      </c>
      <c r="R643" s="2" t="inlineStr"/>
    </row>
    <row r="644" ht="15" customHeight="1">
      <c r="A644" t="inlineStr">
        <is>
          <t>A 13726-2024</t>
        </is>
      </c>
      <c r="B644" s="1" t="n">
        <v>45390.68759259259</v>
      </c>
      <c r="C644" s="1" t="n">
        <v>45999</v>
      </c>
      <c r="D644" t="inlineStr">
        <is>
          <t>VÄRMLANDS LÄN</t>
        </is>
      </c>
      <c r="E644" t="inlineStr">
        <is>
          <t>ÅRJÄNG</t>
        </is>
      </c>
      <c r="G644" t="n">
        <v>2.2</v>
      </c>
      <c r="H644" t="n">
        <v>0</v>
      </c>
      <c r="I644" t="n">
        <v>0</v>
      </c>
      <c r="J644" t="n">
        <v>0</v>
      </c>
      <c r="K644" t="n">
        <v>0</v>
      </c>
      <c r="L644" t="n">
        <v>0</v>
      </c>
      <c r="M644" t="n">
        <v>0</v>
      </c>
      <c r="N644" t="n">
        <v>0</v>
      </c>
      <c r="O644" t="n">
        <v>0</v>
      </c>
      <c r="P644" t="n">
        <v>0</v>
      </c>
      <c r="Q644" t="n">
        <v>0</v>
      </c>
      <c r="R644" s="2" t="inlineStr"/>
    </row>
    <row r="645" ht="15" customHeight="1">
      <c r="A645" t="inlineStr">
        <is>
          <t>A 12068-2022</t>
        </is>
      </c>
      <c r="B645" s="1" t="n">
        <v>44636</v>
      </c>
      <c r="C645" s="1" t="n">
        <v>45999</v>
      </c>
      <c r="D645" t="inlineStr">
        <is>
          <t>VÄRMLANDS LÄN</t>
        </is>
      </c>
      <c r="E645" t="inlineStr">
        <is>
          <t>ÅRJÄNG</t>
        </is>
      </c>
      <c r="G645" t="n">
        <v>4.3</v>
      </c>
      <c r="H645" t="n">
        <v>0</v>
      </c>
      <c r="I645" t="n">
        <v>0</v>
      </c>
      <c r="J645" t="n">
        <v>0</v>
      </c>
      <c r="K645" t="n">
        <v>0</v>
      </c>
      <c r="L645" t="n">
        <v>0</v>
      </c>
      <c r="M645" t="n">
        <v>0</v>
      </c>
      <c r="N645" t="n">
        <v>0</v>
      </c>
      <c r="O645" t="n">
        <v>0</v>
      </c>
      <c r="P645" t="n">
        <v>0</v>
      </c>
      <c r="Q645" t="n">
        <v>0</v>
      </c>
      <c r="R645" s="2" t="inlineStr"/>
    </row>
    <row r="646" ht="15" customHeight="1">
      <c r="A646" t="inlineStr">
        <is>
          <t>A 5332-2025</t>
        </is>
      </c>
      <c r="B646" s="1" t="n">
        <v>45692.53978009259</v>
      </c>
      <c r="C646" s="1" t="n">
        <v>45999</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54437-2021</t>
        </is>
      </c>
      <c r="B647" s="1" t="n">
        <v>44459</v>
      </c>
      <c r="C647" s="1" t="n">
        <v>45999</v>
      </c>
      <c r="D647" t="inlineStr">
        <is>
          <t>VÄRMLANDS LÄN</t>
        </is>
      </c>
      <c r="E647" t="inlineStr">
        <is>
          <t>ÅRJÄNG</t>
        </is>
      </c>
      <c r="G647" t="n">
        <v>3.5</v>
      </c>
      <c r="H647" t="n">
        <v>0</v>
      </c>
      <c r="I647" t="n">
        <v>0</v>
      </c>
      <c r="J647" t="n">
        <v>0</v>
      </c>
      <c r="K647" t="n">
        <v>0</v>
      </c>
      <c r="L647" t="n">
        <v>0</v>
      </c>
      <c r="M647" t="n">
        <v>0</v>
      </c>
      <c r="N647" t="n">
        <v>0</v>
      </c>
      <c r="O647" t="n">
        <v>0</v>
      </c>
      <c r="P647" t="n">
        <v>0</v>
      </c>
      <c r="Q647" t="n">
        <v>0</v>
      </c>
      <c r="R647" s="2" t="inlineStr"/>
    </row>
    <row r="648" ht="15" customHeight="1">
      <c r="A648" t="inlineStr">
        <is>
          <t>A 52574-2024</t>
        </is>
      </c>
      <c r="B648" s="1" t="n">
        <v>45609</v>
      </c>
      <c r="C648" s="1" t="n">
        <v>45999</v>
      </c>
      <c r="D648" t="inlineStr">
        <is>
          <t>VÄRMLANDS LÄN</t>
        </is>
      </c>
      <c r="E648" t="inlineStr">
        <is>
          <t>ÅRJÄNG</t>
        </is>
      </c>
      <c r="G648" t="n">
        <v>0.2</v>
      </c>
      <c r="H648" t="n">
        <v>0</v>
      </c>
      <c r="I648" t="n">
        <v>0</v>
      </c>
      <c r="J648" t="n">
        <v>0</v>
      </c>
      <c r="K648" t="n">
        <v>0</v>
      </c>
      <c r="L648" t="n">
        <v>0</v>
      </c>
      <c r="M648" t="n">
        <v>0</v>
      </c>
      <c r="N648" t="n">
        <v>0</v>
      </c>
      <c r="O648" t="n">
        <v>0</v>
      </c>
      <c r="P648" t="n">
        <v>0</v>
      </c>
      <c r="Q648" t="n">
        <v>0</v>
      </c>
      <c r="R648" s="2" t="inlineStr"/>
    </row>
    <row r="649" ht="15" customHeight="1">
      <c r="A649" t="inlineStr">
        <is>
          <t>A 3656-2022</t>
        </is>
      </c>
      <c r="B649" s="1" t="n">
        <v>44586</v>
      </c>
      <c r="C649" s="1" t="n">
        <v>45999</v>
      </c>
      <c r="D649" t="inlineStr">
        <is>
          <t>VÄRMLANDS LÄN</t>
        </is>
      </c>
      <c r="E649" t="inlineStr">
        <is>
          <t>ÅRJÄNG</t>
        </is>
      </c>
      <c r="G649" t="n">
        <v>11.7</v>
      </c>
      <c r="H649" t="n">
        <v>0</v>
      </c>
      <c r="I649" t="n">
        <v>0</v>
      </c>
      <c r="J649" t="n">
        <v>0</v>
      </c>
      <c r="K649" t="n">
        <v>0</v>
      </c>
      <c r="L649" t="n">
        <v>0</v>
      </c>
      <c r="M649" t="n">
        <v>0</v>
      </c>
      <c r="N649" t="n">
        <v>0</v>
      </c>
      <c r="O649" t="n">
        <v>0</v>
      </c>
      <c r="P649" t="n">
        <v>0</v>
      </c>
      <c r="Q649" t="n">
        <v>0</v>
      </c>
      <c r="R649" s="2" t="inlineStr"/>
    </row>
    <row r="650" ht="15" customHeight="1">
      <c r="A650" t="inlineStr">
        <is>
          <t>A 13814-2024</t>
        </is>
      </c>
      <c r="B650" s="1" t="n">
        <v>45391</v>
      </c>
      <c r="C650" s="1" t="n">
        <v>45999</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13819-2024</t>
        </is>
      </c>
      <c r="B651" s="1" t="n">
        <v>45391.42252314815</v>
      </c>
      <c r="C651" s="1" t="n">
        <v>45999</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12082-2023</t>
        </is>
      </c>
      <c r="B652" s="1" t="n">
        <v>44997.78215277778</v>
      </c>
      <c r="C652" s="1" t="n">
        <v>45999</v>
      </c>
      <c r="D652" t="inlineStr">
        <is>
          <t>VÄRMLANDS LÄN</t>
        </is>
      </c>
      <c r="E652" t="inlineStr">
        <is>
          <t>ÅRJÄNG</t>
        </is>
      </c>
      <c r="G652" t="n">
        <v>1.3</v>
      </c>
      <c r="H652" t="n">
        <v>0</v>
      </c>
      <c r="I652" t="n">
        <v>0</v>
      </c>
      <c r="J652" t="n">
        <v>0</v>
      </c>
      <c r="K652" t="n">
        <v>0</v>
      </c>
      <c r="L652" t="n">
        <v>0</v>
      </c>
      <c r="M652" t="n">
        <v>0</v>
      </c>
      <c r="N652" t="n">
        <v>0</v>
      </c>
      <c r="O652" t="n">
        <v>0</v>
      </c>
      <c r="P652" t="n">
        <v>0</v>
      </c>
      <c r="Q652" t="n">
        <v>0</v>
      </c>
      <c r="R652" s="2" t="inlineStr"/>
    </row>
    <row r="653" ht="15" customHeight="1">
      <c r="A653" t="inlineStr">
        <is>
          <t>A 61913-2024</t>
        </is>
      </c>
      <c r="B653" s="1" t="n">
        <v>45653.38708333333</v>
      </c>
      <c r="C653" s="1" t="n">
        <v>45999</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5931-2023</t>
        </is>
      </c>
      <c r="B654" s="1" t="n">
        <v>44963</v>
      </c>
      <c r="C654" s="1" t="n">
        <v>45999</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33728-2021</t>
        </is>
      </c>
      <c r="B655" s="1" t="n">
        <v>44378.47640046296</v>
      </c>
      <c r="C655" s="1" t="n">
        <v>45999</v>
      </c>
      <c r="D655" t="inlineStr">
        <is>
          <t>VÄRMLANDS LÄN</t>
        </is>
      </c>
      <c r="E655" t="inlineStr">
        <is>
          <t>ÅRJÄNG</t>
        </is>
      </c>
      <c r="G655" t="n">
        <v>1.7</v>
      </c>
      <c r="H655" t="n">
        <v>0</v>
      </c>
      <c r="I655" t="n">
        <v>0</v>
      </c>
      <c r="J655" t="n">
        <v>0</v>
      </c>
      <c r="K655" t="n">
        <v>0</v>
      </c>
      <c r="L655" t="n">
        <v>0</v>
      </c>
      <c r="M655" t="n">
        <v>0</v>
      </c>
      <c r="N655" t="n">
        <v>0</v>
      </c>
      <c r="O655" t="n">
        <v>0</v>
      </c>
      <c r="P655" t="n">
        <v>0</v>
      </c>
      <c r="Q655" t="n">
        <v>0</v>
      </c>
      <c r="R655" s="2" t="inlineStr"/>
    </row>
    <row r="656" ht="15" customHeight="1">
      <c r="A656" t="inlineStr">
        <is>
          <t>A 11392-2024</t>
        </is>
      </c>
      <c r="B656" s="1" t="n">
        <v>45372</v>
      </c>
      <c r="C656" s="1" t="n">
        <v>45999</v>
      </c>
      <c r="D656" t="inlineStr">
        <is>
          <t>VÄRMLANDS LÄN</t>
        </is>
      </c>
      <c r="E656" t="inlineStr">
        <is>
          <t>ÅRJÄNG</t>
        </is>
      </c>
      <c r="G656" t="n">
        <v>3.6</v>
      </c>
      <c r="H656" t="n">
        <v>0</v>
      </c>
      <c r="I656" t="n">
        <v>0</v>
      </c>
      <c r="J656" t="n">
        <v>0</v>
      </c>
      <c r="K656" t="n">
        <v>0</v>
      </c>
      <c r="L656" t="n">
        <v>0</v>
      </c>
      <c r="M656" t="n">
        <v>0</v>
      </c>
      <c r="N656" t="n">
        <v>0</v>
      </c>
      <c r="O656" t="n">
        <v>0</v>
      </c>
      <c r="P656" t="n">
        <v>0</v>
      </c>
      <c r="Q656" t="n">
        <v>0</v>
      </c>
      <c r="R656" s="2" t="inlineStr"/>
    </row>
    <row r="657" ht="15" customHeight="1">
      <c r="A657" t="inlineStr">
        <is>
          <t>A 13317-2025</t>
        </is>
      </c>
      <c r="B657" s="1" t="n">
        <v>45735.59452546296</v>
      </c>
      <c r="C657" s="1" t="n">
        <v>45999</v>
      </c>
      <c r="D657" t="inlineStr">
        <is>
          <t>VÄRMLANDS LÄN</t>
        </is>
      </c>
      <c r="E657" t="inlineStr">
        <is>
          <t>ÅRJÄNG</t>
        </is>
      </c>
      <c r="G657" t="n">
        <v>3.7</v>
      </c>
      <c r="H657" t="n">
        <v>0</v>
      </c>
      <c r="I657" t="n">
        <v>0</v>
      </c>
      <c r="J657" t="n">
        <v>0</v>
      </c>
      <c r="K657" t="n">
        <v>0</v>
      </c>
      <c r="L657" t="n">
        <v>0</v>
      </c>
      <c r="M657" t="n">
        <v>0</v>
      </c>
      <c r="N657" t="n">
        <v>0</v>
      </c>
      <c r="O657" t="n">
        <v>0</v>
      </c>
      <c r="P657" t="n">
        <v>0</v>
      </c>
      <c r="Q657" t="n">
        <v>0</v>
      </c>
      <c r="R657" s="2" t="inlineStr"/>
    </row>
    <row r="658" ht="15" customHeight="1">
      <c r="A658" t="inlineStr">
        <is>
          <t>A 64903-2023</t>
        </is>
      </c>
      <c r="B658" s="1" t="n">
        <v>45282</v>
      </c>
      <c r="C658" s="1" t="n">
        <v>45999</v>
      </c>
      <c r="D658" t="inlineStr">
        <is>
          <t>VÄRMLANDS LÄN</t>
        </is>
      </c>
      <c r="E658" t="inlineStr">
        <is>
          <t>ÅRJÄNG</t>
        </is>
      </c>
      <c r="G658" t="n">
        <v>7.5</v>
      </c>
      <c r="H658" t="n">
        <v>0</v>
      </c>
      <c r="I658" t="n">
        <v>0</v>
      </c>
      <c r="J658" t="n">
        <v>0</v>
      </c>
      <c r="K658" t="n">
        <v>0</v>
      </c>
      <c r="L658" t="n">
        <v>0</v>
      </c>
      <c r="M658" t="n">
        <v>0</v>
      </c>
      <c r="N658" t="n">
        <v>0</v>
      </c>
      <c r="O658" t="n">
        <v>0</v>
      </c>
      <c r="P658" t="n">
        <v>0</v>
      </c>
      <c r="Q658" t="n">
        <v>0</v>
      </c>
      <c r="R658" s="2" t="inlineStr"/>
    </row>
    <row r="659" ht="15" customHeight="1">
      <c r="A659" t="inlineStr">
        <is>
          <t>A 70461-2021</t>
        </is>
      </c>
      <c r="B659" s="1" t="n">
        <v>44536</v>
      </c>
      <c r="C659" s="1" t="n">
        <v>45999</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38707-2023</t>
        </is>
      </c>
      <c r="B660" s="1" t="n">
        <v>45163.34018518519</v>
      </c>
      <c r="C660" s="1" t="n">
        <v>45999</v>
      </c>
      <c r="D660" t="inlineStr">
        <is>
          <t>VÄRMLANDS LÄN</t>
        </is>
      </c>
      <c r="E660" t="inlineStr">
        <is>
          <t>ÅRJÄNG</t>
        </is>
      </c>
      <c r="G660" t="n">
        <v>2.8</v>
      </c>
      <c r="H660" t="n">
        <v>0</v>
      </c>
      <c r="I660" t="n">
        <v>0</v>
      </c>
      <c r="J660" t="n">
        <v>0</v>
      </c>
      <c r="K660" t="n">
        <v>0</v>
      </c>
      <c r="L660" t="n">
        <v>0</v>
      </c>
      <c r="M660" t="n">
        <v>0</v>
      </c>
      <c r="N660" t="n">
        <v>0</v>
      </c>
      <c r="O660" t="n">
        <v>0</v>
      </c>
      <c r="P660" t="n">
        <v>0</v>
      </c>
      <c r="Q660" t="n">
        <v>0</v>
      </c>
      <c r="R660" s="2" t="inlineStr"/>
    </row>
    <row r="661" ht="15" customHeight="1">
      <c r="A661" t="inlineStr">
        <is>
          <t>A 17878-2024</t>
        </is>
      </c>
      <c r="B661" s="1" t="n">
        <v>45419</v>
      </c>
      <c r="C661" s="1" t="n">
        <v>45999</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45643-2023</t>
        </is>
      </c>
      <c r="B662" s="1" t="n">
        <v>45194.69827546296</v>
      </c>
      <c r="C662" s="1" t="n">
        <v>45999</v>
      </c>
      <c r="D662" t="inlineStr">
        <is>
          <t>VÄRMLANDS LÄN</t>
        </is>
      </c>
      <c r="E662" t="inlineStr">
        <is>
          <t>ÅRJÄNG</t>
        </is>
      </c>
      <c r="G662" t="n">
        <v>1.2</v>
      </c>
      <c r="H662" t="n">
        <v>0</v>
      </c>
      <c r="I662" t="n">
        <v>0</v>
      </c>
      <c r="J662" t="n">
        <v>0</v>
      </c>
      <c r="K662" t="n">
        <v>0</v>
      </c>
      <c r="L662" t="n">
        <v>0</v>
      </c>
      <c r="M662" t="n">
        <v>0</v>
      </c>
      <c r="N662" t="n">
        <v>0</v>
      </c>
      <c r="O662" t="n">
        <v>0</v>
      </c>
      <c r="P662" t="n">
        <v>0</v>
      </c>
      <c r="Q662" t="n">
        <v>0</v>
      </c>
      <c r="R662" s="2" t="inlineStr"/>
    </row>
    <row r="663" ht="15" customHeight="1">
      <c r="A663" t="inlineStr">
        <is>
          <t>A 64151-2023</t>
        </is>
      </c>
      <c r="B663" s="1" t="n">
        <v>45279.58803240741</v>
      </c>
      <c r="C663" s="1" t="n">
        <v>45999</v>
      </c>
      <c r="D663" t="inlineStr">
        <is>
          <t>VÄRMLANDS LÄN</t>
        </is>
      </c>
      <c r="E663" t="inlineStr">
        <is>
          <t>ÅRJÄNG</t>
        </is>
      </c>
      <c r="G663" t="n">
        <v>24.5</v>
      </c>
      <c r="H663" t="n">
        <v>0</v>
      </c>
      <c r="I663" t="n">
        <v>0</v>
      </c>
      <c r="J663" t="n">
        <v>0</v>
      </c>
      <c r="K663" t="n">
        <v>0</v>
      </c>
      <c r="L663" t="n">
        <v>0</v>
      </c>
      <c r="M663" t="n">
        <v>0</v>
      </c>
      <c r="N663" t="n">
        <v>0</v>
      </c>
      <c r="O663" t="n">
        <v>0</v>
      </c>
      <c r="P663" t="n">
        <v>0</v>
      </c>
      <c r="Q663" t="n">
        <v>0</v>
      </c>
      <c r="R663" s="2" t="inlineStr"/>
    </row>
    <row r="664" ht="15" customHeight="1">
      <c r="A664" t="inlineStr">
        <is>
          <t>A 8838-2023</t>
        </is>
      </c>
      <c r="B664" s="1" t="n">
        <v>44978</v>
      </c>
      <c r="C664" s="1" t="n">
        <v>45999</v>
      </c>
      <c r="D664" t="inlineStr">
        <is>
          <t>VÄRMLANDS LÄN</t>
        </is>
      </c>
      <c r="E664" t="inlineStr">
        <is>
          <t>ÅRJÄNG</t>
        </is>
      </c>
      <c r="G664" t="n">
        <v>7</v>
      </c>
      <c r="H664" t="n">
        <v>0</v>
      </c>
      <c r="I664" t="n">
        <v>0</v>
      </c>
      <c r="J664" t="n">
        <v>0</v>
      </c>
      <c r="K664" t="n">
        <v>0</v>
      </c>
      <c r="L664" t="n">
        <v>0</v>
      </c>
      <c r="M664" t="n">
        <v>0</v>
      </c>
      <c r="N664" t="n">
        <v>0</v>
      </c>
      <c r="O664" t="n">
        <v>0</v>
      </c>
      <c r="P664" t="n">
        <v>0</v>
      </c>
      <c r="Q664" t="n">
        <v>0</v>
      </c>
      <c r="R664" s="2" t="inlineStr"/>
    </row>
    <row r="665" ht="15" customHeight="1">
      <c r="A665" t="inlineStr">
        <is>
          <t>A 55071-2024</t>
        </is>
      </c>
      <c r="B665" s="1" t="n">
        <v>45621.41861111111</v>
      </c>
      <c r="C665" s="1" t="n">
        <v>45999</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52579-2024</t>
        </is>
      </c>
      <c r="B666" s="1" t="n">
        <v>45609</v>
      </c>
      <c r="C666" s="1" t="n">
        <v>45999</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44556-2023</t>
        </is>
      </c>
      <c r="B667" s="1" t="n">
        <v>45189.53738425926</v>
      </c>
      <c r="C667" s="1" t="n">
        <v>45999</v>
      </c>
      <c r="D667" t="inlineStr">
        <is>
          <t>VÄRMLANDS LÄN</t>
        </is>
      </c>
      <c r="E667" t="inlineStr">
        <is>
          <t>ÅRJÄNG</t>
        </is>
      </c>
      <c r="G667" t="n">
        <v>1.3</v>
      </c>
      <c r="H667" t="n">
        <v>0</v>
      </c>
      <c r="I667" t="n">
        <v>0</v>
      </c>
      <c r="J667" t="n">
        <v>0</v>
      </c>
      <c r="K667" t="n">
        <v>0</v>
      </c>
      <c r="L667" t="n">
        <v>0</v>
      </c>
      <c r="M667" t="n">
        <v>0</v>
      </c>
      <c r="N667" t="n">
        <v>0</v>
      </c>
      <c r="O667" t="n">
        <v>0</v>
      </c>
      <c r="P667" t="n">
        <v>0</v>
      </c>
      <c r="Q667" t="n">
        <v>0</v>
      </c>
      <c r="R667" s="2" t="inlineStr"/>
    </row>
    <row r="668" ht="15" customHeight="1">
      <c r="A668" t="inlineStr">
        <is>
          <t>A 1467-2025</t>
        </is>
      </c>
      <c r="B668" s="1" t="n">
        <v>45667</v>
      </c>
      <c r="C668" s="1" t="n">
        <v>45999</v>
      </c>
      <c r="D668" t="inlineStr">
        <is>
          <t>VÄRMLANDS LÄN</t>
        </is>
      </c>
      <c r="E668" t="inlineStr">
        <is>
          <t>ÅRJÄNG</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53742-2024</t>
        </is>
      </c>
      <c r="B669" s="1" t="n">
        <v>45615.47130787037</v>
      </c>
      <c r="C669" s="1" t="n">
        <v>45999</v>
      </c>
      <c r="D669" t="inlineStr">
        <is>
          <t>VÄRMLANDS LÄN</t>
        </is>
      </c>
      <c r="E669" t="inlineStr">
        <is>
          <t>ÅRJÄNG</t>
        </is>
      </c>
      <c r="G669" t="n">
        <v>0.8</v>
      </c>
      <c r="H669" t="n">
        <v>0</v>
      </c>
      <c r="I669" t="n">
        <v>0</v>
      </c>
      <c r="J669" t="n">
        <v>0</v>
      </c>
      <c r="K669" t="n">
        <v>0</v>
      </c>
      <c r="L669" t="n">
        <v>0</v>
      </c>
      <c r="M669" t="n">
        <v>0</v>
      </c>
      <c r="N669" t="n">
        <v>0</v>
      </c>
      <c r="O669" t="n">
        <v>0</v>
      </c>
      <c r="P669" t="n">
        <v>0</v>
      </c>
      <c r="Q669" t="n">
        <v>0</v>
      </c>
      <c r="R669" s="2" t="inlineStr"/>
    </row>
    <row r="670" ht="15" customHeight="1">
      <c r="A670" t="inlineStr">
        <is>
          <t>A 56769-2024</t>
        </is>
      </c>
      <c r="B670" s="1" t="n">
        <v>45628.41550925926</v>
      </c>
      <c r="C670" s="1" t="n">
        <v>45999</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51258-2022</t>
        </is>
      </c>
      <c r="B671" s="1" t="n">
        <v>44868.67460648148</v>
      </c>
      <c r="C671" s="1" t="n">
        <v>45999</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52741-2024</t>
        </is>
      </c>
      <c r="B672" s="1" t="n">
        <v>45610</v>
      </c>
      <c r="C672" s="1" t="n">
        <v>45999</v>
      </c>
      <c r="D672" t="inlineStr">
        <is>
          <t>VÄRMLANDS LÄN</t>
        </is>
      </c>
      <c r="E672" t="inlineStr">
        <is>
          <t>ÅRJÄNG</t>
        </is>
      </c>
      <c r="G672" t="n">
        <v>2.3</v>
      </c>
      <c r="H672" t="n">
        <v>0</v>
      </c>
      <c r="I672" t="n">
        <v>0</v>
      </c>
      <c r="J672" t="n">
        <v>0</v>
      </c>
      <c r="K672" t="n">
        <v>0</v>
      </c>
      <c r="L672" t="n">
        <v>0</v>
      </c>
      <c r="M672" t="n">
        <v>0</v>
      </c>
      <c r="N672" t="n">
        <v>0</v>
      </c>
      <c r="O672" t="n">
        <v>0</v>
      </c>
      <c r="P672" t="n">
        <v>0</v>
      </c>
      <c r="Q672" t="n">
        <v>0</v>
      </c>
      <c r="R672" s="2" t="inlineStr"/>
    </row>
    <row r="673" ht="15" customHeight="1">
      <c r="A673" t="inlineStr">
        <is>
          <t>A 44934-2024</t>
        </is>
      </c>
      <c r="B673" s="1" t="n">
        <v>45575</v>
      </c>
      <c r="C673" s="1" t="n">
        <v>45999</v>
      </c>
      <c r="D673" t="inlineStr">
        <is>
          <t>VÄRMLANDS LÄN</t>
        </is>
      </c>
      <c r="E673" t="inlineStr">
        <is>
          <t>ÅRJÄNG</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4582-2025</t>
        </is>
      </c>
      <c r="B674" s="1" t="n">
        <v>45687</v>
      </c>
      <c r="C674" s="1" t="n">
        <v>45999</v>
      </c>
      <c r="D674" t="inlineStr">
        <is>
          <t>VÄRMLANDS LÄN</t>
        </is>
      </c>
      <c r="E674" t="inlineStr">
        <is>
          <t>ÅRJÄNG</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23847-2023</t>
        </is>
      </c>
      <c r="B675" s="1" t="n">
        <v>45078</v>
      </c>
      <c r="C675" s="1" t="n">
        <v>45999</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15327-2022</t>
        </is>
      </c>
      <c r="B676" s="1" t="n">
        <v>44659</v>
      </c>
      <c r="C676" s="1" t="n">
        <v>45999</v>
      </c>
      <c r="D676" t="inlineStr">
        <is>
          <t>VÄRMLANDS LÄN</t>
        </is>
      </c>
      <c r="E676" t="inlineStr">
        <is>
          <t>ÅRJÄNG</t>
        </is>
      </c>
      <c r="G676" t="n">
        <v>4</v>
      </c>
      <c r="H676" t="n">
        <v>0</v>
      </c>
      <c r="I676" t="n">
        <v>0</v>
      </c>
      <c r="J676" t="n">
        <v>0</v>
      </c>
      <c r="K676" t="n">
        <v>0</v>
      </c>
      <c r="L676" t="n">
        <v>0</v>
      </c>
      <c r="M676" t="n">
        <v>0</v>
      </c>
      <c r="N676" t="n">
        <v>0</v>
      </c>
      <c r="O676" t="n">
        <v>0</v>
      </c>
      <c r="P676" t="n">
        <v>0</v>
      </c>
      <c r="Q676" t="n">
        <v>0</v>
      </c>
      <c r="R676" s="2" t="inlineStr"/>
    </row>
    <row r="677" ht="15" customHeight="1">
      <c r="A677" t="inlineStr">
        <is>
          <t>A 44004-2023</t>
        </is>
      </c>
      <c r="B677" s="1" t="n">
        <v>45188.30134259259</v>
      </c>
      <c r="C677" s="1" t="n">
        <v>45999</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44007-2023</t>
        </is>
      </c>
      <c r="B678" s="1" t="n">
        <v>45188.31231481482</v>
      </c>
      <c r="C678" s="1" t="n">
        <v>45999</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5741-2025</t>
        </is>
      </c>
      <c r="B679" s="1" t="n">
        <v>45694.52100694444</v>
      </c>
      <c r="C679" s="1" t="n">
        <v>45999</v>
      </c>
      <c r="D679" t="inlineStr">
        <is>
          <t>VÄRMLANDS LÄN</t>
        </is>
      </c>
      <c r="E679" t="inlineStr">
        <is>
          <t>ÅRJÄNG</t>
        </is>
      </c>
      <c r="G679" t="n">
        <v>2.4</v>
      </c>
      <c r="H679" t="n">
        <v>0</v>
      </c>
      <c r="I679" t="n">
        <v>0</v>
      </c>
      <c r="J679" t="n">
        <v>0</v>
      </c>
      <c r="K679" t="n">
        <v>0</v>
      </c>
      <c r="L679" t="n">
        <v>0</v>
      </c>
      <c r="M679" t="n">
        <v>0</v>
      </c>
      <c r="N679" t="n">
        <v>0</v>
      </c>
      <c r="O679" t="n">
        <v>0</v>
      </c>
      <c r="P679" t="n">
        <v>0</v>
      </c>
      <c r="Q679" t="n">
        <v>0</v>
      </c>
      <c r="R679" s="2" t="inlineStr"/>
    </row>
    <row r="680" ht="15" customHeight="1">
      <c r="A680" t="inlineStr">
        <is>
          <t>A 71812-2021</t>
        </is>
      </c>
      <c r="B680" s="1" t="n">
        <v>44539</v>
      </c>
      <c r="C680" s="1" t="n">
        <v>45999</v>
      </c>
      <c r="D680" t="inlineStr">
        <is>
          <t>VÄRMLANDS LÄN</t>
        </is>
      </c>
      <c r="E680" t="inlineStr">
        <is>
          <t>ÅRJÄNG</t>
        </is>
      </c>
      <c r="G680" t="n">
        <v>9</v>
      </c>
      <c r="H680" t="n">
        <v>0</v>
      </c>
      <c r="I680" t="n">
        <v>0</v>
      </c>
      <c r="J680" t="n">
        <v>0</v>
      </c>
      <c r="K680" t="n">
        <v>0</v>
      </c>
      <c r="L680" t="n">
        <v>0</v>
      </c>
      <c r="M680" t="n">
        <v>0</v>
      </c>
      <c r="N680" t="n">
        <v>0</v>
      </c>
      <c r="O680" t="n">
        <v>0</v>
      </c>
      <c r="P680" t="n">
        <v>0</v>
      </c>
      <c r="Q680" t="n">
        <v>0</v>
      </c>
      <c r="R680" s="2" t="inlineStr"/>
    </row>
    <row r="681" ht="15" customHeight="1">
      <c r="A681" t="inlineStr">
        <is>
          <t>A 34580-2023</t>
        </is>
      </c>
      <c r="B681" s="1" t="n">
        <v>45135</v>
      </c>
      <c r="C681" s="1" t="n">
        <v>45999</v>
      </c>
      <c r="D681" t="inlineStr">
        <is>
          <t>VÄRMLANDS LÄN</t>
        </is>
      </c>
      <c r="E681" t="inlineStr">
        <is>
          <t>ÅRJÄNG</t>
        </is>
      </c>
      <c r="F681" t="inlineStr">
        <is>
          <t>Övriga Aktiebolag</t>
        </is>
      </c>
      <c r="G681" t="n">
        <v>4</v>
      </c>
      <c r="H681" t="n">
        <v>0</v>
      </c>
      <c r="I681" t="n">
        <v>0</v>
      </c>
      <c r="J681" t="n">
        <v>0</v>
      </c>
      <c r="K681" t="n">
        <v>0</v>
      </c>
      <c r="L681" t="n">
        <v>0</v>
      </c>
      <c r="M681" t="n">
        <v>0</v>
      </c>
      <c r="N681" t="n">
        <v>0</v>
      </c>
      <c r="O681" t="n">
        <v>0</v>
      </c>
      <c r="P681" t="n">
        <v>0</v>
      </c>
      <c r="Q681" t="n">
        <v>0</v>
      </c>
      <c r="R681" s="2" t="inlineStr"/>
    </row>
    <row r="682" ht="15" customHeight="1">
      <c r="A682" t="inlineStr">
        <is>
          <t>A 15164-2023</t>
        </is>
      </c>
      <c r="B682" s="1" t="n">
        <v>45016.59475694445</v>
      </c>
      <c r="C682" s="1" t="n">
        <v>45999</v>
      </c>
      <c r="D682" t="inlineStr">
        <is>
          <t>VÄRMLANDS LÄN</t>
        </is>
      </c>
      <c r="E682" t="inlineStr">
        <is>
          <t>ÅRJÄNG</t>
        </is>
      </c>
      <c r="G682" t="n">
        <v>0.8</v>
      </c>
      <c r="H682" t="n">
        <v>0</v>
      </c>
      <c r="I682" t="n">
        <v>0</v>
      </c>
      <c r="J682" t="n">
        <v>0</v>
      </c>
      <c r="K682" t="n">
        <v>0</v>
      </c>
      <c r="L682" t="n">
        <v>0</v>
      </c>
      <c r="M682" t="n">
        <v>0</v>
      </c>
      <c r="N682" t="n">
        <v>0</v>
      </c>
      <c r="O682" t="n">
        <v>0</v>
      </c>
      <c r="P682" t="n">
        <v>0</v>
      </c>
      <c r="Q682" t="n">
        <v>0</v>
      </c>
      <c r="R682" s="2" t="inlineStr"/>
    </row>
    <row r="683" ht="15" customHeight="1">
      <c r="A683" t="inlineStr">
        <is>
          <t>A 283-2025</t>
        </is>
      </c>
      <c r="B683" s="1" t="n">
        <v>45656</v>
      </c>
      <c r="C683" s="1" t="n">
        <v>45999</v>
      </c>
      <c r="D683" t="inlineStr">
        <is>
          <t>VÄRMLANDS LÄN</t>
        </is>
      </c>
      <c r="E683" t="inlineStr">
        <is>
          <t>ÅRJÄNG</t>
        </is>
      </c>
      <c r="F683" t="inlineStr">
        <is>
          <t>Övriga Aktiebolag</t>
        </is>
      </c>
      <c r="G683" t="n">
        <v>3.9</v>
      </c>
      <c r="H683" t="n">
        <v>0</v>
      </c>
      <c r="I683" t="n">
        <v>0</v>
      </c>
      <c r="J683" t="n">
        <v>0</v>
      </c>
      <c r="K683" t="n">
        <v>0</v>
      </c>
      <c r="L683" t="n">
        <v>0</v>
      </c>
      <c r="M683" t="n">
        <v>0</v>
      </c>
      <c r="N683" t="n">
        <v>0</v>
      </c>
      <c r="O683" t="n">
        <v>0</v>
      </c>
      <c r="P683" t="n">
        <v>0</v>
      </c>
      <c r="Q683" t="n">
        <v>0</v>
      </c>
      <c r="R683" s="2" t="inlineStr"/>
    </row>
    <row r="684" ht="15" customHeight="1">
      <c r="A684" t="inlineStr">
        <is>
          <t>A 5127-2025</t>
        </is>
      </c>
      <c r="B684" s="1" t="n">
        <v>45691.56623842593</v>
      </c>
      <c r="C684" s="1" t="n">
        <v>45999</v>
      </c>
      <c r="D684" t="inlineStr">
        <is>
          <t>VÄRMLANDS LÄN</t>
        </is>
      </c>
      <c r="E684" t="inlineStr">
        <is>
          <t>ÅRJÄNG</t>
        </is>
      </c>
      <c r="G684" t="n">
        <v>5.7</v>
      </c>
      <c r="H684" t="n">
        <v>0</v>
      </c>
      <c r="I684" t="n">
        <v>0</v>
      </c>
      <c r="J684" t="n">
        <v>0</v>
      </c>
      <c r="K684" t="n">
        <v>0</v>
      </c>
      <c r="L684" t="n">
        <v>0</v>
      </c>
      <c r="M684" t="n">
        <v>0</v>
      </c>
      <c r="N684" t="n">
        <v>0</v>
      </c>
      <c r="O684" t="n">
        <v>0</v>
      </c>
      <c r="P684" t="n">
        <v>0</v>
      </c>
      <c r="Q684" t="n">
        <v>0</v>
      </c>
      <c r="R684" s="2" t="inlineStr"/>
    </row>
    <row r="685" ht="15" customHeight="1">
      <c r="A685" t="inlineStr">
        <is>
          <t>A 55422-2023</t>
        </is>
      </c>
      <c r="B685" s="1" t="n">
        <v>45238.41858796297</v>
      </c>
      <c r="C685" s="1" t="n">
        <v>45999</v>
      </c>
      <c r="D685" t="inlineStr">
        <is>
          <t>VÄRMLANDS LÄN</t>
        </is>
      </c>
      <c r="E685" t="inlineStr">
        <is>
          <t>ÅRJÄNG</t>
        </is>
      </c>
      <c r="F685" t="inlineStr">
        <is>
          <t>Kyrkan</t>
        </is>
      </c>
      <c r="G685" t="n">
        <v>2.3</v>
      </c>
      <c r="H685" t="n">
        <v>0</v>
      </c>
      <c r="I685" t="n">
        <v>0</v>
      </c>
      <c r="J685" t="n">
        <v>0</v>
      </c>
      <c r="K685" t="n">
        <v>0</v>
      </c>
      <c r="L685" t="n">
        <v>0</v>
      </c>
      <c r="M685" t="n">
        <v>0</v>
      </c>
      <c r="N685" t="n">
        <v>0</v>
      </c>
      <c r="O685" t="n">
        <v>0</v>
      </c>
      <c r="P685" t="n">
        <v>0</v>
      </c>
      <c r="Q685" t="n">
        <v>0</v>
      </c>
      <c r="R685" s="2" t="inlineStr"/>
    </row>
    <row r="686" ht="15" customHeight="1">
      <c r="A686" t="inlineStr">
        <is>
          <t>A 39187-2024</t>
        </is>
      </c>
      <c r="B686" s="1" t="n">
        <v>45548.66915509259</v>
      </c>
      <c r="C686" s="1" t="n">
        <v>45999</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8601-2022</t>
        </is>
      </c>
      <c r="B687" s="1" t="n">
        <v>44613.57193287037</v>
      </c>
      <c r="C687" s="1" t="n">
        <v>45999</v>
      </c>
      <c r="D687" t="inlineStr">
        <is>
          <t>VÄRMLANDS LÄN</t>
        </is>
      </c>
      <c r="E687" t="inlineStr">
        <is>
          <t>ÅRJÄNG</t>
        </is>
      </c>
      <c r="G687" t="n">
        <v>1.3</v>
      </c>
      <c r="H687" t="n">
        <v>0</v>
      </c>
      <c r="I687" t="n">
        <v>0</v>
      </c>
      <c r="J687" t="n">
        <v>0</v>
      </c>
      <c r="K687" t="n">
        <v>0</v>
      </c>
      <c r="L687" t="n">
        <v>0</v>
      </c>
      <c r="M687" t="n">
        <v>0</v>
      </c>
      <c r="N687" t="n">
        <v>0</v>
      </c>
      <c r="O687" t="n">
        <v>0</v>
      </c>
      <c r="P687" t="n">
        <v>0</v>
      </c>
      <c r="Q687" t="n">
        <v>0</v>
      </c>
      <c r="R687" s="2" t="inlineStr"/>
    </row>
    <row r="688" ht="15" customHeight="1">
      <c r="A688" t="inlineStr">
        <is>
          <t>A 31793-2023</t>
        </is>
      </c>
      <c r="B688" s="1" t="n">
        <v>45118.43685185185</v>
      </c>
      <c r="C688" s="1" t="n">
        <v>45999</v>
      </c>
      <c r="D688" t="inlineStr">
        <is>
          <t>VÄRMLANDS LÄN</t>
        </is>
      </c>
      <c r="E688" t="inlineStr">
        <is>
          <t>ÅRJÄNG</t>
        </is>
      </c>
      <c r="G688" t="n">
        <v>10.9</v>
      </c>
      <c r="H688" t="n">
        <v>0</v>
      </c>
      <c r="I688" t="n">
        <v>0</v>
      </c>
      <c r="J688" t="n">
        <v>0</v>
      </c>
      <c r="K688" t="n">
        <v>0</v>
      </c>
      <c r="L688" t="n">
        <v>0</v>
      </c>
      <c r="M688" t="n">
        <v>0</v>
      </c>
      <c r="N688" t="n">
        <v>0</v>
      </c>
      <c r="O688" t="n">
        <v>0</v>
      </c>
      <c r="P688" t="n">
        <v>0</v>
      </c>
      <c r="Q688" t="n">
        <v>0</v>
      </c>
      <c r="R688" s="2" t="inlineStr"/>
    </row>
    <row r="689" ht="15" customHeight="1">
      <c r="A689" t="inlineStr">
        <is>
          <t>A 50347-2024</t>
        </is>
      </c>
      <c r="B689" s="1" t="n">
        <v>45600</v>
      </c>
      <c r="C689" s="1" t="n">
        <v>45999</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56060-2023</t>
        </is>
      </c>
      <c r="B690" s="1" t="n">
        <v>45233</v>
      </c>
      <c r="C690" s="1" t="n">
        <v>45999</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43794-2024</t>
        </is>
      </c>
      <c r="B691" s="1" t="n">
        <v>45571.53519675926</v>
      </c>
      <c r="C691" s="1" t="n">
        <v>45999</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56655-2024</t>
        </is>
      </c>
      <c r="B692" s="1" t="n">
        <v>45625</v>
      </c>
      <c r="C692" s="1" t="n">
        <v>45999</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27240-2023</t>
        </is>
      </c>
      <c r="B693" s="1" t="n">
        <v>45096</v>
      </c>
      <c r="C693" s="1" t="n">
        <v>45999</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12137-2025</t>
        </is>
      </c>
      <c r="B694" s="1" t="n">
        <v>45729.39879629629</v>
      </c>
      <c r="C694" s="1" t="n">
        <v>45999</v>
      </c>
      <c r="D694" t="inlineStr">
        <is>
          <t>VÄRMLANDS LÄN</t>
        </is>
      </c>
      <c r="E694" t="inlineStr">
        <is>
          <t>ÅRJÄNG</t>
        </is>
      </c>
      <c r="G694" t="n">
        <v>12.6</v>
      </c>
      <c r="H694" t="n">
        <v>0</v>
      </c>
      <c r="I694" t="n">
        <v>0</v>
      </c>
      <c r="J694" t="n">
        <v>0</v>
      </c>
      <c r="K694" t="n">
        <v>0</v>
      </c>
      <c r="L694" t="n">
        <v>0</v>
      </c>
      <c r="M694" t="n">
        <v>0</v>
      </c>
      <c r="N694" t="n">
        <v>0</v>
      </c>
      <c r="O694" t="n">
        <v>0</v>
      </c>
      <c r="P694" t="n">
        <v>0</v>
      </c>
      <c r="Q694" t="n">
        <v>0</v>
      </c>
      <c r="R694" s="2" t="inlineStr"/>
    </row>
    <row r="695" ht="15" customHeight="1">
      <c r="A695" t="inlineStr">
        <is>
          <t>A 24483-2024</t>
        </is>
      </c>
      <c r="B695" s="1" t="n">
        <v>45459</v>
      </c>
      <c r="C695" s="1" t="n">
        <v>45999</v>
      </c>
      <c r="D695" t="inlineStr">
        <is>
          <t>VÄRMLANDS LÄN</t>
        </is>
      </c>
      <c r="E695" t="inlineStr">
        <is>
          <t>ÅRJÄNG</t>
        </is>
      </c>
      <c r="G695" t="n">
        <v>3.6</v>
      </c>
      <c r="H695" t="n">
        <v>0</v>
      </c>
      <c r="I695" t="n">
        <v>0</v>
      </c>
      <c r="J695" t="n">
        <v>0</v>
      </c>
      <c r="K695" t="n">
        <v>0</v>
      </c>
      <c r="L695" t="n">
        <v>0</v>
      </c>
      <c r="M695" t="n">
        <v>0</v>
      </c>
      <c r="N695" t="n">
        <v>0</v>
      </c>
      <c r="O695" t="n">
        <v>0</v>
      </c>
      <c r="P695" t="n">
        <v>0</v>
      </c>
      <c r="Q695" t="n">
        <v>0</v>
      </c>
      <c r="R695" s="2" t="inlineStr"/>
    </row>
    <row r="696" ht="15" customHeight="1">
      <c r="A696" t="inlineStr">
        <is>
          <t>A 24273-2023</t>
        </is>
      </c>
      <c r="B696" s="1" t="n">
        <v>45079.6764699074</v>
      </c>
      <c r="C696" s="1" t="n">
        <v>45999</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56940-2024</t>
        </is>
      </c>
      <c r="B697" s="1" t="n">
        <v>45628.61755787037</v>
      </c>
      <c r="C697" s="1" t="n">
        <v>45999</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36344-2023</t>
        </is>
      </c>
      <c r="B698" s="1" t="n">
        <v>45152</v>
      </c>
      <c r="C698" s="1" t="n">
        <v>45999</v>
      </c>
      <c r="D698" t="inlineStr">
        <is>
          <t>VÄRMLANDS LÄN</t>
        </is>
      </c>
      <c r="E698" t="inlineStr">
        <is>
          <t>ÅRJÄNG</t>
        </is>
      </c>
      <c r="G698" t="n">
        <v>7.7</v>
      </c>
      <c r="H698" t="n">
        <v>0</v>
      </c>
      <c r="I698" t="n">
        <v>0</v>
      </c>
      <c r="J698" t="n">
        <v>0</v>
      </c>
      <c r="K698" t="n">
        <v>0</v>
      </c>
      <c r="L698" t="n">
        <v>0</v>
      </c>
      <c r="M698" t="n">
        <v>0</v>
      </c>
      <c r="N698" t="n">
        <v>0</v>
      </c>
      <c r="O698" t="n">
        <v>0</v>
      </c>
      <c r="P698" t="n">
        <v>0</v>
      </c>
      <c r="Q698" t="n">
        <v>0</v>
      </c>
      <c r="R698" s="2" t="inlineStr"/>
    </row>
    <row r="699" ht="15" customHeight="1">
      <c r="A699" t="inlineStr">
        <is>
          <t>A 23904-2023</t>
        </is>
      </c>
      <c r="B699" s="1" t="n">
        <v>45078.55413194445</v>
      </c>
      <c r="C699" s="1" t="n">
        <v>45999</v>
      </c>
      <c r="D699" t="inlineStr">
        <is>
          <t>VÄRMLANDS LÄN</t>
        </is>
      </c>
      <c r="E699" t="inlineStr">
        <is>
          <t>ÅRJÄNG</t>
        </is>
      </c>
      <c r="G699" t="n">
        <v>2.4</v>
      </c>
      <c r="H699" t="n">
        <v>0</v>
      </c>
      <c r="I699" t="n">
        <v>0</v>
      </c>
      <c r="J699" t="n">
        <v>0</v>
      </c>
      <c r="K699" t="n">
        <v>0</v>
      </c>
      <c r="L699" t="n">
        <v>0</v>
      </c>
      <c r="M699" t="n">
        <v>0</v>
      </c>
      <c r="N699" t="n">
        <v>0</v>
      </c>
      <c r="O699" t="n">
        <v>0</v>
      </c>
      <c r="P699" t="n">
        <v>0</v>
      </c>
      <c r="Q699" t="n">
        <v>0</v>
      </c>
      <c r="R699" s="2" t="inlineStr"/>
    </row>
    <row r="700" ht="15" customHeight="1">
      <c r="A700" t="inlineStr">
        <is>
          <t>A 21177-2023</t>
        </is>
      </c>
      <c r="B700" s="1" t="n">
        <v>45062</v>
      </c>
      <c r="C700" s="1" t="n">
        <v>45999</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46317-2024</t>
        </is>
      </c>
      <c r="B701" s="1" t="n">
        <v>45581.74462962963</v>
      </c>
      <c r="C701" s="1" t="n">
        <v>45999</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33738-2021</t>
        </is>
      </c>
      <c r="B702" s="1" t="n">
        <v>44378.48505787037</v>
      </c>
      <c r="C702" s="1" t="n">
        <v>45999</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1580-2025</t>
        </is>
      </c>
      <c r="B703" s="1" t="n">
        <v>45670</v>
      </c>
      <c r="C703" s="1" t="n">
        <v>45999</v>
      </c>
      <c r="D703" t="inlineStr">
        <is>
          <t>VÄRMLANDS LÄN</t>
        </is>
      </c>
      <c r="E703" t="inlineStr">
        <is>
          <t>ÅRJÄNG</t>
        </is>
      </c>
      <c r="G703" t="n">
        <v>2.8</v>
      </c>
      <c r="H703" t="n">
        <v>0</v>
      </c>
      <c r="I703" t="n">
        <v>0</v>
      </c>
      <c r="J703" t="n">
        <v>0</v>
      </c>
      <c r="K703" t="n">
        <v>0</v>
      </c>
      <c r="L703" t="n">
        <v>0</v>
      </c>
      <c r="M703" t="n">
        <v>0</v>
      </c>
      <c r="N703" t="n">
        <v>0</v>
      </c>
      <c r="O703" t="n">
        <v>0</v>
      </c>
      <c r="P703" t="n">
        <v>0</v>
      </c>
      <c r="Q703" t="n">
        <v>0</v>
      </c>
      <c r="R703" s="2" t="inlineStr"/>
    </row>
    <row r="704" ht="15" customHeight="1">
      <c r="A704" t="inlineStr">
        <is>
          <t>A 39557-2023</t>
        </is>
      </c>
      <c r="B704" s="1" t="n">
        <v>45167.38633101852</v>
      </c>
      <c r="C704" s="1" t="n">
        <v>45999</v>
      </c>
      <c r="D704" t="inlineStr">
        <is>
          <t>VÄRMLANDS LÄN</t>
        </is>
      </c>
      <c r="E704" t="inlineStr">
        <is>
          <t>ÅRJÄNG</t>
        </is>
      </c>
      <c r="G704" t="n">
        <v>1.5</v>
      </c>
      <c r="H704" t="n">
        <v>0</v>
      </c>
      <c r="I704" t="n">
        <v>0</v>
      </c>
      <c r="J704" t="n">
        <v>0</v>
      </c>
      <c r="K704" t="n">
        <v>0</v>
      </c>
      <c r="L704" t="n">
        <v>0</v>
      </c>
      <c r="M704" t="n">
        <v>0</v>
      </c>
      <c r="N704" t="n">
        <v>0</v>
      </c>
      <c r="O704" t="n">
        <v>0</v>
      </c>
      <c r="P704" t="n">
        <v>0</v>
      </c>
      <c r="Q704" t="n">
        <v>0</v>
      </c>
      <c r="R704" s="2" t="inlineStr"/>
    </row>
    <row r="705" ht="15" customHeight="1">
      <c r="A705" t="inlineStr">
        <is>
          <t>A 2551-2025</t>
        </is>
      </c>
      <c r="B705" s="1" t="n">
        <v>45674.63969907408</v>
      </c>
      <c r="C705" s="1" t="n">
        <v>45999</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3848-2025</t>
        </is>
      </c>
      <c r="B706" s="1" t="n">
        <v>45683</v>
      </c>
      <c r="C706" s="1" t="n">
        <v>45999</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47833-2023</t>
        </is>
      </c>
      <c r="B707" s="1" t="n">
        <v>45204.36287037037</v>
      </c>
      <c r="C707" s="1" t="n">
        <v>45999</v>
      </c>
      <c r="D707" t="inlineStr">
        <is>
          <t>VÄRMLANDS LÄN</t>
        </is>
      </c>
      <c r="E707" t="inlineStr">
        <is>
          <t>ÅRJÄNG</t>
        </is>
      </c>
      <c r="G707" t="n">
        <v>4.4</v>
      </c>
      <c r="H707" t="n">
        <v>0</v>
      </c>
      <c r="I707" t="n">
        <v>0</v>
      </c>
      <c r="J707" t="n">
        <v>0</v>
      </c>
      <c r="K707" t="n">
        <v>0</v>
      </c>
      <c r="L707" t="n">
        <v>0</v>
      </c>
      <c r="M707" t="n">
        <v>0</v>
      </c>
      <c r="N707" t="n">
        <v>0</v>
      </c>
      <c r="O707" t="n">
        <v>0</v>
      </c>
      <c r="P707" t="n">
        <v>0</v>
      </c>
      <c r="Q707" t="n">
        <v>0</v>
      </c>
      <c r="R707" s="2" t="inlineStr"/>
    </row>
    <row r="708" ht="15" customHeight="1">
      <c r="A708" t="inlineStr">
        <is>
          <t>A 46351-2023</t>
        </is>
      </c>
      <c r="B708" s="1" t="n">
        <v>45197.42811342593</v>
      </c>
      <c r="C708" s="1" t="n">
        <v>45999</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17361-2022</t>
        </is>
      </c>
      <c r="B709" s="1" t="n">
        <v>44678.6044675926</v>
      </c>
      <c r="C709" s="1" t="n">
        <v>45999</v>
      </c>
      <c r="D709" t="inlineStr">
        <is>
          <t>VÄRMLANDS LÄN</t>
        </is>
      </c>
      <c r="E709" t="inlineStr">
        <is>
          <t>ÅRJÄNG</t>
        </is>
      </c>
      <c r="G709" t="n">
        <v>5.7</v>
      </c>
      <c r="H709" t="n">
        <v>0</v>
      </c>
      <c r="I709" t="n">
        <v>0</v>
      </c>
      <c r="J709" t="n">
        <v>0</v>
      </c>
      <c r="K709" t="n">
        <v>0</v>
      </c>
      <c r="L709" t="n">
        <v>0</v>
      </c>
      <c r="M709" t="n">
        <v>0</v>
      </c>
      <c r="N709" t="n">
        <v>0</v>
      </c>
      <c r="O709" t="n">
        <v>0</v>
      </c>
      <c r="P709" t="n">
        <v>0</v>
      </c>
      <c r="Q709" t="n">
        <v>0</v>
      </c>
      <c r="R709" s="2" t="inlineStr"/>
    </row>
    <row r="710" ht="15" customHeight="1">
      <c r="A710" t="inlineStr">
        <is>
          <t>A 40352-2023</t>
        </is>
      </c>
      <c r="B710" s="1" t="n">
        <v>45168</v>
      </c>
      <c r="C710" s="1" t="n">
        <v>45999</v>
      </c>
      <c r="D710" t="inlineStr">
        <is>
          <t>VÄRMLANDS LÄN</t>
        </is>
      </c>
      <c r="E710" t="inlineStr">
        <is>
          <t>ÅRJÄNG</t>
        </is>
      </c>
      <c r="G710" t="n">
        <v>3.4</v>
      </c>
      <c r="H710" t="n">
        <v>0</v>
      </c>
      <c r="I710" t="n">
        <v>0</v>
      </c>
      <c r="J710" t="n">
        <v>0</v>
      </c>
      <c r="K710" t="n">
        <v>0</v>
      </c>
      <c r="L710" t="n">
        <v>0</v>
      </c>
      <c r="M710" t="n">
        <v>0</v>
      </c>
      <c r="N710" t="n">
        <v>0</v>
      </c>
      <c r="O710" t="n">
        <v>0</v>
      </c>
      <c r="P710" t="n">
        <v>0</v>
      </c>
      <c r="Q710" t="n">
        <v>0</v>
      </c>
      <c r="R710" s="2" t="inlineStr"/>
    </row>
    <row r="711" ht="15" customHeight="1">
      <c r="A711" t="inlineStr">
        <is>
          <t>A 57546-2024</t>
        </is>
      </c>
      <c r="B711" s="1" t="n">
        <v>45629</v>
      </c>
      <c r="C711" s="1" t="n">
        <v>45999</v>
      </c>
      <c r="D711" t="inlineStr">
        <is>
          <t>VÄRMLANDS LÄN</t>
        </is>
      </c>
      <c r="E711" t="inlineStr">
        <is>
          <t>ÅRJÄNG</t>
        </is>
      </c>
      <c r="G711" t="n">
        <v>0.8</v>
      </c>
      <c r="H711" t="n">
        <v>0</v>
      </c>
      <c r="I711" t="n">
        <v>0</v>
      </c>
      <c r="J711" t="n">
        <v>0</v>
      </c>
      <c r="K711" t="n">
        <v>0</v>
      </c>
      <c r="L711" t="n">
        <v>0</v>
      </c>
      <c r="M711" t="n">
        <v>0</v>
      </c>
      <c r="N711" t="n">
        <v>0</v>
      </c>
      <c r="O711" t="n">
        <v>0</v>
      </c>
      <c r="P711" t="n">
        <v>0</v>
      </c>
      <c r="Q711" t="n">
        <v>0</v>
      </c>
      <c r="R711" s="2" t="inlineStr"/>
    </row>
    <row r="712" ht="15" customHeight="1">
      <c r="A712" t="inlineStr">
        <is>
          <t>A 9427-2025</t>
        </is>
      </c>
      <c r="B712" s="1" t="n">
        <v>45715</v>
      </c>
      <c r="C712" s="1" t="n">
        <v>45999</v>
      </c>
      <c r="D712" t="inlineStr">
        <is>
          <t>VÄRMLANDS LÄN</t>
        </is>
      </c>
      <c r="E712" t="inlineStr">
        <is>
          <t>ÅRJÄNG</t>
        </is>
      </c>
      <c r="G712" t="n">
        <v>4.5</v>
      </c>
      <c r="H712" t="n">
        <v>0</v>
      </c>
      <c r="I712" t="n">
        <v>0</v>
      </c>
      <c r="J712" t="n">
        <v>0</v>
      </c>
      <c r="K712" t="n">
        <v>0</v>
      </c>
      <c r="L712" t="n">
        <v>0</v>
      </c>
      <c r="M712" t="n">
        <v>0</v>
      </c>
      <c r="N712" t="n">
        <v>0</v>
      </c>
      <c r="O712" t="n">
        <v>0</v>
      </c>
      <c r="P712" t="n">
        <v>0</v>
      </c>
      <c r="Q712" t="n">
        <v>0</v>
      </c>
      <c r="R712" s="2" t="inlineStr"/>
    </row>
    <row r="713" ht="15" customHeight="1">
      <c r="A713" t="inlineStr">
        <is>
          <t>A 55167-2024</t>
        </is>
      </c>
      <c r="B713" s="1" t="n">
        <v>45621</v>
      </c>
      <c r="C713" s="1" t="n">
        <v>45999</v>
      </c>
      <c r="D713" t="inlineStr">
        <is>
          <t>VÄRMLANDS LÄN</t>
        </is>
      </c>
      <c r="E713" t="inlineStr">
        <is>
          <t>ÅRJÄNG</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57306-2023</t>
        </is>
      </c>
      <c r="B714" s="1" t="n">
        <v>45245.62431712963</v>
      </c>
      <c r="C714" s="1" t="n">
        <v>45999</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33017-2022</t>
        </is>
      </c>
      <c r="B715" s="1" t="n">
        <v>44785.32934027778</v>
      </c>
      <c r="C715" s="1" t="n">
        <v>45999</v>
      </c>
      <c r="D715" t="inlineStr">
        <is>
          <t>VÄRMLANDS LÄN</t>
        </is>
      </c>
      <c r="E715" t="inlineStr">
        <is>
          <t>ÅRJÄNG</t>
        </is>
      </c>
      <c r="F715" t="inlineStr">
        <is>
          <t>Kyrkan</t>
        </is>
      </c>
      <c r="G715" t="n">
        <v>5.9</v>
      </c>
      <c r="H715" t="n">
        <v>0</v>
      </c>
      <c r="I715" t="n">
        <v>0</v>
      </c>
      <c r="J715" t="n">
        <v>0</v>
      </c>
      <c r="K715" t="n">
        <v>0</v>
      </c>
      <c r="L715" t="n">
        <v>0</v>
      </c>
      <c r="M715" t="n">
        <v>0</v>
      </c>
      <c r="N715" t="n">
        <v>0</v>
      </c>
      <c r="O715" t="n">
        <v>0</v>
      </c>
      <c r="P715" t="n">
        <v>0</v>
      </c>
      <c r="Q715" t="n">
        <v>0</v>
      </c>
      <c r="R715" s="2" t="inlineStr"/>
    </row>
    <row r="716" ht="15" customHeight="1">
      <c r="A716" t="inlineStr">
        <is>
          <t>A 48357-2023</t>
        </is>
      </c>
      <c r="B716" s="1" t="n">
        <v>45202</v>
      </c>
      <c r="C716" s="1" t="n">
        <v>45999</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16383-2022</t>
        </is>
      </c>
      <c r="B717" s="1" t="n">
        <v>44671</v>
      </c>
      <c r="C717" s="1" t="n">
        <v>45999</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13620-2023</t>
        </is>
      </c>
      <c r="B718" s="1" t="n">
        <v>45006</v>
      </c>
      <c r="C718" s="1" t="n">
        <v>45999</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39434-2023</t>
        </is>
      </c>
      <c r="B719" s="1" t="n">
        <v>45166.69690972222</v>
      </c>
      <c r="C719" s="1" t="n">
        <v>45999</v>
      </c>
      <c r="D719" t="inlineStr">
        <is>
          <t>VÄRMLANDS LÄN</t>
        </is>
      </c>
      <c r="E719" t="inlineStr">
        <is>
          <t>ÅRJÄNG</t>
        </is>
      </c>
      <c r="G719" t="n">
        <v>0.3</v>
      </c>
      <c r="H719" t="n">
        <v>0</v>
      </c>
      <c r="I719" t="n">
        <v>0</v>
      </c>
      <c r="J719" t="n">
        <v>0</v>
      </c>
      <c r="K719" t="n">
        <v>0</v>
      </c>
      <c r="L719" t="n">
        <v>0</v>
      </c>
      <c r="M719" t="n">
        <v>0</v>
      </c>
      <c r="N719" t="n">
        <v>0</v>
      </c>
      <c r="O719" t="n">
        <v>0</v>
      </c>
      <c r="P719" t="n">
        <v>0</v>
      </c>
      <c r="Q719" t="n">
        <v>0</v>
      </c>
      <c r="R719" s="2" t="inlineStr"/>
    </row>
    <row r="720" ht="15" customHeight="1">
      <c r="A720" t="inlineStr">
        <is>
          <t>A 16666-2025</t>
        </is>
      </c>
      <c r="B720" s="1" t="n">
        <v>45754</v>
      </c>
      <c r="C720" s="1" t="n">
        <v>45999</v>
      </c>
      <c r="D720" t="inlineStr">
        <is>
          <t>VÄRMLANDS LÄN</t>
        </is>
      </c>
      <c r="E720" t="inlineStr">
        <is>
          <t>ÅRJÄNG</t>
        </is>
      </c>
      <c r="G720" t="n">
        <v>6.2</v>
      </c>
      <c r="H720" t="n">
        <v>0</v>
      </c>
      <c r="I720" t="n">
        <v>0</v>
      </c>
      <c r="J720" t="n">
        <v>0</v>
      </c>
      <c r="K720" t="n">
        <v>0</v>
      </c>
      <c r="L720" t="n">
        <v>0</v>
      </c>
      <c r="M720" t="n">
        <v>0</v>
      </c>
      <c r="N720" t="n">
        <v>0</v>
      </c>
      <c r="O720" t="n">
        <v>0</v>
      </c>
      <c r="P720" t="n">
        <v>0</v>
      </c>
      <c r="Q720" t="n">
        <v>0</v>
      </c>
      <c r="R720" s="2" t="inlineStr"/>
    </row>
    <row r="721" ht="15" customHeight="1">
      <c r="A721" t="inlineStr">
        <is>
          <t>A 16806-2024</t>
        </is>
      </c>
      <c r="B721" s="1" t="n">
        <v>45411.45510416666</v>
      </c>
      <c r="C721" s="1" t="n">
        <v>45999</v>
      </c>
      <c r="D721" t="inlineStr">
        <is>
          <t>VÄRMLANDS LÄN</t>
        </is>
      </c>
      <c r="E721" t="inlineStr">
        <is>
          <t>ÅRJÄNG</t>
        </is>
      </c>
      <c r="G721" t="n">
        <v>0.7</v>
      </c>
      <c r="H721" t="n">
        <v>0</v>
      </c>
      <c r="I721" t="n">
        <v>0</v>
      </c>
      <c r="J721" t="n">
        <v>0</v>
      </c>
      <c r="K721" t="n">
        <v>0</v>
      </c>
      <c r="L721" t="n">
        <v>0</v>
      </c>
      <c r="M721" t="n">
        <v>0</v>
      </c>
      <c r="N721" t="n">
        <v>0</v>
      </c>
      <c r="O721" t="n">
        <v>0</v>
      </c>
      <c r="P721" t="n">
        <v>0</v>
      </c>
      <c r="Q721" t="n">
        <v>0</v>
      </c>
      <c r="R721" s="2" t="inlineStr"/>
    </row>
    <row r="722" ht="15" customHeight="1">
      <c r="A722" t="inlineStr">
        <is>
          <t>A 61873-2023</t>
        </is>
      </c>
      <c r="B722" s="1" t="n">
        <v>45266.40989583333</v>
      </c>
      <c r="C722" s="1" t="n">
        <v>45999</v>
      </c>
      <c r="D722" t="inlineStr">
        <is>
          <t>VÄRMLANDS LÄN</t>
        </is>
      </c>
      <c r="E722" t="inlineStr">
        <is>
          <t>ÅRJÄNG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236-2025</t>
        </is>
      </c>
      <c r="B723" s="1" t="n">
        <v>45653</v>
      </c>
      <c r="C723" s="1" t="n">
        <v>45999</v>
      </c>
      <c r="D723" t="inlineStr">
        <is>
          <t>VÄRMLANDS LÄN</t>
        </is>
      </c>
      <c r="E723" t="inlineStr">
        <is>
          <t>ÅRJÄNG</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1602-2025</t>
        </is>
      </c>
      <c r="B724" s="1" t="n">
        <v>45670.59069444444</v>
      </c>
      <c r="C724" s="1" t="n">
        <v>45999</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12687-2025</t>
        </is>
      </c>
      <c r="B725" s="1" t="n">
        <v>45733.44953703704</v>
      </c>
      <c r="C725" s="1" t="n">
        <v>45999</v>
      </c>
      <c r="D725" t="inlineStr">
        <is>
          <t>VÄRMLANDS LÄN</t>
        </is>
      </c>
      <c r="E725" t="inlineStr">
        <is>
          <t>ÅRJÄNG</t>
        </is>
      </c>
      <c r="G725" t="n">
        <v>3.2</v>
      </c>
      <c r="H725" t="n">
        <v>0</v>
      </c>
      <c r="I725" t="n">
        <v>0</v>
      </c>
      <c r="J725" t="n">
        <v>0</v>
      </c>
      <c r="K725" t="n">
        <v>0</v>
      </c>
      <c r="L725" t="n">
        <v>0</v>
      </c>
      <c r="M725" t="n">
        <v>0</v>
      </c>
      <c r="N725" t="n">
        <v>0</v>
      </c>
      <c r="O725" t="n">
        <v>0</v>
      </c>
      <c r="P725" t="n">
        <v>0</v>
      </c>
      <c r="Q725" t="n">
        <v>0</v>
      </c>
      <c r="R725" s="2" t="inlineStr"/>
    </row>
    <row r="726" ht="15" customHeight="1">
      <c r="A726" t="inlineStr">
        <is>
          <t>A 28260-2024</t>
        </is>
      </c>
      <c r="B726" s="1" t="n">
        <v>45477</v>
      </c>
      <c r="C726" s="1" t="n">
        <v>45999</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1560-2025</t>
        </is>
      </c>
      <c r="B727" s="1" t="n">
        <v>45670.53878472222</v>
      </c>
      <c r="C727" s="1" t="n">
        <v>45999</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43253-2023</t>
        </is>
      </c>
      <c r="B728" s="1" t="n">
        <v>45183.49578703703</v>
      </c>
      <c r="C728" s="1" t="n">
        <v>45999</v>
      </c>
      <c r="D728" t="inlineStr">
        <is>
          <t>VÄRMLANDS LÄN</t>
        </is>
      </c>
      <c r="E728" t="inlineStr">
        <is>
          <t>ÅRJÄNG</t>
        </is>
      </c>
      <c r="G728" t="n">
        <v>5.5</v>
      </c>
      <c r="H728" t="n">
        <v>0</v>
      </c>
      <c r="I728" t="n">
        <v>0</v>
      </c>
      <c r="J728" t="n">
        <v>0</v>
      </c>
      <c r="K728" t="n">
        <v>0</v>
      </c>
      <c r="L728" t="n">
        <v>0</v>
      </c>
      <c r="M728" t="n">
        <v>0</v>
      </c>
      <c r="N728" t="n">
        <v>0</v>
      </c>
      <c r="O728" t="n">
        <v>0</v>
      </c>
      <c r="P728" t="n">
        <v>0</v>
      </c>
      <c r="Q728" t="n">
        <v>0</v>
      </c>
      <c r="R728" s="2" t="inlineStr"/>
    </row>
    <row r="729" ht="15" customHeight="1">
      <c r="A729" t="inlineStr">
        <is>
          <t>A 30710-2023</t>
        </is>
      </c>
      <c r="B729" s="1" t="n">
        <v>45112.59900462963</v>
      </c>
      <c r="C729" s="1" t="n">
        <v>45999</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8255-2025</t>
        </is>
      </c>
      <c r="B730" s="1" t="n">
        <v>45708.49788194444</v>
      </c>
      <c r="C730" s="1" t="n">
        <v>45999</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17827-2025</t>
        </is>
      </c>
      <c r="B731" s="1" t="n">
        <v>45758.57596064815</v>
      </c>
      <c r="C731" s="1" t="n">
        <v>45999</v>
      </c>
      <c r="D731" t="inlineStr">
        <is>
          <t>VÄRMLANDS LÄN</t>
        </is>
      </c>
      <c r="E731" t="inlineStr">
        <is>
          <t>ÅRJÄNG</t>
        </is>
      </c>
      <c r="G731" t="n">
        <v>1.4</v>
      </c>
      <c r="H731" t="n">
        <v>0</v>
      </c>
      <c r="I731" t="n">
        <v>0</v>
      </c>
      <c r="J731" t="n">
        <v>0</v>
      </c>
      <c r="K731" t="n">
        <v>0</v>
      </c>
      <c r="L731" t="n">
        <v>0</v>
      </c>
      <c r="M731" t="n">
        <v>0</v>
      </c>
      <c r="N731" t="n">
        <v>0</v>
      </c>
      <c r="O731" t="n">
        <v>0</v>
      </c>
      <c r="P731" t="n">
        <v>0</v>
      </c>
      <c r="Q731" t="n">
        <v>0</v>
      </c>
      <c r="R731" s="2" t="inlineStr"/>
    </row>
    <row r="732" ht="15" customHeight="1">
      <c r="A732" t="inlineStr">
        <is>
          <t>A 34409-2023</t>
        </is>
      </c>
      <c r="B732" s="1" t="n">
        <v>45139.56662037037</v>
      </c>
      <c r="C732" s="1" t="n">
        <v>45999</v>
      </c>
      <c r="D732" t="inlineStr">
        <is>
          <t>VÄRMLANDS LÄN</t>
        </is>
      </c>
      <c r="E732" t="inlineStr">
        <is>
          <t>ÅRJÄNG</t>
        </is>
      </c>
      <c r="G732" t="n">
        <v>4.6</v>
      </c>
      <c r="H732" t="n">
        <v>0</v>
      </c>
      <c r="I732" t="n">
        <v>0</v>
      </c>
      <c r="J732" t="n">
        <v>0</v>
      </c>
      <c r="K732" t="n">
        <v>0</v>
      </c>
      <c r="L732" t="n">
        <v>0</v>
      </c>
      <c r="M732" t="n">
        <v>0</v>
      </c>
      <c r="N732" t="n">
        <v>0</v>
      </c>
      <c r="O732" t="n">
        <v>0</v>
      </c>
      <c r="P732" t="n">
        <v>0</v>
      </c>
      <c r="Q732" t="n">
        <v>0</v>
      </c>
      <c r="R732" s="2" t="inlineStr"/>
    </row>
    <row r="733" ht="15" customHeight="1">
      <c r="A733" t="inlineStr">
        <is>
          <t>A 19920-2024</t>
        </is>
      </c>
      <c r="B733" s="1" t="n">
        <v>45433.58947916667</v>
      </c>
      <c r="C733" s="1" t="n">
        <v>45999</v>
      </c>
      <c r="D733" t="inlineStr">
        <is>
          <t>VÄRMLANDS LÄN</t>
        </is>
      </c>
      <c r="E733" t="inlineStr">
        <is>
          <t>ÅRJÄNG</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32095-2024</t>
        </is>
      </c>
      <c r="B734" s="1" t="n">
        <v>45511.39107638889</v>
      </c>
      <c r="C734" s="1" t="n">
        <v>45999</v>
      </c>
      <c r="D734" t="inlineStr">
        <is>
          <t>VÄRMLANDS LÄN</t>
        </is>
      </c>
      <c r="E734" t="inlineStr">
        <is>
          <t>ÅRJÄNG</t>
        </is>
      </c>
      <c r="G734" t="n">
        <v>4.6</v>
      </c>
      <c r="H734" t="n">
        <v>0</v>
      </c>
      <c r="I734" t="n">
        <v>0</v>
      </c>
      <c r="J734" t="n">
        <v>0</v>
      </c>
      <c r="K734" t="n">
        <v>0</v>
      </c>
      <c r="L734" t="n">
        <v>0</v>
      </c>
      <c r="M734" t="n">
        <v>0</v>
      </c>
      <c r="N734" t="n">
        <v>0</v>
      </c>
      <c r="O734" t="n">
        <v>0</v>
      </c>
      <c r="P734" t="n">
        <v>0</v>
      </c>
      <c r="Q734" t="n">
        <v>0</v>
      </c>
      <c r="R734" s="2" t="inlineStr"/>
    </row>
    <row r="735" ht="15" customHeight="1">
      <c r="A735" t="inlineStr">
        <is>
          <t>A 301-2025</t>
        </is>
      </c>
      <c r="B735" s="1" t="n">
        <v>45660.56</v>
      </c>
      <c r="C735" s="1" t="n">
        <v>45999</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2222-2023</t>
        </is>
      </c>
      <c r="B736" s="1" t="n">
        <v>44942.4250462963</v>
      </c>
      <c r="C736" s="1" t="n">
        <v>45999</v>
      </c>
      <c r="D736" t="inlineStr">
        <is>
          <t>VÄRMLANDS LÄN</t>
        </is>
      </c>
      <c r="E736" t="inlineStr">
        <is>
          <t>ÅRJÄNG</t>
        </is>
      </c>
      <c r="G736" t="n">
        <v>5.7</v>
      </c>
      <c r="H736" t="n">
        <v>0</v>
      </c>
      <c r="I736" t="n">
        <v>0</v>
      </c>
      <c r="J736" t="n">
        <v>0</v>
      </c>
      <c r="K736" t="n">
        <v>0</v>
      </c>
      <c r="L736" t="n">
        <v>0</v>
      </c>
      <c r="M736" t="n">
        <v>0</v>
      </c>
      <c r="N736" t="n">
        <v>0</v>
      </c>
      <c r="O736" t="n">
        <v>0</v>
      </c>
      <c r="P736" t="n">
        <v>0</v>
      </c>
      <c r="Q736" t="n">
        <v>0</v>
      </c>
      <c r="R736" s="2" t="inlineStr"/>
    </row>
    <row r="737" ht="15" customHeight="1">
      <c r="A737" t="inlineStr">
        <is>
          <t>A 29263-2023</t>
        </is>
      </c>
      <c r="B737" s="1" t="n">
        <v>45105</v>
      </c>
      <c r="C737" s="1" t="n">
        <v>45999</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20354-2023</t>
        </is>
      </c>
      <c r="B738" s="1" t="n">
        <v>45056</v>
      </c>
      <c r="C738" s="1" t="n">
        <v>45999</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14434-2025</t>
        </is>
      </c>
      <c r="B739" s="1" t="n">
        <v>45741</v>
      </c>
      <c r="C739" s="1" t="n">
        <v>45999</v>
      </c>
      <c r="D739" t="inlineStr">
        <is>
          <t>VÄRMLANDS LÄN</t>
        </is>
      </c>
      <c r="E739" t="inlineStr">
        <is>
          <t>ÅRJÄNG</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19248-2025</t>
        </is>
      </c>
      <c r="B740" s="1" t="n">
        <v>45769.48710648148</v>
      </c>
      <c r="C740" s="1" t="n">
        <v>45999</v>
      </c>
      <c r="D740" t="inlineStr">
        <is>
          <t>VÄRMLANDS LÄN</t>
        </is>
      </c>
      <c r="E740" t="inlineStr">
        <is>
          <t>ÅRJÄNG</t>
        </is>
      </c>
      <c r="G740" t="n">
        <v>5.3</v>
      </c>
      <c r="H740" t="n">
        <v>0</v>
      </c>
      <c r="I740" t="n">
        <v>0</v>
      </c>
      <c r="J740" t="n">
        <v>0</v>
      </c>
      <c r="K740" t="n">
        <v>0</v>
      </c>
      <c r="L740" t="n">
        <v>0</v>
      </c>
      <c r="M740" t="n">
        <v>0</v>
      </c>
      <c r="N740" t="n">
        <v>0</v>
      </c>
      <c r="O740" t="n">
        <v>0</v>
      </c>
      <c r="P740" t="n">
        <v>0</v>
      </c>
      <c r="Q740" t="n">
        <v>0</v>
      </c>
      <c r="R740" s="2" t="inlineStr"/>
    </row>
    <row r="741" ht="15" customHeight="1">
      <c r="A741" t="inlineStr">
        <is>
          <t>A 22276-2025</t>
        </is>
      </c>
      <c r="B741" s="1" t="n">
        <v>45786.32737268518</v>
      </c>
      <c r="C741" s="1" t="n">
        <v>45999</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6522-2021</t>
        </is>
      </c>
      <c r="B742" s="1" t="n">
        <v>44236</v>
      </c>
      <c r="C742" s="1" t="n">
        <v>45999</v>
      </c>
      <c r="D742" t="inlineStr">
        <is>
          <t>VÄRMLANDS LÄN</t>
        </is>
      </c>
      <c r="E742" t="inlineStr">
        <is>
          <t>ÅRJÄNG</t>
        </is>
      </c>
      <c r="G742" t="n">
        <v>2.9</v>
      </c>
      <c r="H742" t="n">
        <v>0</v>
      </c>
      <c r="I742" t="n">
        <v>0</v>
      </c>
      <c r="J742" t="n">
        <v>0</v>
      </c>
      <c r="K742" t="n">
        <v>0</v>
      </c>
      <c r="L742" t="n">
        <v>0</v>
      </c>
      <c r="M742" t="n">
        <v>0</v>
      </c>
      <c r="N742" t="n">
        <v>0</v>
      </c>
      <c r="O742" t="n">
        <v>0</v>
      </c>
      <c r="P742" t="n">
        <v>0</v>
      </c>
      <c r="Q742" t="n">
        <v>0</v>
      </c>
      <c r="R742" s="2" t="inlineStr"/>
    </row>
    <row r="743" ht="15" customHeight="1">
      <c r="A743" t="inlineStr">
        <is>
          <t>A 38065-2024</t>
        </is>
      </c>
      <c r="B743" s="1" t="n">
        <v>45544.8249537037</v>
      </c>
      <c r="C743" s="1" t="n">
        <v>45999</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6109-2025</t>
        </is>
      </c>
      <c r="B744" s="1" t="n">
        <v>45698.31012731481</v>
      </c>
      <c r="C744" s="1" t="n">
        <v>45999</v>
      </c>
      <c r="D744" t="inlineStr">
        <is>
          <t>VÄRMLANDS LÄN</t>
        </is>
      </c>
      <c r="E744" t="inlineStr">
        <is>
          <t>ÅRJÄNG</t>
        </is>
      </c>
      <c r="G744" t="n">
        <v>4.1</v>
      </c>
      <c r="H744" t="n">
        <v>0</v>
      </c>
      <c r="I744" t="n">
        <v>0</v>
      </c>
      <c r="J744" t="n">
        <v>0</v>
      </c>
      <c r="K744" t="n">
        <v>0</v>
      </c>
      <c r="L744" t="n">
        <v>0</v>
      </c>
      <c r="M744" t="n">
        <v>0</v>
      </c>
      <c r="N744" t="n">
        <v>0</v>
      </c>
      <c r="O744" t="n">
        <v>0</v>
      </c>
      <c r="P744" t="n">
        <v>0</v>
      </c>
      <c r="Q744" t="n">
        <v>0</v>
      </c>
      <c r="R744" s="2" t="inlineStr"/>
    </row>
    <row r="745" ht="15" customHeight="1">
      <c r="A745" t="inlineStr">
        <is>
          <t>A 13481-2025</t>
        </is>
      </c>
      <c r="B745" s="1" t="n">
        <v>45736</v>
      </c>
      <c r="C745" s="1" t="n">
        <v>45999</v>
      </c>
      <c r="D745" t="inlineStr">
        <is>
          <t>VÄRMLANDS LÄN</t>
        </is>
      </c>
      <c r="E745" t="inlineStr">
        <is>
          <t>ÅRJÄNG</t>
        </is>
      </c>
      <c r="G745" t="n">
        <v>5.2</v>
      </c>
      <c r="H745" t="n">
        <v>0</v>
      </c>
      <c r="I745" t="n">
        <v>0</v>
      </c>
      <c r="J745" t="n">
        <v>0</v>
      </c>
      <c r="K745" t="n">
        <v>0</v>
      </c>
      <c r="L745" t="n">
        <v>0</v>
      </c>
      <c r="M745" t="n">
        <v>0</v>
      </c>
      <c r="N745" t="n">
        <v>0</v>
      </c>
      <c r="O745" t="n">
        <v>0</v>
      </c>
      <c r="P745" t="n">
        <v>0</v>
      </c>
      <c r="Q745" t="n">
        <v>0</v>
      </c>
      <c r="R745" s="2" t="inlineStr"/>
    </row>
    <row r="746" ht="15" customHeight="1">
      <c r="A746" t="inlineStr">
        <is>
          <t>A 21443-2022</t>
        </is>
      </c>
      <c r="B746" s="1" t="n">
        <v>44706.35293981482</v>
      </c>
      <c r="C746" s="1" t="n">
        <v>45999</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22352-2025</t>
        </is>
      </c>
      <c r="B747" s="1" t="n">
        <v>45786.45491898148</v>
      </c>
      <c r="C747" s="1" t="n">
        <v>45999</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48203-2023</t>
        </is>
      </c>
      <c r="B748" s="1" t="n">
        <v>45200</v>
      </c>
      <c r="C748" s="1" t="n">
        <v>45999</v>
      </c>
      <c r="D748" t="inlineStr">
        <is>
          <t>VÄRMLANDS LÄN</t>
        </is>
      </c>
      <c r="E748" t="inlineStr">
        <is>
          <t>ÅRJÄNG</t>
        </is>
      </c>
      <c r="F748" t="inlineStr">
        <is>
          <t>Övriga Aktiebolag</t>
        </is>
      </c>
      <c r="G748" t="n">
        <v>3.1</v>
      </c>
      <c r="H748" t="n">
        <v>0</v>
      </c>
      <c r="I748" t="n">
        <v>0</v>
      </c>
      <c r="J748" t="n">
        <v>0</v>
      </c>
      <c r="K748" t="n">
        <v>0</v>
      </c>
      <c r="L748" t="n">
        <v>0</v>
      </c>
      <c r="M748" t="n">
        <v>0</v>
      </c>
      <c r="N748" t="n">
        <v>0</v>
      </c>
      <c r="O748" t="n">
        <v>0</v>
      </c>
      <c r="P748" t="n">
        <v>0</v>
      </c>
      <c r="Q748" t="n">
        <v>0</v>
      </c>
      <c r="R748" s="2" t="inlineStr"/>
    </row>
    <row r="749" ht="15" customHeight="1">
      <c r="A749" t="inlineStr">
        <is>
          <t>A 42667-2023</t>
        </is>
      </c>
      <c r="B749" s="1" t="n">
        <v>45176</v>
      </c>
      <c r="C749" s="1" t="n">
        <v>45999</v>
      </c>
      <c r="D749" t="inlineStr">
        <is>
          <t>VÄRMLANDS LÄN</t>
        </is>
      </c>
      <c r="E749" t="inlineStr">
        <is>
          <t>ÅRJÄNG</t>
        </is>
      </c>
      <c r="G749" t="n">
        <v>2.8</v>
      </c>
      <c r="H749" t="n">
        <v>0</v>
      </c>
      <c r="I749" t="n">
        <v>0</v>
      </c>
      <c r="J749" t="n">
        <v>0</v>
      </c>
      <c r="K749" t="n">
        <v>0</v>
      </c>
      <c r="L749" t="n">
        <v>0</v>
      </c>
      <c r="M749" t="n">
        <v>0</v>
      </c>
      <c r="N749" t="n">
        <v>0</v>
      </c>
      <c r="O749" t="n">
        <v>0</v>
      </c>
      <c r="P749" t="n">
        <v>0</v>
      </c>
      <c r="Q749" t="n">
        <v>0</v>
      </c>
      <c r="R749" s="2" t="inlineStr"/>
    </row>
    <row r="750" ht="15" customHeight="1">
      <c r="A750" t="inlineStr">
        <is>
          <t>A 13504-2025</t>
        </is>
      </c>
      <c r="B750" s="1" t="n">
        <v>45736.46400462963</v>
      </c>
      <c r="C750" s="1" t="n">
        <v>45999</v>
      </c>
      <c r="D750" t="inlineStr">
        <is>
          <t>VÄRMLANDS LÄN</t>
        </is>
      </c>
      <c r="E750" t="inlineStr">
        <is>
          <t>ÅRJÄNG</t>
        </is>
      </c>
      <c r="G750" t="n">
        <v>7.2</v>
      </c>
      <c r="H750" t="n">
        <v>0</v>
      </c>
      <c r="I750" t="n">
        <v>0</v>
      </c>
      <c r="J750" t="n">
        <v>0</v>
      </c>
      <c r="K750" t="n">
        <v>0</v>
      </c>
      <c r="L750" t="n">
        <v>0</v>
      </c>
      <c r="M750" t="n">
        <v>0</v>
      </c>
      <c r="N750" t="n">
        <v>0</v>
      </c>
      <c r="O750" t="n">
        <v>0</v>
      </c>
      <c r="P750" t="n">
        <v>0</v>
      </c>
      <c r="Q750" t="n">
        <v>0</v>
      </c>
      <c r="R750" s="2" t="inlineStr"/>
    </row>
    <row r="751" ht="15" customHeight="1">
      <c r="A751" t="inlineStr">
        <is>
          <t>A 16519-2025</t>
        </is>
      </c>
      <c r="B751" s="1" t="n">
        <v>45751</v>
      </c>
      <c r="C751" s="1" t="n">
        <v>45999</v>
      </c>
      <c r="D751" t="inlineStr">
        <is>
          <t>VÄRMLANDS LÄN</t>
        </is>
      </c>
      <c r="E751" t="inlineStr">
        <is>
          <t>ÅRJÄNG</t>
        </is>
      </c>
      <c r="G751" t="n">
        <v>6.3</v>
      </c>
      <c r="H751" t="n">
        <v>0</v>
      </c>
      <c r="I751" t="n">
        <v>0</v>
      </c>
      <c r="J751" t="n">
        <v>0</v>
      </c>
      <c r="K751" t="n">
        <v>0</v>
      </c>
      <c r="L751" t="n">
        <v>0</v>
      </c>
      <c r="M751" t="n">
        <v>0</v>
      </c>
      <c r="N751" t="n">
        <v>0</v>
      </c>
      <c r="O751" t="n">
        <v>0</v>
      </c>
      <c r="P751" t="n">
        <v>0</v>
      </c>
      <c r="Q751" t="n">
        <v>0</v>
      </c>
      <c r="R751" s="2" t="inlineStr"/>
    </row>
    <row r="752" ht="15" customHeight="1">
      <c r="A752" t="inlineStr">
        <is>
          <t>A 63203-2021</t>
        </is>
      </c>
      <c r="B752" s="1" t="n">
        <v>44507.78568287037</v>
      </c>
      <c r="C752" s="1" t="n">
        <v>45999</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53554-2023</t>
        </is>
      </c>
      <c r="B753" s="1" t="n">
        <v>45230</v>
      </c>
      <c r="C753" s="1" t="n">
        <v>45999</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5416-2025</t>
        </is>
      </c>
      <c r="B754" s="1" t="n">
        <v>45692.67990740741</v>
      </c>
      <c r="C754" s="1" t="n">
        <v>45999</v>
      </c>
      <c r="D754" t="inlineStr">
        <is>
          <t>VÄRMLANDS LÄN</t>
        </is>
      </c>
      <c r="E754" t="inlineStr">
        <is>
          <t>ÅRJÄNG</t>
        </is>
      </c>
      <c r="G754" t="n">
        <v>2.7</v>
      </c>
      <c r="H754" t="n">
        <v>0</v>
      </c>
      <c r="I754" t="n">
        <v>0</v>
      </c>
      <c r="J754" t="n">
        <v>0</v>
      </c>
      <c r="K754" t="n">
        <v>0</v>
      </c>
      <c r="L754" t="n">
        <v>0</v>
      </c>
      <c r="M754" t="n">
        <v>0</v>
      </c>
      <c r="N754" t="n">
        <v>0</v>
      </c>
      <c r="O754" t="n">
        <v>0</v>
      </c>
      <c r="P754" t="n">
        <v>0</v>
      </c>
      <c r="Q754" t="n">
        <v>0</v>
      </c>
      <c r="R754" s="2" t="inlineStr"/>
    </row>
    <row r="755" ht="15" customHeight="1">
      <c r="A755" t="inlineStr">
        <is>
          <t>A 21996-2021</t>
        </is>
      </c>
      <c r="B755" s="1" t="n">
        <v>44323</v>
      </c>
      <c r="C755" s="1" t="n">
        <v>45999</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55574-2023</t>
        </is>
      </c>
      <c r="B756" s="1" t="n">
        <v>45232</v>
      </c>
      <c r="C756" s="1" t="n">
        <v>45999</v>
      </c>
      <c r="D756" t="inlineStr">
        <is>
          <t>VÄRMLANDS LÄN</t>
        </is>
      </c>
      <c r="E756" t="inlineStr">
        <is>
          <t>ÅRJÄNG</t>
        </is>
      </c>
      <c r="G756" t="n">
        <v>9.1</v>
      </c>
      <c r="H756" t="n">
        <v>0</v>
      </c>
      <c r="I756" t="n">
        <v>0</v>
      </c>
      <c r="J756" t="n">
        <v>0</v>
      </c>
      <c r="K756" t="n">
        <v>0</v>
      </c>
      <c r="L756" t="n">
        <v>0</v>
      </c>
      <c r="M756" t="n">
        <v>0</v>
      </c>
      <c r="N756" t="n">
        <v>0</v>
      </c>
      <c r="O756" t="n">
        <v>0</v>
      </c>
      <c r="P756" t="n">
        <v>0</v>
      </c>
      <c r="Q756" t="n">
        <v>0</v>
      </c>
      <c r="R756" s="2" t="inlineStr"/>
    </row>
    <row r="757" ht="15" customHeight="1">
      <c r="A757" t="inlineStr">
        <is>
          <t>A 8094-2025</t>
        </is>
      </c>
      <c r="B757" s="1" t="n">
        <v>45707.68126157407</v>
      </c>
      <c r="C757" s="1" t="n">
        <v>45999</v>
      </c>
      <c r="D757" t="inlineStr">
        <is>
          <t>VÄRMLANDS LÄN</t>
        </is>
      </c>
      <c r="E757" t="inlineStr">
        <is>
          <t>ÅRJÄNG</t>
        </is>
      </c>
      <c r="G757" t="n">
        <v>12.6</v>
      </c>
      <c r="H757" t="n">
        <v>0</v>
      </c>
      <c r="I757" t="n">
        <v>0</v>
      </c>
      <c r="J757" t="n">
        <v>0</v>
      </c>
      <c r="K757" t="n">
        <v>0</v>
      </c>
      <c r="L757" t="n">
        <v>0</v>
      </c>
      <c r="M757" t="n">
        <v>0</v>
      </c>
      <c r="N757" t="n">
        <v>0</v>
      </c>
      <c r="O757" t="n">
        <v>0</v>
      </c>
      <c r="P757" t="n">
        <v>0</v>
      </c>
      <c r="Q757" t="n">
        <v>0</v>
      </c>
      <c r="R757" s="2" t="inlineStr"/>
    </row>
    <row r="758" ht="15" customHeight="1">
      <c r="A758" t="inlineStr">
        <is>
          <t>A 3729-2025</t>
        </is>
      </c>
      <c r="B758" s="1" t="n">
        <v>45681.5497800926</v>
      </c>
      <c r="C758" s="1" t="n">
        <v>45999</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48014-2023</t>
        </is>
      </c>
      <c r="B759" s="1" t="n">
        <v>45198</v>
      </c>
      <c r="C759" s="1" t="n">
        <v>45999</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60207-2023</t>
        </is>
      </c>
      <c r="B760" s="1" t="n">
        <v>45257</v>
      </c>
      <c r="C760" s="1" t="n">
        <v>45999</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58434-2023</t>
        </is>
      </c>
      <c r="B761" s="1" t="n">
        <v>45250</v>
      </c>
      <c r="C761" s="1" t="n">
        <v>45999</v>
      </c>
      <c r="D761" t="inlineStr">
        <is>
          <t>VÄRMLANDS LÄN</t>
        </is>
      </c>
      <c r="E761" t="inlineStr">
        <is>
          <t>ÅRJÄNG</t>
        </is>
      </c>
      <c r="F761" t="inlineStr">
        <is>
          <t>Naturvårdsverket</t>
        </is>
      </c>
      <c r="G761" t="n">
        <v>3</v>
      </c>
      <c r="H761" t="n">
        <v>0</v>
      </c>
      <c r="I761" t="n">
        <v>0</v>
      </c>
      <c r="J761" t="n">
        <v>0</v>
      </c>
      <c r="K761" t="n">
        <v>0</v>
      </c>
      <c r="L761" t="n">
        <v>0</v>
      </c>
      <c r="M761" t="n">
        <v>0</v>
      </c>
      <c r="N761" t="n">
        <v>0</v>
      </c>
      <c r="O761" t="n">
        <v>0</v>
      </c>
      <c r="P761" t="n">
        <v>0</v>
      </c>
      <c r="Q761" t="n">
        <v>0</v>
      </c>
      <c r="R761" s="2" t="inlineStr"/>
    </row>
    <row r="762" ht="15" customHeight="1">
      <c r="A762" t="inlineStr">
        <is>
          <t>A 19843-2025</t>
        </is>
      </c>
      <c r="B762" s="1" t="n">
        <v>45771</v>
      </c>
      <c r="C762" s="1" t="n">
        <v>45999</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10681-2024</t>
        </is>
      </c>
      <c r="B763" s="1" t="n">
        <v>45369.36349537037</v>
      </c>
      <c r="C763" s="1" t="n">
        <v>45999</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8356-2025</t>
        </is>
      </c>
      <c r="B764" s="1" t="n">
        <v>45708.79752314815</v>
      </c>
      <c r="C764" s="1" t="n">
        <v>45999</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11718-2024</t>
        </is>
      </c>
      <c r="B765" s="1" t="n">
        <v>45373.63803240741</v>
      </c>
      <c r="C765" s="1" t="n">
        <v>45999</v>
      </c>
      <c r="D765" t="inlineStr">
        <is>
          <t>VÄRMLANDS LÄN</t>
        </is>
      </c>
      <c r="E765" t="inlineStr">
        <is>
          <t>ÅRJÄNG</t>
        </is>
      </c>
      <c r="G765" t="n">
        <v>2.3</v>
      </c>
      <c r="H765" t="n">
        <v>0</v>
      </c>
      <c r="I765" t="n">
        <v>0</v>
      </c>
      <c r="J765" t="n">
        <v>0</v>
      </c>
      <c r="K765" t="n">
        <v>0</v>
      </c>
      <c r="L765" t="n">
        <v>0</v>
      </c>
      <c r="M765" t="n">
        <v>0</v>
      </c>
      <c r="N765" t="n">
        <v>0</v>
      </c>
      <c r="O765" t="n">
        <v>0</v>
      </c>
      <c r="P765" t="n">
        <v>0</v>
      </c>
      <c r="Q765" t="n">
        <v>0</v>
      </c>
      <c r="R765" s="2" t="inlineStr"/>
    </row>
    <row r="766" ht="15" customHeight="1">
      <c r="A766" t="inlineStr">
        <is>
          <t>A 18256-2024</t>
        </is>
      </c>
      <c r="B766" s="1" t="n">
        <v>45421.52498842592</v>
      </c>
      <c r="C766" s="1" t="n">
        <v>45999</v>
      </c>
      <c r="D766" t="inlineStr">
        <is>
          <t>VÄRMLANDS LÄN</t>
        </is>
      </c>
      <c r="E766" t="inlineStr">
        <is>
          <t>ÅRJÄNG</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58769-2024</t>
        </is>
      </c>
      <c r="B767" s="1" t="n">
        <v>45635.75688657408</v>
      </c>
      <c r="C767" s="1" t="n">
        <v>45999</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3463-2025</t>
        </is>
      </c>
      <c r="B768" s="1" t="n">
        <v>45680.49807870371</v>
      </c>
      <c r="C768" s="1" t="n">
        <v>45999</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54900-2024</t>
        </is>
      </c>
      <c r="B769" s="1" t="n">
        <v>45618.64770833333</v>
      </c>
      <c r="C769" s="1" t="n">
        <v>45999</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48781-2024</t>
        </is>
      </c>
      <c r="B770" s="1" t="n">
        <v>45593</v>
      </c>
      <c r="C770" s="1" t="n">
        <v>45999</v>
      </c>
      <c r="D770" t="inlineStr">
        <is>
          <t>VÄRMLANDS LÄN</t>
        </is>
      </c>
      <c r="E770" t="inlineStr">
        <is>
          <t>ÅRJÄNG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23940-2023</t>
        </is>
      </c>
      <c r="B771" s="1" t="n">
        <v>45075</v>
      </c>
      <c r="C771" s="1" t="n">
        <v>45999</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39536-2022</t>
        </is>
      </c>
      <c r="B772" s="1" t="n">
        <v>44818</v>
      </c>
      <c r="C772" s="1" t="n">
        <v>45999</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5095-2022</t>
        </is>
      </c>
      <c r="B773" s="1" t="n">
        <v>44593.86192129629</v>
      </c>
      <c r="C773" s="1" t="n">
        <v>45999</v>
      </c>
      <c r="D773" t="inlineStr">
        <is>
          <t>VÄRMLANDS LÄN</t>
        </is>
      </c>
      <c r="E773" t="inlineStr">
        <is>
          <t>ÅRJÄNG</t>
        </is>
      </c>
      <c r="G773" t="n">
        <v>3.3</v>
      </c>
      <c r="H773" t="n">
        <v>0</v>
      </c>
      <c r="I773" t="n">
        <v>0</v>
      </c>
      <c r="J773" t="n">
        <v>0</v>
      </c>
      <c r="K773" t="n">
        <v>0</v>
      </c>
      <c r="L773" t="n">
        <v>0</v>
      </c>
      <c r="M773" t="n">
        <v>0</v>
      </c>
      <c r="N773" t="n">
        <v>0</v>
      </c>
      <c r="O773" t="n">
        <v>0</v>
      </c>
      <c r="P773" t="n">
        <v>0</v>
      </c>
      <c r="Q773" t="n">
        <v>0</v>
      </c>
      <c r="R773" s="2" t="inlineStr"/>
    </row>
    <row r="774" ht="15" customHeight="1">
      <c r="A774" t="inlineStr">
        <is>
          <t>A 24477-2022</t>
        </is>
      </c>
      <c r="B774" s="1" t="n">
        <v>44726.65575231481</v>
      </c>
      <c r="C774" s="1" t="n">
        <v>45999</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2-2024</t>
        </is>
      </c>
      <c r="B775" s="1" t="n">
        <v>45292.54944444444</v>
      </c>
      <c r="C775" s="1" t="n">
        <v>45999</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7995-2025</t>
        </is>
      </c>
      <c r="B776" s="1" t="n">
        <v>45707.515625</v>
      </c>
      <c r="C776" s="1" t="n">
        <v>45999</v>
      </c>
      <c r="D776" t="inlineStr">
        <is>
          <t>VÄRMLANDS LÄN</t>
        </is>
      </c>
      <c r="E776" t="inlineStr">
        <is>
          <t>ÅRJÄNG</t>
        </is>
      </c>
      <c r="G776" t="n">
        <v>1.4</v>
      </c>
      <c r="H776" t="n">
        <v>0</v>
      </c>
      <c r="I776" t="n">
        <v>0</v>
      </c>
      <c r="J776" t="n">
        <v>0</v>
      </c>
      <c r="K776" t="n">
        <v>0</v>
      </c>
      <c r="L776" t="n">
        <v>0</v>
      </c>
      <c r="M776" t="n">
        <v>0</v>
      </c>
      <c r="N776" t="n">
        <v>0</v>
      </c>
      <c r="O776" t="n">
        <v>0</v>
      </c>
      <c r="P776" t="n">
        <v>0</v>
      </c>
      <c r="Q776" t="n">
        <v>0</v>
      </c>
      <c r="R776" s="2" t="inlineStr"/>
    </row>
    <row r="777" ht="15" customHeight="1">
      <c r="A777" t="inlineStr">
        <is>
          <t>A 33525-2023</t>
        </is>
      </c>
      <c r="B777" s="1" t="n">
        <v>45131.51326388889</v>
      </c>
      <c r="C777" s="1" t="n">
        <v>45999</v>
      </c>
      <c r="D777" t="inlineStr">
        <is>
          <t>VÄRMLANDS LÄN</t>
        </is>
      </c>
      <c r="E777" t="inlineStr">
        <is>
          <t>ÅRJÄNG</t>
        </is>
      </c>
      <c r="G777" t="n">
        <v>10.2</v>
      </c>
      <c r="H777" t="n">
        <v>0</v>
      </c>
      <c r="I777" t="n">
        <v>0</v>
      </c>
      <c r="J777" t="n">
        <v>0</v>
      </c>
      <c r="K777" t="n">
        <v>0</v>
      </c>
      <c r="L777" t="n">
        <v>0</v>
      </c>
      <c r="M777" t="n">
        <v>0</v>
      </c>
      <c r="N777" t="n">
        <v>0</v>
      </c>
      <c r="O777" t="n">
        <v>0</v>
      </c>
      <c r="P777" t="n">
        <v>0</v>
      </c>
      <c r="Q777" t="n">
        <v>0</v>
      </c>
      <c r="R777" s="2" t="inlineStr"/>
    </row>
    <row r="778" ht="15" customHeight="1">
      <c r="A778" t="inlineStr">
        <is>
          <t>A 46441-2023</t>
        </is>
      </c>
      <c r="B778" s="1" t="n">
        <v>45197</v>
      </c>
      <c r="C778" s="1" t="n">
        <v>45999</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59352-2022</t>
        </is>
      </c>
      <c r="B779" s="1" t="n">
        <v>44904.7077199074</v>
      </c>
      <c r="C779" s="1" t="n">
        <v>45999</v>
      </c>
      <c r="D779" t="inlineStr">
        <is>
          <t>VÄRMLANDS LÄN</t>
        </is>
      </c>
      <c r="E779" t="inlineStr">
        <is>
          <t>ÅRJÄNG</t>
        </is>
      </c>
      <c r="G779" t="n">
        <v>9.6</v>
      </c>
      <c r="H779" t="n">
        <v>0</v>
      </c>
      <c r="I779" t="n">
        <v>0</v>
      </c>
      <c r="J779" t="n">
        <v>0</v>
      </c>
      <c r="K779" t="n">
        <v>0</v>
      </c>
      <c r="L779" t="n">
        <v>0</v>
      </c>
      <c r="M779" t="n">
        <v>0</v>
      </c>
      <c r="N779" t="n">
        <v>0</v>
      </c>
      <c r="O779" t="n">
        <v>0</v>
      </c>
      <c r="P779" t="n">
        <v>0</v>
      </c>
      <c r="Q779" t="n">
        <v>0</v>
      </c>
      <c r="R779" s="2" t="inlineStr"/>
    </row>
    <row r="780" ht="15" customHeight="1">
      <c r="A780" t="inlineStr">
        <is>
          <t>A 1115-2024</t>
        </is>
      </c>
      <c r="B780" s="1" t="n">
        <v>45302</v>
      </c>
      <c r="C780" s="1" t="n">
        <v>45999</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48453-2023</t>
        </is>
      </c>
      <c r="B781" s="1" t="n">
        <v>45206.4346412037</v>
      </c>
      <c r="C781" s="1" t="n">
        <v>45999</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58014-2022</t>
        </is>
      </c>
      <c r="B782" s="1" t="n">
        <v>44893</v>
      </c>
      <c r="C782" s="1" t="n">
        <v>45999</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59784-2023</t>
        </is>
      </c>
      <c r="B783" s="1" t="n">
        <v>45257</v>
      </c>
      <c r="C783" s="1" t="n">
        <v>45999</v>
      </c>
      <c r="D783" t="inlineStr">
        <is>
          <t>VÄRMLANDS LÄN</t>
        </is>
      </c>
      <c r="E783" t="inlineStr">
        <is>
          <t>ÅRJÄNG</t>
        </is>
      </c>
      <c r="G783" t="n">
        <v>3.1</v>
      </c>
      <c r="H783" t="n">
        <v>0</v>
      </c>
      <c r="I783" t="n">
        <v>0</v>
      </c>
      <c r="J783" t="n">
        <v>0</v>
      </c>
      <c r="K783" t="n">
        <v>0</v>
      </c>
      <c r="L783" t="n">
        <v>0</v>
      </c>
      <c r="M783" t="n">
        <v>0</v>
      </c>
      <c r="N783" t="n">
        <v>0</v>
      </c>
      <c r="O783" t="n">
        <v>0</v>
      </c>
      <c r="P783" t="n">
        <v>0</v>
      </c>
      <c r="Q783" t="n">
        <v>0</v>
      </c>
      <c r="R783" s="2" t="inlineStr"/>
    </row>
    <row r="784" ht="15" customHeight="1">
      <c r="A784" t="inlineStr">
        <is>
          <t>A 59801-2023</t>
        </is>
      </c>
      <c r="B784" s="1" t="n">
        <v>45254</v>
      </c>
      <c r="C784" s="1" t="n">
        <v>45999</v>
      </c>
      <c r="D784" t="inlineStr">
        <is>
          <t>VÄRMLANDS LÄN</t>
        </is>
      </c>
      <c r="E784" t="inlineStr">
        <is>
          <t>ÅRJÄNG</t>
        </is>
      </c>
      <c r="G784" t="n">
        <v>13.8</v>
      </c>
      <c r="H784" t="n">
        <v>0</v>
      </c>
      <c r="I784" t="n">
        <v>0</v>
      </c>
      <c r="J784" t="n">
        <v>0</v>
      </c>
      <c r="K784" t="n">
        <v>0</v>
      </c>
      <c r="L784" t="n">
        <v>0</v>
      </c>
      <c r="M784" t="n">
        <v>0</v>
      </c>
      <c r="N784" t="n">
        <v>0</v>
      </c>
      <c r="O784" t="n">
        <v>0</v>
      </c>
      <c r="P784" t="n">
        <v>0</v>
      </c>
      <c r="Q784" t="n">
        <v>0</v>
      </c>
      <c r="R784" s="2" t="inlineStr"/>
    </row>
    <row r="785" ht="15" customHeight="1">
      <c r="A785" t="inlineStr">
        <is>
          <t>A 27311-2022</t>
        </is>
      </c>
      <c r="B785" s="1" t="n">
        <v>44728</v>
      </c>
      <c r="C785" s="1" t="n">
        <v>45999</v>
      </c>
      <c r="D785" t="inlineStr">
        <is>
          <t>VÄRMLANDS LÄN</t>
        </is>
      </c>
      <c r="E785" t="inlineStr">
        <is>
          <t>ÅRJÄNG</t>
        </is>
      </c>
      <c r="G785" t="n">
        <v>3.5</v>
      </c>
      <c r="H785" t="n">
        <v>0</v>
      </c>
      <c r="I785" t="n">
        <v>0</v>
      </c>
      <c r="J785" t="n">
        <v>0</v>
      </c>
      <c r="K785" t="n">
        <v>0</v>
      </c>
      <c r="L785" t="n">
        <v>0</v>
      </c>
      <c r="M785" t="n">
        <v>0</v>
      </c>
      <c r="N785" t="n">
        <v>0</v>
      </c>
      <c r="O785" t="n">
        <v>0</v>
      </c>
      <c r="P785" t="n">
        <v>0</v>
      </c>
      <c r="Q785" t="n">
        <v>0</v>
      </c>
      <c r="R785" s="2" t="inlineStr"/>
    </row>
    <row r="786" ht="15" customHeight="1">
      <c r="A786" t="inlineStr">
        <is>
          <t>A 36018-2024</t>
        </is>
      </c>
      <c r="B786" s="1" t="n">
        <v>45533</v>
      </c>
      <c r="C786" s="1" t="n">
        <v>45999</v>
      </c>
      <c r="D786" t="inlineStr">
        <is>
          <t>VÄRMLANDS LÄN</t>
        </is>
      </c>
      <c r="E786" t="inlineStr">
        <is>
          <t>ÅRJÄNG</t>
        </is>
      </c>
      <c r="G786" t="n">
        <v>1.3</v>
      </c>
      <c r="H786" t="n">
        <v>0</v>
      </c>
      <c r="I786" t="n">
        <v>0</v>
      </c>
      <c r="J786" t="n">
        <v>0</v>
      </c>
      <c r="K786" t="n">
        <v>0</v>
      </c>
      <c r="L786" t="n">
        <v>0</v>
      </c>
      <c r="M786" t="n">
        <v>0</v>
      </c>
      <c r="N786" t="n">
        <v>0</v>
      </c>
      <c r="O786" t="n">
        <v>0</v>
      </c>
      <c r="P786" t="n">
        <v>0</v>
      </c>
      <c r="Q786" t="n">
        <v>0</v>
      </c>
      <c r="R786" s="2" t="inlineStr"/>
    </row>
    <row r="787" ht="15" customHeight="1">
      <c r="A787" t="inlineStr">
        <is>
          <t>A 36035-2024</t>
        </is>
      </c>
      <c r="B787" s="1" t="n">
        <v>45533.59534722222</v>
      </c>
      <c r="C787" s="1" t="n">
        <v>45999</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6646-2025</t>
        </is>
      </c>
      <c r="B788" s="1" t="n">
        <v>45700</v>
      </c>
      <c r="C788" s="1" t="n">
        <v>45999</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58152-2024</t>
        </is>
      </c>
      <c r="B789" s="1" t="n">
        <v>45632.43947916666</v>
      </c>
      <c r="C789" s="1" t="n">
        <v>45999</v>
      </c>
      <c r="D789" t="inlineStr">
        <is>
          <t>VÄRMLANDS LÄN</t>
        </is>
      </c>
      <c r="E789" t="inlineStr">
        <is>
          <t>ÅRJÄNG</t>
        </is>
      </c>
      <c r="G789" t="n">
        <v>2.3</v>
      </c>
      <c r="H789" t="n">
        <v>0</v>
      </c>
      <c r="I789" t="n">
        <v>0</v>
      </c>
      <c r="J789" t="n">
        <v>0</v>
      </c>
      <c r="K789" t="n">
        <v>0</v>
      </c>
      <c r="L789" t="n">
        <v>0</v>
      </c>
      <c r="M789" t="n">
        <v>0</v>
      </c>
      <c r="N789" t="n">
        <v>0</v>
      </c>
      <c r="O789" t="n">
        <v>0</v>
      </c>
      <c r="P789" t="n">
        <v>0</v>
      </c>
      <c r="Q789" t="n">
        <v>0</v>
      </c>
      <c r="R789" s="2" t="inlineStr"/>
    </row>
    <row r="790" ht="15" customHeight="1">
      <c r="A790" t="inlineStr">
        <is>
          <t>A 15954-2025</t>
        </is>
      </c>
      <c r="B790" s="1" t="n">
        <v>45749</v>
      </c>
      <c r="C790" s="1" t="n">
        <v>45999</v>
      </c>
      <c r="D790" t="inlineStr">
        <is>
          <t>VÄRMLANDS LÄN</t>
        </is>
      </c>
      <c r="E790" t="inlineStr">
        <is>
          <t>ÅRJÄNG</t>
        </is>
      </c>
      <c r="F790" t="inlineStr">
        <is>
          <t>Bergvik skog väst AB</t>
        </is>
      </c>
      <c r="G790" t="n">
        <v>4.2</v>
      </c>
      <c r="H790" t="n">
        <v>0</v>
      </c>
      <c r="I790" t="n">
        <v>0</v>
      </c>
      <c r="J790" t="n">
        <v>0</v>
      </c>
      <c r="K790" t="n">
        <v>0</v>
      </c>
      <c r="L790" t="n">
        <v>0</v>
      </c>
      <c r="M790" t="n">
        <v>0</v>
      </c>
      <c r="N790" t="n">
        <v>0</v>
      </c>
      <c r="O790" t="n">
        <v>0</v>
      </c>
      <c r="P790" t="n">
        <v>0</v>
      </c>
      <c r="Q790" t="n">
        <v>0</v>
      </c>
      <c r="R790" s="2" t="inlineStr"/>
    </row>
    <row r="791" ht="15" customHeight="1">
      <c r="A791" t="inlineStr">
        <is>
          <t>A 22281-2025</t>
        </is>
      </c>
      <c r="B791" s="1" t="n">
        <v>45786.33900462963</v>
      </c>
      <c r="C791" s="1" t="n">
        <v>45999</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10625-2025</t>
        </is>
      </c>
      <c r="B792" s="1" t="n">
        <v>45721</v>
      </c>
      <c r="C792" s="1" t="n">
        <v>45999</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10627-2025</t>
        </is>
      </c>
      <c r="B793" s="1" t="n">
        <v>45721</v>
      </c>
      <c r="C793" s="1" t="n">
        <v>45999</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687-2024</t>
        </is>
      </c>
      <c r="B794" s="1" t="n">
        <v>45300.37333333334</v>
      </c>
      <c r="C794" s="1" t="n">
        <v>45999</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713-2024</t>
        </is>
      </c>
      <c r="B795" s="1" t="n">
        <v>45300.4261574074</v>
      </c>
      <c r="C795" s="1" t="n">
        <v>45999</v>
      </c>
      <c r="D795" t="inlineStr">
        <is>
          <t>VÄRMLANDS LÄN</t>
        </is>
      </c>
      <c r="E795" t="inlineStr">
        <is>
          <t>ÅRJÄNG</t>
        </is>
      </c>
      <c r="F795" t="inlineStr">
        <is>
          <t>Kyrkan</t>
        </is>
      </c>
      <c r="G795" t="n">
        <v>4.4</v>
      </c>
      <c r="H795" t="n">
        <v>0</v>
      </c>
      <c r="I795" t="n">
        <v>0</v>
      </c>
      <c r="J795" t="n">
        <v>0</v>
      </c>
      <c r="K795" t="n">
        <v>0</v>
      </c>
      <c r="L795" t="n">
        <v>0</v>
      </c>
      <c r="M795" t="n">
        <v>0</v>
      </c>
      <c r="N795" t="n">
        <v>0</v>
      </c>
      <c r="O795" t="n">
        <v>0</v>
      </c>
      <c r="P795" t="n">
        <v>0</v>
      </c>
      <c r="Q795" t="n">
        <v>0</v>
      </c>
      <c r="R795" s="2" t="inlineStr"/>
    </row>
    <row r="796" ht="15" customHeight="1">
      <c r="A796" t="inlineStr">
        <is>
          <t>A 8835-2025</t>
        </is>
      </c>
      <c r="B796" s="1" t="n">
        <v>45712.92547453703</v>
      </c>
      <c r="C796" s="1" t="n">
        <v>45999</v>
      </c>
      <c r="D796" t="inlineStr">
        <is>
          <t>VÄRMLANDS LÄN</t>
        </is>
      </c>
      <c r="E796" t="inlineStr">
        <is>
          <t>ÅRJÄNG</t>
        </is>
      </c>
      <c r="G796" t="n">
        <v>7.3</v>
      </c>
      <c r="H796" t="n">
        <v>0</v>
      </c>
      <c r="I796" t="n">
        <v>0</v>
      </c>
      <c r="J796" t="n">
        <v>0</v>
      </c>
      <c r="K796" t="n">
        <v>0</v>
      </c>
      <c r="L796" t="n">
        <v>0</v>
      </c>
      <c r="M796" t="n">
        <v>0</v>
      </c>
      <c r="N796" t="n">
        <v>0</v>
      </c>
      <c r="O796" t="n">
        <v>0</v>
      </c>
      <c r="P796" t="n">
        <v>0</v>
      </c>
      <c r="Q796" t="n">
        <v>0</v>
      </c>
      <c r="R796" s="2" t="inlineStr"/>
    </row>
    <row r="797" ht="15" customHeight="1">
      <c r="A797" t="inlineStr">
        <is>
          <t>A 3471-2023</t>
        </is>
      </c>
      <c r="B797" s="1" t="n">
        <v>44949</v>
      </c>
      <c r="C797" s="1" t="n">
        <v>45999</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62288-2023</t>
        </is>
      </c>
      <c r="B798" s="1" t="n">
        <v>45267.65707175926</v>
      </c>
      <c r="C798" s="1" t="n">
        <v>45999</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59617-2022</t>
        </is>
      </c>
      <c r="B799" s="1" t="n">
        <v>44907</v>
      </c>
      <c r="C799" s="1" t="n">
        <v>45999</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18389-2022</t>
        </is>
      </c>
      <c r="B800" s="1" t="n">
        <v>44685</v>
      </c>
      <c r="C800" s="1" t="n">
        <v>45999</v>
      </c>
      <c r="D800" t="inlineStr">
        <is>
          <t>VÄRMLANDS LÄN</t>
        </is>
      </c>
      <c r="E800" t="inlineStr">
        <is>
          <t>ÅRJÄNG</t>
        </is>
      </c>
      <c r="G800" t="n">
        <v>11.1</v>
      </c>
      <c r="H800" t="n">
        <v>0</v>
      </c>
      <c r="I800" t="n">
        <v>0</v>
      </c>
      <c r="J800" t="n">
        <v>0</v>
      </c>
      <c r="K800" t="n">
        <v>0</v>
      </c>
      <c r="L800" t="n">
        <v>0</v>
      </c>
      <c r="M800" t="n">
        <v>0</v>
      </c>
      <c r="N800" t="n">
        <v>0</v>
      </c>
      <c r="O800" t="n">
        <v>0</v>
      </c>
      <c r="P800" t="n">
        <v>0</v>
      </c>
      <c r="Q800" t="n">
        <v>0</v>
      </c>
      <c r="R800" s="2" t="inlineStr"/>
    </row>
    <row r="801" ht="15" customHeight="1">
      <c r="A801" t="inlineStr">
        <is>
          <t>A 59887-2023</t>
        </is>
      </c>
      <c r="B801" s="1" t="n">
        <v>45257.59917824074</v>
      </c>
      <c r="C801" s="1" t="n">
        <v>45999</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37382-2024</t>
        </is>
      </c>
      <c r="B802" s="1" t="n">
        <v>45540</v>
      </c>
      <c r="C802" s="1" t="n">
        <v>45999</v>
      </c>
      <c r="D802" t="inlineStr">
        <is>
          <t>VÄRMLANDS LÄN</t>
        </is>
      </c>
      <c r="E802" t="inlineStr">
        <is>
          <t>ÅRJÄNG</t>
        </is>
      </c>
      <c r="G802" t="n">
        <v>12.3</v>
      </c>
      <c r="H802" t="n">
        <v>0</v>
      </c>
      <c r="I802" t="n">
        <v>0</v>
      </c>
      <c r="J802" t="n">
        <v>0</v>
      </c>
      <c r="K802" t="n">
        <v>0</v>
      </c>
      <c r="L802" t="n">
        <v>0</v>
      </c>
      <c r="M802" t="n">
        <v>0</v>
      </c>
      <c r="N802" t="n">
        <v>0</v>
      </c>
      <c r="O802" t="n">
        <v>0</v>
      </c>
      <c r="P802" t="n">
        <v>0</v>
      </c>
      <c r="Q802" t="n">
        <v>0</v>
      </c>
      <c r="R802" s="2" t="inlineStr"/>
    </row>
    <row r="803" ht="15" customHeight="1">
      <c r="A803" t="inlineStr">
        <is>
          <t>A 12993-2025</t>
        </is>
      </c>
      <c r="B803" s="1" t="n">
        <v>45734.48583333333</v>
      </c>
      <c r="C803" s="1" t="n">
        <v>45999</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9630-2025</t>
        </is>
      </c>
      <c r="B804" s="1" t="n">
        <v>45715.71145833333</v>
      </c>
      <c r="C804" s="1" t="n">
        <v>45999</v>
      </c>
      <c r="D804" t="inlineStr">
        <is>
          <t>VÄRMLANDS LÄN</t>
        </is>
      </c>
      <c r="E804" t="inlineStr">
        <is>
          <t>ÅRJÄNG</t>
        </is>
      </c>
      <c r="G804" t="n">
        <v>0.4</v>
      </c>
      <c r="H804" t="n">
        <v>0</v>
      </c>
      <c r="I804" t="n">
        <v>0</v>
      </c>
      <c r="J804" t="n">
        <v>0</v>
      </c>
      <c r="K804" t="n">
        <v>0</v>
      </c>
      <c r="L804" t="n">
        <v>0</v>
      </c>
      <c r="M804" t="n">
        <v>0</v>
      </c>
      <c r="N804" t="n">
        <v>0</v>
      </c>
      <c r="O804" t="n">
        <v>0</v>
      </c>
      <c r="P804" t="n">
        <v>0</v>
      </c>
      <c r="Q804" t="n">
        <v>0</v>
      </c>
      <c r="R804" s="2" t="inlineStr"/>
    </row>
    <row r="805" ht="15" customHeight="1">
      <c r="A805" t="inlineStr">
        <is>
          <t>A 65171-2023</t>
        </is>
      </c>
      <c r="B805" s="1" t="n">
        <v>45288.71099537037</v>
      </c>
      <c r="C805" s="1" t="n">
        <v>45999</v>
      </c>
      <c r="D805" t="inlineStr">
        <is>
          <t>VÄRMLANDS LÄN</t>
        </is>
      </c>
      <c r="E805" t="inlineStr">
        <is>
          <t>ÅRJÄNG</t>
        </is>
      </c>
      <c r="G805" t="n">
        <v>2.1</v>
      </c>
      <c r="H805" t="n">
        <v>0</v>
      </c>
      <c r="I805" t="n">
        <v>0</v>
      </c>
      <c r="J805" t="n">
        <v>0</v>
      </c>
      <c r="K805" t="n">
        <v>0</v>
      </c>
      <c r="L805" t="n">
        <v>0</v>
      </c>
      <c r="M805" t="n">
        <v>0</v>
      </c>
      <c r="N805" t="n">
        <v>0</v>
      </c>
      <c r="O805" t="n">
        <v>0</v>
      </c>
      <c r="P805" t="n">
        <v>0</v>
      </c>
      <c r="Q805" t="n">
        <v>0</v>
      </c>
      <c r="R805" s="2" t="inlineStr"/>
    </row>
    <row r="806" ht="15" customHeight="1">
      <c r="A806" t="inlineStr">
        <is>
          <t>A 59071-2024</t>
        </is>
      </c>
      <c r="B806" s="1" t="n">
        <v>45636.96637731481</v>
      </c>
      <c r="C806" s="1" t="n">
        <v>45999</v>
      </c>
      <c r="D806" t="inlineStr">
        <is>
          <t>VÄRMLANDS LÄN</t>
        </is>
      </c>
      <c r="E806" t="inlineStr">
        <is>
          <t>ÅRJÄNG</t>
        </is>
      </c>
      <c r="G806" t="n">
        <v>4.2</v>
      </c>
      <c r="H806" t="n">
        <v>0</v>
      </c>
      <c r="I806" t="n">
        <v>0</v>
      </c>
      <c r="J806" t="n">
        <v>0</v>
      </c>
      <c r="K806" t="n">
        <v>0</v>
      </c>
      <c r="L806" t="n">
        <v>0</v>
      </c>
      <c r="M806" t="n">
        <v>0</v>
      </c>
      <c r="N806" t="n">
        <v>0</v>
      </c>
      <c r="O806" t="n">
        <v>0</v>
      </c>
      <c r="P806" t="n">
        <v>0</v>
      </c>
      <c r="Q806" t="n">
        <v>0</v>
      </c>
      <c r="R806" s="2" t="inlineStr"/>
    </row>
    <row r="807" ht="15" customHeight="1">
      <c r="A807" t="inlineStr">
        <is>
          <t>A 59073-2024</t>
        </is>
      </c>
      <c r="B807" s="1" t="n">
        <v>45636.97232638889</v>
      </c>
      <c r="C807" s="1" t="n">
        <v>45999</v>
      </c>
      <c r="D807" t="inlineStr">
        <is>
          <t>VÄRMLANDS LÄN</t>
        </is>
      </c>
      <c r="E807" t="inlineStr">
        <is>
          <t>ÅRJÄNG</t>
        </is>
      </c>
      <c r="G807" t="n">
        <v>3</v>
      </c>
      <c r="H807" t="n">
        <v>0</v>
      </c>
      <c r="I807" t="n">
        <v>0</v>
      </c>
      <c r="J807" t="n">
        <v>0</v>
      </c>
      <c r="K807" t="n">
        <v>0</v>
      </c>
      <c r="L807" t="n">
        <v>0</v>
      </c>
      <c r="M807" t="n">
        <v>0</v>
      </c>
      <c r="N807" t="n">
        <v>0</v>
      </c>
      <c r="O807" t="n">
        <v>0</v>
      </c>
      <c r="P807" t="n">
        <v>0</v>
      </c>
      <c r="Q807" t="n">
        <v>0</v>
      </c>
      <c r="R807" s="2" t="inlineStr"/>
    </row>
    <row r="808" ht="15" customHeight="1">
      <c r="A808" t="inlineStr">
        <is>
          <t>A 28864-2023</t>
        </is>
      </c>
      <c r="B808" s="1" t="n">
        <v>45104</v>
      </c>
      <c r="C808" s="1" t="n">
        <v>45999</v>
      </c>
      <c r="D808" t="inlineStr">
        <is>
          <t>VÄRMLANDS LÄN</t>
        </is>
      </c>
      <c r="E808" t="inlineStr">
        <is>
          <t>ÅRJÄNG</t>
        </is>
      </c>
      <c r="G808" t="n">
        <v>2.9</v>
      </c>
      <c r="H808" t="n">
        <v>0</v>
      </c>
      <c r="I808" t="n">
        <v>0</v>
      </c>
      <c r="J808" t="n">
        <v>0</v>
      </c>
      <c r="K808" t="n">
        <v>0</v>
      </c>
      <c r="L808" t="n">
        <v>0</v>
      </c>
      <c r="M808" t="n">
        <v>0</v>
      </c>
      <c r="N808" t="n">
        <v>0</v>
      </c>
      <c r="O808" t="n">
        <v>0</v>
      </c>
      <c r="P808" t="n">
        <v>0</v>
      </c>
      <c r="Q808" t="n">
        <v>0</v>
      </c>
      <c r="R808" s="2" t="inlineStr"/>
    </row>
    <row r="809" ht="15" customHeight="1">
      <c r="A809" t="inlineStr">
        <is>
          <t>A 10117-2023</t>
        </is>
      </c>
      <c r="B809" s="1" t="n">
        <v>44986.34331018518</v>
      </c>
      <c r="C809" s="1" t="n">
        <v>45999</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15579-2025</t>
        </is>
      </c>
      <c r="B810" s="1" t="n">
        <v>45747</v>
      </c>
      <c r="C810" s="1" t="n">
        <v>45999</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15303-2025</t>
        </is>
      </c>
      <c r="B811" s="1" t="n">
        <v>45746</v>
      </c>
      <c r="C811" s="1" t="n">
        <v>45999</v>
      </c>
      <c r="D811" t="inlineStr">
        <is>
          <t>VÄRMLANDS LÄN</t>
        </is>
      </c>
      <c r="E811" t="inlineStr">
        <is>
          <t>ÅRJÄNG</t>
        </is>
      </c>
      <c r="G811" t="n">
        <v>8</v>
      </c>
      <c r="H811" t="n">
        <v>0</v>
      </c>
      <c r="I811" t="n">
        <v>0</v>
      </c>
      <c r="J811" t="n">
        <v>0</v>
      </c>
      <c r="K811" t="n">
        <v>0</v>
      </c>
      <c r="L811" t="n">
        <v>0</v>
      </c>
      <c r="M811" t="n">
        <v>0</v>
      </c>
      <c r="N811" t="n">
        <v>0</v>
      </c>
      <c r="O811" t="n">
        <v>0</v>
      </c>
      <c r="P811" t="n">
        <v>0</v>
      </c>
      <c r="Q811" t="n">
        <v>0</v>
      </c>
      <c r="R811" s="2" t="inlineStr"/>
    </row>
    <row r="812" ht="15" customHeight="1">
      <c r="A812" t="inlineStr">
        <is>
          <t>A 11401-2025</t>
        </is>
      </c>
      <c r="B812" s="1" t="n">
        <v>45726</v>
      </c>
      <c r="C812" s="1" t="n">
        <v>45999</v>
      </c>
      <c r="D812" t="inlineStr">
        <is>
          <t>VÄRMLANDS LÄN</t>
        </is>
      </c>
      <c r="E812" t="inlineStr">
        <is>
          <t>ÅRJÄNG</t>
        </is>
      </c>
      <c r="G812" t="n">
        <v>0.4</v>
      </c>
      <c r="H812" t="n">
        <v>0</v>
      </c>
      <c r="I812" t="n">
        <v>0</v>
      </c>
      <c r="J812" t="n">
        <v>0</v>
      </c>
      <c r="K812" t="n">
        <v>0</v>
      </c>
      <c r="L812" t="n">
        <v>0</v>
      </c>
      <c r="M812" t="n">
        <v>0</v>
      </c>
      <c r="N812" t="n">
        <v>0</v>
      </c>
      <c r="O812" t="n">
        <v>0</v>
      </c>
      <c r="P812" t="n">
        <v>0</v>
      </c>
      <c r="Q812" t="n">
        <v>0</v>
      </c>
      <c r="R812" s="2" t="inlineStr"/>
    </row>
    <row r="813" ht="15" customHeight="1">
      <c r="A813" t="inlineStr">
        <is>
          <t>A 58789-2024</t>
        </is>
      </c>
      <c r="B813" s="1" t="n">
        <v>45635.98438657408</v>
      </c>
      <c r="C813" s="1" t="n">
        <v>45999</v>
      </c>
      <c r="D813" t="inlineStr">
        <is>
          <t>VÄRMLANDS LÄN</t>
        </is>
      </c>
      <c r="E813" t="inlineStr">
        <is>
          <t>ÅRJÄNG</t>
        </is>
      </c>
      <c r="G813" t="n">
        <v>7.8</v>
      </c>
      <c r="H813" t="n">
        <v>0</v>
      </c>
      <c r="I813" t="n">
        <v>0</v>
      </c>
      <c r="J813" t="n">
        <v>0</v>
      </c>
      <c r="K813" t="n">
        <v>0</v>
      </c>
      <c r="L813" t="n">
        <v>0</v>
      </c>
      <c r="M813" t="n">
        <v>0</v>
      </c>
      <c r="N813" t="n">
        <v>0</v>
      </c>
      <c r="O813" t="n">
        <v>0</v>
      </c>
      <c r="P813" t="n">
        <v>0</v>
      </c>
      <c r="Q813" t="n">
        <v>0</v>
      </c>
      <c r="R813" s="2" t="inlineStr"/>
    </row>
    <row r="814" ht="15" customHeight="1">
      <c r="A814" t="inlineStr">
        <is>
          <t>A 14446-2025</t>
        </is>
      </c>
      <c r="B814" s="1" t="n">
        <v>45741.53552083333</v>
      </c>
      <c r="C814" s="1" t="n">
        <v>45999</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32550-2024</t>
        </is>
      </c>
      <c r="B815" s="1" t="n">
        <v>45513.50606481481</v>
      </c>
      <c r="C815" s="1" t="n">
        <v>45999</v>
      </c>
      <c r="D815" t="inlineStr">
        <is>
          <t>VÄRMLANDS LÄN</t>
        </is>
      </c>
      <c r="E815" t="inlineStr">
        <is>
          <t>ÅRJÄNG</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46319-2024</t>
        </is>
      </c>
      <c r="B816" s="1" t="n">
        <v>45581.760625</v>
      </c>
      <c r="C816" s="1" t="n">
        <v>45999</v>
      </c>
      <c r="D816" t="inlineStr">
        <is>
          <t>VÄRMLANDS LÄN</t>
        </is>
      </c>
      <c r="E816" t="inlineStr">
        <is>
          <t>ÅRJÄNG</t>
        </is>
      </c>
      <c r="G816" t="n">
        <v>5.5</v>
      </c>
      <c r="H816" t="n">
        <v>0</v>
      </c>
      <c r="I816" t="n">
        <v>0</v>
      </c>
      <c r="J816" t="n">
        <v>0</v>
      </c>
      <c r="K816" t="n">
        <v>0</v>
      </c>
      <c r="L816" t="n">
        <v>0</v>
      </c>
      <c r="M816" t="n">
        <v>0</v>
      </c>
      <c r="N816" t="n">
        <v>0</v>
      </c>
      <c r="O816" t="n">
        <v>0</v>
      </c>
      <c r="P816" t="n">
        <v>0</v>
      </c>
      <c r="Q816" t="n">
        <v>0</v>
      </c>
      <c r="R816" s="2" t="inlineStr"/>
    </row>
    <row r="817" ht="15" customHeight="1">
      <c r="A817" t="inlineStr">
        <is>
          <t>A 8833-2025</t>
        </is>
      </c>
      <c r="B817" s="1" t="n">
        <v>45712.91263888889</v>
      </c>
      <c r="C817" s="1" t="n">
        <v>45999</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15230-2025</t>
        </is>
      </c>
      <c r="B818" s="1" t="n">
        <v>45744</v>
      </c>
      <c r="C818" s="1" t="n">
        <v>45999</v>
      </c>
      <c r="D818" t="inlineStr">
        <is>
          <t>VÄRMLANDS LÄN</t>
        </is>
      </c>
      <c r="E818" t="inlineStr">
        <is>
          <t>ÅRJÄNG</t>
        </is>
      </c>
      <c r="G818" t="n">
        <v>17.1</v>
      </c>
      <c r="H818" t="n">
        <v>0</v>
      </c>
      <c r="I818" t="n">
        <v>0</v>
      </c>
      <c r="J818" t="n">
        <v>0</v>
      </c>
      <c r="K818" t="n">
        <v>0</v>
      </c>
      <c r="L818" t="n">
        <v>0</v>
      </c>
      <c r="M818" t="n">
        <v>0</v>
      </c>
      <c r="N818" t="n">
        <v>0</v>
      </c>
      <c r="O818" t="n">
        <v>0</v>
      </c>
      <c r="P818" t="n">
        <v>0</v>
      </c>
      <c r="Q818" t="n">
        <v>0</v>
      </c>
      <c r="R818" s="2" t="inlineStr"/>
    </row>
    <row r="819" ht="15" customHeight="1">
      <c r="A819" t="inlineStr">
        <is>
          <t>A 26265-2024</t>
        </is>
      </c>
      <c r="B819" s="1" t="n">
        <v>45468</v>
      </c>
      <c r="C819" s="1" t="n">
        <v>45999</v>
      </c>
      <c r="D819" t="inlineStr">
        <is>
          <t>VÄRMLANDS LÄN</t>
        </is>
      </c>
      <c r="E819" t="inlineStr">
        <is>
          <t>ÅRJÄNG</t>
        </is>
      </c>
      <c r="G819" t="n">
        <v>3.4</v>
      </c>
      <c r="H819" t="n">
        <v>0</v>
      </c>
      <c r="I819" t="n">
        <v>0</v>
      </c>
      <c r="J819" t="n">
        <v>0</v>
      </c>
      <c r="K819" t="n">
        <v>0</v>
      </c>
      <c r="L819" t="n">
        <v>0</v>
      </c>
      <c r="M819" t="n">
        <v>0</v>
      </c>
      <c r="N819" t="n">
        <v>0</v>
      </c>
      <c r="O819" t="n">
        <v>0</v>
      </c>
      <c r="P819" t="n">
        <v>0</v>
      </c>
      <c r="Q819" t="n">
        <v>0</v>
      </c>
      <c r="R819" s="2" t="inlineStr"/>
    </row>
    <row r="820" ht="15" customHeight="1">
      <c r="A820" t="inlineStr">
        <is>
          <t>A 64381-2023</t>
        </is>
      </c>
      <c r="B820" s="1" t="n">
        <v>45280</v>
      </c>
      <c r="C820" s="1" t="n">
        <v>45999</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4545-2024</t>
        </is>
      </c>
      <c r="B821" s="1" t="n">
        <v>45327</v>
      </c>
      <c r="C821" s="1" t="n">
        <v>45999</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20372-2025</t>
        </is>
      </c>
      <c r="B822" s="1" t="n">
        <v>45775.42027777778</v>
      </c>
      <c r="C822" s="1" t="n">
        <v>45999</v>
      </c>
      <c r="D822" t="inlineStr">
        <is>
          <t>VÄRMLANDS LÄN</t>
        </is>
      </c>
      <c r="E822" t="inlineStr">
        <is>
          <t>ÅRJÄNG</t>
        </is>
      </c>
      <c r="G822" t="n">
        <v>0.8</v>
      </c>
      <c r="H822" t="n">
        <v>0</v>
      </c>
      <c r="I822" t="n">
        <v>0</v>
      </c>
      <c r="J822" t="n">
        <v>0</v>
      </c>
      <c r="K822" t="n">
        <v>0</v>
      </c>
      <c r="L822" t="n">
        <v>0</v>
      </c>
      <c r="M822" t="n">
        <v>0</v>
      </c>
      <c r="N822" t="n">
        <v>0</v>
      </c>
      <c r="O822" t="n">
        <v>0</v>
      </c>
      <c r="P822" t="n">
        <v>0</v>
      </c>
      <c r="Q822" t="n">
        <v>0</v>
      </c>
      <c r="R822" s="2" t="inlineStr"/>
    </row>
    <row r="823" ht="15" customHeight="1">
      <c r="A823" t="inlineStr">
        <is>
          <t>A 45634-2023</t>
        </is>
      </c>
      <c r="B823" s="1" t="n">
        <v>45194</v>
      </c>
      <c r="C823" s="1" t="n">
        <v>45999</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35414-2025</t>
        </is>
      </c>
      <c r="B824" s="1" t="n">
        <v>45855</v>
      </c>
      <c r="C824" s="1" t="n">
        <v>45999</v>
      </c>
      <c r="D824" t="inlineStr">
        <is>
          <t>VÄRMLANDS LÄN</t>
        </is>
      </c>
      <c r="E824" t="inlineStr">
        <is>
          <t>ÅRJÄNG</t>
        </is>
      </c>
      <c r="F824" t="inlineStr">
        <is>
          <t>Bergvik skog väst AB</t>
        </is>
      </c>
      <c r="G824" t="n">
        <v>6.8</v>
      </c>
      <c r="H824" t="n">
        <v>0</v>
      </c>
      <c r="I824" t="n">
        <v>0</v>
      </c>
      <c r="J824" t="n">
        <v>0</v>
      </c>
      <c r="K824" t="n">
        <v>0</v>
      </c>
      <c r="L824" t="n">
        <v>0</v>
      </c>
      <c r="M824" t="n">
        <v>0</v>
      </c>
      <c r="N824" t="n">
        <v>0</v>
      </c>
      <c r="O824" t="n">
        <v>0</v>
      </c>
      <c r="P824" t="n">
        <v>0</v>
      </c>
      <c r="Q824" t="n">
        <v>0</v>
      </c>
      <c r="R824" s="2" t="inlineStr"/>
    </row>
    <row r="825" ht="15" customHeight="1">
      <c r="A825" t="inlineStr">
        <is>
          <t>A 49780-2024</t>
        </is>
      </c>
      <c r="B825" s="1" t="n">
        <v>45597</v>
      </c>
      <c r="C825" s="1" t="n">
        <v>45999</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60903-2023</t>
        </is>
      </c>
      <c r="B826" s="1" t="n">
        <v>45261</v>
      </c>
      <c r="C826" s="1" t="n">
        <v>45999</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47332-2022</t>
        </is>
      </c>
      <c r="B827" s="1" t="n">
        <v>44853</v>
      </c>
      <c r="C827" s="1" t="n">
        <v>45999</v>
      </c>
      <c r="D827" t="inlineStr">
        <is>
          <t>VÄRMLANDS LÄN</t>
        </is>
      </c>
      <c r="E827" t="inlineStr">
        <is>
          <t>ÅRJÄNG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21145-2022</t>
        </is>
      </c>
      <c r="B828" s="1" t="n">
        <v>44704</v>
      </c>
      <c r="C828" s="1" t="n">
        <v>45999</v>
      </c>
      <c r="D828" t="inlineStr">
        <is>
          <t>VÄRMLANDS LÄN</t>
        </is>
      </c>
      <c r="E828" t="inlineStr">
        <is>
          <t>ÅRJÄNG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9749-2024</t>
        </is>
      </c>
      <c r="B829" s="1" t="n">
        <v>45362</v>
      </c>
      <c r="C829" s="1" t="n">
        <v>45999</v>
      </c>
      <c r="D829" t="inlineStr">
        <is>
          <t>VÄRMLANDS LÄN</t>
        </is>
      </c>
      <c r="E829" t="inlineStr">
        <is>
          <t>ÅRJÄNG</t>
        </is>
      </c>
      <c r="F829" t="inlineStr">
        <is>
          <t>Kyrkan</t>
        </is>
      </c>
      <c r="G829" t="n">
        <v>0.5</v>
      </c>
      <c r="H829" t="n">
        <v>0</v>
      </c>
      <c r="I829" t="n">
        <v>0</v>
      </c>
      <c r="J829" t="n">
        <v>0</v>
      </c>
      <c r="K829" t="n">
        <v>0</v>
      </c>
      <c r="L829" t="n">
        <v>0</v>
      </c>
      <c r="M829" t="n">
        <v>0</v>
      </c>
      <c r="N829" t="n">
        <v>0</v>
      </c>
      <c r="O829" t="n">
        <v>0</v>
      </c>
      <c r="P829" t="n">
        <v>0</v>
      </c>
      <c r="Q829" t="n">
        <v>0</v>
      </c>
      <c r="R829" s="2" t="inlineStr"/>
    </row>
    <row r="830" ht="15" customHeight="1">
      <c r="A830" t="inlineStr">
        <is>
          <t>A 35869-2025</t>
        </is>
      </c>
      <c r="B830" s="1" t="n">
        <v>45862</v>
      </c>
      <c r="C830" s="1" t="n">
        <v>45999</v>
      </c>
      <c r="D830" t="inlineStr">
        <is>
          <t>VÄRMLANDS LÄN</t>
        </is>
      </c>
      <c r="E830" t="inlineStr">
        <is>
          <t>ÅRJÄNG</t>
        </is>
      </c>
      <c r="F830" t="inlineStr">
        <is>
          <t>Bergvik skog väst AB</t>
        </is>
      </c>
      <c r="G830" t="n">
        <v>4.1</v>
      </c>
      <c r="H830" t="n">
        <v>0</v>
      </c>
      <c r="I830" t="n">
        <v>0</v>
      </c>
      <c r="J830" t="n">
        <v>0</v>
      </c>
      <c r="K830" t="n">
        <v>0</v>
      </c>
      <c r="L830" t="n">
        <v>0</v>
      </c>
      <c r="M830" t="n">
        <v>0</v>
      </c>
      <c r="N830" t="n">
        <v>0</v>
      </c>
      <c r="O830" t="n">
        <v>0</v>
      </c>
      <c r="P830" t="n">
        <v>0</v>
      </c>
      <c r="Q830" t="n">
        <v>0</v>
      </c>
      <c r="R830" s="2" t="inlineStr"/>
    </row>
    <row r="831" ht="15" customHeight="1">
      <c r="A831" t="inlineStr">
        <is>
          <t>A 48805-2022</t>
        </is>
      </c>
      <c r="B831" s="1" t="n">
        <v>44854</v>
      </c>
      <c r="C831" s="1" t="n">
        <v>45999</v>
      </c>
      <c r="D831" t="inlineStr">
        <is>
          <t>VÄRMLANDS LÄN</t>
        </is>
      </c>
      <c r="E831" t="inlineStr">
        <is>
          <t>ÅRJÄNG</t>
        </is>
      </c>
      <c r="G831" t="n">
        <v>4</v>
      </c>
      <c r="H831" t="n">
        <v>0</v>
      </c>
      <c r="I831" t="n">
        <v>0</v>
      </c>
      <c r="J831" t="n">
        <v>0</v>
      </c>
      <c r="K831" t="n">
        <v>0</v>
      </c>
      <c r="L831" t="n">
        <v>0</v>
      </c>
      <c r="M831" t="n">
        <v>0</v>
      </c>
      <c r="N831" t="n">
        <v>0</v>
      </c>
      <c r="O831" t="n">
        <v>0</v>
      </c>
      <c r="P831" t="n">
        <v>0</v>
      </c>
      <c r="Q831" t="n">
        <v>0</v>
      </c>
      <c r="R831" s="2" t="inlineStr"/>
    </row>
    <row r="832" ht="15" customHeight="1">
      <c r="A832" t="inlineStr">
        <is>
          <t>A 36143-2025</t>
        </is>
      </c>
      <c r="B832" s="1" t="n">
        <v>45866.68708333333</v>
      </c>
      <c r="C832" s="1" t="n">
        <v>45999</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36461-2025</t>
        </is>
      </c>
      <c r="B833" s="1" t="n">
        <v>45869</v>
      </c>
      <c r="C833" s="1" t="n">
        <v>45999</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8614-2023</t>
        </is>
      </c>
      <c r="B834" s="1" t="n">
        <v>44977</v>
      </c>
      <c r="C834" s="1" t="n">
        <v>45999</v>
      </c>
      <c r="D834" t="inlineStr">
        <is>
          <t>VÄRMLANDS LÄN</t>
        </is>
      </c>
      <c r="E834" t="inlineStr">
        <is>
          <t>ÅRJÄNG</t>
        </is>
      </c>
      <c r="G834" t="n">
        <v>3.8</v>
      </c>
      <c r="H834" t="n">
        <v>0</v>
      </c>
      <c r="I834" t="n">
        <v>0</v>
      </c>
      <c r="J834" t="n">
        <v>0</v>
      </c>
      <c r="K834" t="n">
        <v>0</v>
      </c>
      <c r="L834" t="n">
        <v>0</v>
      </c>
      <c r="M834" t="n">
        <v>0</v>
      </c>
      <c r="N834" t="n">
        <v>0</v>
      </c>
      <c r="O834" t="n">
        <v>0</v>
      </c>
      <c r="P834" t="n">
        <v>0</v>
      </c>
      <c r="Q834" t="n">
        <v>0</v>
      </c>
      <c r="R834" s="2" t="inlineStr"/>
    </row>
    <row r="835" ht="15" customHeight="1">
      <c r="A835" t="inlineStr">
        <is>
          <t>A 36450-2025</t>
        </is>
      </c>
      <c r="B835" s="1" t="n">
        <v>45869</v>
      </c>
      <c r="C835" s="1" t="n">
        <v>45999</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36819-2025</t>
        </is>
      </c>
      <c r="B836" s="1" t="n">
        <v>45873.84164351852</v>
      </c>
      <c r="C836" s="1" t="n">
        <v>45999</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36834-2025</t>
        </is>
      </c>
      <c r="B837" s="1" t="n">
        <v>45874.35965277778</v>
      </c>
      <c r="C837" s="1" t="n">
        <v>45999</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4088-2025</t>
        </is>
      </c>
      <c r="B838" s="1" t="n">
        <v>45684.66329861111</v>
      </c>
      <c r="C838" s="1" t="n">
        <v>45999</v>
      </c>
      <c r="D838" t="inlineStr">
        <is>
          <t>VÄRMLANDS LÄN</t>
        </is>
      </c>
      <c r="E838" t="inlineStr">
        <is>
          <t>ÅRJÄNG</t>
        </is>
      </c>
      <c r="G838" t="n">
        <v>4.1</v>
      </c>
      <c r="H838" t="n">
        <v>0</v>
      </c>
      <c r="I838" t="n">
        <v>0</v>
      </c>
      <c r="J838" t="n">
        <v>0</v>
      </c>
      <c r="K838" t="n">
        <v>0</v>
      </c>
      <c r="L838" t="n">
        <v>0</v>
      </c>
      <c r="M838" t="n">
        <v>0</v>
      </c>
      <c r="N838" t="n">
        <v>0</v>
      </c>
      <c r="O838" t="n">
        <v>0</v>
      </c>
      <c r="P838" t="n">
        <v>0</v>
      </c>
      <c r="Q838" t="n">
        <v>0</v>
      </c>
      <c r="R838" s="2" t="inlineStr"/>
    </row>
    <row r="839" ht="15" customHeight="1">
      <c r="A839" t="inlineStr">
        <is>
          <t>A 1571-2025</t>
        </is>
      </c>
      <c r="B839" s="1" t="n">
        <v>45670.55496527778</v>
      </c>
      <c r="C839" s="1" t="n">
        <v>45999</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40458-2023</t>
        </is>
      </c>
      <c r="B840" s="1" t="n">
        <v>45170.32993055556</v>
      </c>
      <c r="C840" s="1" t="n">
        <v>45999</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36752-2025</t>
        </is>
      </c>
      <c r="B841" s="1" t="n">
        <v>45873</v>
      </c>
      <c r="C841" s="1" t="n">
        <v>45999</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22667-2025</t>
        </is>
      </c>
      <c r="B842" s="1" t="n">
        <v>45789</v>
      </c>
      <c r="C842" s="1" t="n">
        <v>45999</v>
      </c>
      <c r="D842" t="inlineStr">
        <is>
          <t>VÄRMLANDS LÄN</t>
        </is>
      </c>
      <c r="E842" t="inlineStr">
        <is>
          <t>ÅRJÄNG</t>
        </is>
      </c>
      <c r="G842" t="n">
        <v>4.4</v>
      </c>
      <c r="H842" t="n">
        <v>0</v>
      </c>
      <c r="I842" t="n">
        <v>0</v>
      </c>
      <c r="J842" t="n">
        <v>0</v>
      </c>
      <c r="K842" t="n">
        <v>0</v>
      </c>
      <c r="L842" t="n">
        <v>0</v>
      </c>
      <c r="M842" t="n">
        <v>0</v>
      </c>
      <c r="N842" t="n">
        <v>0</v>
      </c>
      <c r="O842" t="n">
        <v>0</v>
      </c>
      <c r="P842" t="n">
        <v>0</v>
      </c>
      <c r="Q842" t="n">
        <v>0</v>
      </c>
      <c r="R842" s="2" t="inlineStr"/>
    </row>
    <row r="843" ht="15" customHeight="1">
      <c r="A843" t="inlineStr">
        <is>
          <t>A 16010-2024</t>
        </is>
      </c>
      <c r="B843" s="1" t="n">
        <v>45405</v>
      </c>
      <c r="C843" s="1" t="n">
        <v>45999</v>
      </c>
      <c r="D843" t="inlineStr">
        <is>
          <t>VÄRMLANDS LÄN</t>
        </is>
      </c>
      <c r="E843" t="inlineStr">
        <is>
          <t>ÅRJÄNG</t>
        </is>
      </c>
      <c r="G843" t="n">
        <v>4.6</v>
      </c>
      <c r="H843" t="n">
        <v>0</v>
      </c>
      <c r="I843" t="n">
        <v>0</v>
      </c>
      <c r="J843" t="n">
        <v>0</v>
      </c>
      <c r="K843" t="n">
        <v>0</v>
      </c>
      <c r="L843" t="n">
        <v>0</v>
      </c>
      <c r="M843" t="n">
        <v>0</v>
      </c>
      <c r="N843" t="n">
        <v>0</v>
      </c>
      <c r="O843" t="n">
        <v>0</v>
      </c>
      <c r="P843" t="n">
        <v>0</v>
      </c>
      <c r="Q843" t="n">
        <v>0</v>
      </c>
      <c r="R843" s="2" t="inlineStr"/>
    </row>
    <row r="844" ht="15" customHeight="1">
      <c r="A844" t="inlineStr">
        <is>
          <t>A 62966-2023</t>
        </is>
      </c>
      <c r="B844" s="1" t="n">
        <v>45272.57006944445</v>
      </c>
      <c r="C844" s="1" t="n">
        <v>45999</v>
      </c>
      <c r="D844" t="inlineStr">
        <is>
          <t>VÄRMLANDS LÄN</t>
        </is>
      </c>
      <c r="E844" t="inlineStr">
        <is>
          <t>ÅRJÄNG</t>
        </is>
      </c>
      <c r="G844" t="n">
        <v>4.5</v>
      </c>
      <c r="H844" t="n">
        <v>0</v>
      </c>
      <c r="I844" t="n">
        <v>0</v>
      </c>
      <c r="J844" t="n">
        <v>0</v>
      </c>
      <c r="K844" t="n">
        <v>0</v>
      </c>
      <c r="L844" t="n">
        <v>0</v>
      </c>
      <c r="M844" t="n">
        <v>0</v>
      </c>
      <c r="N844" t="n">
        <v>0</v>
      </c>
      <c r="O844" t="n">
        <v>0</v>
      </c>
      <c r="P844" t="n">
        <v>0</v>
      </c>
      <c r="Q844" t="n">
        <v>0</v>
      </c>
      <c r="R844" s="2" t="inlineStr"/>
    </row>
    <row r="845" ht="15" customHeight="1">
      <c r="A845" t="inlineStr">
        <is>
          <t>A 36857-2025</t>
        </is>
      </c>
      <c r="B845" s="1" t="n">
        <v>45874.40488425926</v>
      </c>
      <c r="C845" s="1" t="n">
        <v>45999</v>
      </c>
      <c r="D845" t="inlineStr">
        <is>
          <t>VÄRMLANDS LÄN</t>
        </is>
      </c>
      <c r="E845" t="inlineStr">
        <is>
          <t>ÅRJÄNG</t>
        </is>
      </c>
      <c r="G845" t="n">
        <v>5.2</v>
      </c>
      <c r="H845" t="n">
        <v>0</v>
      </c>
      <c r="I845" t="n">
        <v>0</v>
      </c>
      <c r="J845" t="n">
        <v>0</v>
      </c>
      <c r="K845" t="n">
        <v>0</v>
      </c>
      <c r="L845" t="n">
        <v>0</v>
      </c>
      <c r="M845" t="n">
        <v>0</v>
      </c>
      <c r="N845" t="n">
        <v>0</v>
      </c>
      <c r="O845" t="n">
        <v>0</v>
      </c>
      <c r="P845" t="n">
        <v>0</v>
      </c>
      <c r="Q845" t="n">
        <v>0</v>
      </c>
      <c r="R845" s="2" t="inlineStr"/>
    </row>
    <row r="846" ht="15" customHeight="1">
      <c r="A846" t="inlineStr">
        <is>
          <t>A 1200-2023</t>
        </is>
      </c>
      <c r="B846" s="1" t="n">
        <v>44935</v>
      </c>
      <c r="C846" s="1" t="n">
        <v>45999</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36751-2025</t>
        </is>
      </c>
      <c r="B847" s="1" t="n">
        <v>45873</v>
      </c>
      <c r="C847" s="1" t="n">
        <v>45999</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36827-2025</t>
        </is>
      </c>
      <c r="B848" s="1" t="n">
        <v>45874</v>
      </c>
      <c r="C848" s="1" t="n">
        <v>45999</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36839-2025</t>
        </is>
      </c>
      <c r="B849" s="1" t="n">
        <v>45874</v>
      </c>
      <c r="C849" s="1" t="n">
        <v>45999</v>
      </c>
      <c r="D849" t="inlineStr">
        <is>
          <t>VÄRMLANDS LÄN</t>
        </is>
      </c>
      <c r="E849" t="inlineStr">
        <is>
          <t>ÅRJÄNG</t>
        </is>
      </c>
      <c r="G849" t="n">
        <v>2.2</v>
      </c>
      <c r="H849" t="n">
        <v>0</v>
      </c>
      <c r="I849" t="n">
        <v>0</v>
      </c>
      <c r="J849" t="n">
        <v>0</v>
      </c>
      <c r="K849" t="n">
        <v>0</v>
      </c>
      <c r="L849" t="n">
        <v>0</v>
      </c>
      <c r="M849" t="n">
        <v>0</v>
      </c>
      <c r="N849" t="n">
        <v>0</v>
      </c>
      <c r="O849" t="n">
        <v>0</v>
      </c>
      <c r="P849" t="n">
        <v>0</v>
      </c>
      <c r="Q849" t="n">
        <v>0</v>
      </c>
      <c r="R849" s="2" t="inlineStr"/>
    </row>
    <row r="850" ht="15" customHeight="1">
      <c r="A850" t="inlineStr">
        <is>
          <t>A 36780-2025</t>
        </is>
      </c>
      <c r="B850" s="1" t="n">
        <v>45873</v>
      </c>
      <c r="C850" s="1" t="n">
        <v>45999</v>
      </c>
      <c r="D850" t="inlineStr">
        <is>
          <t>VÄRMLANDS LÄN</t>
        </is>
      </c>
      <c r="E850" t="inlineStr">
        <is>
          <t>ÅRJÄNG</t>
        </is>
      </c>
      <c r="G850" t="n">
        <v>0.7</v>
      </c>
      <c r="H850" t="n">
        <v>0</v>
      </c>
      <c r="I850" t="n">
        <v>0</v>
      </c>
      <c r="J850" t="n">
        <v>0</v>
      </c>
      <c r="K850" t="n">
        <v>0</v>
      </c>
      <c r="L850" t="n">
        <v>0</v>
      </c>
      <c r="M850" t="n">
        <v>0</v>
      </c>
      <c r="N850" t="n">
        <v>0</v>
      </c>
      <c r="O850" t="n">
        <v>0</v>
      </c>
      <c r="P850" t="n">
        <v>0</v>
      </c>
      <c r="Q850" t="n">
        <v>0</v>
      </c>
      <c r="R850" s="2" t="inlineStr"/>
    </row>
    <row r="851" ht="15" customHeight="1">
      <c r="A851" t="inlineStr">
        <is>
          <t>A 36831-2025</t>
        </is>
      </c>
      <c r="B851" s="1" t="n">
        <v>45874</v>
      </c>
      <c r="C851" s="1" t="n">
        <v>45999</v>
      </c>
      <c r="D851" t="inlineStr">
        <is>
          <t>VÄRMLANDS LÄN</t>
        </is>
      </c>
      <c r="E851" t="inlineStr">
        <is>
          <t>ÅRJÄNG</t>
        </is>
      </c>
      <c r="G851" t="n">
        <v>1.7</v>
      </c>
      <c r="H851" t="n">
        <v>0</v>
      </c>
      <c r="I851" t="n">
        <v>0</v>
      </c>
      <c r="J851" t="n">
        <v>0</v>
      </c>
      <c r="K851" t="n">
        <v>0</v>
      </c>
      <c r="L851" t="n">
        <v>0</v>
      </c>
      <c r="M851" t="n">
        <v>0</v>
      </c>
      <c r="N851" t="n">
        <v>0</v>
      </c>
      <c r="O851" t="n">
        <v>0</v>
      </c>
      <c r="P851" t="n">
        <v>0</v>
      </c>
      <c r="Q851" t="n">
        <v>0</v>
      </c>
      <c r="R851" s="2" t="inlineStr"/>
    </row>
    <row r="852" ht="15" customHeight="1">
      <c r="A852" t="inlineStr">
        <is>
          <t>A 23039-2025</t>
        </is>
      </c>
      <c r="B852" s="1" t="n">
        <v>45790</v>
      </c>
      <c r="C852" s="1" t="n">
        <v>45999</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36865-2025</t>
        </is>
      </c>
      <c r="B853" s="1" t="n">
        <v>45874.41655092593</v>
      </c>
      <c r="C853" s="1" t="n">
        <v>45999</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40628-2024</t>
        </is>
      </c>
      <c r="B854" s="1" t="n">
        <v>45557.61668981481</v>
      </c>
      <c r="C854" s="1" t="n">
        <v>45999</v>
      </c>
      <c r="D854" t="inlineStr">
        <is>
          <t>VÄRMLANDS LÄN</t>
        </is>
      </c>
      <c r="E854" t="inlineStr">
        <is>
          <t>ÅRJÄNG</t>
        </is>
      </c>
      <c r="G854" t="n">
        <v>3.3</v>
      </c>
      <c r="H854" t="n">
        <v>0</v>
      </c>
      <c r="I854" t="n">
        <v>0</v>
      </c>
      <c r="J854" t="n">
        <v>0</v>
      </c>
      <c r="K854" t="n">
        <v>0</v>
      </c>
      <c r="L854" t="n">
        <v>0</v>
      </c>
      <c r="M854" t="n">
        <v>0</v>
      </c>
      <c r="N854" t="n">
        <v>0</v>
      </c>
      <c r="O854" t="n">
        <v>0</v>
      </c>
      <c r="P854" t="n">
        <v>0</v>
      </c>
      <c r="Q854" t="n">
        <v>0</v>
      </c>
      <c r="R854" s="2" t="inlineStr"/>
    </row>
    <row r="855" ht="15" customHeight="1">
      <c r="A855" t="inlineStr">
        <is>
          <t>A 22556-2025</t>
        </is>
      </c>
      <c r="B855" s="1" t="n">
        <v>45788.93663194445</v>
      </c>
      <c r="C855" s="1" t="n">
        <v>45999</v>
      </c>
      <c r="D855" t="inlineStr">
        <is>
          <t>VÄRMLANDS LÄN</t>
        </is>
      </c>
      <c r="E855" t="inlineStr">
        <is>
          <t>ÅRJÄNG</t>
        </is>
      </c>
      <c r="G855" t="n">
        <v>1.9</v>
      </c>
      <c r="H855" t="n">
        <v>0</v>
      </c>
      <c r="I855" t="n">
        <v>0</v>
      </c>
      <c r="J855" t="n">
        <v>0</v>
      </c>
      <c r="K855" t="n">
        <v>0</v>
      </c>
      <c r="L855" t="n">
        <v>0</v>
      </c>
      <c r="M855" t="n">
        <v>0</v>
      </c>
      <c r="N855" t="n">
        <v>0</v>
      </c>
      <c r="O855" t="n">
        <v>0</v>
      </c>
      <c r="P855" t="n">
        <v>0</v>
      </c>
      <c r="Q855" t="n">
        <v>0</v>
      </c>
      <c r="R855" s="2" t="inlineStr"/>
    </row>
    <row r="856" ht="15" customHeight="1">
      <c r="A856" t="inlineStr">
        <is>
          <t>A 5106-2023</t>
        </is>
      </c>
      <c r="B856" s="1" t="n">
        <v>44953</v>
      </c>
      <c r="C856" s="1" t="n">
        <v>45999</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4404-2025</t>
        </is>
      </c>
      <c r="B857" s="1" t="n">
        <v>45686</v>
      </c>
      <c r="C857" s="1" t="n">
        <v>45999</v>
      </c>
      <c r="D857" t="inlineStr">
        <is>
          <t>VÄRMLANDS LÄN</t>
        </is>
      </c>
      <c r="E857" t="inlineStr">
        <is>
          <t>ÅRJÄNG</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37026-2024</t>
        </is>
      </c>
      <c r="B858" s="1" t="n">
        <v>45539</v>
      </c>
      <c r="C858" s="1" t="n">
        <v>45999</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11899-2025</t>
        </is>
      </c>
      <c r="B859" s="1" t="n">
        <v>45728</v>
      </c>
      <c r="C859" s="1" t="n">
        <v>45999</v>
      </c>
      <c r="D859" t="inlineStr">
        <is>
          <t>VÄRMLANDS LÄN</t>
        </is>
      </c>
      <c r="E859" t="inlineStr">
        <is>
          <t>ÅRJÄNG</t>
        </is>
      </c>
      <c r="G859" t="n">
        <v>3.9</v>
      </c>
      <c r="H859" t="n">
        <v>0</v>
      </c>
      <c r="I859" t="n">
        <v>0</v>
      </c>
      <c r="J859" t="n">
        <v>0</v>
      </c>
      <c r="K859" t="n">
        <v>0</v>
      </c>
      <c r="L859" t="n">
        <v>0</v>
      </c>
      <c r="M859" t="n">
        <v>0</v>
      </c>
      <c r="N859" t="n">
        <v>0</v>
      </c>
      <c r="O859" t="n">
        <v>0</v>
      </c>
      <c r="P859" t="n">
        <v>0</v>
      </c>
      <c r="Q859" t="n">
        <v>0</v>
      </c>
      <c r="R859" s="2" t="inlineStr"/>
    </row>
    <row r="860" ht="15" customHeight="1">
      <c r="A860" t="inlineStr">
        <is>
          <t>A 22635-2025</t>
        </is>
      </c>
      <c r="B860" s="1" t="n">
        <v>45789</v>
      </c>
      <c r="C860" s="1" t="n">
        <v>45999</v>
      </c>
      <c r="D860" t="inlineStr">
        <is>
          <t>VÄRMLANDS LÄN</t>
        </is>
      </c>
      <c r="E860" t="inlineStr">
        <is>
          <t>ÅRJÄNG</t>
        </is>
      </c>
      <c r="G860" t="n">
        <v>5.2</v>
      </c>
      <c r="H860" t="n">
        <v>0</v>
      </c>
      <c r="I860" t="n">
        <v>0</v>
      </c>
      <c r="J860" t="n">
        <v>0</v>
      </c>
      <c r="K860" t="n">
        <v>0</v>
      </c>
      <c r="L860" t="n">
        <v>0</v>
      </c>
      <c r="M860" t="n">
        <v>0</v>
      </c>
      <c r="N860" t="n">
        <v>0</v>
      </c>
      <c r="O860" t="n">
        <v>0</v>
      </c>
      <c r="P860" t="n">
        <v>0</v>
      </c>
      <c r="Q860" t="n">
        <v>0</v>
      </c>
      <c r="R860" s="2" t="inlineStr"/>
    </row>
    <row r="861" ht="15" customHeight="1">
      <c r="A861" t="inlineStr">
        <is>
          <t>A 37247-2025</t>
        </is>
      </c>
      <c r="B861" s="1" t="n">
        <v>45876.40268518519</v>
      </c>
      <c r="C861" s="1" t="n">
        <v>45999</v>
      </c>
      <c r="D861" t="inlineStr">
        <is>
          <t>VÄRMLANDS LÄN</t>
        </is>
      </c>
      <c r="E861" t="inlineStr">
        <is>
          <t>ÅRJÄNG</t>
        </is>
      </c>
      <c r="G861" t="n">
        <v>2.7</v>
      </c>
      <c r="H861" t="n">
        <v>0</v>
      </c>
      <c r="I861" t="n">
        <v>0</v>
      </c>
      <c r="J861" t="n">
        <v>0</v>
      </c>
      <c r="K861" t="n">
        <v>0</v>
      </c>
      <c r="L861" t="n">
        <v>0</v>
      </c>
      <c r="M861" t="n">
        <v>0</v>
      </c>
      <c r="N861" t="n">
        <v>0</v>
      </c>
      <c r="O861" t="n">
        <v>0</v>
      </c>
      <c r="P861" t="n">
        <v>0</v>
      </c>
      <c r="Q861" t="n">
        <v>0</v>
      </c>
      <c r="R861" s="2" t="inlineStr"/>
    </row>
    <row r="862" ht="15" customHeight="1">
      <c r="A862" t="inlineStr">
        <is>
          <t>A 37071-2025</t>
        </is>
      </c>
      <c r="B862" s="1" t="n">
        <v>45875.40101851852</v>
      </c>
      <c r="C862" s="1" t="n">
        <v>45999</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15951-2025</t>
        </is>
      </c>
      <c r="B863" s="1" t="n">
        <v>45749</v>
      </c>
      <c r="C863" s="1" t="n">
        <v>45999</v>
      </c>
      <c r="D863" t="inlineStr">
        <is>
          <t>VÄRMLANDS LÄN</t>
        </is>
      </c>
      <c r="E863" t="inlineStr">
        <is>
          <t>ÅRJÄNG</t>
        </is>
      </c>
      <c r="F863" t="inlineStr">
        <is>
          <t>Bergvik skog väst AB</t>
        </is>
      </c>
      <c r="G863" t="n">
        <v>5.1</v>
      </c>
      <c r="H863" t="n">
        <v>0</v>
      </c>
      <c r="I863" t="n">
        <v>0</v>
      </c>
      <c r="J863" t="n">
        <v>0</v>
      </c>
      <c r="K863" t="n">
        <v>0</v>
      </c>
      <c r="L863" t="n">
        <v>0</v>
      </c>
      <c r="M863" t="n">
        <v>0</v>
      </c>
      <c r="N863" t="n">
        <v>0</v>
      </c>
      <c r="O863" t="n">
        <v>0</v>
      </c>
      <c r="P863" t="n">
        <v>0</v>
      </c>
      <c r="Q863" t="n">
        <v>0</v>
      </c>
      <c r="R863" s="2" t="inlineStr"/>
    </row>
    <row r="864" ht="15" customHeight="1">
      <c r="A864" t="inlineStr">
        <is>
          <t>A 14710-2025</t>
        </is>
      </c>
      <c r="B864" s="1" t="n">
        <v>45742.60868055555</v>
      </c>
      <c r="C864" s="1" t="n">
        <v>45999</v>
      </c>
      <c r="D864" t="inlineStr">
        <is>
          <t>VÄRMLANDS LÄN</t>
        </is>
      </c>
      <c r="E864" t="inlineStr">
        <is>
          <t>ÅRJÄNG</t>
        </is>
      </c>
      <c r="G864" t="n">
        <v>1.2</v>
      </c>
      <c r="H864" t="n">
        <v>0</v>
      </c>
      <c r="I864" t="n">
        <v>0</v>
      </c>
      <c r="J864" t="n">
        <v>0</v>
      </c>
      <c r="K864" t="n">
        <v>0</v>
      </c>
      <c r="L864" t="n">
        <v>0</v>
      </c>
      <c r="M864" t="n">
        <v>0</v>
      </c>
      <c r="N864" t="n">
        <v>0</v>
      </c>
      <c r="O864" t="n">
        <v>0</v>
      </c>
      <c r="P864" t="n">
        <v>0</v>
      </c>
      <c r="Q864" t="n">
        <v>0</v>
      </c>
      <c r="R864" s="2" t="inlineStr"/>
    </row>
    <row r="865" ht="15" customHeight="1">
      <c r="A865" t="inlineStr">
        <is>
          <t>A 15248-2025</t>
        </is>
      </c>
      <c r="B865" s="1" t="n">
        <v>45744</v>
      </c>
      <c r="C865" s="1" t="n">
        <v>45999</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28115-2025</t>
        </is>
      </c>
      <c r="B866" s="1" t="n">
        <v>45818</v>
      </c>
      <c r="C866" s="1" t="n">
        <v>45999</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8818-2022</t>
        </is>
      </c>
      <c r="B867" s="1" t="n">
        <v>44614.45849537037</v>
      </c>
      <c r="C867" s="1" t="n">
        <v>45999</v>
      </c>
      <c r="D867" t="inlineStr">
        <is>
          <t>VÄRMLANDS LÄN</t>
        </is>
      </c>
      <c r="E867" t="inlineStr">
        <is>
          <t>ÅRJÄNG</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37419-2025</t>
        </is>
      </c>
      <c r="B868" s="1" t="n">
        <v>45877</v>
      </c>
      <c r="C868" s="1" t="n">
        <v>45999</v>
      </c>
      <c r="D868" t="inlineStr">
        <is>
          <t>VÄRMLANDS LÄN</t>
        </is>
      </c>
      <c r="E868" t="inlineStr">
        <is>
          <t>ÅRJÄNG</t>
        </is>
      </c>
      <c r="G868" t="n">
        <v>4.9</v>
      </c>
      <c r="H868" t="n">
        <v>0</v>
      </c>
      <c r="I868" t="n">
        <v>0</v>
      </c>
      <c r="J868" t="n">
        <v>0</v>
      </c>
      <c r="K868" t="n">
        <v>0</v>
      </c>
      <c r="L868" t="n">
        <v>0</v>
      </c>
      <c r="M868" t="n">
        <v>0</v>
      </c>
      <c r="N868" t="n">
        <v>0</v>
      </c>
      <c r="O868" t="n">
        <v>0</v>
      </c>
      <c r="P868" t="n">
        <v>0</v>
      </c>
      <c r="Q868" t="n">
        <v>0</v>
      </c>
      <c r="R868" s="2" t="inlineStr"/>
    </row>
    <row r="869" ht="15" customHeight="1">
      <c r="A869" t="inlineStr">
        <is>
          <t>A 42233-2024</t>
        </is>
      </c>
      <c r="B869" s="1" t="n">
        <v>45562</v>
      </c>
      <c r="C869" s="1" t="n">
        <v>45999</v>
      </c>
      <c r="D869" t="inlineStr">
        <is>
          <t>VÄRMLANDS LÄN</t>
        </is>
      </c>
      <c r="E869" t="inlineStr">
        <is>
          <t>ÅRJÄNG</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22727-2025</t>
        </is>
      </c>
      <c r="B870" s="1" t="n">
        <v>45789.5744212963</v>
      </c>
      <c r="C870" s="1" t="n">
        <v>45999</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37484-2025</t>
        </is>
      </c>
      <c r="B871" s="1" t="n">
        <v>45877</v>
      </c>
      <c r="C871" s="1" t="n">
        <v>45999</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37507-2025</t>
        </is>
      </c>
      <c r="B872" s="1" t="n">
        <v>45877</v>
      </c>
      <c r="C872" s="1" t="n">
        <v>45999</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19850-2025</t>
        </is>
      </c>
      <c r="B873" s="1" t="n">
        <v>45771</v>
      </c>
      <c r="C873" s="1" t="n">
        <v>45999</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37402-2025</t>
        </is>
      </c>
      <c r="B874" s="1" t="n">
        <v>45877</v>
      </c>
      <c r="C874" s="1" t="n">
        <v>45999</v>
      </c>
      <c r="D874" t="inlineStr">
        <is>
          <t>VÄRMLANDS LÄN</t>
        </is>
      </c>
      <c r="E874" t="inlineStr">
        <is>
          <t>ÅRJÄNG</t>
        </is>
      </c>
      <c r="G874" t="n">
        <v>2.5</v>
      </c>
      <c r="H874" t="n">
        <v>0</v>
      </c>
      <c r="I874" t="n">
        <v>0</v>
      </c>
      <c r="J874" t="n">
        <v>0</v>
      </c>
      <c r="K874" t="n">
        <v>0</v>
      </c>
      <c r="L874" t="n">
        <v>0</v>
      </c>
      <c r="M874" t="n">
        <v>0</v>
      </c>
      <c r="N874" t="n">
        <v>0</v>
      </c>
      <c r="O874" t="n">
        <v>0</v>
      </c>
      <c r="P874" t="n">
        <v>0</v>
      </c>
      <c r="Q874" t="n">
        <v>0</v>
      </c>
      <c r="R874" s="2" t="inlineStr"/>
    </row>
    <row r="875" ht="15" customHeight="1">
      <c r="A875" t="inlineStr">
        <is>
          <t>A 34181-2024</t>
        </is>
      </c>
      <c r="B875" s="1" t="n">
        <v>45524</v>
      </c>
      <c r="C875" s="1" t="n">
        <v>45999</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34184-2024</t>
        </is>
      </c>
      <c r="B876" s="1" t="n">
        <v>45524</v>
      </c>
      <c r="C876" s="1" t="n">
        <v>45999</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424-2025</t>
        </is>
      </c>
      <c r="B877" s="1" t="n">
        <v>45664</v>
      </c>
      <c r="C877" s="1" t="n">
        <v>45999</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43659-2024</t>
        </is>
      </c>
      <c r="B878" s="1" t="n">
        <v>45569</v>
      </c>
      <c r="C878" s="1" t="n">
        <v>45999</v>
      </c>
      <c r="D878" t="inlineStr">
        <is>
          <t>VÄRMLANDS LÄN</t>
        </is>
      </c>
      <c r="E878" t="inlineStr">
        <is>
          <t>ÅRJÄNG</t>
        </is>
      </c>
      <c r="G878" t="n">
        <v>6</v>
      </c>
      <c r="H878" t="n">
        <v>0</v>
      </c>
      <c r="I878" t="n">
        <v>0</v>
      </c>
      <c r="J878" t="n">
        <v>0</v>
      </c>
      <c r="K878" t="n">
        <v>0</v>
      </c>
      <c r="L878" t="n">
        <v>0</v>
      </c>
      <c r="M878" t="n">
        <v>0</v>
      </c>
      <c r="N878" t="n">
        <v>0</v>
      </c>
      <c r="O878" t="n">
        <v>0</v>
      </c>
      <c r="P878" t="n">
        <v>0</v>
      </c>
      <c r="Q878" t="n">
        <v>0</v>
      </c>
      <c r="R878" s="2" t="inlineStr"/>
    </row>
    <row r="879" ht="15" customHeight="1">
      <c r="A879" t="inlineStr">
        <is>
          <t>A 37416-2025</t>
        </is>
      </c>
      <c r="B879" s="1" t="n">
        <v>45877</v>
      </c>
      <c r="C879" s="1" t="n">
        <v>45999</v>
      </c>
      <c r="D879" t="inlineStr">
        <is>
          <t>VÄRMLANDS LÄN</t>
        </is>
      </c>
      <c r="E879" t="inlineStr">
        <is>
          <t>ÅRJÄNG</t>
        </is>
      </c>
      <c r="G879" t="n">
        <v>3.8</v>
      </c>
      <c r="H879" t="n">
        <v>0</v>
      </c>
      <c r="I879" t="n">
        <v>0</v>
      </c>
      <c r="J879" t="n">
        <v>0</v>
      </c>
      <c r="K879" t="n">
        <v>0</v>
      </c>
      <c r="L879" t="n">
        <v>0</v>
      </c>
      <c r="M879" t="n">
        <v>0</v>
      </c>
      <c r="N879" t="n">
        <v>0</v>
      </c>
      <c r="O879" t="n">
        <v>0</v>
      </c>
      <c r="P879" t="n">
        <v>0</v>
      </c>
      <c r="Q879" t="n">
        <v>0</v>
      </c>
      <c r="R879" s="2" t="inlineStr"/>
    </row>
    <row r="880" ht="15" customHeight="1">
      <c r="A880" t="inlineStr">
        <is>
          <t>A 19877-2025</t>
        </is>
      </c>
      <c r="B880" s="1" t="n">
        <v>45771.55351851852</v>
      </c>
      <c r="C880" s="1" t="n">
        <v>45999</v>
      </c>
      <c r="D880" t="inlineStr">
        <is>
          <t>VÄRMLANDS LÄN</t>
        </is>
      </c>
      <c r="E880" t="inlineStr">
        <is>
          <t>ÅRJÄNG</t>
        </is>
      </c>
      <c r="G880" t="n">
        <v>6.3</v>
      </c>
      <c r="H880" t="n">
        <v>0</v>
      </c>
      <c r="I880" t="n">
        <v>0</v>
      </c>
      <c r="J880" t="n">
        <v>0</v>
      </c>
      <c r="K880" t="n">
        <v>0</v>
      </c>
      <c r="L880" t="n">
        <v>0</v>
      </c>
      <c r="M880" t="n">
        <v>0</v>
      </c>
      <c r="N880" t="n">
        <v>0</v>
      </c>
      <c r="O880" t="n">
        <v>0</v>
      </c>
      <c r="P880" t="n">
        <v>0</v>
      </c>
      <c r="Q880" t="n">
        <v>0</v>
      </c>
      <c r="R880" s="2" t="inlineStr"/>
    </row>
    <row r="881" ht="15" customHeight="1">
      <c r="A881" t="inlineStr">
        <is>
          <t>A 40447-2022</t>
        </is>
      </c>
      <c r="B881" s="1" t="n">
        <v>44823</v>
      </c>
      <c r="C881" s="1" t="n">
        <v>45999</v>
      </c>
      <c r="D881" t="inlineStr">
        <is>
          <t>VÄRMLANDS LÄN</t>
        </is>
      </c>
      <c r="E881" t="inlineStr">
        <is>
          <t>ÅRJÄNG</t>
        </is>
      </c>
      <c r="G881" t="n">
        <v>10.4</v>
      </c>
      <c r="H881" t="n">
        <v>0</v>
      </c>
      <c r="I881" t="n">
        <v>0</v>
      </c>
      <c r="J881" t="n">
        <v>0</v>
      </c>
      <c r="K881" t="n">
        <v>0</v>
      </c>
      <c r="L881" t="n">
        <v>0</v>
      </c>
      <c r="M881" t="n">
        <v>0</v>
      </c>
      <c r="N881" t="n">
        <v>0</v>
      </c>
      <c r="O881" t="n">
        <v>0</v>
      </c>
      <c r="P881" t="n">
        <v>0</v>
      </c>
      <c r="Q881" t="n">
        <v>0</v>
      </c>
      <c r="R881" s="2" t="inlineStr"/>
    </row>
    <row r="882" ht="15" customHeight="1">
      <c r="A882" t="inlineStr">
        <is>
          <t>A 37662-2025</t>
        </is>
      </c>
      <c r="B882" s="1" t="n">
        <v>45880</v>
      </c>
      <c r="C882" s="1" t="n">
        <v>45999</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37418-2025</t>
        </is>
      </c>
      <c r="B883" s="1" t="n">
        <v>45877</v>
      </c>
      <c r="C883" s="1" t="n">
        <v>45999</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37420-2025</t>
        </is>
      </c>
      <c r="B884" s="1" t="n">
        <v>45877</v>
      </c>
      <c r="C884" s="1" t="n">
        <v>45999</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37680-2025</t>
        </is>
      </c>
      <c r="B885" s="1" t="n">
        <v>45880.54208333333</v>
      </c>
      <c r="C885" s="1" t="n">
        <v>45999</v>
      </c>
      <c r="D885" t="inlineStr">
        <is>
          <t>VÄRMLANDS LÄN</t>
        </is>
      </c>
      <c r="E885" t="inlineStr">
        <is>
          <t>ÅRJÄNG</t>
        </is>
      </c>
      <c r="G885" t="n">
        <v>2</v>
      </c>
      <c r="H885" t="n">
        <v>0</v>
      </c>
      <c r="I885" t="n">
        <v>0</v>
      </c>
      <c r="J885" t="n">
        <v>0</v>
      </c>
      <c r="K885" t="n">
        <v>0</v>
      </c>
      <c r="L885" t="n">
        <v>0</v>
      </c>
      <c r="M885" t="n">
        <v>0</v>
      </c>
      <c r="N885" t="n">
        <v>0</v>
      </c>
      <c r="O885" t="n">
        <v>0</v>
      </c>
      <c r="P885" t="n">
        <v>0</v>
      </c>
      <c r="Q885" t="n">
        <v>0</v>
      </c>
      <c r="R885" s="2" t="inlineStr"/>
    </row>
    <row r="886" ht="15" customHeight="1">
      <c r="A886" t="inlineStr">
        <is>
          <t>A 6559-2025</t>
        </is>
      </c>
      <c r="B886" s="1" t="n">
        <v>45699.73678240741</v>
      </c>
      <c r="C886" s="1" t="n">
        <v>45999</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37681-2025</t>
        </is>
      </c>
      <c r="B887" s="1" t="n">
        <v>45880</v>
      </c>
      <c r="C887" s="1" t="n">
        <v>45999</v>
      </c>
      <c r="D887" t="inlineStr">
        <is>
          <t>VÄRMLANDS LÄN</t>
        </is>
      </c>
      <c r="E887" t="inlineStr">
        <is>
          <t>ÅRJÄNG</t>
        </is>
      </c>
      <c r="G887" t="n">
        <v>1.9</v>
      </c>
      <c r="H887" t="n">
        <v>0</v>
      </c>
      <c r="I887" t="n">
        <v>0</v>
      </c>
      <c r="J887" t="n">
        <v>0</v>
      </c>
      <c r="K887" t="n">
        <v>0</v>
      </c>
      <c r="L887" t="n">
        <v>0</v>
      </c>
      <c r="M887" t="n">
        <v>0</v>
      </c>
      <c r="N887" t="n">
        <v>0</v>
      </c>
      <c r="O887" t="n">
        <v>0</v>
      </c>
      <c r="P887" t="n">
        <v>0</v>
      </c>
      <c r="Q887" t="n">
        <v>0</v>
      </c>
      <c r="R887" s="2" t="inlineStr"/>
    </row>
    <row r="888" ht="15" customHeight="1">
      <c r="A888" t="inlineStr">
        <is>
          <t>A 37555-2025</t>
        </is>
      </c>
      <c r="B888" s="1" t="n">
        <v>45880</v>
      </c>
      <c r="C888" s="1" t="n">
        <v>45999</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28314-2025</t>
        </is>
      </c>
      <c r="B889" s="1" t="n">
        <v>45818.62592592592</v>
      </c>
      <c r="C889" s="1" t="n">
        <v>45999</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37655-2025</t>
        </is>
      </c>
      <c r="B890" s="1" t="n">
        <v>45880</v>
      </c>
      <c r="C890" s="1" t="n">
        <v>45999</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37510-2025</t>
        </is>
      </c>
      <c r="B891" s="1" t="n">
        <v>45877</v>
      </c>
      <c r="C891" s="1" t="n">
        <v>45999</v>
      </c>
      <c r="D891" t="inlineStr">
        <is>
          <t>VÄRMLANDS LÄN</t>
        </is>
      </c>
      <c r="E891" t="inlineStr">
        <is>
          <t>ÅRJÄNG</t>
        </is>
      </c>
      <c r="G891" t="n">
        <v>10.4</v>
      </c>
      <c r="H891" t="n">
        <v>0</v>
      </c>
      <c r="I891" t="n">
        <v>0</v>
      </c>
      <c r="J891" t="n">
        <v>0</v>
      </c>
      <c r="K891" t="n">
        <v>0</v>
      </c>
      <c r="L891" t="n">
        <v>0</v>
      </c>
      <c r="M891" t="n">
        <v>0</v>
      </c>
      <c r="N891" t="n">
        <v>0</v>
      </c>
      <c r="O891" t="n">
        <v>0</v>
      </c>
      <c r="P891" t="n">
        <v>0</v>
      </c>
      <c r="Q891" t="n">
        <v>0</v>
      </c>
      <c r="R891" s="2" t="inlineStr"/>
    </row>
    <row r="892" ht="15" customHeight="1">
      <c r="A892" t="inlineStr">
        <is>
          <t>A 39094-2025</t>
        </is>
      </c>
      <c r="B892" s="1" t="n">
        <v>45888.4933912037</v>
      </c>
      <c r="C892" s="1" t="n">
        <v>45999</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39096-2025</t>
        </is>
      </c>
      <c r="B893" s="1" t="n">
        <v>45888.50145833333</v>
      </c>
      <c r="C893" s="1" t="n">
        <v>45999</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39079-2025</t>
        </is>
      </c>
      <c r="B894" s="1" t="n">
        <v>45888.48422453704</v>
      </c>
      <c r="C894" s="1" t="n">
        <v>45999</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38867-2025</t>
        </is>
      </c>
      <c r="B895" s="1" t="n">
        <v>45887</v>
      </c>
      <c r="C895" s="1" t="n">
        <v>45999</v>
      </c>
      <c r="D895" t="inlineStr">
        <is>
          <t>VÄRMLANDS LÄN</t>
        </is>
      </c>
      <c r="E895" t="inlineStr">
        <is>
          <t>ÅRJÄNG</t>
        </is>
      </c>
      <c r="G895" t="n">
        <v>5.7</v>
      </c>
      <c r="H895" t="n">
        <v>0</v>
      </c>
      <c r="I895" t="n">
        <v>0</v>
      </c>
      <c r="J895" t="n">
        <v>0</v>
      </c>
      <c r="K895" t="n">
        <v>0</v>
      </c>
      <c r="L895" t="n">
        <v>0</v>
      </c>
      <c r="M895" t="n">
        <v>0</v>
      </c>
      <c r="N895" t="n">
        <v>0</v>
      </c>
      <c r="O895" t="n">
        <v>0</v>
      </c>
      <c r="P895" t="n">
        <v>0</v>
      </c>
      <c r="Q895" t="n">
        <v>0</v>
      </c>
      <c r="R895" s="2" t="inlineStr"/>
    </row>
    <row r="896" ht="15" customHeight="1">
      <c r="A896" t="inlineStr">
        <is>
          <t>A 38742-2025</t>
        </is>
      </c>
      <c r="B896" s="1" t="n">
        <v>45887.37425925926</v>
      </c>
      <c r="C896" s="1" t="n">
        <v>45999</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26781-2025</t>
        </is>
      </c>
      <c r="B897" s="1" t="n">
        <v>45810.58258101852</v>
      </c>
      <c r="C897" s="1" t="n">
        <v>45999</v>
      </c>
      <c r="D897" t="inlineStr">
        <is>
          <t>VÄRMLANDS LÄN</t>
        </is>
      </c>
      <c r="E897" t="inlineStr">
        <is>
          <t>ÅRJÄNG</t>
        </is>
      </c>
      <c r="G897" t="n">
        <v>4.2</v>
      </c>
      <c r="H897" t="n">
        <v>0</v>
      </c>
      <c r="I897" t="n">
        <v>0</v>
      </c>
      <c r="J897" t="n">
        <v>0</v>
      </c>
      <c r="K897" t="n">
        <v>0</v>
      </c>
      <c r="L897" t="n">
        <v>0</v>
      </c>
      <c r="M897" t="n">
        <v>0</v>
      </c>
      <c r="N897" t="n">
        <v>0</v>
      </c>
      <c r="O897" t="n">
        <v>0</v>
      </c>
      <c r="P897" t="n">
        <v>0</v>
      </c>
      <c r="Q897" t="n">
        <v>0</v>
      </c>
      <c r="R897" s="2" t="inlineStr"/>
    </row>
    <row r="898" ht="15" customHeight="1">
      <c r="A898" t="inlineStr">
        <is>
          <t>A 56030-2024</t>
        </is>
      </c>
      <c r="B898" s="1" t="n">
        <v>45624.31178240741</v>
      </c>
      <c r="C898" s="1" t="n">
        <v>45999</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65844-2021</t>
        </is>
      </c>
      <c r="B899" s="1" t="n">
        <v>44517.36067129629</v>
      </c>
      <c r="C899" s="1" t="n">
        <v>45999</v>
      </c>
      <c r="D899" t="inlineStr">
        <is>
          <t>VÄRMLANDS LÄN</t>
        </is>
      </c>
      <c r="E899" t="inlineStr">
        <is>
          <t>ÅRJÄNG</t>
        </is>
      </c>
      <c r="G899" t="n">
        <v>4.6</v>
      </c>
      <c r="H899" t="n">
        <v>0</v>
      </c>
      <c r="I899" t="n">
        <v>0</v>
      </c>
      <c r="J899" t="n">
        <v>0</v>
      </c>
      <c r="K899" t="n">
        <v>0</v>
      </c>
      <c r="L899" t="n">
        <v>0</v>
      </c>
      <c r="M899" t="n">
        <v>0</v>
      </c>
      <c r="N899" t="n">
        <v>0</v>
      </c>
      <c r="O899" t="n">
        <v>0</v>
      </c>
      <c r="P899" t="n">
        <v>0</v>
      </c>
      <c r="Q899" t="n">
        <v>0</v>
      </c>
      <c r="R899" s="2" t="inlineStr"/>
    </row>
    <row r="900" ht="15" customHeight="1">
      <c r="A900" t="inlineStr">
        <is>
          <t>A 53929-2025</t>
        </is>
      </c>
      <c r="B900" s="1" t="n">
        <v>45961</v>
      </c>
      <c r="C900" s="1" t="n">
        <v>45999</v>
      </c>
      <c r="D900" t="inlineStr">
        <is>
          <t>VÄRMLANDS LÄN</t>
        </is>
      </c>
      <c r="E900" t="inlineStr">
        <is>
          <t>ÅRJÄNG</t>
        </is>
      </c>
      <c r="F900" t="inlineStr">
        <is>
          <t>Bergvik skog väst AB</t>
        </is>
      </c>
      <c r="G900" t="n">
        <v>34.3</v>
      </c>
      <c r="H900" t="n">
        <v>0</v>
      </c>
      <c r="I900" t="n">
        <v>0</v>
      </c>
      <c r="J900" t="n">
        <v>0</v>
      </c>
      <c r="K900" t="n">
        <v>0</v>
      </c>
      <c r="L900" t="n">
        <v>0</v>
      </c>
      <c r="M900" t="n">
        <v>0</v>
      </c>
      <c r="N900" t="n">
        <v>0</v>
      </c>
      <c r="O900" t="n">
        <v>0</v>
      </c>
      <c r="P900" t="n">
        <v>0</v>
      </c>
      <c r="Q900" t="n">
        <v>0</v>
      </c>
      <c r="R900" s="2" t="inlineStr"/>
    </row>
    <row r="901" ht="15" customHeight="1">
      <c r="A901" t="inlineStr">
        <is>
          <t>A 55534-2025</t>
        </is>
      </c>
      <c r="B901" s="1" t="n">
        <v>45971.63193287037</v>
      </c>
      <c r="C901" s="1" t="n">
        <v>45999</v>
      </c>
      <c r="D901" t="inlineStr">
        <is>
          <t>VÄRMLANDS LÄN</t>
        </is>
      </c>
      <c r="E901" t="inlineStr">
        <is>
          <t>ÅRJÄNG</t>
        </is>
      </c>
      <c r="G901" t="n">
        <v>4.7</v>
      </c>
      <c r="H901" t="n">
        <v>0</v>
      </c>
      <c r="I901" t="n">
        <v>0</v>
      </c>
      <c r="J901" t="n">
        <v>0</v>
      </c>
      <c r="K901" t="n">
        <v>0</v>
      </c>
      <c r="L901" t="n">
        <v>0</v>
      </c>
      <c r="M901" t="n">
        <v>0</v>
      </c>
      <c r="N901" t="n">
        <v>0</v>
      </c>
      <c r="O901" t="n">
        <v>0</v>
      </c>
      <c r="P901" t="n">
        <v>0</v>
      </c>
      <c r="Q901" t="n">
        <v>0</v>
      </c>
      <c r="R901" s="2" t="inlineStr"/>
    </row>
    <row r="902" ht="15" customHeight="1">
      <c r="A902" t="inlineStr">
        <is>
          <t>A 36862-2025</t>
        </is>
      </c>
      <c r="B902" s="1" t="n">
        <v>45874</v>
      </c>
      <c r="C902" s="1" t="n">
        <v>45999</v>
      </c>
      <c r="D902" t="inlineStr">
        <is>
          <t>VÄRMLANDS LÄN</t>
        </is>
      </c>
      <c r="E902" t="inlineStr">
        <is>
          <t>ÅRJÄNG</t>
        </is>
      </c>
      <c r="G902" t="n">
        <v>0.9</v>
      </c>
      <c r="H902" t="n">
        <v>0</v>
      </c>
      <c r="I902" t="n">
        <v>0</v>
      </c>
      <c r="J902" t="n">
        <v>0</v>
      </c>
      <c r="K902" t="n">
        <v>0</v>
      </c>
      <c r="L902" t="n">
        <v>0</v>
      </c>
      <c r="M902" t="n">
        <v>0</v>
      </c>
      <c r="N902" t="n">
        <v>0</v>
      </c>
      <c r="O902" t="n">
        <v>0</v>
      </c>
      <c r="P902" t="n">
        <v>0</v>
      </c>
      <c r="Q902" t="n">
        <v>0</v>
      </c>
      <c r="R902" s="2" t="inlineStr"/>
    </row>
    <row r="903" ht="15" customHeight="1">
      <c r="A903" t="inlineStr">
        <is>
          <t>A 9425-2025</t>
        </is>
      </c>
      <c r="B903" s="1" t="n">
        <v>45715.40350694444</v>
      </c>
      <c r="C903" s="1" t="n">
        <v>45999</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55285-2025</t>
        </is>
      </c>
      <c r="B904" s="1" t="n">
        <v>45968.84447916667</v>
      </c>
      <c r="C904" s="1" t="n">
        <v>45999</v>
      </c>
      <c r="D904" t="inlineStr">
        <is>
          <t>VÄRMLANDS LÄN</t>
        </is>
      </c>
      <c r="E904" t="inlineStr">
        <is>
          <t>ÅRJÄNG</t>
        </is>
      </c>
      <c r="G904" t="n">
        <v>2</v>
      </c>
      <c r="H904" t="n">
        <v>0</v>
      </c>
      <c r="I904" t="n">
        <v>0</v>
      </c>
      <c r="J904" t="n">
        <v>0</v>
      </c>
      <c r="K904" t="n">
        <v>0</v>
      </c>
      <c r="L904" t="n">
        <v>0</v>
      </c>
      <c r="M904" t="n">
        <v>0</v>
      </c>
      <c r="N904" t="n">
        <v>0</v>
      </c>
      <c r="O904" t="n">
        <v>0</v>
      </c>
      <c r="P904" t="n">
        <v>0</v>
      </c>
      <c r="Q904" t="n">
        <v>0</v>
      </c>
      <c r="R904" s="2" t="inlineStr"/>
    </row>
    <row r="905" ht="15" customHeight="1">
      <c r="A905" t="inlineStr">
        <is>
          <t>A 39369-2025</t>
        </is>
      </c>
      <c r="B905" s="1" t="n">
        <v>45889.57848379629</v>
      </c>
      <c r="C905" s="1" t="n">
        <v>45999</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39578-2025</t>
        </is>
      </c>
      <c r="B906" s="1" t="n">
        <v>45890.49292824074</v>
      </c>
      <c r="C906" s="1" t="n">
        <v>45999</v>
      </c>
      <c r="D906" t="inlineStr">
        <is>
          <t>VÄRMLANDS LÄN</t>
        </is>
      </c>
      <c r="E906" t="inlineStr">
        <is>
          <t>ÅRJÄNG</t>
        </is>
      </c>
      <c r="G906" t="n">
        <v>5.5</v>
      </c>
      <c r="H906" t="n">
        <v>0</v>
      </c>
      <c r="I906" t="n">
        <v>0</v>
      </c>
      <c r="J906" t="n">
        <v>0</v>
      </c>
      <c r="K906" t="n">
        <v>0</v>
      </c>
      <c r="L906" t="n">
        <v>0</v>
      </c>
      <c r="M906" t="n">
        <v>0</v>
      </c>
      <c r="N906" t="n">
        <v>0</v>
      </c>
      <c r="O906" t="n">
        <v>0</v>
      </c>
      <c r="P906" t="n">
        <v>0</v>
      </c>
      <c r="Q906" t="n">
        <v>0</v>
      </c>
      <c r="R906" s="2" t="inlineStr"/>
    </row>
    <row r="907" ht="15" customHeight="1">
      <c r="A907" t="inlineStr">
        <is>
          <t>A 47225-2025</t>
        </is>
      </c>
      <c r="B907" s="1" t="n">
        <v>45930.39145833333</v>
      </c>
      <c r="C907" s="1" t="n">
        <v>45999</v>
      </c>
      <c r="D907" t="inlineStr">
        <is>
          <t>VÄRMLANDS LÄN</t>
        </is>
      </c>
      <c r="E907" t="inlineStr">
        <is>
          <t>ÅRJÄNG</t>
        </is>
      </c>
      <c r="G907" t="n">
        <v>1.9</v>
      </c>
      <c r="H907" t="n">
        <v>0</v>
      </c>
      <c r="I907" t="n">
        <v>0</v>
      </c>
      <c r="J907" t="n">
        <v>0</v>
      </c>
      <c r="K907" t="n">
        <v>0</v>
      </c>
      <c r="L907" t="n">
        <v>0</v>
      </c>
      <c r="M907" t="n">
        <v>0</v>
      </c>
      <c r="N907" t="n">
        <v>0</v>
      </c>
      <c r="O907" t="n">
        <v>0</v>
      </c>
      <c r="P907" t="n">
        <v>0</v>
      </c>
      <c r="Q907" t="n">
        <v>0</v>
      </c>
      <c r="R907" s="2" t="inlineStr"/>
    </row>
    <row r="908" ht="15" customHeight="1">
      <c r="A908" t="inlineStr">
        <is>
          <t>A 47426-2025</t>
        </is>
      </c>
      <c r="B908" s="1" t="n">
        <v>45930.63482638889</v>
      </c>
      <c r="C908" s="1" t="n">
        <v>45999</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47211-2025</t>
        </is>
      </c>
      <c r="B909" s="1" t="n">
        <v>45930.3815625</v>
      </c>
      <c r="C909" s="1" t="n">
        <v>45999</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40232-2025</t>
        </is>
      </c>
      <c r="B910" s="1" t="n">
        <v>45894.7147800926</v>
      </c>
      <c r="C910" s="1" t="n">
        <v>45999</v>
      </c>
      <c r="D910" t="inlineStr">
        <is>
          <t>VÄRMLANDS LÄN</t>
        </is>
      </c>
      <c r="E910" t="inlineStr">
        <is>
          <t>ÅRJÄNG</t>
        </is>
      </c>
      <c r="F910" t="inlineStr">
        <is>
          <t>Bergvik skog väst AB</t>
        </is>
      </c>
      <c r="G910" t="n">
        <v>1</v>
      </c>
      <c r="H910" t="n">
        <v>0</v>
      </c>
      <c r="I910" t="n">
        <v>0</v>
      </c>
      <c r="J910" t="n">
        <v>0</v>
      </c>
      <c r="K910" t="n">
        <v>0</v>
      </c>
      <c r="L910" t="n">
        <v>0</v>
      </c>
      <c r="M910" t="n">
        <v>0</v>
      </c>
      <c r="N910" t="n">
        <v>0</v>
      </c>
      <c r="O910" t="n">
        <v>0</v>
      </c>
      <c r="P910" t="n">
        <v>0</v>
      </c>
      <c r="Q910" t="n">
        <v>0</v>
      </c>
      <c r="R910" s="2" t="inlineStr"/>
    </row>
    <row r="911" ht="15" customHeight="1">
      <c r="A911" t="inlineStr">
        <is>
          <t>A 46023-2025</t>
        </is>
      </c>
      <c r="B911" s="1" t="n">
        <v>45924</v>
      </c>
      <c r="C911" s="1" t="n">
        <v>45999</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39781-2025</t>
        </is>
      </c>
      <c r="B912" s="1" t="n">
        <v>45891</v>
      </c>
      <c r="C912" s="1" t="n">
        <v>45999</v>
      </c>
      <c r="D912" t="inlineStr">
        <is>
          <t>VÄRMLANDS LÄN</t>
        </is>
      </c>
      <c r="E912" t="inlineStr">
        <is>
          <t>ÅRJÄNG</t>
        </is>
      </c>
      <c r="G912" t="n">
        <v>2.5</v>
      </c>
      <c r="H912" t="n">
        <v>0</v>
      </c>
      <c r="I912" t="n">
        <v>0</v>
      </c>
      <c r="J912" t="n">
        <v>0</v>
      </c>
      <c r="K912" t="n">
        <v>0</v>
      </c>
      <c r="L912" t="n">
        <v>0</v>
      </c>
      <c r="M912" t="n">
        <v>0</v>
      </c>
      <c r="N912" t="n">
        <v>0</v>
      </c>
      <c r="O912" t="n">
        <v>0</v>
      </c>
      <c r="P912" t="n">
        <v>0</v>
      </c>
      <c r="Q912" t="n">
        <v>0</v>
      </c>
      <c r="R912" s="2" t="inlineStr"/>
    </row>
    <row r="913" ht="15" customHeight="1">
      <c r="A913" t="inlineStr">
        <is>
          <t>A 40219-2025</t>
        </is>
      </c>
      <c r="B913" s="1" t="n">
        <v>45894.69025462963</v>
      </c>
      <c r="C913" s="1" t="n">
        <v>45999</v>
      </c>
      <c r="D913" t="inlineStr">
        <is>
          <t>VÄRMLANDS LÄN</t>
        </is>
      </c>
      <c r="E913" t="inlineStr">
        <is>
          <t>ÅRJÄNG</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55592-2025</t>
        </is>
      </c>
      <c r="B914" s="1" t="n">
        <v>45971</v>
      </c>
      <c r="C914" s="1" t="n">
        <v>45999</v>
      </c>
      <c r="D914" t="inlineStr">
        <is>
          <t>VÄRMLANDS LÄN</t>
        </is>
      </c>
      <c r="E914" t="inlineStr">
        <is>
          <t>ÅRJÄNG</t>
        </is>
      </c>
      <c r="G914" t="n">
        <v>2.4</v>
      </c>
      <c r="H914" t="n">
        <v>0</v>
      </c>
      <c r="I914" t="n">
        <v>0</v>
      </c>
      <c r="J914" t="n">
        <v>0</v>
      </c>
      <c r="K914" t="n">
        <v>0</v>
      </c>
      <c r="L914" t="n">
        <v>0</v>
      </c>
      <c r="M914" t="n">
        <v>0</v>
      </c>
      <c r="N914" t="n">
        <v>0</v>
      </c>
      <c r="O914" t="n">
        <v>0</v>
      </c>
      <c r="P914" t="n">
        <v>0</v>
      </c>
      <c r="Q914" t="n">
        <v>0</v>
      </c>
      <c r="R914" s="2" t="inlineStr"/>
    </row>
    <row r="915" ht="15" customHeight="1">
      <c r="A915" t="inlineStr">
        <is>
          <t>A 39905-2025</t>
        </is>
      </c>
      <c r="B915" s="1" t="n">
        <v>45891.63949074074</v>
      </c>
      <c r="C915" s="1" t="n">
        <v>45999</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39776-2025</t>
        </is>
      </c>
      <c r="B916" s="1" t="n">
        <v>45891</v>
      </c>
      <c r="C916" s="1" t="n">
        <v>45999</v>
      </c>
      <c r="D916" t="inlineStr">
        <is>
          <t>VÄRMLANDS LÄN</t>
        </is>
      </c>
      <c r="E916" t="inlineStr">
        <is>
          <t>ÅRJÄNG</t>
        </is>
      </c>
      <c r="G916" t="n">
        <v>2.7</v>
      </c>
      <c r="H916" t="n">
        <v>0</v>
      </c>
      <c r="I916" t="n">
        <v>0</v>
      </c>
      <c r="J916" t="n">
        <v>0</v>
      </c>
      <c r="K916" t="n">
        <v>0</v>
      </c>
      <c r="L916" t="n">
        <v>0</v>
      </c>
      <c r="M916" t="n">
        <v>0</v>
      </c>
      <c r="N916" t="n">
        <v>0</v>
      </c>
      <c r="O916" t="n">
        <v>0</v>
      </c>
      <c r="P916" t="n">
        <v>0</v>
      </c>
      <c r="Q916" t="n">
        <v>0</v>
      </c>
      <c r="R916" s="2" t="inlineStr"/>
    </row>
    <row r="917" ht="15" customHeight="1">
      <c r="A917" t="inlineStr">
        <is>
          <t>A 39779-2025</t>
        </is>
      </c>
      <c r="B917" s="1" t="n">
        <v>45891</v>
      </c>
      <c r="C917" s="1" t="n">
        <v>45999</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45994-2025</t>
        </is>
      </c>
      <c r="B918" s="1" t="n">
        <v>45924</v>
      </c>
      <c r="C918" s="1" t="n">
        <v>45999</v>
      </c>
      <c r="D918" t="inlineStr">
        <is>
          <t>VÄRMLANDS LÄN</t>
        </is>
      </c>
      <c r="E918" t="inlineStr">
        <is>
          <t>ÅRJÄNG</t>
        </is>
      </c>
      <c r="G918" t="n">
        <v>4</v>
      </c>
      <c r="H918" t="n">
        <v>0</v>
      </c>
      <c r="I918" t="n">
        <v>0</v>
      </c>
      <c r="J918" t="n">
        <v>0</v>
      </c>
      <c r="K918" t="n">
        <v>0</v>
      </c>
      <c r="L918" t="n">
        <v>0</v>
      </c>
      <c r="M918" t="n">
        <v>0</v>
      </c>
      <c r="N918" t="n">
        <v>0</v>
      </c>
      <c r="O918" t="n">
        <v>0</v>
      </c>
      <c r="P918" t="n">
        <v>0</v>
      </c>
      <c r="Q918" t="n">
        <v>0</v>
      </c>
      <c r="R918" s="2" t="inlineStr"/>
    </row>
    <row r="919" ht="15" customHeight="1">
      <c r="A919" t="inlineStr">
        <is>
          <t>A 46942-2025</t>
        </is>
      </c>
      <c r="B919" s="1" t="n">
        <v>45929.45822916667</v>
      </c>
      <c r="C919" s="1" t="n">
        <v>45999</v>
      </c>
      <c r="D919" t="inlineStr">
        <is>
          <t>VÄRMLANDS LÄN</t>
        </is>
      </c>
      <c r="E919" t="inlineStr">
        <is>
          <t>ÅRJÄNG</t>
        </is>
      </c>
      <c r="G919" t="n">
        <v>0.4</v>
      </c>
      <c r="H919" t="n">
        <v>0</v>
      </c>
      <c r="I919" t="n">
        <v>0</v>
      </c>
      <c r="J919" t="n">
        <v>0</v>
      </c>
      <c r="K919" t="n">
        <v>0</v>
      </c>
      <c r="L919" t="n">
        <v>0</v>
      </c>
      <c r="M919" t="n">
        <v>0</v>
      </c>
      <c r="N919" t="n">
        <v>0</v>
      </c>
      <c r="O919" t="n">
        <v>0</v>
      </c>
      <c r="P919" t="n">
        <v>0</v>
      </c>
      <c r="Q919" t="n">
        <v>0</v>
      </c>
      <c r="R919" s="2" t="inlineStr"/>
    </row>
    <row r="920" ht="15" customHeight="1">
      <c r="A920" t="inlineStr">
        <is>
          <t>A 47007-2025</t>
        </is>
      </c>
      <c r="B920" s="1" t="n">
        <v>45929.56689814815</v>
      </c>
      <c r="C920" s="1" t="n">
        <v>45999</v>
      </c>
      <c r="D920" t="inlineStr">
        <is>
          <t>VÄRMLANDS LÄN</t>
        </is>
      </c>
      <c r="E920" t="inlineStr">
        <is>
          <t>ÅRJÄNG</t>
        </is>
      </c>
      <c r="G920" t="n">
        <v>0.5</v>
      </c>
      <c r="H920" t="n">
        <v>0</v>
      </c>
      <c r="I920" t="n">
        <v>0</v>
      </c>
      <c r="J920" t="n">
        <v>0</v>
      </c>
      <c r="K920" t="n">
        <v>0</v>
      </c>
      <c r="L920" t="n">
        <v>0</v>
      </c>
      <c r="M920" t="n">
        <v>0</v>
      </c>
      <c r="N920" t="n">
        <v>0</v>
      </c>
      <c r="O920" t="n">
        <v>0</v>
      </c>
      <c r="P920" t="n">
        <v>0</v>
      </c>
      <c r="Q920" t="n">
        <v>0</v>
      </c>
      <c r="R920" s="2" t="inlineStr"/>
    </row>
    <row r="921" ht="15" customHeight="1">
      <c r="A921" t="inlineStr">
        <is>
          <t>A 39725-2025</t>
        </is>
      </c>
      <c r="B921" s="1" t="n">
        <v>45891</v>
      </c>
      <c r="C921" s="1" t="n">
        <v>45999</v>
      </c>
      <c r="D921" t="inlineStr">
        <is>
          <t>VÄRMLANDS LÄN</t>
        </is>
      </c>
      <c r="E921" t="inlineStr">
        <is>
          <t>ÅRJÄNG</t>
        </is>
      </c>
      <c r="G921" t="n">
        <v>4.2</v>
      </c>
      <c r="H921" t="n">
        <v>0</v>
      </c>
      <c r="I921" t="n">
        <v>0</v>
      </c>
      <c r="J921" t="n">
        <v>0</v>
      </c>
      <c r="K921" t="n">
        <v>0</v>
      </c>
      <c r="L921" t="n">
        <v>0</v>
      </c>
      <c r="M921" t="n">
        <v>0</v>
      </c>
      <c r="N921" t="n">
        <v>0</v>
      </c>
      <c r="O921" t="n">
        <v>0</v>
      </c>
      <c r="P921" t="n">
        <v>0</v>
      </c>
      <c r="Q921" t="n">
        <v>0</v>
      </c>
      <c r="R921" s="2" t="inlineStr"/>
    </row>
    <row r="922" ht="15" customHeight="1">
      <c r="A922" t="inlineStr">
        <is>
          <t>A 55662-2025</t>
        </is>
      </c>
      <c r="B922" s="1" t="n">
        <v>45972.39572916667</v>
      </c>
      <c r="C922" s="1" t="n">
        <v>45999</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47112-2025</t>
        </is>
      </c>
      <c r="B923" s="1" t="n">
        <v>45929.66966435185</v>
      </c>
      <c r="C923" s="1" t="n">
        <v>45999</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40497-2025</t>
        </is>
      </c>
      <c r="B924" s="1" t="n">
        <v>45896.32087962963</v>
      </c>
      <c r="C924" s="1" t="n">
        <v>45999</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55540-2025</t>
        </is>
      </c>
      <c r="B925" s="1" t="n">
        <v>45971.63444444445</v>
      </c>
      <c r="C925" s="1" t="n">
        <v>45999</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40449-2025</t>
        </is>
      </c>
      <c r="B926" s="1" t="n">
        <v>45895</v>
      </c>
      <c r="C926" s="1" t="n">
        <v>45999</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47695-2025</t>
        </is>
      </c>
      <c r="B927" s="1" t="n">
        <v>45931.59943287037</v>
      </c>
      <c r="C927" s="1" t="n">
        <v>45999</v>
      </c>
      <c r="D927" t="inlineStr">
        <is>
          <t>VÄRMLANDS LÄN</t>
        </is>
      </c>
      <c r="E927" t="inlineStr">
        <is>
          <t>ÅRJÄNG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56027-2025</t>
        </is>
      </c>
      <c r="B928" s="1" t="n">
        <v>45973.59994212963</v>
      </c>
      <c r="C928" s="1" t="n">
        <v>45999</v>
      </c>
      <c r="D928" t="inlineStr">
        <is>
          <t>VÄRMLANDS LÄN</t>
        </is>
      </c>
      <c r="E928" t="inlineStr">
        <is>
          <t>ÅRJÄNG</t>
        </is>
      </c>
      <c r="G928" t="n">
        <v>2.7</v>
      </c>
      <c r="H928" t="n">
        <v>0</v>
      </c>
      <c r="I928" t="n">
        <v>0</v>
      </c>
      <c r="J928" t="n">
        <v>0</v>
      </c>
      <c r="K928" t="n">
        <v>0</v>
      </c>
      <c r="L928" t="n">
        <v>0</v>
      </c>
      <c r="M928" t="n">
        <v>0</v>
      </c>
      <c r="N928" t="n">
        <v>0</v>
      </c>
      <c r="O928" t="n">
        <v>0</v>
      </c>
      <c r="P928" t="n">
        <v>0</v>
      </c>
      <c r="Q928" t="n">
        <v>0</v>
      </c>
      <c r="R928" s="2" t="inlineStr"/>
    </row>
    <row r="929" ht="15" customHeight="1">
      <c r="A929" t="inlineStr">
        <is>
          <t>A 40602-2025</t>
        </is>
      </c>
      <c r="B929" s="1" t="n">
        <v>45896</v>
      </c>
      <c r="C929" s="1" t="n">
        <v>45999</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40601-2025</t>
        </is>
      </c>
      <c r="B930" s="1" t="n">
        <v>45896</v>
      </c>
      <c r="C930" s="1" t="n">
        <v>45999</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47604-2025</t>
        </is>
      </c>
      <c r="B931" s="1" t="n">
        <v>45931.46254629629</v>
      </c>
      <c r="C931" s="1" t="n">
        <v>45999</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41229-2025</t>
        </is>
      </c>
      <c r="B932" s="1" t="n">
        <v>45898.59108796297</v>
      </c>
      <c r="C932" s="1" t="n">
        <v>45999</v>
      </c>
      <c r="D932" t="inlineStr">
        <is>
          <t>VÄRMLANDS LÄN</t>
        </is>
      </c>
      <c r="E932" t="inlineStr">
        <is>
          <t>ÅRJÄNG</t>
        </is>
      </c>
      <c r="G932" t="n">
        <v>2.6</v>
      </c>
      <c r="H932" t="n">
        <v>0</v>
      </c>
      <c r="I932" t="n">
        <v>0</v>
      </c>
      <c r="J932" t="n">
        <v>0</v>
      </c>
      <c r="K932" t="n">
        <v>0</v>
      </c>
      <c r="L932" t="n">
        <v>0</v>
      </c>
      <c r="M932" t="n">
        <v>0</v>
      </c>
      <c r="N932" t="n">
        <v>0</v>
      </c>
      <c r="O932" t="n">
        <v>0</v>
      </c>
      <c r="P932" t="n">
        <v>0</v>
      </c>
      <c r="Q932" t="n">
        <v>0</v>
      </c>
      <c r="R932" s="2" t="inlineStr"/>
    </row>
    <row r="933" ht="15" customHeight="1">
      <c r="A933" t="inlineStr">
        <is>
          <t>A 47502-2025</t>
        </is>
      </c>
      <c r="B933" s="1" t="n">
        <v>45930.85274305556</v>
      </c>
      <c r="C933" s="1" t="n">
        <v>45999</v>
      </c>
      <c r="D933" t="inlineStr">
        <is>
          <t>VÄRMLANDS LÄN</t>
        </is>
      </c>
      <c r="E933" t="inlineStr">
        <is>
          <t>ÅRJÄNG</t>
        </is>
      </c>
      <c r="G933" t="n">
        <v>10.5</v>
      </c>
      <c r="H933" t="n">
        <v>0</v>
      </c>
      <c r="I933" t="n">
        <v>0</v>
      </c>
      <c r="J933" t="n">
        <v>0</v>
      </c>
      <c r="K933" t="n">
        <v>0</v>
      </c>
      <c r="L933" t="n">
        <v>0</v>
      </c>
      <c r="M933" t="n">
        <v>0</v>
      </c>
      <c r="N933" t="n">
        <v>0</v>
      </c>
      <c r="O933" t="n">
        <v>0</v>
      </c>
      <c r="P933" t="n">
        <v>0</v>
      </c>
      <c r="Q933" t="n">
        <v>0</v>
      </c>
      <c r="R933" s="2" t="inlineStr"/>
    </row>
    <row r="934" ht="15" customHeight="1">
      <c r="A934" t="inlineStr">
        <is>
          <t>A 40699-2025</t>
        </is>
      </c>
      <c r="B934" s="1" t="n">
        <v>45897.31958333333</v>
      </c>
      <c r="C934" s="1" t="n">
        <v>45999</v>
      </c>
      <c r="D934" t="inlineStr">
        <is>
          <t>VÄRMLANDS LÄN</t>
        </is>
      </c>
      <c r="E934" t="inlineStr">
        <is>
          <t>ÅRJÄNG</t>
        </is>
      </c>
      <c r="F934" t="inlineStr">
        <is>
          <t>Bergvik skog väst AB</t>
        </is>
      </c>
      <c r="G934" t="n">
        <v>1.3</v>
      </c>
      <c r="H934" t="n">
        <v>0</v>
      </c>
      <c r="I934" t="n">
        <v>0</v>
      </c>
      <c r="J934" t="n">
        <v>0</v>
      </c>
      <c r="K934" t="n">
        <v>0</v>
      </c>
      <c r="L934" t="n">
        <v>0</v>
      </c>
      <c r="M934" t="n">
        <v>0</v>
      </c>
      <c r="N934" t="n">
        <v>0</v>
      </c>
      <c r="O934" t="n">
        <v>0</v>
      </c>
      <c r="P934" t="n">
        <v>0</v>
      </c>
      <c r="Q934" t="n">
        <v>0</v>
      </c>
      <c r="R934" s="2" t="inlineStr"/>
    </row>
    <row r="935" ht="15" customHeight="1">
      <c r="A935" t="inlineStr">
        <is>
          <t>A 1929-2025</t>
        </is>
      </c>
      <c r="B935" s="1" t="n">
        <v>45671.73023148148</v>
      </c>
      <c r="C935" s="1" t="n">
        <v>45999</v>
      </c>
      <c r="D935" t="inlineStr">
        <is>
          <t>VÄRMLANDS LÄN</t>
        </is>
      </c>
      <c r="E935" t="inlineStr">
        <is>
          <t>ÅRJÄNG</t>
        </is>
      </c>
      <c r="G935" t="n">
        <v>2.9</v>
      </c>
      <c r="H935" t="n">
        <v>0</v>
      </c>
      <c r="I935" t="n">
        <v>0</v>
      </c>
      <c r="J935" t="n">
        <v>0</v>
      </c>
      <c r="K935" t="n">
        <v>0</v>
      </c>
      <c r="L935" t="n">
        <v>0</v>
      </c>
      <c r="M935" t="n">
        <v>0</v>
      </c>
      <c r="N935" t="n">
        <v>0</v>
      </c>
      <c r="O935" t="n">
        <v>0</v>
      </c>
      <c r="P935" t="n">
        <v>0</v>
      </c>
      <c r="Q935" t="n">
        <v>0</v>
      </c>
      <c r="R935" s="2" t="inlineStr"/>
    </row>
    <row r="936" ht="15" customHeight="1">
      <c r="A936" t="inlineStr">
        <is>
          <t>A 47629-2025</t>
        </is>
      </c>
      <c r="B936" s="1" t="n">
        <v>45931</v>
      </c>
      <c r="C936" s="1" t="n">
        <v>45999</v>
      </c>
      <c r="D936" t="inlineStr">
        <is>
          <t>VÄRMLANDS LÄN</t>
        </is>
      </c>
      <c r="E936" t="inlineStr">
        <is>
          <t>ÅRJÄNG</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56096-2025</t>
        </is>
      </c>
      <c r="B937" s="1" t="n">
        <v>45973.68275462963</v>
      </c>
      <c r="C937" s="1" t="n">
        <v>45999</v>
      </c>
      <c r="D937" t="inlineStr">
        <is>
          <t>VÄRMLANDS LÄN</t>
        </is>
      </c>
      <c r="E937" t="inlineStr">
        <is>
          <t>ÅRJÄNG</t>
        </is>
      </c>
      <c r="F937" t="inlineStr">
        <is>
          <t>Kyrkan</t>
        </is>
      </c>
      <c r="G937" t="n">
        <v>10.5</v>
      </c>
      <c r="H937" t="n">
        <v>0</v>
      </c>
      <c r="I937" t="n">
        <v>0</v>
      </c>
      <c r="J937" t="n">
        <v>0</v>
      </c>
      <c r="K937" t="n">
        <v>0</v>
      </c>
      <c r="L937" t="n">
        <v>0</v>
      </c>
      <c r="M937" t="n">
        <v>0</v>
      </c>
      <c r="N937" t="n">
        <v>0</v>
      </c>
      <c r="O937" t="n">
        <v>0</v>
      </c>
      <c r="P937" t="n">
        <v>0</v>
      </c>
      <c r="Q937" t="n">
        <v>0</v>
      </c>
      <c r="R937" s="2" t="inlineStr"/>
    </row>
    <row r="938" ht="15" customHeight="1">
      <c r="A938" t="inlineStr">
        <is>
          <t>A 17426-2025</t>
        </is>
      </c>
      <c r="B938" s="1" t="n">
        <v>45757.40153935185</v>
      </c>
      <c r="C938" s="1" t="n">
        <v>45999</v>
      </c>
      <c r="D938" t="inlineStr">
        <is>
          <t>VÄRMLANDS LÄN</t>
        </is>
      </c>
      <c r="E938" t="inlineStr">
        <is>
          <t>ÅRJÄNG</t>
        </is>
      </c>
      <c r="G938" t="n">
        <v>1.6</v>
      </c>
      <c r="H938" t="n">
        <v>0</v>
      </c>
      <c r="I938" t="n">
        <v>0</v>
      </c>
      <c r="J938" t="n">
        <v>0</v>
      </c>
      <c r="K938" t="n">
        <v>0</v>
      </c>
      <c r="L938" t="n">
        <v>0</v>
      </c>
      <c r="M938" t="n">
        <v>0</v>
      </c>
      <c r="N938" t="n">
        <v>0</v>
      </c>
      <c r="O938" t="n">
        <v>0</v>
      </c>
      <c r="P938" t="n">
        <v>0</v>
      </c>
      <c r="Q938" t="n">
        <v>0</v>
      </c>
      <c r="R938" s="2" t="inlineStr"/>
    </row>
    <row r="939" ht="15" customHeight="1">
      <c r="A939" t="inlineStr">
        <is>
          <t>A 47572-2025</t>
        </is>
      </c>
      <c r="B939" s="1" t="n">
        <v>45931.39658564814</v>
      </c>
      <c r="C939" s="1" t="n">
        <v>45999</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47623-2025</t>
        </is>
      </c>
      <c r="B940" s="1" t="n">
        <v>45931</v>
      </c>
      <c r="C940" s="1" t="n">
        <v>45999</v>
      </c>
      <c r="D940" t="inlineStr">
        <is>
          <t>VÄRMLANDS LÄN</t>
        </is>
      </c>
      <c r="E940" t="inlineStr">
        <is>
          <t>ÅRJÄNG</t>
        </is>
      </c>
      <c r="F940" t="inlineStr">
        <is>
          <t>Bergvik skog väst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41467-2025</t>
        </is>
      </c>
      <c r="B941" s="1" t="n">
        <v>45901.45755787037</v>
      </c>
      <c r="C941" s="1" t="n">
        <v>45999</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41496-2025</t>
        </is>
      </c>
      <c r="B942" s="1" t="n">
        <v>45901</v>
      </c>
      <c r="C942" s="1" t="n">
        <v>45999</v>
      </c>
      <c r="D942" t="inlineStr">
        <is>
          <t>VÄRMLANDS LÄN</t>
        </is>
      </c>
      <c r="E942" t="inlineStr">
        <is>
          <t>ÅRJÄNG</t>
        </is>
      </c>
      <c r="G942" t="n">
        <v>5.8</v>
      </c>
      <c r="H942" t="n">
        <v>0</v>
      </c>
      <c r="I942" t="n">
        <v>0</v>
      </c>
      <c r="J942" t="n">
        <v>0</v>
      </c>
      <c r="K942" t="n">
        <v>0</v>
      </c>
      <c r="L942" t="n">
        <v>0</v>
      </c>
      <c r="M942" t="n">
        <v>0</v>
      </c>
      <c r="N942" t="n">
        <v>0</v>
      </c>
      <c r="O942" t="n">
        <v>0</v>
      </c>
      <c r="P942" t="n">
        <v>0</v>
      </c>
      <c r="Q942" t="n">
        <v>0</v>
      </c>
      <c r="R942" s="2" t="inlineStr"/>
    </row>
    <row r="943" ht="15" customHeight="1">
      <c r="A943" t="inlineStr">
        <is>
          <t>A 41499-2025</t>
        </is>
      </c>
      <c r="B943" s="1" t="n">
        <v>45901</v>
      </c>
      <c r="C943" s="1" t="n">
        <v>45999</v>
      </c>
      <c r="D943" t="inlineStr">
        <is>
          <t>VÄRMLANDS LÄN</t>
        </is>
      </c>
      <c r="E943" t="inlineStr">
        <is>
          <t>ÅRJÄNG</t>
        </is>
      </c>
      <c r="G943" t="n">
        <v>2.7</v>
      </c>
      <c r="H943" t="n">
        <v>0</v>
      </c>
      <c r="I943" t="n">
        <v>0</v>
      </c>
      <c r="J943" t="n">
        <v>0</v>
      </c>
      <c r="K943" t="n">
        <v>0</v>
      </c>
      <c r="L943" t="n">
        <v>0</v>
      </c>
      <c r="M943" t="n">
        <v>0</v>
      </c>
      <c r="N943" t="n">
        <v>0</v>
      </c>
      <c r="O943" t="n">
        <v>0</v>
      </c>
      <c r="P943" t="n">
        <v>0</v>
      </c>
      <c r="Q943" t="n">
        <v>0</v>
      </c>
      <c r="R943" s="2" t="inlineStr"/>
    </row>
    <row r="944" ht="15" customHeight="1">
      <c r="A944" t="inlineStr">
        <is>
          <t>A 57005-2025</t>
        </is>
      </c>
      <c r="B944" s="1" t="n">
        <v>45978.76155092593</v>
      </c>
      <c r="C944" s="1" t="n">
        <v>45999</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41763-2025</t>
        </is>
      </c>
      <c r="B945" s="1" t="n">
        <v>45902.54175925926</v>
      </c>
      <c r="C945" s="1" t="n">
        <v>45999</v>
      </c>
      <c r="D945" t="inlineStr">
        <is>
          <t>VÄRMLANDS LÄN</t>
        </is>
      </c>
      <c r="E945" t="inlineStr">
        <is>
          <t>ÅRJÄNG</t>
        </is>
      </c>
      <c r="G945" t="n">
        <v>3.4</v>
      </c>
      <c r="H945" t="n">
        <v>0</v>
      </c>
      <c r="I945" t="n">
        <v>0</v>
      </c>
      <c r="J945" t="n">
        <v>0</v>
      </c>
      <c r="K945" t="n">
        <v>0</v>
      </c>
      <c r="L945" t="n">
        <v>0</v>
      </c>
      <c r="M945" t="n">
        <v>0</v>
      </c>
      <c r="N945" t="n">
        <v>0</v>
      </c>
      <c r="O945" t="n">
        <v>0</v>
      </c>
      <c r="P945" t="n">
        <v>0</v>
      </c>
      <c r="Q945" t="n">
        <v>0</v>
      </c>
      <c r="R945" s="2" t="inlineStr"/>
    </row>
    <row r="946" ht="15" customHeight="1">
      <c r="A946" t="inlineStr">
        <is>
          <t>A 41772-2025</t>
        </is>
      </c>
      <c r="B946" s="1" t="n">
        <v>45902.55828703703</v>
      </c>
      <c r="C946" s="1" t="n">
        <v>45999</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41771-2025</t>
        </is>
      </c>
      <c r="B947" s="1" t="n">
        <v>45902.55228009259</v>
      </c>
      <c r="C947" s="1" t="n">
        <v>45999</v>
      </c>
      <c r="D947" t="inlineStr">
        <is>
          <t>VÄRMLANDS LÄN</t>
        </is>
      </c>
      <c r="E947" t="inlineStr">
        <is>
          <t>ÅRJÄNG</t>
        </is>
      </c>
      <c r="G947" t="n">
        <v>1.9</v>
      </c>
      <c r="H947" t="n">
        <v>0</v>
      </c>
      <c r="I947" t="n">
        <v>0</v>
      </c>
      <c r="J947" t="n">
        <v>0</v>
      </c>
      <c r="K947" t="n">
        <v>0</v>
      </c>
      <c r="L947" t="n">
        <v>0</v>
      </c>
      <c r="M947" t="n">
        <v>0</v>
      </c>
      <c r="N947" t="n">
        <v>0</v>
      </c>
      <c r="O947" t="n">
        <v>0</v>
      </c>
      <c r="P947" t="n">
        <v>0</v>
      </c>
      <c r="Q947" t="n">
        <v>0</v>
      </c>
      <c r="R947" s="2" t="inlineStr"/>
    </row>
    <row r="948" ht="15" customHeight="1">
      <c r="A948" t="inlineStr">
        <is>
          <t>A 41488-2025</t>
        </is>
      </c>
      <c r="B948" s="1" t="n">
        <v>45901.48288194444</v>
      </c>
      <c r="C948" s="1" t="n">
        <v>45999</v>
      </c>
      <c r="D948" t="inlineStr">
        <is>
          <t>VÄRMLANDS LÄN</t>
        </is>
      </c>
      <c r="E948" t="inlineStr">
        <is>
          <t>ÅRJÄNG</t>
        </is>
      </c>
      <c r="G948" t="n">
        <v>0.8</v>
      </c>
      <c r="H948" t="n">
        <v>0</v>
      </c>
      <c r="I948" t="n">
        <v>0</v>
      </c>
      <c r="J948" t="n">
        <v>0</v>
      </c>
      <c r="K948" t="n">
        <v>0</v>
      </c>
      <c r="L948" t="n">
        <v>0</v>
      </c>
      <c r="M948" t="n">
        <v>0</v>
      </c>
      <c r="N948" t="n">
        <v>0</v>
      </c>
      <c r="O948" t="n">
        <v>0</v>
      </c>
      <c r="P948" t="n">
        <v>0</v>
      </c>
      <c r="Q948" t="n">
        <v>0</v>
      </c>
      <c r="R948" s="2" t="inlineStr"/>
    </row>
    <row r="949" ht="15" customHeight="1">
      <c r="A949" t="inlineStr">
        <is>
          <t>A 41725-2025</t>
        </is>
      </c>
      <c r="B949" s="1" t="n">
        <v>45902.45458333333</v>
      </c>
      <c r="C949" s="1" t="n">
        <v>45999</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57003-2025</t>
        </is>
      </c>
      <c r="B950" s="1" t="n">
        <v>45978.75783564815</v>
      </c>
      <c r="C950" s="1" t="n">
        <v>45999</v>
      </c>
      <c r="D950" t="inlineStr">
        <is>
          <t>VÄRMLANDS LÄN</t>
        </is>
      </c>
      <c r="E950" t="inlineStr">
        <is>
          <t>ÅRJÄNG</t>
        </is>
      </c>
      <c r="G950" t="n">
        <v>3</v>
      </c>
      <c r="H950" t="n">
        <v>0</v>
      </c>
      <c r="I950" t="n">
        <v>0</v>
      </c>
      <c r="J950" t="n">
        <v>0</v>
      </c>
      <c r="K950" t="n">
        <v>0</v>
      </c>
      <c r="L950" t="n">
        <v>0</v>
      </c>
      <c r="M950" t="n">
        <v>0</v>
      </c>
      <c r="N950" t="n">
        <v>0</v>
      </c>
      <c r="O950" t="n">
        <v>0</v>
      </c>
      <c r="P950" t="n">
        <v>0</v>
      </c>
      <c r="Q950" t="n">
        <v>0</v>
      </c>
      <c r="R950" s="2" t="inlineStr"/>
    </row>
    <row r="951" ht="15" customHeight="1">
      <c r="A951" t="inlineStr">
        <is>
          <t>A 42333-2025</t>
        </is>
      </c>
      <c r="B951" s="1" t="n">
        <v>45904</v>
      </c>
      <c r="C951" s="1" t="n">
        <v>45999</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48206-2025</t>
        </is>
      </c>
      <c r="B952" s="1" t="n">
        <v>45933.4884837963</v>
      </c>
      <c r="C952" s="1" t="n">
        <v>45999</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6577-2025</t>
        </is>
      </c>
      <c r="B953" s="1" t="n">
        <v>45699.87793981482</v>
      </c>
      <c r="C953" s="1" t="n">
        <v>45999</v>
      </c>
      <c r="D953" t="inlineStr">
        <is>
          <t>VÄRMLANDS LÄN</t>
        </is>
      </c>
      <c r="E953" t="inlineStr">
        <is>
          <t>ÅRJÄNG</t>
        </is>
      </c>
      <c r="G953" t="n">
        <v>1.2</v>
      </c>
      <c r="H953" t="n">
        <v>0</v>
      </c>
      <c r="I953" t="n">
        <v>0</v>
      </c>
      <c r="J953" t="n">
        <v>0</v>
      </c>
      <c r="K953" t="n">
        <v>0</v>
      </c>
      <c r="L953" t="n">
        <v>0</v>
      </c>
      <c r="M953" t="n">
        <v>0</v>
      </c>
      <c r="N953" t="n">
        <v>0</v>
      </c>
      <c r="O953" t="n">
        <v>0</v>
      </c>
      <c r="P953" t="n">
        <v>0</v>
      </c>
      <c r="Q953" t="n">
        <v>0</v>
      </c>
      <c r="R953" s="2" t="inlineStr"/>
    </row>
    <row r="954" ht="15" customHeight="1">
      <c r="A954" t="inlineStr">
        <is>
          <t>A 57004-2025</t>
        </is>
      </c>
      <c r="B954" s="1" t="n">
        <v>45978.75946759259</v>
      </c>
      <c r="C954" s="1" t="n">
        <v>45999</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13196-2023</t>
        </is>
      </c>
      <c r="B955" s="1" t="n">
        <v>45002</v>
      </c>
      <c r="C955" s="1" t="n">
        <v>45999</v>
      </c>
      <c r="D955" t="inlineStr">
        <is>
          <t>VÄRMLANDS LÄN</t>
        </is>
      </c>
      <c r="E955" t="inlineStr">
        <is>
          <t>ÅRJÄNG</t>
        </is>
      </c>
      <c r="F955" t="inlineStr">
        <is>
          <t>Kyrkan</t>
        </is>
      </c>
      <c r="G955" t="n">
        <v>4.5</v>
      </c>
      <c r="H955" t="n">
        <v>0</v>
      </c>
      <c r="I955" t="n">
        <v>0</v>
      </c>
      <c r="J955" t="n">
        <v>0</v>
      </c>
      <c r="K955" t="n">
        <v>0</v>
      </c>
      <c r="L955" t="n">
        <v>0</v>
      </c>
      <c r="M955" t="n">
        <v>0</v>
      </c>
      <c r="N955" t="n">
        <v>0</v>
      </c>
      <c r="O955" t="n">
        <v>0</v>
      </c>
      <c r="P955" t="n">
        <v>0</v>
      </c>
      <c r="Q955" t="n">
        <v>0</v>
      </c>
      <c r="R955" s="2" t="inlineStr"/>
    </row>
    <row r="956" ht="15" customHeight="1">
      <c r="A956" t="inlineStr">
        <is>
          <t>A 42677-2025</t>
        </is>
      </c>
      <c r="B956" s="1" t="n">
        <v>45908.32836805555</v>
      </c>
      <c r="C956" s="1" t="n">
        <v>45999</v>
      </c>
      <c r="D956" t="inlineStr">
        <is>
          <t>VÄRMLANDS LÄN</t>
        </is>
      </c>
      <c r="E956" t="inlineStr">
        <is>
          <t>ÅRJÄNG</t>
        </is>
      </c>
      <c r="G956" t="n">
        <v>2.7</v>
      </c>
      <c r="H956" t="n">
        <v>0</v>
      </c>
      <c r="I956" t="n">
        <v>0</v>
      </c>
      <c r="J956" t="n">
        <v>0</v>
      </c>
      <c r="K956" t="n">
        <v>0</v>
      </c>
      <c r="L956" t="n">
        <v>0</v>
      </c>
      <c r="M956" t="n">
        <v>0</v>
      </c>
      <c r="N956" t="n">
        <v>0</v>
      </c>
      <c r="O956" t="n">
        <v>0</v>
      </c>
      <c r="P956" t="n">
        <v>0</v>
      </c>
      <c r="Q956" t="n">
        <v>0</v>
      </c>
      <c r="R956" s="2" t="inlineStr"/>
    </row>
    <row r="957" ht="15" customHeight="1">
      <c r="A957" t="inlineStr">
        <is>
          <t>A 62266-2023</t>
        </is>
      </c>
      <c r="B957" s="1" t="n">
        <v>45266</v>
      </c>
      <c r="C957" s="1" t="n">
        <v>45999</v>
      </c>
      <c r="D957" t="inlineStr">
        <is>
          <t>VÄRMLANDS LÄN</t>
        </is>
      </c>
      <c r="E957" t="inlineStr">
        <is>
          <t>ÅRJÄNG</t>
        </is>
      </c>
      <c r="G957" t="n">
        <v>10.5</v>
      </c>
      <c r="H957" t="n">
        <v>0</v>
      </c>
      <c r="I957" t="n">
        <v>0</v>
      </c>
      <c r="J957" t="n">
        <v>0</v>
      </c>
      <c r="K957" t="n">
        <v>0</v>
      </c>
      <c r="L957" t="n">
        <v>0</v>
      </c>
      <c r="M957" t="n">
        <v>0</v>
      </c>
      <c r="N957" t="n">
        <v>0</v>
      </c>
      <c r="O957" t="n">
        <v>0</v>
      </c>
      <c r="P957" t="n">
        <v>0</v>
      </c>
      <c r="Q957" t="n">
        <v>0</v>
      </c>
      <c r="R957" s="2" t="inlineStr"/>
    </row>
    <row r="958" ht="15" customHeight="1">
      <c r="A958" t="inlineStr">
        <is>
          <t>A 13029-2025</t>
        </is>
      </c>
      <c r="B958" s="1" t="n">
        <v>45734.5703125</v>
      </c>
      <c r="C958" s="1" t="n">
        <v>45999</v>
      </c>
      <c r="D958" t="inlineStr">
        <is>
          <t>VÄRMLANDS LÄN</t>
        </is>
      </c>
      <c r="E958" t="inlineStr">
        <is>
          <t>ÅRJÄNG</t>
        </is>
      </c>
      <c r="G958" t="n">
        <v>4.1</v>
      </c>
      <c r="H958" t="n">
        <v>0</v>
      </c>
      <c r="I958" t="n">
        <v>0</v>
      </c>
      <c r="J958" t="n">
        <v>0</v>
      </c>
      <c r="K958" t="n">
        <v>0</v>
      </c>
      <c r="L958" t="n">
        <v>0</v>
      </c>
      <c r="M958" t="n">
        <v>0</v>
      </c>
      <c r="N958" t="n">
        <v>0</v>
      </c>
      <c r="O958" t="n">
        <v>0</v>
      </c>
      <c r="P958" t="n">
        <v>0</v>
      </c>
      <c r="Q958" t="n">
        <v>0</v>
      </c>
      <c r="R958" s="2" t="inlineStr"/>
    </row>
    <row r="959" ht="15" customHeight="1">
      <c r="A959" t="inlineStr">
        <is>
          <t>A 42562-2025</t>
        </is>
      </c>
      <c r="B959" s="1" t="n">
        <v>45905.59986111111</v>
      </c>
      <c r="C959" s="1" t="n">
        <v>45999</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332-2021</t>
        </is>
      </c>
      <c r="B960" s="1" t="n">
        <v>44201</v>
      </c>
      <c r="C960" s="1" t="n">
        <v>45999</v>
      </c>
      <c r="D960" t="inlineStr">
        <is>
          <t>VÄRMLANDS LÄN</t>
        </is>
      </c>
      <c r="E960" t="inlineStr">
        <is>
          <t>ÅRJÄNG</t>
        </is>
      </c>
      <c r="G960" t="n">
        <v>4.1</v>
      </c>
      <c r="H960" t="n">
        <v>0</v>
      </c>
      <c r="I960" t="n">
        <v>0</v>
      </c>
      <c r="J960" t="n">
        <v>0</v>
      </c>
      <c r="K960" t="n">
        <v>0</v>
      </c>
      <c r="L960" t="n">
        <v>0</v>
      </c>
      <c r="M960" t="n">
        <v>0</v>
      </c>
      <c r="N960" t="n">
        <v>0</v>
      </c>
      <c r="O960" t="n">
        <v>0</v>
      </c>
      <c r="P960" t="n">
        <v>0</v>
      </c>
      <c r="Q960" t="n">
        <v>0</v>
      </c>
      <c r="R960" s="2" t="inlineStr"/>
    </row>
    <row r="961" ht="15" customHeight="1">
      <c r="A961" t="inlineStr">
        <is>
          <t>A 16613-2022</t>
        </is>
      </c>
      <c r="B961" s="1" t="n">
        <v>44672</v>
      </c>
      <c r="C961" s="1" t="n">
        <v>45999</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38057-2024</t>
        </is>
      </c>
      <c r="B962" s="1" t="n">
        <v>45544.73293981481</v>
      </c>
      <c r="C962" s="1" t="n">
        <v>45999</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43012-2025</t>
        </is>
      </c>
      <c r="B963" s="1" t="n">
        <v>45909.48989583334</v>
      </c>
      <c r="C963" s="1" t="n">
        <v>45999</v>
      </c>
      <c r="D963" t="inlineStr">
        <is>
          <t>VÄRMLANDS LÄN</t>
        </is>
      </c>
      <c r="E963" t="inlineStr">
        <is>
          <t>ÅRJÄNG</t>
        </is>
      </c>
      <c r="G963" t="n">
        <v>3.1</v>
      </c>
      <c r="H963" t="n">
        <v>0</v>
      </c>
      <c r="I963" t="n">
        <v>0</v>
      </c>
      <c r="J963" t="n">
        <v>0</v>
      </c>
      <c r="K963" t="n">
        <v>0</v>
      </c>
      <c r="L963" t="n">
        <v>0</v>
      </c>
      <c r="M963" t="n">
        <v>0</v>
      </c>
      <c r="N963" t="n">
        <v>0</v>
      </c>
      <c r="O963" t="n">
        <v>0</v>
      </c>
      <c r="P963" t="n">
        <v>0</v>
      </c>
      <c r="Q963" t="n">
        <v>0</v>
      </c>
      <c r="R963" s="2" t="inlineStr"/>
    </row>
    <row r="964" ht="15" customHeight="1">
      <c r="A964" t="inlineStr">
        <is>
          <t>A 48658-2025</t>
        </is>
      </c>
      <c r="B964" s="1" t="n">
        <v>45936.56628472222</v>
      </c>
      <c r="C964" s="1" t="n">
        <v>45999</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42971-2025</t>
        </is>
      </c>
      <c r="B965" s="1" t="n">
        <v>45909.41502314815</v>
      </c>
      <c r="C965" s="1" t="n">
        <v>45999</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43162-2025</t>
        </is>
      </c>
      <c r="B966" s="1" t="n">
        <v>45910</v>
      </c>
      <c r="C966" s="1" t="n">
        <v>45999</v>
      </c>
      <c r="D966" t="inlineStr">
        <is>
          <t>VÄRMLANDS LÄN</t>
        </is>
      </c>
      <c r="E966" t="inlineStr">
        <is>
          <t>ÅRJÄNG</t>
        </is>
      </c>
      <c r="F966" t="inlineStr">
        <is>
          <t>Bergvik skog väst AB</t>
        </is>
      </c>
      <c r="G966" t="n">
        <v>12.9</v>
      </c>
      <c r="H966" t="n">
        <v>0</v>
      </c>
      <c r="I966" t="n">
        <v>0</v>
      </c>
      <c r="J966" t="n">
        <v>0</v>
      </c>
      <c r="K966" t="n">
        <v>0</v>
      </c>
      <c r="L966" t="n">
        <v>0</v>
      </c>
      <c r="M966" t="n">
        <v>0</v>
      </c>
      <c r="N966" t="n">
        <v>0</v>
      </c>
      <c r="O966" t="n">
        <v>0</v>
      </c>
      <c r="P966" t="n">
        <v>0</v>
      </c>
      <c r="Q966" t="n">
        <v>0</v>
      </c>
      <c r="R966" s="2" t="inlineStr"/>
    </row>
    <row r="967" ht="15" customHeight="1">
      <c r="A967" t="inlineStr">
        <is>
          <t>A 56629-2025</t>
        </is>
      </c>
      <c r="B967" s="1" t="n">
        <v>45975</v>
      </c>
      <c r="C967" s="1" t="n">
        <v>45999</v>
      </c>
      <c r="D967" t="inlineStr">
        <is>
          <t>VÄRMLANDS LÄN</t>
        </is>
      </c>
      <c r="E967" t="inlineStr">
        <is>
          <t>ÅRJÄNG</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34387-2023</t>
        </is>
      </c>
      <c r="B968" s="1" t="n">
        <v>45139.50744212963</v>
      </c>
      <c r="C968" s="1" t="n">
        <v>45999</v>
      </c>
      <c r="D968" t="inlineStr">
        <is>
          <t>VÄRMLANDS LÄN</t>
        </is>
      </c>
      <c r="E968" t="inlineStr">
        <is>
          <t>ÅRJÄNG</t>
        </is>
      </c>
      <c r="G968" t="n">
        <v>2.6</v>
      </c>
      <c r="H968" t="n">
        <v>0</v>
      </c>
      <c r="I968" t="n">
        <v>0</v>
      </c>
      <c r="J968" t="n">
        <v>0</v>
      </c>
      <c r="K968" t="n">
        <v>0</v>
      </c>
      <c r="L968" t="n">
        <v>0</v>
      </c>
      <c r="M968" t="n">
        <v>0</v>
      </c>
      <c r="N968" t="n">
        <v>0</v>
      </c>
      <c r="O968" t="n">
        <v>0</v>
      </c>
      <c r="P968" t="n">
        <v>0</v>
      </c>
      <c r="Q968" t="n">
        <v>0</v>
      </c>
      <c r="R968" s="2" t="inlineStr"/>
    </row>
    <row r="969" ht="15" customHeight="1">
      <c r="A969" t="inlineStr">
        <is>
          <t>A 1289-2025</t>
        </is>
      </c>
      <c r="B969" s="1" t="n">
        <v>45667.51412037037</v>
      </c>
      <c r="C969" s="1" t="n">
        <v>45999</v>
      </c>
      <c r="D969" t="inlineStr">
        <is>
          <t>VÄRMLANDS LÄN</t>
        </is>
      </c>
      <c r="E969" t="inlineStr">
        <is>
          <t>ÅRJÄNG</t>
        </is>
      </c>
      <c r="G969" t="n">
        <v>2.6</v>
      </c>
      <c r="H969" t="n">
        <v>0</v>
      </c>
      <c r="I969" t="n">
        <v>0</v>
      </c>
      <c r="J969" t="n">
        <v>0</v>
      </c>
      <c r="K969" t="n">
        <v>0</v>
      </c>
      <c r="L969" t="n">
        <v>0</v>
      </c>
      <c r="M969" t="n">
        <v>0</v>
      </c>
      <c r="N969" t="n">
        <v>0</v>
      </c>
      <c r="O969" t="n">
        <v>0</v>
      </c>
      <c r="P969" t="n">
        <v>0</v>
      </c>
      <c r="Q969" t="n">
        <v>0</v>
      </c>
      <c r="R969" s="2" t="inlineStr"/>
    </row>
    <row r="970" ht="15" customHeight="1">
      <c r="A970" t="inlineStr">
        <is>
          <t>A 43025-2025</t>
        </is>
      </c>
      <c r="B970" s="1" t="n">
        <v>45909.53126157408</v>
      </c>
      <c r="C970" s="1" t="n">
        <v>45999</v>
      </c>
      <c r="D970" t="inlineStr">
        <is>
          <t>VÄRMLANDS LÄN</t>
        </is>
      </c>
      <c r="E970" t="inlineStr">
        <is>
          <t>ÅRJÄNG</t>
        </is>
      </c>
      <c r="G970" t="n">
        <v>3.8</v>
      </c>
      <c r="H970" t="n">
        <v>0</v>
      </c>
      <c r="I970" t="n">
        <v>0</v>
      </c>
      <c r="J970" t="n">
        <v>0</v>
      </c>
      <c r="K970" t="n">
        <v>0</v>
      </c>
      <c r="L970" t="n">
        <v>0</v>
      </c>
      <c r="M970" t="n">
        <v>0</v>
      </c>
      <c r="N970" t="n">
        <v>0</v>
      </c>
      <c r="O970" t="n">
        <v>0</v>
      </c>
      <c r="P970" t="n">
        <v>0</v>
      </c>
      <c r="Q970" t="n">
        <v>0</v>
      </c>
      <c r="R970" s="2" t="inlineStr"/>
    </row>
    <row r="971" ht="15" customHeight="1">
      <c r="A971" t="inlineStr">
        <is>
          <t>A 43047-2025</t>
        </is>
      </c>
      <c r="B971" s="1" t="n">
        <v>45909.56127314815</v>
      </c>
      <c r="C971" s="1" t="n">
        <v>45999</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30993-2024</t>
        </is>
      </c>
      <c r="B972" s="1" t="n">
        <v>45499</v>
      </c>
      <c r="C972" s="1" t="n">
        <v>45999</v>
      </c>
      <c r="D972" t="inlineStr">
        <is>
          <t>VÄRMLANDS LÄN</t>
        </is>
      </c>
      <c r="E972" t="inlineStr">
        <is>
          <t>ÅRJÄNG</t>
        </is>
      </c>
      <c r="F972" t="inlineStr">
        <is>
          <t>Kyrkan</t>
        </is>
      </c>
      <c r="G972" t="n">
        <v>4.7</v>
      </c>
      <c r="H972" t="n">
        <v>0</v>
      </c>
      <c r="I972" t="n">
        <v>0</v>
      </c>
      <c r="J972" t="n">
        <v>0</v>
      </c>
      <c r="K972" t="n">
        <v>0</v>
      </c>
      <c r="L972" t="n">
        <v>0</v>
      </c>
      <c r="M972" t="n">
        <v>0</v>
      </c>
      <c r="N972" t="n">
        <v>0</v>
      </c>
      <c r="O972" t="n">
        <v>0</v>
      </c>
      <c r="P972" t="n">
        <v>0</v>
      </c>
      <c r="Q972" t="n">
        <v>0</v>
      </c>
      <c r="R972" s="2" t="inlineStr"/>
    </row>
    <row r="973" ht="15" customHeight="1">
      <c r="A973" t="inlineStr">
        <is>
          <t>A 43050-2025</t>
        </is>
      </c>
      <c r="B973" s="1" t="n">
        <v>45909.56809027777</v>
      </c>
      <c r="C973" s="1" t="n">
        <v>45999</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48156-2025</t>
        </is>
      </c>
      <c r="B974" s="1" t="n">
        <v>45933.41744212963</v>
      </c>
      <c r="C974" s="1" t="n">
        <v>45999</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48567-2025</t>
        </is>
      </c>
      <c r="B975" s="1" t="n">
        <v>45936.44805555556</v>
      </c>
      <c r="C975" s="1" t="n">
        <v>45999</v>
      </c>
      <c r="D975" t="inlineStr">
        <is>
          <t>VÄRMLANDS LÄN</t>
        </is>
      </c>
      <c r="E975" t="inlineStr">
        <is>
          <t>ÅRJÄNG</t>
        </is>
      </c>
      <c r="G975" t="n">
        <v>4</v>
      </c>
      <c r="H975" t="n">
        <v>0</v>
      </c>
      <c r="I975" t="n">
        <v>0</v>
      </c>
      <c r="J975" t="n">
        <v>0</v>
      </c>
      <c r="K975" t="n">
        <v>0</v>
      </c>
      <c r="L975" t="n">
        <v>0</v>
      </c>
      <c r="M975" t="n">
        <v>0</v>
      </c>
      <c r="N975" t="n">
        <v>0</v>
      </c>
      <c r="O975" t="n">
        <v>0</v>
      </c>
      <c r="P975" t="n">
        <v>0</v>
      </c>
      <c r="Q975" t="n">
        <v>0</v>
      </c>
      <c r="R975" s="2" t="inlineStr"/>
    </row>
    <row r="976" ht="15" customHeight="1">
      <c r="A976" t="inlineStr">
        <is>
          <t>A 43426-2025</t>
        </is>
      </c>
      <c r="B976" s="1" t="n">
        <v>45911.41869212963</v>
      </c>
      <c r="C976" s="1" t="n">
        <v>45999</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43484-2025</t>
        </is>
      </c>
      <c r="B977" s="1" t="n">
        <v>45911.5033912037</v>
      </c>
      <c r="C977" s="1" t="n">
        <v>45999</v>
      </c>
      <c r="D977" t="inlineStr">
        <is>
          <t>VÄRMLANDS LÄN</t>
        </is>
      </c>
      <c r="E977" t="inlineStr">
        <is>
          <t>ÅRJÄNG</t>
        </is>
      </c>
      <c r="G977" t="n">
        <v>1.8</v>
      </c>
      <c r="H977" t="n">
        <v>0</v>
      </c>
      <c r="I977" t="n">
        <v>0</v>
      </c>
      <c r="J977" t="n">
        <v>0</v>
      </c>
      <c r="K977" t="n">
        <v>0</v>
      </c>
      <c r="L977" t="n">
        <v>0</v>
      </c>
      <c r="M977" t="n">
        <v>0</v>
      </c>
      <c r="N977" t="n">
        <v>0</v>
      </c>
      <c r="O977" t="n">
        <v>0</v>
      </c>
      <c r="P977" t="n">
        <v>0</v>
      </c>
      <c r="Q977" t="n">
        <v>0</v>
      </c>
      <c r="R977" s="2" t="inlineStr"/>
    </row>
    <row r="978" ht="15" customHeight="1">
      <c r="A978" t="inlineStr">
        <is>
          <t>A 521-2025</t>
        </is>
      </c>
      <c r="B978" s="1" t="n">
        <v>45664.48826388889</v>
      </c>
      <c r="C978" s="1" t="n">
        <v>45999</v>
      </c>
      <c r="D978" t="inlineStr">
        <is>
          <t>VÄRMLANDS LÄN</t>
        </is>
      </c>
      <c r="E978" t="inlineStr">
        <is>
          <t>ÅRJÄNG</t>
        </is>
      </c>
      <c r="G978" t="n">
        <v>2.7</v>
      </c>
      <c r="H978" t="n">
        <v>0</v>
      </c>
      <c r="I978" t="n">
        <v>0</v>
      </c>
      <c r="J978" t="n">
        <v>0</v>
      </c>
      <c r="K978" t="n">
        <v>0</v>
      </c>
      <c r="L978" t="n">
        <v>0</v>
      </c>
      <c r="M978" t="n">
        <v>0</v>
      </c>
      <c r="N978" t="n">
        <v>0</v>
      </c>
      <c r="O978" t="n">
        <v>0</v>
      </c>
      <c r="P978" t="n">
        <v>0</v>
      </c>
      <c r="Q978" t="n">
        <v>0</v>
      </c>
      <c r="R978" s="2" t="inlineStr"/>
    </row>
    <row r="979" ht="15" customHeight="1">
      <c r="A979" t="inlineStr">
        <is>
          <t>A 48225-2025</t>
        </is>
      </c>
      <c r="B979" s="1" t="n">
        <v>45933.50998842593</v>
      </c>
      <c r="C979" s="1" t="n">
        <v>45999</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34643-2024</t>
        </is>
      </c>
      <c r="B980" s="1" t="n">
        <v>45526</v>
      </c>
      <c r="C980" s="1" t="n">
        <v>45999</v>
      </c>
      <c r="D980" t="inlineStr">
        <is>
          <t>VÄRMLANDS LÄN</t>
        </is>
      </c>
      <c r="E980" t="inlineStr">
        <is>
          <t>ÅRJÄNG</t>
        </is>
      </c>
      <c r="G980" t="n">
        <v>3.4</v>
      </c>
      <c r="H980" t="n">
        <v>0</v>
      </c>
      <c r="I980" t="n">
        <v>0</v>
      </c>
      <c r="J980" t="n">
        <v>0</v>
      </c>
      <c r="K980" t="n">
        <v>0</v>
      </c>
      <c r="L980" t="n">
        <v>0</v>
      </c>
      <c r="M980" t="n">
        <v>0</v>
      </c>
      <c r="N980" t="n">
        <v>0</v>
      </c>
      <c r="O980" t="n">
        <v>0</v>
      </c>
      <c r="P980" t="n">
        <v>0</v>
      </c>
      <c r="Q980" t="n">
        <v>0</v>
      </c>
      <c r="R980" s="2" t="inlineStr"/>
    </row>
    <row r="981" ht="15" customHeight="1">
      <c r="A981" t="inlineStr">
        <is>
          <t>A 43434-2025</t>
        </is>
      </c>
      <c r="B981" s="1" t="n">
        <v>45911.42743055556</v>
      </c>
      <c r="C981" s="1" t="n">
        <v>45999</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4606-2024</t>
        </is>
      </c>
      <c r="B982" s="1" t="n">
        <v>45328.3225</v>
      </c>
      <c r="C982" s="1" t="n">
        <v>45999</v>
      </c>
      <c r="D982" t="inlineStr">
        <is>
          <t>VÄRMLANDS LÄN</t>
        </is>
      </c>
      <c r="E982" t="inlineStr">
        <is>
          <t>ÅRJÄNG</t>
        </is>
      </c>
      <c r="G982" t="n">
        <v>3.9</v>
      </c>
      <c r="H982" t="n">
        <v>0</v>
      </c>
      <c r="I982" t="n">
        <v>0</v>
      </c>
      <c r="J982" t="n">
        <v>0</v>
      </c>
      <c r="K982" t="n">
        <v>0</v>
      </c>
      <c r="L982" t="n">
        <v>0</v>
      </c>
      <c r="M982" t="n">
        <v>0</v>
      </c>
      <c r="N982" t="n">
        <v>0</v>
      </c>
      <c r="O982" t="n">
        <v>0</v>
      </c>
      <c r="P982" t="n">
        <v>0</v>
      </c>
      <c r="Q982" t="n">
        <v>0</v>
      </c>
      <c r="R982" s="2" t="inlineStr"/>
    </row>
    <row r="983" ht="15" customHeight="1">
      <c r="A983" t="inlineStr">
        <is>
          <t>A 53332-2023</t>
        </is>
      </c>
      <c r="B983" s="1" t="n">
        <v>45229</v>
      </c>
      <c r="C983" s="1" t="n">
        <v>45999</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24252-2025</t>
        </is>
      </c>
      <c r="B984" s="1" t="n">
        <v>45797.40376157407</v>
      </c>
      <c r="C984" s="1" t="n">
        <v>45999</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52855-2025</t>
        </is>
      </c>
      <c r="B985" s="1" t="n">
        <v>45957.50030092592</v>
      </c>
      <c r="C985" s="1" t="n">
        <v>45999</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57078-2025</t>
        </is>
      </c>
      <c r="B986" s="1" t="n">
        <v>45979.40554398148</v>
      </c>
      <c r="C986" s="1" t="n">
        <v>45999</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57218-2025</t>
        </is>
      </c>
      <c r="B987" s="1" t="n">
        <v>45979.61164351852</v>
      </c>
      <c r="C987" s="1" t="n">
        <v>45999</v>
      </c>
      <c r="D987" t="inlineStr">
        <is>
          <t>VÄRMLANDS LÄN</t>
        </is>
      </c>
      <c r="E987" t="inlineStr">
        <is>
          <t>ÅRJÄNG</t>
        </is>
      </c>
      <c r="G987" t="n">
        <v>2.9</v>
      </c>
      <c r="H987" t="n">
        <v>0</v>
      </c>
      <c r="I987" t="n">
        <v>0</v>
      </c>
      <c r="J987" t="n">
        <v>0</v>
      </c>
      <c r="K987" t="n">
        <v>0</v>
      </c>
      <c r="L987" t="n">
        <v>0</v>
      </c>
      <c r="M987" t="n">
        <v>0</v>
      </c>
      <c r="N987" t="n">
        <v>0</v>
      </c>
      <c r="O987" t="n">
        <v>0</v>
      </c>
      <c r="P987" t="n">
        <v>0</v>
      </c>
      <c r="Q987" t="n">
        <v>0</v>
      </c>
      <c r="R987" s="2" t="inlineStr"/>
    </row>
    <row r="988" ht="15" customHeight="1">
      <c r="A988" t="inlineStr">
        <is>
          <t>A 41201-2024</t>
        </is>
      </c>
      <c r="B988" s="1" t="n">
        <v>45559</v>
      </c>
      <c r="C988" s="1" t="n">
        <v>45999</v>
      </c>
      <c r="D988" t="inlineStr">
        <is>
          <t>VÄRMLANDS LÄN</t>
        </is>
      </c>
      <c r="E988" t="inlineStr">
        <is>
          <t>ÅRJÄNG</t>
        </is>
      </c>
      <c r="G988" t="n">
        <v>4.1</v>
      </c>
      <c r="H988" t="n">
        <v>0</v>
      </c>
      <c r="I988" t="n">
        <v>0</v>
      </c>
      <c r="J988" t="n">
        <v>0</v>
      </c>
      <c r="K988" t="n">
        <v>0</v>
      </c>
      <c r="L988" t="n">
        <v>0</v>
      </c>
      <c r="M988" t="n">
        <v>0</v>
      </c>
      <c r="N988" t="n">
        <v>0</v>
      </c>
      <c r="O988" t="n">
        <v>0</v>
      </c>
      <c r="P988" t="n">
        <v>0</v>
      </c>
      <c r="Q988" t="n">
        <v>0</v>
      </c>
      <c r="R988" s="2" t="inlineStr"/>
    </row>
    <row r="989" ht="15" customHeight="1">
      <c r="A989" t="inlineStr">
        <is>
          <t>A 49424-2025</t>
        </is>
      </c>
      <c r="B989" s="1" t="n">
        <v>45938.72657407408</v>
      </c>
      <c r="C989" s="1" t="n">
        <v>45999</v>
      </c>
      <c r="D989" t="inlineStr">
        <is>
          <t>VÄRMLANDS LÄN</t>
        </is>
      </c>
      <c r="E989" t="inlineStr">
        <is>
          <t>ÅRJÄNG</t>
        </is>
      </c>
      <c r="F989" t="inlineStr">
        <is>
          <t>Bergvik skog väst AB</t>
        </is>
      </c>
      <c r="G989" t="n">
        <v>2</v>
      </c>
      <c r="H989" t="n">
        <v>0</v>
      </c>
      <c r="I989" t="n">
        <v>0</v>
      </c>
      <c r="J989" t="n">
        <v>0</v>
      </c>
      <c r="K989" t="n">
        <v>0</v>
      </c>
      <c r="L989" t="n">
        <v>0</v>
      </c>
      <c r="M989" t="n">
        <v>0</v>
      </c>
      <c r="N989" t="n">
        <v>0</v>
      </c>
      <c r="O989" t="n">
        <v>0</v>
      </c>
      <c r="P989" t="n">
        <v>0</v>
      </c>
      <c r="Q989" t="n">
        <v>0</v>
      </c>
      <c r="R989" s="2" t="inlineStr"/>
    </row>
    <row r="990" ht="15" customHeight="1">
      <c r="A990" t="inlineStr">
        <is>
          <t>A 65773-2020</t>
        </is>
      </c>
      <c r="B990" s="1" t="n">
        <v>44174</v>
      </c>
      <c r="C990" s="1" t="n">
        <v>45999</v>
      </c>
      <c r="D990" t="inlineStr">
        <is>
          <t>VÄRMLANDS LÄN</t>
        </is>
      </c>
      <c r="E990" t="inlineStr">
        <is>
          <t>ÅRJÄNG</t>
        </is>
      </c>
      <c r="G990" t="n">
        <v>0.4</v>
      </c>
      <c r="H990" t="n">
        <v>0</v>
      </c>
      <c r="I990" t="n">
        <v>0</v>
      </c>
      <c r="J990" t="n">
        <v>0</v>
      </c>
      <c r="K990" t="n">
        <v>0</v>
      </c>
      <c r="L990" t="n">
        <v>0</v>
      </c>
      <c r="M990" t="n">
        <v>0</v>
      </c>
      <c r="N990" t="n">
        <v>0</v>
      </c>
      <c r="O990" t="n">
        <v>0</v>
      </c>
      <c r="P990" t="n">
        <v>0</v>
      </c>
      <c r="Q990" t="n">
        <v>0</v>
      </c>
      <c r="R990" s="2" t="inlineStr"/>
    </row>
    <row r="991" ht="15" customHeight="1">
      <c r="A991" t="inlineStr">
        <is>
          <t>A 65781-2020</t>
        </is>
      </c>
      <c r="B991" s="1" t="n">
        <v>44174</v>
      </c>
      <c r="C991" s="1" t="n">
        <v>45999</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24983-2025</t>
        </is>
      </c>
      <c r="B992" s="1" t="n">
        <v>45799.59841435185</v>
      </c>
      <c r="C992" s="1" t="n">
        <v>45999</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44300-2025</t>
        </is>
      </c>
      <c r="B993" s="1" t="n">
        <v>45916.3702662037</v>
      </c>
      <c r="C993" s="1" t="n">
        <v>45999</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57273-2025</t>
        </is>
      </c>
      <c r="B994" s="1" t="n">
        <v>45979.68439814815</v>
      </c>
      <c r="C994" s="1" t="n">
        <v>45999</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44452-2025</t>
        </is>
      </c>
      <c r="B995" s="1" t="n">
        <v>45916</v>
      </c>
      <c r="C995" s="1" t="n">
        <v>45999</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53160-2025</t>
        </is>
      </c>
      <c r="B996" s="1" t="n">
        <v>45958.49123842592</v>
      </c>
      <c r="C996" s="1" t="n">
        <v>45999</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53158-2025</t>
        </is>
      </c>
      <c r="B997" s="1" t="n">
        <v>45958.49064814814</v>
      </c>
      <c r="C997" s="1" t="n">
        <v>45999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53073-2025</t>
        </is>
      </c>
      <c r="B998" s="1" t="n">
        <v>45958.38311342592</v>
      </c>
      <c r="C998" s="1" t="n">
        <v>45999</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53103-2025</t>
        </is>
      </c>
      <c r="B999" s="1" t="n">
        <v>45958.43097222222</v>
      </c>
      <c r="C999" s="1" t="n">
        <v>45999</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57240-2025</t>
        </is>
      </c>
      <c r="B1000" s="1" t="n">
        <v>45979.62587962963</v>
      </c>
      <c r="C1000" s="1" t="n">
        <v>45999</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57439-2025</t>
        </is>
      </c>
      <c r="B1001" s="1" t="n">
        <v>45980.48193287037</v>
      </c>
      <c r="C1001" s="1" t="n">
        <v>45999</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44456-2025</t>
        </is>
      </c>
      <c r="B1002" s="1" t="n">
        <v>45916</v>
      </c>
      <c r="C1002" s="1" t="n">
        <v>45999</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53022-2025</t>
        </is>
      </c>
      <c r="B1003" s="1" t="n">
        <v>45958.24024305555</v>
      </c>
      <c r="C1003" s="1" t="n">
        <v>45999</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53024-2025</t>
        </is>
      </c>
      <c r="B1004" s="1" t="n">
        <v>45958.32211805556</v>
      </c>
      <c r="C1004" s="1" t="n">
        <v>45999</v>
      </c>
      <c r="D1004" t="inlineStr">
        <is>
          <t>VÄRMLANDS LÄN</t>
        </is>
      </c>
      <c r="E1004" t="inlineStr">
        <is>
          <t>ÅRJÄNG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49727-2025</t>
        </is>
      </c>
      <c r="B1005" s="1" t="n">
        <v>45939</v>
      </c>
      <c r="C1005" s="1" t="n">
        <v>45999</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59068-2024</t>
        </is>
      </c>
      <c r="B1006" s="1" t="n">
        <v>45636.95376157408</v>
      </c>
      <c r="C1006" s="1" t="n">
        <v>45999</v>
      </c>
      <c r="D1006" t="inlineStr">
        <is>
          <t>VÄRMLANDS LÄN</t>
        </is>
      </c>
      <c r="E1006" t="inlineStr">
        <is>
          <t>ÅRJÄNG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44451-2025</t>
        </is>
      </c>
      <c r="B1007" s="1" t="n">
        <v>45916</v>
      </c>
      <c r="C1007" s="1" t="n">
        <v>45999</v>
      </c>
      <c r="D1007" t="inlineStr">
        <is>
          <t>VÄRMLANDS LÄN</t>
        </is>
      </c>
      <c r="E1007" t="inlineStr">
        <is>
          <t>ÅRJÄNG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49436-2025</t>
        </is>
      </c>
      <c r="B1008" s="1" t="n">
        <v>45938.87913194444</v>
      </c>
      <c r="C1008" s="1" t="n">
        <v>45999</v>
      </c>
      <c r="D1008" t="inlineStr">
        <is>
          <t>VÄRMLANDS LÄN</t>
        </is>
      </c>
      <c r="E1008" t="inlineStr">
        <is>
          <t>ÅRJÄNG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49439-2025</t>
        </is>
      </c>
      <c r="B1009" s="1" t="n">
        <v>45938.88315972222</v>
      </c>
      <c r="C1009" s="1" t="n">
        <v>45999</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49728-2025</t>
        </is>
      </c>
      <c r="B1010" s="1" t="n">
        <v>45939</v>
      </c>
      <c r="C1010" s="1" t="n">
        <v>45999</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44924-2025</t>
        </is>
      </c>
      <c r="B1011" s="1" t="n">
        <v>45918</v>
      </c>
      <c r="C1011" s="1" t="n">
        <v>45999</v>
      </c>
      <c r="D1011" t="inlineStr">
        <is>
          <t>VÄRMLANDS LÄN</t>
        </is>
      </c>
      <c r="E1011" t="inlineStr">
        <is>
          <t>ÅRJÄNG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53298-2025</t>
        </is>
      </c>
      <c r="B1012" s="1" t="n">
        <v>45959.23447916667</v>
      </c>
      <c r="C1012" s="1" t="n">
        <v>45999</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49914-2025</t>
        </is>
      </c>
      <c r="B1013" s="1" t="n">
        <v>45940.61268518519</v>
      </c>
      <c r="C1013" s="1" t="n">
        <v>45999</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57925-2025</t>
        </is>
      </c>
      <c r="B1014" s="1" t="n">
        <v>45981.87783564815</v>
      </c>
      <c r="C1014" s="1" t="n">
        <v>45999</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49441-2025</t>
        </is>
      </c>
      <c r="B1015" s="1" t="n">
        <v>45938.88782407407</v>
      </c>
      <c r="C1015" s="1" t="n">
        <v>45999</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49442-2025</t>
        </is>
      </c>
      <c r="B1016" s="1" t="n">
        <v>45938.88975694445</v>
      </c>
      <c r="C1016" s="1" t="n">
        <v>45999</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26258-2025</t>
        </is>
      </c>
      <c r="B1017" s="1" t="n">
        <v>45805.58349537037</v>
      </c>
      <c r="C1017" s="1" t="n">
        <v>45999</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5319-2025</t>
        </is>
      </c>
      <c r="B1018" s="1" t="n">
        <v>45692.52384259259</v>
      </c>
      <c r="C1018" s="1" t="n">
        <v>45999</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12840-2025</t>
        </is>
      </c>
      <c r="B1019" s="1" t="n">
        <v>45733</v>
      </c>
      <c r="C1019" s="1" t="n">
        <v>45999</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53642-2025</t>
        </is>
      </c>
      <c r="B1020" s="1" t="n">
        <v>45960.51290509259</v>
      </c>
      <c r="C1020" s="1" t="n">
        <v>45999</v>
      </c>
      <c r="D1020" t="inlineStr">
        <is>
          <t>VÄRMLANDS LÄN</t>
        </is>
      </c>
      <c r="E1020" t="inlineStr">
        <is>
          <t>ÅRJÄNG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44768-2025</t>
        </is>
      </c>
      <c r="B1021" s="1" t="n">
        <v>45917.74274305555</v>
      </c>
      <c r="C1021" s="1" t="n">
        <v>45999</v>
      </c>
      <c r="D1021" t="inlineStr">
        <is>
          <t>VÄRMLANDS LÄN</t>
        </is>
      </c>
      <c r="E1021" t="inlineStr">
        <is>
          <t>ÅRJÄNG</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8146-2024</t>
        </is>
      </c>
      <c r="B1022" s="1" t="n">
        <v>45351.57671296296</v>
      </c>
      <c r="C1022" s="1" t="n">
        <v>45999</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26758-2025</t>
        </is>
      </c>
      <c r="B1023" s="1" t="n">
        <v>45807</v>
      </c>
      <c r="C1023" s="1" t="n">
        <v>45999</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49437-2025</t>
        </is>
      </c>
      <c r="B1024" s="1" t="n">
        <v>45938.8803587963</v>
      </c>
      <c r="C1024" s="1" t="n">
        <v>45999</v>
      </c>
      <c r="D1024" t="inlineStr">
        <is>
          <t>VÄRMLANDS LÄN</t>
        </is>
      </c>
      <c r="E1024" t="inlineStr">
        <is>
          <t>ÅRJÄNG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49936-2025</t>
        </is>
      </c>
      <c r="B1025" s="1" t="n">
        <v>45940.66287037037</v>
      </c>
      <c r="C1025" s="1" t="n">
        <v>45999</v>
      </c>
      <c r="D1025" t="inlineStr">
        <is>
          <t>VÄRMLANDS LÄN</t>
        </is>
      </c>
      <c r="E1025" t="inlineStr">
        <is>
          <t>ÅRJÄNG</t>
        </is>
      </c>
      <c r="F1025" t="inlineStr">
        <is>
          <t>Kyrkan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49540-2025</t>
        </is>
      </c>
      <c r="B1026" s="1" t="n">
        <v>45939.42537037037</v>
      </c>
      <c r="C1026" s="1" t="n">
        <v>45999</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57929-2025</t>
        </is>
      </c>
      <c r="B1027" s="1" t="n">
        <v>45981.89403935185</v>
      </c>
      <c r="C1027" s="1" t="n">
        <v>45999</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26728-2025</t>
        </is>
      </c>
      <c r="B1028" s="1" t="n">
        <v>45810.50186342592</v>
      </c>
      <c r="C1028" s="1" t="n">
        <v>45999</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57752-2025</t>
        </is>
      </c>
      <c r="B1029" s="1" t="n">
        <v>45981</v>
      </c>
      <c r="C1029" s="1" t="n">
        <v>45999</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57924-2025</t>
        </is>
      </c>
      <c r="B1030" s="1" t="n">
        <v>45981</v>
      </c>
      <c r="C1030" s="1" t="n">
        <v>45999</v>
      </c>
      <c r="D1030" t="inlineStr">
        <is>
          <t>VÄRMLANDS LÄN</t>
        </is>
      </c>
      <c r="E1030" t="inlineStr">
        <is>
          <t>ÅRJÄNG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50187-2025</t>
        </is>
      </c>
      <c r="B1031" s="1" t="n">
        <v>45943.62962962963</v>
      </c>
      <c r="C1031" s="1" t="n">
        <v>45999</v>
      </c>
      <c r="D1031" t="inlineStr">
        <is>
          <t>VÄRMLANDS LÄN</t>
        </is>
      </c>
      <c r="E1031" t="inlineStr">
        <is>
          <t>ÅRJÄNG</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45037-2025</t>
        </is>
      </c>
      <c r="B1032" s="1" t="n">
        <v>45918</v>
      </c>
      <c r="C1032" s="1" t="n">
        <v>45999</v>
      </c>
      <c r="D1032" t="inlineStr">
        <is>
          <t>VÄRMLANDS LÄN</t>
        </is>
      </c>
      <c r="E1032" t="inlineStr">
        <is>
          <t>ÅRJÄNG</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58578-2025</t>
        </is>
      </c>
      <c r="B1033" s="1" t="n">
        <v>45986.38496527778</v>
      </c>
      <c r="C1033" s="1" t="n">
        <v>45999</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24789-2024</t>
        </is>
      </c>
      <c r="B1034" s="1" t="n">
        <v>45460</v>
      </c>
      <c r="C1034" s="1" t="n">
        <v>45999</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58518-2025</t>
        </is>
      </c>
      <c r="B1035" s="1" t="n">
        <v>45985.7062037037</v>
      </c>
      <c r="C1035" s="1" t="n">
        <v>45999</v>
      </c>
      <c r="D1035" t="inlineStr">
        <is>
          <t>VÄRMLANDS LÄN</t>
        </is>
      </c>
      <c r="E1035" t="inlineStr">
        <is>
          <t>ÅRJÄNG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55432-2024</t>
        </is>
      </c>
      <c r="B1036" s="1" t="n">
        <v>45622</v>
      </c>
      <c r="C1036" s="1" t="n">
        <v>45999</v>
      </c>
      <c r="D1036" t="inlineStr">
        <is>
          <t>VÄRMLANDS LÄN</t>
        </is>
      </c>
      <c r="E1036" t="inlineStr">
        <is>
          <t>ÅRJÄNG</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24971-2025</t>
        </is>
      </c>
      <c r="B1037" s="1" t="n">
        <v>45799</v>
      </c>
      <c r="C1037" s="1" t="n">
        <v>45999</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51265-2024</t>
        </is>
      </c>
      <c r="B1038" s="1" t="n">
        <v>45602</v>
      </c>
      <c r="C1038" s="1" t="n">
        <v>45999</v>
      </c>
      <c r="D1038" t="inlineStr">
        <is>
          <t>VÄRMLANDS LÄN</t>
        </is>
      </c>
      <c r="E1038" t="inlineStr">
        <is>
          <t>ÅRJÄNG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57740-2025</t>
        </is>
      </c>
      <c r="B1039" s="1" t="n">
        <v>45981</v>
      </c>
      <c r="C1039" s="1" t="n">
        <v>45999</v>
      </c>
      <c r="D1039" t="inlineStr">
        <is>
          <t>VÄRMLANDS LÄN</t>
        </is>
      </c>
      <c r="E1039" t="inlineStr">
        <is>
          <t>ÅRJÄNG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4865-2024</t>
        </is>
      </c>
      <c r="B1040" s="1" t="n">
        <v>45329</v>
      </c>
      <c r="C1040" s="1" t="n">
        <v>45999</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26783-2024</t>
        </is>
      </c>
      <c r="B1041" s="1" t="n">
        <v>45470</v>
      </c>
      <c r="C1041" s="1" t="n">
        <v>45999</v>
      </c>
      <c r="D1041" t="inlineStr">
        <is>
          <t>VÄRMLANDS LÄN</t>
        </is>
      </c>
      <c r="E1041" t="inlineStr">
        <is>
          <t>ÅRJÄNG</t>
        </is>
      </c>
      <c r="F1041" t="inlineStr">
        <is>
          <t>Övriga Aktiebolag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18718-2023</t>
        </is>
      </c>
      <c r="B1042" s="1" t="n">
        <v>45043.65459490741</v>
      </c>
      <c r="C1042" s="1" t="n">
        <v>45999</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26434-2025</t>
        </is>
      </c>
      <c r="B1043" s="1" t="n">
        <v>45807.39797453704</v>
      </c>
      <c r="C1043" s="1" t="n">
        <v>45999</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50295-2025</t>
        </is>
      </c>
      <c r="B1044" s="1" t="n">
        <v>45944</v>
      </c>
      <c r="C1044" s="1" t="n">
        <v>45999</v>
      </c>
      <c r="D1044" t="inlineStr">
        <is>
          <t>VÄRMLANDS LÄN</t>
        </is>
      </c>
      <c r="E1044" t="inlineStr">
        <is>
          <t>ÅRJÄNG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58573-2025</t>
        </is>
      </c>
      <c r="B1045" s="1" t="n">
        <v>45986.37599537037</v>
      </c>
      <c r="C1045" s="1" t="n">
        <v>45999</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58577-2025</t>
        </is>
      </c>
      <c r="B1046" s="1" t="n">
        <v>45986.38273148148</v>
      </c>
      <c r="C1046" s="1" t="n">
        <v>45999</v>
      </c>
      <c r="D1046" t="inlineStr">
        <is>
          <t>VÄRMLANDS LÄN</t>
        </is>
      </c>
      <c r="E1046" t="inlineStr">
        <is>
          <t>ÅRJÄNG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53751-2025</t>
        </is>
      </c>
      <c r="B1047" s="1" t="n">
        <v>45960.65855324074</v>
      </c>
      <c r="C1047" s="1" t="n">
        <v>45999</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53752-2025</t>
        </is>
      </c>
      <c r="B1048" s="1" t="n">
        <v>45960.66131944444</v>
      </c>
      <c r="C1048" s="1" t="n">
        <v>45999</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4137-2025</t>
        </is>
      </c>
      <c r="B1049" s="1" t="n">
        <v>45685.35232638889</v>
      </c>
      <c r="C1049" s="1" t="n">
        <v>45999</v>
      </c>
      <c r="D1049" t="inlineStr">
        <is>
          <t>VÄRMLANDS LÄN</t>
        </is>
      </c>
      <c r="E1049" t="inlineStr">
        <is>
          <t>ÅRJÄNG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43517-2024</t>
        </is>
      </c>
      <c r="B1050" s="1" t="n">
        <v>45569.32800925926</v>
      </c>
      <c r="C1050" s="1" t="n">
        <v>45999</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44956-2025</t>
        </is>
      </c>
      <c r="B1051" s="1" t="n">
        <v>45918.61452546297</v>
      </c>
      <c r="C1051" s="1" t="n">
        <v>45999</v>
      </c>
      <c r="D1051" t="inlineStr">
        <is>
          <t>VÄRMLANDS LÄN</t>
        </is>
      </c>
      <c r="E1051" t="inlineStr">
        <is>
          <t>ÅRJÄNG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57741-2025</t>
        </is>
      </c>
      <c r="B1052" s="1" t="n">
        <v>45981</v>
      </c>
      <c r="C1052" s="1" t="n">
        <v>45999</v>
      </c>
      <c r="D1052" t="inlineStr">
        <is>
          <t>VÄRMLANDS LÄN</t>
        </is>
      </c>
      <c r="E1052" t="inlineStr">
        <is>
          <t>ÅRJÄNG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15323-2025</t>
        </is>
      </c>
      <c r="B1053" s="1" t="n">
        <v>45747.32385416667</v>
      </c>
      <c r="C1053" s="1" t="n">
        <v>45999</v>
      </c>
      <c r="D1053" t="inlineStr">
        <is>
          <t>VÄRMLANDS LÄN</t>
        </is>
      </c>
      <c r="E1053" t="inlineStr">
        <is>
          <t>ÅRJÄNG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50114-2025</t>
        </is>
      </c>
      <c r="B1054" s="1" t="n">
        <v>45943</v>
      </c>
      <c r="C1054" s="1" t="n">
        <v>45999</v>
      </c>
      <c r="D1054" t="inlineStr">
        <is>
          <t>VÄRMLANDS LÄN</t>
        </is>
      </c>
      <c r="E1054" t="inlineStr">
        <is>
          <t>ÅRJÄNG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45099-2025</t>
        </is>
      </c>
      <c r="B1055" s="1" t="n">
        <v>45919</v>
      </c>
      <c r="C1055" s="1" t="n">
        <v>45999</v>
      </c>
      <c r="D1055" t="inlineStr">
        <is>
          <t>VÄRMLANDS LÄN</t>
        </is>
      </c>
      <c r="E1055" t="inlineStr">
        <is>
          <t>ÅRJÄNG</t>
        </is>
      </c>
      <c r="F1055" t="inlineStr">
        <is>
          <t>Övriga Aktiebolag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50108-2025</t>
        </is>
      </c>
      <c r="B1056" s="1" t="n">
        <v>45943</v>
      </c>
      <c r="C1056" s="1" t="n">
        <v>45999</v>
      </c>
      <c r="D1056" t="inlineStr">
        <is>
          <t>VÄRMLANDS LÄN</t>
        </is>
      </c>
      <c r="E1056" t="inlineStr">
        <is>
          <t>ÅRJÄNG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50118-2025</t>
        </is>
      </c>
      <c r="B1057" s="1" t="n">
        <v>45943</v>
      </c>
      <c r="C1057" s="1" t="n">
        <v>45999</v>
      </c>
      <c r="D1057" t="inlineStr">
        <is>
          <t>VÄRMLANDS LÄN</t>
        </is>
      </c>
      <c r="E1057" t="inlineStr">
        <is>
          <t>ÅRJÄNG</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60909-2024</t>
        </is>
      </c>
      <c r="B1058" s="1" t="n">
        <v>45645</v>
      </c>
      <c r="C1058" s="1" t="n">
        <v>45999</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45130-2025</t>
        </is>
      </c>
      <c r="B1059" s="1" t="n">
        <v>45919</v>
      </c>
      <c r="C1059" s="1" t="n">
        <v>45999</v>
      </c>
      <c r="D1059" t="inlineStr">
        <is>
          <t>VÄRMLANDS LÄN</t>
        </is>
      </c>
      <c r="E1059" t="inlineStr">
        <is>
          <t>ÅRJÄNG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54155-2025</t>
        </is>
      </c>
      <c r="B1060" s="1" t="n">
        <v>45964.49306712963</v>
      </c>
      <c r="C1060" s="1" t="n">
        <v>45999</v>
      </c>
      <c r="D1060" t="inlineStr">
        <is>
          <t>VÄRMLANDS LÄN</t>
        </is>
      </c>
      <c r="E1060" t="inlineStr">
        <is>
          <t>ÅRJÄNG</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8357-2025</t>
        </is>
      </c>
      <c r="B1061" s="1" t="n">
        <v>45708.79896990741</v>
      </c>
      <c r="C1061" s="1" t="n">
        <v>45999</v>
      </c>
      <c r="D1061" t="inlineStr">
        <is>
          <t>VÄRMLANDS LÄN</t>
        </is>
      </c>
      <c r="E1061" t="inlineStr">
        <is>
          <t>ÅRJÄNG</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10321-2025</t>
        </is>
      </c>
      <c r="B1062" s="1" t="n">
        <v>45720</v>
      </c>
      <c r="C1062" s="1" t="n">
        <v>45999</v>
      </c>
      <c r="D1062" t="inlineStr">
        <is>
          <t>VÄRMLANDS LÄN</t>
        </is>
      </c>
      <c r="E1062" t="inlineStr">
        <is>
          <t>ÅRJÄNG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45161-2025</t>
        </is>
      </c>
      <c r="B1063" s="1" t="n">
        <v>45919</v>
      </c>
      <c r="C1063" s="1" t="n">
        <v>45999</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49958-2025</t>
        </is>
      </c>
      <c r="B1064" s="1" t="n">
        <v>45941.33325231481</v>
      </c>
      <c r="C1064" s="1" t="n">
        <v>45999</v>
      </c>
      <c r="D1064" t="inlineStr">
        <is>
          <t>VÄRMLANDS LÄN</t>
        </is>
      </c>
      <c r="E1064" t="inlineStr">
        <is>
          <t>ÅRJÄNG</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45137-2025</t>
        </is>
      </c>
      <c r="B1065" s="1" t="n">
        <v>45919</v>
      </c>
      <c r="C1065" s="1" t="n">
        <v>45999</v>
      </c>
      <c r="D1065" t="inlineStr">
        <is>
          <t>VÄRMLANDS LÄN</t>
        </is>
      </c>
      <c r="E1065" t="inlineStr">
        <is>
          <t>ÅRJÄNG</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56348-2024</t>
        </is>
      </c>
      <c r="B1066" s="1" t="n">
        <v>45624</v>
      </c>
      <c r="C1066" s="1" t="n">
        <v>45999</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49959-2025</t>
        </is>
      </c>
      <c r="B1067" s="1" t="n">
        <v>45941.33649305555</v>
      </c>
      <c r="C1067" s="1" t="n">
        <v>45999</v>
      </c>
      <c r="D1067" t="inlineStr">
        <is>
          <t>VÄRMLANDS LÄN</t>
        </is>
      </c>
      <c r="E1067" t="inlineStr">
        <is>
          <t>ÅRJÄNG</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45332-2025</t>
        </is>
      </c>
      <c r="B1068" s="1" t="n">
        <v>45922</v>
      </c>
      <c r="C1068" s="1" t="n">
        <v>45999</v>
      </c>
      <c r="D1068" t="inlineStr">
        <is>
          <t>VÄRMLANDS LÄN</t>
        </is>
      </c>
      <c r="E1068" t="inlineStr">
        <is>
          <t>ÅRJÄNG</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26998-2025</t>
        </is>
      </c>
      <c r="B1069" s="1" t="n">
        <v>45811</v>
      </c>
      <c r="C1069" s="1" t="n">
        <v>45999</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45329-2025</t>
        </is>
      </c>
      <c r="B1070" s="1" t="n">
        <v>45922</v>
      </c>
      <c r="C1070" s="1" t="n">
        <v>45999</v>
      </c>
      <c r="D1070" t="inlineStr">
        <is>
          <t>VÄRMLANDS LÄN</t>
        </is>
      </c>
      <c r="E1070" t="inlineStr">
        <is>
          <t>ÅRJÄNG</t>
        </is>
      </c>
      <c r="F1070" t="inlineStr">
        <is>
          <t>Bergvik skog väst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24964-2025</t>
        </is>
      </c>
      <c r="B1071" s="1" t="n">
        <v>45799</v>
      </c>
      <c r="C1071" s="1" t="n">
        <v>45999</v>
      </c>
      <c r="D1071" t="inlineStr">
        <is>
          <t>VÄRMLANDS LÄN</t>
        </is>
      </c>
      <c r="E1071" t="inlineStr">
        <is>
          <t>ÅRJÄNG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26959-2025</t>
        </is>
      </c>
      <c r="B1072" s="1" t="n">
        <v>45811.45909722222</v>
      </c>
      <c r="C1072" s="1" t="n">
        <v>45999</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45524-2025</t>
        </is>
      </c>
      <c r="B1073" s="1" t="n">
        <v>45922</v>
      </c>
      <c r="C1073" s="1" t="n">
        <v>45999</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45192-2025</t>
        </is>
      </c>
      <c r="B1074" s="1" t="n">
        <v>45919</v>
      </c>
      <c r="C1074" s="1" t="n">
        <v>45999</v>
      </c>
      <c r="D1074" t="inlineStr">
        <is>
          <t>VÄRMLANDS LÄN</t>
        </is>
      </c>
      <c r="E1074" t="inlineStr">
        <is>
          <t>ÅRJÄNG</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50112-2025</t>
        </is>
      </c>
      <c r="B1075" s="1" t="n">
        <v>45943</v>
      </c>
      <c r="C1075" s="1" t="n">
        <v>45999</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45515-2025</t>
        </is>
      </c>
      <c r="B1076" s="1" t="n">
        <v>45922</v>
      </c>
      <c r="C1076" s="1" t="n">
        <v>45999</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45590-2025</t>
        </is>
      </c>
      <c r="B1077" s="1" t="n">
        <v>45922</v>
      </c>
      <c r="C1077" s="1" t="n">
        <v>45999</v>
      </c>
      <c r="D1077" t="inlineStr">
        <is>
          <t>VÄRMLANDS LÄN</t>
        </is>
      </c>
      <c r="E1077" t="inlineStr">
        <is>
          <t>ÅRJÄNG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45599-2025</t>
        </is>
      </c>
      <c r="B1078" s="1" t="n">
        <v>45922</v>
      </c>
      <c r="C1078" s="1" t="n">
        <v>45999</v>
      </c>
      <c r="D1078" t="inlineStr">
        <is>
          <t>VÄRMLANDS LÄN</t>
        </is>
      </c>
      <c r="E1078" t="inlineStr">
        <is>
          <t>ÅRJÄNG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45203-2025</t>
        </is>
      </c>
      <c r="B1079" s="1" t="n">
        <v>45919</v>
      </c>
      <c r="C1079" s="1" t="n">
        <v>45999</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57917-2025</t>
        </is>
      </c>
      <c r="B1080" s="1" t="n">
        <v>45981</v>
      </c>
      <c r="C1080" s="1" t="n">
        <v>45999</v>
      </c>
      <c r="D1080" t="inlineStr">
        <is>
          <t>VÄRMLANDS LÄN</t>
        </is>
      </c>
      <c r="E1080" t="inlineStr">
        <is>
          <t>ÅRJÄNG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27120-2025</t>
        </is>
      </c>
      <c r="B1081" s="1" t="n">
        <v>45811.76232638889</v>
      </c>
      <c r="C1081" s="1" t="n">
        <v>45999</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58571-2025</t>
        </is>
      </c>
      <c r="B1082" s="1" t="n">
        <v>45986.37361111111</v>
      </c>
      <c r="C1082" s="1" t="n">
        <v>45999</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45159-2025</t>
        </is>
      </c>
      <c r="B1083" s="1" t="n">
        <v>45919</v>
      </c>
      <c r="C1083" s="1" t="n">
        <v>45999</v>
      </c>
      <c r="D1083" t="inlineStr">
        <is>
          <t>VÄRMLANDS LÄN</t>
        </is>
      </c>
      <c r="E1083" t="inlineStr">
        <is>
          <t>ÅRJÄNG</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27247-2025</t>
        </is>
      </c>
      <c r="B1084" s="1" t="n">
        <v>45812.46612268518</v>
      </c>
      <c r="C1084" s="1" t="n">
        <v>45999</v>
      </c>
      <c r="D1084" t="inlineStr">
        <is>
          <t>VÄRMLANDS LÄN</t>
        </is>
      </c>
      <c r="E1084" t="inlineStr">
        <is>
          <t>ÅRJÄNG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45162-2025</t>
        </is>
      </c>
      <c r="B1085" s="1" t="n">
        <v>45919</v>
      </c>
      <c r="C1085" s="1" t="n">
        <v>45999</v>
      </c>
      <c r="D1085" t="inlineStr">
        <is>
          <t>VÄRMLANDS LÄN</t>
        </is>
      </c>
      <c r="E1085" t="inlineStr">
        <is>
          <t>ÅRJÄNG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45581-2025</t>
        </is>
      </c>
      <c r="B1086" s="1" t="n">
        <v>45922</v>
      </c>
      <c r="C1086" s="1" t="n">
        <v>45999</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45411-2025</t>
        </is>
      </c>
      <c r="B1087" s="1" t="n">
        <v>45922</v>
      </c>
      <c r="C1087" s="1" t="n">
        <v>45999</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54111-2025</t>
        </is>
      </c>
      <c r="B1088" s="1" t="n">
        <v>45964.43324074074</v>
      </c>
      <c r="C1088" s="1" t="n">
        <v>45999</v>
      </c>
      <c r="D1088" t="inlineStr">
        <is>
          <t>VÄRMLANDS LÄN</t>
        </is>
      </c>
      <c r="E1088" t="inlineStr">
        <is>
          <t>ÅRJÄNG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45166-2025</t>
        </is>
      </c>
      <c r="B1089" s="1" t="n">
        <v>45919</v>
      </c>
      <c r="C1089" s="1" t="n">
        <v>45999</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50050-2025</t>
        </is>
      </c>
      <c r="B1090" s="1" t="n">
        <v>45942</v>
      </c>
      <c r="C1090" s="1" t="n">
        <v>45999</v>
      </c>
      <c r="D1090" t="inlineStr">
        <is>
          <t>VÄRMLANDS LÄN</t>
        </is>
      </c>
      <c r="E1090" t="inlineStr">
        <is>
          <t>ÅRJÄNG</t>
        </is>
      </c>
      <c r="F1090" t="inlineStr">
        <is>
          <t>Övriga Aktiebolag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50304-2025</t>
        </is>
      </c>
      <c r="B1091" s="1" t="n">
        <v>45944</v>
      </c>
      <c r="C1091" s="1" t="n">
        <v>45999</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54129-2025</t>
        </is>
      </c>
      <c r="B1092" s="1" t="n">
        <v>45964.46063657408</v>
      </c>
      <c r="C1092" s="1" t="n">
        <v>45999</v>
      </c>
      <c r="D1092" t="inlineStr">
        <is>
          <t>VÄRMLANDS LÄN</t>
        </is>
      </c>
      <c r="E1092" t="inlineStr">
        <is>
          <t>ÅRJÄNG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54159-2025</t>
        </is>
      </c>
      <c r="B1093" s="1" t="n">
        <v>45964.50344907407</v>
      </c>
      <c r="C1093" s="1" t="n">
        <v>45999</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44257-2025</t>
        </is>
      </c>
      <c r="B1094" s="1" t="n">
        <v>45915</v>
      </c>
      <c r="C1094" s="1" t="n">
        <v>45999</v>
      </c>
      <c r="D1094" t="inlineStr">
        <is>
          <t>VÄRMLANDS LÄN</t>
        </is>
      </c>
      <c r="E1094" t="inlineStr">
        <is>
          <t>ÅRJÄNG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57301-2025</t>
        </is>
      </c>
      <c r="B1095" s="1" t="n">
        <v>45979</v>
      </c>
      <c r="C1095" s="1" t="n">
        <v>45999</v>
      </c>
      <c r="D1095" t="inlineStr">
        <is>
          <t>VÄRMLANDS LÄN</t>
        </is>
      </c>
      <c r="E1095" t="inlineStr">
        <is>
          <t>ÅRJÄNG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58392-2025</t>
        </is>
      </c>
      <c r="B1096" s="1" t="n">
        <v>45985.55128472222</v>
      </c>
      <c r="C1096" s="1" t="n">
        <v>45999</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50931-2025</t>
        </is>
      </c>
      <c r="B1097" s="1" t="n">
        <v>45946.68568287037</v>
      </c>
      <c r="C1097" s="1" t="n">
        <v>45999</v>
      </c>
      <c r="D1097" t="inlineStr">
        <is>
          <t>VÄRMLANDS LÄN</t>
        </is>
      </c>
      <c r="E1097" t="inlineStr">
        <is>
          <t>ÅRJÄNG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62720-2023</t>
        </is>
      </c>
      <c r="B1098" s="1" t="n">
        <v>45271.5799537037</v>
      </c>
      <c r="C1098" s="1" t="n">
        <v>45999</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50624-2025</t>
        </is>
      </c>
      <c r="B1099" s="1" t="n">
        <v>45945.63518518519</v>
      </c>
      <c r="C1099" s="1" t="n">
        <v>45999</v>
      </c>
      <c r="D1099" t="inlineStr">
        <is>
          <t>VÄRMLANDS LÄN</t>
        </is>
      </c>
      <c r="E1099" t="inlineStr">
        <is>
          <t>ÅRJÄNG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50841-2025</t>
        </is>
      </c>
      <c r="B1100" s="1" t="n">
        <v>45946.57050925926</v>
      </c>
      <c r="C1100" s="1" t="n">
        <v>45999</v>
      </c>
      <c r="D1100" t="inlineStr">
        <is>
          <t>VÄRMLANDS LÄN</t>
        </is>
      </c>
      <c r="E1100" t="inlineStr">
        <is>
          <t>ÅRJÄNG</t>
        </is>
      </c>
      <c r="F1100" t="inlineStr">
        <is>
          <t>Kyrkan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50847-2025</t>
        </is>
      </c>
      <c r="B1101" s="1" t="n">
        <v>45946.57590277777</v>
      </c>
      <c r="C1101" s="1" t="n">
        <v>45999</v>
      </c>
      <c r="D1101" t="inlineStr">
        <is>
          <t>VÄRMLANDS LÄN</t>
        </is>
      </c>
      <c r="E1101" t="inlineStr">
        <is>
          <t>ÅRJÄNG</t>
        </is>
      </c>
      <c r="F1101" t="inlineStr">
        <is>
          <t>Kyrkan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4135-2025</t>
        </is>
      </c>
      <c r="B1102" s="1" t="n">
        <v>45685</v>
      </c>
      <c r="C1102" s="1" t="n">
        <v>45999</v>
      </c>
      <c r="D1102" t="inlineStr">
        <is>
          <t>VÄRMLANDS LÄN</t>
        </is>
      </c>
      <c r="E1102" t="inlineStr">
        <is>
          <t>ÅRJÄNG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24444-2025</t>
        </is>
      </c>
      <c r="B1103" s="1" t="n">
        <v>45798</v>
      </c>
      <c r="C1103" s="1" t="n">
        <v>45999</v>
      </c>
      <c r="D1103" t="inlineStr">
        <is>
          <t>VÄRMLANDS LÄN</t>
        </is>
      </c>
      <c r="E1103" t="inlineStr">
        <is>
          <t>ÅRJÄNG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50620-2025</t>
        </is>
      </c>
      <c r="B1104" s="1" t="n">
        <v>45945.63163194444</v>
      </c>
      <c r="C1104" s="1" t="n">
        <v>45999</v>
      </c>
      <c r="D1104" t="inlineStr">
        <is>
          <t>VÄRMLANDS LÄN</t>
        </is>
      </c>
      <c r="E1104" t="inlineStr">
        <is>
          <t>ÅRJÄNG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4408-2025</t>
        </is>
      </c>
      <c r="B1105" s="1" t="n">
        <v>45686</v>
      </c>
      <c r="C1105" s="1" t="n">
        <v>45999</v>
      </c>
      <c r="D1105" t="inlineStr">
        <is>
          <t>VÄRMLANDS LÄN</t>
        </is>
      </c>
      <c r="E1105" t="inlineStr">
        <is>
          <t>ÅRJÄNG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54418-2025</t>
        </is>
      </c>
      <c r="B1106" s="1" t="n">
        <v>45965.48027777778</v>
      </c>
      <c r="C1106" s="1" t="n">
        <v>45999</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54420-2025</t>
        </is>
      </c>
      <c r="B1107" s="1" t="n">
        <v>45965.4834837963</v>
      </c>
      <c r="C1107" s="1" t="n">
        <v>45999</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54430-2025</t>
        </is>
      </c>
      <c r="B1108" s="1" t="n">
        <v>45965.49414351852</v>
      </c>
      <c r="C1108" s="1" t="n">
        <v>45999</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45907-2025</t>
        </is>
      </c>
      <c r="B1109" s="1" t="n">
        <v>45923.70748842593</v>
      </c>
      <c r="C1109" s="1" t="n">
        <v>45999</v>
      </c>
      <c r="D1109" t="inlineStr">
        <is>
          <t>VÄRMLANDS LÄN</t>
        </is>
      </c>
      <c r="E1109" t="inlineStr">
        <is>
          <t>ÅRJÄNG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45906-2025</t>
        </is>
      </c>
      <c r="B1110" s="1" t="n">
        <v>45923.70627314815</v>
      </c>
      <c r="C1110" s="1" t="n">
        <v>45999</v>
      </c>
      <c r="D1110" t="inlineStr">
        <is>
          <t>VÄRMLANDS LÄN</t>
        </is>
      </c>
      <c r="E1110" t="inlineStr">
        <is>
          <t>ÅRJÄNG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28874-2025</t>
        </is>
      </c>
      <c r="B1111" s="1" t="n">
        <v>45820</v>
      </c>
      <c r="C1111" s="1" t="n">
        <v>45999</v>
      </c>
      <c r="D1111" t="inlineStr">
        <is>
          <t>VÄRMLANDS LÄN</t>
        </is>
      </c>
      <c r="E1111" t="inlineStr">
        <is>
          <t>ÅRJÄNG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28690-2025</t>
        </is>
      </c>
      <c r="B1112" s="1" t="n">
        <v>45819.73236111111</v>
      </c>
      <c r="C1112" s="1" t="n">
        <v>45999</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28711-2025</t>
        </is>
      </c>
      <c r="B1113" s="1" t="n">
        <v>45820.33701388889</v>
      </c>
      <c r="C1113" s="1" t="n">
        <v>45999</v>
      </c>
      <c r="D1113" t="inlineStr">
        <is>
          <t>VÄRMLANDS LÄN</t>
        </is>
      </c>
      <c r="E1113" t="inlineStr">
        <is>
          <t>ÅRJÄNG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28797-2025</t>
        </is>
      </c>
      <c r="B1114" s="1" t="n">
        <v>45820.48179398148</v>
      </c>
      <c r="C1114" s="1" t="n">
        <v>45999</v>
      </c>
      <c r="D1114" t="inlineStr">
        <is>
          <t>VÄRMLANDS LÄN</t>
        </is>
      </c>
      <c r="E1114" t="inlineStr">
        <is>
          <t>ÅRJÄNG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28793-2025</t>
        </is>
      </c>
      <c r="B1115" s="1" t="n">
        <v>45820.47452546296</v>
      </c>
      <c r="C1115" s="1" t="n">
        <v>45999</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50554-2025</t>
        </is>
      </c>
      <c r="B1116" s="1" t="n">
        <v>45945.52561342593</v>
      </c>
      <c r="C1116" s="1" t="n">
        <v>45999</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28948-2025</t>
        </is>
      </c>
      <c r="B1117" s="1" t="n">
        <v>45820</v>
      </c>
      <c r="C1117" s="1" t="n">
        <v>45999</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28949-2025</t>
        </is>
      </c>
      <c r="B1118" s="1" t="n">
        <v>45820</v>
      </c>
      <c r="C1118" s="1" t="n">
        <v>45999</v>
      </c>
      <c r="D1118" t="inlineStr">
        <is>
          <t>VÄRMLANDS LÄN</t>
        </is>
      </c>
      <c r="E1118" t="inlineStr">
        <is>
          <t>ÅRJÄNG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24445-2025</t>
        </is>
      </c>
      <c r="B1119" s="1" t="n">
        <v>45798</v>
      </c>
      <c r="C1119" s="1" t="n">
        <v>45999</v>
      </c>
      <c r="D1119" t="inlineStr">
        <is>
          <t>VÄRMLANDS LÄN</t>
        </is>
      </c>
      <c r="E1119" t="inlineStr">
        <is>
          <t>ÅRJÄNG</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50709-2025</t>
        </is>
      </c>
      <c r="B1120" s="1" t="n">
        <v>45946</v>
      </c>
      <c r="C1120" s="1" t="n">
        <v>45999</v>
      </c>
      <c r="D1120" t="inlineStr">
        <is>
          <t>VÄRMLANDS LÄN</t>
        </is>
      </c>
      <c r="E1120" t="inlineStr">
        <is>
          <t>ÅRJÄNG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28710-2025</t>
        </is>
      </c>
      <c r="B1121" s="1" t="n">
        <v>45820.32953703704</v>
      </c>
      <c r="C1121" s="1" t="n">
        <v>45999</v>
      </c>
      <c r="D1121" t="inlineStr">
        <is>
          <t>VÄRMLANDS LÄN</t>
        </is>
      </c>
      <c r="E1121" t="inlineStr">
        <is>
          <t>ÅRJÄNG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50545-2025</t>
        </is>
      </c>
      <c r="B1122" s="1" t="n">
        <v>45945.50777777778</v>
      </c>
      <c r="C1122" s="1" t="n">
        <v>45999</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50551-2025</t>
        </is>
      </c>
      <c r="B1123" s="1" t="n">
        <v>45945.52244212963</v>
      </c>
      <c r="C1123" s="1" t="n">
        <v>45999</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28554-2025</t>
        </is>
      </c>
      <c r="B1124" s="1" t="n">
        <v>45819.53761574074</v>
      </c>
      <c r="C1124" s="1" t="n">
        <v>45999</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29136-2025</t>
        </is>
      </c>
      <c r="B1125" s="1" t="n">
        <v>45821</v>
      </c>
      <c r="C1125" s="1" t="n">
        <v>45999</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29138-2025</t>
        </is>
      </c>
      <c r="B1126" s="1" t="n">
        <v>45821</v>
      </c>
      <c r="C1126" s="1" t="n">
        <v>45999</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29146-2025</t>
        </is>
      </c>
      <c r="B1127" s="1" t="n">
        <v>45821</v>
      </c>
      <c r="C1127" s="1" t="n">
        <v>45999</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50498-2025</t>
        </is>
      </c>
      <c r="B1128" s="1" t="n">
        <v>45945.41553240741</v>
      </c>
      <c r="C1128" s="1" t="n">
        <v>45999</v>
      </c>
      <c r="D1128" t="inlineStr">
        <is>
          <t>VÄRMLANDS LÄN</t>
        </is>
      </c>
      <c r="E1128" t="inlineStr">
        <is>
          <t>ÅRJÄNG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29007-2025</t>
        </is>
      </c>
      <c r="B1129" s="1" t="n">
        <v>45821</v>
      </c>
      <c r="C1129" s="1" t="n">
        <v>45999</v>
      </c>
      <c r="D1129" t="inlineStr">
        <is>
          <t>VÄRMLANDS LÄN</t>
        </is>
      </c>
      <c r="E1129" t="inlineStr">
        <is>
          <t>ÅRJÄNG</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29026-2025</t>
        </is>
      </c>
      <c r="B1130" s="1" t="n">
        <v>45821</v>
      </c>
      <c r="C1130" s="1" t="n">
        <v>45999</v>
      </c>
      <c r="D1130" t="inlineStr">
        <is>
          <t>VÄRMLANDS LÄN</t>
        </is>
      </c>
      <c r="E1130" t="inlineStr">
        <is>
          <t>ÅRJÄNG</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29082-2025</t>
        </is>
      </c>
      <c r="B1131" s="1" t="n">
        <v>45821</v>
      </c>
      <c r="C1131" s="1" t="n">
        <v>45999</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29166-2025</t>
        </is>
      </c>
      <c r="B1132" s="1" t="n">
        <v>45821.68682870371</v>
      </c>
      <c r="C1132" s="1" t="n">
        <v>45999</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55276-2025</t>
        </is>
      </c>
      <c r="B1133" s="1" t="n">
        <v>45968.76534722222</v>
      </c>
      <c r="C1133" s="1" t="n">
        <v>45999</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55017-2025</t>
        </is>
      </c>
      <c r="B1134" s="1" t="n">
        <v>45967.61709490741</v>
      </c>
      <c r="C1134" s="1" t="n">
        <v>45999</v>
      </c>
      <c r="D1134" t="inlineStr">
        <is>
          <t>VÄRMLANDS LÄN</t>
        </is>
      </c>
      <c r="E1134" t="inlineStr">
        <is>
          <t>ÅRJÄNG</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54962-2025</t>
        </is>
      </c>
      <c r="B1135" s="1" t="n">
        <v>45967.4825462963</v>
      </c>
      <c r="C1135" s="1" t="n">
        <v>45999</v>
      </c>
      <c r="D1135" t="inlineStr">
        <is>
          <t>VÄRMLANDS LÄN</t>
        </is>
      </c>
      <c r="E1135" t="inlineStr">
        <is>
          <t>ÅRJÄNG</t>
        </is>
      </c>
      <c r="F1135" t="inlineStr">
        <is>
          <t>Kyrkan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28992-2025</t>
        </is>
      </c>
      <c r="B1136" s="1" t="n">
        <v>45821</v>
      </c>
      <c r="C1136" s="1" t="n">
        <v>45999</v>
      </c>
      <c r="D1136" t="inlineStr">
        <is>
          <t>VÄRMLANDS LÄN</t>
        </is>
      </c>
      <c r="E1136" t="inlineStr">
        <is>
          <t>ÅRJÄNG</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29208-2025</t>
        </is>
      </c>
      <c r="B1137" s="1" t="n">
        <v>45823.80380787037</v>
      </c>
      <c r="C1137" s="1" t="n">
        <v>45999</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29169-2025</t>
        </is>
      </c>
      <c r="B1138" s="1" t="n">
        <v>45821.69650462963</v>
      </c>
      <c r="C1138" s="1" t="n">
        <v>45999</v>
      </c>
      <c r="D1138" t="inlineStr">
        <is>
          <t>VÄRMLANDS LÄN</t>
        </is>
      </c>
      <c r="E1138" t="inlineStr">
        <is>
          <t>ÅRJÄNG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46301-2025</t>
        </is>
      </c>
      <c r="B1139" s="1" t="n">
        <v>45925.41553240741</v>
      </c>
      <c r="C1139" s="1" t="n">
        <v>45999</v>
      </c>
      <c r="D1139" t="inlineStr">
        <is>
          <t>VÄRMLANDS LÄN</t>
        </is>
      </c>
      <c r="E1139" t="inlineStr">
        <is>
          <t>ÅRJÄNG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29100-2025</t>
        </is>
      </c>
      <c r="B1140" s="1" t="n">
        <v>45821</v>
      </c>
      <c r="C1140" s="1" t="n">
        <v>45999</v>
      </c>
      <c r="D1140" t="inlineStr">
        <is>
          <t>VÄRMLANDS LÄN</t>
        </is>
      </c>
      <c r="E1140" t="inlineStr">
        <is>
          <t>ÅRJÄNG</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29139-2025</t>
        </is>
      </c>
      <c r="B1141" s="1" t="n">
        <v>45821</v>
      </c>
      <c r="C1141" s="1" t="n">
        <v>45999</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59336-2025</t>
        </is>
      </c>
      <c r="B1142" s="1" t="n">
        <v>45979.67002314814</v>
      </c>
      <c r="C1142" s="1" t="n">
        <v>45999</v>
      </c>
      <c r="D1142" t="inlineStr">
        <is>
          <t>VÄRMLANDS LÄN</t>
        </is>
      </c>
      <c r="E1142" t="inlineStr">
        <is>
          <t>ÅRJÄNG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46645-2025</t>
        </is>
      </c>
      <c r="B1143" s="1" t="n">
        <v>45926.47527777778</v>
      </c>
      <c r="C1143" s="1" t="n">
        <v>45999</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30134-2025</t>
        </is>
      </c>
      <c r="B1144" s="1" t="n">
        <v>45826</v>
      </c>
      <c r="C1144" s="1" t="n">
        <v>45999</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29783-2025</t>
        </is>
      </c>
      <c r="B1145" s="1" t="n">
        <v>45825</v>
      </c>
      <c r="C1145" s="1" t="n">
        <v>45999</v>
      </c>
      <c r="D1145" t="inlineStr">
        <is>
          <t>VÄRMLANDS LÄN</t>
        </is>
      </c>
      <c r="E1145" t="inlineStr">
        <is>
          <t>ÅRJÄNG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29624-2025</t>
        </is>
      </c>
      <c r="B1146" s="1" t="n">
        <v>45825.44246527777</v>
      </c>
      <c r="C1146" s="1" t="n">
        <v>45999</v>
      </c>
      <c r="D1146" t="inlineStr">
        <is>
          <t>VÄRMLANDS LÄN</t>
        </is>
      </c>
      <c r="E1146" t="inlineStr">
        <is>
          <t>ÅRJÄNG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55277-2025</t>
        </is>
      </c>
      <c r="B1147" s="1" t="n">
        <v>45968.77537037037</v>
      </c>
      <c r="C1147" s="1" t="n">
        <v>45999</v>
      </c>
      <c r="D1147" t="inlineStr">
        <is>
          <t>VÄRMLANDS LÄN</t>
        </is>
      </c>
      <c r="E1147" t="inlineStr">
        <is>
          <t>ÅRJÄNG</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54990-2025</t>
        </is>
      </c>
      <c r="B1148" s="1" t="n">
        <v>45967.57292824074</v>
      </c>
      <c r="C1148" s="1" t="n">
        <v>45999</v>
      </c>
      <c r="D1148" t="inlineStr">
        <is>
          <t>VÄRMLANDS LÄN</t>
        </is>
      </c>
      <c r="E1148" t="inlineStr">
        <is>
          <t>ÅRJÄNG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58971-2025</t>
        </is>
      </c>
      <c r="B1149" s="1" t="n">
        <v>45987</v>
      </c>
      <c r="C1149" s="1" t="n">
        <v>45999</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51282-2025</t>
        </is>
      </c>
      <c r="B1150" s="1" t="n">
        <v>45950.33694444445</v>
      </c>
      <c r="C1150" s="1" t="n">
        <v>45999</v>
      </c>
      <c r="D1150" t="inlineStr">
        <is>
          <t>VÄRMLANDS LÄN</t>
        </is>
      </c>
      <c r="E1150" t="inlineStr">
        <is>
          <t>ÅRJÄNG</t>
        </is>
      </c>
      <c r="F1150" t="inlineStr">
        <is>
          <t>Bergvik skog väst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46957-2024</t>
        </is>
      </c>
      <c r="B1151" s="1" t="n">
        <v>45586</v>
      </c>
      <c r="C1151" s="1" t="n">
        <v>45999</v>
      </c>
      <c r="D1151" t="inlineStr">
        <is>
          <t>VÄRMLANDS LÄN</t>
        </is>
      </c>
      <c r="E1151" t="inlineStr">
        <is>
          <t>ÅRJÄNG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51430-2025</t>
        </is>
      </c>
      <c r="B1152" s="1" t="n">
        <v>45950.54824074074</v>
      </c>
      <c r="C1152" s="1" t="n">
        <v>45999</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51435-2025</t>
        </is>
      </c>
      <c r="B1153" s="1" t="n">
        <v>45950.56015046296</v>
      </c>
      <c r="C1153" s="1" t="n">
        <v>45999</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31111-2025</t>
        </is>
      </c>
      <c r="B1154" s="1" t="n">
        <v>45831</v>
      </c>
      <c r="C1154" s="1" t="n">
        <v>45999</v>
      </c>
      <c r="D1154" t="inlineStr">
        <is>
          <t>VÄRMLANDS LÄN</t>
        </is>
      </c>
      <c r="E1154" t="inlineStr">
        <is>
          <t>ÅRJÄNG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30761-2025</t>
        </is>
      </c>
      <c r="B1155" s="1" t="n">
        <v>45831</v>
      </c>
      <c r="C1155" s="1" t="n">
        <v>45999</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30579-2025</t>
        </is>
      </c>
      <c r="B1156" s="1" t="n">
        <v>45831.41965277777</v>
      </c>
      <c r="C1156" s="1" t="n">
        <v>45999</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30611-2025</t>
        </is>
      </c>
      <c r="B1157" s="1" t="n">
        <v>45831.46104166667</v>
      </c>
      <c r="C1157" s="1" t="n">
        <v>45999</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30658-2025</t>
        </is>
      </c>
      <c r="B1158" s="1" t="n">
        <v>45831.5072337963</v>
      </c>
      <c r="C1158" s="1" t="n">
        <v>45999</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60289-2025</t>
        </is>
      </c>
      <c r="B1159" s="1" t="n">
        <v>45994</v>
      </c>
      <c r="C1159" s="1" t="n">
        <v>45999</v>
      </c>
      <c r="D1159" t="inlineStr">
        <is>
          <t>VÄRMLANDS LÄN</t>
        </is>
      </c>
      <c r="E1159" t="inlineStr">
        <is>
          <t>ÅRJÄNG</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31063-2025</t>
        </is>
      </c>
      <c r="B1160" s="1" t="n">
        <v>45831</v>
      </c>
      <c r="C1160" s="1" t="n">
        <v>45999</v>
      </c>
      <c r="D1160" t="inlineStr">
        <is>
          <t>VÄRMLANDS LÄN</t>
        </is>
      </c>
      <c r="E1160" t="inlineStr">
        <is>
          <t>ÅRJÄNG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31073-2025</t>
        </is>
      </c>
      <c r="B1161" s="1" t="n">
        <v>45831</v>
      </c>
      <c r="C1161" s="1" t="n">
        <v>45999</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30604-2025</t>
        </is>
      </c>
      <c r="B1162" s="1" t="n">
        <v>45831.45185185185</v>
      </c>
      <c r="C1162" s="1" t="n">
        <v>45999</v>
      </c>
      <c r="D1162" t="inlineStr">
        <is>
          <t>VÄRMLANDS LÄN</t>
        </is>
      </c>
      <c r="E1162" t="inlineStr">
        <is>
          <t>ÅRJÄNG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60194-2025</t>
        </is>
      </c>
      <c r="B1163" s="1" t="n">
        <v>45994</v>
      </c>
      <c r="C1163" s="1" t="n">
        <v>45999</v>
      </c>
      <c r="D1163" t="inlineStr">
        <is>
          <t>VÄRMLANDS LÄN</t>
        </is>
      </c>
      <c r="E1163" t="inlineStr">
        <is>
          <t>ÅRJÄNG</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60279-2025</t>
        </is>
      </c>
      <c r="B1164" s="1" t="n">
        <v>45994</v>
      </c>
      <c r="C1164" s="1" t="n">
        <v>45999</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60283-2025</t>
        </is>
      </c>
      <c r="B1165" s="1" t="n">
        <v>45994</v>
      </c>
      <c r="C1165" s="1" t="n">
        <v>45999</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31282-2025</t>
        </is>
      </c>
      <c r="B1166" s="1" t="n">
        <v>45833</v>
      </c>
      <c r="C1166" s="1" t="n">
        <v>45999</v>
      </c>
      <c r="D1166" t="inlineStr">
        <is>
          <t>VÄRMLANDS LÄN</t>
        </is>
      </c>
      <c r="E1166" t="inlineStr">
        <is>
          <t>ÅRJÄNG</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31710-2025</t>
        </is>
      </c>
      <c r="B1167" s="1" t="n">
        <v>45834.4325462963</v>
      </c>
      <c r="C1167" s="1" t="n">
        <v>45999</v>
      </c>
      <c r="D1167" t="inlineStr">
        <is>
          <t>VÄRMLANDS LÄN</t>
        </is>
      </c>
      <c r="E1167" t="inlineStr">
        <is>
          <t>ÅRJÄNG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60265-2025</t>
        </is>
      </c>
      <c r="B1168" s="1" t="n">
        <v>45994</v>
      </c>
      <c r="C1168" s="1" t="n">
        <v>45999</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31591-2025</t>
        </is>
      </c>
      <c r="B1169" s="1" t="n">
        <v>45833</v>
      </c>
      <c r="C1169" s="1" t="n">
        <v>45999</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31433-2025</t>
        </is>
      </c>
      <c r="B1170" s="1" t="n">
        <v>45833</v>
      </c>
      <c r="C1170" s="1" t="n">
        <v>45999</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31393-2025</t>
        </is>
      </c>
      <c r="B1171" s="1" t="n">
        <v>45833.46305555556</v>
      </c>
      <c r="C1171" s="1" t="n">
        <v>45999</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52709-2025</t>
        </is>
      </c>
      <c r="B1172" s="1" t="n">
        <v>45953</v>
      </c>
      <c r="C1172" s="1" t="n">
        <v>45999</v>
      </c>
      <c r="D1172" t="inlineStr">
        <is>
          <t>VÄRMLANDS LÄN</t>
        </is>
      </c>
      <c r="E1172" t="inlineStr">
        <is>
          <t>ÅRJÄNG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60658-2025</t>
        </is>
      </c>
      <c r="B1173" s="1" t="n">
        <v>45996</v>
      </c>
      <c r="C1173" s="1" t="n">
        <v>45999</v>
      </c>
      <c r="D1173" t="inlineStr">
        <is>
          <t>VÄRMLANDS LÄN</t>
        </is>
      </c>
      <c r="E1173" t="inlineStr">
        <is>
          <t>ÅRJÄNG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32321-2025</t>
        </is>
      </c>
      <c r="B1174" s="1" t="n">
        <v>45836</v>
      </c>
      <c r="C1174" s="1" t="n">
        <v>45999</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32330-2025</t>
        </is>
      </c>
      <c r="B1175" s="1" t="n">
        <v>45836.50547453704</v>
      </c>
      <c r="C1175" s="1" t="n">
        <v>45999</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32324-2025</t>
        </is>
      </c>
      <c r="B1176" s="1" t="n">
        <v>45836.43634259259</v>
      </c>
      <c r="C1176" s="1" t="n">
        <v>45999</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60663-2025</t>
        </is>
      </c>
      <c r="B1177" s="1" t="n">
        <v>45996</v>
      </c>
      <c r="C1177" s="1" t="n">
        <v>45999</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61868-2024</t>
        </is>
      </c>
      <c r="B1178" s="1" t="n">
        <v>45651.47393518518</v>
      </c>
      <c r="C1178" s="1" t="n">
        <v>45999</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32326-2025</t>
        </is>
      </c>
      <c r="B1179" s="1" t="n">
        <v>45836.44392361111</v>
      </c>
      <c r="C1179" s="1" t="n">
        <v>45999</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37409-2025</t>
        </is>
      </c>
      <c r="B1180" s="1" t="n">
        <v>45877</v>
      </c>
      <c r="C1180" s="1" t="n">
        <v>45999</v>
      </c>
      <c r="D1180" t="inlineStr">
        <is>
          <t>VÄRMLANDS LÄN</t>
        </is>
      </c>
      <c r="E1180" t="inlineStr">
        <is>
          <t>ÅRJÄNG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60657-2025</t>
        </is>
      </c>
      <c r="B1181" s="1" t="n">
        <v>45996</v>
      </c>
      <c r="C1181" s="1" t="n">
        <v>45999</v>
      </c>
      <c r="D1181" t="inlineStr">
        <is>
          <t>VÄRMLANDS LÄN</t>
        </is>
      </c>
      <c r="E1181" t="inlineStr">
        <is>
          <t>ÅRJÄNG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60659-2025</t>
        </is>
      </c>
      <c r="B1182" s="1" t="n">
        <v>45996</v>
      </c>
      <c r="C1182" s="1" t="n">
        <v>45999</v>
      </c>
      <c r="D1182" t="inlineStr">
        <is>
          <t>VÄRMLANDS LÄN</t>
        </is>
      </c>
      <c r="E1182" t="inlineStr">
        <is>
          <t>ÅRJÄNG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34205-2025</t>
        </is>
      </c>
      <c r="B1183" s="1" t="n">
        <v>45845</v>
      </c>
      <c r="C1183" s="1" t="n">
        <v>45999</v>
      </c>
      <c r="D1183" t="inlineStr">
        <is>
          <t>VÄRMLANDS LÄN</t>
        </is>
      </c>
      <c r="E1183" t="inlineStr">
        <is>
          <t>ÅRJÄNG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58924-2025</t>
        </is>
      </c>
      <c r="B1184" s="1" t="n">
        <v>45986</v>
      </c>
      <c r="C1184" s="1" t="n">
        <v>45999</v>
      </c>
      <c r="D1184" t="inlineStr">
        <is>
          <t>VÄRMLANDS LÄN</t>
        </is>
      </c>
      <c r="E1184" t="inlineStr">
        <is>
          <t>ÅRJÄNG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32920-2025</t>
        </is>
      </c>
      <c r="B1185" s="1" t="n">
        <v>45839</v>
      </c>
      <c r="C1185" s="1" t="n">
        <v>45999</v>
      </c>
      <c r="D1185" t="inlineStr">
        <is>
          <t>VÄRMLANDS LÄN</t>
        </is>
      </c>
      <c r="E1185" t="inlineStr">
        <is>
          <t>ÅRJÄNG</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32730-2025</t>
        </is>
      </c>
      <c r="B1186" s="1" t="n">
        <v>45839.40315972222</v>
      </c>
      <c r="C1186" s="1" t="n">
        <v>45999</v>
      </c>
      <c r="D1186" t="inlineStr">
        <is>
          <t>VÄRMLANDS LÄN</t>
        </is>
      </c>
      <c r="E1186" t="inlineStr">
        <is>
          <t>ÅRJÄNG</t>
        </is>
      </c>
      <c r="F1186" t="inlineStr">
        <is>
          <t>Kyrkan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57142-2024</t>
        </is>
      </c>
      <c r="B1187" s="1" t="n">
        <v>45628</v>
      </c>
      <c r="C1187" s="1" t="n">
        <v>45999</v>
      </c>
      <c r="D1187" t="inlineStr">
        <is>
          <t>VÄRMLANDS LÄN</t>
        </is>
      </c>
      <c r="E1187" t="inlineStr">
        <is>
          <t>ÅRJÄNG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33237-2025</t>
        </is>
      </c>
      <c r="B1188" s="1" t="n">
        <v>45840</v>
      </c>
      <c r="C1188" s="1" t="n">
        <v>45999</v>
      </c>
      <c r="D1188" t="inlineStr">
        <is>
          <t>VÄRMLANDS LÄN</t>
        </is>
      </c>
      <c r="E1188" t="inlineStr">
        <is>
          <t>ÅRJÄNG</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32924-2025</t>
        </is>
      </c>
      <c r="B1189" s="1" t="n">
        <v>45839.65589120371</v>
      </c>
      <c r="C1189" s="1" t="n">
        <v>45999</v>
      </c>
      <c r="D1189" t="inlineStr">
        <is>
          <t>VÄRMLANDS LÄN</t>
        </is>
      </c>
      <c r="E1189" t="inlineStr">
        <is>
          <t>ÅRJÄNG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3492-2024</t>
        </is>
      </c>
      <c r="B1190" s="1" t="n">
        <v>45317</v>
      </c>
      <c r="C1190" s="1" t="n">
        <v>45999</v>
      </c>
      <c r="D1190" t="inlineStr">
        <is>
          <t>VÄRMLANDS LÄN</t>
        </is>
      </c>
      <c r="E1190" t="inlineStr">
        <is>
          <t>ÅRJÄNG</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40349-2024</t>
        </is>
      </c>
      <c r="B1191" s="1" t="n">
        <v>45555.35849537037</v>
      </c>
      <c r="C1191" s="1" t="n">
        <v>45999</v>
      </c>
      <c r="D1191" t="inlineStr">
        <is>
          <t>VÄRMLANDS LÄN</t>
        </is>
      </c>
      <c r="E1191" t="inlineStr">
        <is>
          <t>ÅRJÄNG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33412-2025</t>
        </is>
      </c>
      <c r="B1192" s="1" t="n">
        <v>45841</v>
      </c>
      <c r="C1192" s="1" t="n">
        <v>45999</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33526-2025</t>
        </is>
      </c>
      <c r="B1193" s="1" t="n">
        <v>45841.54869212963</v>
      </c>
      <c r="C1193" s="1" t="n">
        <v>45999</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37191-2023</t>
        </is>
      </c>
      <c r="B1194" s="1" t="n">
        <v>45154</v>
      </c>
      <c r="C1194" s="1" t="n">
        <v>45999</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21365-2022</t>
        </is>
      </c>
      <c r="B1195" s="1" t="n">
        <v>44705</v>
      </c>
      <c r="C1195" s="1" t="n">
        <v>45999</v>
      </c>
      <c r="D1195" t="inlineStr">
        <is>
          <t>VÄRMLANDS LÄN</t>
        </is>
      </c>
      <c r="E1195" t="inlineStr">
        <is>
          <t>ÅRJÄNG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33600-2025</t>
        </is>
      </c>
      <c r="B1196" s="1" t="n">
        <v>45841.60918981482</v>
      </c>
      <c r="C1196" s="1" t="n">
        <v>45999</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33481-2025</t>
        </is>
      </c>
      <c r="B1197" s="1" t="n">
        <v>45841</v>
      </c>
      <c r="C1197" s="1" t="n">
        <v>45999</v>
      </c>
      <c r="D1197" t="inlineStr">
        <is>
          <t>VÄRMLANDS LÄN</t>
        </is>
      </c>
      <c r="E1197" t="inlineStr">
        <is>
          <t>ÅRJÄNG</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33832-2025</t>
        </is>
      </c>
      <c r="B1198" s="1" t="n">
        <v>45842.47506944444</v>
      </c>
      <c r="C1198" s="1" t="n">
        <v>45999</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53468-2021</t>
        </is>
      </c>
      <c r="B1199" s="1" t="n">
        <v>44468.74127314815</v>
      </c>
      <c r="C1199" s="1" t="n">
        <v>45999</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43650-2024</t>
        </is>
      </c>
      <c r="B1200" s="1" t="n">
        <v>45569.53091435185</v>
      </c>
      <c r="C1200" s="1" t="n">
        <v>45999</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21513-2024</t>
        </is>
      </c>
      <c r="B1201" s="1" t="n">
        <v>45441</v>
      </c>
      <c r="C1201" s="1" t="n">
        <v>45999</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33993-2025</t>
        </is>
      </c>
      <c r="B1202" s="1" t="n">
        <v>45843.61189814815</v>
      </c>
      <c r="C1202" s="1" t="n">
        <v>45999</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34148-2025</t>
        </is>
      </c>
      <c r="B1203" s="1" t="n">
        <v>45844</v>
      </c>
      <c r="C1203" s="1" t="n">
        <v>45999</v>
      </c>
      <c r="D1203" t="inlineStr">
        <is>
          <t>VÄRMLANDS LÄN</t>
        </is>
      </c>
      <c r="E1203" t="inlineStr">
        <is>
          <t>ÅRJÄNG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33998-2025</t>
        </is>
      </c>
      <c r="B1204" s="1" t="n">
        <v>45843.99453703704</v>
      </c>
      <c r="C1204" s="1" t="n">
        <v>45999</v>
      </c>
      <c r="D1204" t="inlineStr">
        <is>
          <t>VÄRMLANDS LÄN</t>
        </is>
      </c>
      <c r="E1204" t="inlineStr">
        <is>
          <t>ÅRJÄNG</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14509-2022</t>
        </is>
      </c>
      <c r="B1205" s="1" t="n">
        <v>44655</v>
      </c>
      <c r="C1205" s="1" t="n">
        <v>45999</v>
      </c>
      <c r="D1205" t="inlineStr">
        <is>
          <t>VÄRMLANDS LÄN</t>
        </is>
      </c>
      <c r="E1205" t="inlineStr">
        <is>
          <t>ÅRJÄNG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34243-2025</t>
        </is>
      </c>
      <c r="B1206" s="1" t="n">
        <v>45845</v>
      </c>
      <c r="C1206" s="1" t="n">
        <v>45999</v>
      </c>
      <c r="D1206" t="inlineStr">
        <is>
          <t>VÄRMLANDS LÄN</t>
        </is>
      </c>
      <c r="E1206" t="inlineStr">
        <is>
          <t>ÅRJÄNG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34248-2025</t>
        </is>
      </c>
      <c r="B1207" s="1" t="n">
        <v>45845</v>
      </c>
      <c r="C1207" s="1" t="n">
        <v>45999</v>
      </c>
      <c r="D1207" t="inlineStr">
        <is>
          <t>VÄRMLANDS LÄN</t>
        </is>
      </c>
      <c r="E1207" t="inlineStr">
        <is>
          <t>ÅRJÄNG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34252-2025</t>
        </is>
      </c>
      <c r="B1208" s="1" t="n">
        <v>45845</v>
      </c>
      <c r="C1208" s="1" t="n">
        <v>45999</v>
      </c>
      <c r="D1208" t="inlineStr">
        <is>
          <t>VÄRMLANDS LÄN</t>
        </is>
      </c>
      <c r="E1208" t="inlineStr">
        <is>
          <t>ÅRJÄNG</t>
        </is>
      </c>
      <c r="G1208" t="n">
        <v>7.1</v>
      </c>
      <c r="H1208" t="n">
        <v>0</v>
      </c>
      <c r="I1208" t="n">
        <v>0</v>
      </c>
      <c r="J1208" t="n">
        <v>0</v>
      </c>
      <c r="K1208" t="n">
        <v>0</v>
      </c>
      <c r="L1208" t="n">
        <v>0</v>
      </c>
      <c r="M1208" t="n">
        <v>0</v>
      </c>
      <c r="N1208" t="n">
        <v>0</v>
      </c>
      <c r="O1208" t="n">
        <v>0</v>
      </c>
      <c r="P1208" t="n">
        <v>0</v>
      </c>
      <c r="Q1208" t="n">
        <v>0</v>
      </c>
      <c r="R1208" s="2" t="inlineStr"/>
      <c r="U1208">
        <f>HYPERLINK("https://klasma.github.io/Logging_1765/knärot/A 34252-2025 karta knärot.png", "A 34252-2025")</f>
        <v/>
      </c>
      <c r="V1208">
        <f>HYPERLINK("https://klasma.github.io/Logging_1765/klagomål/A 34252-2025 FSC-klagomål.docx", "A 34252-2025")</f>
        <v/>
      </c>
      <c r="W1208">
        <f>HYPERLINK("https://klasma.github.io/Logging_1765/klagomålsmail/A 34252-2025 FSC-klagomål mail.docx", "A 34252-2025")</f>
        <v/>
      </c>
      <c r="X1208">
        <f>HYPERLINK("https://klasma.github.io/Logging_1765/tillsyn/A 34252-2025 tillsynsbegäran.docx", "A 34252-2025")</f>
        <v/>
      </c>
      <c r="Y1208">
        <f>HYPERLINK("https://klasma.github.io/Logging_1765/tillsynsmail/A 34252-2025 tillsynsbegäran mail.docx", "A 34252-2025")</f>
        <v/>
      </c>
    </row>
    <row r="1209" ht="15" customHeight="1">
      <c r="A1209" t="inlineStr">
        <is>
          <t>A 34077-2025</t>
        </is>
      </c>
      <c r="B1209" s="1" t="n">
        <v>45845.45206018518</v>
      </c>
      <c r="C1209" s="1" t="n">
        <v>45999</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13784-2024</t>
        </is>
      </c>
      <c r="B1210" s="1" t="n">
        <v>45391.33817129629</v>
      </c>
      <c r="C1210" s="1" t="n">
        <v>45999</v>
      </c>
      <c r="D1210" t="inlineStr">
        <is>
          <t>VÄRMLANDS LÄN</t>
        </is>
      </c>
      <c r="E1210" t="inlineStr">
        <is>
          <t>ÅRJÄNG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34230-2025</t>
        </is>
      </c>
      <c r="B1211" s="1" t="n">
        <v>45845</v>
      </c>
      <c r="C1211" s="1" t="n">
        <v>45999</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34235-2025</t>
        </is>
      </c>
      <c r="B1212" s="1" t="n">
        <v>45845</v>
      </c>
      <c r="C1212" s="1" t="n">
        <v>45999</v>
      </c>
      <c r="D1212" t="inlineStr">
        <is>
          <t>VÄRMLANDS LÄN</t>
        </is>
      </c>
      <c r="E1212" t="inlineStr">
        <is>
          <t>ÅRJÄNG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59384-2023</t>
        </is>
      </c>
      <c r="B1213" s="1" t="n">
        <v>45253</v>
      </c>
      <c r="C1213" s="1" t="n">
        <v>45999</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15718-2023</t>
        </is>
      </c>
      <c r="B1214" s="1" t="n">
        <v>45021.55432870371</v>
      </c>
      <c r="C1214" s="1" t="n">
        <v>45999</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48911-2024</t>
        </is>
      </c>
      <c r="B1215" s="1" t="n">
        <v>45594.36512731481</v>
      </c>
      <c r="C1215" s="1" t="n">
        <v>45999</v>
      </c>
      <c r="D1215" t="inlineStr">
        <is>
          <t>VÄRMLANDS LÄN</t>
        </is>
      </c>
      <c r="E1215" t="inlineStr">
        <is>
          <t>ÅRJÄNG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8215-2025</t>
        </is>
      </c>
      <c r="B1216" s="1" t="n">
        <v>45708.44832175926</v>
      </c>
      <c r="C1216" s="1" t="n">
        <v>45999</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8230-2025</t>
        </is>
      </c>
      <c r="B1217" s="1" t="n">
        <v>45708.47010416666</v>
      </c>
      <c r="C1217" s="1" t="n">
        <v>45999</v>
      </c>
      <c r="D1217" t="inlineStr">
        <is>
          <t>VÄRMLANDS LÄN</t>
        </is>
      </c>
      <c r="E1217" t="inlineStr">
        <is>
          <t>ÅRJÄNG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40346-2024</t>
        </is>
      </c>
      <c r="B1218" s="1" t="n">
        <v>45555.34840277778</v>
      </c>
      <c r="C1218" s="1" t="n">
        <v>45999</v>
      </c>
      <c r="D1218" t="inlineStr">
        <is>
          <t>VÄRMLANDS LÄN</t>
        </is>
      </c>
      <c r="E1218" t="inlineStr">
        <is>
          <t>ÅRJÄNG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34839-2025</t>
        </is>
      </c>
      <c r="B1219" s="1" t="n">
        <v>45849.39505787037</v>
      </c>
      <c r="C1219" s="1" t="n">
        <v>45999</v>
      </c>
      <c r="D1219" t="inlineStr">
        <is>
          <t>VÄRMLANDS LÄN</t>
        </is>
      </c>
      <c r="E1219" t="inlineStr">
        <is>
          <t>ÅRJÄNG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49785-2024</t>
        </is>
      </c>
      <c r="B1220" s="1" t="n">
        <v>45597.35758101852</v>
      </c>
      <c r="C1220" s="1" t="n">
        <v>45999</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34840-2025</t>
        </is>
      </c>
      <c r="B1221" s="1" t="n">
        <v>45849</v>
      </c>
      <c r="C1221" s="1" t="n">
        <v>45999</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35104-2025</t>
        </is>
      </c>
      <c r="B1222" s="1" t="n">
        <v>45852.57070601852</v>
      </c>
      <c r="C1222" s="1" t="n">
        <v>45999</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10239-2023</t>
        </is>
      </c>
      <c r="B1223" s="1" t="n">
        <v>44986</v>
      </c>
      <c r="C1223" s="1" t="n">
        <v>45999</v>
      </c>
      <c r="D1223" t="inlineStr">
        <is>
          <t>VÄRMLANDS LÄN</t>
        </is>
      </c>
      <c r="E1223" t="inlineStr">
        <is>
          <t>ÅRJÄNG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3861-2025</t>
        </is>
      </c>
      <c r="B1224" s="1" t="n">
        <v>45683</v>
      </c>
      <c r="C1224" s="1" t="n">
        <v>45999</v>
      </c>
      <c r="D1224" t="inlineStr">
        <is>
          <t>VÄRMLANDS LÄN</t>
        </is>
      </c>
      <c r="E1224" t="inlineStr">
        <is>
          <t>ÅRJÄNG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34831-2025</t>
        </is>
      </c>
      <c r="B1225" s="1" t="n">
        <v>45849</v>
      </c>
      <c r="C1225" s="1" t="n">
        <v>45999</v>
      </c>
      <c r="D1225" t="inlineStr">
        <is>
          <t>VÄRMLANDS LÄN</t>
        </is>
      </c>
      <c r="E1225" t="inlineStr">
        <is>
          <t>ÅRJÄNG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35295-2025</t>
        </is>
      </c>
      <c r="B1226" s="1" t="n">
        <v>45854.40325231481</v>
      </c>
      <c r="C1226" s="1" t="n">
        <v>45999</v>
      </c>
      <c r="D1226" t="inlineStr">
        <is>
          <t>VÄRMLANDS LÄN</t>
        </is>
      </c>
      <c r="E1226" t="inlineStr">
        <is>
          <t>ÅRJÄNG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35304-2025</t>
        </is>
      </c>
      <c r="B1227" s="1" t="n">
        <v>45854.43931712963</v>
      </c>
      <c r="C1227" s="1" t="n">
        <v>45999</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34163-2025</t>
        </is>
      </c>
      <c r="B1228" s="1" t="n">
        <v>45844</v>
      </c>
      <c r="C1228" s="1" t="n">
        <v>45999</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29792-2022</t>
        </is>
      </c>
      <c r="B1229" s="1" t="n">
        <v>44755.67122685185</v>
      </c>
      <c r="C1229" s="1" t="n">
        <v>45999</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34075-2025</t>
        </is>
      </c>
      <c r="B1230" s="1" t="n">
        <v>45845</v>
      </c>
      <c r="C1230" s="1" t="n">
        <v>45999</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34159-2025</t>
        </is>
      </c>
      <c r="B1231" s="1" t="n">
        <v>45844</v>
      </c>
      <c r="C1231" s="1" t="n">
        <v>45999</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30346-2022</t>
        </is>
      </c>
      <c r="B1232" s="1" t="n">
        <v>44760.55734953703</v>
      </c>
      <c r="C1232" s="1" t="n">
        <v>45999</v>
      </c>
      <c r="D1232" t="inlineStr">
        <is>
          <t>VÄRMLANDS LÄN</t>
        </is>
      </c>
      <c r="E1232" t="inlineStr">
        <is>
          <t>ÅRJÄNG</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10126-2023</t>
        </is>
      </c>
      <c r="B1233" s="1" t="n">
        <v>44980</v>
      </c>
      <c r="C1233" s="1" t="n">
        <v>45999</v>
      </c>
      <c r="D1233" t="inlineStr">
        <is>
          <t>VÄRMLANDS LÄN</t>
        </is>
      </c>
      <c r="E1233" t="inlineStr">
        <is>
          <t>ÅRJÄNG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34889-2022</t>
        </is>
      </c>
      <c r="B1234" s="1" t="n">
        <v>44796</v>
      </c>
      <c r="C1234" s="1" t="n">
        <v>45999</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14310-2022</t>
        </is>
      </c>
      <c r="B1235" s="1" t="n">
        <v>44652</v>
      </c>
      <c r="C1235" s="1" t="n">
        <v>45999</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14917-2024</t>
        </is>
      </c>
      <c r="B1236" s="1" t="n">
        <v>45398</v>
      </c>
      <c r="C1236" s="1" t="n">
        <v>45999</v>
      </c>
      <c r="D1236" t="inlineStr">
        <is>
          <t>VÄRMLANDS LÄN</t>
        </is>
      </c>
      <c r="E1236" t="inlineStr">
        <is>
          <t>ÅRJÄNG</t>
        </is>
      </c>
      <c r="G1236" t="n">
        <v>19.9</v>
      </c>
      <c r="H1236" t="n">
        <v>0</v>
      </c>
      <c r="I1236" t="n">
        <v>0</v>
      </c>
      <c r="J1236" t="n">
        <v>0</v>
      </c>
      <c r="K1236" t="n">
        <v>0</v>
      </c>
      <c r="L1236" t="n">
        <v>0</v>
      </c>
      <c r="M1236" t="n">
        <v>0</v>
      </c>
      <c r="N1236" t="n">
        <v>0</v>
      </c>
      <c r="O1236" t="n">
        <v>0</v>
      </c>
      <c r="P1236" t="n">
        <v>0</v>
      </c>
      <c r="Q1236" t="n">
        <v>0</v>
      </c>
      <c r="R1236" s="2" t="inlineStr"/>
    </row>
    <row r="1237" ht="15" customHeight="1">
      <c r="A1237" t="inlineStr">
        <is>
          <t>A 53793-2024</t>
        </is>
      </c>
      <c r="B1237" s="1" t="n">
        <v>45615</v>
      </c>
      <c r="C1237" s="1" t="n">
        <v>45999</v>
      </c>
      <c r="D1237" t="inlineStr">
        <is>
          <t>VÄRMLANDS LÄN</t>
        </is>
      </c>
      <c r="E1237" t="inlineStr">
        <is>
          <t>ÅRJÄNG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15537-2024</t>
        </is>
      </c>
      <c r="B1238" s="1" t="n">
        <v>45401</v>
      </c>
      <c r="C1238" s="1" t="n">
        <v>45999</v>
      </c>
      <c r="D1238" t="inlineStr">
        <is>
          <t>VÄRMLANDS LÄN</t>
        </is>
      </c>
      <c r="E1238" t="inlineStr">
        <is>
          <t>ÅRJÄNG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60975-2022</t>
        </is>
      </c>
      <c r="B1239" s="1" t="n">
        <v>44914</v>
      </c>
      <c r="C1239" s="1" t="n">
        <v>45999</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39156-2024</t>
        </is>
      </c>
      <c r="B1240" s="1" t="n">
        <v>45548.62956018518</v>
      </c>
      <c r="C1240" s="1" t="n">
        <v>45999</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8685-2024</t>
        </is>
      </c>
      <c r="B1241" s="1" t="n">
        <v>45356</v>
      </c>
      <c r="C1241" s="1" t="n">
        <v>45999</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49057-2024</t>
        </is>
      </c>
      <c r="B1242" s="1" t="n">
        <v>45594</v>
      </c>
      <c r="C1242" s="1" t="n">
        <v>45999</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64690-2023</t>
        </is>
      </c>
      <c r="B1243" s="1" t="n">
        <v>45281.63434027778</v>
      </c>
      <c r="C1243" s="1" t="n">
        <v>45999</v>
      </c>
      <c r="D1243" t="inlineStr">
        <is>
          <t>VÄRMLANDS LÄN</t>
        </is>
      </c>
      <c r="E1243" t="inlineStr">
        <is>
          <t>ÅRJÄNG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9489-2025</t>
        </is>
      </c>
      <c r="B1244" s="1" t="n">
        <v>45715</v>
      </c>
      <c r="C1244" s="1" t="n">
        <v>45999</v>
      </c>
      <c r="D1244" t="inlineStr">
        <is>
          <t>VÄRMLANDS LÄN</t>
        </is>
      </c>
      <c r="E1244" t="inlineStr">
        <is>
          <t>ÅRJÄNG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7574-2024</t>
        </is>
      </c>
      <c r="B1245" s="1" t="n">
        <v>45348</v>
      </c>
      <c r="C1245" s="1" t="n">
        <v>45999</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60886-2023</t>
        </is>
      </c>
      <c r="B1246" s="1" t="n">
        <v>45261</v>
      </c>
      <c r="C1246" s="1" t="n">
        <v>45999</v>
      </c>
      <c r="D1246" t="inlineStr">
        <is>
          <t>VÄRMLANDS LÄN</t>
        </is>
      </c>
      <c r="E1246" t="inlineStr">
        <is>
          <t>ÅRJÄNG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31622-2024</t>
        </is>
      </c>
      <c r="B1247" s="1" t="n">
        <v>45506</v>
      </c>
      <c r="C1247" s="1" t="n">
        <v>45999</v>
      </c>
      <c r="D1247" t="inlineStr">
        <is>
          <t>VÄRMLANDS LÄN</t>
        </is>
      </c>
      <c r="E1247" t="inlineStr">
        <is>
          <t>ÅRJÄNG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24216-2024</t>
        </is>
      </c>
      <c r="B1248" s="1" t="n">
        <v>45457</v>
      </c>
      <c r="C1248" s="1" t="n">
        <v>45999</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50112-2024</t>
        </is>
      </c>
      <c r="B1249" s="1" t="n">
        <v>45600</v>
      </c>
      <c r="C1249" s="1" t="n">
        <v>45999</v>
      </c>
      <c r="D1249" t="inlineStr">
        <is>
          <t>VÄRMLANDS LÄN</t>
        </is>
      </c>
      <c r="E1249" t="inlineStr">
        <is>
          <t>ÅRJÄNG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18388-2025</t>
        </is>
      </c>
      <c r="B1250" s="1" t="n">
        <v>45762</v>
      </c>
      <c r="C1250" s="1" t="n">
        <v>45999</v>
      </c>
      <c r="D1250" t="inlineStr">
        <is>
          <t>VÄRMLANDS LÄN</t>
        </is>
      </c>
      <c r="E1250" t="inlineStr">
        <is>
          <t>ÅRJÄNG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56168-2024</t>
        </is>
      </c>
      <c r="B1251" s="1" t="n">
        <v>45623</v>
      </c>
      <c r="C1251" s="1" t="n">
        <v>45999</v>
      </c>
      <c r="D1251" t="inlineStr">
        <is>
          <t>VÄRMLANDS LÄN</t>
        </is>
      </c>
      <c r="E1251" t="inlineStr">
        <is>
          <t>ÅRJÄNG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1912-2024</t>
        </is>
      </c>
      <c r="B1252" s="1" t="n">
        <v>45308</v>
      </c>
      <c r="C1252" s="1" t="n">
        <v>45999</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38167-2022</t>
        </is>
      </c>
      <c r="B1253" s="1" t="n">
        <v>44812</v>
      </c>
      <c r="C1253" s="1" t="n">
        <v>45999</v>
      </c>
      <c r="D1253" t="inlineStr">
        <is>
          <t>VÄRMLANDS LÄN</t>
        </is>
      </c>
      <c r="E1253" t="inlineStr">
        <is>
          <t>ÅRJÄNG</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57161-2024</t>
        </is>
      </c>
      <c r="B1254" s="1" t="n">
        <v>45628</v>
      </c>
      <c r="C1254" s="1" t="n">
        <v>45999</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60202-2023</t>
        </is>
      </c>
      <c r="B1255" s="1" t="n">
        <v>45257</v>
      </c>
      <c r="C1255" s="1" t="n">
        <v>45999</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42236-2024</t>
        </is>
      </c>
      <c r="B1256" s="1" t="n">
        <v>45562</v>
      </c>
      <c r="C1256" s="1" t="n">
        <v>45999</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59484-2024</t>
        </is>
      </c>
      <c r="B1257" s="1" t="n">
        <v>45638</v>
      </c>
      <c r="C1257" s="1" t="n">
        <v>45999</v>
      </c>
      <c r="D1257" t="inlineStr">
        <is>
          <t>VÄRMLANDS LÄN</t>
        </is>
      </c>
      <c r="E1257" t="inlineStr">
        <is>
          <t>ÅRJÄNG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51260-2024</t>
        </is>
      </c>
      <c r="B1258" s="1" t="n">
        <v>45602</v>
      </c>
      <c r="C1258" s="1" t="n">
        <v>45999</v>
      </c>
      <c r="D1258" t="inlineStr">
        <is>
          <t>VÄRMLANDS LÄN</t>
        </is>
      </c>
      <c r="E1258" t="inlineStr">
        <is>
          <t>ÅRJÄNG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41205-2024</t>
        </is>
      </c>
      <c r="B1259" s="1" t="n">
        <v>45559</v>
      </c>
      <c r="C1259" s="1" t="n">
        <v>45999</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29570-2023</t>
        </is>
      </c>
      <c r="B1260" s="1" t="n">
        <v>45106.6989699074</v>
      </c>
      <c r="C1260" s="1" t="n">
        <v>45999</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52382-2024</t>
        </is>
      </c>
      <c r="B1261" s="1" t="n">
        <v>45608</v>
      </c>
      <c r="C1261" s="1" t="n">
        <v>45999</v>
      </c>
      <c r="D1261" t="inlineStr">
        <is>
          <t>VÄRMLANDS LÄN</t>
        </is>
      </c>
      <c r="E1261" t="inlineStr">
        <is>
          <t>ÅRJÄNG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56917-2024</t>
        </is>
      </c>
      <c r="B1262" s="1" t="n">
        <v>45628</v>
      </c>
      <c r="C1262" s="1" t="n">
        <v>45999</v>
      </c>
      <c r="D1262" t="inlineStr">
        <is>
          <t>VÄRMLANDS LÄN</t>
        </is>
      </c>
      <c r="E1262" t="inlineStr">
        <is>
          <t>ÅRJÄNG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46318-2024</t>
        </is>
      </c>
      <c r="B1263" s="1" t="n">
        <v>45581.75744212963</v>
      </c>
      <c r="C1263" s="1" t="n">
        <v>45999</v>
      </c>
      <c r="D1263" t="inlineStr">
        <is>
          <t>VÄRMLANDS LÄN</t>
        </is>
      </c>
      <c r="E1263" t="inlineStr">
        <is>
          <t>ÅRJÄNG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18796-2023</t>
        </is>
      </c>
      <c r="B1264" s="1" t="n">
        <v>45044.31065972222</v>
      </c>
      <c r="C1264" s="1" t="n">
        <v>45999</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65849-2021</t>
        </is>
      </c>
      <c r="B1265" s="1" t="n">
        <v>44517</v>
      </c>
      <c r="C1265" s="1" t="n">
        <v>45999</v>
      </c>
      <c r="D1265" t="inlineStr">
        <is>
          <t>VÄRMLANDS LÄN</t>
        </is>
      </c>
      <c r="E1265" t="inlineStr">
        <is>
          <t>ÅRJÄNG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53123-2024</t>
        </is>
      </c>
      <c r="B1266" s="1" t="n">
        <v>45611.58819444444</v>
      </c>
      <c r="C1266" s="1" t="n">
        <v>45999</v>
      </c>
      <c r="D1266" t="inlineStr">
        <is>
          <t>VÄRMLANDS LÄN</t>
        </is>
      </c>
      <c r="E1266" t="inlineStr">
        <is>
          <t>ÅRJÄNG</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1153-2023</t>
        </is>
      </c>
      <c r="B1267" s="1" t="n">
        <v>44935</v>
      </c>
      <c r="C1267" s="1" t="n">
        <v>45999</v>
      </c>
      <c r="D1267" t="inlineStr">
        <is>
          <t>VÄRMLANDS LÄN</t>
        </is>
      </c>
      <c r="E1267" t="inlineStr">
        <is>
          <t>ÅRJÄNG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11265-2021</t>
        </is>
      </c>
      <c r="B1268" s="1" t="n">
        <v>44263.44670138889</v>
      </c>
      <c r="C1268" s="1" t="n">
        <v>45999</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14340-2023</t>
        </is>
      </c>
      <c r="B1269" s="1" t="n">
        <v>45012.36368055556</v>
      </c>
      <c r="C1269" s="1" t="n">
        <v>45999</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49795-2024</t>
        </is>
      </c>
      <c r="B1270" s="1" t="n">
        <v>45597.3713425926</v>
      </c>
      <c r="C1270" s="1" t="n">
        <v>45999</v>
      </c>
      <c r="D1270" t="inlineStr">
        <is>
          <t>VÄRMLANDS LÄN</t>
        </is>
      </c>
      <c r="E1270" t="inlineStr">
        <is>
          <t>ÅRJÄNG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24342-2024</t>
        </is>
      </c>
      <c r="B1271" s="1" t="n">
        <v>45457</v>
      </c>
      <c r="C1271" s="1" t="n">
        <v>45999</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2116-2025</t>
        </is>
      </c>
      <c r="B1272" s="1" t="n">
        <v>45672</v>
      </c>
      <c r="C1272" s="1" t="n">
        <v>45999</v>
      </c>
      <c r="D1272" t="inlineStr">
        <is>
          <t>VÄRMLANDS LÄN</t>
        </is>
      </c>
      <c r="E1272" t="inlineStr">
        <is>
          <t>ÅRJÄNG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53726-2021</t>
        </is>
      </c>
      <c r="B1273" s="1" t="n">
        <v>44469.51079861111</v>
      </c>
      <c r="C1273" s="1" t="n">
        <v>45999</v>
      </c>
      <c r="D1273" t="inlineStr">
        <is>
          <t>VÄRMLANDS LÄN</t>
        </is>
      </c>
      <c r="E1273" t="inlineStr">
        <is>
          <t>ÅRJÄNG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13157-2024</t>
        </is>
      </c>
      <c r="B1274" s="1" t="n">
        <v>45386</v>
      </c>
      <c r="C1274" s="1" t="n">
        <v>45999</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50509-2024</t>
        </is>
      </c>
      <c r="B1275" s="1" t="n">
        <v>45601</v>
      </c>
      <c r="C1275" s="1" t="n">
        <v>45999</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32773-2024</t>
        </is>
      </c>
      <c r="B1276" s="1" t="n">
        <v>45516.49834490741</v>
      </c>
      <c r="C1276" s="1" t="n">
        <v>45999</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11874-2025</t>
        </is>
      </c>
      <c r="B1277" s="1" t="n">
        <v>45728.43699074074</v>
      </c>
      <c r="C1277" s="1" t="n">
        <v>45999</v>
      </c>
      <c r="D1277" t="inlineStr">
        <is>
          <t>VÄRMLANDS LÄN</t>
        </is>
      </c>
      <c r="E1277" t="inlineStr">
        <is>
          <t>ÅRJÄNG</t>
        </is>
      </c>
      <c r="F1277" t="inlineStr">
        <is>
          <t>Övriga Aktiebolag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15949-2025</t>
        </is>
      </c>
      <c r="B1278" s="1" t="n">
        <v>45749</v>
      </c>
      <c r="C1278" s="1" t="n">
        <v>45999</v>
      </c>
      <c r="D1278" t="inlineStr">
        <is>
          <t>VÄRMLANDS LÄN</t>
        </is>
      </c>
      <c r="E1278" t="inlineStr">
        <is>
          <t>ÅRJÄNG</t>
        </is>
      </c>
      <c r="F1278" t="inlineStr">
        <is>
          <t>Bergvik skog väst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8246-2025</t>
        </is>
      </c>
      <c r="B1279" s="1" t="n">
        <v>45708.48710648148</v>
      </c>
      <c r="C1279" s="1" t="n">
        <v>45999</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35726-2022</t>
        </is>
      </c>
      <c r="B1280" s="1" t="n">
        <v>44799</v>
      </c>
      <c r="C1280" s="1" t="n">
        <v>45999</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60000-2024</t>
        </is>
      </c>
      <c r="B1281" s="1" t="n">
        <v>45642</v>
      </c>
      <c r="C1281" s="1" t="n">
        <v>45999</v>
      </c>
      <c r="D1281" t="inlineStr">
        <is>
          <t>VÄRMLANDS LÄN</t>
        </is>
      </c>
      <c r="E1281" t="inlineStr">
        <is>
          <t>ÅRJÄNG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46473-2024</t>
        </is>
      </c>
      <c r="B1282" s="1" t="n">
        <v>45582</v>
      </c>
      <c r="C1282" s="1" t="n">
        <v>45999</v>
      </c>
      <c r="D1282" t="inlineStr">
        <is>
          <t>VÄRMLANDS LÄN</t>
        </is>
      </c>
      <c r="E1282" t="inlineStr">
        <is>
          <t>ÅRJÄNG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61119-2024</t>
        </is>
      </c>
      <c r="B1283" s="1" t="n">
        <v>45645.57</v>
      </c>
      <c r="C1283" s="1" t="n">
        <v>45999</v>
      </c>
      <c r="D1283" t="inlineStr">
        <is>
          <t>VÄRMLANDS LÄN</t>
        </is>
      </c>
      <c r="E1283" t="inlineStr">
        <is>
          <t>ÅRJÄNG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28382-2022</t>
        </is>
      </c>
      <c r="B1284" s="1" t="n">
        <v>44747</v>
      </c>
      <c r="C1284" s="1" t="n">
        <v>45999</v>
      </c>
      <c r="D1284" t="inlineStr">
        <is>
          <t>VÄRMLANDS LÄN</t>
        </is>
      </c>
      <c r="E1284" t="inlineStr">
        <is>
          <t>ÅRJÄNG</t>
        </is>
      </c>
      <c r="F1284" t="inlineStr">
        <is>
          <t>Naturvårdsverket</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28439-2022</t>
        </is>
      </c>
      <c r="B1285" s="1" t="n">
        <v>44747</v>
      </c>
      <c r="C1285" s="1" t="n">
        <v>45999</v>
      </c>
      <c r="D1285" t="inlineStr">
        <is>
          <t>VÄRMLANDS LÄN</t>
        </is>
      </c>
      <c r="E1285" t="inlineStr">
        <is>
          <t>ÅRJÄNG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9990-2025</t>
        </is>
      </c>
      <c r="B1286" s="1" t="n">
        <v>45719</v>
      </c>
      <c r="C1286" s="1" t="n">
        <v>45999</v>
      </c>
      <c r="D1286" t="inlineStr">
        <is>
          <t>VÄRMLANDS LÄN</t>
        </is>
      </c>
      <c r="E1286" t="inlineStr">
        <is>
          <t>ÅRJÄNG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9992-2025</t>
        </is>
      </c>
      <c r="B1287" s="1" t="n">
        <v>45719.43708333333</v>
      </c>
      <c r="C1287" s="1" t="n">
        <v>45999</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34803-2021</t>
        </is>
      </c>
      <c r="B1288" s="1" t="n">
        <v>44383</v>
      </c>
      <c r="C1288" s="1" t="n">
        <v>45999</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58427-2024</t>
        </is>
      </c>
      <c r="B1289" s="1" t="n">
        <v>45634.89083333333</v>
      </c>
      <c r="C1289" s="1" t="n">
        <v>45999</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58428-2024</t>
        </is>
      </c>
      <c r="B1290" s="1" t="n">
        <v>45634.90734953704</v>
      </c>
      <c r="C1290" s="1" t="n">
        <v>45999</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17178-2021</t>
        </is>
      </c>
      <c r="B1291" s="1" t="n">
        <v>44298.46592592593</v>
      </c>
      <c r="C1291" s="1" t="n">
        <v>45999</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10180-2023</t>
        </is>
      </c>
      <c r="B1292" s="1" t="n">
        <v>44986</v>
      </c>
      <c r="C1292" s="1" t="n">
        <v>45999</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69862-2021</t>
        </is>
      </c>
      <c r="B1293" s="1" t="n">
        <v>44532</v>
      </c>
      <c r="C1293" s="1" t="n">
        <v>45999</v>
      </c>
      <c r="D1293" t="inlineStr">
        <is>
          <t>VÄRMLANDS LÄN</t>
        </is>
      </c>
      <c r="E1293" t="inlineStr">
        <is>
          <t>ÅRJÄNG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29558-2024</t>
        </is>
      </c>
      <c r="B1294" s="1" t="n">
        <v>45484</v>
      </c>
      <c r="C1294" s="1" t="n">
        <v>45999</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23754-2024</t>
        </is>
      </c>
      <c r="B1295" s="1" t="n">
        <v>45455</v>
      </c>
      <c r="C1295" s="1" t="n">
        <v>45999</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99-2025</t>
        </is>
      </c>
      <c r="B1296" s="1" t="n">
        <v>45649</v>
      </c>
      <c r="C1296" s="1" t="n">
        <v>45999</v>
      </c>
      <c r="D1296" t="inlineStr">
        <is>
          <t>VÄRMLANDS LÄN</t>
        </is>
      </c>
      <c r="E1296" t="inlineStr">
        <is>
          <t>ÅRJÄNG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40465-2023</t>
        </is>
      </c>
      <c r="B1297" s="1" t="n">
        <v>45170.34325231481</v>
      </c>
      <c r="C1297" s="1" t="n">
        <v>45999</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40366-2022</t>
        </is>
      </c>
      <c r="B1298" s="1" t="n">
        <v>44823.38884259259</v>
      </c>
      <c r="C1298" s="1" t="n">
        <v>45999</v>
      </c>
      <c r="D1298" t="inlineStr">
        <is>
          <t>VÄRMLANDS LÄN</t>
        </is>
      </c>
      <c r="E1298" t="inlineStr">
        <is>
          <t>ÅRJÄNG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1279-2025</t>
        </is>
      </c>
      <c r="B1299" s="1" t="n">
        <v>45667.48987268518</v>
      </c>
      <c r="C1299" s="1" t="n">
        <v>45999</v>
      </c>
      <c r="D1299" t="inlineStr">
        <is>
          <t>VÄRMLANDS LÄN</t>
        </is>
      </c>
      <c r="E1299" t="inlineStr">
        <is>
          <t>ÅRJÄNG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10873-2023</t>
        </is>
      </c>
      <c r="B1300" s="1" t="n">
        <v>44991.42243055555</v>
      </c>
      <c r="C1300" s="1" t="n">
        <v>45999</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30699-2021</t>
        </is>
      </c>
      <c r="B1301" s="1" t="n">
        <v>44365.42443287037</v>
      </c>
      <c r="C1301" s="1" t="n">
        <v>45999</v>
      </c>
      <c r="D1301" t="inlineStr">
        <is>
          <t>VÄRMLANDS LÄN</t>
        </is>
      </c>
      <c r="E1301" t="inlineStr">
        <is>
          <t>ÅRJÄNG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35157-2021</t>
        </is>
      </c>
      <c r="B1302" s="1" t="n">
        <v>44383</v>
      </c>
      <c r="C1302" s="1" t="n">
        <v>45999</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21706-2024</t>
        </is>
      </c>
      <c r="B1303" s="1" t="n">
        <v>45442</v>
      </c>
      <c r="C1303" s="1" t="n">
        <v>45999</v>
      </c>
      <c r="D1303" t="inlineStr">
        <is>
          <t>VÄRMLANDS LÄN</t>
        </is>
      </c>
      <c r="E1303" t="inlineStr">
        <is>
          <t>ÅRJÄNG</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43040-2023</t>
        </is>
      </c>
      <c r="B1304" s="1" t="n">
        <v>45182.68716435185</v>
      </c>
      <c r="C1304" s="1" t="n">
        <v>45999</v>
      </c>
      <c r="D1304" t="inlineStr">
        <is>
          <t>VÄRMLANDS LÄN</t>
        </is>
      </c>
      <c r="E1304" t="inlineStr">
        <is>
          <t>ÅRJÄNG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8232-2025</t>
        </is>
      </c>
      <c r="B1305" s="1" t="n">
        <v>45708.47144675926</v>
      </c>
      <c r="C1305" s="1" t="n">
        <v>45999</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10510-2023</t>
        </is>
      </c>
      <c r="B1306" s="1" t="n">
        <v>44987.73665509259</v>
      </c>
      <c r="C1306" s="1" t="n">
        <v>45999</v>
      </c>
      <c r="D1306" t="inlineStr">
        <is>
          <t>VÄRMLANDS LÄN</t>
        </is>
      </c>
      <c r="E1306" t="inlineStr">
        <is>
          <t>ÅRJÄNG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3458-2025</t>
        </is>
      </c>
      <c r="B1307" s="1" t="n">
        <v>45680.48917824074</v>
      </c>
      <c r="C1307" s="1" t="n">
        <v>45999</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3479-2025</t>
        </is>
      </c>
      <c r="B1308" s="1" t="n">
        <v>45680.53805555555</v>
      </c>
      <c r="C1308" s="1" t="n">
        <v>45999</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10574-2023</t>
        </is>
      </c>
      <c r="B1309" s="1" t="n">
        <v>44984</v>
      </c>
      <c r="C1309" s="1" t="n">
        <v>45999</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62901-2021</t>
        </is>
      </c>
      <c r="B1310" s="1" t="n">
        <v>44504</v>
      </c>
      <c r="C1310" s="1" t="n">
        <v>45999</v>
      </c>
      <c r="D1310" t="inlineStr">
        <is>
          <t>VÄRMLANDS LÄN</t>
        </is>
      </c>
      <c r="E1310" t="inlineStr">
        <is>
          <t>ÅRJÄNG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15730-2023</t>
        </is>
      </c>
      <c r="B1311" s="1" t="n">
        <v>45021</v>
      </c>
      <c r="C1311" s="1" t="n">
        <v>45999</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33831-2023</t>
        </is>
      </c>
      <c r="B1312" s="1" t="n">
        <v>45121</v>
      </c>
      <c r="C1312" s="1" t="n">
        <v>45999</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59070-2024</t>
        </is>
      </c>
      <c r="B1313" s="1" t="n">
        <v>45636.95711805556</v>
      </c>
      <c r="C1313" s="1" t="n">
        <v>45999</v>
      </c>
      <c r="D1313" t="inlineStr">
        <is>
          <t>VÄRMLANDS LÄN</t>
        </is>
      </c>
      <c r="E1313" t="inlineStr">
        <is>
          <t>ÅRJÄNG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29603-2024</t>
        </is>
      </c>
      <c r="B1314" s="1" t="n">
        <v>45484</v>
      </c>
      <c r="C1314" s="1" t="n">
        <v>45999</v>
      </c>
      <c r="D1314" t="inlineStr">
        <is>
          <t>VÄRMLANDS LÄN</t>
        </is>
      </c>
      <c r="E1314" t="inlineStr">
        <is>
          <t>ÅRJÄNG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15546-2025</t>
        </is>
      </c>
      <c r="B1315" s="1" t="n">
        <v>45747</v>
      </c>
      <c r="C1315" s="1" t="n">
        <v>45999</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7660-2025</t>
        </is>
      </c>
      <c r="B1316" s="1" t="n">
        <v>45706.32505787037</v>
      </c>
      <c r="C1316" s="1" t="n">
        <v>45999</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52278-2023</t>
        </is>
      </c>
      <c r="B1317" s="1" t="n">
        <v>45224.57358796296</v>
      </c>
      <c r="C1317" s="1" t="n">
        <v>45999</v>
      </c>
      <c r="D1317" t="inlineStr">
        <is>
          <t>VÄRMLANDS LÄN</t>
        </is>
      </c>
      <c r="E1317" t="inlineStr">
        <is>
          <t>ÅRJÄNG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48130-2023</t>
        </is>
      </c>
      <c r="B1318" s="1" t="n">
        <v>45201</v>
      </c>
      <c r="C1318" s="1" t="n">
        <v>45999</v>
      </c>
      <c r="D1318" t="inlineStr">
        <is>
          <t>VÄRMLANDS LÄN</t>
        </is>
      </c>
      <c r="E1318" t="inlineStr">
        <is>
          <t>ÅRJÄNG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8918-2025</t>
        </is>
      </c>
      <c r="B1319" s="1" t="n">
        <v>45713.43067129629</v>
      </c>
      <c r="C1319" s="1" t="n">
        <v>45999</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36641-2021</t>
        </is>
      </c>
      <c r="B1320" s="1" t="n">
        <v>44392.31038194444</v>
      </c>
      <c r="C1320" s="1" t="n">
        <v>45999</v>
      </c>
      <c r="D1320" t="inlineStr">
        <is>
          <t>VÄRMLANDS LÄN</t>
        </is>
      </c>
      <c r="E1320" t="inlineStr">
        <is>
          <t>ÅRJÄNG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27001-2021</t>
        </is>
      </c>
      <c r="B1321" s="1" t="n">
        <v>44350.35271990741</v>
      </c>
      <c r="C1321" s="1" t="n">
        <v>45999</v>
      </c>
      <c r="D1321" t="inlineStr">
        <is>
          <t>VÄRMLANDS LÄN</t>
        </is>
      </c>
      <c r="E1321" t="inlineStr">
        <is>
          <t>ÅRJÄNG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42576-2021</t>
        </is>
      </c>
      <c r="B1322" s="1" t="n">
        <v>44428</v>
      </c>
      <c r="C1322" s="1" t="n">
        <v>45999</v>
      </c>
      <c r="D1322" t="inlineStr">
        <is>
          <t>VÄRMLANDS LÄN</t>
        </is>
      </c>
      <c r="E1322" t="inlineStr">
        <is>
          <t>ÅRJÄNG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33525-2022</t>
        </is>
      </c>
      <c r="B1323" s="1" t="n">
        <v>44789.31077546296</v>
      </c>
      <c r="C1323" s="1" t="n">
        <v>45999</v>
      </c>
      <c r="D1323" t="inlineStr">
        <is>
          <t>VÄRMLANDS LÄN</t>
        </is>
      </c>
      <c r="E1323" t="inlineStr">
        <is>
          <t>ÅRJÄNG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4763-2023</t>
        </is>
      </c>
      <c r="B1324" s="1" t="n">
        <v>44957.57651620371</v>
      </c>
      <c r="C1324" s="1" t="n">
        <v>45999</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c r="A1325" t="inlineStr">
        <is>
          <t>A 7877-2025</t>
        </is>
      </c>
      <c r="B1325" s="1" t="n">
        <v>45706.76609953704</v>
      </c>
      <c r="C1325" s="1" t="n">
        <v>45999</v>
      </c>
      <c r="D1325" t="inlineStr">
        <is>
          <t>VÄRMLANDS LÄN</t>
        </is>
      </c>
      <c r="E1325" t="inlineStr">
        <is>
          <t>ÅRJÄNG</t>
        </is>
      </c>
      <c r="G1325" t="n">
        <v>2.8</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2025-12-08T10:25:53Z</dcterms:created>
  <dcterms:modified xmlns:dcterms="http://purl.org/dc/terms/" xmlns:xsi="http://www.w3.org/2001/XMLSchema-instance" xsi:type="dcterms:W3CDTF">2025-12-08T10:25:54Z</dcterms:modified>
</cp:coreProperties>
</file>