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45886</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45886</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45886</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45886</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45886</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45886</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45886</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45886</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45886</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45886</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45886</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45886</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45886</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45886</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45886</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45886</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45886</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45886</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45886</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45886</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60741-2023</t>
        </is>
      </c>
      <c r="B25" s="1" t="n">
        <v>45260</v>
      </c>
      <c r="C25" s="1" t="n">
        <v>45886</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60688-2023</t>
        </is>
      </c>
      <c r="B26" s="1" t="n">
        <v>45260</v>
      </c>
      <c r="C26" s="1" t="n">
        <v>45886</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28418-2021</t>
        </is>
      </c>
      <c r="B27" s="1" t="n">
        <v>44356</v>
      </c>
      <c r="C27" s="1" t="n">
        <v>45886</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45886</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45886</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38701-2020</t>
        </is>
      </c>
      <c r="B30" s="1" t="n">
        <v>44061</v>
      </c>
      <c r="C30" s="1" t="n">
        <v>45886</v>
      </c>
      <c r="D30" t="inlineStr">
        <is>
          <t>VÄRMLANDS LÄN</t>
        </is>
      </c>
      <c r="E30" t="inlineStr">
        <is>
          <t>ÅRJÄNG</t>
        </is>
      </c>
      <c r="G30" t="n">
        <v>2.9</v>
      </c>
      <c r="H30" t="n">
        <v>1</v>
      </c>
      <c r="I30" t="n">
        <v>0</v>
      </c>
      <c r="J30" t="n">
        <v>1</v>
      </c>
      <c r="K30" t="n">
        <v>0</v>
      </c>
      <c r="L30" t="n">
        <v>0</v>
      </c>
      <c r="M30" t="n">
        <v>0</v>
      </c>
      <c r="N30" t="n">
        <v>0</v>
      </c>
      <c r="O30" t="n">
        <v>1</v>
      </c>
      <c r="P30" t="n">
        <v>0</v>
      </c>
      <c r="Q30" t="n">
        <v>1</v>
      </c>
      <c r="R30" s="2" t="inlineStr">
        <is>
          <t>Spillkråka</t>
        </is>
      </c>
      <c r="S30">
        <f>HYPERLINK("https://klasma.github.io/Logging_1765/artfynd/A 38701-2020 artfynd.xlsx", "A 38701-2020")</f>
        <v/>
      </c>
      <c r="T30">
        <f>HYPERLINK("https://klasma.github.io/Logging_1765/kartor/A 38701-2020 karta.png", "A 38701-2020")</f>
        <v/>
      </c>
      <c r="V30">
        <f>HYPERLINK("https://klasma.github.io/Logging_1765/klagomål/A 38701-2020 FSC-klagomål.docx", "A 38701-2020")</f>
        <v/>
      </c>
      <c r="W30">
        <f>HYPERLINK("https://klasma.github.io/Logging_1765/klagomålsmail/A 38701-2020 FSC-klagomål mail.docx", "A 38701-2020")</f>
        <v/>
      </c>
      <c r="X30">
        <f>HYPERLINK("https://klasma.github.io/Logging_1765/tillsyn/A 38701-2020 tillsynsbegäran.docx", "A 38701-2020")</f>
        <v/>
      </c>
      <c r="Y30">
        <f>HYPERLINK("https://klasma.github.io/Logging_1765/tillsynsmail/A 38701-2020 tillsynsbegäran mail.docx", "A 38701-2020")</f>
        <v/>
      </c>
      <c r="Z30">
        <f>HYPERLINK("https://klasma.github.io/Logging_1765/fåglar/A 38701-2020 prioriterade fågelarter.docx", "A 38701-2020")</f>
        <v/>
      </c>
    </row>
    <row r="31" ht="15" customHeight="1">
      <c r="A31" t="inlineStr">
        <is>
          <t>A 61846-2020</t>
        </is>
      </c>
      <c r="B31" s="1" t="n">
        <v>44159</v>
      </c>
      <c r="C31" s="1" t="n">
        <v>45886</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45938-2022</t>
        </is>
      </c>
      <c r="B32" s="1" t="n">
        <v>44846</v>
      </c>
      <c r="C32" s="1" t="n">
        <v>45886</v>
      </c>
      <c r="D32" t="inlineStr">
        <is>
          <t>VÄRMLANDS LÄN</t>
        </is>
      </c>
      <c r="E32" t="inlineStr">
        <is>
          <t>ÅRJÄNG</t>
        </is>
      </c>
      <c r="G32" t="n">
        <v>4.4</v>
      </c>
      <c r="H32" t="n">
        <v>1</v>
      </c>
      <c r="I32" t="n">
        <v>0</v>
      </c>
      <c r="J32" t="n">
        <v>0</v>
      </c>
      <c r="K32" t="n">
        <v>1</v>
      </c>
      <c r="L32" t="n">
        <v>0</v>
      </c>
      <c r="M32" t="n">
        <v>0</v>
      </c>
      <c r="N32" t="n">
        <v>0</v>
      </c>
      <c r="O32" t="n">
        <v>1</v>
      </c>
      <c r="P32" t="n">
        <v>1</v>
      </c>
      <c r="Q32" t="n">
        <v>1</v>
      </c>
      <c r="R32" s="2" t="inlineStr">
        <is>
          <t>Knärot</t>
        </is>
      </c>
      <c r="S32">
        <f>HYPERLINK("https://klasma.github.io/Logging_1765/artfynd/A 45938-2022 artfynd.xlsx", "A 45938-2022")</f>
        <v/>
      </c>
      <c r="T32">
        <f>HYPERLINK("https://klasma.github.io/Logging_1765/kartor/A 45938-2022 karta.png", "A 45938-2022")</f>
        <v/>
      </c>
      <c r="U32">
        <f>HYPERLINK("https://klasma.github.io/Logging_1765/knärot/A 45938-2022 karta knärot.png", "A 45938-2022")</f>
        <v/>
      </c>
      <c r="V32">
        <f>HYPERLINK("https://klasma.github.io/Logging_1765/klagomål/A 45938-2022 FSC-klagomål.docx", "A 45938-2022")</f>
        <v/>
      </c>
      <c r="W32">
        <f>HYPERLINK("https://klasma.github.io/Logging_1765/klagomålsmail/A 45938-2022 FSC-klagomål mail.docx", "A 45938-2022")</f>
        <v/>
      </c>
      <c r="X32">
        <f>HYPERLINK("https://klasma.github.io/Logging_1765/tillsyn/A 45938-2022 tillsynsbegäran.docx", "A 45938-2022")</f>
        <v/>
      </c>
      <c r="Y32">
        <f>HYPERLINK("https://klasma.github.io/Logging_1765/tillsynsmail/A 45938-2022 tillsynsbegäran mail.docx", "A 45938-2022")</f>
        <v/>
      </c>
    </row>
    <row r="33" ht="15" customHeight="1">
      <c r="A33" t="inlineStr">
        <is>
          <t>A 7447-2024</t>
        </is>
      </c>
      <c r="B33" s="1" t="n">
        <v>45345</v>
      </c>
      <c r="C33" s="1" t="n">
        <v>45886</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34188-2021</t>
        </is>
      </c>
      <c r="B34" s="1" t="n">
        <v>44379</v>
      </c>
      <c r="C34" s="1" t="n">
        <v>45886</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53611-2023</t>
        </is>
      </c>
      <c r="B35" s="1" t="n">
        <v>45230.570625</v>
      </c>
      <c r="C35" s="1" t="n">
        <v>45886</v>
      </c>
      <c r="D35" t="inlineStr">
        <is>
          <t>VÄRMLANDS LÄN</t>
        </is>
      </c>
      <c r="E35" t="inlineStr">
        <is>
          <t>ÅRJÄNG</t>
        </is>
      </c>
      <c r="G35" t="n">
        <v>12.3</v>
      </c>
      <c r="H35" t="n">
        <v>0</v>
      </c>
      <c r="I35" t="n">
        <v>1</v>
      </c>
      <c r="J35" t="n">
        <v>0</v>
      </c>
      <c r="K35" t="n">
        <v>0</v>
      </c>
      <c r="L35" t="n">
        <v>0</v>
      </c>
      <c r="M35" t="n">
        <v>0</v>
      </c>
      <c r="N35" t="n">
        <v>0</v>
      </c>
      <c r="O35" t="n">
        <v>0</v>
      </c>
      <c r="P35" t="n">
        <v>0</v>
      </c>
      <c r="Q35" t="n">
        <v>1</v>
      </c>
      <c r="R35" s="2" t="inlineStr">
        <is>
          <t>Purpurmylia</t>
        </is>
      </c>
      <c r="S35">
        <f>HYPERLINK("https://klasma.github.io/Logging_1765/artfynd/A 53611-2023 artfynd.xlsx", "A 53611-2023")</f>
        <v/>
      </c>
      <c r="T35">
        <f>HYPERLINK("https://klasma.github.io/Logging_1765/kartor/A 53611-2023 karta.png", "A 53611-2023")</f>
        <v/>
      </c>
      <c r="V35">
        <f>HYPERLINK("https://klasma.github.io/Logging_1765/klagomål/A 53611-2023 FSC-klagomål.docx", "A 53611-2023")</f>
        <v/>
      </c>
      <c r="W35">
        <f>HYPERLINK("https://klasma.github.io/Logging_1765/klagomålsmail/A 53611-2023 FSC-klagomål mail.docx", "A 53611-2023")</f>
        <v/>
      </c>
      <c r="X35">
        <f>HYPERLINK("https://klasma.github.io/Logging_1765/tillsyn/A 53611-2023 tillsynsbegäran.docx", "A 53611-2023")</f>
        <v/>
      </c>
      <c r="Y35">
        <f>HYPERLINK("https://klasma.github.io/Logging_1765/tillsynsmail/A 53611-2023 tillsynsbegäran mail.docx", "A 53611-2023")</f>
        <v/>
      </c>
    </row>
    <row r="36" ht="15" customHeight="1">
      <c r="A36" t="inlineStr">
        <is>
          <t>A 2212-2025</t>
        </is>
      </c>
      <c r="B36" s="1" t="n">
        <v>45673</v>
      </c>
      <c r="C36" s="1" t="n">
        <v>45886</v>
      </c>
      <c r="D36" t="inlineStr">
        <is>
          <t>VÄRMLANDS LÄN</t>
        </is>
      </c>
      <c r="E36" t="inlineStr">
        <is>
          <t>ÅRJÄNG</t>
        </is>
      </c>
      <c r="G36" t="n">
        <v>10.7</v>
      </c>
      <c r="H36" t="n">
        <v>0</v>
      </c>
      <c r="I36" t="n">
        <v>1</v>
      </c>
      <c r="J36" t="n">
        <v>0</v>
      </c>
      <c r="K36" t="n">
        <v>0</v>
      </c>
      <c r="L36" t="n">
        <v>0</v>
      </c>
      <c r="M36" t="n">
        <v>0</v>
      </c>
      <c r="N36" t="n">
        <v>0</v>
      </c>
      <c r="O36" t="n">
        <v>0</v>
      </c>
      <c r="P36" t="n">
        <v>0</v>
      </c>
      <c r="Q36" t="n">
        <v>1</v>
      </c>
      <c r="R36" s="2" t="inlineStr">
        <is>
          <t>Bårdlav</t>
        </is>
      </c>
      <c r="S36">
        <f>HYPERLINK("https://klasma.github.io/Logging_1765/artfynd/A 2212-2025 artfynd.xlsx", "A 2212-2025")</f>
        <v/>
      </c>
      <c r="T36">
        <f>HYPERLINK("https://klasma.github.io/Logging_1765/kartor/A 2212-2025 karta.png", "A 2212-2025")</f>
        <v/>
      </c>
      <c r="V36">
        <f>HYPERLINK("https://klasma.github.io/Logging_1765/klagomål/A 2212-2025 FSC-klagomål.docx", "A 2212-2025")</f>
        <v/>
      </c>
      <c r="W36">
        <f>HYPERLINK("https://klasma.github.io/Logging_1765/klagomålsmail/A 2212-2025 FSC-klagomål mail.docx", "A 2212-2025")</f>
        <v/>
      </c>
      <c r="X36">
        <f>HYPERLINK("https://klasma.github.io/Logging_1765/tillsyn/A 2212-2025 tillsynsbegäran.docx", "A 2212-2025")</f>
        <v/>
      </c>
      <c r="Y36">
        <f>HYPERLINK("https://klasma.github.io/Logging_1765/tillsynsmail/A 2212-2025 tillsynsbegäran mail.docx", "A 2212-2025")</f>
        <v/>
      </c>
    </row>
    <row r="37" ht="15" customHeight="1">
      <c r="A37" t="inlineStr">
        <is>
          <t>A 11682-2022</t>
        </is>
      </c>
      <c r="B37" s="1" t="n">
        <v>44631</v>
      </c>
      <c r="C37" s="1" t="n">
        <v>45886</v>
      </c>
      <c r="D37" t="inlineStr">
        <is>
          <t>VÄRMLANDS LÄN</t>
        </is>
      </c>
      <c r="E37" t="inlineStr">
        <is>
          <t>ÅRJÄNG</t>
        </is>
      </c>
      <c r="G37" t="n">
        <v>19.9</v>
      </c>
      <c r="H37" t="n">
        <v>0</v>
      </c>
      <c r="I37" t="n">
        <v>0</v>
      </c>
      <c r="J37" t="n">
        <v>1</v>
      </c>
      <c r="K37" t="n">
        <v>0</v>
      </c>
      <c r="L37" t="n">
        <v>0</v>
      </c>
      <c r="M37" t="n">
        <v>0</v>
      </c>
      <c r="N37" t="n">
        <v>0</v>
      </c>
      <c r="O37" t="n">
        <v>1</v>
      </c>
      <c r="P37" t="n">
        <v>0</v>
      </c>
      <c r="Q37" t="n">
        <v>1</v>
      </c>
      <c r="R37" s="2" t="inlineStr">
        <is>
          <t>Skogsklocka</t>
        </is>
      </c>
      <c r="S37">
        <f>HYPERLINK("https://klasma.github.io/Logging_1765/artfynd/A 11682-2022 artfynd.xlsx", "A 11682-2022")</f>
        <v/>
      </c>
      <c r="T37">
        <f>HYPERLINK("https://klasma.github.io/Logging_1765/kartor/A 11682-2022 karta.png", "A 11682-2022")</f>
        <v/>
      </c>
      <c r="V37">
        <f>HYPERLINK("https://klasma.github.io/Logging_1765/klagomål/A 11682-2022 FSC-klagomål.docx", "A 11682-2022")</f>
        <v/>
      </c>
      <c r="W37">
        <f>HYPERLINK("https://klasma.github.io/Logging_1765/klagomålsmail/A 11682-2022 FSC-klagomål mail.docx", "A 11682-2022")</f>
        <v/>
      </c>
      <c r="X37">
        <f>HYPERLINK("https://klasma.github.io/Logging_1765/tillsyn/A 11682-2022 tillsynsbegäran.docx", "A 11682-2022")</f>
        <v/>
      </c>
      <c r="Y37">
        <f>HYPERLINK("https://klasma.github.io/Logging_1765/tillsynsmail/A 11682-2022 tillsynsbegäran mail.docx", "A 11682-2022")</f>
        <v/>
      </c>
    </row>
    <row r="38" ht="15" customHeight="1">
      <c r="A38" t="inlineStr">
        <is>
          <t>A 8630-2025</t>
        </is>
      </c>
      <c r="B38" s="1" t="n">
        <v>45711.70400462963</v>
      </c>
      <c r="C38" s="1" t="n">
        <v>45886</v>
      </c>
      <c r="D38" t="inlineStr">
        <is>
          <t>VÄRMLANDS LÄN</t>
        </is>
      </c>
      <c r="E38" t="inlineStr">
        <is>
          <t>ÅRJÄNG</t>
        </is>
      </c>
      <c r="G38" t="n">
        <v>3.1</v>
      </c>
      <c r="H38" t="n">
        <v>0</v>
      </c>
      <c r="I38" t="n">
        <v>1</v>
      </c>
      <c r="J38" t="n">
        <v>0</v>
      </c>
      <c r="K38" t="n">
        <v>0</v>
      </c>
      <c r="L38" t="n">
        <v>0</v>
      </c>
      <c r="M38" t="n">
        <v>0</v>
      </c>
      <c r="N38" t="n">
        <v>0</v>
      </c>
      <c r="O38" t="n">
        <v>0</v>
      </c>
      <c r="P38" t="n">
        <v>0</v>
      </c>
      <c r="Q38" t="n">
        <v>1</v>
      </c>
      <c r="R38" s="2" t="inlineStr">
        <is>
          <t>Dropptaggsvamp</t>
        </is>
      </c>
      <c r="S38">
        <f>HYPERLINK("https://klasma.github.io/Logging_1765/artfynd/A 8630-2025 artfynd.xlsx", "A 8630-2025")</f>
        <v/>
      </c>
      <c r="T38">
        <f>HYPERLINK("https://klasma.github.io/Logging_1765/kartor/A 8630-2025 karta.png", "A 8630-2025")</f>
        <v/>
      </c>
      <c r="V38">
        <f>HYPERLINK("https://klasma.github.io/Logging_1765/klagomål/A 8630-2025 FSC-klagomål.docx", "A 8630-2025")</f>
        <v/>
      </c>
      <c r="W38">
        <f>HYPERLINK("https://klasma.github.io/Logging_1765/klagomålsmail/A 8630-2025 FSC-klagomål mail.docx", "A 8630-2025")</f>
        <v/>
      </c>
      <c r="X38">
        <f>HYPERLINK("https://klasma.github.io/Logging_1765/tillsyn/A 8630-2025 tillsynsbegäran.docx", "A 8630-2025")</f>
        <v/>
      </c>
      <c r="Y38">
        <f>HYPERLINK("https://klasma.github.io/Logging_1765/tillsynsmail/A 8630-2025 tillsynsbegäran mail.docx", "A 8630-2025")</f>
        <v/>
      </c>
    </row>
    <row r="39" ht="15" customHeight="1">
      <c r="A39" t="inlineStr">
        <is>
          <t>A 11880-2025</t>
        </is>
      </c>
      <c r="B39" s="1" t="n">
        <v>45728.4462037037</v>
      </c>
      <c r="C39" s="1" t="n">
        <v>45886</v>
      </c>
      <c r="D39" t="inlineStr">
        <is>
          <t>VÄRMLANDS LÄN</t>
        </is>
      </c>
      <c r="E39" t="inlineStr">
        <is>
          <t>ÅRJÄNG</t>
        </is>
      </c>
      <c r="F39" t="inlineStr">
        <is>
          <t>Övriga Aktiebolag</t>
        </is>
      </c>
      <c r="G39" t="n">
        <v>4.8</v>
      </c>
      <c r="H39" t="n">
        <v>0</v>
      </c>
      <c r="I39" t="n">
        <v>0</v>
      </c>
      <c r="J39" t="n">
        <v>1</v>
      </c>
      <c r="K39" t="n">
        <v>0</v>
      </c>
      <c r="L39" t="n">
        <v>0</v>
      </c>
      <c r="M39" t="n">
        <v>0</v>
      </c>
      <c r="N39" t="n">
        <v>0</v>
      </c>
      <c r="O39" t="n">
        <v>1</v>
      </c>
      <c r="P39" t="n">
        <v>0</v>
      </c>
      <c r="Q39" t="n">
        <v>1</v>
      </c>
      <c r="R39" s="2" t="inlineStr">
        <is>
          <t>Lunglav</t>
        </is>
      </c>
      <c r="S39">
        <f>HYPERLINK("https://klasma.github.io/Logging_1765/artfynd/A 11880-2025 artfynd.xlsx", "A 11880-2025")</f>
        <v/>
      </c>
      <c r="T39">
        <f>HYPERLINK("https://klasma.github.io/Logging_1765/kartor/A 11880-2025 karta.png", "A 11880-2025")</f>
        <v/>
      </c>
      <c r="V39">
        <f>HYPERLINK("https://klasma.github.io/Logging_1765/klagomål/A 11880-2025 FSC-klagomål.docx", "A 11880-2025")</f>
        <v/>
      </c>
      <c r="W39">
        <f>HYPERLINK("https://klasma.github.io/Logging_1765/klagomålsmail/A 11880-2025 FSC-klagomål mail.docx", "A 11880-2025")</f>
        <v/>
      </c>
      <c r="X39">
        <f>HYPERLINK("https://klasma.github.io/Logging_1765/tillsyn/A 11880-2025 tillsynsbegäran.docx", "A 11880-2025")</f>
        <v/>
      </c>
      <c r="Y39">
        <f>HYPERLINK("https://klasma.github.io/Logging_1765/tillsynsmail/A 11880-2025 tillsynsbegäran mail.docx", "A 11880-2025")</f>
        <v/>
      </c>
    </row>
    <row r="40" ht="15" customHeight="1">
      <c r="A40" t="inlineStr">
        <is>
          <t>A 27001-2025</t>
        </is>
      </c>
      <c r="B40" s="1" t="n">
        <v>45811</v>
      </c>
      <c r="C40" s="1" t="n">
        <v>45886</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36385-2025</t>
        </is>
      </c>
      <c r="B41" s="1" t="n">
        <v>45868</v>
      </c>
      <c r="C41" s="1" t="n">
        <v>45886</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14898-2025</t>
        </is>
      </c>
      <c r="B42" s="1" t="n">
        <v>45743.47967592593</v>
      </c>
      <c r="C42" s="1" t="n">
        <v>45886</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37649-2025</t>
        </is>
      </c>
      <c r="B43" s="1" t="n">
        <v>45880</v>
      </c>
      <c r="C43" s="1" t="n">
        <v>45886</v>
      </c>
      <c r="D43" t="inlineStr">
        <is>
          <t>VÄRMLANDS LÄN</t>
        </is>
      </c>
      <c r="E43" t="inlineStr">
        <is>
          <t>ÅRJÄNG</t>
        </is>
      </c>
      <c r="G43" t="n">
        <v>3.4</v>
      </c>
      <c r="H43" t="n">
        <v>0</v>
      </c>
      <c r="I43" t="n">
        <v>0</v>
      </c>
      <c r="J43" t="n">
        <v>1</v>
      </c>
      <c r="K43" t="n">
        <v>0</v>
      </c>
      <c r="L43" t="n">
        <v>0</v>
      </c>
      <c r="M43" t="n">
        <v>0</v>
      </c>
      <c r="N43" t="n">
        <v>0</v>
      </c>
      <c r="O43" t="n">
        <v>1</v>
      </c>
      <c r="P43" t="n">
        <v>0</v>
      </c>
      <c r="Q43" t="n">
        <v>1</v>
      </c>
      <c r="R43" s="2" t="inlineStr">
        <is>
          <t>Garnlav</t>
        </is>
      </c>
      <c r="S43">
        <f>HYPERLINK("https://klasma.github.io/Logging_1765/artfynd/A 37649-2025 artfynd.xlsx", "A 37649-2025")</f>
        <v/>
      </c>
      <c r="T43">
        <f>HYPERLINK("https://klasma.github.io/Logging_1765/kartor/A 37649-2025 karta.png", "A 37649-2025")</f>
        <v/>
      </c>
      <c r="V43">
        <f>HYPERLINK("https://klasma.github.io/Logging_1765/klagomål/A 37649-2025 FSC-klagomål.docx", "A 37649-2025")</f>
        <v/>
      </c>
      <c r="W43">
        <f>HYPERLINK("https://klasma.github.io/Logging_1765/klagomålsmail/A 37649-2025 FSC-klagomål mail.docx", "A 37649-2025")</f>
        <v/>
      </c>
      <c r="X43">
        <f>HYPERLINK("https://klasma.github.io/Logging_1765/tillsyn/A 37649-2025 tillsynsbegäran.docx", "A 37649-2025")</f>
        <v/>
      </c>
      <c r="Y43">
        <f>HYPERLINK("https://klasma.github.io/Logging_1765/tillsynsmail/A 37649-2025 tillsynsbegäran mail.docx", "A 37649-2025")</f>
        <v/>
      </c>
    </row>
    <row r="44" ht="15" customHeight="1">
      <c r="A44" t="inlineStr">
        <is>
          <t>A 37401-2025</t>
        </is>
      </c>
      <c r="B44" s="1" t="n">
        <v>45877</v>
      </c>
      <c r="C44" s="1" t="n">
        <v>45886</v>
      </c>
      <c r="D44" t="inlineStr">
        <is>
          <t>VÄRMLANDS LÄN</t>
        </is>
      </c>
      <c r="E44" t="inlineStr">
        <is>
          <t>ÅRJÄNG</t>
        </is>
      </c>
      <c r="G44" t="n">
        <v>0.8</v>
      </c>
      <c r="H44" t="n">
        <v>1</v>
      </c>
      <c r="I44" t="n">
        <v>0</v>
      </c>
      <c r="J44" t="n">
        <v>1</v>
      </c>
      <c r="K44" t="n">
        <v>0</v>
      </c>
      <c r="L44" t="n">
        <v>0</v>
      </c>
      <c r="M44" t="n">
        <v>0</v>
      </c>
      <c r="N44" t="n">
        <v>0</v>
      </c>
      <c r="O44" t="n">
        <v>1</v>
      </c>
      <c r="P44" t="n">
        <v>0</v>
      </c>
      <c r="Q44" t="n">
        <v>1</v>
      </c>
      <c r="R44" s="2" t="inlineStr">
        <is>
          <t>Spillkråka</t>
        </is>
      </c>
      <c r="S44">
        <f>HYPERLINK("https://klasma.github.io/Logging_1765/artfynd/A 37401-2025 artfynd.xlsx", "A 37401-2025")</f>
        <v/>
      </c>
      <c r="T44">
        <f>HYPERLINK("https://klasma.github.io/Logging_1765/kartor/A 37401-2025 karta.png", "A 37401-2025")</f>
        <v/>
      </c>
      <c r="V44">
        <f>HYPERLINK("https://klasma.github.io/Logging_1765/klagomål/A 37401-2025 FSC-klagomål.docx", "A 37401-2025")</f>
        <v/>
      </c>
      <c r="W44">
        <f>HYPERLINK("https://klasma.github.io/Logging_1765/klagomålsmail/A 37401-2025 FSC-klagomål mail.docx", "A 37401-2025")</f>
        <v/>
      </c>
      <c r="X44">
        <f>HYPERLINK("https://klasma.github.io/Logging_1765/tillsyn/A 37401-2025 tillsynsbegäran.docx", "A 37401-2025")</f>
        <v/>
      </c>
      <c r="Y44">
        <f>HYPERLINK("https://klasma.github.io/Logging_1765/tillsynsmail/A 37401-2025 tillsynsbegäran mail.docx", "A 37401-2025")</f>
        <v/>
      </c>
      <c r="Z44">
        <f>HYPERLINK("https://klasma.github.io/Logging_1765/fåglar/A 37401-2025 prioriterade fågelarter.docx", "A 37401-2025")</f>
        <v/>
      </c>
    </row>
    <row r="45" ht="15" customHeight="1">
      <c r="A45" t="inlineStr">
        <is>
          <t>A 30550-2023</t>
        </is>
      </c>
      <c r="B45" s="1" t="n">
        <v>45111</v>
      </c>
      <c r="C45" s="1" t="n">
        <v>45886</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15418-2021</t>
        </is>
      </c>
      <c r="B46" s="1" t="n">
        <v>44285</v>
      </c>
      <c r="C46" s="1" t="n">
        <v>45886</v>
      </c>
      <c r="D46" t="inlineStr">
        <is>
          <t>VÄRMLANDS LÄN</t>
        </is>
      </c>
      <c r="E46" t="inlineStr">
        <is>
          <t>ÅRJÄNG</t>
        </is>
      </c>
      <c r="G46" t="n">
        <v>6.6</v>
      </c>
      <c r="H46" t="n">
        <v>0</v>
      </c>
      <c r="I46" t="n">
        <v>0</v>
      </c>
      <c r="J46" t="n">
        <v>1</v>
      </c>
      <c r="K46" t="n">
        <v>0</v>
      </c>
      <c r="L46" t="n">
        <v>0</v>
      </c>
      <c r="M46" t="n">
        <v>0</v>
      </c>
      <c r="N46" t="n">
        <v>0</v>
      </c>
      <c r="O46" t="n">
        <v>1</v>
      </c>
      <c r="P46" t="n">
        <v>0</v>
      </c>
      <c r="Q46" t="n">
        <v>1</v>
      </c>
      <c r="R46" s="2" t="inlineStr">
        <is>
          <t>Lunglav</t>
        </is>
      </c>
      <c r="S46">
        <f>HYPERLINK("https://klasma.github.io/Logging_1765/artfynd/A 15418-2021 artfynd.xlsx", "A 15418-2021")</f>
        <v/>
      </c>
      <c r="T46">
        <f>HYPERLINK("https://klasma.github.io/Logging_1765/kartor/A 15418-2021 karta.png", "A 15418-2021")</f>
        <v/>
      </c>
      <c r="V46">
        <f>HYPERLINK("https://klasma.github.io/Logging_1765/klagomål/A 15418-2021 FSC-klagomål.docx", "A 15418-2021")</f>
        <v/>
      </c>
      <c r="W46">
        <f>HYPERLINK("https://klasma.github.io/Logging_1765/klagomålsmail/A 15418-2021 FSC-klagomål mail.docx", "A 15418-2021")</f>
        <v/>
      </c>
      <c r="X46">
        <f>HYPERLINK("https://klasma.github.io/Logging_1765/tillsyn/A 15418-2021 tillsynsbegäran.docx", "A 15418-2021")</f>
        <v/>
      </c>
      <c r="Y46">
        <f>HYPERLINK("https://klasma.github.io/Logging_1765/tillsynsmail/A 15418-2021 tillsynsbegäran mail.docx", "A 15418-2021")</f>
        <v/>
      </c>
    </row>
    <row r="47" ht="15" customHeight="1">
      <c r="A47" t="inlineStr">
        <is>
          <t>A 38177-2020</t>
        </is>
      </c>
      <c r="B47" s="1" t="n">
        <v>44060</v>
      </c>
      <c r="C47" s="1" t="n">
        <v>45886</v>
      </c>
      <c r="D47" t="inlineStr">
        <is>
          <t>VÄRMLANDS LÄN</t>
        </is>
      </c>
      <c r="E47" t="inlineStr">
        <is>
          <t>ÅRJÄNG</t>
        </is>
      </c>
      <c r="F47" t="inlineStr">
        <is>
          <t>Övriga Aktiebolag</t>
        </is>
      </c>
      <c r="G47" t="n">
        <v>9</v>
      </c>
      <c r="H47" t="n">
        <v>0</v>
      </c>
      <c r="I47" t="n">
        <v>0</v>
      </c>
      <c r="J47" t="n">
        <v>0</v>
      </c>
      <c r="K47" t="n">
        <v>0</v>
      </c>
      <c r="L47" t="n">
        <v>0</v>
      </c>
      <c r="M47" t="n">
        <v>0</v>
      </c>
      <c r="N47" t="n">
        <v>0</v>
      </c>
      <c r="O47" t="n">
        <v>0</v>
      </c>
      <c r="P47" t="n">
        <v>0</v>
      </c>
      <c r="Q47" t="n">
        <v>0</v>
      </c>
      <c r="R47" s="2" t="inlineStr"/>
    </row>
    <row r="48" ht="15" customHeight="1">
      <c r="A48" t="inlineStr">
        <is>
          <t>A 44298-2020</t>
        </is>
      </c>
      <c r="B48" s="1" t="n">
        <v>44084</v>
      </c>
      <c r="C48" s="1" t="n">
        <v>45886</v>
      </c>
      <c r="D48" t="inlineStr">
        <is>
          <t>VÄRMLANDS LÄN</t>
        </is>
      </c>
      <c r="E48" t="inlineStr">
        <is>
          <t>ÅRJÄNG</t>
        </is>
      </c>
      <c r="G48" t="n">
        <v>1</v>
      </c>
      <c r="H48" t="n">
        <v>0</v>
      </c>
      <c r="I48" t="n">
        <v>0</v>
      </c>
      <c r="J48" t="n">
        <v>0</v>
      </c>
      <c r="K48" t="n">
        <v>0</v>
      </c>
      <c r="L48" t="n">
        <v>0</v>
      </c>
      <c r="M48" t="n">
        <v>0</v>
      </c>
      <c r="N48" t="n">
        <v>0</v>
      </c>
      <c r="O48" t="n">
        <v>0</v>
      </c>
      <c r="P48" t="n">
        <v>0</v>
      </c>
      <c r="Q48" t="n">
        <v>0</v>
      </c>
      <c r="R48" s="2" t="inlineStr"/>
    </row>
    <row r="49" ht="15" customHeight="1">
      <c r="A49" t="inlineStr">
        <is>
          <t>A 52826-2022</t>
        </is>
      </c>
      <c r="B49" s="1" t="n">
        <v>44875.45353009259</v>
      </c>
      <c r="C49" s="1" t="n">
        <v>45886</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16689-2021</t>
        </is>
      </c>
      <c r="B50" s="1" t="n">
        <v>44294.59744212963</v>
      </c>
      <c r="C50" s="1" t="n">
        <v>45886</v>
      </c>
      <c r="D50" t="inlineStr">
        <is>
          <t>VÄRMLANDS LÄN</t>
        </is>
      </c>
      <c r="E50" t="inlineStr">
        <is>
          <t>ÅRJÄNG</t>
        </is>
      </c>
      <c r="G50" t="n">
        <v>0.6</v>
      </c>
      <c r="H50" t="n">
        <v>0</v>
      </c>
      <c r="I50" t="n">
        <v>0</v>
      </c>
      <c r="J50" t="n">
        <v>0</v>
      </c>
      <c r="K50" t="n">
        <v>0</v>
      </c>
      <c r="L50" t="n">
        <v>0</v>
      </c>
      <c r="M50" t="n">
        <v>0</v>
      </c>
      <c r="N50" t="n">
        <v>0</v>
      </c>
      <c r="O50" t="n">
        <v>0</v>
      </c>
      <c r="P50" t="n">
        <v>0</v>
      </c>
      <c r="Q50" t="n">
        <v>0</v>
      </c>
      <c r="R50" s="2" t="inlineStr"/>
    </row>
    <row r="51" ht="15" customHeight="1">
      <c r="A51" t="inlineStr">
        <is>
          <t>A 39215-2020</t>
        </is>
      </c>
      <c r="B51" s="1" t="n">
        <v>44063</v>
      </c>
      <c r="C51" s="1" t="n">
        <v>45886</v>
      </c>
      <c r="D51" t="inlineStr">
        <is>
          <t>VÄRMLANDS LÄN</t>
        </is>
      </c>
      <c r="E51" t="inlineStr">
        <is>
          <t>ÅRJÄNG</t>
        </is>
      </c>
      <c r="G51" t="n">
        <v>2.2</v>
      </c>
      <c r="H51" t="n">
        <v>0</v>
      </c>
      <c r="I51" t="n">
        <v>0</v>
      </c>
      <c r="J51" t="n">
        <v>0</v>
      </c>
      <c r="K51" t="n">
        <v>0</v>
      </c>
      <c r="L51" t="n">
        <v>0</v>
      </c>
      <c r="M51" t="n">
        <v>0</v>
      </c>
      <c r="N51" t="n">
        <v>0</v>
      </c>
      <c r="O51" t="n">
        <v>0</v>
      </c>
      <c r="P51" t="n">
        <v>0</v>
      </c>
      <c r="Q51" t="n">
        <v>0</v>
      </c>
      <c r="R51" s="2" t="inlineStr"/>
    </row>
    <row r="52" ht="15" customHeight="1">
      <c r="A52" t="inlineStr">
        <is>
          <t>A 18661-2021</t>
        </is>
      </c>
      <c r="B52" s="1" t="n">
        <v>44306</v>
      </c>
      <c r="C52" s="1" t="n">
        <v>45886</v>
      </c>
      <c r="D52" t="inlineStr">
        <is>
          <t>VÄRMLANDS LÄN</t>
        </is>
      </c>
      <c r="E52" t="inlineStr">
        <is>
          <t>ÅRJÄNG</t>
        </is>
      </c>
      <c r="G52" t="n">
        <v>3.7</v>
      </c>
      <c r="H52" t="n">
        <v>0</v>
      </c>
      <c r="I52" t="n">
        <v>0</v>
      </c>
      <c r="J52" t="n">
        <v>0</v>
      </c>
      <c r="K52" t="n">
        <v>0</v>
      </c>
      <c r="L52" t="n">
        <v>0</v>
      </c>
      <c r="M52" t="n">
        <v>0</v>
      </c>
      <c r="N52" t="n">
        <v>0</v>
      </c>
      <c r="O52" t="n">
        <v>0</v>
      </c>
      <c r="P52" t="n">
        <v>0</v>
      </c>
      <c r="Q52" t="n">
        <v>0</v>
      </c>
      <c r="R52" s="2" t="inlineStr"/>
    </row>
    <row r="53" ht="15" customHeight="1">
      <c r="A53" t="inlineStr">
        <is>
          <t>A 4160-2021</t>
        </is>
      </c>
      <c r="B53" s="1" t="n">
        <v>44223.39358796296</v>
      </c>
      <c r="C53" s="1" t="n">
        <v>45886</v>
      </c>
      <c r="D53" t="inlineStr">
        <is>
          <t>VÄRMLANDS LÄN</t>
        </is>
      </c>
      <c r="E53" t="inlineStr">
        <is>
          <t>ÅRJÄNG</t>
        </is>
      </c>
      <c r="G53" t="n">
        <v>2.4</v>
      </c>
      <c r="H53" t="n">
        <v>0</v>
      </c>
      <c r="I53" t="n">
        <v>0</v>
      </c>
      <c r="J53" t="n">
        <v>0</v>
      </c>
      <c r="K53" t="n">
        <v>0</v>
      </c>
      <c r="L53" t="n">
        <v>0</v>
      </c>
      <c r="M53" t="n">
        <v>0</v>
      </c>
      <c r="N53" t="n">
        <v>0</v>
      </c>
      <c r="O53" t="n">
        <v>0</v>
      </c>
      <c r="P53" t="n">
        <v>0</v>
      </c>
      <c r="Q53" t="n">
        <v>0</v>
      </c>
      <c r="R53" s="2" t="inlineStr"/>
    </row>
    <row r="54" ht="15" customHeight="1">
      <c r="A54" t="inlineStr">
        <is>
          <t>A 64216-2020</t>
        </is>
      </c>
      <c r="B54" s="1" t="n">
        <v>44168</v>
      </c>
      <c r="C54" s="1" t="n">
        <v>45886</v>
      </c>
      <c r="D54" t="inlineStr">
        <is>
          <t>VÄRMLANDS LÄN</t>
        </is>
      </c>
      <c r="E54" t="inlineStr">
        <is>
          <t>ÅRJÄNG</t>
        </is>
      </c>
      <c r="G54" t="n">
        <v>1.4</v>
      </c>
      <c r="H54" t="n">
        <v>0</v>
      </c>
      <c r="I54" t="n">
        <v>0</v>
      </c>
      <c r="J54" t="n">
        <v>0</v>
      </c>
      <c r="K54" t="n">
        <v>0</v>
      </c>
      <c r="L54" t="n">
        <v>0</v>
      </c>
      <c r="M54" t="n">
        <v>0</v>
      </c>
      <c r="N54" t="n">
        <v>0</v>
      </c>
      <c r="O54" t="n">
        <v>0</v>
      </c>
      <c r="P54" t="n">
        <v>0</v>
      </c>
      <c r="Q54" t="n">
        <v>0</v>
      </c>
      <c r="R54" s="2" t="inlineStr"/>
    </row>
    <row r="55" ht="15" customHeight="1">
      <c r="A55" t="inlineStr">
        <is>
          <t>A 47642-2021</t>
        </is>
      </c>
      <c r="B55" s="1" t="n">
        <v>44448.39857638889</v>
      </c>
      <c r="C55" s="1" t="n">
        <v>45886</v>
      </c>
      <c r="D55" t="inlineStr">
        <is>
          <t>VÄRMLANDS LÄN</t>
        </is>
      </c>
      <c r="E55" t="inlineStr">
        <is>
          <t>ÅRJÄNG</t>
        </is>
      </c>
      <c r="G55" t="n">
        <v>2.3</v>
      </c>
      <c r="H55" t="n">
        <v>0</v>
      </c>
      <c r="I55" t="n">
        <v>0</v>
      </c>
      <c r="J55" t="n">
        <v>0</v>
      </c>
      <c r="K55" t="n">
        <v>0</v>
      </c>
      <c r="L55" t="n">
        <v>0</v>
      </c>
      <c r="M55" t="n">
        <v>0</v>
      </c>
      <c r="N55" t="n">
        <v>0</v>
      </c>
      <c r="O55" t="n">
        <v>0</v>
      </c>
      <c r="P55" t="n">
        <v>0</v>
      </c>
      <c r="Q55" t="n">
        <v>0</v>
      </c>
      <c r="R55" s="2" t="inlineStr"/>
    </row>
    <row r="56" ht="15" customHeight="1">
      <c r="A56" t="inlineStr">
        <is>
          <t>A 63415-2020</t>
        </is>
      </c>
      <c r="B56" s="1" t="n">
        <v>44165</v>
      </c>
      <c r="C56" s="1" t="n">
        <v>45886</v>
      </c>
      <c r="D56" t="inlineStr">
        <is>
          <t>VÄRMLANDS LÄN</t>
        </is>
      </c>
      <c r="E56" t="inlineStr">
        <is>
          <t>ÅRJÄNG</t>
        </is>
      </c>
      <c r="G56" t="n">
        <v>4.9</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45886</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45886</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45886</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45886</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45886</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45886</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45886</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45886</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45886</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45886</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69520-2020</t>
        </is>
      </c>
      <c r="B67" s="1" t="n">
        <v>44194</v>
      </c>
      <c r="C67" s="1" t="n">
        <v>45886</v>
      </c>
      <c r="D67" t="inlineStr">
        <is>
          <t>VÄRMLANDS LÄN</t>
        </is>
      </c>
      <c r="E67" t="inlineStr">
        <is>
          <t>ÅRJÄNG</t>
        </is>
      </c>
      <c r="G67" t="n">
        <v>0.7</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45886</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65950-2020</t>
        </is>
      </c>
      <c r="B69" s="1" t="n">
        <v>44175</v>
      </c>
      <c r="C69" s="1" t="n">
        <v>45886</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69584-2020</t>
        </is>
      </c>
      <c r="B70" s="1" t="n">
        <v>44195</v>
      </c>
      <c r="C70" s="1" t="n">
        <v>45886</v>
      </c>
      <c r="D70" t="inlineStr">
        <is>
          <t>VÄRMLANDS LÄN</t>
        </is>
      </c>
      <c r="E70" t="inlineStr">
        <is>
          <t>ÅRJÄNG</t>
        </is>
      </c>
      <c r="G70" t="n">
        <v>0.3</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45886</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45886</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45886</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45886</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45886</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45886</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45886</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45886</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45886</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45886</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45886</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45886</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45886</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45886</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45886</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45886</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45886</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45886</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61868-2020</t>
        </is>
      </c>
      <c r="B89" s="1" t="n">
        <v>44155</v>
      </c>
      <c r="C89" s="1" t="n">
        <v>45886</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45886</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45886</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45886</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45886</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45886</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45886</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45886</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45886</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45886</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45886</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45886</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45886</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45886</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45886</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45886</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45886</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45886</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42427-2020</t>
        </is>
      </c>
      <c r="B107" s="1" t="n">
        <v>44074</v>
      </c>
      <c r="C107" s="1" t="n">
        <v>45886</v>
      </c>
      <c r="D107" t="inlineStr">
        <is>
          <t>VÄRMLANDS LÄN</t>
        </is>
      </c>
      <c r="E107" t="inlineStr">
        <is>
          <t>ÅRJÄNG</t>
        </is>
      </c>
      <c r="G107" t="n">
        <v>2.8</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45886</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45886</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15245-2021</t>
        </is>
      </c>
      <c r="B110" s="1" t="n">
        <v>44284.52146990741</v>
      </c>
      <c r="C110" s="1" t="n">
        <v>45886</v>
      </c>
      <c r="D110" t="inlineStr">
        <is>
          <t>VÄRMLANDS LÄN</t>
        </is>
      </c>
      <c r="E110" t="inlineStr">
        <is>
          <t>ÅRJÄNG</t>
        </is>
      </c>
      <c r="G110" t="n">
        <v>6.6</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45886</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55784-2021</t>
        </is>
      </c>
      <c r="B112" s="1" t="n">
        <v>44476</v>
      </c>
      <c r="C112" s="1" t="n">
        <v>45886</v>
      </c>
      <c r="D112" t="inlineStr">
        <is>
          <t>VÄRMLANDS LÄN</t>
        </is>
      </c>
      <c r="E112" t="inlineStr">
        <is>
          <t>ÅRJÄNG</t>
        </is>
      </c>
      <c r="G112" t="n">
        <v>3</v>
      </c>
      <c r="H112" t="n">
        <v>0</v>
      </c>
      <c r="I112" t="n">
        <v>0</v>
      </c>
      <c r="J112" t="n">
        <v>0</v>
      </c>
      <c r="K112" t="n">
        <v>0</v>
      </c>
      <c r="L112" t="n">
        <v>0</v>
      </c>
      <c r="M112" t="n">
        <v>0</v>
      </c>
      <c r="N112" t="n">
        <v>0</v>
      </c>
      <c r="O112" t="n">
        <v>0</v>
      </c>
      <c r="P112" t="n">
        <v>0</v>
      </c>
      <c r="Q112" t="n">
        <v>0</v>
      </c>
      <c r="R112" s="2" t="inlineStr"/>
    </row>
    <row r="113" ht="15" customHeight="1">
      <c r="A113" t="inlineStr">
        <is>
          <t>A 1418-2022</t>
        </is>
      </c>
      <c r="B113" s="1" t="n">
        <v>44573</v>
      </c>
      <c r="C113" s="1" t="n">
        <v>45886</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19947-2022</t>
        </is>
      </c>
      <c r="B114" s="1" t="n">
        <v>44697</v>
      </c>
      <c r="C114" s="1" t="n">
        <v>45886</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61114-2021</t>
        </is>
      </c>
      <c r="B115" s="1" t="n">
        <v>44497</v>
      </c>
      <c r="C115" s="1" t="n">
        <v>45886</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61121-2021</t>
        </is>
      </c>
      <c r="B116" s="1" t="n">
        <v>44498</v>
      </c>
      <c r="C116" s="1" t="n">
        <v>45886</v>
      </c>
      <c r="D116" t="inlineStr">
        <is>
          <t>VÄRMLANDS LÄN</t>
        </is>
      </c>
      <c r="E116" t="inlineStr">
        <is>
          <t>ÅRJÄNG</t>
        </is>
      </c>
      <c r="G116" t="n">
        <v>0.7</v>
      </c>
      <c r="H116" t="n">
        <v>0</v>
      </c>
      <c r="I116" t="n">
        <v>0</v>
      </c>
      <c r="J116" t="n">
        <v>0</v>
      </c>
      <c r="K116" t="n">
        <v>0</v>
      </c>
      <c r="L116" t="n">
        <v>0</v>
      </c>
      <c r="M116" t="n">
        <v>0</v>
      </c>
      <c r="N116" t="n">
        <v>0</v>
      </c>
      <c r="O116" t="n">
        <v>0</v>
      </c>
      <c r="P116" t="n">
        <v>0</v>
      </c>
      <c r="Q116" t="n">
        <v>0</v>
      </c>
      <c r="R116" s="2" t="inlineStr"/>
    </row>
    <row r="117" ht="15" customHeight="1">
      <c r="A117" t="inlineStr">
        <is>
          <t>A 71842-2021</t>
        </is>
      </c>
      <c r="B117" s="1" t="n">
        <v>44543</v>
      </c>
      <c r="C117" s="1" t="n">
        <v>45886</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45886</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509-2022</t>
        </is>
      </c>
      <c r="B119" s="1" t="n">
        <v>44566.53228009259</v>
      </c>
      <c r="C119" s="1" t="n">
        <v>45886</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45886</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45886</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45886</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45886</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44543.62173611111</v>
      </c>
      <c r="C124" s="1" t="n">
        <v>45886</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45886</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45886</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45886</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12583-2022</t>
        </is>
      </c>
      <c r="B128" s="1" t="n">
        <v>44639.41145833334</v>
      </c>
      <c r="C128" s="1" t="n">
        <v>45886</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6524-2022</t>
        </is>
      </c>
      <c r="B129" s="1" t="n">
        <v>44601</v>
      </c>
      <c r="C129" s="1" t="n">
        <v>45886</v>
      </c>
      <c r="D129" t="inlineStr">
        <is>
          <t>VÄRMLANDS LÄN</t>
        </is>
      </c>
      <c r="E129" t="inlineStr">
        <is>
          <t>ÅRJÄNG</t>
        </is>
      </c>
      <c r="G129" t="n">
        <v>2.6</v>
      </c>
      <c r="H129" t="n">
        <v>0</v>
      </c>
      <c r="I129" t="n">
        <v>0</v>
      </c>
      <c r="J129" t="n">
        <v>0</v>
      </c>
      <c r="K129" t="n">
        <v>0</v>
      </c>
      <c r="L129" t="n">
        <v>0</v>
      </c>
      <c r="M129" t="n">
        <v>0</v>
      </c>
      <c r="N129" t="n">
        <v>0</v>
      </c>
      <c r="O129" t="n">
        <v>0</v>
      </c>
      <c r="P129" t="n">
        <v>0</v>
      </c>
      <c r="Q129" t="n">
        <v>0</v>
      </c>
      <c r="R129" s="2" t="inlineStr"/>
    </row>
    <row r="130" ht="15" customHeight="1">
      <c r="A130" t="inlineStr">
        <is>
          <t>A 49896-2022</t>
        </is>
      </c>
      <c r="B130" s="1" t="n">
        <v>44864.76736111111</v>
      </c>
      <c r="C130" s="1" t="n">
        <v>45886</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64318-2020</t>
        </is>
      </c>
      <c r="B131" s="1" t="n">
        <v>44168</v>
      </c>
      <c r="C131" s="1" t="n">
        <v>45886</v>
      </c>
      <c r="D131" t="inlineStr">
        <is>
          <t>VÄRMLANDS LÄN</t>
        </is>
      </c>
      <c r="E131" t="inlineStr">
        <is>
          <t>ÅRJÄNG</t>
        </is>
      </c>
      <c r="G131" t="n">
        <v>1.1</v>
      </c>
      <c r="H131" t="n">
        <v>0</v>
      </c>
      <c r="I131" t="n">
        <v>0</v>
      </c>
      <c r="J131" t="n">
        <v>0</v>
      </c>
      <c r="K131" t="n">
        <v>0</v>
      </c>
      <c r="L131" t="n">
        <v>0</v>
      </c>
      <c r="M131" t="n">
        <v>0</v>
      </c>
      <c r="N131" t="n">
        <v>0</v>
      </c>
      <c r="O131" t="n">
        <v>0</v>
      </c>
      <c r="P131" t="n">
        <v>0</v>
      </c>
      <c r="Q131" t="n">
        <v>0</v>
      </c>
      <c r="R131" s="2" t="inlineStr"/>
    </row>
    <row r="132" ht="15" customHeight="1">
      <c r="A132" t="inlineStr">
        <is>
          <t>A 40781-2020</t>
        </is>
      </c>
      <c r="B132" s="1" t="n">
        <v>44070</v>
      </c>
      <c r="C132" s="1" t="n">
        <v>45886</v>
      </c>
      <c r="D132" t="inlineStr">
        <is>
          <t>VÄRMLANDS LÄN</t>
        </is>
      </c>
      <c r="E132" t="inlineStr">
        <is>
          <t>ÅRJÄNG</t>
        </is>
      </c>
      <c r="G132" t="n">
        <v>7.8</v>
      </c>
      <c r="H132" t="n">
        <v>0</v>
      </c>
      <c r="I132" t="n">
        <v>0</v>
      </c>
      <c r="J132" t="n">
        <v>0</v>
      </c>
      <c r="K132" t="n">
        <v>0</v>
      </c>
      <c r="L132" t="n">
        <v>0</v>
      </c>
      <c r="M132" t="n">
        <v>0</v>
      </c>
      <c r="N132" t="n">
        <v>0</v>
      </c>
      <c r="O132" t="n">
        <v>0</v>
      </c>
      <c r="P132" t="n">
        <v>0</v>
      </c>
      <c r="Q132" t="n">
        <v>0</v>
      </c>
      <c r="R132" s="2" t="inlineStr"/>
    </row>
    <row r="133" ht="15" customHeight="1">
      <c r="A133" t="inlineStr">
        <is>
          <t>A 16399-2022</t>
        </is>
      </c>
      <c r="B133" s="1" t="n">
        <v>44671</v>
      </c>
      <c r="C133" s="1" t="n">
        <v>45886</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11157-2021</t>
        </is>
      </c>
      <c r="B134" s="1" t="n">
        <v>44261</v>
      </c>
      <c r="C134" s="1" t="n">
        <v>45886</v>
      </c>
      <c r="D134" t="inlineStr">
        <is>
          <t>VÄRMLANDS LÄN</t>
        </is>
      </c>
      <c r="E134" t="inlineStr">
        <is>
          <t>ÅRJÄNG</t>
        </is>
      </c>
      <c r="G134" t="n">
        <v>9</v>
      </c>
      <c r="H134" t="n">
        <v>0</v>
      </c>
      <c r="I134" t="n">
        <v>0</v>
      </c>
      <c r="J134" t="n">
        <v>0</v>
      </c>
      <c r="K134" t="n">
        <v>0</v>
      </c>
      <c r="L134" t="n">
        <v>0</v>
      </c>
      <c r="M134" t="n">
        <v>0</v>
      </c>
      <c r="N134" t="n">
        <v>0</v>
      </c>
      <c r="O134" t="n">
        <v>0</v>
      </c>
      <c r="P134" t="n">
        <v>0</v>
      </c>
      <c r="Q134" t="n">
        <v>0</v>
      </c>
      <c r="R134" s="2" t="inlineStr"/>
    </row>
    <row r="135" ht="15" customHeight="1">
      <c r="A135" t="inlineStr">
        <is>
          <t>A 47015-2021</t>
        </is>
      </c>
      <c r="B135" s="1" t="n">
        <v>44446</v>
      </c>
      <c r="C135" s="1" t="n">
        <v>45886</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45886</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27745-2021</t>
        </is>
      </c>
      <c r="B137" s="1" t="n">
        <v>44354</v>
      </c>
      <c r="C137" s="1" t="n">
        <v>45886</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68344-2020</t>
        </is>
      </c>
      <c r="B138" s="1" t="n">
        <v>44186</v>
      </c>
      <c r="C138" s="1" t="n">
        <v>45886</v>
      </c>
      <c r="D138" t="inlineStr">
        <is>
          <t>VÄRMLANDS LÄN</t>
        </is>
      </c>
      <c r="E138" t="inlineStr">
        <is>
          <t>ÅRJÄNG</t>
        </is>
      </c>
      <c r="G138" t="n">
        <v>2.8</v>
      </c>
      <c r="H138" t="n">
        <v>0</v>
      </c>
      <c r="I138" t="n">
        <v>0</v>
      </c>
      <c r="J138" t="n">
        <v>0</v>
      </c>
      <c r="K138" t="n">
        <v>0</v>
      </c>
      <c r="L138" t="n">
        <v>0</v>
      </c>
      <c r="M138" t="n">
        <v>0</v>
      </c>
      <c r="N138" t="n">
        <v>0</v>
      </c>
      <c r="O138" t="n">
        <v>0</v>
      </c>
      <c r="P138" t="n">
        <v>0</v>
      </c>
      <c r="Q138" t="n">
        <v>0</v>
      </c>
      <c r="R138" s="2" t="inlineStr"/>
    </row>
    <row r="139" ht="15" customHeight="1">
      <c r="A139" t="inlineStr">
        <is>
          <t>A 42431-2020</t>
        </is>
      </c>
      <c r="B139" s="1" t="n">
        <v>44074</v>
      </c>
      <c r="C139" s="1" t="n">
        <v>45886</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45886</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45886</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45886</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1932-2022</t>
        </is>
      </c>
      <c r="B143" s="1" t="n">
        <v>44575.43302083333</v>
      </c>
      <c r="C143" s="1" t="n">
        <v>45886</v>
      </c>
      <c r="D143" t="inlineStr">
        <is>
          <t>VÄRMLANDS LÄN</t>
        </is>
      </c>
      <c r="E143" t="inlineStr">
        <is>
          <t>ÅRJÄNG</t>
        </is>
      </c>
      <c r="G143" t="n">
        <v>2.4</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45886</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45886</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48374-2020</t>
        </is>
      </c>
      <c r="B146" s="1" t="n">
        <v>44102</v>
      </c>
      <c r="C146" s="1" t="n">
        <v>45886</v>
      </c>
      <c r="D146" t="inlineStr">
        <is>
          <t>VÄRMLANDS LÄN</t>
        </is>
      </c>
      <c r="E146" t="inlineStr">
        <is>
          <t>ÅRJÄNG</t>
        </is>
      </c>
      <c r="G146" t="n">
        <v>0.7</v>
      </c>
      <c r="H146" t="n">
        <v>0</v>
      </c>
      <c r="I146" t="n">
        <v>0</v>
      </c>
      <c r="J146" t="n">
        <v>0</v>
      </c>
      <c r="K146" t="n">
        <v>0</v>
      </c>
      <c r="L146" t="n">
        <v>0</v>
      </c>
      <c r="M146" t="n">
        <v>0</v>
      </c>
      <c r="N146" t="n">
        <v>0</v>
      </c>
      <c r="O146" t="n">
        <v>0</v>
      </c>
      <c r="P146" t="n">
        <v>0</v>
      </c>
      <c r="Q146" t="n">
        <v>0</v>
      </c>
      <c r="R146" s="2" t="inlineStr"/>
    </row>
    <row r="147" ht="15" customHeight="1">
      <c r="A147" t="inlineStr">
        <is>
          <t>A 50664-2020</t>
        </is>
      </c>
      <c r="B147" s="1" t="n">
        <v>44105</v>
      </c>
      <c r="C147" s="1" t="n">
        <v>45886</v>
      </c>
      <c r="D147" t="inlineStr">
        <is>
          <t>VÄRMLANDS LÄN</t>
        </is>
      </c>
      <c r="E147" t="inlineStr">
        <is>
          <t>ÅRJÄNG</t>
        </is>
      </c>
      <c r="G147" t="n">
        <v>2.3</v>
      </c>
      <c r="H147" t="n">
        <v>0</v>
      </c>
      <c r="I147" t="n">
        <v>0</v>
      </c>
      <c r="J147" t="n">
        <v>0</v>
      </c>
      <c r="K147" t="n">
        <v>0</v>
      </c>
      <c r="L147" t="n">
        <v>0</v>
      </c>
      <c r="M147" t="n">
        <v>0</v>
      </c>
      <c r="N147" t="n">
        <v>0</v>
      </c>
      <c r="O147" t="n">
        <v>0</v>
      </c>
      <c r="P147" t="n">
        <v>0</v>
      </c>
      <c r="Q147" t="n">
        <v>0</v>
      </c>
      <c r="R147" s="2" t="inlineStr"/>
    </row>
    <row r="148" ht="15" customHeight="1">
      <c r="A148" t="inlineStr">
        <is>
          <t>A 10541-2021</t>
        </is>
      </c>
      <c r="B148" s="1" t="n">
        <v>44258</v>
      </c>
      <c r="C148" s="1" t="n">
        <v>45886</v>
      </c>
      <c r="D148" t="inlineStr">
        <is>
          <t>VÄRMLANDS LÄN</t>
        </is>
      </c>
      <c r="E148" t="inlineStr">
        <is>
          <t>ÅRJÄNG</t>
        </is>
      </c>
      <c r="G148" t="n">
        <v>0.7</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45886</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45886</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45886</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45886</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45886</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61143-2021</t>
        </is>
      </c>
      <c r="B154" s="1" t="n">
        <v>44498</v>
      </c>
      <c r="C154" s="1" t="n">
        <v>45886</v>
      </c>
      <c r="D154" t="inlineStr">
        <is>
          <t>VÄRMLANDS LÄN</t>
        </is>
      </c>
      <c r="E154" t="inlineStr">
        <is>
          <t>ÅRJÄNG</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33915-2022</t>
        </is>
      </c>
      <c r="B155" s="1" t="n">
        <v>44790.63480324074</v>
      </c>
      <c r="C155" s="1" t="n">
        <v>45886</v>
      </c>
      <c r="D155" t="inlineStr">
        <is>
          <t>VÄRMLANDS LÄN</t>
        </is>
      </c>
      <c r="E155" t="inlineStr">
        <is>
          <t>ÅRJÄNG</t>
        </is>
      </c>
      <c r="G155" t="n">
        <v>2</v>
      </c>
      <c r="H155" t="n">
        <v>0</v>
      </c>
      <c r="I155" t="n">
        <v>0</v>
      </c>
      <c r="J155" t="n">
        <v>0</v>
      </c>
      <c r="K155" t="n">
        <v>0</v>
      </c>
      <c r="L155" t="n">
        <v>0</v>
      </c>
      <c r="M155" t="n">
        <v>0</v>
      </c>
      <c r="N155" t="n">
        <v>0</v>
      </c>
      <c r="O155" t="n">
        <v>0</v>
      </c>
      <c r="P155" t="n">
        <v>0</v>
      </c>
      <c r="Q155" t="n">
        <v>0</v>
      </c>
      <c r="R155" s="2" t="inlineStr"/>
    </row>
    <row r="156" ht="15" customHeight="1">
      <c r="A156" t="inlineStr">
        <is>
          <t>A 53679-2022</t>
        </is>
      </c>
      <c r="B156" s="1" t="n">
        <v>44879</v>
      </c>
      <c r="C156" s="1" t="n">
        <v>45886</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45886</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45886</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45886</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45886</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45886</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45886</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45886</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45886</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46248-2021</t>
        </is>
      </c>
      <c r="B165" s="1" t="n">
        <v>44442</v>
      </c>
      <c r="C165" s="1" t="n">
        <v>45886</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45886</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45886</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45886</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29701-2021</t>
        </is>
      </c>
      <c r="B169" s="1" t="n">
        <v>44362</v>
      </c>
      <c r="C169" s="1" t="n">
        <v>45886</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45886</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56311-2021</t>
        </is>
      </c>
      <c r="B171" s="1" t="n">
        <v>44480.34019675926</v>
      </c>
      <c r="C171" s="1" t="n">
        <v>45886</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516-2022</t>
        </is>
      </c>
      <c r="B172" s="1" t="n">
        <v>44566</v>
      </c>
      <c r="C172" s="1" t="n">
        <v>45886</v>
      </c>
      <c r="D172" t="inlineStr">
        <is>
          <t>VÄRMLANDS LÄN</t>
        </is>
      </c>
      <c r="E172" t="inlineStr">
        <is>
          <t>ÅRJÄNG</t>
        </is>
      </c>
      <c r="G172" t="n">
        <v>2.3</v>
      </c>
      <c r="H172" t="n">
        <v>0</v>
      </c>
      <c r="I172" t="n">
        <v>0</v>
      </c>
      <c r="J172" t="n">
        <v>0</v>
      </c>
      <c r="K172" t="n">
        <v>0</v>
      </c>
      <c r="L172" t="n">
        <v>0</v>
      </c>
      <c r="M172" t="n">
        <v>0</v>
      </c>
      <c r="N172" t="n">
        <v>0</v>
      </c>
      <c r="O172" t="n">
        <v>0</v>
      </c>
      <c r="P172" t="n">
        <v>0</v>
      </c>
      <c r="Q172" t="n">
        <v>0</v>
      </c>
      <c r="R172" s="2" t="inlineStr"/>
    </row>
    <row r="173" ht="15" customHeight="1">
      <c r="A173" t="inlineStr">
        <is>
          <t>A 37697-2021</t>
        </is>
      </c>
      <c r="B173" s="1" t="n">
        <v>44400.50800925926</v>
      </c>
      <c r="C173" s="1" t="n">
        <v>45886</v>
      </c>
      <c r="D173" t="inlineStr">
        <is>
          <t>VÄRMLANDS LÄN</t>
        </is>
      </c>
      <c r="E173" t="inlineStr">
        <is>
          <t>ÅRJÄNG</t>
        </is>
      </c>
      <c r="G173" t="n">
        <v>4.3</v>
      </c>
      <c r="H173" t="n">
        <v>0</v>
      </c>
      <c r="I173" t="n">
        <v>0</v>
      </c>
      <c r="J173" t="n">
        <v>0</v>
      </c>
      <c r="K173" t="n">
        <v>0</v>
      </c>
      <c r="L173" t="n">
        <v>0</v>
      </c>
      <c r="M173" t="n">
        <v>0</v>
      </c>
      <c r="N173" t="n">
        <v>0</v>
      </c>
      <c r="O173" t="n">
        <v>0</v>
      </c>
      <c r="P173" t="n">
        <v>0</v>
      </c>
      <c r="Q173" t="n">
        <v>0</v>
      </c>
      <c r="R173" s="2" t="inlineStr"/>
    </row>
    <row r="174" ht="15" customHeight="1">
      <c r="A174" t="inlineStr">
        <is>
          <t>A 42963-2021</t>
        </is>
      </c>
      <c r="B174" s="1" t="n">
        <v>44431</v>
      </c>
      <c r="C174" s="1" t="n">
        <v>45886</v>
      </c>
      <c r="D174" t="inlineStr">
        <is>
          <t>VÄRMLANDS LÄN</t>
        </is>
      </c>
      <c r="E174" t="inlineStr">
        <is>
          <t>ÅRJÄNG</t>
        </is>
      </c>
      <c r="G174" t="n">
        <v>5.6</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45886</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62289-2021</t>
        </is>
      </c>
      <c r="B176" s="1" t="n">
        <v>44503.37527777778</v>
      </c>
      <c r="C176" s="1" t="n">
        <v>45886</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45886</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40829-2021</t>
        </is>
      </c>
      <c r="B178" s="1" t="n">
        <v>44421</v>
      </c>
      <c r="C178" s="1" t="n">
        <v>45886</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40832-2021</t>
        </is>
      </c>
      <c r="B179" s="1" t="n">
        <v>44421</v>
      </c>
      <c r="C179" s="1" t="n">
        <v>45886</v>
      </c>
      <c r="D179" t="inlineStr">
        <is>
          <t>VÄRMLANDS LÄN</t>
        </is>
      </c>
      <c r="E179" t="inlineStr">
        <is>
          <t>ÅRJÄNG</t>
        </is>
      </c>
      <c r="G179" t="n">
        <v>0.5</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45886</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53052-2021</t>
        </is>
      </c>
      <c r="B181" s="1" t="n">
        <v>44467</v>
      </c>
      <c r="C181" s="1" t="n">
        <v>45886</v>
      </c>
      <c r="D181" t="inlineStr">
        <is>
          <t>VÄRMLANDS LÄN</t>
        </is>
      </c>
      <c r="E181" t="inlineStr">
        <is>
          <t>ÅRJÄNG</t>
        </is>
      </c>
      <c r="G181" t="n">
        <v>0.7</v>
      </c>
      <c r="H181" t="n">
        <v>0</v>
      </c>
      <c r="I181" t="n">
        <v>0</v>
      </c>
      <c r="J181" t="n">
        <v>0</v>
      </c>
      <c r="K181" t="n">
        <v>0</v>
      </c>
      <c r="L181" t="n">
        <v>0</v>
      </c>
      <c r="M181" t="n">
        <v>0</v>
      </c>
      <c r="N181" t="n">
        <v>0</v>
      </c>
      <c r="O181" t="n">
        <v>0</v>
      </c>
      <c r="P181" t="n">
        <v>0</v>
      </c>
      <c r="Q181" t="n">
        <v>0</v>
      </c>
      <c r="R181" s="2" t="inlineStr"/>
    </row>
    <row r="182" ht="15" customHeight="1">
      <c r="A182" t="inlineStr">
        <is>
          <t>A 63205-2021</t>
        </is>
      </c>
      <c r="B182" s="1" t="n">
        <v>44507.79876157407</v>
      </c>
      <c r="C182" s="1" t="n">
        <v>45886</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53722-2021</t>
        </is>
      </c>
      <c r="B183" s="1" t="n">
        <v>44469</v>
      </c>
      <c r="C183" s="1" t="n">
        <v>45886</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53747-2021</t>
        </is>
      </c>
      <c r="B184" s="1" t="n">
        <v>44469</v>
      </c>
      <c r="C184" s="1" t="n">
        <v>45886</v>
      </c>
      <c r="D184" t="inlineStr">
        <is>
          <t>VÄRMLANDS LÄN</t>
        </is>
      </c>
      <c r="E184" t="inlineStr">
        <is>
          <t>ÅRJÄNG</t>
        </is>
      </c>
      <c r="G184" t="n">
        <v>11.3</v>
      </c>
      <c r="H184" t="n">
        <v>0</v>
      </c>
      <c r="I184" t="n">
        <v>0</v>
      </c>
      <c r="J184" t="n">
        <v>0</v>
      </c>
      <c r="K184" t="n">
        <v>0</v>
      </c>
      <c r="L184" t="n">
        <v>0</v>
      </c>
      <c r="M184" t="n">
        <v>0</v>
      </c>
      <c r="N184" t="n">
        <v>0</v>
      </c>
      <c r="O184" t="n">
        <v>0</v>
      </c>
      <c r="P184" t="n">
        <v>0</v>
      </c>
      <c r="Q184" t="n">
        <v>0</v>
      </c>
      <c r="R184" s="2" t="inlineStr"/>
    </row>
    <row r="185" ht="15" customHeight="1">
      <c r="A185" t="inlineStr">
        <is>
          <t>A 62984-2021</t>
        </is>
      </c>
      <c r="B185" s="1" t="n">
        <v>44505.36910879629</v>
      </c>
      <c r="C185" s="1" t="n">
        <v>45886</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58629-2020</t>
        </is>
      </c>
      <c r="B186" s="1" t="n">
        <v>44145</v>
      </c>
      <c r="C186" s="1" t="n">
        <v>45886</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67023-2021</t>
        </is>
      </c>
      <c r="B187" s="1" t="n">
        <v>44522</v>
      </c>
      <c r="C187" s="1" t="n">
        <v>45886</v>
      </c>
      <c r="D187" t="inlineStr">
        <is>
          <t>VÄRMLANDS LÄN</t>
        </is>
      </c>
      <c r="E187" t="inlineStr">
        <is>
          <t>ÅRJÄNG</t>
        </is>
      </c>
      <c r="G187" t="n">
        <v>4.7</v>
      </c>
      <c r="H187" t="n">
        <v>0</v>
      </c>
      <c r="I187" t="n">
        <v>0</v>
      </c>
      <c r="J187" t="n">
        <v>0</v>
      </c>
      <c r="K187" t="n">
        <v>0</v>
      </c>
      <c r="L187" t="n">
        <v>0</v>
      </c>
      <c r="M187" t="n">
        <v>0</v>
      </c>
      <c r="N187" t="n">
        <v>0</v>
      </c>
      <c r="O187" t="n">
        <v>0</v>
      </c>
      <c r="P187" t="n">
        <v>0</v>
      </c>
      <c r="Q187" t="n">
        <v>0</v>
      </c>
      <c r="R187" s="2" t="inlineStr"/>
    </row>
    <row r="188" ht="15" customHeight="1">
      <c r="A188" t="inlineStr">
        <is>
          <t>A 60732-2020</t>
        </is>
      </c>
      <c r="B188" s="1" t="n">
        <v>44153.77171296296</v>
      </c>
      <c r="C188" s="1" t="n">
        <v>45886</v>
      </c>
      <c r="D188" t="inlineStr">
        <is>
          <t>VÄRMLANDS LÄN</t>
        </is>
      </c>
      <c r="E188" t="inlineStr">
        <is>
          <t>ÅRJÄNG</t>
        </is>
      </c>
      <c r="G188" t="n">
        <v>2</v>
      </c>
      <c r="H188" t="n">
        <v>0</v>
      </c>
      <c r="I188" t="n">
        <v>0</v>
      </c>
      <c r="J188" t="n">
        <v>0</v>
      </c>
      <c r="K188" t="n">
        <v>0</v>
      </c>
      <c r="L188" t="n">
        <v>0</v>
      </c>
      <c r="M188" t="n">
        <v>0</v>
      </c>
      <c r="N188" t="n">
        <v>0</v>
      </c>
      <c r="O188" t="n">
        <v>0</v>
      </c>
      <c r="P188" t="n">
        <v>0</v>
      </c>
      <c r="Q188" t="n">
        <v>0</v>
      </c>
      <c r="R188" s="2" t="inlineStr"/>
    </row>
    <row r="189" ht="15" customHeight="1">
      <c r="A189" t="inlineStr">
        <is>
          <t>A 72291-2021</t>
        </is>
      </c>
      <c r="B189" s="1" t="n">
        <v>44545.37615740741</v>
      </c>
      <c r="C189" s="1" t="n">
        <v>45886</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5667-2022</t>
        </is>
      </c>
      <c r="B190" s="1" t="n">
        <v>44595</v>
      </c>
      <c r="C190" s="1" t="n">
        <v>45886</v>
      </c>
      <c r="D190" t="inlineStr">
        <is>
          <t>VÄRMLANDS LÄN</t>
        </is>
      </c>
      <c r="E190" t="inlineStr">
        <is>
          <t>ÅRJÄNG</t>
        </is>
      </c>
      <c r="G190" t="n">
        <v>4.4</v>
      </c>
      <c r="H190" t="n">
        <v>0</v>
      </c>
      <c r="I190" t="n">
        <v>0</v>
      </c>
      <c r="J190" t="n">
        <v>0</v>
      </c>
      <c r="K190" t="n">
        <v>0</v>
      </c>
      <c r="L190" t="n">
        <v>0</v>
      </c>
      <c r="M190" t="n">
        <v>0</v>
      </c>
      <c r="N190" t="n">
        <v>0</v>
      </c>
      <c r="O190" t="n">
        <v>0</v>
      </c>
      <c r="P190" t="n">
        <v>0</v>
      </c>
      <c r="Q190" t="n">
        <v>0</v>
      </c>
      <c r="R190" s="2" t="inlineStr"/>
    </row>
    <row r="191" ht="15" customHeight="1">
      <c r="A191" t="inlineStr">
        <is>
          <t>A 59341-2021</t>
        </is>
      </c>
      <c r="B191" s="1" t="n">
        <v>44491</v>
      </c>
      <c r="C191" s="1" t="n">
        <v>45886</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45886</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59143-2021</t>
        </is>
      </c>
      <c r="B193" s="1" t="n">
        <v>44490</v>
      </c>
      <c r="C193" s="1" t="n">
        <v>45886</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56849-2020</t>
        </is>
      </c>
      <c r="B194" s="1" t="n">
        <v>44134</v>
      </c>
      <c r="C194" s="1" t="n">
        <v>45886</v>
      </c>
      <c r="D194" t="inlineStr">
        <is>
          <t>VÄRMLANDS LÄN</t>
        </is>
      </c>
      <c r="E194" t="inlineStr">
        <is>
          <t>ÅRJÄNG</t>
        </is>
      </c>
      <c r="G194" t="n">
        <v>5.1</v>
      </c>
      <c r="H194" t="n">
        <v>0</v>
      </c>
      <c r="I194" t="n">
        <v>0</v>
      </c>
      <c r="J194" t="n">
        <v>0</v>
      </c>
      <c r="K194" t="n">
        <v>0</v>
      </c>
      <c r="L194" t="n">
        <v>0</v>
      </c>
      <c r="M194" t="n">
        <v>0</v>
      </c>
      <c r="N194" t="n">
        <v>0</v>
      </c>
      <c r="O194" t="n">
        <v>0</v>
      </c>
      <c r="P194" t="n">
        <v>0</v>
      </c>
      <c r="Q194" t="n">
        <v>0</v>
      </c>
      <c r="R194" s="2" t="inlineStr"/>
    </row>
    <row r="195" ht="15" customHeight="1">
      <c r="A195" t="inlineStr">
        <is>
          <t>A 35543-2021</t>
        </is>
      </c>
      <c r="B195" s="1" t="n">
        <v>44385</v>
      </c>
      <c r="C195" s="1" t="n">
        <v>45886</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45886</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7555-2021</t>
        </is>
      </c>
      <c r="B197" s="1" t="n">
        <v>44239</v>
      </c>
      <c r="C197" s="1" t="n">
        <v>45886</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38696-2020</t>
        </is>
      </c>
      <c r="B198" s="1" t="n">
        <v>44061</v>
      </c>
      <c r="C198" s="1" t="n">
        <v>45886</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9630-2022</t>
        </is>
      </c>
      <c r="B199" s="1" t="n">
        <v>44617</v>
      </c>
      <c r="C199" s="1" t="n">
        <v>45886</v>
      </c>
      <c r="D199" t="inlineStr">
        <is>
          <t>VÄRMLANDS LÄN</t>
        </is>
      </c>
      <c r="E199" t="inlineStr">
        <is>
          <t>ÅRJÄNG</t>
        </is>
      </c>
      <c r="G199" t="n">
        <v>0.3</v>
      </c>
      <c r="H199" t="n">
        <v>0</v>
      </c>
      <c r="I199" t="n">
        <v>0</v>
      </c>
      <c r="J199" t="n">
        <v>0</v>
      </c>
      <c r="K199" t="n">
        <v>0</v>
      </c>
      <c r="L199" t="n">
        <v>0</v>
      </c>
      <c r="M199" t="n">
        <v>0</v>
      </c>
      <c r="N199" t="n">
        <v>0</v>
      </c>
      <c r="O199" t="n">
        <v>0</v>
      </c>
      <c r="P199" t="n">
        <v>0</v>
      </c>
      <c r="Q199" t="n">
        <v>0</v>
      </c>
      <c r="R199" s="2" t="inlineStr"/>
    </row>
    <row r="200" ht="15" customHeight="1">
      <c r="A200" t="inlineStr">
        <is>
          <t>A 10884-2022</t>
        </is>
      </c>
      <c r="B200" s="1" t="n">
        <v>44627.72101851852</v>
      </c>
      <c r="C200" s="1" t="n">
        <v>45886</v>
      </c>
      <c r="D200" t="inlineStr">
        <is>
          <t>VÄRMLANDS LÄN</t>
        </is>
      </c>
      <c r="E200" t="inlineStr">
        <is>
          <t>ÅRJÄNG</t>
        </is>
      </c>
      <c r="G200" t="n">
        <v>1.3</v>
      </c>
      <c r="H200" t="n">
        <v>0</v>
      </c>
      <c r="I200" t="n">
        <v>0</v>
      </c>
      <c r="J200" t="n">
        <v>0</v>
      </c>
      <c r="K200" t="n">
        <v>0</v>
      </c>
      <c r="L200" t="n">
        <v>0</v>
      </c>
      <c r="M200" t="n">
        <v>0</v>
      </c>
      <c r="N200" t="n">
        <v>0</v>
      </c>
      <c r="O200" t="n">
        <v>0</v>
      </c>
      <c r="P200" t="n">
        <v>0</v>
      </c>
      <c r="Q200" t="n">
        <v>0</v>
      </c>
      <c r="R200" s="2" t="inlineStr"/>
    </row>
    <row r="201" ht="15" customHeight="1">
      <c r="A201" t="inlineStr">
        <is>
          <t>A 71837-2021</t>
        </is>
      </c>
      <c r="B201" s="1" t="n">
        <v>44543</v>
      </c>
      <c r="C201" s="1" t="n">
        <v>45886</v>
      </c>
      <c r="D201" t="inlineStr">
        <is>
          <t>VÄRMLANDS LÄN</t>
        </is>
      </c>
      <c r="E201" t="inlineStr">
        <is>
          <t>ÅRJÄNG</t>
        </is>
      </c>
      <c r="G201" t="n">
        <v>7.2</v>
      </c>
      <c r="H201" t="n">
        <v>0</v>
      </c>
      <c r="I201" t="n">
        <v>0</v>
      </c>
      <c r="J201" t="n">
        <v>0</v>
      </c>
      <c r="K201" t="n">
        <v>0</v>
      </c>
      <c r="L201" t="n">
        <v>0</v>
      </c>
      <c r="M201" t="n">
        <v>0</v>
      </c>
      <c r="N201" t="n">
        <v>0</v>
      </c>
      <c r="O201" t="n">
        <v>0</v>
      </c>
      <c r="P201" t="n">
        <v>0</v>
      </c>
      <c r="Q201" t="n">
        <v>0</v>
      </c>
      <c r="R201" s="2" t="inlineStr"/>
    </row>
    <row r="202" ht="15" customHeight="1">
      <c r="A202" t="inlineStr">
        <is>
          <t>A 5346-2022</t>
        </is>
      </c>
      <c r="B202" s="1" t="n">
        <v>44594.74583333333</v>
      </c>
      <c r="C202" s="1" t="n">
        <v>45886</v>
      </c>
      <c r="D202" t="inlineStr">
        <is>
          <t>VÄRMLANDS LÄN</t>
        </is>
      </c>
      <c r="E202" t="inlineStr">
        <is>
          <t>ÅRJÄNG</t>
        </is>
      </c>
      <c r="G202" t="n">
        <v>0.4</v>
      </c>
      <c r="H202" t="n">
        <v>0</v>
      </c>
      <c r="I202" t="n">
        <v>0</v>
      </c>
      <c r="J202" t="n">
        <v>0</v>
      </c>
      <c r="K202" t="n">
        <v>0</v>
      </c>
      <c r="L202" t="n">
        <v>0</v>
      </c>
      <c r="M202" t="n">
        <v>0</v>
      </c>
      <c r="N202" t="n">
        <v>0</v>
      </c>
      <c r="O202" t="n">
        <v>0</v>
      </c>
      <c r="P202" t="n">
        <v>0</v>
      </c>
      <c r="Q202" t="n">
        <v>0</v>
      </c>
      <c r="R202" s="2" t="inlineStr"/>
    </row>
    <row r="203" ht="15" customHeight="1">
      <c r="A203" t="inlineStr">
        <is>
          <t>A 56993-2021</t>
        </is>
      </c>
      <c r="B203" s="1" t="n">
        <v>44482</v>
      </c>
      <c r="C203" s="1" t="n">
        <v>45886</v>
      </c>
      <c r="D203" t="inlineStr">
        <is>
          <t>VÄRMLANDS LÄN</t>
        </is>
      </c>
      <c r="E203" t="inlineStr">
        <is>
          <t>ÅRJÄNG</t>
        </is>
      </c>
      <c r="G203" t="n">
        <v>3.8</v>
      </c>
      <c r="H203" t="n">
        <v>0</v>
      </c>
      <c r="I203" t="n">
        <v>0</v>
      </c>
      <c r="J203" t="n">
        <v>0</v>
      </c>
      <c r="K203" t="n">
        <v>0</v>
      </c>
      <c r="L203" t="n">
        <v>0</v>
      </c>
      <c r="M203" t="n">
        <v>0</v>
      </c>
      <c r="N203" t="n">
        <v>0</v>
      </c>
      <c r="O203" t="n">
        <v>0</v>
      </c>
      <c r="P203" t="n">
        <v>0</v>
      </c>
      <c r="Q203" t="n">
        <v>0</v>
      </c>
      <c r="R203" s="2" t="inlineStr"/>
    </row>
    <row r="204" ht="15" customHeight="1">
      <c r="A204" t="inlineStr">
        <is>
          <t>A 17927-2021</t>
        </is>
      </c>
      <c r="B204" s="1" t="n">
        <v>44301</v>
      </c>
      <c r="C204" s="1" t="n">
        <v>45886</v>
      </c>
      <c r="D204" t="inlineStr">
        <is>
          <t>VÄRMLANDS LÄN</t>
        </is>
      </c>
      <c r="E204" t="inlineStr">
        <is>
          <t>ÅRJÄNG</t>
        </is>
      </c>
      <c r="G204" t="n">
        <v>3.4</v>
      </c>
      <c r="H204" t="n">
        <v>0</v>
      </c>
      <c r="I204" t="n">
        <v>0</v>
      </c>
      <c r="J204" t="n">
        <v>0</v>
      </c>
      <c r="K204" t="n">
        <v>0</v>
      </c>
      <c r="L204" t="n">
        <v>0</v>
      </c>
      <c r="M204" t="n">
        <v>0</v>
      </c>
      <c r="N204" t="n">
        <v>0</v>
      </c>
      <c r="O204" t="n">
        <v>0</v>
      </c>
      <c r="P204" t="n">
        <v>0</v>
      </c>
      <c r="Q204" t="n">
        <v>0</v>
      </c>
      <c r="R204" s="2" t="inlineStr"/>
    </row>
    <row r="205" ht="15" customHeight="1">
      <c r="A205" t="inlineStr">
        <is>
          <t>A 16676-2021</t>
        </is>
      </c>
      <c r="B205" s="1" t="n">
        <v>44294.5668287037</v>
      </c>
      <c r="C205" s="1" t="n">
        <v>45886</v>
      </c>
      <c r="D205" t="inlineStr">
        <is>
          <t>VÄRMLANDS LÄN</t>
        </is>
      </c>
      <c r="E205" t="inlineStr">
        <is>
          <t>ÅRJÄNG</t>
        </is>
      </c>
      <c r="G205" t="n">
        <v>4.3</v>
      </c>
      <c r="H205" t="n">
        <v>0</v>
      </c>
      <c r="I205" t="n">
        <v>0</v>
      </c>
      <c r="J205" t="n">
        <v>0</v>
      </c>
      <c r="K205" t="n">
        <v>0</v>
      </c>
      <c r="L205" t="n">
        <v>0</v>
      </c>
      <c r="M205" t="n">
        <v>0</v>
      </c>
      <c r="N205" t="n">
        <v>0</v>
      </c>
      <c r="O205" t="n">
        <v>0</v>
      </c>
      <c r="P205" t="n">
        <v>0</v>
      </c>
      <c r="Q205" t="n">
        <v>0</v>
      </c>
      <c r="R205" s="2" t="inlineStr"/>
    </row>
    <row r="206" ht="15" customHeight="1">
      <c r="A206" t="inlineStr">
        <is>
          <t>A 8408-2022</t>
        </is>
      </c>
      <c r="B206" s="1" t="n">
        <v>44610</v>
      </c>
      <c r="C206" s="1" t="n">
        <v>45886</v>
      </c>
      <c r="D206" t="inlineStr">
        <is>
          <t>VÄRMLANDS LÄN</t>
        </is>
      </c>
      <c r="E206" t="inlineStr">
        <is>
          <t>ÅRJÄNG</t>
        </is>
      </c>
      <c r="G206" t="n">
        <v>3.9</v>
      </c>
      <c r="H206" t="n">
        <v>0</v>
      </c>
      <c r="I206" t="n">
        <v>0</v>
      </c>
      <c r="J206" t="n">
        <v>0</v>
      </c>
      <c r="K206" t="n">
        <v>0</v>
      </c>
      <c r="L206" t="n">
        <v>0</v>
      </c>
      <c r="M206" t="n">
        <v>0</v>
      </c>
      <c r="N206" t="n">
        <v>0</v>
      </c>
      <c r="O206" t="n">
        <v>0</v>
      </c>
      <c r="P206" t="n">
        <v>0</v>
      </c>
      <c r="Q206" t="n">
        <v>0</v>
      </c>
      <c r="R206" s="2" t="inlineStr"/>
    </row>
    <row r="207" ht="15" customHeight="1">
      <c r="A207" t="inlineStr">
        <is>
          <t>A 51975-2022</t>
        </is>
      </c>
      <c r="B207" s="1" t="n">
        <v>44872.71702546296</v>
      </c>
      <c r="C207" s="1" t="n">
        <v>45886</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48089-2020</t>
        </is>
      </c>
      <c r="B208" s="1" t="n">
        <v>44101</v>
      </c>
      <c r="C208" s="1" t="n">
        <v>45886</v>
      </c>
      <c r="D208" t="inlineStr">
        <is>
          <t>VÄRMLANDS LÄN</t>
        </is>
      </c>
      <c r="E208" t="inlineStr">
        <is>
          <t>ÅRJÄNG</t>
        </is>
      </c>
      <c r="G208" t="n">
        <v>6.7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45886</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71840-2021</t>
        </is>
      </c>
      <c r="B210" s="1" t="n">
        <v>44543</v>
      </c>
      <c r="C210" s="1" t="n">
        <v>45886</v>
      </c>
      <c r="D210" t="inlineStr">
        <is>
          <t>VÄRMLANDS LÄN</t>
        </is>
      </c>
      <c r="E210" t="inlineStr">
        <is>
          <t>ÅRJÄNG</t>
        </is>
      </c>
      <c r="G210" t="n">
        <v>6.5</v>
      </c>
      <c r="H210" t="n">
        <v>0</v>
      </c>
      <c r="I210" t="n">
        <v>0</v>
      </c>
      <c r="J210" t="n">
        <v>0</v>
      </c>
      <c r="K210" t="n">
        <v>0</v>
      </c>
      <c r="L210" t="n">
        <v>0</v>
      </c>
      <c r="M210" t="n">
        <v>0</v>
      </c>
      <c r="N210" t="n">
        <v>0</v>
      </c>
      <c r="O210" t="n">
        <v>0</v>
      </c>
      <c r="P210" t="n">
        <v>0</v>
      </c>
      <c r="Q210" t="n">
        <v>0</v>
      </c>
      <c r="R210" s="2" t="inlineStr"/>
    </row>
    <row r="211" ht="15" customHeight="1">
      <c r="A211" t="inlineStr">
        <is>
          <t>A 19893-2022</t>
        </is>
      </c>
      <c r="B211" s="1" t="n">
        <v>44697</v>
      </c>
      <c r="C211" s="1" t="n">
        <v>45886</v>
      </c>
      <c r="D211" t="inlineStr">
        <is>
          <t>VÄRMLANDS LÄN</t>
        </is>
      </c>
      <c r="E211" t="inlineStr">
        <is>
          <t>ÅRJÄNG</t>
        </is>
      </c>
      <c r="G211" t="n">
        <v>2.5</v>
      </c>
      <c r="H211" t="n">
        <v>0</v>
      </c>
      <c r="I211" t="n">
        <v>0</v>
      </c>
      <c r="J211" t="n">
        <v>0</v>
      </c>
      <c r="K211" t="n">
        <v>0</v>
      </c>
      <c r="L211" t="n">
        <v>0</v>
      </c>
      <c r="M211" t="n">
        <v>0</v>
      </c>
      <c r="N211" t="n">
        <v>0</v>
      </c>
      <c r="O211" t="n">
        <v>0</v>
      </c>
      <c r="P211" t="n">
        <v>0</v>
      </c>
      <c r="Q211" t="n">
        <v>0</v>
      </c>
      <c r="R211" s="2" t="inlineStr"/>
    </row>
    <row r="212" ht="15" customHeight="1">
      <c r="A212" t="inlineStr">
        <is>
          <t>A 36087-2021</t>
        </is>
      </c>
      <c r="B212" s="1" t="n">
        <v>44389</v>
      </c>
      <c r="C212" s="1" t="n">
        <v>45886</v>
      </c>
      <c r="D212" t="inlineStr">
        <is>
          <t>VÄRMLANDS LÄN</t>
        </is>
      </c>
      <c r="E212" t="inlineStr">
        <is>
          <t>ÅRJÄNG</t>
        </is>
      </c>
      <c r="G212" t="n">
        <v>2.2</v>
      </c>
      <c r="H212" t="n">
        <v>0</v>
      </c>
      <c r="I212" t="n">
        <v>0</v>
      </c>
      <c r="J212" t="n">
        <v>0</v>
      </c>
      <c r="K212" t="n">
        <v>0</v>
      </c>
      <c r="L212" t="n">
        <v>0</v>
      </c>
      <c r="M212" t="n">
        <v>0</v>
      </c>
      <c r="N212" t="n">
        <v>0</v>
      </c>
      <c r="O212" t="n">
        <v>0</v>
      </c>
      <c r="P212" t="n">
        <v>0</v>
      </c>
      <c r="Q212" t="n">
        <v>0</v>
      </c>
      <c r="R212" s="2" t="inlineStr"/>
    </row>
    <row r="213" ht="15" customHeight="1">
      <c r="A213" t="inlineStr">
        <is>
          <t>A 10612-2022</t>
        </is>
      </c>
      <c r="B213" s="1" t="n">
        <v>44624</v>
      </c>
      <c r="C213" s="1" t="n">
        <v>45886</v>
      </c>
      <c r="D213" t="inlineStr">
        <is>
          <t>VÄRMLANDS LÄN</t>
        </is>
      </c>
      <c r="E213" t="inlineStr">
        <is>
          <t>ÅRJÄNG</t>
        </is>
      </c>
      <c r="G213" t="n">
        <v>6.8</v>
      </c>
      <c r="H213" t="n">
        <v>0</v>
      </c>
      <c r="I213" t="n">
        <v>0</v>
      </c>
      <c r="J213" t="n">
        <v>0</v>
      </c>
      <c r="K213" t="n">
        <v>0</v>
      </c>
      <c r="L213" t="n">
        <v>0</v>
      </c>
      <c r="M213" t="n">
        <v>0</v>
      </c>
      <c r="N213" t="n">
        <v>0</v>
      </c>
      <c r="O213" t="n">
        <v>0</v>
      </c>
      <c r="P213" t="n">
        <v>0</v>
      </c>
      <c r="Q213" t="n">
        <v>0</v>
      </c>
      <c r="R213" s="2" t="inlineStr"/>
    </row>
    <row r="214" ht="15" customHeight="1">
      <c r="A214" t="inlineStr">
        <is>
          <t>A 48192-2022</t>
        </is>
      </c>
      <c r="B214" s="1" t="n">
        <v>44853</v>
      </c>
      <c r="C214" s="1" t="n">
        <v>45886</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72996-2021</t>
        </is>
      </c>
      <c r="B215" s="1" t="n">
        <v>44549.8596875</v>
      </c>
      <c r="C215" s="1" t="n">
        <v>45886</v>
      </c>
      <c r="D215" t="inlineStr">
        <is>
          <t>VÄRMLANDS LÄN</t>
        </is>
      </c>
      <c r="E215" t="inlineStr">
        <is>
          <t>ÅRJÄNG</t>
        </is>
      </c>
      <c r="G215" t="n">
        <v>1.2</v>
      </c>
      <c r="H215" t="n">
        <v>0</v>
      </c>
      <c r="I215" t="n">
        <v>0</v>
      </c>
      <c r="J215" t="n">
        <v>0</v>
      </c>
      <c r="K215" t="n">
        <v>0</v>
      </c>
      <c r="L215" t="n">
        <v>0</v>
      </c>
      <c r="M215" t="n">
        <v>0</v>
      </c>
      <c r="N215" t="n">
        <v>0</v>
      </c>
      <c r="O215" t="n">
        <v>0</v>
      </c>
      <c r="P215" t="n">
        <v>0</v>
      </c>
      <c r="Q215" t="n">
        <v>0</v>
      </c>
      <c r="R215" s="2" t="inlineStr"/>
    </row>
    <row r="216" ht="15" customHeight="1">
      <c r="A216" t="inlineStr">
        <is>
          <t>A 42267-2020</t>
        </is>
      </c>
      <c r="B216" s="1" t="n">
        <v>44076</v>
      </c>
      <c r="C216" s="1" t="n">
        <v>45886</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4915-2022</t>
        </is>
      </c>
      <c r="B217" s="1" t="n">
        <v>44593</v>
      </c>
      <c r="C217" s="1" t="n">
        <v>45886</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27862-2021</t>
        </is>
      </c>
      <c r="B218" s="1" t="n">
        <v>44354</v>
      </c>
      <c r="C218" s="1" t="n">
        <v>45886</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43034-2021</t>
        </is>
      </c>
      <c r="B219" s="1" t="n">
        <v>44431</v>
      </c>
      <c r="C219" s="1" t="n">
        <v>45886</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23450-2021</t>
        </is>
      </c>
      <c r="B220" s="1" t="n">
        <v>44333</v>
      </c>
      <c r="C220" s="1" t="n">
        <v>45886</v>
      </c>
      <c r="D220" t="inlineStr">
        <is>
          <t>VÄRMLANDS LÄN</t>
        </is>
      </c>
      <c r="E220" t="inlineStr">
        <is>
          <t>ÅRJÄNG</t>
        </is>
      </c>
      <c r="G220" t="n">
        <v>5.1</v>
      </c>
      <c r="H220" t="n">
        <v>0</v>
      </c>
      <c r="I220" t="n">
        <v>0</v>
      </c>
      <c r="J220" t="n">
        <v>0</v>
      </c>
      <c r="K220" t="n">
        <v>0</v>
      </c>
      <c r="L220" t="n">
        <v>0</v>
      </c>
      <c r="M220" t="n">
        <v>0</v>
      </c>
      <c r="N220" t="n">
        <v>0</v>
      </c>
      <c r="O220" t="n">
        <v>0</v>
      </c>
      <c r="P220" t="n">
        <v>0</v>
      </c>
      <c r="Q220" t="n">
        <v>0</v>
      </c>
      <c r="R220" s="2" t="inlineStr"/>
    </row>
    <row r="221" ht="15" customHeight="1">
      <c r="A221" t="inlineStr">
        <is>
          <t>A 60715-2021</t>
        </is>
      </c>
      <c r="B221" s="1" t="n">
        <v>44496.70440972222</v>
      </c>
      <c r="C221" s="1" t="n">
        <v>45886</v>
      </c>
      <c r="D221" t="inlineStr">
        <is>
          <t>VÄRMLANDS LÄN</t>
        </is>
      </c>
      <c r="E221" t="inlineStr">
        <is>
          <t>ÅRJÄNG</t>
        </is>
      </c>
      <c r="G221" t="n">
        <v>7.4</v>
      </c>
      <c r="H221" t="n">
        <v>0</v>
      </c>
      <c r="I221" t="n">
        <v>0</v>
      </c>
      <c r="J221" t="n">
        <v>0</v>
      </c>
      <c r="K221" t="n">
        <v>0</v>
      </c>
      <c r="L221" t="n">
        <v>0</v>
      </c>
      <c r="M221" t="n">
        <v>0</v>
      </c>
      <c r="N221" t="n">
        <v>0</v>
      </c>
      <c r="O221" t="n">
        <v>0</v>
      </c>
      <c r="P221" t="n">
        <v>0</v>
      </c>
      <c r="Q221" t="n">
        <v>0</v>
      </c>
      <c r="R221" s="2" t="inlineStr"/>
    </row>
    <row r="222" ht="15" customHeight="1">
      <c r="A222" t="inlineStr">
        <is>
          <t>A 41539-2022</t>
        </is>
      </c>
      <c r="B222" s="1" t="n">
        <v>44825</v>
      </c>
      <c r="C222" s="1" t="n">
        <v>45886</v>
      </c>
      <c r="D222" t="inlineStr">
        <is>
          <t>VÄRMLANDS LÄN</t>
        </is>
      </c>
      <c r="E222" t="inlineStr">
        <is>
          <t>ÅRJÄNG</t>
        </is>
      </c>
      <c r="G222" t="n">
        <v>2.3</v>
      </c>
      <c r="H222" t="n">
        <v>0</v>
      </c>
      <c r="I222" t="n">
        <v>0</v>
      </c>
      <c r="J222" t="n">
        <v>0</v>
      </c>
      <c r="K222" t="n">
        <v>0</v>
      </c>
      <c r="L222" t="n">
        <v>0</v>
      </c>
      <c r="M222" t="n">
        <v>0</v>
      </c>
      <c r="N222" t="n">
        <v>0</v>
      </c>
      <c r="O222" t="n">
        <v>0</v>
      </c>
      <c r="P222" t="n">
        <v>0</v>
      </c>
      <c r="Q222" t="n">
        <v>0</v>
      </c>
      <c r="R222" s="2" t="inlineStr"/>
    </row>
    <row r="223" ht="15" customHeight="1">
      <c r="A223" t="inlineStr">
        <is>
          <t>A 13654-2022</t>
        </is>
      </c>
      <c r="B223" s="1" t="n">
        <v>44648.65623842592</v>
      </c>
      <c r="C223" s="1" t="n">
        <v>45886</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71819-2021</t>
        </is>
      </c>
      <c r="B224" s="1" t="n">
        <v>44540</v>
      </c>
      <c r="C224" s="1" t="n">
        <v>45886</v>
      </c>
      <c r="D224" t="inlineStr">
        <is>
          <t>VÄRMLANDS LÄN</t>
        </is>
      </c>
      <c r="E224" t="inlineStr">
        <is>
          <t>ÅRJÄNG</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37949-2022</t>
        </is>
      </c>
      <c r="B225" s="1" t="n">
        <v>44811.48773148148</v>
      </c>
      <c r="C225" s="1" t="n">
        <v>45886</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69024-2021</t>
        </is>
      </c>
      <c r="B226" s="1" t="n">
        <v>44530.61547453704</v>
      </c>
      <c r="C226" s="1" t="n">
        <v>45886</v>
      </c>
      <c r="D226" t="inlineStr">
        <is>
          <t>VÄRMLANDS LÄN</t>
        </is>
      </c>
      <c r="E226" t="inlineStr">
        <is>
          <t>ÅRJÄNG</t>
        </is>
      </c>
      <c r="G226" t="n">
        <v>0.3</v>
      </c>
      <c r="H226" t="n">
        <v>0</v>
      </c>
      <c r="I226" t="n">
        <v>0</v>
      </c>
      <c r="J226" t="n">
        <v>0</v>
      </c>
      <c r="K226" t="n">
        <v>0</v>
      </c>
      <c r="L226" t="n">
        <v>0</v>
      </c>
      <c r="M226" t="n">
        <v>0</v>
      </c>
      <c r="N226" t="n">
        <v>0</v>
      </c>
      <c r="O226" t="n">
        <v>0</v>
      </c>
      <c r="P226" t="n">
        <v>0</v>
      </c>
      <c r="Q226" t="n">
        <v>0</v>
      </c>
      <c r="R226" s="2" t="inlineStr"/>
    </row>
    <row r="227" ht="15" customHeight="1">
      <c r="A227" t="inlineStr">
        <is>
          <t>A 40643-2022</t>
        </is>
      </c>
      <c r="B227" s="1" t="n">
        <v>44824.32023148148</v>
      </c>
      <c r="C227" s="1" t="n">
        <v>45886</v>
      </c>
      <c r="D227" t="inlineStr">
        <is>
          <t>VÄRMLANDS LÄN</t>
        </is>
      </c>
      <c r="E227" t="inlineStr">
        <is>
          <t>ÅRJÄNG</t>
        </is>
      </c>
      <c r="G227" t="n">
        <v>0.4</v>
      </c>
      <c r="H227" t="n">
        <v>0</v>
      </c>
      <c r="I227" t="n">
        <v>0</v>
      </c>
      <c r="J227" t="n">
        <v>0</v>
      </c>
      <c r="K227" t="n">
        <v>0</v>
      </c>
      <c r="L227" t="n">
        <v>0</v>
      </c>
      <c r="M227" t="n">
        <v>0</v>
      </c>
      <c r="N227" t="n">
        <v>0</v>
      </c>
      <c r="O227" t="n">
        <v>0</v>
      </c>
      <c r="P227" t="n">
        <v>0</v>
      </c>
      <c r="Q227" t="n">
        <v>0</v>
      </c>
      <c r="R227" s="2" t="inlineStr"/>
    </row>
    <row r="228" ht="15" customHeight="1">
      <c r="A228" t="inlineStr">
        <is>
          <t>A 57833-2021</t>
        </is>
      </c>
      <c r="B228" s="1" t="n">
        <v>44484.71295138889</v>
      </c>
      <c r="C228" s="1" t="n">
        <v>45886</v>
      </c>
      <c r="D228" t="inlineStr">
        <is>
          <t>VÄRMLANDS LÄN</t>
        </is>
      </c>
      <c r="E228" t="inlineStr">
        <is>
          <t>ÅRJÄNG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69647-2020</t>
        </is>
      </c>
      <c r="B229" s="1" t="n">
        <v>44195</v>
      </c>
      <c r="C229" s="1" t="n">
        <v>45886</v>
      </c>
      <c r="D229" t="inlineStr">
        <is>
          <t>VÄRMLANDS LÄN</t>
        </is>
      </c>
      <c r="E229" t="inlineStr">
        <is>
          <t>ÅRJÄNG</t>
        </is>
      </c>
      <c r="G229" t="n">
        <v>1.6</v>
      </c>
      <c r="H229" t="n">
        <v>0</v>
      </c>
      <c r="I229" t="n">
        <v>0</v>
      </c>
      <c r="J229" t="n">
        <v>0</v>
      </c>
      <c r="K229" t="n">
        <v>0</v>
      </c>
      <c r="L229" t="n">
        <v>0</v>
      </c>
      <c r="M229" t="n">
        <v>0</v>
      </c>
      <c r="N229" t="n">
        <v>0</v>
      </c>
      <c r="O229" t="n">
        <v>0</v>
      </c>
      <c r="P229" t="n">
        <v>0</v>
      </c>
      <c r="Q229" t="n">
        <v>0</v>
      </c>
      <c r="R229" s="2" t="inlineStr"/>
    </row>
    <row r="230" ht="15" customHeight="1">
      <c r="A230" t="inlineStr">
        <is>
          <t>A 43267-2020</t>
        </is>
      </c>
      <c r="B230" s="1" t="n">
        <v>44081</v>
      </c>
      <c r="C230" s="1" t="n">
        <v>45886</v>
      </c>
      <c r="D230" t="inlineStr">
        <is>
          <t>VÄRMLANDS LÄN</t>
        </is>
      </c>
      <c r="E230" t="inlineStr">
        <is>
          <t>ÅRJÄNG</t>
        </is>
      </c>
      <c r="G230" t="n">
        <v>6.6</v>
      </c>
      <c r="H230" t="n">
        <v>0</v>
      </c>
      <c r="I230" t="n">
        <v>0</v>
      </c>
      <c r="J230" t="n">
        <v>0</v>
      </c>
      <c r="K230" t="n">
        <v>0</v>
      </c>
      <c r="L230" t="n">
        <v>0</v>
      </c>
      <c r="M230" t="n">
        <v>0</v>
      </c>
      <c r="N230" t="n">
        <v>0</v>
      </c>
      <c r="O230" t="n">
        <v>0</v>
      </c>
      <c r="P230" t="n">
        <v>0</v>
      </c>
      <c r="Q230" t="n">
        <v>0</v>
      </c>
      <c r="R230" s="2" t="inlineStr"/>
    </row>
    <row r="231" ht="15" customHeight="1">
      <c r="A231" t="inlineStr">
        <is>
          <t>A 74166-2021</t>
        </is>
      </c>
      <c r="B231" s="1" t="n">
        <v>44558</v>
      </c>
      <c r="C231" s="1" t="n">
        <v>45886</v>
      </c>
      <c r="D231" t="inlineStr">
        <is>
          <t>VÄRMLANDS LÄN</t>
        </is>
      </c>
      <c r="E231" t="inlineStr">
        <is>
          <t>ÅRJÄNG</t>
        </is>
      </c>
      <c r="G231" t="n">
        <v>1.4</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45886</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10518-2022</t>
        </is>
      </c>
      <c r="B233" s="1" t="n">
        <v>44623.77545138889</v>
      </c>
      <c r="C233" s="1" t="n">
        <v>45886</v>
      </c>
      <c r="D233" t="inlineStr">
        <is>
          <t>VÄRMLANDS LÄN</t>
        </is>
      </c>
      <c r="E233" t="inlineStr">
        <is>
          <t>ÅRJÄNG</t>
        </is>
      </c>
      <c r="G233" t="n">
        <v>0.5</v>
      </c>
      <c r="H233" t="n">
        <v>0</v>
      </c>
      <c r="I233" t="n">
        <v>0</v>
      </c>
      <c r="J233" t="n">
        <v>0</v>
      </c>
      <c r="K233" t="n">
        <v>0</v>
      </c>
      <c r="L233" t="n">
        <v>0</v>
      </c>
      <c r="M233" t="n">
        <v>0</v>
      </c>
      <c r="N233" t="n">
        <v>0</v>
      </c>
      <c r="O233" t="n">
        <v>0</v>
      </c>
      <c r="P233" t="n">
        <v>0</v>
      </c>
      <c r="Q233" t="n">
        <v>0</v>
      </c>
      <c r="R233" s="2" t="inlineStr"/>
    </row>
    <row r="234" ht="15" customHeight="1">
      <c r="A234" t="inlineStr">
        <is>
          <t>A 60713-2021</t>
        </is>
      </c>
      <c r="B234" s="1" t="n">
        <v>44496</v>
      </c>
      <c r="C234" s="1" t="n">
        <v>45886</v>
      </c>
      <c r="D234" t="inlineStr">
        <is>
          <t>VÄRMLANDS LÄN</t>
        </is>
      </c>
      <c r="E234" t="inlineStr">
        <is>
          <t>ÅRJÄNG</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39661-2022</t>
        </is>
      </c>
      <c r="B235" s="1" t="n">
        <v>44818.79202546296</v>
      </c>
      <c r="C235" s="1" t="n">
        <v>45886</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36532-2022</t>
        </is>
      </c>
      <c r="B236" s="1" t="n">
        <v>44804</v>
      </c>
      <c r="C236" s="1" t="n">
        <v>45886</v>
      </c>
      <c r="D236" t="inlineStr">
        <is>
          <t>VÄRMLANDS LÄN</t>
        </is>
      </c>
      <c r="E236" t="inlineStr">
        <is>
          <t>ÅRJÄNG</t>
        </is>
      </c>
      <c r="G236" t="n">
        <v>12.7</v>
      </c>
      <c r="H236" t="n">
        <v>0</v>
      </c>
      <c r="I236" t="n">
        <v>0</v>
      </c>
      <c r="J236" t="n">
        <v>0</v>
      </c>
      <c r="K236" t="n">
        <v>0</v>
      </c>
      <c r="L236" t="n">
        <v>0</v>
      </c>
      <c r="M236" t="n">
        <v>0</v>
      </c>
      <c r="N236" t="n">
        <v>0</v>
      </c>
      <c r="O236" t="n">
        <v>0</v>
      </c>
      <c r="P236" t="n">
        <v>0</v>
      </c>
      <c r="Q236" t="n">
        <v>0</v>
      </c>
      <c r="R236" s="2" t="inlineStr"/>
    </row>
    <row r="237" ht="15" customHeight="1">
      <c r="A237" t="inlineStr">
        <is>
          <t>A 73138-2021</t>
        </is>
      </c>
      <c r="B237" s="1" t="n">
        <v>44550</v>
      </c>
      <c r="C237" s="1" t="n">
        <v>45886</v>
      </c>
      <c r="D237" t="inlineStr">
        <is>
          <t>VÄRMLANDS LÄN</t>
        </is>
      </c>
      <c r="E237" t="inlineStr">
        <is>
          <t>ÅRJÄNG</t>
        </is>
      </c>
      <c r="G237" t="n">
        <v>4.3</v>
      </c>
      <c r="H237" t="n">
        <v>0</v>
      </c>
      <c r="I237" t="n">
        <v>0</v>
      </c>
      <c r="J237" t="n">
        <v>0</v>
      </c>
      <c r="K237" t="n">
        <v>0</v>
      </c>
      <c r="L237" t="n">
        <v>0</v>
      </c>
      <c r="M237" t="n">
        <v>0</v>
      </c>
      <c r="N237" t="n">
        <v>0</v>
      </c>
      <c r="O237" t="n">
        <v>0</v>
      </c>
      <c r="P237" t="n">
        <v>0</v>
      </c>
      <c r="Q237" t="n">
        <v>0</v>
      </c>
      <c r="R237" s="2" t="inlineStr"/>
    </row>
    <row r="238" ht="15" customHeight="1">
      <c r="A238" t="inlineStr">
        <is>
          <t>A 6900-2021</t>
        </is>
      </c>
      <c r="B238" s="1" t="n">
        <v>44237</v>
      </c>
      <c r="C238" s="1" t="n">
        <v>45886</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6908-2021</t>
        </is>
      </c>
      <c r="B239" s="1" t="n">
        <v>44237</v>
      </c>
      <c r="C239" s="1" t="n">
        <v>45886</v>
      </c>
      <c r="D239" t="inlineStr">
        <is>
          <t>VÄRMLANDS LÄN</t>
        </is>
      </c>
      <c r="E239" t="inlineStr">
        <is>
          <t>ÅRJÄNG</t>
        </is>
      </c>
      <c r="G239" t="n">
        <v>3.3</v>
      </c>
      <c r="H239" t="n">
        <v>0</v>
      </c>
      <c r="I239" t="n">
        <v>0</v>
      </c>
      <c r="J239" t="n">
        <v>0</v>
      </c>
      <c r="K239" t="n">
        <v>0</v>
      </c>
      <c r="L239" t="n">
        <v>0</v>
      </c>
      <c r="M239" t="n">
        <v>0</v>
      </c>
      <c r="N239" t="n">
        <v>0</v>
      </c>
      <c r="O239" t="n">
        <v>0</v>
      </c>
      <c r="P239" t="n">
        <v>0</v>
      </c>
      <c r="Q239" t="n">
        <v>0</v>
      </c>
      <c r="R239" s="2" t="inlineStr"/>
    </row>
    <row r="240" ht="15" customHeight="1">
      <c r="A240" t="inlineStr">
        <is>
          <t>A 74189-2021</t>
        </is>
      </c>
      <c r="B240" s="1" t="n">
        <v>44553</v>
      </c>
      <c r="C240" s="1" t="n">
        <v>45886</v>
      </c>
      <c r="D240" t="inlineStr">
        <is>
          <t>VÄRMLANDS LÄN</t>
        </is>
      </c>
      <c r="E240" t="inlineStr">
        <is>
          <t>ÅRJÄNG</t>
        </is>
      </c>
      <c r="G240" t="n">
        <v>1.9</v>
      </c>
      <c r="H240" t="n">
        <v>0</v>
      </c>
      <c r="I240" t="n">
        <v>0</v>
      </c>
      <c r="J240" t="n">
        <v>0</v>
      </c>
      <c r="K240" t="n">
        <v>0</v>
      </c>
      <c r="L240" t="n">
        <v>0</v>
      </c>
      <c r="M240" t="n">
        <v>0</v>
      </c>
      <c r="N240" t="n">
        <v>0</v>
      </c>
      <c r="O240" t="n">
        <v>0</v>
      </c>
      <c r="P240" t="n">
        <v>0</v>
      </c>
      <c r="Q240" t="n">
        <v>0</v>
      </c>
      <c r="R240" s="2" t="inlineStr"/>
    </row>
    <row r="241" ht="15" customHeight="1">
      <c r="A241" t="inlineStr">
        <is>
          <t>A 9484-2021</t>
        </is>
      </c>
      <c r="B241" s="1" t="n">
        <v>44251</v>
      </c>
      <c r="C241" s="1" t="n">
        <v>45886</v>
      </c>
      <c r="D241" t="inlineStr">
        <is>
          <t>VÄRMLANDS LÄN</t>
        </is>
      </c>
      <c r="E241" t="inlineStr">
        <is>
          <t>ÅRJÄNG</t>
        </is>
      </c>
      <c r="G241" t="n">
        <v>0.8</v>
      </c>
      <c r="H241" t="n">
        <v>0</v>
      </c>
      <c r="I241" t="n">
        <v>0</v>
      </c>
      <c r="J241" t="n">
        <v>0</v>
      </c>
      <c r="K241" t="n">
        <v>0</v>
      </c>
      <c r="L241" t="n">
        <v>0</v>
      </c>
      <c r="M241" t="n">
        <v>0</v>
      </c>
      <c r="N241" t="n">
        <v>0</v>
      </c>
      <c r="O241" t="n">
        <v>0</v>
      </c>
      <c r="P241" t="n">
        <v>0</v>
      </c>
      <c r="Q241" t="n">
        <v>0</v>
      </c>
      <c r="R241" s="2" t="inlineStr"/>
    </row>
    <row r="242" ht="15" customHeight="1">
      <c r="A242" t="inlineStr">
        <is>
          <t>A 13156-2022</t>
        </is>
      </c>
      <c r="B242" s="1" t="n">
        <v>44643</v>
      </c>
      <c r="C242" s="1" t="n">
        <v>45886</v>
      </c>
      <c r="D242" t="inlineStr">
        <is>
          <t>VÄRMLANDS LÄN</t>
        </is>
      </c>
      <c r="E242" t="inlineStr">
        <is>
          <t>ÅRJÄNG</t>
        </is>
      </c>
      <c r="G242" t="n">
        <v>7.8</v>
      </c>
      <c r="H242" t="n">
        <v>0</v>
      </c>
      <c r="I242" t="n">
        <v>0</v>
      </c>
      <c r="J242" t="n">
        <v>0</v>
      </c>
      <c r="K242" t="n">
        <v>0</v>
      </c>
      <c r="L242" t="n">
        <v>0</v>
      </c>
      <c r="M242" t="n">
        <v>0</v>
      </c>
      <c r="N242" t="n">
        <v>0</v>
      </c>
      <c r="O242" t="n">
        <v>0</v>
      </c>
      <c r="P242" t="n">
        <v>0</v>
      </c>
      <c r="Q242" t="n">
        <v>0</v>
      </c>
      <c r="R242" s="2" t="inlineStr"/>
    </row>
    <row r="243" ht="15" customHeight="1">
      <c r="A243" t="inlineStr">
        <is>
          <t>A 46002-2020</t>
        </is>
      </c>
      <c r="B243" s="1" t="n">
        <v>44091</v>
      </c>
      <c r="C243" s="1" t="n">
        <v>45886</v>
      </c>
      <c r="D243" t="inlineStr">
        <is>
          <t>VÄRMLANDS LÄN</t>
        </is>
      </c>
      <c r="E243" t="inlineStr">
        <is>
          <t>ÅRJÄNG</t>
        </is>
      </c>
      <c r="G243" t="n">
        <v>1.6</v>
      </c>
      <c r="H243" t="n">
        <v>0</v>
      </c>
      <c r="I243" t="n">
        <v>0</v>
      </c>
      <c r="J243" t="n">
        <v>0</v>
      </c>
      <c r="K243" t="n">
        <v>0</v>
      </c>
      <c r="L243" t="n">
        <v>0</v>
      </c>
      <c r="M243" t="n">
        <v>0</v>
      </c>
      <c r="N243" t="n">
        <v>0</v>
      </c>
      <c r="O243" t="n">
        <v>0</v>
      </c>
      <c r="P243" t="n">
        <v>0</v>
      </c>
      <c r="Q243" t="n">
        <v>0</v>
      </c>
      <c r="R243" s="2" t="inlineStr"/>
    </row>
    <row r="244" ht="15" customHeight="1">
      <c r="A244" t="inlineStr">
        <is>
          <t>A 47005-2021</t>
        </is>
      </c>
      <c r="B244" s="1" t="n">
        <v>44446</v>
      </c>
      <c r="C244" s="1" t="n">
        <v>45886</v>
      </c>
      <c r="D244" t="inlineStr">
        <is>
          <t>VÄRMLANDS LÄN</t>
        </is>
      </c>
      <c r="E244" t="inlineStr">
        <is>
          <t>ÅRJÄNG</t>
        </is>
      </c>
      <c r="G244" t="n">
        <v>6.3</v>
      </c>
      <c r="H244" t="n">
        <v>0</v>
      </c>
      <c r="I244" t="n">
        <v>0</v>
      </c>
      <c r="J244" t="n">
        <v>0</v>
      </c>
      <c r="K244" t="n">
        <v>0</v>
      </c>
      <c r="L244" t="n">
        <v>0</v>
      </c>
      <c r="M244" t="n">
        <v>0</v>
      </c>
      <c r="N244" t="n">
        <v>0</v>
      </c>
      <c r="O244" t="n">
        <v>0</v>
      </c>
      <c r="P244" t="n">
        <v>0</v>
      </c>
      <c r="Q244" t="n">
        <v>0</v>
      </c>
      <c r="R244" s="2" t="inlineStr"/>
    </row>
    <row r="245" ht="15" customHeight="1">
      <c r="A245" t="inlineStr">
        <is>
          <t>A 47033-2021</t>
        </is>
      </c>
      <c r="B245" s="1" t="n">
        <v>44446</v>
      </c>
      <c r="C245" s="1" t="n">
        <v>45886</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51962-2022</t>
        </is>
      </c>
      <c r="B246" s="1" t="n">
        <v>44872.68225694444</v>
      </c>
      <c r="C246" s="1" t="n">
        <v>45886</v>
      </c>
      <c r="D246" t="inlineStr">
        <is>
          <t>VÄRMLANDS LÄN</t>
        </is>
      </c>
      <c r="E246" t="inlineStr">
        <is>
          <t>ÅRJÄNG</t>
        </is>
      </c>
      <c r="G246" t="n">
        <v>1.7</v>
      </c>
      <c r="H246" t="n">
        <v>0</v>
      </c>
      <c r="I246" t="n">
        <v>0</v>
      </c>
      <c r="J246" t="n">
        <v>0</v>
      </c>
      <c r="K246" t="n">
        <v>0</v>
      </c>
      <c r="L246" t="n">
        <v>0</v>
      </c>
      <c r="M246" t="n">
        <v>0</v>
      </c>
      <c r="N246" t="n">
        <v>0</v>
      </c>
      <c r="O246" t="n">
        <v>0</v>
      </c>
      <c r="P246" t="n">
        <v>0</v>
      </c>
      <c r="Q246" t="n">
        <v>0</v>
      </c>
      <c r="R246" s="2" t="inlineStr"/>
    </row>
    <row r="247" ht="15" customHeight="1">
      <c r="A247" t="inlineStr">
        <is>
          <t>A 44319-2020</t>
        </is>
      </c>
      <c r="B247" s="1" t="n">
        <v>44084</v>
      </c>
      <c r="C247" s="1" t="n">
        <v>45886</v>
      </c>
      <c r="D247" t="inlineStr">
        <is>
          <t>VÄRMLANDS LÄN</t>
        </is>
      </c>
      <c r="E247" t="inlineStr">
        <is>
          <t>ÅRJÄNG</t>
        </is>
      </c>
      <c r="G247" t="n">
        <v>1.1</v>
      </c>
      <c r="H247" t="n">
        <v>0</v>
      </c>
      <c r="I247" t="n">
        <v>0</v>
      </c>
      <c r="J247" t="n">
        <v>0</v>
      </c>
      <c r="K247" t="n">
        <v>0</v>
      </c>
      <c r="L247" t="n">
        <v>0</v>
      </c>
      <c r="M247" t="n">
        <v>0</v>
      </c>
      <c r="N247" t="n">
        <v>0</v>
      </c>
      <c r="O247" t="n">
        <v>0</v>
      </c>
      <c r="P247" t="n">
        <v>0</v>
      </c>
      <c r="Q247" t="n">
        <v>0</v>
      </c>
      <c r="R247" s="2" t="inlineStr"/>
    </row>
    <row r="248" ht="15" customHeight="1">
      <c r="A248" t="inlineStr">
        <is>
          <t>A 9407-2022</t>
        </is>
      </c>
      <c r="B248" s="1" t="n">
        <v>44616.65760416666</v>
      </c>
      <c r="C248" s="1" t="n">
        <v>45886</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48132-2020</t>
        </is>
      </c>
      <c r="B249" s="1" t="n">
        <v>44102</v>
      </c>
      <c r="C249" s="1" t="n">
        <v>45886</v>
      </c>
      <c r="D249" t="inlineStr">
        <is>
          <t>VÄRMLANDS LÄN</t>
        </is>
      </c>
      <c r="E249" t="inlineStr">
        <is>
          <t>ÅRJÄNG</t>
        </is>
      </c>
      <c r="G249" t="n">
        <v>4.1</v>
      </c>
      <c r="H249" t="n">
        <v>0</v>
      </c>
      <c r="I249" t="n">
        <v>0</v>
      </c>
      <c r="J249" t="n">
        <v>0</v>
      </c>
      <c r="K249" t="n">
        <v>0</v>
      </c>
      <c r="L249" t="n">
        <v>0</v>
      </c>
      <c r="M249" t="n">
        <v>0</v>
      </c>
      <c r="N249" t="n">
        <v>0</v>
      </c>
      <c r="O249" t="n">
        <v>0</v>
      </c>
      <c r="P249" t="n">
        <v>0</v>
      </c>
      <c r="Q249" t="n">
        <v>0</v>
      </c>
      <c r="R249" s="2" t="inlineStr"/>
    </row>
    <row r="250" ht="15" customHeight="1">
      <c r="A250" t="inlineStr">
        <is>
          <t>A 8938-2022</t>
        </is>
      </c>
      <c r="B250" s="1" t="n">
        <v>44614.7222337963</v>
      </c>
      <c r="C250" s="1" t="n">
        <v>45886</v>
      </c>
      <c r="D250" t="inlineStr">
        <is>
          <t>VÄRMLANDS LÄN</t>
        </is>
      </c>
      <c r="E250" t="inlineStr">
        <is>
          <t>ÅRJÄNG</t>
        </is>
      </c>
      <c r="G250" t="n">
        <v>11.9</v>
      </c>
      <c r="H250" t="n">
        <v>0</v>
      </c>
      <c r="I250" t="n">
        <v>0</v>
      </c>
      <c r="J250" t="n">
        <v>0</v>
      </c>
      <c r="K250" t="n">
        <v>0</v>
      </c>
      <c r="L250" t="n">
        <v>0</v>
      </c>
      <c r="M250" t="n">
        <v>0</v>
      </c>
      <c r="N250" t="n">
        <v>0</v>
      </c>
      <c r="O250" t="n">
        <v>0</v>
      </c>
      <c r="P250" t="n">
        <v>0</v>
      </c>
      <c r="Q250" t="n">
        <v>0</v>
      </c>
      <c r="R250" s="2" t="inlineStr"/>
    </row>
    <row r="251" ht="15" customHeight="1">
      <c r="A251" t="inlineStr">
        <is>
          <t>A 36016-2022</t>
        </is>
      </c>
      <c r="B251" s="1" t="n">
        <v>44802.64721064815</v>
      </c>
      <c r="C251" s="1" t="n">
        <v>45886</v>
      </c>
      <c r="D251" t="inlineStr">
        <is>
          <t>VÄRMLANDS LÄN</t>
        </is>
      </c>
      <c r="E251" t="inlineStr">
        <is>
          <t>ÅRJÄNG</t>
        </is>
      </c>
      <c r="G251" t="n">
        <v>1</v>
      </c>
      <c r="H251" t="n">
        <v>0</v>
      </c>
      <c r="I251" t="n">
        <v>0</v>
      </c>
      <c r="J251" t="n">
        <v>0</v>
      </c>
      <c r="K251" t="n">
        <v>0</v>
      </c>
      <c r="L251" t="n">
        <v>0</v>
      </c>
      <c r="M251" t="n">
        <v>0</v>
      </c>
      <c r="N251" t="n">
        <v>0</v>
      </c>
      <c r="O251" t="n">
        <v>0</v>
      </c>
      <c r="P251" t="n">
        <v>0</v>
      </c>
      <c r="Q251" t="n">
        <v>0</v>
      </c>
      <c r="R251" s="2" t="inlineStr"/>
    </row>
    <row r="252" ht="15" customHeight="1">
      <c r="A252" t="inlineStr">
        <is>
          <t>A 1567-2022</t>
        </is>
      </c>
      <c r="B252" s="1" t="n">
        <v>44573</v>
      </c>
      <c r="C252" s="1" t="n">
        <v>45886</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53235-2020</t>
        </is>
      </c>
      <c r="B253" s="1" t="n">
        <v>44123</v>
      </c>
      <c r="C253" s="1" t="n">
        <v>45886</v>
      </c>
      <c r="D253" t="inlineStr">
        <is>
          <t>VÄRMLANDS LÄN</t>
        </is>
      </c>
      <c r="E253" t="inlineStr">
        <is>
          <t>ÅRJÄNG</t>
        </is>
      </c>
      <c r="G253" t="n">
        <v>3.9</v>
      </c>
      <c r="H253" t="n">
        <v>0</v>
      </c>
      <c r="I253" t="n">
        <v>0</v>
      </c>
      <c r="J253" t="n">
        <v>0</v>
      </c>
      <c r="K253" t="n">
        <v>0</v>
      </c>
      <c r="L253" t="n">
        <v>0</v>
      </c>
      <c r="M253" t="n">
        <v>0</v>
      </c>
      <c r="N253" t="n">
        <v>0</v>
      </c>
      <c r="O253" t="n">
        <v>0</v>
      </c>
      <c r="P253" t="n">
        <v>0</v>
      </c>
      <c r="Q253" t="n">
        <v>0</v>
      </c>
      <c r="R253" s="2" t="inlineStr"/>
    </row>
    <row r="254" ht="15" customHeight="1">
      <c r="A254" t="inlineStr">
        <is>
          <t>A 48652-2020</t>
        </is>
      </c>
      <c r="B254" s="1" t="n">
        <v>44103</v>
      </c>
      <c r="C254" s="1" t="n">
        <v>45886</v>
      </c>
      <c r="D254" t="inlineStr">
        <is>
          <t>VÄRMLANDS LÄN</t>
        </is>
      </c>
      <c r="E254" t="inlineStr">
        <is>
          <t>ÅRJÄNG</t>
        </is>
      </c>
      <c r="G254" t="n">
        <v>4.9</v>
      </c>
      <c r="H254" t="n">
        <v>0</v>
      </c>
      <c r="I254" t="n">
        <v>0</v>
      </c>
      <c r="J254" t="n">
        <v>0</v>
      </c>
      <c r="K254" t="n">
        <v>0</v>
      </c>
      <c r="L254" t="n">
        <v>0</v>
      </c>
      <c r="M254" t="n">
        <v>0</v>
      </c>
      <c r="N254" t="n">
        <v>0</v>
      </c>
      <c r="O254" t="n">
        <v>0</v>
      </c>
      <c r="P254" t="n">
        <v>0</v>
      </c>
      <c r="Q254" t="n">
        <v>0</v>
      </c>
      <c r="R254" s="2" t="inlineStr"/>
    </row>
    <row r="255" ht="15" customHeight="1">
      <c r="A255" t="inlineStr">
        <is>
          <t>A 57437-2020</t>
        </is>
      </c>
      <c r="B255" s="1" t="n">
        <v>44140</v>
      </c>
      <c r="C255" s="1" t="n">
        <v>45886</v>
      </c>
      <c r="D255" t="inlineStr">
        <is>
          <t>VÄRMLANDS LÄN</t>
        </is>
      </c>
      <c r="E255" t="inlineStr">
        <is>
          <t>ÅRJÄNG</t>
        </is>
      </c>
      <c r="G255" t="n">
        <v>3.7</v>
      </c>
      <c r="H255" t="n">
        <v>0</v>
      </c>
      <c r="I255" t="n">
        <v>0</v>
      </c>
      <c r="J255" t="n">
        <v>0</v>
      </c>
      <c r="K255" t="n">
        <v>0</v>
      </c>
      <c r="L255" t="n">
        <v>0</v>
      </c>
      <c r="M255" t="n">
        <v>0</v>
      </c>
      <c r="N255" t="n">
        <v>0</v>
      </c>
      <c r="O255" t="n">
        <v>0</v>
      </c>
      <c r="P255" t="n">
        <v>0</v>
      </c>
      <c r="Q255" t="n">
        <v>0</v>
      </c>
      <c r="R255" s="2" t="inlineStr"/>
    </row>
    <row r="256" ht="15" customHeight="1">
      <c r="A256" t="inlineStr">
        <is>
          <t>A 57444-2020</t>
        </is>
      </c>
      <c r="B256" s="1" t="n">
        <v>44140</v>
      </c>
      <c r="C256" s="1" t="n">
        <v>45886</v>
      </c>
      <c r="D256" t="inlineStr">
        <is>
          <t>VÄRMLANDS LÄN</t>
        </is>
      </c>
      <c r="E256" t="inlineStr">
        <is>
          <t>ÅRJÄNG</t>
        </is>
      </c>
      <c r="G256" t="n">
        <v>0.5</v>
      </c>
      <c r="H256" t="n">
        <v>0</v>
      </c>
      <c r="I256" t="n">
        <v>0</v>
      </c>
      <c r="J256" t="n">
        <v>0</v>
      </c>
      <c r="K256" t="n">
        <v>0</v>
      </c>
      <c r="L256" t="n">
        <v>0</v>
      </c>
      <c r="M256" t="n">
        <v>0</v>
      </c>
      <c r="N256" t="n">
        <v>0</v>
      </c>
      <c r="O256" t="n">
        <v>0</v>
      </c>
      <c r="P256" t="n">
        <v>0</v>
      </c>
      <c r="Q256" t="n">
        <v>0</v>
      </c>
      <c r="R256" s="2" t="inlineStr"/>
    </row>
    <row r="257" ht="15" customHeight="1">
      <c r="A257" t="inlineStr">
        <is>
          <t>A 55654-2022</t>
        </is>
      </c>
      <c r="B257" s="1" t="n">
        <v>44888</v>
      </c>
      <c r="C257" s="1" t="n">
        <v>45886</v>
      </c>
      <c r="D257" t="inlineStr">
        <is>
          <t>VÄRMLANDS LÄN</t>
        </is>
      </c>
      <c r="E257" t="inlineStr">
        <is>
          <t>ÅRJÄNG</t>
        </is>
      </c>
      <c r="G257" t="n">
        <v>0.6</v>
      </c>
      <c r="H257" t="n">
        <v>0</v>
      </c>
      <c r="I257" t="n">
        <v>0</v>
      </c>
      <c r="J257" t="n">
        <v>0</v>
      </c>
      <c r="K257" t="n">
        <v>0</v>
      </c>
      <c r="L257" t="n">
        <v>0</v>
      </c>
      <c r="M257" t="n">
        <v>0</v>
      </c>
      <c r="N257" t="n">
        <v>0</v>
      </c>
      <c r="O257" t="n">
        <v>0</v>
      </c>
      <c r="P257" t="n">
        <v>0</v>
      </c>
      <c r="Q257" t="n">
        <v>0</v>
      </c>
      <c r="R257" s="2" t="inlineStr"/>
    </row>
    <row r="258" ht="15" customHeight="1">
      <c r="A258" t="inlineStr">
        <is>
          <t>A 57748-2020</t>
        </is>
      </c>
      <c r="B258" s="1" t="n">
        <v>44140</v>
      </c>
      <c r="C258" s="1" t="n">
        <v>45886</v>
      </c>
      <c r="D258" t="inlineStr">
        <is>
          <t>VÄRMLANDS LÄN</t>
        </is>
      </c>
      <c r="E258" t="inlineStr">
        <is>
          <t>ÅRJÄNG</t>
        </is>
      </c>
      <c r="G258" t="n">
        <v>1.4</v>
      </c>
      <c r="H258" t="n">
        <v>0</v>
      </c>
      <c r="I258" t="n">
        <v>0</v>
      </c>
      <c r="J258" t="n">
        <v>0</v>
      </c>
      <c r="K258" t="n">
        <v>0</v>
      </c>
      <c r="L258" t="n">
        <v>0</v>
      </c>
      <c r="M258" t="n">
        <v>0</v>
      </c>
      <c r="N258" t="n">
        <v>0</v>
      </c>
      <c r="O258" t="n">
        <v>0</v>
      </c>
      <c r="P258" t="n">
        <v>0</v>
      </c>
      <c r="Q258" t="n">
        <v>0</v>
      </c>
      <c r="R258" s="2" t="inlineStr"/>
    </row>
    <row r="259" ht="15" customHeight="1">
      <c r="A259" t="inlineStr">
        <is>
          <t>A 10898-2022</t>
        </is>
      </c>
      <c r="B259" s="1" t="n">
        <v>44627</v>
      </c>
      <c r="C259" s="1" t="n">
        <v>45886</v>
      </c>
      <c r="D259" t="inlineStr">
        <is>
          <t>VÄRMLANDS LÄN</t>
        </is>
      </c>
      <c r="E259" t="inlineStr">
        <is>
          <t>ÅRJÄNG</t>
        </is>
      </c>
      <c r="G259" t="n">
        <v>10.2</v>
      </c>
      <c r="H259" t="n">
        <v>0</v>
      </c>
      <c r="I259" t="n">
        <v>0</v>
      </c>
      <c r="J259" t="n">
        <v>0</v>
      </c>
      <c r="K259" t="n">
        <v>0</v>
      </c>
      <c r="L259" t="n">
        <v>0</v>
      </c>
      <c r="M259" t="n">
        <v>0</v>
      </c>
      <c r="N259" t="n">
        <v>0</v>
      </c>
      <c r="O259" t="n">
        <v>0</v>
      </c>
      <c r="P259" t="n">
        <v>0</v>
      </c>
      <c r="Q259" t="n">
        <v>0</v>
      </c>
      <c r="R259" s="2" t="inlineStr"/>
    </row>
    <row r="260" ht="15" customHeight="1">
      <c r="A260" t="inlineStr">
        <is>
          <t>A 40572-2020</t>
        </is>
      </c>
      <c r="B260" s="1" t="n">
        <v>44069</v>
      </c>
      <c r="C260" s="1" t="n">
        <v>45886</v>
      </c>
      <c r="D260" t="inlineStr">
        <is>
          <t>VÄRMLANDS LÄN</t>
        </is>
      </c>
      <c r="E260" t="inlineStr">
        <is>
          <t>ÅRJÄNG</t>
        </is>
      </c>
      <c r="G260" t="n">
        <v>15.8</v>
      </c>
      <c r="H260" t="n">
        <v>0</v>
      </c>
      <c r="I260" t="n">
        <v>0</v>
      </c>
      <c r="J260" t="n">
        <v>0</v>
      </c>
      <c r="K260" t="n">
        <v>0</v>
      </c>
      <c r="L260" t="n">
        <v>0</v>
      </c>
      <c r="M260" t="n">
        <v>0</v>
      </c>
      <c r="N260" t="n">
        <v>0</v>
      </c>
      <c r="O260" t="n">
        <v>0</v>
      </c>
      <c r="P260" t="n">
        <v>0</v>
      </c>
      <c r="Q260" t="n">
        <v>0</v>
      </c>
      <c r="R260" s="2" t="inlineStr"/>
    </row>
    <row r="261" ht="15" customHeight="1">
      <c r="A261" t="inlineStr">
        <is>
          <t>A 52761-2022</t>
        </is>
      </c>
      <c r="B261" s="1" t="n">
        <v>44875.3165162037</v>
      </c>
      <c r="C261" s="1" t="n">
        <v>45886</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60011-2020</t>
        </is>
      </c>
      <c r="B262" s="1" t="n">
        <v>44151</v>
      </c>
      <c r="C262" s="1" t="n">
        <v>45886</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57761-2020</t>
        </is>
      </c>
      <c r="B263" s="1" t="n">
        <v>44140</v>
      </c>
      <c r="C263" s="1" t="n">
        <v>45886</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16400-2022</t>
        </is>
      </c>
      <c r="B264" s="1" t="n">
        <v>44671</v>
      </c>
      <c r="C264" s="1" t="n">
        <v>45886</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4400-2022</t>
        </is>
      </c>
      <c r="B265" s="1" t="n">
        <v>44588</v>
      </c>
      <c r="C265" s="1" t="n">
        <v>45886</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14507-2022</t>
        </is>
      </c>
      <c r="B266" s="1" t="n">
        <v>44655</v>
      </c>
      <c r="C266" s="1" t="n">
        <v>45886</v>
      </c>
      <c r="D266" t="inlineStr">
        <is>
          <t>VÄRMLANDS LÄN</t>
        </is>
      </c>
      <c r="E266" t="inlineStr">
        <is>
          <t>ÅRJÄNG</t>
        </is>
      </c>
      <c r="G266" t="n">
        <v>0.5</v>
      </c>
      <c r="H266" t="n">
        <v>0</v>
      </c>
      <c r="I266" t="n">
        <v>0</v>
      </c>
      <c r="J266" t="n">
        <v>0</v>
      </c>
      <c r="K266" t="n">
        <v>0</v>
      </c>
      <c r="L266" t="n">
        <v>0</v>
      </c>
      <c r="M266" t="n">
        <v>0</v>
      </c>
      <c r="N266" t="n">
        <v>0</v>
      </c>
      <c r="O266" t="n">
        <v>0</v>
      </c>
      <c r="P266" t="n">
        <v>0</v>
      </c>
      <c r="Q266" t="n">
        <v>0</v>
      </c>
      <c r="R266" s="2" t="inlineStr"/>
    </row>
    <row r="267" ht="15" customHeight="1">
      <c r="A267" t="inlineStr">
        <is>
          <t>A 10006-2022</t>
        </is>
      </c>
      <c r="B267" s="1" t="n">
        <v>44621</v>
      </c>
      <c r="C267" s="1" t="n">
        <v>45886</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63383-2020</t>
        </is>
      </c>
      <c r="B268" s="1" t="n">
        <v>44165.49491898148</v>
      </c>
      <c r="C268" s="1" t="n">
        <v>45886</v>
      </c>
      <c r="D268" t="inlineStr">
        <is>
          <t>VÄRMLANDS LÄN</t>
        </is>
      </c>
      <c r="E268" t="inlineStr">
        <is>
          <t>ÅRJÄNG</t>
        </is>
      </c>
      <c r="G268" t="n">
        <v>2.7</v>
      </c>
      <c r="H268" t="n">
        <v>0</v>
      </c>
      <c r="I268" t="n">
        <v>0</v>
      </c>
      <c r="J268" t="n">
        <v>0</v>
      </c>
      <c r="K268" t="n">
        <v>0</v>
      </c>
      <c r="L268" t="n">
        <v>0</v>
      </c>
      <c r="M268" t="n">
        <v>0</v>
      </c>
      <c r="N268" t="n">
        <v>0</v>
      </c>
      <c r="O268" t="n">
        <v>0</v>
      </c>
      <c r="P268" t="n">
        <v>0</v>
      </c>
      <c r="Q268" t="n">
        <v>0</v>
      </c>
      <c r="R268" s="2" t="inlineStr"/>
    </row>
    <row r="269" ht="15" customHeight="1">
      <c r="A269" t="inlineStr">
        <is>
          <t>A 65979-2021</t>
        </is>
      </c>
      <c r="B269" s="1" t="n">
        <v>44517.54078703704</v>
      </c>
      <c r="C269" s="1" t="n">
        <v>45886</v>
      </c>
      <c r="D269" t="inlineStr">
        <is>
          <t>VÄRMLANDS LÄN</t>
        </is>
      </c>
      <c r="E269" t="inlineStr">
        <is>
          <t>ÅRJÄNG</t>
        </is>
      </c>
      <c r="G269" t="n">
        <v>5.1</v>
      </c>
      <c r="H269" t="n">
        <v>0</v>
      </c>
      <c r="I269" t="n">
        <v>0</v>
      </c>
      <c r="J269" t="n">
        <v>0</v>
      </c>
      <c r="K269" t="n">
        <v>0</v>
      </c>
      <c r="L269" t="n">
        <v>0</v>
      </c>
      <c r="M269" t="n">
        <v>0</v>
      </c>
      <c r="N269" t="n">
        <v>0</v>
      </c>
      <c r="O269" t="n">
        <v>0</v>
      </c>
      <c r="P269" t="n">
        <v>0</v>
      </c>
      <c r="Q269" t="n">
        <v>0</v>
      </c>
      <c r="R269" s="2" t="inlineStr"/>
    </row>
    <row r="270" ht="15" customHeight="1">
      <c r="A270" t="inlineStr">
        <is>
          <t>A 35015-2021</t>
        </is>
      </c>
      <c r="B270" s="1" t="n">
        <v>44383.69291666667</v>
      </c>
      <c r="C270" s="1" t="n">
        <v>45886</v>
      </c>
      <c r="D270" t="inlineStr">
        <is>
          <t>VÄRMLANDS LÄN</t>
        </is>
      </c>
      <c r="E270" t="inlineStr">
        <is>
          <t>ÅRJÄNG</t>
        </is>
      </c>
      <c r="G270" t="n">
        <v>3.9</v>
      </c>
      <c r="H270" t="n">
        <v>0</v>
      </c>
      <c r="I270" t="n">
        <v>0</v>
      </c>
      <c r="J270" t="n">
        <v>0</v>
      </c>
      <c r="K270" t="n">
        <v>0</v>
      </c>
      <c r="L270" t="n">
        <v>0</v>
      </c>
      <c r="M270" t="n">
        <v>0</v>
      </c>
      <c r="N270" t="n">
        <v>0</v>
      </c>
      <c r="O270" t="n">
        <v>0</v>
      </c>
      <c r="P270" t="n">
        <v>0</v>
      </c>
      <c r="Q270" t="n">
        <v>0</v>
      </c>
      <c r="R270" s="2" t="inlineStr"/>
    </row>
    <row r="271" ht="15" customHeight="1">
      <c r="A271" t="inlineStr">
        <is>
          <t>A 28437-2021</t>
        </is>
      </c>
      <c r="B271" s="1" t="n">
        <v>44356.53327546296</v>
      </c>
      <c r="C271" s="1" t="n">
        <v>45886</v>
      </c>
      <c r="D271" t="inlineStr">
        <is>
          <t>VÄRMLANDS LÄN</t>
        </is>
      </c>
      <c r="E271" t="inlineStr">
        <is>
          <t>ÅRJÄNG</t>
        </is>
      </c>
      <c r="G271" t="n">
        <v>2.9</v>
      </c>
      <c r="H271" t="n">
        <v>0</v>
      </c>
      <c r="I271" t="n">
        <v>0</v>
      </c>
      <c r="J271" t="n">
        <v>0</v>
      </c>
      <c r="K271" t="n">
        <v>0</v>
      </c>
      <c r="L271" t="n">
        <v>0</v>
      </c>
      <c r="M271" t="n">
        <v>0</v>
      </c>
      <c r="N271" t="n">
        <v>0</v>
      </c>
      <c r="O271" t="n">
        <v>0</v>
      </c>
      <c r="P271" t="n">
        <v>0</v>
      </c>
      <c r="Q271" t="n">
        <v>0</v>
      </c>
      <c r="R271" s="2" t="inlineStr"/>
    </row>
    <row r="272" ht="15" customHeight="1">
      <c r="A272" t="inlineStr">
        <is>
          <t>A 12137-2021</t>
        </is>
      </c>
      <c r="B272" s="1" t="n">
        <v>44266</v>
      </c>
      <c r="C272" s="1" t="n">
        <v>45886</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15249-2021</t>
        </is>
      </c>
      <c r="B273" s="1" t="n">
        <v>44282</v>
      </c>
      <c r="C273" s="1" t="n">
        <v>45886</v>
      </c>
      <c r="D273" t="inlineStr">
        <is>
          <t>VÄRMLANDS LÄN</t>
        </is>
      </c>
      <c r="E273" t="inlineStr">
        <is>
          <t>ÅRJÄNG</t>
        </is>
      </c>
      <c r="F273" t="inlineStr">
        <is>
          <t>Övriga Aktiebolag</t>
        </is>
      </c>
      <c r="G273" t="n">
        <v>1.3</v>
      </c>
      <c r="H273" t="n">
        <v>0</v>
      </c>
      <c r="I273" t="n">
        <v>0</v>
      </c>
      <c r="J273" t="n">
        <v>0</v>
      </c>
      <c r="K273" t="n">
        <v>0</v>
      </c>
      <c r="L273" t="n">
        <v>0</v>
      </c>
      <c r="M273" t="n">
        <v>0</v>
      </c>
      <c r="N273" t="n">
        <v>0</v>
      </c>
      <c r="O273" t="n">
        <v>0</v>
      </c>
      <c r="P273" t="n">
        <v>0</v>
      </c>
      <c r="Q273" t="n">
        <v>0</v>
      </c>
      <c r="R273" s="2" t="inlineStr"/>
    </row>
    <row r="274" ht="15" customHeight="1">
      <c r="A274" t="inlineStr">
        <is>
          <t>A 5259-2021</t>
        </is>
      </c>
      <c r="B274" s="1" t="n">
        <v>44229</v>
      </c>
      <c r="C274" s="1" t="n">
        <v>45886</v>
      </c>
      <c r="D274" t="inlineStr">
        <is>
          <t>VÄRMLANDS LÄN</t>
        </is>
      </c>
      <c r="E274" t="inlineStr">
        <is>
          <t>ÅRJÄNG</t>
        </is>
      </c>
      <c r="G274" t="n">
        <v>5.5</v>
      </c>
      <c r="H274" t="n">
        <v>0</v>
      </c>
      <c r="I274" t="n">
        <v>0</v>
      </c>
      <c r="J274" t="n">
        <v>0</v>
      </c>
      <c r="K274" t="n">
        <v>0</v>
      </c>
      <c r="L274" t="n">
        <v>0</v>
      </c>
      <c r="M274" t="n">
        <v>0</v>
      </c>
      <c r="N274" t="n">
        <v>0</v>
      </c>
      <c r="O274" t="n">
        <v>0</v>
      </c>
      <c r="P274" t="n">
        <v>0</v>
      </c>
      <c r="Q274" t="n">
        <v>0</v>
      </c>
      <c r="R274" s="2" t="inlineStr"/>
    </row>
    <row r="275" ht="15" customHeight="1">
      <c r="A275" t="inlineStr">
        <is>
          <t>A 27871-2021</t>
        </is>
      </c>
      <c r="B275" s="1" t="n">
        <v>44354</v>
      </c>
      <c r="C275" s="1" t="n">
        <v>45886</v>
      </c>
      <c r="D275" t="inlineStr">
        <is>
          <t>VÄRMLANDS LÄN</t>
        </is>
      </c>
      <c r="E275" t="inlineStr">
        <is>
          <t>ÅRJÄNG</t>
        </is>
      </c>
      <c r="G275" t="n">
        <v>2.3</v>
      </c>
      <c r="H275" t="n">
        <v>0</v>
      </c>
      <c r="I275" t="n">
        <v>0</v>
      </c>
      <c r="J275" t="n">
        <v>0</v>
      </c>
      <c r="K275" t="n">
        <v>0</v>
      </c>
      <c r="L275" t="n">
        <v>0</v>
      </c>
      <c r="M275" t="n">
        <v>0</v>
      </c>
      <c r="N275" t="n">
        <v>0</v>
      </c>
      <c r="O275" t="n">
        <v>0</v>
      </c>
      <c r="P275" t="n">
        <v>0</v>
      </c>
      <c r="Q275" t="n">
        <v>0</v>
      </c>
      <c r="R275" s="2" t="inlineStr"/>
    </row>
    <row r="276" ht="15" customHeight="1">
      <c r="A276" t="inlineStr">
        <is>
          <t>A 66334-2020</t>
        </is>
      </c>
      <c r="B276" s="1" t="n">
        <v>44174</v>
      </c>
      <c r="C276" s="1" t="n">
        <v>45886</v>
      </c>
      <c r="D276" t="inlineStr">
        <is>
          <t>VÄRMLANDS LÄN</t>
        </is>
      </c>
      <c r="E276" t="inlineStr">
        <is>
          <t>ÅRJÄNG</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22158-2021</t>
        </is>
      </c>
      <c r="B277" s="1" t="n">
        <v>44325.57944444445</v>
      </c>
      <c r="C277" s="1" t="n">
        <v>45886</v>
      </c>
      <c r="D277" t="inlineStr">
        <is>
          <t>VÄRMLANDS LÄN</t>
        </is>
      </c>
      <c r="E277" t="inlineStr">
        <is>
          <t>ÅRJÄNG</t>
        </is>
      </c>
      <c r="G277" t="n">
        <v>5</v>
      </c>
      <c r="H277" t="n">
        <v>0</v>
      </c>
      <c r="I277" t="n">
        <v>0</v>
      </c>
      <c r="J277" t="n">
        <v>0</v>
      </c>
      <c r="K277" t="n">
        <v>0</v>
      </c>
      <c r="L277" t="n">
        <v>0</v>
      </c>
      <c r="M277" t="n">
        <v>0</v>
      </c>
      <c r="N277" t="n">
        <v>0</v>
      </c>
      <c r="O277" t="n">
        <v>0</v>
      </c>
      <c r="P277" t="n">
        <v>0</v>
      </c>
      <c r="Q277" t="n">
        <v>0</v>
      </c>
      <c r="R277" s="2" t="inlineStr"/>
    </row>
    <row r="278" ht="15" customHeight="1">
      <c r="A278" t="inlineStr">
        <is>
          <t>A 14094-2021</t>
        </is>
      </c>
      <c r="B278" s="1" t="n">
        <v>44278.29547453704</v>
      </c>
      <c r="C278" s="1" t="n">
        <v>45886</v>
      </c>
      <c r="D278" t="inlineStr">
        <is>
          <t>VÄRMLANDS LÄN</t>
        </is>
      </c>
      <c r="E278" t="inlineStr">
        <is>
          <t>ÅRJÄNG</t>
        </is>
      </c>
      <c r="G278" t="n">
        <v>2</v>
      </c>
      <c r="H278" t="n">
        <v>0</v>
      </c>
      <c r="I278" t="n">
        <v>0</v>
      </c>
      <c r="J278" t="n">
        <v>0</v>
      </c>
      <c r="K278" t="n">
        <v>0</v>
      </c>
      <c r="L278" t="n">
        <v>0</v>
      </c>
      <c r="M278" t="n">
        <v>0</v>
      </c>
      <c r="N278" t="n">
        <v>0</v>
      </c>
      <c r="O278" t="n">
        <v>0</v>
      </c>
      <c r="P278" t="n">
        <v>0</v>
      </c>
      <c r="Q278" t="n">
        <v>0</v>
      </c>
      <c r="R278" s="2" t="inlineStr"/>
    </row>
    <row r="279" ht="15" customHeight="1">
      <c r="A279" t="inlineStr">
        <is>
          <t>A 30817-2021</t>
        </is>
      </c>
      <c r="B279" s="1" t="n">
        <v>44365</v>
      </c>
      <c r="C279" s="1" t="n">
        <v>45886</v>
      </c>
      <c r="D279" t="inlineStr">
        <is>
          <t>VÄRMLANDS LÄN</t>
        </is>
      </c>
      <c r="E279" t="inlineStr">
        <is>
          <t>ÅRJÄNG</t>
        </is>
      </c>
      <c r="G279" t="n">
        <v>5.6</v>
      </c>
      <c r="H279" t="n">
        <v>0</v>
      </c>
      <c r="I279" t="n">
        <v>0</v>
      </c>
      <c r="J279" t="n">
        <v>0</v>
      </c>
      <c r="K279" t="n">
        <v>0</v>
      </c>
      <c r="L279" t="n">
        <v>0</v>
      </c>
      <c r="M279" t="n">
        <v>0</v>
      </c>
      <c r="N279" t="n">
        <v>0</v>
      </c>
      <c r="O279" t="n">
        <v>0</v>
      </c>
      <c r="P279" t="n">
        <v>0</v>
      </c>
      <c r="Q279" t="n">
        <v>0</v>
      </c>
      <c r="R279" s="2" t="inlineStr"/>
    </row>
    <row r="280" ht="15" customHeight="1">
      <c r="A280" t="inlineStr">
        <is>
          <t>A 332-2021</t>
        </is>
      </c>
      <c r="B280" s="1" t="n">
        <v>44201</v>
      </c>
      <c r="C280" s="1" t="n">
        <v>45886</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63393-2020</t>
        </is>
      </c>
      <c r="B281" s="1" t="n">
        <v>44165.51438657408</v>
      </c>
      <c r="C281" s="1" t="n">
        <v>45886</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5713-2021</t>
        </is>
      </c>
      <c r="B282" s="1" t="n">
        <v>44230</v>
      </c>
      <c r="C282" s="1" t="n">
        <v>45886</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23451-2021</t>
        </is>
      </c>
      <c r="B283" s="1" t="n">
        <v>44333.89180555556</v>
      </c>
      <c r="C283" s="1" t="n">
        <v>45886</v>
      </c>
      <c r="D283" t="inlineStr">
        <is>
          <t>VÄRMLANDS LÄN</t>
        </is>
      </c>
      <c r="E283" t="inlineStr">
        <is>
          <t>ÅRJÄNG</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53739-2021</t>
        </is>
      </c>
      <c r="B284" s="1" t="n">
        <v>44469</v>
      </c>
      <c r="C284" s="1" t="n">
        <v>45886</v>
      </c>
      <c r="D284" t="inlineStr">
        <is>
          <t>VÄRMLANDS LÄN</t>
        </is>
      </c>
      <c r="E284" t="inlineStr">
        <is>
          <t>ÅRJÄNG</t>
        </is>
      </c>
      <c r="G284" t="n">
        <v>15.9</v>
      </c>
      <c r="H284" t="n">
        <v>0</v>
      </c>
      <c r="I284" t="n">
        <v>0</v>
      </c>
      <c r="J284" t="n">
        <v>0</v>
      </c>
      <c r="K284" t="n">
        <v>0</v>
      </c>
      <c r="L284" t="n">
        <v>0</v>
      </c>
      <c r="M284" t="n">
        <v>0</v>
      </c>
      <c r="N284" t="n">
        <v>0</v>
      </c>
      <c r="O284" t="n">
        <v>0</v>
      </c>
      <c r="P284" t="n">
        <v>0</v>
      </c>
      <c r="Q284" t="n">
        <v>0</v>
      </c>
      <c r="R284" s="2" t="inlineStr"/>
    </row>
    <row r="285" ht="15" customHeight="1">
      <c r="A285" t="inlineStr">
        <is>
          <t>A 47035-2021</t>
        </is>
      </c>
      <c r="B285" s="1" t="n">
        <v>44446</v>
      </c>
      <c r="C285" s="1" t="n">
        <v>45886</v>
      </c>
      <c r="D285" t="inlineStr">
        <is>
          <t>VÄRMLANDS LÄN</t>
        </is>
      </c>
      <c r="E285" t="inlineStr">
        <is>
          <t>ÅRJÄNG</t>
        </is>
      </c>
      <c r="G285" t="n">
        <v>2.6</v>
      </c>
      <c r="H285" t="n">
        <v>0</v>
      </c>
      <c r="I285" t="n">
        <v>0</v>
      </c>
      <c r="J285" t="n">
        <v>0</v>
      </c>
      <c r="K285" t="n">
        <v>0</v>
      </c>
      <c r="L285" t="n">
        <v>0</v>
      </c>
      <c r="M285" t="n">
        <v>0</v>
      </c>
      <c r="N285" t="n">
        <v>0</v>
      </c>
      <c r="O285" t="n">
        <v>0</v>
      </c>
      <c r="P285" t="n">
        <v>0</v>
      </c>
      <c r="Q285" t="n">
        <v>0</v>
      </c>
      <c r="R285" s="2" t="inlineStr"/>
    </row>
    <row r="286" ht="15" customHeight="1">
      <c r="A286" t="inlineStr">
        <is>
          <t>A 21701-2021</t>
        </is>
      </c>
      <c r="B286" s="1" t="n">
        <v>44322</v>
      </c>
      <c r="C286" s="1" t="n">
        <v>45886</v>
      </c>
      <c r="D286" t="inlineStr">
        <is>
          <t>VÄRMLANDS LÄN</t>
        </is>
      </c>
      <c r="E286" t="inlineStr">
        <is>
          <t>ÅRJÄNG</t>
        </is>
      </c>
      <c r="G286" t="n">
        <v>2.4</v>
      </c>
      <c r="H286" t="n">
        <v>0</v>
      </c>
      <c r="I286" t="n">
        <v>0</v>
      </c>
      <c r="J286" t="n">
        <v>0</v>
      </c>
      <c r="K286" t="n">
        <v>0</v>
      </c>
      <c r="L286" t="n">
        <v>0</v>
      </c>
      <c r="M286" t="n">
        <v>0</v>
      </c>
      <c r="N286" t="n">
        <v>0</v>
      </c>
      <c r="O286" t="n">
        <v>0</v>
      </c>
      <c r="P286" t="n">
        <v>0</v>
      </c>
      <c r="Q286" t="n">
        <v>0</v>
      </c>
      <c r="R286" s="2" t="inlineStr"/>
    </row>
    <row r="287" ht="15" customHeight="1">
      <c r="A287" t="inlineStr">
        <is>
          <t>A 33025-2021</t>
        </is>
      </c>
      <c r="B287" s="1" t="n">
        <v>44376</v>
      </c>
      <c r="C287" s="1" t="n">
        <v>45886</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28925-2022</t>
        </is>
      </c>
      <c r="B288" s="1" t="n">
        <v>44749.57684027778</v>
      </c>
      <c r="C288" s="1" t="n">
        <v>45886</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8438-2022</t>
        </is>
      </c>
      <c r="B289" s="1" t="n">
        <v>44612</v>
      </c>
      <c r="C289" s="1" t="n">
        <v>45886</v>
      </c>
      <c r="D289" t="inlineStr">
        <is>
          <t>VÄRMLANDS LÄN</t>
        </is>
      </c>
      <c r="E289" t="inlineStr">
        <is>
          <t>ÅRJÄNG</t>
        </is>
      </c>
      <c r="G289" t="n">
        <v>3.4</v>
      </c>
      <c r="H289" t="n">
        <v>0</v>
      </c>
      <c r="I289" t="n">
        <v>0</v>
      </c>
      <c r="J289" t="n">
        <v>0</v>
      </c>
      <c r="K289" t="n">
        <v>0</v>
      </c>
      <c r="L289" t="n">
        <v>0</v>
      </c>
      <c r="M289" t="n">
        <v>0</v>
      </c>
      <c r="N289" t="n">
        <v>0</v>
      </c>
      <c r="O289" t="n">
        <v>0</v>
      </c>
      <c r="P289" t="n">
        <v>0</v>
      </c>
      <c r="Q289" t="n">
        <v>0</v>
      </c>
      <c r="R289" s="2" t="inlineStr"/>
    </row>
    <row r="290" ht="15" customHeight="1">
      <c r="A290" t="inlineStr">
        <is>
          <t>A 10899-2022</t>
        </is>
      </c>
      <c r="B290" s="1" t="n">
        <v>44627</v>
      </c>
      <c r="C290" s="1" t="n">
        <v>45886</v>
      </c>
      <c r="D290" t="inlineStr">
        <is>
          <t>VÄRMLANDS LÄN</t>
        </is>
      </c>
      <c r="E290" t="inlineStr">
        <is>
          <t>ÅRJÄNG</t>
        </is>
      </c>
      <c r="G290" t="n">
        <v>2.9</v>
      </c>
      <c r="H290" t="n">
        <v>0</v>
      </c>
      <c r="I290" t="n">
        <v>0</v>
      </c>
      <c r="J290" t="n">
        <v>0</v>
      </c>
      <c r="K290" t="n">
        <v>0</v>
      </c>
      <c r="L290" t="n">
        <v>0</v>
      </c>
      <c r="M290" t="n">
        <v>0</v>
      </c>
      <c r="N290" t="n">
        <v>0</v>
      </c>
      <c r="O290" t="n">
        <v>0</v>
      </c>
      <c r="P290" t="n">
        <v>0</v>
      </c>
      <c r="Q290" t="n">
        <v>0</v>
      </c>
      <c r="R290" s="2" t="inlineStr"/>
    </row>
    <row r="291" ht="15" customHeight="1">
      <c r="A291" t="inlineStr">
        <is>
          <t>A 50044-2022</t>
        </is>
      </c>
      <c r="B291" s="1" t="n">
        <v>44865</v>
      </c>
      <c r="C291" s="1" t="n">
        <v>45886</v>
      </c>
      <c r="D291" t="inlineStr">
        <is>
          <t>VÄRMLANDS LÄN</t>
        </is>
      </c>
      <c r="E291" t="inlineStr">
        <is>
          <t>ÅRJÄNG</t>
        </is>
      </c>
      <c r="F291" t="inlineStr">
        <is>
          <t>Bergvik skog väst AB</t>
        </is>
      </c>
      <c r="G291" t="n">
        <v>2.2</v>
      </c>
      <c r="H291" t="n">
        <v>0</v>
      </c>
      <c r="I291" t="n">
        <v>0</v>
      </c>
      <c r="J291" t="n">
        <v>0</v>
      </c>
      <c r="K291" t="n">
        <v>0</v>
      </c>
      <c r="L291" t="n">
        <v>0</v>
      </c>
      <c r="M291" t="n">
        <v>0</v>
      </c>
      <c r="N291" t="n">
        <v>0</v>
      </c>
      <c r="O291" t="n">
        <v>0</v>
      </c>
      <c r="P291" t="n">
        <v>0</v>
      </c>
      <c r="Q291" t="n">
        <v>0</v>
      </c>
      <c r="R291" s="2" t="inlineStr"/>
    </row>
    <row r="292" ht="15" customHeight="1">
      <c r="A292" t="inlineStr">
        <is>
          <t>A 7235-2022</t>
        </is>
      </c>
      <c r="B292" s="1" t="n">
        <v>44606</v>
      </c>
      <c r="C292" s="1" t="n">
        <v>45886</v>
      </c>
      <c r="D292" t="inlineStr">
        <is>
          <t>VÄRMLANDS LÄN</t>
        </is>
      </c>
      <c r="E292" t="inlineStr">
        <is>
          <t>ÅRJÄNG</t>
        </is>
      </c>
      <c r="G292" t="n">
        <v>1.8</v>
      </c>
      <c r="H292" t="n">
        <v>0</v>
      </c>
      <c r="I292" t="n">
        <v>0</v>
      </c>
      <c r="J292" t="n">
        <v>0</v>
      </c>
      <c r="K292" t="n">
        <v>0</v>
      </c>
      <c r="L292" t="n">
        <v>0</v>
      </c>
      <c r="M292" t="n">
        <v>0</v>
      </c>
      <c r="N292" t="n">
        <v>0</v>
      </c>
      <c r="O292" t="n">
        <v>0</v>
      </c>
      <c r="P292" t="n">
        <v>0</v>
      </c>
      <c r="Q292" t="n">
        <v>0</v>
      </c>
      <c r="R292" s="2" t="inlineStr"/>
    </row>
    <row r="293" ht="15" customHeight="1">
      <c r="A293" t="inlineStr">
        <is>
          <t>A 72609-2021</t>
        </is>
      </c>
      <c r="B293" s="1" t="n">
        <v>44546.50645833334</v>
      </c>
      <c r="C293" s="1" t="n">
        <v>45886</v>
      </c>
      <c r="D293" t="inlineStr">
        <is>
          <t>VÄRMLANDS LÄN</t>
        </is>
      </c>
      <c r="E293" t="inlineStr">
        <is>
          <t>ÅRJÄNG</t>
        </is>
      </c>
      <c r="F293" t="inlineStr">
        <is>
          <t>Kyrkan</t>
        </is>
      </c>
      <c r="G293" t="n">
        <v>1.8</v>
      </c>
      <c r="H293" t="n">
        <v>0</v>
      </c>
      <c r="I293" t="n">
        <v>0</v>
      </c>
      <c r="J293" t="n">
        <v>0</v>
      </c>
      <c r="K293" t="n">
        <v>0</v>
      </c>
      <c r="L293" t="n">
        <v>0</v>
      </c>
      <c r="M293" t="n">
        <v>0</v>
      </c>
      <c r="N293" t="n">
        <v>0</v>
      </c>
      <c r="O293" t="n">
        <v>0</v>
      </c>
      <c r="P293" t="n">
        <v>0</v>
      </c>
      <c r="Q293" t="n">
        <v>0</v>
      </c>
      <c r="R293" s="2" t="inlineStr"/>
    </row>
    <row r="294" ht="15" customHeight="1">
      <c r="A294" t="inlineStr">
        <is>
          <t>A 36948-2021</t>
        </is>
      </c>
      <c r="B294" s="1" t="n">
        <v>44393.53646990741</v>
      </c>
      <c r="C294" s="1" t="n">
        <v>45886</v>
      </c>
      <c r="D294" t="inlineStr">
        <is>
          <t>VÄRMLANDS LÄN</t>
        </is>
      </c>
      <c r="E294" t="inlineStr">
        <is>
          <t>ÅRJÄNG</t>
        </is>
      </c>
      <c r="G294" t="n">
        <v>4.4</v>
      </c>
      <c r="H294" t="n">
        <v>0</v>
      </c>
      <c r="I294" t="n">
        <v>0</v>
      </c>
      <c r="J294" t="n">
        <v>0</v>
      </c>
      <c r="K294" t="n">
        <v>0</v>
      </c>
      <c r="L294" t="n">
        <v>0</v>
      </c>
      <c r="M294" t="n">
        <v>0</v>
      </c>
      <c r="N294" t="n">
        <v>0</v>
      </c>
      <c r="O294" t="n">
        <v>0</v>
      </c>
      <c r="P294" t="n">
        <v>0</v>
      </c>
      <c r="Q294" t="n">
        <v>0</v>
      </c>
      <c r="R294" s="2" t="inlineStr"/>
    </row>
    <row r="295" ht="15" customHeight="1">
      <c r="A295" t="inlineStr">
        <is>
          <t>A 47013-2021</t>
        </is>
      </c>
      <c r="B295" s="1" t="n">
        <v>44446</v>
      </c>
      <c r="C295" s="1" t="n">
        <v>45886</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2143-2022</t>
        </is>
      </c>
      <c r="B296" s="1" t="n">
        <v>44571</v>
      </c>
      <c r="C296" s="1" t="n">
        <v>45886</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21939-2022</t>
        </is>
      </c>
      <c r="B297" s="1" t="n">
        <v>44711</v>
      </c>
      <c r="C297" s="1" t="n">
        <v>45886</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19244-2021</t>
        </is>
      </c>
      <c r="B298" s="1" t="n">
        <v>44309</v>
      </c>
      <c r="C298" s="1" t="n">
        <v>45886</v>
      </c>
      <c r="D298" t="inlineStr">
        <is>
          <t>VÄRMLANDS LÄN</t>
        </is>
      </c>
      <c r="E298" t="inlineStr">
        <is>
          <t>ÅRJÄNG</t>
        </is>
      </c>
      <c r="G298" t="n">
        <v>2</v>
      </c>
      <c r="H298" t="n">
        <v>0</v>
      </c>
      <c r="I298" t="n">
        <v>0</v>
      </c>
      <c r="J298" t="n">
        <v>0</v>
      </c>
      <c r="K298" t="n">
        <v>0</v>
      </c>
      <c r="L298" t="n">
        <v>0</v>
      </c>
      <c r="M298" t="n">
        <v>0</v>
      </c>
      <c r="N298" t="n">
        <v>0</v>
      </c>
      <c r="O298" t="n">
        <v>0</v>
      </c>
      <c r="P298" t="n">
        <v>0</v>
      </c>
      <c r="Q298" t="n">
        <v>0</v>
      </c>
      <c r="R298" s="2" t="inlineStr"/>
    </row>
    <row r="299" ht="15" customHeight="1">
      <c r="A299" t="inlineStr">
        <is>
          <t>A 17135-2022</t>
        </is>
      </c>
      <c r="B299" s="1" t="n">
        <v>44677</v>
      </c>
      <c r="C299" s="1" t="n">
        <v>45886</v>
      </c>
      <c r="D299" t="inlineStr">
        <is>
          <t>VÄRMLANDS LÄN</t>
        </is>
      </c>
      <c r="E299" t="inlineStr">
        <is>
          <t>ÅRJÄNG</t>
        </is>
      </c>
      <c r="G299" t="n">
        <v>9</v>
      </c>
      <c r="H299" t="n">
        <v>0</v>
      </c>
      <c r="I299" t="n">
        <v>0</v>
      </c>
      <c r="J299" t="n">
        <v>0</v>
      </c>
      <c r="K299" t="n">
        <v>0</v>
      </c>
      <c r="L299" t="n">
        <v>0</v>
      </c>
      <c r="M299" t="n">
        <v>0</v>
      </c>
      <c r="N299" t="n">
        <v>0</v>
      </c>
      <c r="O299" t="n">
        <v>0</v>
      </c>
      <c r="P299" t="n">
        <v>0</v>
      </c>
      <c r="Q299" t="n">
        <v>0</v>
      </c>
      <c r="R299" s="2" t="inlineStr"/>
    </row>
    <row r="300" ht="15" customHeight="1">
      <c r="A300" t="inlineStr">
        <is>
          <t>A 3980-2021</t>
        </is>
      </c>
      <c r="B300" s="1" t="n">
        <v>44217</v>
      </c>
      <c r="C300" s="1" t="n">
        <v>45886</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56778-2024</t>
        </is>
      </c>
      <c r="B301" s="1" t="n">
        <v>45628</v>
      </c>
      <c r="C301" s="1" t="n">
        <v>45886</v>
      </c>
      <c r="D301" t="inlineStr">
        <is>
          <t>VÄRMLANDS LÄN</t>
        </is>
      </c>
      <c r="E301" t="inlineStr">
        <is>
          <t>ÅRJÄNG</t>
        </is>
      </c>
      <c r="G301" t="n">
        <v>1</v>
      </c>
      <c r="H301" t="n">
        <v>0</v>
      </c>
      <c r="I301" t="n">
        <v>0</v>
      </c>
      <c r="J301" t="n">
        <v>0</v>
      </c>
      <c r="K301" t="n">
        <v>0</v>
      </c>
      <c r="L301" t="n">
        <v>0</v>
      </c>
      <c r="M301" t="n">
        <v>0</v>
      </c>
      <c r="N301" t="n">
        <v>0</v>
      </c>
      <c r="O301" t="n">
        <v>0</v>
      </c>
      <c r="P301" t="n">
        <v>0</v>
      </c>
      <c r="Q301" t="n">
        <v>0</v>
      </c>
      <c r="R301" s="2" t="inlineStr"/>
    </row>
    <row r="302" ht="15" customHeight="1">
      <c r="A302" t="inlineStr">
        <is>
          <t>A 29098-2022</t>
        </is>
      </c>
      <c r="B302" s="1" t="n">
        <v>44750</v>
      </c>
      <c r="C302" s="1" t="n">
        <v>45886</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48594-2020</t>
        </is>
      </c>
      <c r="B303" s="1" t="n">
        <v>44103</v>
      </c>
      <c r="C303" s="1" t="n">
        <v>45886</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47394-2020</t>
        </is>
      </c>
      <c r="B304" s="1" t="n">
        <v>44097</v>
      </c>
      <c r="C304" s="1" t="n">
        <v>45886</v>
      </c>
      <c r="D304" t="inlineStr">
        <is>
          <t>VÄRMLANDS LÄN</t>
        </is>
      </c>
      <c r="E304" t="inlineStr">
        <is>
          <t>ÅRJÄNG</t>
        </is>
      </c>
      <c r="G304" t="n">
        <v>1.6</v>
      </c>
      <c r="H304" t="n">
        <v>0</v>
      </c>
      <c r="I304" t="n">
        <v>0</v>
      </c>
      <c r="J304" t="n">
        <v>0</v>
      </c>
      <c r="K304" t="n">
        <v>0</v>
      </c>
      <c r="L304" t="n">
        <v>0</v>
      </c>
      <c r="M304" t="n">
        <v>0</v>
      </c>
      <c r="N304" t="n">
        <v>0</v>
      </c>
      <c r="O304" t="n">
        <v>0</v>
      </c>
      <c r="P304" t="n">
        <v>0</v>
      </c>
      <c r="Q304" t="n">
        <v>0</v>
      </c>
      <c r="R304" s="2" t="inlineStr"/>
    </row>
    <row r="305" ht="15" customHeight="1">
      <c r="A305" t="inlineStr">
        <is>
          <t>A 29174-2022</t>
        </is>
      </c>
      <c r="B305" s="1" t="n">
        <v>44750</v>
      </c>
      <c r="C305" s="1" t="n">
        <v>45886</v>
      </c>
      <c r="D305" t="inlineStr">
        <is>
          <t>VÄRMLANDS LÄN</t>
        </is>
      </c>
      <c r="E305" t="inlineStr">
        <is>
          <t>ÅRJÄNG</t>
        </is>
      </c>
      <c r="G305" t="n">
        <v>0.1</v>
      </c>
      <c r="H305" t="n">
        <v>0</v>
      </c>
      <c r="I305" t="n">
        <v>0</v>
      </c>
      <c r="J305" t="n">
        <v>0</v>
      </c>
      <c r="K305" t="n">
        <v>0</v>
      </c>
      <c r="L305" t="n">
        <v>0</v>
      </c>
      <c r="M305" t="n">
        <v>0</v>
      </c>
      <c r="N305" t="n">
        <v>0</v>
      </c>
      <c r="O305" t="n">
        <v>0</v>
      </c>
      <c r="P305" t="n">
        <v>0</v>
      </c>
      <c r="Q305" t="n">
        <v>0</v>
      </c>
      <c r="R305" s="2" t="inlineStr"/>
    </row>
    <row r="306" ht="15" customHeight="1">
      <c r="A306" t="inlineStr">
        <is>
          <t>A 13152-2022</t>
        </is>
      </c>
      <c r="B306" s="1" t="n">
        <v>44643</v>
      </c>
      <c r="C306" s="1" t="n">
        <v>45886</v>
      </c>
      <c r="D306" t="inlineStr">
        <is>
          <t>VÄRMLANDS LÄN</t>
        </is>
      </c>
      <c r="E306" t="inlineStr">
        <is>
          <t>ÅRJÄNG</t>
        </is>
      </c>
      <c r="G306" t="n">
        <v>4</v>
      </c>
      <c r="H306" t="n">
        <v>0</v>
      </c>
      <c r="I306" t="n">
        <v>0</v>
      </c>
      <c r="J306" t="n">
        <v>0</v>
      </c>
      <c r="K306" t="n">
        <v>0</v>
      </c>
      <c r="L306" t="n">
        <v>0</v>
      </c>
      <c r="M306" t="n">
        <v>0</v>
      </c>
      <c r="N306" t="n">
        <v>0</v>
      </c>
      <c r="O306" t="n">
        <v>0</v>
      </c>
      <c r="P306" t="n">
        <v>0</v>
      </c>
      <c r="Q306" t="n">
        <v>0</v>
      </c>
      <c r="R306" s="2" t="inlineStr"/>
    </row>
    <row r="307" ht="15" customHeight="1">
      <c r="A307" t="inlineStr">
        <is>
          <t>A 4668-2025</t>
        </is>
      </c>
      <c r="B307" s="1" t="n">
        <v>45687.76229166667</v>
      </c>
      <c r="C307" s="1" t="n">
        <v>45886</v>
      </c>
      <c r="D307" t="inlineStr">
        <is>
          <t>VÄRMLANDS LÄN</t>
        </is>
      </c>
      <c r="E307" t="inlineStr">
        <is>
          <t>ÅRJÄNG</t>
        </is>
      </c>
      <c r="G307" t="n">
        <v>8.5</v>
      </c>
      <c r="H307" t="n">
        <v>0</v>
      </c>
      <c r="I307" t="n">
        <v>0</v>
      </c>
      <c r="J307" t="n">
        <v>0</v>
      </c>
      <c r="K307" t="n">
        <v>0</v>
      </c>
      <c r="L307" t="n">
        <v>0</v>
      </c>
      <c r="M307" t="n">
        <v>0</v>
      </c>
      <c r="N307" t="n">
        <v>0</v>
      </c>
      <c r="O307" t="n">
        <v>0</v>
      </c>
      <c r="P307" t="n">
        <v>0</v>
      </c>
      <c r="Q307" t="n">
        <v>0</v>
      </c>
      <c r="R307" s="2" t="inlineStr"/>
    </row>
    <row r="308" ht="15" customHeight="1">
      <c r="A308" t="inlineStr">
        <is>
          <t>A 54947-2024</t>
        </is>
      </c>
      <c r="B308" s="1" t="n">
        <v>45619.38354166667</v>
      </c>
      <c r="C308" s="1" t="n">
        <v>45886</v>
      </c>
      <c r="D308" t="inlineStr">
        <is>
          <t>VÄRMLANDS LÄN</t>
        </is>
      </c>
      <c r="E308" t="inlineStr">
        <is>
          <t>ÅRJÄNG</t>
        </is>
      </c>
      <c r="G308" t="n">
        <v>2.9</v>
      </c>
      <c r="H308" t="n">
        <v>0</v>
      </c>
      <c r="I308" t="n">
        <v>0</v>
      </c>
      <c r="J308" t="n">
        <v>0</v>
      </c>
      <c r="K308" t="n">
        <v>0</v>
      </c>
      <c r="L308" t="n">
        <v>0</v>
      </c>
      <c r="M308" t="n">
        <v>0</v>
      </c>
      <c r="N308" t="n">
        <v>0</v>
      </c>
      <c r="O308" t="n">
        <v>0</v>
      </c>
      <c r="P308" t="n">
        <v>0</v>
      </c>
      <c r="Q308" t="n">
        <v>0</v>
      </c>
      <c r="R308" s="2" t="inlineStr"/>
    </row>
    <row r="309" ht="15" customHeight="1">
      <c r="A309" t="inlineStr">
        <is>
          <t>A 54961-2024</t>
        </is>
      </c>
      <c r="B309" s="1" t="n">
        <v>45619.9753125</v>
      </c>
      <c r="C309" s="1" t="n">
        <v>45886</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3968-2025</t>
        </is>
      </c>
      <c r="B310" s="1" t="n">
        <v>45684.51925925926</v>
      </c>
      <c r="C310" s="1" t="n">
        <v>45886</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52773-2022</t>
        </is>
      </c>
      <c r="B311" s="1" t="n">
        <v>44875.35628472222</v>
      </c>
      <c r="C311" s="1" t="n">
        <v>45886</v>
      </c>
      <c r="D311" t="inlineStr">
        <is>
          <t>VÄRMLANDS LÄN</t>
        </is>
      </c>
      <c r="E311" t="inlineStr">
        <is>
          <t>ÅRJÄNG</t>
        </is>
      </c>
      <c r="G311" t="n">
        <v>4.1</v>
      </c>
      <c r="H311" t="n">
        <v>0</v>
      </c>
      <c r="I311" t="n">
        <v>0</v>
      </c>
      <c r="J311" t="n">
        <v>0</v>
      </c>
      <c r="K311" t="n">
        <v>0</v>
      </c>
      <c r="L311" t="n">
        <v>0</v>
      </c>
      <c r="M311" t="n">
        <v>0</v>
      </c>
      <c r="N311" t="n">
        <v>0</v>
      </c>
      <c r="O311" t="n">
        <v>0</v>
      </c>
      <c r="P311" t="n">
        <v>0</v>
      </c>
      <c r="Q311" t="n">
        <v>0</v>
      </c>
      <c r="R311" s="2" t="inlineStr"/>
    </row>
    <row r="312" ht="15" customHeight="1">
      <c r="A312" t="inlineStr">
        <is>
          <t>A 40872-2022</t>
        </is>
      </c>
      <c r="B312" s="1" t="n">
        <v>44825.33496527778</v>
      </c>
      <c r="C312" s="1" t="n">
        <v>45886</v>
      </c>
      <c r="D312" t="inlineStr">
        <is>
          <t>VÄRMLANDS LÄN</t>
        </is>
      </c>
      <c r="E312" t="inlineStr">
        <is>
          <t>ÅRJÄNG</t>
        </is>
      </c>
      <c r="G312" t="n">
        <v>0.5</v>
      </c>
      <c r="H312" t="n">
        <v>0</v>
      </c>
      <c r="I312" t="n">
        <v>0</v>
      </c>
      <c r="J312" t="n">
        <v>0</v>
      </c>
      <c r="K312" t="n">
        <v>0</v>
      </c>
      <c r="L312" t="n">
        <v>0</v>
      </c>
      <c r="M312" t="n">
        <v>0</v>
      </c>
      <c r="N312" t="n">
        <v>0</v>
      </c>
      <c r="O312" t="n">
        <v>0</v>
      </c>
      <c r="P312" t="n">
        <v>0</v>
      </c>
      <c r="Q312" t="n">
        <v>0</v>
      </c>
      <c r="R312" s="2" t="inlineStr"/>
    </row>
    <row r="313" ht="15" customHeight="1">
      <c r="A313" t="inlineStr">
        <is>
          <t>A 30459-2022</t>
        </is>
      </c>
      <c r="B313" s="1" t="n">
        <v>44761</v>
      </c>
      <c r="C313" s="1" t="n">
        <v>45886</v>
      </c>
      <c r="D313" t="inlineStr">
        <is>
          <t>VÄRMLANDS LÄN</t>
        </is>
      </c>
      <c r="E313" t="inlineStr">
        <is>
          <t>ÅRJÄNG</t>
        </is>
      </c>
      <c r="G313" t="n">
        <v>1.1</v>
      </c>
      <c r="H313" t="n">
        <v>0</v>
      </c>
      <c r="I313" t="n">
        <v>0</v>
      </c>
      <c r="J313" t="n">
        <v>0</v>
      </c>
      <c r="K313" t="n">
        <v>0</v>
      </c>
      <c r="L313" t="n">
        <v>0</v>
      </c>
      <c r="M313" t="n">
        <v>0</v>
      </c>
      <c r="N313" t="n">
        <v>0</v>
      </c>
      <c r="O313" t="n">
        <v>0</v>
      </c>
      <c r="P313" t="n">
        <v>0</v>
      </c>
      <c r="Q313" t="n">
        <v>0</v>
      </c>
      <c r="R313" s="2" t="inlineStr"/>
    </row>
    <row r="314" ht="15" customHeight="1">
      <c r="A314" t="inlineStr">
        <is>
          <t>A 40490-2022</t>
        </is>
      </c>
      <c r="B314" s="1" t="n">
        <v>44823.58560185185</v>
      </c>
      <c r="C314" s="1" t="n">
        <v>45886</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6562-2023</t>
        </is>
      </c>
      <c r="B315" s="1" t="n">
        <v>44966</v>
      </c>
      <c r="C315" s="1" t="n">
        <v>45886</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59453-2021</t>
        </is>
      </c>
      <c r="B316" s="1" t="n">
        <v>44491</v>
      </c>
      <c r="C316" s="1" t="n">
        <v>45886</v>
      </c>
      <c r="D316" t="inlineStr">
        <is>
          <t>VÄRMLANDS LÄN</t>
        </is>
      </c>
      <c r="E316" t="inlineStr">
        <is>
          <t>ÅRJÄNG</t>
        </is>
      </c>
      <c r="G316" t="n">
        <v>2.3</v>
      </c>
      <c r="H316" t="n">
        <v>0</v>
      </c>
      <c r="I316" t="n">
        <v>0</v>
      </c>
      <c r="J316" t="n">
        <v>0</v>
      </c>
      <c r="K316" t="n">
        <v>0</v>
      </c>
      <c r="L316" t="n">
        <v>0</v>
      </c>
      <c r="M316" t="n">
        <v>0</v>
      </c>
      <c r="N316" t="n">
        <v>0</v>
      </c>
      <c r="O316" t="n">
        <v>0</v>
      </c>
      <c r="P316" t="n">
        <v>0</v>
      </c>
      <c r="Q316" t="n">
        <v>0</v>
      </c>
      <c r="R316" s="2" t="inlineStr"/>
    </row>
    <row r="317" ht="15" customHeight="1">
      <c r="A317" t="inlineStr">
        <is>
          <t>A 8831-2025</t>
        </is>
      </c>
      <c r="B317" s="1" t="n">
        <v>45712.90697916667</v>
      </c>
      <c r="C317" s="1" t="n">
        <v>45886</v>
      </c>
      <c r="D317" t="inlineStr">
        <is>
          <t>VÄRMLANDS LÄN</t>
        </is>
      </c>
      <c r="E317" t="inlineStr">
        <is>
          <t>ÅRJÄNG</t>
        </is>
      </c>
      <c r="G317" t="n">
        <v>32.9</v>
      </c>
      <c r="H317" t="n">
        <v>0</v>
      </c>
      <c r="I317" t="n">
        <v>0</v>
      </c>
      <c r="J317" t="n">
        <v>0</v>
      </c>
      <c r="K317" t="n">
        <v>0</v>
      </c>
      <c r="L317" t="n">
        <v>0</v>
      </c>
      <c r="M317" t="n">
        <v>0</v>
      </c>
      <c r="N317" t="n">
        <v>0</v>
      </c>
      <c r="O317" t="n">
        <v>0</v>
      </c>
      <c r="P317" t="n">
        <v>0</v>
      </c>
      <c r="Q317" t="n">
        <v>0</v>
      </c>
      <c r="R317" s="2" t="inlineStr"/>
    </row>
    <row r="318" ht="15" customHeight="1">
      <c r="A318" t="inlineStr">
        <is>
          <t>A 8834-2025</t>
        </is>
      </c>
      <c r="B318" s="1" t="n">
        <v>45712.921875</v>
      </c>
      <c r="C318" s="1" t="n">
        <v>45886</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53262-2022</t>
        </is>
      </c>
      <c r="B319" s="1" t="n">
        <v>44876</v>
      </c>
      <c r="C319" s="1" t="n">
        <v>45886</v>
      </c>
      <c r="D319" t="inlineStr">
        <is>
          <t>VÄRMLANDS LÄN</t>
        </is>
      </c>
      <c r="E319" t="inlineStr">
        <is>
          <t>ÅRJÄNG</t>
        </is>
      </c>
      <c r="G319" t="n">
        <v>0.7</v>
      </c>
      <c r="H319" t="n">
        <v>0</v>
      </c>
      <c r="I319" t="n">
        <v>0</v>
      </c>
      <c r="J319" t="n">
        <v>0</v>
      </c>
      <c r="K319" t="n">
        <v>0</v>
      </c>
      <c r="L319" t="n">
        <v>0</v>
      </c>
      <c r="M319" t="n">
        <v>0</v>
      </c>
      <c r="N319" t="n">
        <v>0</v>
      </c>
      <c r="O319" t="n">
        <v>0</v>
      </c>
      <c r="P319" t="n">
        <v>0</v>
      </c>
      <c r="Q319" t="n">
        <v>0</v>
      </c>
      <c r="R319" s="2" t="inlineStr"/>
    </row>
    <row r="320" ht="15" customHeight="1">
      <c r="A320" t="inlineStr">
        <is>
          <t>A 13001-2025</t>
        </is>
      </c>
      <c r="B320" s="1" t="n">
        <v>45734.49777777777</v>
      </c>
      <c r="C320" s="1" t="n">
        <v>45886</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13002-2025</t>
        </is>
      </c>
      <c r="B321" s="1" t="n">
        <v>45734.50288194444</v>
      </c>
      <c r="C321" s="1" t="n">
        <v>45886</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5122-2025</t>
        </is>
      </c>
      <c r="B322" s="1" t="n">
        <v>45691.55863425926</v>
      </c>
      <c r="C322" s="1" t="n">
        <v>45886</v>
      </c>
      <c r="D322" t="inlineStr">
        <is>
          <t>VÄRMLANDS LÄN</t>
        </is>
      </c>
      <c r="E322" t="inlineStr">
        <is>
          <t>ÅRJÄNG</t>
        </is>
      </c>
      <c r="G322" t="n">
        <v>5.7</v>
      </c>
      <c r="H322" t="n">
        <v>0</v>
      </c>
      <c r="I322" t="n">
        <v>0</v>
      </c>
      <c r="J322" t="n">
        <v>0</v>
      </c>
      <c r="K322" t="n">
        <v>0</v>
      </c>
      <c r="L322" t="n">
        <v>0</v>
      </c>
      <c r="M322" t="n">
        <v>0</v>
      </c>
      <c r="N322" t="n">
        <v>0</v>
      </c>
      <c r="O322" t="n">
        <v>0</v>
      </c>
      <c r="P322" t="n">
        <v>0</v>
      </c>
      <c r="Q322" t="n">
        <v>0</v>
      </c>
      <c r="R322" s="2" t="inlineStr"/>
    </row>
    <row r="323" ht="15" customHeight="1">
      <c r="A323" t="inlineStr">
        <is>
          <t>A 6551-2025</t>
        </is>
      </c>
      <c r="B323" s="1" t="n">
        <v>45699.71454861111</v>
      </c>
      <c r="C323" s="1" t="n">
        <v>45886</v>
      </c>
      <c r="D323" t="inlineStr">
        <is>
          <t>VÄRMLANDS LÄN</t>
        </is>
      </c>
      <c r="E323" t="inlineStr">
        <is>
          <t>ÅRJÄNG</t>
        </is>
      </c>
      <c r="G323" t="n">
        <v>0.9</v>
      </c>
      <c r="H323" t="n">
        <v>0</v>
      </c>
      <c r="I323" t="n">
        <v>0</v>
      </c>
      <c r="J323" t="n">
        <v>0</v>
      </c>
      <c r="K323" t="n">
        <v>0</v>
      </c>
      <c r="L323" t="n">
        <v>0</v>
      </c>
      <c r="M323" t="n">
        <v>0</v>
      </c>
      <c r="N323" t="n">
        <v>0</v>
      </c>
      <c r="O323" t="n">
        <v>0</v>
      </c>
      <c r="P323" t="n">
        <v>0</v>
      </c>
      <c r="Q323" t="n">
        <v>0</v>
      </c>
      <c r="R323" s="2" t="inlineStr"/>
    </row>
    <row r="324" ht="15" customHeight="1">
      <c r="A324" t="inlineStr">
        <is>
          <t>A 57178-2023</t>
        </is>
      </c>
      <c r="B324" s="1" t="n">
        <v>45240</v>
      </c>
      <c r="C324" s="1" t="n">
        <v>45886</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48444-2023</t>
        </is>
      </c>
      <c r="B325" s="1" t="n">
        <v>45206.37090277778</v>
      </c>
      <c r="C325" s="1" t="n">
        <v>45886</v>
      </c>
      <c r="D325" t="inlineStr">
        <is>
          <t>VÄRMLANDS LÄN</t>
        </is>
      </c>
      <c r="E325" t="inlineStr">
        <is>
          <t>ÅRJÄNG</t>
        </is>
      </c>
      <c r="G325" t="n">
        <v>0.9</v>
      </c>
      <c r="H325" t="n">
        <v>0</v>
      </c>
      <c r="I325" t="n">
        <v>0</v>
      </c>
      <c r="J325" t="n">
        <v>0</v>
      </c>
      <c r="K325" t="n">
        <v>0</v>
      </c>
      <c r="L325" t="n">
        <v>0</v>
      </c>
      <c r="M325" t="n">
        <v>0</v>
      </c>
      <c r="N325" t="n">
        <v>0</v>
      </c>
      <c r="O325" t="n">
        <v>0</v>
      </c>
      <c r="P325" t="n">
        <v>0</v>
      </c>
      <c r="Q325" t="n">
        <v>0</v>
      </c>
      <c r="R325" s="2" t="inlineStr"/>
    </row>
    <row r="326" ht="15" customHeight="1">
      <c r="A326" t="inlineStr">
        <is>
          <t>A 15574-2025</t>
        </is>
      </c>
      <c r="B326" s="1" t="n">
        <v>45747</v>
      </c>
      <c r="C326" s="1" t="n">
        <v>45886</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51455-2020</t>
        </is>
      </c>
      <c r="B327" s="1" t="n">
        <v>44113</v>
      </c>
      <c r="C327" s="1" t="n">
        <v>45886</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59385-2023</t>
        </is>
      </c>
      <c r="B328" s="1" t="n">
        <v>45253</v>
      </c>
      <c r="C328" s="1" t="n">
        <v>45886</v>
      </c>
      <c r="D328" t="inlineStr">
        <is>
          <t>VÄRMLANDS LÄN</t>
        </is>
      </c>
      <c r="E328" t="inlineStr">
        <is>
          <t>ÅRJÄNG</t>
        </is>
      </c>
      <c r="G328" t="n">
        <v>2.2</v>
      </c>
      <c r="H328" t="n">
        <v>0</v>
      </c>
      <c r="I328" t="n">
        <v>0</v>
      </c>
      <c r="J328" t="n">
        <v>0</v>
      </c>
      <c r="K328" t="n">
        <v>0</v>
      </c>
      <c r="L328" t="n">
        <v>0</v>
      </c>
      <c r="M328" t="n">
        <v>0</v>
      </c>
      <c r="N328" t="n">
        <v>0</v>
      </c>
      <c r="O328" t="n">
        <v>0</v>
      </c>
      <c r="P328" t="n">
        <v>0</v>
      </c>
      <c r="Q328" t="n">
        <v>0</v>
      </c>
      <c r="R328" s="2" t="inlineStr"/>
    </row>
    <row r="329" ht="15" customHeight="1">
      <c r="A329" t="inlineStr">
        <is>
          <t>A 13036-2025</t>
        </is>
      </c>
      <c r="B329" s="1" t="n">
        <v>45734.57474537037</v>
      </c>
      <c r="C329" s="1" t="n">
        <v>45886</v>
      </c>
      <c r="D329" t="inlineStr">
        <is>
          <t>VÄRMLANDS LÄN</t>
        </is>
      </c>
      <c r="E329" t="inlineStr">
        <is>
          <t>ÅRJÄNG</t>
        </is>
      </c>
      <c r="G329" t="n">
        <v>5.6</v>
      </c>
      <c r="H329" t="n">
        <v>0</v>
      </c>
      <c r="I329" t="n">
        <v>0</v>
      </c>
      <c r="J329" t="n">
        <v>0</v>
      </c>
      <c r="K329" t="n">
        <v>0</v>
      </c>
      <c r="L329" t="n">
        <v>0</v>
      </c>
      <c r="M329" t="n">
        <v>0</v>
      </c>
      <c r="N329" t="n">
        <v>0</v>
      </c>
      <c r="O329" t="n">
        <v>0</v>
      </c>
      <c r="P329" t="n">
        <v>0</v>
      </c>
      <c r="Q329" t="n">
        <v>0</v>
      </c>
      <c r="R329" s="2" t="inlineStr"/>
    </row>
    <row r="330" ht="15" customHeight="1">
      <c r="A330" t="inlineStr">
        <is>
          <t>A 40553-2020</t>
        </is>
      </c>
      <c r="B330" s="1" t="n">
        <v>44069</v>
      </c>
      <c r="C330" s="1" t="n">
        <v>45886</v>
      </c>
      <c r="D330" t="inlineStr">
        <is>
          <t>VÄRMLANDS LÄN</t>
        </is>
      </c>
      <c r="E330" t="inlineStr">
        <is>
          <t>ÅRJÄNG</t>
        </is>
      </c>
      <c r="G330" t="n">
        <v>5.6</v>
      </c>
      <c r="H330" t="n">
        <v>0</v>
      </c>
      <c r="I330" t="n">
        <v>0</v>
      </c>
      <c r="J330" t="n">
        <v>0</v>
      </c>
      <c r="K330" t="n">
        <v>0</v>
      </c>
      <c r="L330" t="n">
        <v>0</v>
      </c>
      <c r="M330" t="n">
        <v>0</v>
      </c>
      <c r="N330" t="n">
        <v>0</v>
      </c>
      <c r="O330" t="n">
        <v>0</v>
      </c>
      <c r="P330" t="n">
        <v>0</v>
      </c>
      <c r="Q330" t="n">
        <v>0</v>
      </c>
      <c r="R330" s="2" t="inlineStr"/>
    </row>
    <row r="331" ht="15" customHeight="1">
      <c r="A331" t="inlineStr">
        <is>
          <t>A 9909-2024</t>
        </is>
      </c>
      <c r="B331" s="1" t="n">
        <v>45363.53642361111</v>
      </c>
      <c r="C331" s="1" t="n">
        <v>45886</v>
      </c>
      <c r="D331" t="inlineStr">
        <is>
          <t>VÄRMLANDS LÄN</t>
        </is>
      </c>
      <c r="E331" t="inlineStr">
        <is>
          <t>ÅRJÄNG</t>
        </is>
      </c>
      <c r="G331" t="n">
        <v>3</v>
      </c>
      <c r="H331" t="n">
        <v>0</v>
      </c>
      <c r="I331" t="n">
        <v>0</v>
      </c>
      <c r="J331" t="n">
        <v>0</v>
      </c>
      <c r="K331" t="n">
        <v>0</v>
      </c>
      <c r="L331" t="n">
        <v>0</v>
      </c>
      <c r="M331" t="n">
        <v>0</v>
      </c>
      <c r="N331" t="n">
        <v>0</v>
      </c>
      <c r="O331" t="n">
        <v>0</v>
      </c>
      <c r="P331" t="n">
        <v>0</v>
      </c>
      <c r="Q331" t="n">
        <v>0</v>
      </c>
      <c r="R331" s="2" t="inlineStr"/>
    </row>
    <row r="332" ht="15" customHeight="1">
      <c r="A332" t="inlineStr">
        <is>
          <t>A 19964-2023</t>
        </is>
      </c>
      <c r="B332" s="1" t="n">
        <v>45051</v>
      </c>
      <c r="C332" s="1" t="n">
        <v>45886</v>
      </c>
      <c r="D332" t="inlineStr">
        <is>
          <t>VÄRMLANDS LÄN</t>
        </is>
      </c>
      <c r="E332" t="inlineStr">
        <is>
          <t>ÅRJÄNG</t>
        </is>
      </c>
      <c r="G332" t="n">
        <v>1.2</v>
      </c>
      <c r="H332" t="n">
        <v>0</v>
      </c>
      <c r="I332" t="n">
        <v>0</v>
      </c>
      <c r="J332" t="n">
        <v>0</v>
      </c>
      <c r="K332" t="n">
        <v>0</v>
      </c>
      <c r="L332" t="n">
        <v>0</v>
      </c>
      <c r="M332" t="n">
        <v>0</v>
      </c>
      <c r="N332" t="n">
        <v>0</v>
      </c>
      <c r="O332" t="n">
        <v>0</v>
      </c>
      <c r="P332" t="n">
        <v>0</v>
      </c>
      <c r="Q332" t="n">
        <v>0</v>
      </c>
      <c r="R332" s="2" t="inlineStr"/>
    </row>
    <row r="333" ht="15" customHeight="1">
      <c r="A333" t="inlineStr">
        <is>
          <t>A 51109-2022</t>
        </is>
      </c>
      <c r="B333" s="1" t="n">
        <v>44868.43569444444</v>
      </c>
      <c r="C333" s="1" t="n">
        <v>45886</v>
      </c>
      <c r="D333" t="inlineStr">
        <is>
          <t>VÄRMLANDS LÄN</t>
        </is>
      </c>
      <c r="E333" t="inlineStr">
        <is>
          <t>ÅRJÄNG</t>
        </is>
      </c>
      <c r="G333" t="n">
        <v>4.3</v>
      </c>
      <c r="H333" t="n">
        <v>0</v>
      </c>
      <c r="I333" t="n">
        <v>0</v>
      </c>
      <c r="J333" t="n">
        <v>0</v>
      </c>
      <c r="K333" t="n">
        <v>0</v>
      </c>
      <c r="L333" t="n">
        <v>0</v>
      </c>
      <c r="M333" t="n">
        <v>0</v>
      </c>
      <c r="N333" t="n">
        <v>0</v>
      </c>
      <c r="O333" t="n">
        <v>0</v>
      </c>
      <c r="P333" t="n">
        <v>0</v>
      </c>
      <c r="Q333" t="n">
        <v>0</v>
      </c>
      <c r="R333" s="2" t="inlineStr"/>
    </row>
    <row r="334" ht="15" customHeight="1">
      <c r="A334" t="inlineStr">
        <is>
          <t>A 41986-2022</t>
        </is>
      </c>
      <c r="B334" s="1" t="n">
        <v>44830.4380787037</v>
      </c>
      <c r="C334" s="1" t="n">
        <v>45886</v>
      </c>
      <c r="D334" t="inlineStr">
        <is>
          <t>VÄRMLANDS LÄN</t>
        </is>
      </c>
      <c r="E334" t="inlineStr">
        <is>
          <t>ÅRJÄNG</t>
        </is>
      </c>
      <c r="G334" t="n">
        <v>4.3</v>
      </c>
      <c r="H334" t="n">
        <v>0</v>
      </c>
      <c r="I334" t="n">
        <v>0</v>
      </c>
      <c r="J334" t="n">
        <v>0</v>
      </c>
      <c r="K334" t="n">
        <v>0</v>
      </c>
      <c r="L334" t="n">
        <v>0</v>
      </c>
      <c r="M334" t="n">
        <v>0</v>
      </c>
      <c r="N334" t="n">
        <v>0</v>
      </c>
      <c r="O334" t="n">
        <v>0</v>
      </c>
      <c r="P334" t="n">
        <v>0</v>
      </c>
      <c r="Q334" t="n">
        <v>0</v>
      </c>
      <c r="R334" s="2" t="inlineStr"/>
    </row>
    <row r="335" ht="15" customHeight="1">
      <c r="A335" t="inlineStr">
        <is>
          <t>A 19511-2024</t>
        </is>
      </c>
      <c r="B335" s="1" t="n">
        <v>45429.6099537037</v>
      </c>
      <c r="C335" s="1" t="n">
        <v>45886</v>
      </c>
      <c r="D335" t="inlineStr">
        <is>
          <t>VÄRMLANDS LÄN</t>
        </is>
      </c>
      <c r="E335" t="inlineStr">
        <is>
          <t>ÅRJÄNG</t>
        </is>
      </c>
      <c r="G335" t="n">
        <v>1.2</v>
      </c>
      <c r="H335" t="n">
        <v>0</v>
      </c>
      <c r="I335" t="n">
        <v>0</v>
      </c>
      <c r="J335" t="n">
        <v>0</v>
      </c>
      <c r="K335" t="n">
        <v>0</v>
      </c>
      <c r="L335" t="n">
        <v>0</v>
      </c>
      <c r="M335" t="n">
        <v>0</v>
      </c>
      <c r="N335" t="n">
        <v>0</v>
      </c>
      <c r="O335" t="n">
        <v>0</v>
      </c>
      <c r="P335" t="n">
        <v>0</v>
      </c>
      <c r="Q335" t="n">
        <v>0</v>
      </c>
      <c r="R335" s="2" t="inlineStr"/>
    </row>
    <row r="336" ht="15" customHeight="1">
      <c r="A336" t="inlineStr">
        <is>
          <t>A 19516-2024</t>
        </is>
      </c>
      <c r="B336" s="1" t="n">
        <v>45429.61491898148</v>
      </c>
      <c r="C336" s="1" t="n">
        <v>45886</v>
      </c>
      <c r="D336" t="inlineStr">
        <is>
          <t>VÄRMLANDS LÄN</t>
        </is>
      </c>
      <c r="E336" t="inlineStr">
        <is>
          <t>ÅRJÄNG</t>
        </is>
      </c>
      <c r="G336" t="n">
        <v>1.2</v>
      </c>
      <c r="H336" t="n">
        <v>0</v>
      </c>
      <c r="I336" t="n">
        <v>0</v>
      </c>
      <c r="J336" t="n">
        <v>0</v>
      </c>
      <c r="K336" t="n">
        <v>0</v>
      </c>
      <c r="L336" t="n">
        <v>0</v>
      </c>
      <c r="M336" t="n">
        <v>0</v>
      </c>
      <c r="N336" t="n">
        <v>0</v>
      </c>
      <c r="O336" t="n">
        <v>0</v>
      </c>
      <c r="P336" t="n">
        <v>0</v>
      </c>
      <c r="Q336" t="n">
        <v>0</v>
      </c>
      <c r="R336" s="2" t="inlineStr"/>
    </row>
    <row r="337" ht="15" customHeight="1">
      <c r="A337" t="inlineStr">
        <is>
          <t>A 6034-2021</t>
        </is>
      </c>
      <c r="B337" s="1" t="n">
        <v>44232.33623842592</v>
      </c>
      <c r="C337" s="1" t="n">
        <v>45886</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15299-2025</t>
        </is>
      </c>
      <c r="B338" s="1" t="n">
        <v>45746.42309027778</v>
      </c>
      <c r="C338" s="1" t="n">
        <v>45886</v>
      </c>
      <c r="D338" t="inlineStr">
        <is>
          <t>VÄRMLANDS LÄN</t>
        </is>
      </c>
      <c r="E338" t="inlineStr">
        <is>
          <t>ÅRJÄNG</t>
        </is>
      </c>
      <c r="G338" t="n">
        <v>3.2</v>
      </c>
      <c r="H338" t="n">
        <v>0</v>
      </c>
      <c r="I338" t="n">
        <v>0</v>
      </c>
      <c r="J338" t="n">
        <v>0</v>
      </c>
      <c r="K338" t="n">
        <v>0</v>
      </c>
      <c r="L338" t="n">
        <v>0</v>
      </c>
      <c r="M338" t="n">
        <v>0</v>
      </c>
      <c r="N338" t="n">
        <v>0</v>
      </c>
      <c r="O338" t="n">
        <v>0</v>
      </c>
      <c r="P338" t="n">
        <v>0</v>
      </c>
      <c r="Q338" t="n">
        <v>0</v>
      </c>
      <c r="R338" s="2" t="inlineStr"/>
    </row>
    <row r="339" ht="15" customHeight="1">
      <c r="A339" t="inlineStr">
        <is>
          <t>A 71472-2021</t>
        </is>
      </c>
      <c r="B339" s="1" t="n">
        <v>44540</v>
      </c>
      <c r="C339" s="1" t="n">
        <v>45886</v>
      </c>
      <c r="D339" t="inlineStr">
        <is>
          <t>VÄRMLANDS LÄN</t>
        </is>
      </c>
      <c r="E339" t="inlineStr">
        <is>
          <t>ÅRJÄNG</t>
        </is>
      </c>
      <c r="G339" t="n">
        <v>1.9</v>
      </c>
      <c r="H339" t="n">
        <v>0</v>
      </c>
      <c r="I339" t="n">
        <v>0</v>
      </c>
      <c r="J339" t="n">
        <v>0</v>
      </c>
      <c r="K339" t="n">
        <v>0</v>
      </c>
      <c r="L339" t="n">
        <v>0</v>
      </c>
      <c r="M339" t="n">
        <v>0</v>
      </c>
      <c r="N339" t="n">
        <v>0</v>
      </c>
      <c r="O339" t="n">
        <v>0</v>
      </c>
      <c r="P339" t="n">
        <v>0</v>
      </c>
      <c r="Q339" t="n">
        <v>0</v>
      </c>
      <c r="R339" s="2" t="inlineStr"/>
    </row>
    <row r="340" ht="15" customHeight="1">
      <c r="A340" t="inlineStr">
        <is>
          <t>A 13734-2024</t>
        </is>
      </c>
      <c r="B340" s="1" t="n">
        <v>45387</v>
      </c>
      <c r="C340" s="1" t="n">
        <v>45886</v>
      </c>
      <c r="D340" t="inlineStr">
        <is>
          <t>VÄRMLANDS LÄN</t>
        </is>
      </c>
      <c r="E340" t="inlineStr">
        <is>
          <t>ÅRJÄNG</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16079-2024</t>
        </is>
      </c>
      <c r="B341" s="1" t="n">
        <v>45406</v>
      </c>
      <c r="C341" s="1" t="n">
        <v>45886</v>
      </c>
      <c r="D341" t="inlineStr">
        <is>
          <t>VÄRMLANDS LÄN</t>
        </is>
      </c>
      <c r="E341" t="inlineStr">
        <is>
          <t>ÅRJÄNG</t>
        </is>
      </c>
      <c r="G341" t="n">
        <v>1.7</v>
      </c>
      <c r="H341" t="n">
        <v>0</v>
      </c>
      <c r="I341" t="n">
        <v>0</v>
      </c>
      <c r="J341" t="n">
        <v>0</v>
      </c>
      <c r="K341" t="n">
        <v>0</v>
      </c>
      <c r="L341" t="n">
        <v>0</v>
      </c>
      <c r="M341" t="n">
        <v>0</v>
      </c>
      <c r="N341" t="n">
        <v>0</v>
      </c>
      <c r="O341" t="n">
        <v>0</v>
      </c>
      <c r="P341" t="n">
        <v>0</v>
      </c>
      <c r="Q341" t="n">
        <v>0</v>
      </c>
      <c r="R341" s="2" t="inlineStr"/>
    </row>
    <row r="342" ht="15" customHeight="1">
      <c r="A342" t="inlineStr">
        <is>
          <t>A 12072-2024</t>
        </is>
      </c>
      <c r="B342" s="1" t="n">
        <v>45377</v>
      </c>
      <c r="C342" s="1" t="n">
        <v>45886</v>
      </c>
      <c r="D342" t="inlineStr">
        <is>
          <t>VÄRMLANDS LÄN</t>
        </is>
      </c>
      <c r="E342" t="inlineStr">
        <is>
          <t>ÅRJÄNG</t>
        </is>
      </c>
      <c r="G342" t="n">
        <v>2.5</v>
      </c>
      <c r="H342" t="n">
        <v>0</v>
      </c>
      <c r="I342" t="n">
        <v>0</v>
      </c>
      <c r="J342" t="n">
        <v>0</v>
      </c>
      <c r="K342" t="n">
        <v>0</v>
      </c>
      <c r="L342" t="n">
        <v>0</v>
      </c>
      <c r="M342" t="n">
        <v>0</v>
      </c>
      <c r="N342" t="n">
        <v>0</v>
      </c>
      <c r="O342" t="n">
        <v>0</v>
      </c>
      <c r="P342" t="n">
        <v>0</v>
      </c>
      <c r="Q342" t="n">
        <v>0</v>
      </c>
      <c r="R342" s="2" t="inlineStr"/>
    </row>
    <row r="343" ht="15" customHeight="1">
      <c r="A343" t="inlineStr">
        <is>
          <t>A 13824-2024</t>
        </is>
      </c>
      <c r="B343" s="1" t="n">
        <v>45391.42951388889</v>
      </c>
      <c r="C343" s="1" t="n">
        <v>45886</v>
      </c>
      <c r="D343" t="inlineStr">
        <is>
          <t>VÄRMLANDS LÄN</t>
        </is>
      </c>
      <c r="E343" t="inlineStr">
        <is>
          <t>ÅRJÄNG</t>
        </is>
      </c>
      <c r="G343" t="n">
        <v>1.9</v>
      </c>
      <c r="H343" t="n">
        <v>0</v>
      </c>
      <c r="I343" t="n">
        <v>0</v>
      </c>
      <c r="J343" t="n">
        <v>0</v>
      </c>
      <c r="K343" t="n">
        <v>0</v>
      </c>
      <c r="L343" t="n">
        <v>0</v>
      </c>
      <c r="M343" t="n">
        <v>0</v>
      </c>
      <c r="N343" t="n">
        <v>0</v>
      </c>
      <c r="O343" t="n">
        <v>0</v>
      </c>
      <c r="P343" t="n">
        <v>0</v>
      </c>
      <c r="Q343" t="n">
        <v>0</v>
      </c>
      <c r="R343" s="2" t="inlineStr"/>
    </row>
    <row r="344" ht="15" customHeight="1">
      <c r="A344" t="inlineStr">
        <is>
          <t>A 58290-2024</t>
        </is>
      </c>
      <c r="B344" s="1" t="n">
        <v>45632.5916087963</v>
      </c>
      <c r="C344" s="1" t="n">
        <v>45886</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74430-2021</t>
        </is>
      </c>
      <c r="B345" s="1" t="n">
        <v>44560.43342592593</v>
      </c>
      <c r="C345" s="1" t="n">
        <v>45886</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47228-2023</t>
        </is>
      </c>
      <c r="B346" s="1" t="n">
        <v>45202.3709837963</v>
      </c>
      <c r="C346" s="1" t="n">
        <v>45886</v>
      </c>
      <c r="D346" t="inlineStr">
        <is>
          <t>VÄRMLANDS LÄN</t>
        </is>
      </c>
      <c r="E346" t="inlineStr">
        <is>
          <t>ÅRJÄNG</t>
        </is>
      </c>
      <c r="G346" t="n">
        <v>1.1</v>
      </c>
      <c r="H346" t="n">
        <v>0</v>
      </c>
      <c r="I346" t="n">
        <v>0</v>
      </c>
      <c r="J346" t="n">
        <v>0</v>
      </c>
      <c r="K346" t="n">
        <v>0</v>
      </c>
      <c r="L346" t="n">
        <v>0</v>
      </c>
      <c r="M346" t="n">
        <v>0</v>
      </c>
      <c r="N346" t="n">
        <v>0</v>
      </c>
      <c r="O346" t="n">
        <v>0</v>
      </c>
      <c r="P346" t="n">
        <v>0</v>
      </c>
      <c r="Q346" t="n">
        <v>0</v>
      </c>
      <c r="R346" s="2" t="inlineStr"/>
    </row>
    <row r="347" ht="15" customHeight="1">
      <c r="A347" t="inlineStr">
        <is>
          <t>A 56329-2024</t>
        </is>
      </c>
      <c r="B347" s="1" t="n">
        <v>45624.79435185185</v>
      </c>
      <c r="C347" s="1" t="n">
        <v>45886</v>
      </c>
      <c r="D347" t="inlineStr">
        <is>
          <t>VÄRMLANDS LÄN</t>
        </is>
      </c>
      <c r="E347" t="inlineStr">
        <is>
          <t>ÅRJÄNG</t>
        </is>
      </c>
      <c r="G347" t="n">
        <v>4.6</v>
      </c>
      <c r="H347" t="n">
        <v>0</v>
      </c>
      <c r="I347" t="n">
        <v>0</v>
      </c>
      <c r="J347" t="n">
        <v>0</v>
      </c>
      <c r="K347" t="n">
        <v>0</v>
      </c>
      <c r="L347" t="n">
        <v>0</v>
      </c>
      <c r="M347" t="n">
        <v>0</v>
      </c>
      <c r="N347" t="n">
        <v>0</v>
      </c>
      <c r="O347" t="n">
        <v>0</v>
      </c>
      <c r="P347" t="n">
        <v>0</v>
      </c>
      <c r="Q347" t="n">
        <v>0</v>
      </c>
      <c r="R347" s="2" t="inlineStr"/>
    </row>
    <row r="348" ht="15" customHeight="1">
      <c r="A348" t="inlineStr">
        <is>
          <t>A 15148-2025</t>
        </is>
      </c>
      <c r="B348" s="1" t="n">
        <v>45744.45298611111</v>
      </c>
      <c r="C348" s="1" t="n">
        <v>45886</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935-2021</t>
        </is>
      </c>
      <c r="B349" s="1" t="n">
        <v>44207</v>
      </c>
      <c r="C349" s="1" t="n">
        <v>45886</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26880-2023</t>
        </is>
      </c>
      <c r="B350" s="1" t="n">
        <v>45093.58373842593</v>
      </c>
      <c r="C350" s="1" t="n">
        <v>45886</v>
      </c>
      <c r="D350" t="inlineStr">
        <is>
          <t>VÄRMLANDS LÄN</t>
        </is>
      </c>
      <c r="E350" t="inlineStr">
        <is>
          <t>ÅRJÄNG</t>
        </is>
      </c>
      <c r="G350" t="n">
        <v>3.6</v>
      </c>
      <c r="H350" t="n">
        <v>0</v>
      </c>
      <c r="I350" t="n">
        <v>0</v>
      </c>
      <c r="J350" t="n">
        <v>0</v>
      </c>
      <c r="K350" t="n">
        <v>0</v>
      </c>
      <c r="L350" t="n">
        <v>0</v>
      </c>
      <c r="M350" t="n">
        <v>0</v>
      </c>
      <c r="N350" t="n">
        <v>0</v>
      </c>
      <c r="O350" t="n">
        <v>0</v>
      </c>
      <c r="P350" t="n">
        <v>0</v>
      </c>
      <c r="Q350" t="n">
        <v>0</v>
      </c>
      <c r="R350" s="2" t="inlineStr"/>
    </row>
    <row r="351" ht="15" customHeight="1">
      <c r="A351" t="inlineStr">
        <is>
          <t>A 1615-2025</t>
        </is>
      </c>
      <c r="B351" s="1" t="n">
        <v>45670.60484953703</v>
      </c>
      <c r="C351" s="1" t="n">
        <v>45886</v>
      </c>
      <c r="D351" t="inlineStr">
        <is>
          <t>VÄRMLANDS LÄN</t>
        </is>
      </c>
      <c r="E351" t="inlineStr">
        <is>
          <t>ÅRJÄNG</t>
        </is>
      </c>
      <c r="G351" t="n">
        <v>3.3</v>
      </c>
      <c r="H351" t="n">
        <v>0</v>
      </c>
      <c r="I351" t="n">
        <v>0</v>
      </c>
      <c r="J351" t="n">
        <v>0</v>
      </c>
      <c r="K351" t="n">
        <v>0</v>
      </c>
      <c r="L351" t="n">
        <v>0</v>
      </c>
      <c r="M351" t="n">
        <v>0</v>
      </c>
      <c r="N351" t="n">
        <v>0</v>
      </c>
      <c r="O351" t="n">
        <v>0</v>
      </c>
      <c r="P351" t="n">
        <v>0</v>
      </c>
      <c r="Q351" t="n">
        <v>0</v>
      </c>
      <c r="R351" s="2" t="inlineStr"/>
    </row>
    <row r="352" ht="15" customHeight="1">
      <c r="A352" t="inlineStr">
        <is>
          <t>A 38057-2024</t>
        </is>
      </c>
      <c r="B352" s="1" t="n">
        <v>45544.73293981481</v>
      </c>
      <c r="C352" s="1" t="n">
        <v>45886</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13998-2024</t>
        </is>
      </c>
      <c r="B353" s="1" t="n">
        <v>45392</v>
      </c>
      <c r="C353" s="1" t="n">
        <v>45886</v>
      </c>
      <c r="D353" t="inlineStr">
        <is>
          <t>VÄRMLANDS LÄN</t>
        </is>
      </c>
      <c r="E353" t="inlineStr">
        <is>
          <t>ÅRJÄNG</t>
        </is>
      </c>
      <c r="G353" t="n">
        <v>1.8</v>
      </c>
      <c r="H353" t="n">
        <v>0</v>
      </c>
      <c r="I353" t="n">
        <v>0</v>
      </c>
      <c r="J353" t="n">
        <v>0</v>
      </c>
      <c r="K353" t="n">
        <v>0</v>
      </c>
      <c r="L353" t="n">
        <v>0</v>
      </c>
      <c r="M353" t="n">
        <v>0</v>
      </c>
      <c r="N353" t="n">
        <v>0</v>
      </c>
      <c r="O353" t="n">
        <v>0</v>
      </c>
      <c r="P353" t="n">
        <v>0</v>
      </c>
      <c r="Q353" t="n">
        <v>0</v>
      </c>
      <c r="R353" s="2" t="inlineStr"/>
    </row>
    <row r="354" ht="15" customHeight="1">
      <c r="A354" t="inlineStr">
        <is>
          <t>A 15953-2025</t>
        </is>
      </c>
      <c r="B354" s="1" t="n">
        <v>45749</v>
      </c>
      <c r="C354" s="1" t="n">
        <v>45886</v>
      </c>
      <c r="D354" t="inlineStr">
        <is>
          <t>VÄRMLANDS LÄN</t>
        </is>
      </c>
      <c r="E354" t="inlineStr">
        <is>
          <t>ÅRJÄNG</t>
        </is>
      </c>
      <c r="F354" t="inlineStr">
        <is>
          <t>Bergvik skog väst AB</t>
        </is>
      </c>
      <c r="G354" t="n">
        <v>2.2</v>
      </c>
      <c r="H354" t="n">
        <v>0</v>
      </c>
      <c r="I354" t="n">
        <v>0</v>
      </c>
      <c r="J354" t="n">
        <v>0</v>
      </c>
      <c r="K354" t="n">
        <v>0</v>
      </c>
      <c r="L354" t="n">
        <v>0</v>
      </c>
      <c r="M354" t="n">
        <v>0</v>
      </c>
      <c r="N354" t="n">
        <v>0</v>
      </c>
      <c r="O354" t="n">
        <v>0</v>
      </c>
      <c r="P354" t="n">
        <v>0</v>
      </c>
      <c r="Q354" t="n">
        <v>0</v>
      </c>
      <c r="R354" s="2" t="inlineStr"/>
    </row>
    <row r="355" ht="15" customHeight="1">
      <c r="A355" t="inlineStr">
        <is>
          <t>A 45827-2024</t>
        </is>
      </c>
      <c r="B355" s="1" t="n">
        <v>45579</v>
      </c>
      <c r="C355" s="1" t="n">
        <v>45886</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32778-2024</t>
        </is>
      </c>
      <c r="B356" s="1" t="n">
        <v>45516.5083912037</v>
      </c>
      <c r="C356" s="1" t="n">
        <v>45886</v>
      </c>
      <c r="D356" t="inlineStr">
        <is>
          <t>VÄRMLANDS LÄN</t>
        </is>
      </c>
      <c r="E356" t="inlineStr">
        <is>
          <t>ÅRJÄNG</t>
        </is>
      </c>
      <c r="G356" t="n">
        <v>2.8</v>
      </c>
      <c r="H356" t="n">
        <v>0</v>
      </c>
      <c r="I356" t="n">
        <v>0</v>
      </c>
      <c r="J356" t="n">
        <v>0</v>
      </c>
      <c r="K356" t="n">
        <v>0</v>
      </c>
      <c r="L356" t="n">
        <v>0</v>
      </c>
      <c r="M356" t="n">
        <v>0</v>
      </c>
      <c r="N356" t="n">
        <v>0</v>
      </c>
      <c r="O356" t="n">
        <v>0</v>
      </c>
      <c r="P356" t="n">
        <v>0</v>
      </c>
      <c r="Q356" t="n">
        <v>0</v>
      </c>
      <c r="R356" s="2" t="inlineStr"/>
    </row>
    <row r="357" ht="15" customHeight="1">
      <c r="A357" t="inlineStr">
        <is>
          <t>A 7098-2024</t>
        </is>
      </c>
      <c r="B357" s="1" t="n">
        <v>45343</v>
      </c>
      <c r="C357" s="1" t="n">
        <v>45886</v>
      </c>
      <c r="D357" t="inlineStr">
        <is>
          <t>VÄRMLANDS LÄN</t>
        </is>
      </c>
      <c r="E357" t="inlineStr">
        <is>
          <t>ÅRJÄNG</t>
        </is>
      </c>
      <c r="G357" t="n">
        <v>5</v>
      </c>
      <c r="H357" t="n">
        <v>0</v>
      </c>
      <c r="I357" t="n">
        <v>0</v>
      </c>
      <c r="J357" t="n">
        <v>0</v>
      </c>
      <c r="K357" t="n">
        <v>0</v>
      </c>
      <c r="L357" t="n">
        <v>0</v>
      </c>
      <c r="M357" t="n">
        <v>0</v>
      </c>
      <c r="N357" t="n">
        <v>0</v>
      </c>
      <c r="O357" t="n">
        <v>0</v>
      </c>
      <c r="P357" t="n">
        <v>0</v>
      </c>
      <c r="Q357" t="n">
        <v>0</v>
      </c>
      <c r="R357" s="2" t="inlineStr"/>
    </row>
    <row r="358" ht="15" customHeight="1">
      <c r="A358" t="inlineStr">
        <is>
          <t>A 7100-2024</t>
        </is>
      </c>
      <c r="B358" s="1" t="n">
        <v>45343</v>
      </c>
      <c r="C358" s="1" t="n">
        <v>45886</v>
      </c>
      <c r="D358" t="inlineStr">
        <is>
          <t>VÄRMLANDS LÄN</t>
        </is>
      </c>
      <c r="E358" t="inlineStr">
        <is>
          <t>ÅRJÄNG</t>
        </is>
      </c>
      <c r="G358" t="n">
        <v>6.5</v>
      </c>
      <c r="H358" t="n">
        <v>0</v>
      </c>
      <c r="I358" t="n">
        <v>0</v>
      </c>
      <c r="J358" t="n">
        <v>0</v>
      </c>
      <c r="K358" t="n">
        <v>0</v>
      </c>
      <c r="L358" t="n">
        <v>0</v>
      </c>
      <c r="M358" t="n">
        <v>0</v>
      </c>
      <c r="N358" t="n">
        <v>0</v>
      </c>
      <c r="O358" t="n">
        <v>0</v>
      </c>
      <c r="P358" t="n">
        <v>0</v>
      </c>
      <c r="Q358" t="n">
        <v>0</v>
      </c>
      <c r="R358" s="2" t="inlineStr"/>
    </row>
    <row r="359" ht="15" customHeight="1">
      <c r="A359" t="inlineStr">
        <is>
          <t>A 47688-2023</t>
        </is>
      </c>
      <c r="B359" s="1" t="n">
        <v>45203</v>
      </c>
      <c r="C359" s="1" t="n">
        <v>45886</v>
      </c>
      <c r="D359" t="inlineStr">
        <is>
          <t>VÄRMLANDS LÄN</t>
        </is>
      </c>
      <c r="E359" t="inlineStr">
        <is>
          <t>ÅRJÄNG</t>
        </is>
      </c>
      <c r="F359" t="inlineStr">
        <is>
          <t>Övriga Aktiebolag</t>
        </is>
      </c>
      <c r="G359" t="n">
        <v>20.3</v>
      </c>
      <c r="H359" t="n">
        <v>0</v>
      </c>
      <c r="I359" t="n">
        <v>0</v>
      </c>
      <c r="J359" t="n">
        <v>0</v>
      </c>
      <c r="K359" t="n">
        <v>0</v>
      </c>
      <c r="L359" t="n">
        <v>0</v>
      </c>
      <c r="M359" t="n">
        <v>0</v>
      </c>
      <c r="N359" t="n">
        <v>0</v>
      </c>
      <c r="O359" t="n">
        <v>0</v>
      </c>
      <c r="P359" t="n">
        <v>0</v>
      </c>
      <c r="Q359" t="n">
        <v>0</v>
      </c>
      <c r="R359" s="2" t="inlineStr"/>
    </row>
    <row r="360" ht="15" customHeight="1">
      <c r="A360" t="inlineStr">
        <is>
          <t>A 45651-2024</t>
        </is>
      </c>
      <c r="B360" s="1" t="n">
        <v>45579</v>
      </c>
      <c r="C360" s="1" t="n">
        <v>45886</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70591-2021</t>
        </is>
      </c>
      <c r="B361" s="1" t="n">
        <v>44537.41471064815</v>
      </c>
      <c r="C361" s="1" t="n">
        <v>45886</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36563-2024</t>
        </is>
      </c>
      <c r="B362" s="1" t="n">
        <v>45537</v>
      </c>
      <c r="C362" s="1" t="n">
        <v>45886</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58491-2023</t>
        </is>
      </c>
      <c r="B363" s="1" t="n">
        <v>45246</v>
      </c>
      <c r="C363" s="1" t="n">
        <v>45886</v>
      </c>
      <c r="D363" t="inlineStr">
        <is>
          <t>VÄRMLANDS LÄN</t>
        </is>
      </c>
      <c r="E363" t="inlineStr">
        <is>
          <t>ÅRJÄNG</t>
        </is>
      </c>
      <c r="G363" t="n">
        <v>11.4</v>
      </c>
      <c r="H363" t="n">
        <v>0</v>
      </c>
      <c r="I363" t="n">
        <v>0</v>
      </c>
      <c r="J363" t="n">
        <v>0</v>
      </c>
      <c r="K363" t="n">
        <v>0</v>
      </c>
      <c r="L363" t="n">
        <v>0</v>
      </c>
      <c r="M363" t="n">
        <v>0</v>
      </c>
      <c r="N363" t="n">
        <v>0</v>
      </c>
      <c r="O363" t="n">
        <v>0</v>
      </c>
      <c r="P363" t="n">
        <v>0</v>
      </c>
      <c r="Q363" t="n">
        <v>0</v>
      </c>
      <c r="R363" s="2" t="inlineStr"/>
    </row>
    <row r="364" ht="15" customHeight="1">
      <c r="A364" t="inlineStr">
        <is>
          <t>A 14768-2024</t>
        </is>
      </c>
      <c r="B364" s="1" t="n">
        <v>45397</v>
      </c>
      <c r="C364" s="1" t="n">
        <v>45886</v>
      </c>
      <c r="D364" t="inlineStr">
        <is>
          <t>VÄRMLANDS LÄN</t>
        </is>
      </c>
      <c r="E364" t="inlineStr">
        <is>
          <t>ÅRJÄNG</t>
        </is>
      </c>
      <c r="G364" t="n">
        <v>1.9</v>
      </c>
      <c r="H364" t="n">
        <v>0</v>
      </c>
      <c r="I364" t="n">
        <v>0</v>
      </c>
      <c r="J364" t="n">
        <v>0</v>
      </c>
      <c r="K364" t="n">
        <v>0</v>
      </c>
      <c r="L364" t="n">
        <v>0</v>
      </c>
      <c r="M364" t="n">
        <v>0</v>
      </c>
      <c r="N364" t="n">
        <v>0</v>
      </c>
      <c r="O364" t="n">
        <v>0</v>
      </c>
      <c r="P364" t="n">
        <v>0</v>
      </c>
      <c r="Q364" t="n">
        <v>0</v>
      </c>
      <c r="R364" s="2" t="inlineStr"/>
    </row>
    <row r="365" ht="15" customHeight="1">
      <c r="A365" t="inlineStr">
        <is>
          <t>A 44647-2021</t>
        </is>
      </c>
      <c r="B365" s="1" t="n">
        <v>44437.83967592593</v>
      </c>
      <c r="C365" s="1" t="n">
        <v>45886</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42230-2024</t>
        </is>
      </c>
      <c r="B366" s="1" t="n">
        <v>45562</v>
      </c>
      <c r="C366" s="1" t="n">
        <v>45886</v>
      </c>
      <c r="D366" t="inlineStr">
        <is>
          <t>VÄRMLANDS LÄN</t>
        </is>
      </c>
      <c r="E366" t="inlineStr">
        <is>
          <t>ÅRJÄNG</t>
        </is>
      </c>
      <c r="G366" t="n">
        <v>8.6</v>
      </c>
      <c r="H366" t="n">
        <v>0</v>
      </c>
      <c r="I366" t="n">
        <v>0</v>
      </c>
      <c r="J366" t="n">
        <v>0</v>
      </c>
      <c r="K366" t="n">
        <v>0</v>
      </c>
      <c r="L366" t="n">
        <v>0</v>
      </c>
      <c r="M366" t="n">
        <v>0</v>
      </c>
      <c r="N366" t="n">
        <v>0</v>
      </c>
      <c r="O366" t="n">
        <v>0</v>
      </c>
      <c r="P366" t="n">
        <v>0</v>
      </c>
      <c r="Q366" t="n">
        <v>0</v>
      </c>
      <c r="R366" s="2" t="inlineStr"/>
    </row>
    <row r="367" ht="15" customHeight="1">
      <c r="A367" t="inlineStr">
        <is>
          <t>A 17426-2025</t>
        </is>
      </c>
      <c r="B367" s="1" t="n">
        <v>45757.40153935185</v>
      </c>
      <c r="C367" s="1" t="n">
        <v>45886</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42241-2024</t>
        </is>
      </c>
      <c r="B368" s="1" t="n">
        <v>45562</v>
      </c>
      <c r="C368" s="1" t="n">
        <v>45886</v>
      </c>
      <c r="D368" t="inlineStr">
        <is>
          <t>VÄRMLANDS LÄN</t>
        </is>
      </c>
      <c r="E368" t="inlineStr">
        <is>
          <t>ÅRJÄNG</t>
        </is>
      </c>
      <c r="G368" t="n">
        <v>4</v>
      </c>
      <c r="H368" t="n">
        <v>0</v>
      </c>
      <c r="I368" t="n">
        <v>0</v>
      </c>
      <c r="J368" t="n">
        <v>0</v>
      </c>
      <c r="K368" t="n">
        <v>0</v>
      </c>
      <c r="L368" t="n">
        <v>0</v>
      </c>
      <c r="M368" t="n">
        <v>0</v>
      </c>
      <c r="N368" t="n">
        <v>0</v>
      </c>
      <c r="O368" t="n">
        <v>0</v>
      </c>
      <c r="P368" t="n">
        <v>0</v>
      </c>
      <c r="Q368" t="n">
        <v>0</v>
      </c>
      <c r="R368" s="2" t="inlineStr"/>
    </row>
    <row r="369" ht="15" customHeight="1">
      <c r="A369" t="inlineStr">
        <is>
          <t>A 60191-2023</t>
        </is>
      </c>
      <c r="B369" s="1" t="n">
        <v>45257</v>
      </c>
      <c r="C369" s="1" t="n">
        <v>45886</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540-2024</t>
        </is>
      </c>
      <c r="B370" s="1" t="n">
        <v>45299</v>
      </c>
      <c r="C370" s="1" t="n">
        <v>45886</v>
      </c>
      <c r="D370" t="inlineStr">
        <is>
          <t>VÄRMLANDS LÄN</t>
        </is>
      </c>
      <c r="E370" t="inlineStr">
        <is>
          <t>ÅRJÄNG</t>
        </is>
      </c>
      <c r="F370" t="inlineStr">
        <is>
          <t>Kyrkan</t>
        </is>
      </c>
      <c r="G370" t="n">
        <v>7</v>
      </c>
      <c r="H370" t="n">
        <v>0</v>
      </c>
      <c r="I370" t="n">
        <v>0</v>
      </c>
      <c r="J370" t="n">
        <v>0</v>
      </c>
      <c r="K370" t="n">
        <v>0</v>
      </c>
      <c r="L370" t="n">
        <v>0</v>
      </c>
      <c r="M370" t="n">
        <v>0</v>
      </c>
      <c r="N370" t="n">
        <v>0</v>
      </c>
      <c r="O370" t="n">
        <v>0</v>
      </c>
      <c r="P370" t="n">
        <v>0</v>
      </c>
      <c r="Q370" t="n">
        <v>0</v>
      </c>
      <c r="R370" s="2" t="inlineStr"/>
    </row>
    <row r="371" ht="15" customHeight="1">
      <c r="A371" t="inlineStr">
        <is>
          <t>A 19410-2024</t>
        </is>
      </c>
      <c r="B371" s="1" t="n">
        <v>45429</v>
      </c>
      <c r="C371" s="1" t="n">
        <v>45886</v>
      </c>
      <c r="D371" t="inlineStr">
        <is>
          <t>VÄRMLANDS LÄN</t>
        </is>
      </c>
      <c r="E371" t="inlineStr">
        <is>
          <t>ÅRJÄNG</t>
        </is>
      </c>
      <c r="G371" t="n">
        <v>7.9</v>
      </c>
      <c r="H371" t="n">
        <v>0</v>
      </c>
      <c r="I371" t="n">
        <v>0</v>
      </c>
      <c r="J371" t="n">
        <v>0</v>
      </c>
      <c r="K371" t="n">
        <v>0</v>
      </c>
      <c r="L371" t="n">
        <v>0</v>
      </c>
      <c r="M371" t="n">
        <v>0</v>
      </c>
      <c r="N371" t="n">
        <v>0</v>
      </c>
      <c r="O371" t="n">
        <v>0</v>
      </c>
      <c r="P371" t="n">
        <v>0</v>
      </c>
      <c r="Q371" t="n">
        <v>0</v>
      </c>
      <c r="R371" s="2" t="inlineStr"/>
    </row>
    <row r="372" ht="15" customHeight="1">
      <c r="A372" t="inlineStr">
        <is>
          <t>A 23048-2024</t>
        </is>
      </c>
      <c r="B372" s="1" t="n">
        <v>45450.42488425926</v>
      </c>
      <c r="C372" s="1" t="n">
        <v>45886</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23051-2024</t>
        </is>
      </c>
      <c r="B373" s="1" t="n">
        <v>45450.42902777778</v>
      </c>
      <c r="C373" s="1" t="n">
        <v>45886</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7444-2024</t>
        </is>
      </c>
      <c r="B374" s="1" t="n">
        <v>45345.72637731482</v>
      </c>
      <c r="C374" s="1" t="n">
        <v>45886</v>
      </c>
      <c r="D374" t="inlineStr">
        <is>
          <t>VÄRMLANDS LÄN</t>
        </is>
      </c>
      <c r="E374" t="inlineStr">
        <is>
          <t>ÅRJÄNG</t>
        </is>
      </c>
      <c r="G374" t="n">
        <v>0.6</v>
      </c>
      <c r="H374" t="n">
        <v>0</v>
      </c>
      <c r="I374" t="n">
        <v>0</v>
      </c>
      <c r="J374" t="n">
        <v>0</v>
      </c>
      <c r="K374" t="n">
        <v>0</v>
      </c>
      <c r="L374" t="n">
        <v>0</v>
      </c>
      <c r="M374" t="n">
        <v>0</v>
      </c>
      <c r="N374" t="n">
        <v>0</v>
      </c>
      <c r="O374" t="n">
        <v>0</v>
      </c>
      <c r="P374" t="n">
        <v>0</v>
      </c>
      <c r="Q374" t="n">
        <v>0</v>
      </c>
      <c r="R374" s="2" t="inlineStr"/>
    </row>
    <row r="375" ht="15" customHeight="1">
      <c r="A375" t="inlineStr">
        <is>
          <t>A 4189-2025</t>
        </is>
      </c>
      <c r="B375" s="1" t="n">
        <v>45685</v>
      </c>
      <c r="C375" s="1" t="n">
        <v>45886</v>
      </c>
      <c r="D375" t="inlineStr">
        <is>
          <t>VÄRMLANDS LÄN</t>
        </is>
      </c>
      <c r="E375" t="inlineStr">
        <is>
          <t>ÅRJÄNG</t>
        </is>
      </c>
      <c r="G375" t="n">
        <v>3.1</v>
      </c>
      <c r="H375" t="n">
        <v>0</v>
      </c>
      <c r="I375" t="n">
        <v>0</v>
      </c>
      <c r="J375" t="n">
        <v>0</v>
      </c>
      <c r="K375" t="n">
        <v>0</v>
      </c>
      <c r="L375" t="n">
        <v>0</v>
      </c>
      <c r="M375" t="n">
        <v>0</v>
      </c>
      <c r="N375" t="n">
        <v>0</v>
      </c>
      <c r="O375" t="n">
        <v>0</v>
      </c>
      <c r="P375" t="n">
        <v>0</v>
      </c>
      <c r="Q375" t="n">
        <v>0</v>
      </c>
      <c r="R375" s="2" t="inlineStr"/>
    </row>
    <row r="376" ht="15" customHeight="1">
      <c r="A376" t="inlineStr">
        <is>
          <t>A 26259-2024</t>
        </is>
      </c>
      <c r="B376" s="1" t="n">
        <v>45468</v>
      </c>
      <c r="C376" s="1" t="n">
        <v>45886</v>
      </c>
      <c r="D376" t="inlineStr">
        <is>
          <t>VÄRMLANDS LÄN</t>
        </is>
      </c>
      <c r="E376" t="inlineStr">
        <is>
          <t>ÅRJÄNG</t>
        </is>
      </c>
      <c r="G376" t="n">
        <v>4.3</v>
      </c>
      <c r="H376" t="n">
        <v>0</v>
      </c>
      <c r="I376" t="n">
        <v>0</v>
      </c>
      <c r="J376" t="n">
        <v>0</v>
      </c>
      <c r="K376" t="n">
        <v>0</v>
      </c>
      <c r="L376" t="n">
        <v>0</v>
      </c>
      <c r="M376" t="n">
        <v>0</v>
      </c>
      <c r="N376" t="n">
        <v>0</v>
      </c>
      <c r="O376" t="n">
        <v>0</v>
      </c>
      <c r="P376" t="n">
        <v>0</v>
      </c>
      <c r="Q376" t="n">
        <v>0</v>
      </c>
      <c r="R376" s="2" t="inlineStr"/>
    </row>
    <row r="377" ht="15" customHeight="1">
      <c r="A377" t="inlineStr">
        <is>
          <t>A 4784-2023</t>
        </is>
      </c>
      <c r="B377" s="1" t="n">
        <v>44957.59476851852</v>
      </c>
      <c r="C377" s="1" t="n">
        <v>45886</v>
      </c>
      <c r="D377" t="inlineStr">
        <is>
          <t>VÄRMLANDS LÄN</t>
        </is>
      </c>
      <c r="E377" t="inlineStr">
        <is>
          <t>ÅRJÄNG</t>
        </is>
      </c>
      <c r="G377" t="n">
        <v>0.9</v>
      </c>
      <c r="H377" t="n">
        <v>0</v>
      </c>
      <c r="I377" t="n">
        <v>0</v>
      </c>
      <c r="J377" t="n">
        <v>0</v>
      </c>
      <c r="K377" t="n">
        <v>0</v>
      </c>
      <c r="L377" t="n">
        <v>0</v>
      </c>
      <c r="M377" t="n">
        <v>0</v>
      </c>
      <c r="N377" t="n">
        <v>0</v>
      </c>
      <c r="O377" t="n">
        <v>0</v>
      </c>
      <c r="P377" t="n">
        <v>0</v>
      </c>
      <c r="Q377" t="n">
        <v>0</v>
      </c>
      <c r="R377" s="2" t="inlineStr"/>
    </row>
    <row r="378" ht="15" customHeight="1">
      <c r="A378" t="inlineStr">
        <is>
          <t>A 55901-2023</t>
        </is>
      </c>
      <c r="B378" s="1" t="n">
        <v>45239.86618055555</v>
      </c>
      <c r="C378" s="1" t="n">
        <v>45886</v>
      </c>
      <c r="D378" t="inlineStr">
        <is>
          <t>VÄRMLANDS LÄN</t>
        </is>
      </c>
      <c r="E378" t="inlineStr">
        <is>
          <t>ÅRJÄNG</t>
        </is>
      </c>
      <c r="G378" t="n">
        <v>1.3</v>
      </c>
      <c r="H378" t="n">
        <v>0</v>
      </c>
      <c r="I378" t="n">
        <v>0</v>
      </c>
      <c r="J378" t="n">
        <v>0</v>
      </c>
      <c r="K378" t="n">
        <v>0</v>
      </c>
      <c r="L378" t="n">
        <v>0</v>
      </c>
      <c r="M378" t="n">
        <v>0</v>
      </c>
      <c r="N378" t="n">
        <v>0</v>
      </c>
      <c r="O378" t="n">
        <v>0</v>
      </c>
      <c r="P378" t="n">
        <v>0</v>
      </c>
      <c r="Q378" t="n">
        <v>0</v>
      </c>
      <c r="R378" s="2" t="inlineStr"/>
    </row>
    <row r="379" ht="15" customHeight="1">
      <c r="A379" t="inlineStr">
        <is>
          <t>A 16791-2025</t>
        </is>
      </c>
      <c r="B379" s="1" t="n">
        <v>45754</v>
      </c>
      <c r="C379" s="1" t="n">
        <v>45886</v>
      </c>
      <c r="D379" t="inlineStr">
        <is>
          <t>VÄRMLANDS LÄN</t>
        </is>
      </c>
      <c r="E379" t="inlineStr">
        <is>
          <t>ÅRJÄNG</t>
        </is>
      </c>
      <c r="G379" t="n">
        <v>1.5</v>
      </c>
      <c r="H379" t="n">
        <v>0</v>
      </c>
      <c r="I379" t="n">
        <v>0</v>
      </c>
      <c r="J379" t="n">
        <v>0</v>
      </c>
      <c r="K379" t="n">
        <v>0</v>
      </c>
      <c r="L379" t="n">
        <v>0</v>
      </c>
      <c r="M379" t="n">
        <v>0</v>
      </c>
      <c r="N379" t="n">
        <v>0</v>
      </c>
      <c r="O379" t="n">
        <v>0</v>
      </c>
      <c r="P379" t="n">
        <v>0</v>
      </c>
      <c r="Q379" t="n">
        <v>0</v>
      </c>
      <c r="R379" s="2" t="inlineStr"/>
    </row>
    <row r="380" ht="15" customHeight="1">
      <c r="A380" t="inlineStr">
        <is>
          <t>A 11805-2024</t>
        </is>
      </c>
      <c r="B380" s="1" t="n">
        <v>45375.76523148148</v>
      </c>
      <c r="C380" s="1" t="n">
        <v>45886</v>
      </c>
      <c r="D380" t="inlineStr">
        <is>
          <t>VÄRMLANDS LÄN</t>
        </is>
      </c>
      <c r="E380" t="inlineStr">
        <is>
          <t>ÅRJÄNG</t>
        </is>
      </c>
      <c r="G380" t="n">
        <v>4.4</v>
      </c>
      <c r="H380" t="n">
        <v>0</v>
      </c>
      <c r="I380" t="n">
        <v>0</v>
      </c>
      <c r="J380" t="n">
        <v>0</v>
      </c>
      <c r="K380" t="n">
        <v>0</v>
      </c>
      <c r="L380" t="n">
        <v>0</v>
      </c>
      <c r="M380" t="n">
        <v>0</v>
      </c>
      <c r="N380" t="n">
        <v>0</v>
      </c>
      <c r="O380" t="n">
        <v>0</v>
      </c>
      <c r="P380" t="n">
        <v>0</v>
      </c>
      <c r="Q380" t="n">
        <v>0</v>
      </c>
      <c r="R380" s="2" t="inlineStr"/>
    </row>
    <row r="381" ht="15" customHeight="1">
      <c r="A381" t="inlineStr">
        <is>
          <t>A 15828-2024</t>
        </is>
      </c>
      <c r="B381" s="1" t="n">
        <v>45404</v>
      </c>
      <c r="C381" s="1" t="n">
        <v>45886</v>
      </c>
      <c r="D381" t="inlineStr">
        <is>
          <t>VÄRMLANDS LÄN</t>
        </is>
      </c>
      <c r="E381" t="inlineStr">
        <is>
          <t>ÅRJÄNG</t>
        </is>
      </c>
      <c r="G381" t="n">
        <v>1.5</v>
      </c>
      <c r="H381" t="n">
        <v>0</v>
      </c>
      <c r="I381" t="n">
        <v>0</v>
      </c>
      <c r="J381" t="n">
        <v>0</v>
      </c>
      <c r="K381" t="n">
        <v>0</v>
      </c>
      <c r="L381" t="n">
        <v>0</v>
      </c>
      <c r="M381" t="n">
        <v>0</v>
      </c>
      <c r="N381" t="n">
        <v>0</v>
      </c>
      <c r="O381" t="n">
        <v>0</v>
      </c>
      <c r="P381" t="n">
        <v>0</v>
      </c>
      <c r="Q381" t="n">
        <v>0</v>
      </c>
      <c r="R381" s="2" t="inlineStr"/>
    </row>
    <row r="382" ht="15" customHeight="1">
      <c r="A382" t="inlineStr">
        <is>
          <t>A 43029-2021</t>
        </is>
      </c>
      <c r="B382" s="1" t="n">
        <v>44431.49302083333</v>
      </c>
      <c r="C382" s="1" t="n">
        <v>45886</v>
      </c>
      <c r="D382" t="inlineStr">
        <is>
          <t>VÄRMLANDS LÄN</t>
        </is>
      </c>
      <c r="E382" t="inlineStr">
        <is>
          <t>ÅRJÄNG</t>
        </is>
      </c>
      <c r="G382" t="n">
        <v>5.5</v>
      </c>
      <c r="H382" t="n">
        <v>0</v>
      </c>
      <c r="I382" t="n">
        <v>0</v>
      </c>
      <c r="J382" t="n">
        <v>0</v>
      </c>
      <c r="K382" t="n">
        <v>0</v>
      </c>
      <c r="L382" t="n">
        <v>0</v>
      </c>
      <c r="M382" t="n">
        <v>0</v>
      </c>
      <c r="N382" t="n">
        <v>0</v>
      </c>
      <c r="O382" t="n">
        <v>0</v>
      </c>
      <c r="P382" t="n">
        <v>0</v>
      </c>
      <c r="Q382" t="n">
        <v>0</v>
      </c>
      <c r="R382" s="2" t="inlineStr"/>
    </row>
    <row r="383" ht="15" customHeight="1">
      <c r="A383" t="inlineStr">
        <is>
          <t>A 13784-2024</t>
        </is>
      </c>
      <c r="B383" s="1" t="n">
        <v>45391.33817129629</v>
      </c>
      <c r="C383" s="1" t="n">
        <v>45886</v>
      </c>
      <c r="D383" t="inlineStr">
        <is>
          <t>VÄRMLANDS LÄN</t>
        </is>
      </c>
      <c r="E383" t="inlineStr">
        <is>
          <t>ÅRJÄNG</t>
        </is>
      </c>
      <c r="G383" t="n">
        <v>2.1</v>
      </c>
      <c r="H383" t="n">
        <v>0</v>
      </c>
      <c r="I383" t="n">
        <v>0</v>
      </c>
      <c r="J383" t="n">
        <v>0</v>
      </c>
      <c r="K383" t="n">
        <v>0</v>
      </c>
      <c r="L383" t="n">
        <v>0</v>
      </c>
      <c r="M383" t="n">
        <v>0</v>
      </c>
      <c r="N383" t="n">
        <v>0</v>
      </c>
      <c r="O383" t="n">
        <v>0</v>
      </c>
      <c r="P383" t="n">
        <v>0</v>
      </c>
      <c r="Q383" t="n">
        <v>0</v>
      </c>
      <c r="R383" s="2" t="inlineStr"/>
    </row>
    <row r="384" ht="15" customHeight="1">
      <c r="A384" t="inlineStr">
        <is>
          <t>A 57062-2022</t>
        </is>
      </c>
      <c r="B384" s="1" t="n">
        <v>44895.40797453704</v>
      </c>
      <c r="C384" s="1" t="n">
        <v>45886</v>
      </c>
      <c r="D384" t="inlineStr">
        <is>
          <t>VÄRMLANDS LÄN</t>
        </is>
      </c>
      <c r="E384" t="inlineStr">
        <is>
          <t>ÅRJÄNG</t>
        </is>
      </c>
      <c r="G384" t="n">
        <v>2.2</v>
      </c>
      <c r="H384" t="n">
        <v>0</v>
      </c>
      <c r="I384" t="n">
        <v>0</v>
      </c>
      <c r="J384" t="n">
        <v>0</v>
      </c>
      <c r="K384" t="n">
        <v>0</v>
      </c>
      <c r="L384" t="n">
        <v>0</v>
      </c>
      <c r="M384" t="n">
        <v>0</v>
      </c>
      <c r="N384" t="n">
        <v>0</v>
      </c>
      <c r="O384" t="n">
        <v>0</v>
      </c>
      <c r="P384" t="n">
        <v>0</v>
      </c>
      <c r="Q384" t="n">
        <v>0</v>
      </c>
      <c r="R384" s="2" t="inlineStr"/>
    </row>
    <row r="385" ht="15" customHeight="1">
      <c r="A385" t="inlineStr">
        <is>
          <t>A 24893-2024</t>
        </is>
      </c>
      <c r="B385" s="1" t="n">
        <v>45461.57194444445</v>
      </c>
      <c r="C385" s="1" t="n">
        <v>45886</v>
      </c>
      <c r="D385" t="inlineStr">
        <is>
          <t>VÄRMLANDS LÄN</t>
        </is>
      </c>
      <c r="E385" t="inlineStr">
        <is>
          <t>ÅRJÄNG</t>
        </is>
      </c>
      <c r="G385" t="n">
        <v>3.1</v>
      </c>
      <c r="H385" t="n">
        <v>0</v>
      </c>
      <c r="I385" t="n">
        <v>0</v>
      </c>
      <c r="J385" t="n">
        <v>0</v>
      </c>
      <c r="K385" t="n">
        <v>0</v>
      </c>
      <c r="L385" t="n">
        <v>0</v>
      </c>
      <c r="M385" t="n">
        <v>0</v>
      </c>
      <c r="N385" t="n">
        <v>0</v>
      </c>
      <c r="O385" t="n">
        <v>0</v>
      </c>
      <c r="P385" t="n">
        <v>0</v>
      </c>
      <c r="Q385" t="n">
        <v>0</v>
      </c>
      <c r="R385" s="2" t="inlineStr"/>
    </row>
    <row r="386" ht="15" customHeight="1">
      <c r="A386" t="inlineStr">
        <is>
          <t>A 34032-2021</t>
        </is>
      </c>
      <c r="B386" s="1" t="n">
        <v>44378</v>
      </c>
      <c r="C386" s="1" t="n">
        <v>45886</v>
      </c>
      <c r="D386" t="inlineStr">
        <is>
          <t>VÄRMLANDS LÄN</t>
        </is>
      </c>
      <c r="E386" t="inlineStr">
        <is>
          <t>ÅRJÄNG</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20747-2025</t>
        </is>
      </c>
      <c r="B387" s="1" t="n">
        <v>45776.56221064815</v>
      </c>
      <c r="C387" s="1" t="n">
        <v>45886</v>
      </c>
      <c r="D387" t="inlineStr">
        <is>
          <t>VÄRMLANDS LÄN</t>
        </is>
      </c>
      <c r="E387" t="inlineStr">
        <is>
          <t>ÅRJÄNG</t>
        </is>
      </c>
      <c r="G387" t="n">
        <v>12.2</v>
      </c>
      <c r="H387" t="n">
        <v>0</v>
      </c>
      <c r="I387" t="n">
        <v>0</v>
      </c>
      <c r="J387" t="n">
        <v>0</v>
      </c>
      <c r="K387" t="n">
        <v>0</v>
      </c>
      <c r="L387" t="n">
        <v>0</v>
      </c>
      <c r="M387" t="n">
        <v>0</v>
      </c>
      <c r="N387" t="n">
        <v>0</v>
      </c>
      <c r="O387" t="n">
        <v>0</v>
      </c>
      <c r="P387" t="n">
        <v>0</v>
      </c>
      <c r="Q387" t="n">
        <v>0</v>
      </c>
      <c r="R387" s="2" t="inlineStr"/>
    </row>
    <row r="388" ht="15" customHeight="1">
      <c r="A388" t="inlineStr">
        <is>
          <t>A 50537-2023</t>
        </is>
      </c>
      <c r="B388" s="1" t="n">
        <v>45217</v>
      </c>
      <c r="C388" s="1" t="n">
        <v>45886</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43027-2021</t>
        </is>
      </c>
      <c r="B389" s="1" t="n">
        <v>44431.49119212963</v>
      </c>
      <c r="C389" s="1" t="n">
        <v>45886</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387-2021</t>
        </is>
      </c>
      <c r="B390" s="1" t="n">
        <v>44201</v>
      </c>
      <c r="C390" s="1" t="n">
        <v>45886</v>
      </c>
      <c r="D390" t="inlineStr">
        <is>
          <t>VÄRMLANDS LÄN</t>
        </is>
      </c>
      <c r="E390" t="inlineStr">
        <is>
          <t>ÅRJÄNG</t>
        </is>
      </c>
      <c r="G390" t="n">
        <v>2.6</v>
      </c>
      <c r="H390" t="n">
        <v>0</v>
      </c>
      <c r="I390" t="n">
        <v>0</v>
      </c>
      <c r="J390" t="n">
        <v>0</v>
      </c>
      <c r="K390" t="n">
        <v>0</v>
      </c>
      <c r="L390" t="n">
        <v>0</v>
      </c>
      <c r="M390" t="n">
        <v>0</v>
      </c>
      <c r="N390" t="n">
        <v>0</v>
      </c>
      <c r="O390" t="n">
        <v>0</v>
      </c>
      <c r="P390" t="n">
        <v>0</v>
      </c>
      <c r="Q390" t="n">
        <v>0</v>
      </c>
      <c r="R390" s="2" t="inlineStr"/>
    </row>
    <row r="391" ht="15" customHeight="1">
      <c r="A391" t="inlineStr">
        <is>
          <t>A 69839-2021</t>
        </is>
      </c>
      <c r="B391" s="1" t="n">
        <v>44532</v>
      </c>
      <c r="C391" s="1" t="n">
        <v>45886</v>
      </c>
      <c r="D391" t="inlineStr">
        <is>
          <t>VÄRMLANDS LÄN</t>
        </is>
      </c>
      <c r="E391" t="inlineStr">
        <is>
          <t>ÅRJÄNG</t>
        </is>
      </c>
      <c r="G391" t="n">
        <v>3.1</v>
      </c>
      <c r="H391" t="n">
        <v>0</v>
      </c>
      <c r="I391" t="n">
        <v>0</v>
      </c>
      <c r="J391" t="n">
        <v>0</v>
      </c>
      <c r="K391" t="n">
        <v>0</v>
      </c>
      <c r="L391" t="n">
        <v>0</v>
      </c>
      <c r="M391" t="n">
        <v>0</v>
      </c>
      <c r="N391" t="n">
        <v>0</v>
      </c>
      <c r="O391" t="n">
        <v>0</v>
      </c>
      <c r="P391" t="n">
        <v>0</v>
      </c>
      <c r="Q391" t="n">
        <v>0</v>
      </c>
      <c r="R391" s="2" t="inlineStr"/>
    </row>
    <row r="392" ht="15" customHeight="1">
      <c r="A392" t="inlineStr">
        <is>
          <t>A 20975-2025</t>
        </is>
      </c>
      <c r="B392" s="1" t="n">
        <v>45777.45922453704</v>
      </c>
      <c r="C392" s="1" t="n">
        <v>45886</v>
      </c>
      <c r="D392" t="inlineStr">
        <is>
          <t>VÄRMLANDS LÄN</t>
        </is>
      </c>
      <c r="E392" t="inlineStr">
        <is>
          <t>ÅRJÄNG</t>
        </is>
      </c>
      <c r="G392" t="n">
        <v>1.3</v>
      </c>
      <c r="H392" t="n">
        <v>0</v>
      </c>
      <c r="I392" t="n">
        <v>0</v>
      </c>
      <c r="J392" t="n">
        <v>0</v>
      </c>
      <c r="K392" t="n">
        <v>0</v>
      </c>
      <c r="L392" t="n">
        <v>0</v>
      </c>
      <c r="M392" t="n">
        <v>0</v>
      </c>
      <c r="N392" t="n">
        <v>0</v>
      </c>
      <c r="O392" t="n">
        <v>0</v>
      </c>
      <c r="P392" t="n">
        <v>0</v>
      </c>
      <c r="Q392" t="n">
        <v>0</v>
      </c>
      <c r="R392" s="2" t="inlineStr"/>
    </row>
    <row r="393" ht="15" customHeight="1">
      <c r="A393" t="inlineStr">
        <is>
          <t>A 1377-2023</t>
        </is>
      </c>
      <c r="B393" s="1" t="n">
        <v>44936.67111111111</v>
      </c>
      <c r="C393" s="1" t="n">
        <v>45886</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20957-2025</t>
        </is>
      </c>
      <c r="B394" s="1" t="n">
        <v>45777.44613425926</v>
      </c>
      <c r="C394" s="1" t="n">
        <v>45886</v>
      </c>
      <c r="D394" t="inlineStr">
        <is>
          <t>VÄRMLANDS LÄN</t>
        </is>
      </c>
      <c r="E394" t="inlineStr">
        <is>
          <t>ÅRJÄNG</t>
        </is>
      </c>
      <c r="G394" t="n">
        <v>6.2</v>
      </c>
      <c r="H394" t="n">
        <v>0</v>
      </c>
      <c r="I394" t="n">
        <v>0</v>
      </c>
      <c r="J394" t="n">
        <v>0</v>
      </c>
      <c r="K394" t="n">
        <v>0</v>
      </c>
      <c r="L394" t="n">
        <v>0</v>
      </c>
      <c r="M394" t="n">
        <v>0</v>
      </c>
      <c r="N394" t="n">
        <v>0</v>
      </c>
      <c r="O394" t="n">
        <v>0</v>
      </c>
      <c r="P394" t="n">
        <v>0</v>
      </c>
      <c r="Q394" t="n">
        <v>0</v>
      </c>
      <c r="R394" s="2" t="inlineStr"/>
    </row>
    <row r="395" ht="15" customHeight="1">
      <c r="A395" t="inlineStr">
        <is>
          <t>A 3734-2023</t>
        </is>
      </c>
      <c r="B395" s="1" t="n">
        <v>44948</v>
      </c>
      <c r="C395" s="1" t="n">
        <v>45886</v>
      </c>
      <c r="D395" t="inlineStr">
        <is>
          <t>VÄRMLANDS LÄN</t>
        </is>
      </c>
      <c r="E395" t="inlineStr">
        <is>
          <t>ÅRJÄNG</t>
        </is>
      </c>
      <c r="G395" t="n">
        <v>1</v>
      </c>
      <c r="H395" t="n">
        <v>0</v>
      </c>
      <c r="I395" t="n">
        <v>0</v>
      </c>
      <c r="J395" t="n">
        <v>0</v>
      </c>
      <c r="K395" t="n">
        <v>0</v>
      </c>
      <c r="L395" t="n">
        <v>0</v>
      </c>
      <c r="M395" t="n">
        <v>0</v>
      </c>
      <c r="N395" t="n">
        <v>0</v>
      </c>
      <c r="O395" t="n">
        <v>0</v>
      </c>
      <c r="P395" t="n">
        <v>0</v>
      </c>
      <c r="Q395" t="n">
        <v>0</v>
      </c>
      <c r="R395" s="2" t="inlineStr"/>
    </row>
    <row r="396" ht="15" customHeight="1">
      <c r="A396" t="inlineStr">
        <is>
          <t>A 16276-2025</t>
        </is>
      </c>
      <c r="B396" s="1" t="n">
        <v>45751</v>
      </c>
      <c r="C396" s="1" t="n">
        <v>45886</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34350-2023</t>
        </is>
      </c>
      <c r="B397" s="1" t="n">
        <v>45139.40969907407</v>
      </c>
      <c r="C397" s="1" t="n">
        <v>45886</v>
      </c>
      <c r="D397" t="inlineStr">
        <is>
          <t>VÄRMLANDS LÄN</t>
        </is>
      </c>
      <c r="E397" t="inlineStr">
        <is>
          <t>ÅRJÄNG</t>
        </is>
      </c>
      <c r="G397" t="n">
        <v>3.2</v>
      </c>
      <c r="H397" t="n">
        <v>0</v>
      </c>
      <c r="I397" t="n">
        <v>0</v>
      </c>
      <c r="J397" t="n">
        <v>0</v>
      </c>
      <c r="K397" t="n">
        <v>0</v>
      </c>
      <c r="L397" t="n">
        <v>0</v>
      </c>
      <c r="M397" t="n">
        <v>0</v>
      </c>
      <c r="N397" t="n">
        <v>0</v>
      </c>
      <c r="O397" t="n">
        <v>0</v>
      </c>
      <c r="P397" t="n">
        <v>0</v>
      </c>
      <c r="Q397" t="n">
        <v>0</v>
      </c>
      <c r="R397" s="2" t="inlineStr"/>
    </row>
    <row r="398" ht="15" customHeight="1">
      <c r="A398" t="inlineStr">
        <is>
          <t>A 7619-2023</t>
        </is>
      </c>
      <c r="B398" s="1" t="n">
        <v>44967</v>
      </c>
      <c r="C398" s="1" t="n">
        <v>45886</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24281-2024</t>
        </is>
      </c>
      <c r="B399" s="1" t="n">
        <v>45457</v>
      </c>
      <c r="C399" s="1" t="n">
        <v>45886</v>
      </c>
      <c r="D399" t="inlineStr">
        <is>
          <t>VÄRMLANDS LÄN</t>
        </is>
      </c>
      <c r="E399" t="inlineStr">
        <is>
          <t>ÅRJÄNG</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60377-2022</t>
        </is>
      </c>
      <c r="B400" s="1" t="n">
        <v>44904</v>
      </c>
      <c r="C400" s="1" t="n">
        <v>45886</v>
      </c>
      <c r="D400" t="inlineStr">
        <is>
          <t>VÄRMLANDS LÄN</t>
        </is>
      </c>
      <c r="E400" t="inlineStr">
        <is>
          <t>ÅRJÄNG</t>
        </is>
      </c>
      <c r="G400" t="n">
        <v>1</v>
      </c>
      <c r="H400" t="n">
        <v>0</v>
      </c>
      <c r="I400" t="n">
        <v>0</v>
      </c>
      <c r="J400" t="n">
        <v>0</v>
      </c>
      <c r="K400" t="n">
        <v>0</v>
      </c>
      <c r="L400" t="n">
        <v>0</v>
      </c>
      <c r="M400" t="n">
        <v>0</v>
      </c>
      <c r="N400" t="n">
        <v>0</v>
      </c>
      <c r="O400" t="n">
        <v>0</v>
      </c>
      <c r="P400" t="n">
        <v>0</v>
      </c>
      <c r="Q400" t="n">
        <v>0</v>
      </c>
      <c r="R400" s="2" t="inlineStr"/>
    </row>
    <row r="401" ht="15" customHeight="1">
      <c r="A401" t="inlineStr">
        <is>
          <t>A 65844-2021</t>
        </is>
      </c>
      <c r="B401" s="1" t="n">
        <v>44517.36067129629</v>
      </c>
      <c r="C401" s="1" t="n">
        <v>45886</v>
      </c>
      <c r="D401" t="inlineStr">
        <is>
          <t>VÄRMLANDS LÄN</t>
        </is>
      </c>
      <c r="E401" t="inlineStr">
        <is>
          <t>ÅRJÄNG</t>
        </is>
      </c>
      <c r="G401" t="n">
        <v>4.6</v>
      </c>
      <c r="H401" t="n">
        <v>0</v>
      </c>
      <c r="I401" t="n">
        <v>0</v>
      </c>
      <c r="J401" t="n">
        <v>0</v>
      </c>
      <c r="K401" t="n">
        <v>0</v>
      </c>
      <c r="L401" t="n">
        <v>0</v>
      </c>
      <c r="M401" t="n">
        <v>0</v>
      </c>
      <c r="N401" t="n">
        <v>0</v>
      </c>
      <c r="O401" t="n">
        <v>0</v>
      </c>
      <c r="P401" t="n">
        <v>0</v>
      </c>
      <c r="Q401" t="n">
        <v>0</v>
      </c>
      <c r="R401" s="2" t="inlineStr"/>
    </row>
    <row r="402" ht="15" customHeight="1">
      <c r="A402" t="inlineStr">
        <is>
          <t>A 21081-2023</t>
        </is>
      </c>
      <c r="B402" s="1" t="n">
        <v>45057</v>
      </c>
      <c r="C402" s="1" t="n">
        <v>45886</v>
      </c>
      <c r="D402" t="inlineStr">
        <is>
          <t>VÄRMLANDS LÄN</t>
        </is>
      </c>
      <c r="E402" t="inlineStr">
        <is>
          <t>ÅRJÄNG</t>
        </is>
      </c>
      <c r="G402" t="n">
        <v>5.1</v>
      </c>
      <c r="H402" t="n">
        <v>0</v>
      </c>
      <c r="I402" t="n">
        <v>0</v>
      </c>
      <c r="J402" t="n">
        <v>0</v>
      </c>
      <c r="K402" t="n">
        <v>0</v>
      </c>
      <c r="L402" t="n">
        <v>0</v>
      </c>
      <c r="M402" t="n">
        <v>0</v>
      </c>
      <c r="N402" t="n">
        <v>0</v>
      </c>
      <c r="O402" t="n">
        <v>0</v>
      </c>
      <c r="P402" t="n">
        <v>0</v>
      </c>
      <c r="Q402" t="n">
        <v>0</v>
      </c>
      <c r="R402" s="2" t="inlineStr"/>
    </row>
    <row r="403" ht="15" customHeight="1">
      <c r="A403" t="inlineStr">
        <is>
          <t>A 21258-2025</t>
        </is>
      </c>
      <c r="B403" s="1" t="n">
        <v>45779.59001157407</v>
      </c>
      <c r="C403" s="1" t="n">
        <v>45886</v>
      </c>
      <c r="D403" t="inlineStr">
        <is>
          <t>VÄRMLANDS LÄN</t>
        </is>
      </c>
      <c r="E403" t="inlineStr">
        <is>
          <t>ÅRJÄNG</t>
        </is>
      </c>
      <c r="G403" t="n">
        <v>2.9</v>
      </c>
      <c r="H403" t="n">
        <v>0</v>
      </c>
      <c r="I403" t="n">
        <v>0</v>
      </c>
      <c r="J403" t="n">
        <v>0</v>
      </c>
      <c r="K403" t="n">
        <v>0</v>
      </c>
      <c r="L403" t="n">
        <v>0</v>
      </c>
      <c r="M403" t="n">
        <v>0</v>
      </c>
      <c r="N403" t="n">
        <v>0</v>
      </c>
      <c r="O403" t="n">
        <v>0</v>
      </c>
      <c r="P403" t="n">
        <v>0</v>
      </c>
      <c r="Q403" t="n">
        <v>0</v>
      </c>
      <c r="R403" s="2" t="inlineStr"/>
    </row>
    <row r="404" ht="15" customHeight="1">
      <c r="A404" t="inlineStr">
        <is>
          <t>A 46315-2024</t>
        </is>
      </c>
      <c r="B404" s="1" t="n">
        <v>45581.73703703703</v>
      </c>
      <c r="C404" s="1" t="n">
        <v>45886</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14910-2025</t>
        </is>
      </c>
      <c r="B405" s="1" t="n">
        <v>45743.52327546296</v>
      </c>
      <c r="C405" s="1" t="n">
        <v>45886</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11198-2025</t>
        </is>
      </c>
      <c r="B406" s="1" t="n">
        <v>45725</v>
      </c>
      <c r="C406" s="1" t="n">
        <v>45886</v>
      </c>
      <c r="D406" t="inlineStr">
        <is>
          <t>VÄRMLANDS LÄN</t>
        </is>
      </c>
      <c r="E406" t="inlineStr">
        <is>
          <t>ÅRJÄNG</t>
        </is>
      </c>
      <c r="G406" t="n">
        <v>3.5</v>
      </c>
      <c r="H406" t="n">
        <v>0</v>
      </c>
      <c r="I406" t="n">
        <v>0</v>
      </c>
      <c r="J406" t="n">
        <v>0</v>
      </c>
      <c r="K406" t="n">
        <v>0</v>
      </c>
      <c r="L406" t="n">
        <v>0</v>
      </c>
      <c r="M406" t="n">
        <v>0</v>
      </c>
      <c r="N406" t="n">
        <v>0</v>
      </c>
      <c r="O406" t="n">
        <v>0</v>
      </c>
      <c r="P406" t="n">
        <v>0</v>
      </c>
      <c r="Q406" t="n">
        <v>0</v>
      </c>
      <c r="R406" s="2" t="inlineStr"/>
    </row>
    <row r="407" ht="15" customHeight="1">
      <c r="A407" t="inlineStr">
        <is>
          <t>A 7193-2024</t>
        </is>
      </c>
      <c r="B407" s="1" t="n">
        <v>45344</v>
      </c>
      <c r="C407" s="1" t="n">
        <v>45886</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68687-2020</t>
        </is>
      </c>
      <c r="B408" s="1" t="n">
        <v>44187</v>
      </c>
      <c r="C408" s="1" t="n">
        <v>45886</v>
      </c>
      <c r="D408" t="inlineStr">
        <is>
          <t>VÄRMLANDS LÄN</t>
        </is>
      </c>
      <c r="E408" t="inlineStr">
        <is>
          <t>ÅRJÄNG</t>
        </is>
      </c>
      <c r="G408" t="n">
        <v>7.6</v>
      </c>
      <c r="H408" t="n">
        <v>0</v>
      </c>
      <c r="I408" t="n">
        <v>0</v>
      </c>
      <c r="J408" t="n">
        <v>0</v>
      </c>
      <c r="K408" t="n">
        <v>0</v>
      </c>
      <c r="L408" t="n">
        <v>0</v>
      </c>
      <c r="M408" t="n">
        <v>0</v>
      </c>
      <c r="N408" t="n">
        <v>0</v>
      </c>
      <c r="O408" t="n">
        <v>0</v>
      </c>
      <c r="P408" t="n">
        <v>0</v>
      </c>
      <c r="Q408" t="n">
        <v>0</v>
      </c>
      <c r="R408" s="2" t="inlineStr"/>
    </row>
    <row r="409" ht="15" customHeight="1">
      <c r="A409" t="inlineStr">
        <is>
          <t>A 1467-2025</t>
        </is>
      </c>
      <c r="B409" s="1" t="n">
        <v>45667</v>
      </c>
      <c r="C409" s="1" t="n">
        <v>45886</v>
      </c>
      <c r="D409" t="inlineStr">
        <is>
          <t>VÄRMLANDS LÄN</t>
        </is>
      </c>
      <c r="E409" t="inlineStr">
        <is>
          <t>ÅRJÄNG</t>
        </is>
      </c>
      <c r="F409" t="inlineStr">
        <is>
          <t>Övriga Aktiebolag</t>
        </is>
      </c>
      <c r="G409" t="n">
        <v>1.8</v>
      </c>
      <c r="H409" t="n">
        <v>0</v>
      </c>
      <c r="I409" t="n">
        <v>0</v>
      </c>
      <c r="J409" t="n">
        <v>0</v>
      </c>
      <c r="K409" t="n">
        <v>0</v>
      </c>
      <c r="L409" t="n">
        <v>0</v>
      </c>
      <c r="M409" t="n">
        <v>0</v>
      </c>
      <c r="N409" t="n">
        <v>0</v>
      </c>
      <c r="O409" t="n">
        <v>0</v>
      </c>
      <c r="P409" t="n">
        <v>0</v>
      </c>
      <c r="Q409" t="n">
        <v>0</v>
      </c>
      <c r="R409" s="2" t="inlineStr"/>
    </row>
    <row r="410" ht="15" customHeight="1">
      <c r="A410" t="inlineStr">
        <is>
          <t>A 31793-2023</t>
        </is>
      </c>
      <c r="B410" s="1" t="n">
        <v>45118.43685185185</v>
      </c>
      <c r="C410" s="1" t="n">
        <v>45886</v>
      </c>
      <c r="D410" t="inlineStr">
        <is>
          <t>VÄRMLANDS LÄN</t>
        </is>
      </c>
      <c r="E410" t="inlineStr">
        <is>
          <t>ÅRJÄNG</t>
        </is>
      </c>
      <c r="G410" t="n">
        <v>10.9</v>
      </c>
      <c r="H410" t="n">
        <v>0</v>
      </c>
      <c r="I410" t="n">
        <v>0</v>
      </c>
      <c r="J410" t="n">
        <v>0</v>
      </c>
      <c r="K410" t="n">
        <v>0</v>
      </c>
      <c r="L410" t="n">
        <v>0</v>
      </c>
      <c r="M410" t="n">
        <v>0</v>
      </c>
      <c r="N410" t="n">
        <v>0</v>
      </c>
      <c r="O410" t="n">
        <v>0</v>
      </c>
      <c r="P410" t="n">
        <v>0</v>
      </c>
      <c r="Q410" t="n">
        <v>0</v>
      </c>
      <c r="R410" s="2" t="inlineStr"/>
    </row>
    <row r="411" ht="15" customHeight="1">
      <c r="A411" t="inlineStr">
        <is>
          <t>A 50347-2024</t>
        </is>
      </c>
      <c r="B411" s="1" t="n">
        <v>45600</v>
      </c>
      <c r="C411" s="1" t="n">
        <v>45886</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37220-2024</t>
        </is>
      </c>
      <c r="B412" s="1" t="n">
        <v>45539.84837962963</v>
      </c>
      <c r="C412" s="1" t="n">
        <v>45886</v>
      </c>
      <c r="D412" t="inlineStr">
        <is>
          <t>VÄRMLANDS LÄN</t>
        </is>
      </c>
      <c r="E412" t="inlineStr">
        <is>
          <t>ÅRJÄNG</t>
        </is>
      </c>
      <c r="G412" t="n">
        <v>3.5</v>
      </c>
      <c r="H412" t="n">
        <v>0</v>
      </c>
      <c r="I412" t="n">
        <v>0</v>
      </c>
      <c r="J412" t="n">
        <v>0</v>
      </c>
      <c r="K412" t="n">
        <v>0</v>
      </c>
      <c r="L412" t="n">
        <v>0</v>
      </c>
      <c r="M412" t="n">
        <v>0</v>
      </c>
      <c r="N412" t="n">
        <v>0</v>
      </c>
      <c r="O412" t="n">
        <v>0</v>
      </c>
      <c r="P412" t="n">
        <v>0</v>
      </c>
      <c r="Q412" t="n">
        <v>0</v>
      </c>
      <c r="R412" s="2" t="inlineStr"/>
    </row>
    <row r="413" ht="15" customHeight="1">
      <c r="A413" t="inlineStr">
        <is>
          <t>A 12006-2023</t>
        </is>
      </c>
      <c r="B413" s="1" t="n">
        <v>44995.61495370371</v>
      </c>
      <c r="C413" s="1" t="n">
        <v>45886</v>
      </c>
      <c r="D413" t="inlineStr">
        <is>
          <t>VÄRMLANDS LÄN</t>
        </is>
      </c>
      <c r="E413" t="inlineStr">
        <is>
          <t>ÅRJÄNG</t>
        </is>
      </c>
      <c r="G413" t="n">
        <v>0.9</v>
      </c>
      <c r="H413" t="n">
        <v>0</v>
      </c>
      <c r="I413" t="n">
        <v>0</v>
      </c>
      <c r="J413" t="n">
        <v>0</v>
      </c>
      <c r="K413" t="n">
        <v>0</v>
      </c>
      <c r="L413" t="n">
        <v>0</v>
      </c>
      <c r="M413" t="n">
        <v>0</v>
      </c>
      <c r="N413" t="n">
        <v>0</v>
      </c>
      <c r="O413" t="n">
        <v>0</v>
      </c>
      <c r="P413" t="n">
        <v>0</v>
      </c>
      <c r="Q413" t="n">
        <v>0</v>
      </c>
      <c r="R413" s="2" t="inlineStr"/>
    </row>
    <row r="414" ht="15" customHeight="1">
      <c r="A414" t="inlineStr">
        <is>
          <t>A 22276-2025</t>
        </is>
      </c>
      <c r="B414" s="1" t="n">
        <v>45786.32737268518</v>
      </c>
      <c r="C414" s="1" t="n">
        <v>45886</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52803-2024</t>
        </is>
      </c>
      <c r="B415" s="1" t="n">
        <v>45610</v>
      </c>
      <c r="C415" s="1" t="n">
        <v>45886</v>
      </c>
      <c r="D415" t="inlineStr">
        <is>
          <t>VÄRMLANDS LÄN</t>
        </is>
      </c>
      <c r="E415" t="inlineStr">
        <is>
          <t>ÅRJÄNG</t>
        </is>
      </c>
      <c r="G415" t="n">
        <v>1.3</v>
      </c>
      <c r="H415" t="n">
        <v>0</v>
      </c>
      <c r="I415" t="n">
        <v>0</v>
      </c>
      <c r="J415" t="n">
        <v>0</v>
      </c>
      <c r="K415" t="n">
        <v>0</v>
      </c>
      <c r="L415" t="n">
        <v>0</v>
      </c>
      <c r="M415" t="n">
        <v>0</v>
      </c>
      <c r="N415" t="n">
        <v>0</v>
      </c>
      <c r="O415" t="n">
        <v>0</v>
      </c>
      <c r="P415" t="n">
        <v>0</v>
      </c>
      <c r="Q415" t="n">
        <v>0</v>
      </c>
      <c r="R415" s="2" t="inlineStr"/>
    </row>
    <row r="416" ht="15" customHeight="1">
      <c r="A416" t="inlineStr">
        <is>
          <t>A 6405-2024</t>
        </is>
      </c>
      <c r="B416" s="1" t="n">
        <v>45338</v>
      </c>
      <c r="C416" s="1" t="n">
        <v>45886</v>
      </c>
      <c r="D416" t="inlineStr">
        <is>
          <t>VÄRMLANDS LÄN</t>
        </is>
      </c>
      <c r="E416" t="inlineStr">
        <is>
          <t>ÅRJÄNG</t>
        </is>
      </c>
      <c r="G416" t="n">
        <v>1.4</v>
      </c>
      <c r="H416" t="n">
        <v>0</v>
      </c>
      <c r="I416" t="n">
        <v>0</v>
      </c>
      <c r="J416" t="n">
        <v>0</v>
      </c>
      <c r="K416" t="n">
        <v>0</v>
      </c>
      <c r="L416" t="n">
        <v>0</v>
      </c>
      <c r="M416" t="n">
        <v>0</v>
      </c>
      <c r="N416" t="n">
        <v>0</v>
      </c>
      <c r="O416" t="n">
        <v>0</v>
      </c>
      <c r="P416" t="n">
        <v>0</v>
      </c>
      <c r="Q416" t="n">
        <v>0</v>
      </c>
      <c r="R416" s="2" t="inlineStr"/>
    </row>
    <row r="417" ht="15" customHeight="1">
      <c r="A417" t="inlineStr">
        <is>
          <t>A 22352-2025</t>
        </is>
      </c>
      <c r="B417" s="1" t="n">
        <v>45786.45491898148</v>
      </c>
      <c r="C417" s="1" t="n">
        <v>45886</v>
      </c>
      <c r="D417" t="inlineStr">
        <is>
          <t>VÄRMLANDS LÄN</t>
        </is>
      </c>
      <c r="E417" t="inlineStr">
        <is>
          <t>ÅRJÄNG</t>
        </is>
      </c>
      <c r="G417" t="n">
        <v>5.4</v>
      </c>
      <c r="H417" t="n">
        <v>0</v>
      </c>
      <c r="I417" t="n">
        <v>0</v>
      </c>
      <c r="J417" t="n">
        <v>0</v>
      </c>
      <c r="K417" t="n">
        <v>0</v>
      </c>
      <c r="L417" t="n">
        <v>0</v>
      </c>
      <c r="M417" t="n">
        <v>0</v>
      </c>
      <c r="N417" t="n">
        <v>0</v>
      </c>
      <c r="O417" t="n">
        <v>0</v>
      </c>
      <c r="P417" t="n">
        <v>0</v>
      </c>
      <c r="Q417" t="n">
        <v>0</v>
      </c>
      <c r="R417" s="2" t="inlineStr"/>
    </row>
    <row r="418" ht="15" customHeight="1">
      <c r="A418" t="inlineStr">
        <is>
          <t>A 63203-2021</t>
        </is>
      </c>
      <c r="B418" s="1" t="n">
        <v>44507.78568287037</v>
      </c>
      <c r="C418" s="1" t="n">
        <v>45886</v>
      </c>
      <c r="D418" t="inlineStr">
        <is>
          <t>VÄRMLANDS LÄN</t>
        </is>
      </c>
      <c r="E418" t="inlineStr">
        <is>
          <t>ÅRJÄNG</t>
        </is>
      </c>
      <c r="G418" t="n">
        <v>2.8</v>
      </c>
      <c r="H418" t="n">
        <v>0</v>
      </c>
      <c r="I418" t="n">
        <v>0</v>
      </c>
      <c r="J418" t="n">
        <v>0</v>
      </c>
      <c r="K418" t="n">
        <v>0</v>
      </c>
      <c r="L418" t="n">
        <v>0</v>
      </c>
      <c r="M418" t="n">
        <v>0</v>
      </c>
      <c r="N418" t="n">
        <v>0</v>
      </c>
      <c r="O418" t="n">
        <v>0</v>
      </c>
      <c r="P418" t="n">
        <v>0</v>
      </c>
      <c r="Q418" t="n">
        <v>0</v>
      </c>
      <c r="R418" s="2" t="inlineStr"/>
    </row>
    <row r="419" ht="15" customHeight="1">
      <c r="A419" t="inlineStr">
        <is>
          <t>A 13859-2023</t>
        </is>
      </c>
      <c r="B419" s="1" t="n">
        <v>45007.63384259259</v>
      </c>
      <c r="C419" s="1" t="n">
        <v>45886</v>
      </c>
      <c r="D419" t="inlineStr">
        <is>
          <t>VÄRMLANDS LÄN</t>
        </is>
      </c>
      <c r="E419" t="inlineStr">
        <is>
          <t>ÅRJÄNG</t>
        </is>
      </c>
      <c r="G419" t="n">
        <v>3</v>
      </c>
      <c r="H419" t="n">
        <v>0</v>
      </c>
      <c r="I419" t="n">
        <v>0</v>
      </c>
      <c r="J419" t="n">
        <v>0</v>
      </c>
      <c r="K419" t="n">
        <v>0</v>
      </c>
      <c r="L419" t="n">
        <v>0</v>
      </c>
      <c r="M419" t="n">
        <v>0</v>
      </c>
      <c r="N419" t="n">
        <v>0</v>
      </c>
      <c r="O419" t="n">
        <v>0</v>
      </c>
      <c r="P419" t="n">
        <v>0</v>
      </c>
      <c r="Q419" t="n">
        <v>0</v>
      </c>
      <c r="R419" s="2" t="inlineStr"/>
    </row>
    <row r="420" ht="15" customHeight="1">
      <c r="A420" t="inlineStr">
        <is>
          <t>A 63796-2021</t>
        </is>
      </c>
      <c r="B420" s="1" t="n">
        <v>44509</v>
      </c>
      <c r="C420" s="1" t="n">
        <v>45886</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8094-2025</t>
        </is>
      </c>
      <c r="B421" s="1" t="n">
        <v>45707.68126157407</v>
      </c>
      <c r="C421" s="1" t="n">
        <v>45886</v>
      </c>
      <c r="D421" t="inlineStr">
        <is>
          <t>VÄRMLANDS LÄN</t>
        </is>
      </c>
      <c r="E421" t="inlineStr">
        <is>
          <t>ÅRJÄNG</t>
        </is>
      </c>
      <c r="G421" t="n">
        <v>12.6</v>
      </c>
      <c r="H421" t="n">
        <v>0</v>
      </c>
      <c r="I421" t="n">
        <v>0</v>
      </c>
      <c r="J421" t="n">
        <v>0</v>
      </c>
      <c r="K421" t="n">
        <v>0</v>
      </c>
      <c r="L421" t="n">
        <v>0</v>
      </c>
      <c r="M421" t="n">
        <v>0</v>
      </c>
      <c r="N421" t="n">
        <v>0</v>
      </c>
      <c r="O421" t="n">
        <v>0</v>
      </c>
      <c r="P421" t="n">
        <v>0</v>
      </c>
      <c r="Q421" t="n">
        <v>0</v>
      </c>
      <c r="R421" s="2" t="inlineStr"/>
    </row>
    <row r="422" ht="15" customHeight="1">
      <c r="A422" t="inlineStr">
        <is>
          <t>A 50941-2023</t>
        </is>
      </c>
      <c r="B422" s="1" t="n">
        <v>45218</v>
      </c>
      <c r="C422" s="1" t="n">
        <v>45886</v>
      </c>
      <c r="D422" t="inlineStr">
        <is>
          <t>VÄRMLANDS LÄN</t>
        </is>
      </c>
      <c r="E422" t="inlineStr">
        <is>
          <t>ÅRJÄNG</t>
        </is>
      </c>
      <c r="G422" t="n">
        <v>1.1</v>
      </c>
      <c r="H422" t="n">
        <v>0</v>
      </c>
      <c r="I422" t="n">
        <v>0</v>
      </c>
      <c r="J422" t="n">
        <v>0</v>
      </c>
      <c r="K422" t="n">
        <v>0</v>
      </c>
      <c r="L422" t="n">
        <v>0</v>
      </c>
      <c r="M422" t="n">
        <v>0</v>
      </c>
      <c r="N422" t="n">
        <v>0</v>
      </c>
      <c r="O422" t="n">
        <v>0</v>
      </c>
      <c r="P422" t="n">
        <v>0</v>
      </c>
      <c r="Q422" t="n">
        <v>0</v>
      </c>
      <c r="R422" s="2" t="inlineStr"/>
    </row>
    <row r="423" ht="15" customHeight="1">
      <c r="A423" t="inlineStr">
        <is>
          <t>A 57651-2024</t>
        </is>
      </c>
      <c r="B423" s="1" t="n">
        <v>45630</v>
      </c>
      <c r="C423" s="1" t="n">
        <v>45886</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28317-2023</t>
        </is>
      </c>
      <c r="B424" s="1" t="n">
        <v>45099</v>
      </c>
      <c r="C424" s="1" t="n">
        <v>45886</v>
      </c>
      <c r="D424" t="inlineStr">
        <is>
          <t>VÄRMLANDS LÄN</t>
        </is>
      </c>
      <c r="E424" t="inlineStr">
        <is>
          <t>ÅRJÄNG</t>
        </is>
      </c>
      <c r="G424" t="n">
        <v>10.2</v>
      </c>
      <c r="H424" t="n">
        <v>0</v>
      </c>
      <c r="I424" t="n">
        <v>0</v>
      </c>
      <c r="J424" t="n">
        <v>0</v>
      </c>
      <c r="K424" t="n">
        <v>0</v>
      </c>
      <c r="L424" t="n">
        <v>0</v>
      </c>
      <c r="M424" t="n">
        <v>0</v>
      </c>
      <c r="N424" t="n">
        <v>0</v>
      </c>
      <c r="O424" t="n">
        <v>0</v>
      </c>
      <c r="P424" t="n">
        <v>0</v>
      </c>
      <c r="Q424" t="n">
        <v>0</v>
      </c>
      <c r="R424" s="2" t="inlineStr"/>
    </row>
    <row r="425" ht="15" customHeight="1">
      <c r="A425" t="inlineStr">
        <is>
          <t>A 35133-2024</t>
        </is>
      </c>
      <c r="B425" s="1" t="n">
        <v>45529</v>
      </c>
      <c r="C425" s="1" t="n">
        <v>45886</v>
      </c>
      <c r="D425" t="inlineStr">
        <is>
          <t>VÄRMLANDS LÄN</t>
        </is>
      </c>
      <c r="E425" t="inlineStr">
        <is>
          <t>ÅRJÄNG</t>
        </is>
      </c>
      <c r="G425" t="n">
        <v>10.2</v>
      </c>
      <c r="H425" t="n">
        <v>0</v>
      </c>
      <c r="I425" t="n">
        <v>0</v>
      </c>
      <c r="J425" t="n">
        <v>0</v>
      </c>
      <c r="K425" t="n">
        <v>0</v>
      </c>
      <c r="L425" t="n">
        <v>0</v>
      </c>
      <c r="M425" t="n">
        <v>0</v>
      </c>
      <c r="N425" t="n">
        <v>0</v>
      </c>
      <c r="O425" t="n">
        <v>0</v>
      </c>
      <c r="P425" t="n">
        <v>0</v>
      </c>
      <c r="Q425" t="n">
        <v>0</v>
      </c>
      <c r="R425" s="2" t="inlineStr"/>
    </row>
    <row r="426" ht="15" customHeight="1">
      <c r="A426" t="inlineStr">
        <is>
          <t>A 22281-2025</t>
        </is>
      </c>
      <c r="B426" s="1" t="n">
        <v>45786.33900462963</v>
      </c>
      <c r="C426" s="1" t="n">
        <v>45886</v>
      </c>
      <c r="D426" t="inlineStr">
        <is>
          <t>VÄRMLANDS LÄN</t>
        </is>
      </c>
      <c r="E426" t="inlineStr">
        <is>
          <t>ÅRJÄNG</t>
        </is>
      </c>
      <c r="G426" t="n">
        <v>2.4</v>
      </c>
      <c r="H426" t="n">
        <v>0</v>
      </c>
      <c r="I426" t="n">
        <v>0</v>
      </c>
      <c r="J426" t="n">
        <v>0</v>
      </c>
      <c r="K426" t="n">
        <v>0</v>
      </c>
      <c r="L426" t="n">
        <v>0</v>
      </c>
      <c r="M426" t="n">
        <v>0</v>
      </c>
      <c r="N426" t="n">
        <v>0</v>
      </c>
      <c r="O426" t="n">
        <v>0</v>
      </c>
      <c r="P426" t="n">
        <v>0</v>
      </c>
      <c r="Q426" t="n">
        <v>0</v>
      </c>
      <c r="R426" s="2" t="inlineStr"/>
    </row>
    <row r="427" ht="15" customHeight="1">
      <c r="A427" t="inlineStr">
        <is>
          <t>A 4465-2022</t>
        </is>
      </c>
      <c r="B427" s="1" t="n">
        <v>44589.60690972222</v>
      </c>
      <c r="C427" s="1" t="n">
        <v>45886</v>
      </c>
      <c r="D427" t="inlineStr">
        <is>
          <t>VÄRMLANDS LÄN</t>
        </is>
      </c>
      <c r="E427" t="inlineStr">
        <is>
          <t>ÅRJÄNG</t>
        </is>
      </c>
      <c r="G427" t="n">
        <v>1.1</v>
      </c>
      <c r="H427" t="n">
        <v>0</v>
      </c>
      <c r="I427" t="n">
        <v>0</v>
      </c>
      <c r="J427" t="n">
        <v>0</v>
      </c>
      <c r="K427" t="n">
        <v>0</v>
      </c>
      <c r="L427" t="n">
        <v>0</v>
      </c>
      <c r="M427" t="n">
        <v>0</v>
      </c>
      <c r="N427" t="n">
        <v>0</v>
      </c>
      <c r="O427" t="n">
        <v>0</v>
      </c>
      <c r="P427" t="n">
        <v>0</v>
      </c>
      <c r="Q427" t="n">
        <v>0</v>
      </c>
      <c r="R427" s="2" t="inlineStr"/>
    </row>
    <row r="428" ht="15" customHeight="1">
      <c r="A428" t="inlineStr">
        <is>
          <t>A 58874-2023</t>
        </is>
      </c>
      <c r="B428" s="1" t="n">
        <v>45252</v>
      </c>
      <c r="C428" s="1" t="n">
        <v>45886</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58767-2024</t>
        </is>
      </c>
      <c r="B429" s="1" t="n">
        <v>45635.75033564815</v>
      </c>
      <c r="C429" s="1" t="n">
        <v>45886</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62357-2021</t>
        </is>
      </c>
      <c r="B430" s="1" t="n">
        <v>44503.45271990741</v>
      </c>
      <c r="C430" s="1" t="n">
        <v>45886</v>
      </c>
      <c r="D430" t="inlineStr">
        <is>
          <t>VÄRMLANDS LÄN</t>
        </is>
      </c>
      <c r="E430" t="inlineStr">
        <is>
          <t>ÅRJÄNG</t>
        </is>
      </c>
      <c r="G430" t="n">
        <v>1.9</v>
      </c>
      <c r="H430" t="n">
        <v>0</v>
      </c>
      <c r="I430" t="n">
        <v>0</v>
      </c>
      <c r="J430" t="n">
        <v>0</v>
      </c>
      <c r="K430" t="n">
        <v>0</v>
      </c>
      <c r="L430" t="n">
        <v>0</v>
      </c>
      <c r="M430" t="n">
        <v>0</v>
      </c>
      <c r="N430" t="n">
        <v>0</v>
      </c>
      <c r="O430" t="n">
        <v>0</v>
      </c>
      <c r="P430" t="n">
        <v>0</v>
      </c>
      <c r="Q430" t="n">
        <v>0</v>
      </c>
      <c r="R430" s="2" t="inlineStr"/>
    </row>
    <row r="431" ht="15" customHeight="1">
      <c r="A431" t="inlineStr">
        <is>
          <t>A 22667-2025</t>
        </is>
      </c>
      <c r="B431" s="1" t="n">
        <v>45789</v>
      </c>
      <c r="C431" s="1" t="n">
        <v>45886</v>
      </c>
      <c r="D431" t="inlineStr">
        <is>
          <t>VÄRMLANDS LÄN</t>
        </is>
      </c>
      <c r="E431" t="inlineStr">
        <is>
          <t>ÅRJÄNG</t>
        </is>
      </c>
      <c r="G431" t="n">
        <v>4.4</v>
      </c>
      <c r="H431" t="n">
        <v>0</v>
      </c>
      <c r="I431" t="n">
        <v>0</v>
      </c>
      <c r="J431" t="n">
        <v>0</v>
      </c>
      <c r="K431" t="n">
        <v>0</v>
      </c>
      <c r="L431" t="n">
        <v>0</v>
      </c>
      <c r="M431" t="n">
        <v>0</v>
      </c>
      <c r="N431" t="n">
        <v>0</v>
      </c>
      <c r="O431" t="n">
        <v>0</v>
      </c>
      <c r="P431" t="n">
        <v>0</v>
      </c>
      <c r="Q431" t="n">
        <v>0</v>
      </c>
      <c r="R431" s="2" t="inlineStr"/>
    </row>
    <row r="432" ht="15" customHeight="1">
      <c r="A432" t="inlineStr">
        <is>
          <t>A 29204-2023</t>
        </is>
      </c>
      <c r="B432" s="1" t="n">
        <v>45105.5669212963</v>
      </c>
      <c r="C432" s="1" t="n">
        <v>45886</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38536-2024</t>
        </is>
      </c>
      <c r="B433" s="1" t="n">
        <v>45546.59431712963</v>
      </c>
      <c r="C433" s="1" t="n">
        <v>45886</v>
      </c>
      <c r="D433" t="inlineStr">
        <is>
          <t>VÄRMLANDS LÄN</t>
        </is>
      </c>
      <c r="E433" t="inlineStr">
        <is>
          <t>ÅRJÄNG</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17015-2023</t>
        </is>
      </c>
      <c r="B434" s="1" t="n">
        <v>45030</v>
      </c>
      <c r="C434" s="1" t="n">
        <v>45886</v>
      </c>
      <c r="D434" t="inlineStr">
        <is>
          <t>VÄRMLANDS LÄN</t>
        </is>
      </c>
      <c r="E434" t="inlineStr">
        <is>
          <t>ÅRJÄNG</t>
        </is>
      </c>
      <c r="F434" t="inlineStr">
        <is>
          <t>Övriga Aktiebolag</t>
        </is>
      </c>
      <c r="G434" t="n">
        <v>13.9</v>
      </c>
      <c r="H434" t="n">
        <v>0</v>
      </c>
      <c r="I434" t="n">
        <v>0</v>
      </c>
      <c r="J434" t="n">
        <v>0</v>
      </c>
      <c r="K434" t="n">
        <v>0</v>
      </c>
      <c r="L434" t="n">
        <v>0</v>
      </c>
      <c r="M434" t="n">
        <v>0</v>
      </c>
      <c r="N434" t="n">
        <v>0</v>
      </c>
      <c r="O434" t="n">
        <v>0</v>
      </c>
      <c r="P434" t="n">
        <v>0</v>
      </c>
      <c r="Q434" t="n">
        <v>0</v>
      </c>
      <c r="R434" s="2" t="inlineStr"/>
    </row>
    <row r="435" ht="15" customHeight="1">
      <c r="A435" t="inlineStr">
        <is>
          <t>A 67134-2020</t>
        </is>
      </c>
      <c r="B435" s="1" t="n">
        <v>44179</v>
      </c>
      <c r="C435" s="1" t="n">
        <v>45886</v>
      </c>
      <c r="D435" t="inlineStr">
        <is>
          <t>VÄRMLANDS LÄN</t>
        </is>
      </c>
      <c r="E435" t="inlineStr">
        <is>
          <t>ÅRJÄNG</t>
        </is>
      </c>
      <c r="G435" t="n">
        <v>0.7</v>
      </c>
      <c r="H435" t="n">
        <v>0</v>
      </c>
      <c r="I435" t="n">
        <v>0</v>
      </c>
      <c r="J435" t="n">
        <v>0</v>
      </c>
      <c r="K435" t="n">
        <v>0</v>
      </c>
      <c r="L435" t="n">
        <v>0</v>
      </c>
      <c r="M435" t="n">
        <v>0</v>
      </c>
      <c r="N435" t="n">
        <v>0</v>
      </c>
      <c r="O435" t="n">
        <v>0</v>
      </c>
      <c r="P435" t="n">
        <v>0</v>
      </c>
      <c r="Q435" t="n">
        <v>0</v>
      </c>
      <c r="R435" s="2" t="inlineStr"/>
    </row>
    <row r="436" ht="15" customHeight="1">
      <c r="A436" t="inlineStr">
        <is>
          <t>A 23039-2025</t>
        </is>
      </c>
      <c r="B436" s="1" t="n">
        <v>45790</v>
      </c>
      <c r="C436" s="1" t="n">
        <v>45886</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22556-2025</t>
        </is>
      </c>
      <c r="B437" s="1" t="n">
        <v>45788.93663194445</v>
      </c>
      <c r="C437" s="1" t="n">
        <v>45886</v>
      </c>
      <c r="D437" t="inlineStr">
        <is>
          <t>VÄRMLANDS LÄN</t>
        </is>
      </c>
      <c r="E437" t="inlineStr">
        <is>
          <t>ÅRJÄNG</t>
        </is>
      </c>
      <c r="G437" t="n">
        <v>1.9</v>
      </c>
      <c r="H437" t="n">
        <v>0</v>
      </c>
      <c r="I437" t="n">
        <v>0</v>
      </c>
      <c r="J437" t="n">
        <v>0</v>
      </c>
      <c r="K437" t="n">
        <v>0</v>
      </c>
      <c r="L437" t="n">
        <v>0</v>
      </c>
      <c r="M437" t="n">
        <v>0</v>
      </c>
      <c r="N437" t="n">
        <v>0</v>
      </c>
      <c r="O437" t="n">
        <v>0</v>
      </c>
      <c r="P437" t="n">
        <v>0</v>
      </c>
      <c r="Q437" t="n">
        <v>0</v>
      </c>
      <c r="R437" s="2" t="inlineStr"/>
    </row>
    <row r="438" ht="15" customHeight="1">
      <c r="A438" t="inlineStr">
        <is>
          <t>A 37026-2024</t>
        </is>
      </c>
      <c r="B438" s="1" t="n">
        <v>45539</v>
      </c>
      <c r="C438" s="1" t="n">
        <v>45886</v>
      </c>
      <c r="D438" t="inlineStr">
        <is>
          <t>VÄRMLANDS LÄN</t>
        </is>
      </c>
      <c r="E438" t="inlineStr">
        <is>
          <t>ÅRJÄNG</t>
        </is>
      </c>
      <c r="G438" t="n">
        <v>1.9</v>
      </c>
      <c r="H438" t="n">
        <v>0</v>
      </c>
      <c r="I438" t="n">
        <v>0</v>
      </c>
      <c r="J438" t="n">
        <v>0</v>
      </c>
      <c r="K438" t="n">
        <v>0</v>
      </c>
      <c r="L438" t="n">
        <v>0</v>
      </c>
      <c r="M438" t="n">
        <v>0</v>
      </c>
      <c r="N438" t="n">
        <v>0</v>
      </c>
      <c r="O438" t="n">
        <v>0</v>
      </c>
      <c r="P438" t="n">
        <v>0</v>
      </c>
      <c r="Q438" t="n">
        <v>0</v>
      </c>
      <c r="R438" s="2" t="inlineStr"/>
    </row>
    <row r="439" ht="15" customHeight="1">
      <c r="A439" t="inlineStr">
        <is>
          <t>A 11899-2025</t>
        </is>
      </c>
      <c r="B439" s="1" t="n">
        <v>45728</v>
      </c>
      <c r="C439" s="1" t="n">
        <v>45886</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22635-2025</t>
        </is>
      </c>
      <c r="B440" s="1" t="n">
        <v>45789</v>
      </c>
      <c r="C440" s="1" t="n">
        <v>45886</v>
      </c>
      <c r="D440" t="inlineStr">
        <is>
          <t>VÄRMLANDS LÄN</t>
        </is>
      </c>
      <c r="E440" t="inlineStr">
        <is>
          <t>ÅRJÄNG</t>
        </is>
      </c>
      <c r="G440" t="n">
        <v>5.2</v>
      </c>
      <c r="H440" t="n">
        <v>0</v>
      </c>
      <c r="I440" t="n">
        <v>0</v>
      </c>
      <c r="J440" t="n">
        <v>0</v>
      </c>
      <c r="K440" t="n">
        <v>0</v>
      </c>
      <c r="L440" t="n">
        <v>0</v>
      </c>
      <c r="M440" t="n">
        <v>0</v>
      </c>
      <c r="N440" t="n">
        <v>0</v>
      </c>
      <c r="O440" t="n">
        <v>0</v>
      </c>
      <c r="P440" t="n">
        <v>0</v>
      </c>
      <c r="Q440" t="n">
        <v>0</v>
      </c>
      <c r="R440" s="2" t="inlineStr"/>
    </row>
    <row r="441" ht="15" customHeight="1">
      <c r="A441" t="inlineStr">
        <is>
          <t>A 38840-2023</t>
        </is>
      </c>
      <c r="B441" s="1" t="n">
        <v>45163.48267361111</v>
      </c>
      <c r="C441" s="1" t="n">
        <v>45886</v>
      </c>
      <c r="D441" t="inlineStr">
        <is>
          <t>VÄRMLANDS LÄN</t>
        </is>
      </c>
      <c r="E441" t="inlineStr">
        <is>
          <t>ÅRJÄNG</t>
        </is>
      </c>
      <c r="G441" t="n">
        <v>2.4</v>
      </c>
      <c r="H441" t="n">
        <v>0</v>
      </c>
      <c r="I441" t="n">
        <v>0</v>
      </c>
      <c r="J441" t="n">
        <v>0</v>
      </c>
      <c r="K441" t="n">
        <v>0</v>
      </c>
      <c r="L441" t="n">
        <v>0</v>
      </c>
      <c r="M441" t="n">
        <v>0</v>
      </c>
      <c r="N441" t="n">
        <v>0</v>
      </c>
      <c r="O441" t="n">
        <v>0</v>
      </c>
      <c r="P441" t="n">
        <v>0</v>
      </c>
      <c r="Q441" t="n">
        <v>0</v>
      </c>
      <c r="R441" s="2" t="inlineStr"/>
    </row>
    <row r="442" ht="15" customHeight="1">
      <c r="A442" t="inlineStr">
        <is>
          <t>A 36195-2023</t>
        </is>
      </c>
      <c r="B442" s="1" t="n">
        <v>45149</v>
      </c>
      <c r="C442" s="1" t="n">
        <v>45886</v>
      </c>
      <c r="D442" t="inlineStr">
        <is>
          <t>VÄRMLANDS LÄN</t>
        </is>
      </c>
      <c r="E442" t="inlineStr">
        <is>
          <t>ÅRJÄNG</t>
        </is>
      </c>
      <c r="G442" t="n">
        <v>2.3</v>
      </c>
      <c r="H442" t="n">
        <v>0</v>
      </c>
      <c r="I442" t="n">
        <v>0</v>
      </c>
      <c r="J442" t="n">
        <v>0</v>
      </c>
      <c r="K442" t="n">
        <v>0</v>
      </c>
      <c r="L442" t="n">
        <v>0</v>
      </c>
      <c r="M442" t="n">
        <v>0</v>
      </c>
      <c r="N442" t="n">
        <v>0</v>
      </c>
      <c r="O442" t="n">
        <v>0</v>
      </c>
      <c r="P442" t="n">
        <v>0</v>
      </c>
      <c r="Q442" t="n">
        <v>0</v>
      </c>
      <c r="R442" s="2" t="inlineStr"/>
    </row>
    <row r="443" ht="15" customHeight="1">
      <c r="A443" t="inlineStr">
        <is>
          <t>A 22727-2025</t>
        </is>
      </c>
      <c r="B443" s="1" t="n">
        <v>45789.5744212963</v>
      </c>
      <c r="C443" s="1" t="n">
        <v>45886</v>
      </c>
      <c r="D443" t="inlineStr">
        <is>
          <t>VÄRMLANDS LÄN</t>
        </is>
      </c>
      <c r="E443" t="inlineStr">
        <is>
          <t>ÅRJÄNG</t>
        </is>
      </c>
      <c r="G443" t="n">
        <v>1.4</v>
      </c>
      <c r="H443" t="n">
        <v>0</v>
      </c>
      <c r="I443" t="n">
        <v>0</v>
      </c>
      <c r="J443" t="n">
        <v>0</v>
      </c>
      <c r="K443" t="n">
        <v>0</v>
      </c>
      <c r="L443" t="n">
        <v>0</v>
      </c>
      <c r="M443" t="n">
        <v>0</v>
      </c>
      <c r="N443" t="n">
        <v>0</v>
      </c>
      <c r="O443" t="n">
        <v>0</v>
      </c>
      <c r="P443" t="n">
        <v>0</v>
      </c>
      <c r="Q443" t="n">
        <v>0</v>
      </c>
      <c r="R443" s="2" t="inlineStr"/>
    </row>
    <row r="444" ht="15" customHeight="1">
      <c r="A444" t="inlineStr">
        <is>
          <t>A 7445-2024</t>
        </is>
      </c>
      <c r="B444" s="1" t="n">
        <v>45345.73023148148</v>
      </c>
      <c r="C444" s="1" t="n">
        <v>45886</v>
      </c>
      <c r="D444" t="inlineStr">
        <is>
          <t>VÄRMLANDS LÄN</t>
        </is>
      </c>
      <c r="E444" t="inlineStr">
        <is>
          <t>ÅRJÄNG</t>
        </is>
      </c>
      <c r="G444" t="n">
        <v>0.5</v>
      </c>
      <c r="H444" t="n">
        <v>0</v>
      </c>
      <c r="I444" t="n">
        <v>0</v>
      </c>
      <c r="J444" t="n">
        <v>0</v>
      </c>
      <c r="K444" t="n">
        <v>0</v>
      </c>
      <c r="L444" t="n">
        <v>0</v>
      </c>
      <c r="M444" t="n">
        <v>0</v>
      </c>
      <c r="N444" t="n">
        <v>0</v>
      </c>
      <c r="O444" t="n">
        <v>0</v>
      </c>
      <c r="P444" t="n">
        <v>0</v>
      </c>
      <c r="Q444" t="n">
        <v>0</v>
      </c>
      <c r="R444" s="2" t="inlineStr"/>
    </row>
    <row r="445" ht="15" customHeight="1">
      <c r="A445" t="inlineStr">
        <is>
          <t>A 43659-2024</t>
        </is>
      </c>
      <c r="B445" s="1" t="n">
        <v>45569</v>
      </c>
      <c r="C445" s="1" t="n">
        <v>45886</v>
      </c>
      <c r="D445" t="inlineStr">
        <is>
          <t>VÄRMLANDS LÄN</t>
        </is>
      </c>
      <c r="E445" t="inlineStr">
        <is>
          <t>ÅRJÄNG</t>
        </is>
      </c>
      <c r="G445" t="n">
        <v>6</v>
      </c>
      <c r="H445" t="n">
        <v>0</v>
      </c>
      <c r="I445" t="n">
        <v>0</v>
      </c>
      <c r="J445" t="n">
        <v>0</v>
      </c>
      <c r="K445" t="n">
        <v>0</v>
      </c>
      <c r="L445" t="n">
        <v>0</v>
      </c>
      <c r="M445" t="n">
        <v>0</v>
      </c>
      <c r="N445" t="n">
        <v>0</v>
      </c>
      <c r="O445" t="n">
        <v>0</v>
      </c>
      <c r="P445" t="n">
        <v>0</v>
      </c>
      <c r="Q445" t="n">
        <v>0</v>
      </c>
      <c r="R445" s="2" t="inlineStr"/>
    </row>
    <row r="446" ht="15" customHeight="1">
      <c r="A446" t="inlineStr">
        <is>
          <t>A 45635-2024</t>
        </is>
      </c>
      <c r="B446" s="1" t="n">
        <v>45579</v>
      </c>
      <c r="C446" s="1" t="n">
        <v>45886</v>
      </c>
      <c r="D446" t="inlineStr">
        <is>
          <t>VÄRMLANDS LÄN</t>
        </is>
      </c>
      <c r="E446" t="inlineStr">
        <is>
          <t>ÅRJÄNG</t>
        </is>
      </c>
      <c r="G446" t="n">
        <v>9.1</v>
      </c>
      <c r="H446" t="n">
        <v>0</v>
      </c>
      <c r="I446" t="n">
        <v>0</v>
      </c>
      <c r="J446" t="n">
        <v>0</v>
      </c>
      <c r="K446" t="n">
        <v>0</v>
      </c>
      <c r="L446" t="n">
        <v>0</v>
      </c>
      <c r="M446" t="n">
        <v>0</v>
      </c>
      <c r="N446" t="n">
        <v>0</v>
      </c>
      <c r="O446" t="n">
        <v>0</v>
      </c>
      <c r="P446" t="n">
        <v>0</v>
      </c>
      <c r="Q446" t="n">
        <v>0</v>
      </c>
      <c r="R446" s="2" t="inlineStr"/>
    </row>
    <row r="447" ht="15" customHeight="1">
      <c r="A447" t="inlineStr">
        <is>
          <t>A 54382-2024</t>
        </is>
      </c>
      <c r="B447" s="1" t="n">
        <v>45617.44510416667</v>
      </c>
      <c r="C447" s="1" t="n">
        <v>45886</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56115-2024</t>
        </is>
      </c>
      <c r="B448" s="1" t="n">
        <v>45624.45351851852</v>
      </c>
      <c r="C448" s="1" t="n">
        <v>45886</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56116-2024</t>
        </is>
      </c>
      <c r="B449" s="1" t="n">
        <v>45624.45506944445</v>
      </c>
      <c r="C449" s="1" t="n">
        <v>45886</v>
      </c>
      <c r="D449" t="inlineStr">
        <is>
          <t>VÄRMLANDS LÄN</t>
        </is>
      </c>
      <c r="E449" t="inlineStr">
        <is>
          <t>ÅRJÄNG</t>
        </is>
      </c>
      <c r="G449" t="n">
        <v>3.2</v>
      </c>
      <c r="H449" t="n">
        <v>0</v>
      </c>
      <c r="I449" t="n">
        <v>0</v>
      </c>
      <c r="J449" t="n">
        <v>0</v>
      </c>
      <c r="K449" t="n">
        <v>0</v>
      </c>
      <c r="L449" t="n">
        <v>0</v>
      </c>
      <c r="M449" t="n">
        <v>0</v>
      </c>
      <c r="N449" t="n">
        <v>0</v>
      </c>
      <c r="O449" t="n">
        <v>0</v>
      </c>
      <c r="P449" t="n">
        <v>0</v>
      </c>
      <c r="Q449" t="n">
        <v>0</v>
      </c>
      <c r="R449" s="2" t="inlineStr"/>
    </row>
    <row r="450" ht="15" customHeight="1">
      <c r="A450" t="inlineStr">
        <is>
          <t>A 8625-2022</t>
        </is>
      </c>
      <c r="B450" s="1" t="n">
        <v>44613.61064814815</v>
      </c>
      <c r="C450" s="1" t="n">
        <v>45886</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36017-2024</t>
        </is>
      </c>
      <c r="B451" s="1" t="n">
        <v>45533</v>
      </c>
      <c r="C451" s="1" t="n">
        <v>45886</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57152-2024</t>
        </is>
      </c>
      <c r="B452" s="1" t="n">
        <v>45628</v>
      </c>
      <c r="C452" s="1" t="n">
        <v>45886</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57158-2024</t>
        </is>
      </c>
      <c r="B453" s="1" t="n">
        <v>45628</v>
      </c>
      <c r="C453" s="1" t="n">
        <v>45886</v>
      </c>
      <c r="D453" t="inlineStr">
        <is>
          <t>VÄRMLANDS LÄN</t>
        </is>
      </c>
      <c r="E453" t="inlineStr">
        <is>
          <t>ÅRJÄNG</t>
        </is>
      </c>
      <c r="G453" t="n">
        <v>6.3</v>
      </c>
      <c r="H453" t="n">
        <v>0</v>
      </c>
      <c r="I453" t="n">
        <v>0</v>
      </c>
      <c r="J453" t="n">
        <v>0</v>
      </c>
      <c r="K453" t="n">
        <v>0</v>
      </c>
      <c r="L453" t="n">
        <v>0</v>
      </c>
      <c r="M453" t="n">
        <v>0</v>
      </c>
      <c r="N453" t="n">
        <v>0</v>
      </c>
      <c r="O453" t="n">
        <v>0</v>
      </c>
      <c r="P453" t="n">
        <v>0</v>
      </c>
      <c r="Q453" t="n">
        <v>0</v>
      </c>
      <c r="R453" s="2" t="inlineStr"/>
    </row>
    <row r="454" ht="15" customHeight="1">
      <c r="A454" t="inlineStr">
        <is>
          <t>A 55686-2024</t>
        </is>
      </c>
      <c r="B454" s="1" t="n">
        <v>45622</v>
      </c>
      <c r="C454" s="1" t="n">
        <v>45886</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58540-2024</t>
        </is>
      </c>
      <c r="B455" s="1" t="n">
        <v>45635</v>
      </c>
      <c r="C455" s="1" t="n">
        <v>45886</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62266-2023</t>
        </is>
      </c>
      <c r="B456" s="1" t="n">
        <v>45266</v>
      </c>
      <c r="C456" s="1" t="n">
        <v>45886</v>
      </c>
      <c r="D456" t="inlineStr">
        <is>
          <t>VÄRMLANDS LÄN</t>
        </is>
      </c>
      <c r="E456" t="inlineStr">
        <is>
          <t>ÅRJÄNG</t>
        </is>
      </c>
      <c r="G456" t="n">
        <v>10.5</v>
      </c>
      <c r="H456" t="n">
        <v>0</v>
      </c>
      <c r="I456" t="n">
        <v>0</v>
      </c>
      <c r="J456" t="n">
        <v>0</v>
      </c>
      <c r="K456" t="n">
        <v>0</v>
      </c>
      <c r="L456" t="n">
        <v>0</v>
      </c>
      <c r="M456" t="n">
        <v>0</v>
      </c>
      <c r="N456" t="n">
        <v>0</v>
      </c>
      <c r="O456" t="n">
        <v>0</v>
      </c>
      <c r="P456" t="n">
        <v>0</v>
      </c>
      <c r="Q456" t="n">
        <v>0</v>
      </c>
      <c r="R456" s="2" t="inlineStr"/>
    </row>
    <row r="457" ht="15" customHeight="1">
      <c r="A457" t="inlineStr">
        <is>
          <t>A 47028-2024</t>
        </is>
      </c>
      <c r="B457" s="1" t="n">
        <v>45586</v>
      </c>
      <c r="C457" s="1" t="n">
        <v>45886</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37029-2024</t>
        </is>
      </c>
      <c r="B458" s="1" t="n">
        <v>45539.38806712963</v>
      </c>
      <c r="C458" s="1" t="n">
        <v>45886</v>
      </c>
      <c r="D458" t="inlineStr">
        <is>
          <t>VÄRMLANDS LÄN</t>
        </is>
      </c>
      <c r="E458" t="inlineStr">
        <is>
          <t>ÅRJÄNG</t>
        </is>
      </c>
      <c r="G458" t="n">
        <v>4.7</v>
      </c>
      <c r="H458" t="n">
        <v>0</v>
      </c>
      <c r="I458" t="n">
        <v>0</v>
      </c>
      <c r="J458" t="n">
        <v>0</v>
      </c>
      <c r="K458" t="n">
        <v>0</v>
      </c>
      <c r="L458" t="n">
        <v>0</v>
      </c>
      <c r="M458" t="n">
        <v>0</v>
      </c>
      <c r="N458" t="n">
        <v>0</v>
      </c>
      <c r="O458" t="n">
        <v>0</v>
      </c>
      <c r="P458" t="n">
        <v>0</v>
      </c>
      <c r="Q458" t="n">
        <v>0</v>
      </c>
      <c r="R458" s="2" t="inlineStr"/>
    </row>
    <row r="459" ht="15" customHeight="1">
      <c r="A459" t="inlineStr">
        <is>
          <t>A 16012-2024</t>
        </is>
      </c>
      <c r="B459" s="1" t="n">
        <v>45405.6524074074</v>
      </c>
      <c r="C459" s="1" t="n">
        <v>45886</v>
      </c>
      <c r="D459" t="inlineStr">
        <is>
          <t>VÄRMLANDS LÄN</t>
        </is>
      </c>
      <c r="E459" t="inlineStr">
        <is>
          <t>ÅRJÄNG</t>
        </is>
      </c>
      <c r="G459" t="n">
        <v>6.1</v>
      </c>
      <c r="H459" t="n">
        <v>0</v>
      </c>
      <c r="I459" t="n">
        <v>0</v>
      </c>
      <c r="J459" t="n">
        <v>0</v>
      </c>
      <c r="K459" t="n">
        <v>0</v>
      </c>
      <c r="L459" t="n">
        <v>0</v>
      </c>
      <c r="M459" t="n">
        <v>0</v>
      </c>
      <c r="N459" t="n">
        <v>0</v>
      </c>
      <c r="O459" t="n">
        <v>0</v>
      </c>
      <c r="P459" t="n">
        <v>0</v>
      </c>
      <c r="Q459" t="n">
        <v>0</v>
      </c>
      <c r="R459" s="2" t="inlineStr"/>
    </row>
    <row r="460" ht="15" customHeight="1">
      <c r="A460" t="inlineStr">
        <is>
          <t>A 31794-2023</t>
        </is>
      </c>
      <c r="B460" s="1" t="n">
        <v>45118.43856481482</v>
      </c>
      <c r="C460" s="1" t="n">
        <v>45886</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57126-2024</t>
        </is>
      </c>
      <c r="B461" s="1" t="n">
        <v>45629.37579861111</v>
      </c>
      <c r="C461" s="1" t="n">
        <v>45886</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12352-2021</t>
        </is>
      </c>
      <c r="B462" s="1" t="n">
        <v>44267.44386574074</v>
      </c>
      <c r="C462" s="1" t="n">
        <v>45886</v>
      </c>
      <c r="D462" t="inlineStr">
        <is>
          <t>VÄRMLANDS LÄN</t>
        </is>
      </c>
      <c r="E462" t="inlineStr">
        <is>
          <t>ÅRJÄNG</t>
        </is>
      </c>
      <c r="G462" t="n">
        <v>7.1</v>
      </c>
      <c r="H462" t="n">
        <v>0</v>
      </c>
      <c r="I462" t="n">
        <v>0</v>
      </c>
      <c r="J462" t="n">
        <v>0</v>
      </c>
      <c r="K462" t="n">
        <v>0</v>
      </c>
      <c r="L462" t="n">
        <v>0</v>
      </c>
      <c r="M462" t="n">
        <v>0</v>
      </c>
      <c r="N462" t="n">
        <v>0</v>
      </c>
      <c r="O462" t="n">
        <v>0</v>
      </c>
      <c r="P462" t="n">
        <v>0</v>
      </c>
      <c r="Q462" t="n">
        <v>0</v>
      </c>
      <c r="R462" s="2" t="inlineStr"/>
    </row>
    <row r="463" ht="15" customHeight="1">
      <c r="A463" t="inlineStr">
        <is>
          <t>A 58270-2024</t>
        </is>
      </c>
      <c r="B463" s="1" t="n">
        <v>45632.56928240741</v>
      </c>
      <c r="C463" s="1" t="n">
        <v>45886</v>
      </c>
      <c r="D463" t="inlineStr">
        <is>
          <t>VÄRMLANDS LÄN</t>
        </is>
      </c>
      <c r="E463" t="inlineStr">
        <is>
          <t>ÅRJÄNG</t>
        </is>
      </c>
      <c r="G463" t="n">
        <v>2.4</v>
      </c>
      <c r="H463" t="n">
        <v>0</v>
      </c>
      <c r="I463" t="n">
        <v>0</v>
      </c>
      <c r="J463" t="n">
        <v>0</v>
      </c>
      <c r="K463" t="n">
        <v>0</v>
      </c>
      <c r="L463" t="n">
        <v>0</v>
      </c>
      <c r="M463" t="n">
        <v>0</v>
      </c>
      <c r="N463" t="n">
        <v>0</v>
      </c>
      <c r="O463" t="n">
        <v>0</v>
      </c>
      <c r="P463" t="n">
        <v>0</v>
      </c>
      <c r="Q463" t="n">
        <v>0</v>
      </c>
      <c r="R463" s="2" t="inlineStr"/>
    </row>
    <row r="464" ht="15" customHeight="1">
      <c r="A464" t="inlineStr">
        <is>
          <t>A 23216-2023</t>
        </is>
      </c>
      <c r="B464" s="1" t="n">
        <v>45075</v>
      </c>
      <c r="C464" s="1" t="n">
        <v>45886</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1289-2025</t>
        </is>
      </c>
      <c r="B465" s="1" t="n">
        <v>45667.51412037037</v>
      </c>
      <c r="C465" s="1" t="n">
        <v>45886</v>
      </c>
      <c r="D465" t="inlineStr">
        <is>
          <t>VÄRMLANDS LÄN</t>
        </is>
      </c>
      <c r="E465" t="inlineStr">
        <is>
          <t>ÅRJÄNG</t>
        </is>
      </c>
      <c r="G465" t="n">
        <v>2.6</v>
      </c>
      <c r="H465" t="n">
        <v>0</v>
      </c>
      <c r="I465" t="n">
        <v>0</v>
      </c>
      <c r="J465" t="n">
        <v>0</v>
      </c>
      <c r="K465" t="n">
        <v>0</v>
      </c>
      <c r="L465" t="n">
        <v>0</v>
      </c>
      <c r="M465" t="n">
        <v>0</v>
      </c>
      <c r="N465" t="n">
        <v>0</v>
      </c>
      <c r="O465" t="n">
        <v>0</v>
      </c>
      <c r="P465" t="n">
        <v>0</v>
      </c>
      <c r="Q465" t="n">
        <v>0</v>
      </c>
      <c r="R465" s="2" t="inlineStr"/>
    </row>
    <row r="466" ht="15" customHeight="1">
      <c r="A466" t="inlineStr">
        <is>
          <t>A 47981-2023</t>
        </is>
      </c>
      <c r="B466" s="1" t="n">
        <v>45198</v>
      </c>
      <c r="C466" s="1" t="n">
        <v>45886</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30993-2024</t>
        </is>
      </c>
      <c r="B467" s="1" t="n">
        <v>45499</v>
      </c>
      <c r="C467" s="1" t="n">
        <v>45886</v>
      </c>
      <c r="D467" t="inlineStr">
        <is>
          <t>VÄRMLANDS LÄN</t>
        </is>
      </c>
      <c r="E467" t="inlineStr">
        <is>
          <t>ÅRJÄNG</t>
        </is>
      </c>
      <c r="F467" t="inlineStr">
        <is>
          <t>Kyrkan</t>
        </is>
      </c>
      <c r="G467" t="n">
        <v>4.7</v>
      </c>
      <c r="H467" t="n">
        <v>0</v>
      </c>
      <c r="I467" t="n">
        <v>0</v>
      </c>
      <c r="J467" t="n">
        <v>0</v>
      </c>
      <c r="K467" t="n">
        <v>0</v>
      </c>
      <c r="L467" t="n">
        <v>0</v>
      </c>
      <c r="M467" t="n">
        <v>0</v>
      </c>
      <c r="N467" t="n">
        <v>0</v>
      </c>
      <c r="O467" t="n">
        <v>0</v>
      </c>
      <c r="P467" t="n">
        <v>0</v>
      </c>
      <c r="Q467" t="n">
        <v>0</v>
      </c>
      <c r="R467" s="2" t="inlineStr"/>
    </row>
    <row r="468" ht="15" customHeight="1">
      <c r="A468" t="inlineStr">
        <is>
          <t>A 20463-2024</t>
        </is>
      </c>
      <c r="B468" s="1" t="n">
        <v>45435</v>
      </c>
      <c r="C468" s="1" t="n">
        <v>45886</v>
      </c>
      <c r="D468" t="inlineStr">
        <is>
          <t>VÄRMLANDS LÄN</t>
        </is>
      </c>
      <c r="E468" t="inlineStr">
        <is>
          <t>ÅRJÄNG</t>
        </is>
      </c>
      <c r="G468" t="n">
        <v>3.2</v>
      </c>
      <c r="H468" t="n">
        <v>0</v>
      </c>
      <c r="I468" t="n">
        <v>0</v>
      </c>
      <c r="J468" t="n">
        <v>0</v>
      </c>
      <c r="K468" t="n">
        <v>0</v>
      </c>
      <c r="L468" t="n">
        <v>0</v>
      </c>
      <c r="M468" t="n">
        <v>0</v>
      </c>
      <c r="N468" t="n">
        <v>0</v>
      </c>
      <c r="O468" t="n">
        <v>0</v>
      </c>
      <c r="P468" t="n">
        <v>0</v>
      </c>
      <c r="Q468" t="n">
        <v>0</v>
      </c>
      <c r="R468" s="2" t="inlineStr"/>
    </row>
    <row r="469" ht="15" customHeight="1">
      <c r="A469" t="inlineStr">
        <is>
          <t>A 58436-2023</t>
        </is>
      </c>
      <c r="B469" s="1" t="n">
        <v>45250</v>
      </c>
      <c r="C469" s="1" t="n">
        <v>45886</v>
      </c>
      <c r="D469" t="inlineStr">
        <is>
          <t>VÄRMLANDS LÄN</t>
        </is>
      </c>
      <c r="E469" t="inlineStr">
        <is>
          <t>ÅRJÄNG</t>
        </is>
      </c>
      <c r="G469" t="n">
        <v>0.9</v>
      </c>
      <c r="H469" t="n">
        <v>0</v>
      </c>
      <c r="I469" t="n">
        <v>0</v>
      </c>
      <c r="J469" t="n">
        <v>0</v>
      </c>
      <c r="K469" t="n">
        <v>0</v>
      </c>
      <c r="L469" t="n">
        <v>0</v>
      </c>
      <c r="M469" t="n">
        <v>0</v>
      </c>
      <c r="N469" t="n">
        <v>0</v>
      </c>
      <c r="O469" t="n">
        <v>0</v>
      </c>
      <c r="P469" t="n">
        <v>0</v>
      </c>
      <c r="Q469" t="n">
        <v>0</v>
      </c>
      <c r="R469" s="2" t="inlineStr"/>
    </row>
    <row r="470" ht="15" customHeight="1">
      <c r="A470" t="inlineStr">
        <is>
          <t>A 73363-2021</t>
        </is>
      </c>
      <c r="B470" s="1" t="n">
        <v>44550</v>
      </c>
      <c r="C470" s="1" t="n">
        <v>45886</v>
      </c>
      <c r="D470" t="inlineStr">
        <is>
          <t>VÄRMLANDS LÄN</t>
        </is>
      </c>
      <c r="E470" t="inlineStr">
        <is>
          <t>ÅRJÄNG</t>
        </is>
      </c>
      <c r="G470" t="n">
        <v>11.5</v>
      </c>
      <c r="H470" t="n">
        <v>0</v>
      </c>
      <c r="I470" t="n">
        <v>0</v>
      </c>
      <c r="J470" t="n">
        <v>0</v>
      </c>
      <c r="K470" t="n">
        <v>0</v>
      </c>
      <c r="L470" t="n">
        <v>0</v>
      </c>
      <c r="M470" t="n">
        <v>0</v>
      </c>
      <c r="N470" t="n">
        <v>0</v>
      </c>
      <c r="O470" t="n">
        <v>0</v>
      </c>
      <c r="P470" t="n">
        <v>0</v>
      </c>
      <c r="Q470" t="n">
        <v>0</v>
      </c>
      <c r="R470" s="2" t="inlineStr"/>
    </row>
    <row r="471" ht="15" customHeight="1">
      <c r="A471" t="inlineStr">
        <is>
          <t>A 521-2025</t>
        </is>
      </c>
      <c r="B471" s="1" t="n">
        <v>45664.48826388889</v>
      </c>
      <c r="C471" s="1" t="n">
        <v>45886</v>
      </c>
      <c r="D471" t="inlineStr">
        <is>
          <t>VÄRMLANDS LÄN</t>
        </is>
      </c>
      <c r="E471" t="inlineStr">
        <is>
          <t>ÅRJÄNG</t>
        </is>
      </c>
      <c r="G471" t="n">
        <v>2.7</v>
      </c>
      <c r="H471" t="n">
        <v>0</v>
      </c>
      <c r="I471" t="n">
        <v>0</v>
      </c>
      <c r="J471" t="n">
        <v>0</v>
      </c>
      <c r="K471" t="n">
        <v>0</v>
      </c>
      <c r="L471" t="n">
        <v>0</v>
      </c>
      <c r="M471" t="n">
        <v>0</v>
      </c>
      <c r="N471" t="n">
        <v>0</v>
      </c>
      <c r="O471" t="n">
        <v>0</v>
      </c>
      <c r="P471" t="n">
        <v>0</v>
      </c>
      <c r="Q471" t="n">
        <v>0</v>
      </c>
      <c r="R471" s="2" t="inlineStr"/>
    </row>
    <row r="472" ht="15" customHeight="1">
      <c r="A472" t="inlineStr">
        <is>
          <t>A 19877-2025</t>
        </is>
      </c>
      <c r="B472" s="1" t="n">
        <v>45771.55351851852</v>
      </c>
      <c r="C472" s="1" t="n">
        <v>45886</v>
      </c>
      <c r="D472" t="inlineStr">
        <is>
          <t>VÄRMLANDS LÄN</t>
        </is>
      </c>
      <c r="E472" t="inlineStr">
        <is>
          <t>ÅRJÄNG</t>
        </is>
      </c>
      <c r="G472" t="n">
        <v>6.3</v>
      </c>
      <c r="H472" t="n">
        <v>0</v>
      </c>
      <c r="I472" t="n">
        <v>0</v>
      </c>
      <c r="J472" t="n">
        <v>0</v>
      </c>
      <c r="K472" t="n">
        <v>0</v>
      </c>
      <c r="L472" t="n">
        <v>0</v>
      </c>
      <c r="M472" t="n">
        <v>0</v>
      </c>
      <c r="N472" t="n">
        <v>0</v>
      </c>
      <c r="O472" t="n">
        <v>0</v>
      </c>
      <c r="P472" t="n">
        <v>0</v>
      </c>
      <c r="Q472" t="n">
        <v>0</v>
      </c>
      <c r="R472" s="2" t="inlineStr"/>
    </row>
    <row r="473" ht="15" customHeight="1">
      <c r="A473" t="inlineStr">
        <is>
          <t>A 24444-2025</t>
        </is>
      </c>
      <c r="B473" s="1" t="n">
        <v>45798</v>
      </c>
      <c r="C473" s="1" t="n">
        <v>45886</v>
      </c>
      <c r="D473" t="inlineStr">
        <is>
          <t>VÄRMLANDS LÄN</t>
        </is>
      </c>
      <c r="E473" t="inlineStr">
        <is>
          <t>ÅRJÄNG</t>
        </is>
      </c>
      <c r="G473" t="n">
        <v>5.1</v>
      </c>
      <c r="H473" t="n">
        <v>0</v>
      </c>
      <c r="I473" t="n">
        <v>0</v>
      </c>
      <c r="J473" t="n">
        <v>0</v>
      </c>
      <c r="K473" t="n">
        <v>0</v>
      </c>
      <c r="L473" t="n">
        <v>0</v>
      </c>
      <c r="M473" t="n">
        <v>0</v>
      </c>
      <c r="N473" t="n">
        <v>0</v>
      </c>
      <c r="O473" t="n">
        <v>0</v>
      </c>
      <c r="P473" t="n">
        <v>0</v>
      </c>
      <c r="Q473" t="n">
        <v>0</v>
      </c>
      <c r="R473" s="2" t="inlineStr"/>
    </row>
    <row r="474" ht="15" customHeight="1">
      <c r="A474" t="inlineStr">
        <is>
          <t>A 34643-2024</t>
        </is>
      </c>
      <c r="B474" s="1" t="n">
        <v>45526</v>
      </c>
      <c r="C474" s="1" t="n">
        <v>45886</v>
      </c>
      <c r="D474" t="inlineStr">
        <is>
          <t>VÄRMLANDS LÄN</t>
        </is>
      </c>
      <c r="E474" t="inlineStr">
        <is>
          <t>ÅRJÄNG</t>
        </is>
      </c>
      <c r="G474" t="n">
        <v>3.4</v>
      </c>
      <c r="H474" t="n">
        <v>0</v>
      </c>
      <c r="I474" t="n">
        <v>0</v>
      </c>
      <c r="J474" t="n">
        <v>0</v>
      </c>
      <c r="K474" t="n">
        <v>0</v>
      </c>
      <c r="L474" t="n">
        <v>0</v>
      </c>
      <c r="M474" t="n">
        <v>0</v>
      </c>
      <c r="N474" t="n">
        <v>0</v>
      </c>
      <c r="O474" t="n">
        <v>0</v>
      </c>
      <c r="P474" t="n">
        <v>0</v>
      </c>
      <c r="Q474" t="n">
        <v>0</v>
      </c>
      <c r="R474" s="2" t="inlineStr"/>
    </row>
    <row r="475" ht="15" customHeight="1">
      <c r="A475" t="inlineStr">
        <is>
          <t>A 37122-2022</t>
        </is>
      </c>
      <c r="B475" s="1" t="n">
        <v>44806</v>
      </c>
      <c r="C475" s="1" t="n">
        <v>45886</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4606-2024</t>
        </is>
      </c>
      <c r="B476" s="1" t="n">
        <v>45328.3225</v>
      </c>
      <c r="C476" s="1" t="n">
        <v>45886</v>
      </c>
      <c r="D476" t="inlineStr">
        <is>
          <t>VÄRMLANDS LÄN</t>
        </is>
      </c>
      <c r="E476" t="inlineStr">
        <is>
          <t>ÅRJÄNG</t>
        </is>
      </c>
      <c r="G476" t="n">
        <v>3.9</v>
      </c>
      <c r="H476" t="n">
        <v>0</v>
      </c>
      <c r="I476" t="n">
        <v>0</v>
      </c>
      <c r="J476" t="n">
        <v>0</v>
      </c>
      <c r="K476" t="n">
        <v>0</v>
      </c>
      <c r="L476" t="n">
        <v>0</v>
      </c>
      <c r="M476" t="n">
        <v>0</v>
      </c>
      <c r="N476" t="n">
        <v>0</v>
      </c>
      <c r="O476" t="n">
        <v>0</v>
      </c>
      <c r="P476" t="n">
        <v>0</v>
      </c>
      <c r="Q476" t="n">
        <v>0</v>
      </c>
      <c r="R476" s="2" t="inlineStr"/>
    </row>
    <row r="477" ht="15" customHeight="1">
      <c r="A477" t="inlineStr">
        <is>
          <t>A 53332-2023</t>
        </is>
      </c>
      <c r="B477" s="1" t="n">
        <v>45229</v>
      </c>
      <c r="C477" s="1" t="n">
        <v>45886</v>
      </c>
      <c r="D477" t="inlineStr">
        <is>
          <t>VÄRMLANDS LÄN</t>
        </is>
      </c>
      <c r="E477" t="inlineStr">
        <is>
          <t>ÅRJÄNG</t>
        </is>
      </c>
      <c r="G477" t="n">
        <v>1.9</v>
      </c>
      <c r="H477" t="n">
        <v>0</v>
      </c>
      <c r="I477" t="n">
        <v>0</v>
      </c>
      <c r="J477" t="n">
        <v>0</v>
      </c>
      <c r="K477" t="n">
        <v>0</v>
      </c>
      <c r="L477" t="n">
        <v>0</v>
      </c>
      <c r="M477" t="n">
        <v>0</v>
      </c>
      <c r="N477" t="n">
        <v>0</v>
      </c>
      <c r="O477" t="n">
        <v>0</v>
      </c>
      <c r="P477" t="n">
        <v>0</v>
      </c>
      <c r="Q477" t="n">
        <v>0</v>
      </c>
      <c r="R477" s="2" t="inlineStr"/>
    </row>
    <row r="478" ht="15" customHeight="1">
      <c r="A478" t="inlineStr">
        <is>
          <t>A 24445-2025</t>
        </is>
      </c>
      <c r="B478" s="1" t="n">
        <v>45798</v>
      </c>
      <c r="C478" s="1" t="n">
        <v>45886</v>
      </c>
      <c r="D478" t="inlineStr">
        <is>
          <t>VÄRMLANDS LÄN</t>
        </is>
      </c>
      <c r="E478" t="inlineStr">
        <is>
          <t>ÅRJÄNG</t>
        </is>
      </c>
      <c r="G478" t="n">
        <v>6.4</v>
      </c>
      <c r="H478" t="n">
        <v>0</v>
      </c>
      <c r="I478" t="n">
        <v>0</v>
      </c>
      <c r="J478" t="n">
        <v>0</v>
      </c>
      <c r="K478" t="n">
        <v>0</v>
      </c>
      <c r="L478" t="n">
        <v>0</v>
      </c>
      <c r="M478" t="n">
        <v>0</v>
      </c>
      <c r="N478" t="n">
        <v>0</v>
      </c>
      <c r="O478" t="n">
        <v>0</v>
      </c>
      <c r="P478" t="n">
        <v>0</v>
      </c>
      <c r="Q478" t="n">
        <v>0</v>
      </c>
      <c r="R478" s="2" t="inlineStr"/>
    </row>
    <row r="479" ht="15" customHeight="1">
      <c r="A479" t="inlineStr">
        <is>
          <t>A 39525-2024</t>
        </is>
      </c>
      <c r="B479" s="1" t="n">
        <v>45551.80957175926</v>
      </c>
      <c r="C479" s="1" t="n">
        <v>45886</v>
      </c>
      <c r="D479" t="inlineStr">
        <is>
          <t>VÄRMLANDS LÄN</t>
        </is>
      </c>
      <c r="E479" t="inlineStr">
        <is>
          <t>ÅRJÄNG</t>
        </is>
      </c>
      <c r="G479" t="n">
        <v>3.2</v>
      </c>
      <c r="H479" t="n">
        <v>0</v>
      </c>
      <c r="I479" t="n">
        <v>0</v>
      </c>
      <c r="J479" t="n">
        <v>0</v>
      </c>
      <c r="K479" t="n">
        <v>0</v>
      </c>
      <c r="L479" t="n">
        <v>0</v>
      </c>
      <c r="M479" t="n">
        <v>0</v>
      </c>
      <c r="N479" t="n">
        <v>0</v>
      </c>
      <c r="O479" t="n">
        <v>0</v>
      </c>
      <c r="P479" t="n">
        <v>0</v>
      </c>
      <c r="Q479" t="n">
        <v>0</v>
      </c>
      <c r="R479" s="2" t="inlineStr"/>
    </row>
    <row r="480" ht="15" customHeight="1">
      <c r="A480" t="inlineStr">
        <is>
          <t>A 59014-2024</t>
        </is>
      </c>
      <c r="B480" s="1" t="n">
        <v>45636</v>
      </c>
      <c r="C480" s="1" t="n">
        <v>45886</v>
      </c>
      <c r="D480" t="inlineStr">
        <is>
          <t>VÄRMLANDS LÄN</t>
        </is>
      </c>
      <c r="E480" t="inlineStr">
        <is>
          <t>ÅRJÄNG</t>
        </is>
      </c>
      <c r="G480" t="n">
        <v>0.6</v>
      </c>
      <c r="H480" t="n">
        <v>0</v>
      </c>
      <c r="I480" t="n">
        <v>0</v>
      </c>
      <c r="J480" t="n">
        <v>0</v>
      </c>
      <c r="K480" t="n">
        <v>0</v>
      </c>
      <c r="L480" t="n">
        <v>0</v>
      </c>
      <c r="M480" t="n">
        <v>0</v>
      </c>
      <c r="N480" t="n">
        <v>0</v>
      </c>
      <c r="O480" t="n">
        <v>0</v>
      </c>
      <c r="P480" t="n">
        <v>0</v>
      </c>
      <c r="Q480" t="n">
        <v>0</v>
      </c>
      <c r="R480" s="2" t="inlineStr"/>
    </row>
    <row r="481" ht="15" customHeight="1">
      <c r="A481" t="inlineStr">
        <is>
          <t>A 24252-2025</t>
        </is>
      </c>
      <c r="B481" s="1" t="n">
        <v>45797.40376157407</v>
      </c>
      <c r="C481" s="1" t="n">
        <v>45886</v>
      </c>
      <c r="D481" t="inlineStr">
        <is>
          <t>VÄRMLANDS LÄN</t>
        </is>
      </c>
      <c r="E481" t="inlineStr">
        <is>
          <t>ÅRJÄNG</t>
        </is>
      </c>
      <c r="G481" t="n">
        <v>0.7</v>
      </c>
      <c r="H481" t="n">
        <v>0</v>
      </c>
      <c r="I481" t="n">
        <v>0</v>
      </c>
      <c r="J481" t="n">
        <v>0</v>
      </c>
      <c r="K481" t="n">
        <v>0</v>
      </c>
      <c r="L481" t="n">
        <v>0</v>
      </c>
      <c r="M481" t="n">
        <v>0</v>
      </c>
      <c r="N481" t="n">
        <v>0</v>
      </c>
      <c r="O481" t="n">
        <v>0</v>
      </c>
      <c r="P481" t="n">
        <v>0</v>
      </c>
      <c r="Q481" t="n">
        <v>0</v>
      </c>
      <c r="R481" s="2" t="inlineStr"/>
    </row>
    <row r="482" ht="15" customHeight="1">
      <c r="A482" t="inlineStr">
        <is>
          <t>A 41201-2024</t>
        </is>
      </c>
      <c r="B482" s="1" t="n">
        <v>45559</v>
      </c>
      <c r="C482" s="1" t="n">
        <v>45886</v>
      </c>
      <c r="D482" t="inlineStr">
        <is>
          <t>VÄRMLANDS LÄN</t>
        </is>
      </c>
      <c r="E482" t="inlineStr">
        <is>
          <t>ÅRJÄNG</t>
        </is>
      </c>
      <c r="G482" t="n">
        <v>4.1</v>
      </c>
      <c r="H482" t="n">
        <v>0</v>
      </c>
      <c r="I482" t="n">
        <v>0</v>
      </c>
      <c r="J482" t="n">
        <v>0</v>
      </c>
      <c r="K482" t="n">
        <v>0</v>
      </c>
      <c r="L482" t="n">
        <v>0</v>
      </c>
      <c r="M482" t="n">
        <v>0</v>
      </c>
      <c r="N482" t="n">
        <v>0</v>
      </c>
      <c r="O482" t="n">
        <v>0</v>
      </c>
      <c r="P482" t="n">
        <v>0</v>
      </c>
      <c r="Q482" t="n">
        <v>0</v>
      </c>
      <c r="R482" s="2" t="inlineStr"/>
    </row>
    <row r="483" ht="15" customHeight="1">
      <c r="A483" t="inlineStr">
        <is>
          <t>A 37061-2023</t>
        </is>
      </c>
      <c r="B483" s="1" t="n">
        <v>45155</v>
      </c>
      <c r="C483" s="1" t="n">
        <v>45886</v>
      </c>
      <c r="D483" t="inlineStr">
        <is>
          <t>VÄRMLANDS LÄN</t>
        </is>
      </c>
      <c r="E483" t="inlineStr">
        <is>
          <t>ÅRJÄNG</t>
        </is>
      </c>
      <c r="G483" t="n">
        <v>0.9</v>
      </c>
      <c r="H483" t="n">
        <v>0</v>
      </c>
      <c r="I483" t="n">
        <v>0</v>
      </c>
      <c r="J483" t="n">
        <v>0</v>
      </c>
      <c r="K483" t="n">
        <v>0</v>
      </c>
      <c r="L483" t="n">
        <v>0</v>
      </c>
      <c r="M483" t="n">
        <v>0</v>
      </c>
      <c r="N483" t="n">
        <v>0</v>
      </c>
      <c r="O483" t="n">
        <v>0</v>
      </c>
      <c r="P483" t="n">
        <v>0</v>
      </c>
      <c r="Q483" t="n">
        <v>0</v>
      </c>
      <c r="R483" s="2" t="inlineStr"/>
    </row>
    <row r="484" ht="15" customHeight="1">
      <c r="A484" t="inlineStr">
        <is>
          <t>A 20028-2023</t>
        </is>
      </c>
      <c r="B484" s="1" t="n">
        <v>45054.64534722222</v>
      </c>
      <c r="C484" s="1" t="n">
        <v>45886</v>
      </c>
      <c r="D484" t="inlineStr">
        <is>
          <t>VÄRMLANDS LÄN</t>
        </is>
      </c>
      <c r="E484" t="inlineStr">
        <is>
          <t>ÅRJÄNG</t>
        </is>
      </c>
      <c r="G484" t="n">
        <v>0.7</v>
      </c>
      <c r="H484" t="n">
        <v>0</v>
      </c>
      <c r="I484" t="n">
        <v>0</v>
      </c>
      <c r="J484" t="n">
        <v>0</v>
      </c>
      <c r="K484" t="n">
        <v>0</v>
      </c>
      <c r="L484" t="n">
        <v>0</v>
      </c>
      <c r="M484" t="n">
        <v>0</v>
      </c>
      <c r="N484" t="n">
        <v>0</v>
      </c>
      <c r="O484" t="n">
        <v>0</v>
      </c>
      <c r="P484" t="n">
        <v>0</v>
      </c>
      <c r="Q484" t="n">
        <v>0</v>
      </c>
      <c r="R484" s="2" t="inlineStr"/>
    </row>
    <row r="485" ht="15" customHeight="1">
      <c r="A485" t="inlineStr">
        <is>
          <t>A 24983-2025</t>
        </is>
      </c>
      <c r="B485" s="1" t="n">
        <v>45799.59841435185</v>
      </c>
      <c r="C485" s="1" t="n">
        <v>45886</v>
      </c>
      <c r="D485" t="inlineStr">
        <is>
          <t>VÄRMLANDS LÄN</t>
        </is>
      </c>
      <c r="E485" t="inlineStr">
        <is>
          <t>ÅRJÄNG</t>
        </is>
      </c>
      <c r="G485" t="n">
        <v>1.5</v>
      </c>
      <c r="H485" t="n">
        <v>0</v>
      </c>
      <c r="I485" t="n">
        <v>0</v>
      </c>
      <c r="J485" t="n">
        <v>0</v>
      </c>
      <c r="K485" t="n">
        <v>0</v>
      </c>
      <c r="L485" t="n">
        <v>0</v>
      </c>
      <c r="M485" t="n">
        <v>0</v>
      </c>
      <c r="N485" t="n">
        <v>0</v>
      </c>
      <c r="O485" t="n">
        <v>0</v>
      </c>
      <c r="P485" t="n">
        <v>0</v>
      </c>
      <c r="Q485" t="n">
        <v>0</v>
      </c>
      <c r="R485" s="2" t="inlineStr"/>
    </row>
    <row r="486" ht="15" customHeight="1">
      <c r="A486" t="inlineStr">
        <is>
          <t>A 56644-2024</t>
        </is>
      </c>
      <c r="B486" s="1" t="n">
        <v>45625</v>
      </c>
      <c r="C486" s="1" t="n">
        <v>45886</v>
      </c>
      <c r="D486" t="inlineStr">
        <is>
          <t>VÄRMLANDS LÄN</t>
        </is>
      </c>
      <c r="E486" t="inlineStr">
        <is>
          <t>ÅRJÄNG</t>
        </is>
      </c>
      <c r="G486" t="n">
        <v>12.6</v>
      </c>
      <c r="H486" t="n">
        <v>0</v>
      </c>
      <c r="I486" t="n">
        <v>0</v>
      </c>
      <c r="J486" t="n">
        <v>0</v>
      </c>
      <c r="K486" t="n">
        <v>0</v>
      </c>
      <c r="L486" t="n">
        <v>0</v>
      </c>
      <c r="M486" t="n">
        <v>0</v>
      </c>
      <c r="N486" t="n">
        <v>0</v>
      </c>
      <c r="O486" t="n">
        <v>0</v>
      </c>
      <c r="P486" t="n">
        <v>0</v>
      </c>
      <c r="Q486" t="n">
        <v>0</v>
      </c>
      <c r="R486" s="2" t="inlineStr"/>
    </row>
    <row r="487" ht="15" customHeight="1">
      <c r="A487" t="inlineStr">
        <is>
          <t>A 40360-2024</t>
        </is>
      </c>
      <c r="B487" s="1" t="n">
        <v>45555</v>
      </c>
      <c r="C487" s="1" t="n">
        <v>45886</v>
      </c>
      <c r="D487" t="inlineStr">
        <is>
          <t>VÄRMLANDS LÄN</t>
        </is>
      </c>
      <c r="E487" t="inlineStr">
        <is>
          <t>ÅRJÄNG</t>
        </is>
      </c>
      <c r="G487" t="n">
        <v>1.7</v>
      </c>
      <c r="H487" t="n">
        <v>0</v>
      </c>
      <c r="I487" t="n">
        <v>0</v>
      </c>
      <c r="J487" t="n">
        <v>0</v>
      </c>
      <c r="K487" t="n">
        <v>0</v>
      </c>
      <c r="L487" t="n">
        <v>0</v>
      </c>
      <c r="M487" t="n">
        <v>0</v>
      </c>
      <c r="N487" t="n">
        <v>0</v>
      </c>
      <c r="O487" t="n">
        <v>0</v>
      </c>
      <c r="P487" t="n">
        <v>0</v>
      </c>
      <c r="Q487" t="n">
        <v>0</v>
      </c>
      <c r="R487" s="2" t="inlineStr"/>
    </row>
    <row r="488" ht="15" customHeight="1">
      <c r="A488" t="inlineStr">
        <is>
          <t>A 4135-2025</t>
        </is>
      </c>
      <c r="B488" s="1" t="n">
        <v>45685</v>
      </c>
      <c r="C488" s="1" t="n">
        <v>45886</v>
      </c>
      <c r="D488" t="inlineStr">
        <is>
          <t>VÄRMLANDS LÄN</t>
        </is>
      </c>
      <c r="E488" t="inlineStr">
        <is>
          <t>ÅRJÄNG</t>
        </is>
      </c>
      <c r="G488" t="n">
        <v>4.4</v>
      </c>
      <c r="H488" t="n">
        <v>0</v>
      </c>
      <c r="I488" t="n">
        <v>0</v>
      </c>
      <c r="J488" t="n">
        <v>0</v>
      </c>
      <c r="K488" t="n">
        <v>0</v>
      </c>
      <c r="L488" t="n">
        <v>0</v>
      </c>
      <c r="M488" t="n">
        <v>0</v>
      </c>
      <c r="N488" t="n">
        <v>0</v>
      </c>
      <c r="O488" t="n">
        <v>0</v>
      </c>
      <c r="P488" t="n">
        <v>0</v>
      </c>
      <c r="Q488" t="n">
        <v>0</v>
      </c>
      <c r="R488" s="2" t="inlineStr"/>
    </row>
    <row r="489" ht="15" customHeight="1">
      <c r="A489" t="inlineStr">
        <is>
          <t>A 45124-2024</t>
        </is>
      </c>
      <c r="B489" s="1" t="n">
        <v>45575</v>
      </c>
      <c r="C489" s="1" t="n">
        <v>45886</v>
      </c>
      <c r="D489" t="inlineStr">
        <is>
          <t>VÄRMLANDS LÄN</t>
        </is>
      </c>
      <c r="E489" t="inlineStr">
        <is>
          <t>ÅRJÄNG</t>
        </is>
      </c>
      <c r="G489" t="n">
        <v>2.8</v>
      </c>
      <c r="H489" t="n">
        <v>0</v>
      </c>
      <c r="I489" t="n">
        <v>0</v>
      </c>
      <c r="J489" t="n">
        <v>0</v>
      </c>
      <c r="K489" t="n">
        <v>0</v>
      </c>
      <c r="L489" t="n">
        <v>0</v>
      </c>
      <c r="M489" t="n">
        <v>0</v>
      </c>
      <c r="N489" t="n">
        <v>0</v>
      </c>
      <c r="O489" t="n">
        <v>0</v>
      </c>
      <c r="P489" t="n">
        <v>0</v>
      </c>
      <c r="Q489" t="n">
        <v>0</v>
      </c>
      <c r="R489" s="2" t="inlineStr"/>
    </row>
    <row r="490" ht="15" customHeight="1">
      <c r="A490" t="inlineStr">
        <is>
          <t>A 5507-2024</t>
        </is>
      </c>
      <c r="B490" s="1" t="n">
        <v>45334.36188657407</v>
      </c>
      <c r="C490" s="1" t="n">
        <v>45886</v>
      </c>
      <c r="D490" t="inlineStr">
        <is>
          <t>VÄRMLANDS LÄN</t>
        </is>
      </c>
      <c r="E490" t="inlineStr">
        <is>
          <t>ÅRJÄNG</t>
        </is>
      </c>
      <c r="G490" t="n">
        <v>4.8</v>
      </c>
      <c r="H490" t="n">
        <v>0</v>
      </c>
      <c r="I490" t="n">
        <v>0</v>
      </c>
      <c r="J490" t="n">
        <v>0</v>
      </c>
      <c r="K490" t="n">
        <v>0</v>
      </c>
      <c r="L490" t="n">
        <v>0</v>
      </c>
      <c r="M490" t="n">
        <v>0</v>
      </c>
      <c r="N490" t="n">
        <v>0</v>
      </c>
      <c r="O490" t="n">
        <v>0</v>
      </c>
      <c r="P490" t="n">
        <v>0</v>
      </c>
      <c r="Q490" t="n">
        <v>0</v>
      </c>
      <c r="R490" s="2" t="inlineStr"/>
    </row>
    <row r="491" ht="15" customHeight="1">
      <c r="A491" t="inlineStr">
        <is>
          <t>A 73623-2021</t>
        </is>
      </c>
      <c r="B491" s="1" t="n">
        <v>44552</v>
      </c>
      <c r="C491" s="1" t="n">
        <v>45886</v>
      </c>
      <c r="D491" t="inlineStr">
        <is>
          <t>VÄRMLANDS LÄN</t>
        </is>
      </c>
      <c r="E491" t="inlineStr">
        <is>
          <t>ÅRJÄNG</t>
        </is>
      </c>
      <c r="G491" t="n">
        <v>7.4</v>
      </c>
      <c r="H491" t="n">
        <v>0</v>
      </c>
      <c r="I491" t="n">
        <v>0</v>
      </c>
      <c r="J491" t="n">
        <v>0</v>
      </c>
      <c r="K491" t="n">
        <v>0</v>
      </c>
      <c r="L491" t="n">
        <v>0</v>
      </c>
      <c r="M491" t="n">
        <v>0</v>
      </c>
      <c r="N491" t="n">
        <v>0</v>
      </c>
      <c r="O491" t="n">
        <v>0</v>
      </c>
      <c r="P491" t="n">
        <v>0</v>
      </c>
      <c r="Q491" t="n">
        <v>0</v>
      </c>
      <c r="R491" s="2" t="inlineStr"/>
    </row>
    <row r="492" ht="15" customHeight="1">
      <c r="A492" t="inlineStr">
        <is>
          <t>A 19313-2023</t>
        </is>
      </c>
      <c r="B492" s="1" t="n">
        <v>45049</v>
      </c>
      <c r="C492" s="1" t="n">
        <v>45886</v>
      </c>
      <c r="D492" t="inlineStr">
        <is>
          <t>VÄRMLANDS LÄN</t>
        </is>
      </c>
      <c r="E492" t="inlineStr">
        <is>
          <t>ÅRJÄNG</t>
        </is>
      </c>
      <c r="G492" t="n">
        <v>2</v>
      </c>
      <c r="H492" t="n">
        <v>0</v>
      </c>
      <c r="I492" t="n">
        <v>0</v>
      </c>
      <c r="J492" t="n">
        <v>0</v>
      </c>
      <c r="K492" t="n">
        <v>0</v>
      </c>
      <c r="L492" t="n">
        <v>0</v>
      </c>
      <c r="M492" t="n">
        <v>0</v>
      </c>
      <c r="N492" t="n">
        <v>0</v>
      </c>
      <c r="O492" t="n">
        <v>0</v>
      </c>
      <c r="P492" t="n">
        <v>0</v>
      </c>
      <c r="Q492" t="n">
        <v>0</v>
      </c>
      <c r="R492" s="2" t="inlineStr"/>
    </row>
    <row r="493" ht="15" customHeight="1">
      <c r="A493" t="inlineStr">
        <is>
          <t>A 50918-2023</t>
        </is>
      </c>
      <c r="B493" s="1" t="n">
        <v>45218.4339699074</v>
      </c>
      <c r="C493" s="1" t="n">
        <v>45886</v>
      </c>
      <c r="D493" t="inlineStr">
        <is>
          <t>VÄRMLANDS LÄN</t>
        </is>
      </c>
      <c r="E493" t="inlineStr">
        <is>
          <t>ÅRJÄNG</t>
        </is>
      </c>
      <c r="G493" t="n">
        <v>0.9</v>
      </c>
      <c r="H493" t="n">
        <v>0</v>
      </c>
      <c r="I493" t="n">
        <v>0</v>
      </c>
      <c r="J493" t="n">
        <v>0</v>
      </c>
      <c r="K493" t="n">
        <v>0</v>
      </c>
      <c r="L493" t="n">
        <v>0</v>
      </c>
      <c r="M493" t="n">
        <v>0</v>
      </c>
      <c r="N493" t="n">
        <v>0</v>
      </c>
      <c r="O493" t="n">
        <v>0</v>
      </c>
      <c r="P493" t="n">
        <v>0</v>
      </c>
      <c r="Q493" t="n">
        <v>0</v>
      </c>
      <c r="R493" s="2" t="inlineStr"/>
    </row>
    <row r="494" ht="15" customHeight="1">
      <c r="A494" t="inlineStr">
        <is>
          <t>A 56342-2024</t>
        </is>
      </c>
      <c r="B494" s="1" t="n">
        <v>45624</v>
      </c>
      <c r="C494" s="1" t="n">
        <v>45886</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56347-2024</t>
        </is>
      </c>
      <c r="B495" s="1" t="n">
        <v>45624</v>
      </c>
      <c r="C495" s="1" t="n">
        <v>45886</v>
      </c>
      <c r="D495" t="inlineStr">
        <is>
          <t>VÄRMLANDS LÄN</t>
        </is>
      </c>
      <c r="E495" t="inlineStr">
        <is>
          <t>ÅRJÄNG</t>
        </is>
      </c>
      <c r="G495" t="n">
        <v>4.7</v>
      </c>
      <c r="H495" t="n">
        <v>0</v>
      </c>
      <c r="I495" t="n">
        <v>0</v>
      </c>
      <c r="J495" t="n">
        <v>0</v>
      </c>
      <c r="K495" t="n">
        <v>0</v>
      </c>
      <c r="L495" t="n">
        <v>0</v>
      </c>
      <c r="M495" t="n">
        <v>0</v>
      </c>
      <c r="N495" t="n">
        <v>0</v>
      </c>
      <c r="O495" t="n">
        <v>0</v>
      </c>
      <c r="P495" t="n">
        <v>0</v>
      </c>
      <c r="Q495" t="n">
        <v>0</v>
      </c>
      <c r="R495" s="2" t="inlineStr"/>
    </row>
    <row r="496" ht="15" customHeight="1">
      <c r="A496" t="inlineStr">
        <is>
          <t>A 23945-2023</t>
        </is>
      </c>
      <c r="B496" s="1" t="n">
        <v>45075</v>
      </c>
      <c r="C496" s="1" t="n">
        <v>45886</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58435-2024</t>
        </is>
      </c>
      <c r="B497" s="1" t="n">
        <v>45634</v>
      </c>
      <c r="C497" s="1" t="n">
        <v>45886</v>
      </c>
      <c r="D497" t="inlineStr">
        <is>
          <t>VÄRMLANDS LÄN</t>
        </is>
      </c>
      <c r="E497" t="inlineStr">
        <is>
          <t>ÅRJÄNG</t>
        </is>
      </c>
      <c r="G497" t="n">
        <v>6.7</v>
      </c>
      <c r="H497" t="n">
        <v>0</v>
      </c>
      <c r="I497" t="n">
        <v>0</v>
      </c>
      <c r="J497" t="n">
        <v>0</v>
      </c>
      <c r="K497" t="n">
        <v>0</v>
      </c>
      <c r="L497" t="n">
        <v>0</v>
      </c>
      <c r="M497" t="n">
        <v>0</v>
      </c>
      <c r="N497" t="n">
        <v>0</v>
      </c>
      <c r="O497" t="n">
        <v>0</v>
      </c>
      <c r="P497" t="n">
        <v>0</v>
      </c>
      <c r="Q497" t="n">
        <v>0</v>
      </c>
      <c r="R497" s="2" t="inlineStr"/>
    </row>
    <row r="498" ht="15" customHeight="1">
      <c r="A498" t="inlineStr">
        <is>
          <t>A 32541-2023</t>
        </is>
      </c>
      <c r="B498" s="1" t="n">
        <v>45121.39616898148</v>
      </c>
      <c r="C498" s="1" t="n">
        <v>45886</v>
      </c>
      <c r="D498" t="inlineStr">
        <is>
          <t>VÄRMLANDS LÄN</t>
        </is>
      </c>
      <c r="E498" t="inlineStr">
        <is>
          <t>ÅRJÄNG</t>
        </is>
      </c>
      <c r="G498" t="n">
        <v>0.4</v>
      </c>
      <c r="H498" t="n">
        <v>0</v>
      </c>
      <c r="I498" t="n">
        <v>0</v>
      </c>
      <c r="J498" t="n">
        <v>0</v>
      </c>
      <c r="K498" t="n">
        <v>0</v>
      </c>
      <c r="L498" t="n">
        <v>0</v>
      </c>
      <c r="M498" t="n">
        <v>0</v>
      </c>
      <c r="N498" t="n">
        <v>0</v>
      </c>
      <c r="O498" t="n">
        <v>0</v>
      </c>
      <c r="P498" t="n">
        <v>0</v>
      </c>
      <c r="Q498" t="n">
        <v>0</v>
      </c>
      <c r="R498" s="2" t="inlineStr"/>
    </row>
    <row r="499" ht="15" customHeight="1">
      <c r="A499" t="inlineStr">
        <is>
          <t>A 11704-2025</t>
        </is>
      </c>
      <c r="B499" s="1" t="n">
        <v>45727.57896990741</v>
      </c>
      <c r="C499" s="1" t="n">
        <v>45886</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15903-2022</t>
        </is>
      </c>
      <c r="B500" s="1" t="n">
        <v>44664.57841435185</v>
      </c>
      <c r="C500" s="1" t="n">
        <v>45886</v>
      </c>
      <c r="D500" t="inlineStr">
        <is>
          <t>VÄRMLANDS LÄN</t>
        </is>
      </c>
      <c r="E500" t="inlineStr">
        <is>
          <t>ÅRJÄNG</t>
        </is>
      </c>
      <c r="G500" t="n">
        <v>5</v>
      </c>
      <c r="H500" t="n">
        <v>0</v>
      </c>
      <c r="I500" t="n">
        <v>0</v>
      </c>
      <c r="J500" t="n">
        <v>0</v>
      </c>
      <c r="K500" t="n">
        <v>0</v>
      </c>
      <c r="L500" t="n">
        <v>0</v>
      </c>
      <c r="M500" t="n">
        <v>0</v>
      </c>
      <c r="N500" t="n">
        <v>0</v>
      </c>
      <c r="O500" t="n">
        <v>0</v>
      </c>
      <c r="P500" t="n">
        <v>0</v>
      </c>
      <c r="Q500" t="n">
        <v>0</v>
      </c>
      <c r="R500" s="2" t="inlineStr"/>
    </row>
    <row r="501" ht="15" customHeight="1">
      <c r="A501" t="inlineStr">
        <is>
          <t>A 33998-2025</t>
        </is>
      </c>
      <c r="B501" s="1" t="n">
        <v>45843.99453703704</v>
      </c>
      <c r="C501" s="1" t="n">
        <v>45886</v>
      </c>
      <c r="D501" t="inlineStr">
        <is>
          <t>VÄRMLANDS LÄN</t>
        </is>
      </c>
      <c r="E501" t="inlineStr">
        <is>
          <t>ÅRJÄNG</t>
        </is>
      </c>
      <c r="F501" t="inlineStr">
        <is>
          <t>Kyrkan</t>
        </is>
      </c>
      <c r="G501" t="n">
        <v>2</v>
      </c>
      <c r="H501" t="n">
        <v>0</v>
      </c>
      <c r="I501" t="n">
        <v>0</v>
      </c>
      <c r="J501" t="n">
        <v>0</v>
      </c>
      <c r="K501" t="n">
        <v>0</v>
      </c>
      <c r="L501" t="n">
        <v>0</v>
      </c>
      <c r="M501" t="n">
        <v>0</v>
      </c>
      <c r="N501" t="n">
        <v>0</v>
      </c>
      <c r="O501" t="n">
        <v>0</v>
      </c>
      <c r="P501" t="n">
        <v>0</v>
      </c>
      <c r="Q501" t="n">
        <v>0</v>
      </c>
      <c r="R501" s="2" t="inlineStr"/>
    </row>
    <row r="502" ht="15" customHeight="1">
      <c r="A502" t="inlineStr">
        <is>
          <t>A 37765-2023</t>
        </is>
      </c>
      <c r="B502" s="1" t="n">
        <v>45159</v>
      </c>
      <c r="C502" s="1" t="n">
        <v>45886</v>
      </c>
      <c r="D502" t="inlineStr">
        <is>
          <t>VÄRMLANDS LÄN</t>
        </is>
      </c>
      <c r="E502" t="inlineStr">
        <is>
          <t>ÅRJÄNG</t>
        </is>
      </c>
      <c r="G502" t="n">
        <v>4.6</v>
      </c>
      <c r="H502" t="n">
        <v>0</v>
      </c>
      <c r="I502" t="n">
        <v>0</v>
      </c>
      <c r="J502" t="n">
        <v>0</v>
      </c>
      <c r="K502" t="n">
        <v>0</v>
      </c>
      <c r="L502" t="n">
        <v>0</v>
      </c>
      <c r="M502" t="n">
        <v>0</v>
      </c>
      <c r="N502" t="n">
        <v>0</v>
      </c>
      <c r="O502" t="n">
        <v>0</v>
      </c>
      <c r="P502" t="n">
        <v>0</v>
      </c>
      <c r="Q502" t="n">
        <v>0</v>
      </c>
      <c r="R502" s="2" t="inlineStr"/>
    </row>
    <row r="503" ht="15" customHeight="1">
      <c r="A503" t="inlineStr">
        <is>
          <t>A 34235-2025</t>
        </is>
      </c>
      <c r="B503" s="1" t="n">
        <v>45845</v>
      </c>
      <c r="C503" s="1" t="n">
        <v>45886</v>
      </c>
      <c r="D503" t="inlineStr">
        <is>
          <t>VÄRMLANDS LÄN</t>
        </is>
      </c>
      <c r="E503" t="inlineStr">
        <is>
          <t>ÅRJÄNG</t>
        </is>
      </c>
      <c r="G503" t="n">
        <v>3.5</v>
      </c>
      <c r="H503" t="n">
        <v>0</v>
      </c>
      <c r="I503" t="n">
        <v>0</v>
      </c>
      <c r="J503" t="n">
        <v>0</v>
      </c>
      <c r="K503" t="n">
        <v>0</v>
      </c>
      <c r="L503" t="n">
        <v>0</v>
      </c>
      <c r="M503" t="n">
        <v>0</v>
      </c>
      <c r="N503" t="n">
        <v>0</v>
      </c>
      <c r="O503" t="n">
        <v>0</v>
      </c>
      <c r="P503" t="n">
        <v>0</v>
      </c>
      <c r="Q503" t="n">
        <v>0</v>
      </c>
      <c r="R503" s="2" t="inlineStr"/>
    </row>
    <row r="504" ht="15" customHeight="1">
      <c r="A504" t="inlineStr">
        <is>
          <t>A 61226-2024</t>
        </is>
      </c>
      <c r="B504" s="1" t="n">
        <v>45645.66853009259</v>
      </c>
      <c r="C504" s="1" t="n">
        <v>45886</v>
      </c>
      <c r="D504" t="inlineStr">
        <is>
          <t>VÄRMLANDS LÄN</t>
        </is>
      </c>
      <c r="E504" t="inlineStr">
        <is>
          <t>ÅRJÄNG</t>
        </is>
      </c>
      <c r="G504" t="n">
        <v>0.8</v>
      </c>
      <c r="H504" t="n">
        <v>0</v>
      </c>
      <c r="I504" t="n">
        <v>0</v>
      </c>
      <c r="J504" t="n">
        <v>0</v>
      </c>
      <c r="K504" t="n">
        <v>0</v>
      </c>
      <c r="L504" t="n">
        <v>0</v>
      </c>
      <c r="M504" t="n">
        <v>0</v>
      </c>
      <c r="N504" t="n">
        <v>0</v>
      </c>
      <c r="O504" t="n">
        <v>0</v>
      </c>
      <c r="P504" t="n">
        <v>0</v>
      </c>
      <c r="Q504" t="n">
        <v>0</v>
      </c>
      <c r="R504" s="2" t="inlineStr"/>
    </row>
    <row r="505" ht="15" customHeight="1">
      <c r="A505" t="inlineStr">
        <is>
          <t>A 51157-2024</t>
        </is>
      </c>
      <c r="B505" s="1" t="n">
        <v>45603</v>
      </c>
      <c r="C505" s="1" t="n">
        <v>45886</v>
      </c>
      <c r="D505" t="inlineStr">
        <is>
          <t>VÄRMLANDS LÄN</t>
        </is>
      </c>
      <c r="E505" t="inlineStr">
        <is>
          <t>ÅRJÄNG</t>
        </is>
      </c>
      <c r="G505" t="n">
        <v>6.3</v>
      </c>
      <c r="H505" t="n">
        <v>0</v>
      </c>
      <c r="I505" t="n">
        <v>0</v>
      </c>
      <c r="J505" t="n">
        <v>0</v>
      </c>
      <c r="K505" t="n">
        <v>0</v>
      </c>
      <c r="L505" t="n">
        <v>0</v>
      </c>
      <c r="M505" t="n">
        <v>0</v>
      </c>
      <c r="N505" t="n">
        <v>0</v>
      </c>
      <c r="O505" t="n">
        <v>0</v>
      </c>
      <c r="P505" t="n">
        <v>0</v>
      </c>
      <c r="Q505" t="n">
        <v>0</v>
      </c>
      <c r="R505" s="2" t="inlineStr"/>
    </row>
    <row r="506" ht="15" customHeight="1">
      <c r="A506" t="inlineStr">
        <is>
          <t>A 4798-2022</t>
        </is>
      </c>
      <c r="B506" s="1" t="n">
        <v>44592.6534375</v>
      </c>
      <c r="C506" s="1" t="n">
        <v>45886</v>
      </c>
      <c r="D506" t="inlineStr">
        <is>
          <t>VÄRMLANDS LÄN</t>
        </is>
      </c>
      <c r="E506" t="inlineStr">
        <is>
          <t>ÅRJÄNG</t>
        </is>
      </c>
      <c r="G506" t="n">
        <v>4.1</v>
      </c>
      <c r="H506" t="n">
        <v>0</v>
      </c>
      <c r="I506" t="n">
        <v>0</v>
      </c>
      <c r="J506" t="n">
        <v>0</v>
      </c>
      <c r="K506" t="n">
        <v>0</v>
      </c>
      <c r="L506" t="n">
        <v>0</v>
      </c>
      <c r="M506" t="n">
        <v>0</v>
      </c>
      <c r="N506" t="n">
        <v>0</v>
      </c>
      <c r="O506" t="n">
        <v>0</v>
      </c>
      <c r="P506" t="n">
        <v>0</v>
      </c>
      <c r="Q506" t="n">
        <v>0</v>
      </c>
      <c r="R506" s="2" t="inlineStr"/>
    </row>
    <row r="507" ht="15" customHeight="1">
      <c r="A507" t="inlineStr">
        <is>
          <t>A 34148-2025</t>
        </is>
      </c>
      <c r="B507" s="1" t="n">
        <v>45844</v>
      </c>
      <c r="C507" s="1" t="n">
        <v>45886</v>
      </c>
      <c r="D507" t="inlineStr">
        <is>
          <t>VÄRMLANDS LÄN</t>
        </is>
      </c>
      <c r="E507" t="inlineStr">
        <is>
          <t>ÅRJÄNG</t>
        </is>
      </c>
      <c r="G507" t="n">
        <v>1.2</v>
      </c>
      <c r="H507" t="n">
        <v>0</v>
      </c>
      <c r="I507" t="n">
        <v>0</v>
      </c>
      <c r="J507" t="n">
        <v>0</v>
      </c>
      <c r="K507" t="n">
        <v>0</v>
      </c>
      <c r="L507" t="n">
        <v>0</v>
      </c>
      <c r="M507" t="n">
        <v>0</v>
      </c>
      <c r="N507" t="n">
        <v>0</v>
      </c>
      <c r="O507" t="n">
        <v>0</v>
      </c>
      <c r="P507" t="n">
        <v>0</v>
      </c>
      <c r="Q507" t="n">
        <v>0</v>
      </c>
      <c r="R507" s="2" t="inlineStr"/>
    </row>
    <row r="508" ht="15" customHeight="1">
      <c r="A508" t="inlineStr">
        <is>
          <t>A 60020-2024</t>
        </is>
      </c>
      <c r="B508" s="1" t="n">
        <v>45642.44655092592</v>
      </c>
      <c r="C508" s="1" t="n">
        <v>45886</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34077-2025</t>
        </is>
      </c>
      <c r="B509" s="1" t="n">
        <v>45845.45206018518</v>
      </c>
      <c r="C509" s="1" t="n">
        <v>45886</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34248-2025</t>
        </is>
      </c>
      <c r="B510" s="1" t="n">
        <v>45845</v>
      </c>
      <c r="C510" s="1" t="n">
        <v>45886</v>
      </c>
      <c r="D510" t="inlineStr">
        <is>
          <t>VÄRMLANDS LÄN</t>
        </is>
      </c>
      <c r="E510" t="inlineStr">
        <is>
          <t>ÅRJÄNG</t>
        </is>
      </c>
      <c r="G510" t="n">
        <v>2.7</v>
      </c>
      <c r="H510" t="n">
        <v>0</v>
      </c>
      <c r="I510" t="n">
        <v>0</v>
      </c>
      <c r="J510" t="n">
        <v>0</v>
      </c>
      <c r="K510" t="n">
        <v>0</v>
      </c>
      <c r="L510" t="n">
        <v>0</v>
      </c>
      <c r="M510" t="n">
        <v>0</v>
      </c>
      <c r="N510" t="n">
        <v>0</v>
      </c>
      <c r="O510" t="n">
        <v>0</v>
      </c>
      <c r="P510" t="n">
        <v>0</v>
      </c>
      <c r="Q510" t="n">
        <v>0</v>
      </c>
      <c r="R510" s="2" t="inlineStr"/>
    </row>
    <row r="511" ht="15" customHeight="1">
      <c r="A511" t="inlineStr">
        <is>
          <t>A 34243-2025</t>
        </is>
      </c>
      <c r="B511" s="1" t="n">
        <v>45845</v>
      </c>
      <c r="C511" s="1" t="n">
        <v>45886</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34252-2025</t>
        </is>
      </c>
      <c r="B512" s="1" t="n">
        <v>45845</v>
      </c>
      <c r="C512" s="1" t="n">
        <v>45886</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c r="U512">
        <f>HYPERLINK("https://klasma.github.io/Logging_1765/knärot/A 34252-2025 karta knärot.png", "A 34252-2025")</f>
        <v/>
      </c>
      <c r="V512">
        <f>HYPERLINK("https://klasma.github.io/Logging_1765/klagomål/A 34252-2025 FSC-klagomål.docx", "A 34252-2025")</f>
        <v/>
      </c>
      <c r="W512">
        <f>HYPERLINK("https://klasma.github.io/Logging_1765/klagomålsmail/A 34252-2025 FSC-klagomål mail.docx", "A 34252-2025")</f>
        <v/>
      </c>
      <c r="X512">
        <f>HYPERLINK("https://klasma.github.io/Logging_1765/tillsyn/A 34252-2025 tillsynsbegäran.docx", "A 34252-2025")</f>
        <v/>
      </c>
      <c r="Y512">
        <f>HYPERLINK("https://klasma.github.io/Logging_1765/tillsynsmail/A 34252-2025 tillsynsbegäran mail.docx", "A 34252-2025")</f>
        <v/>
      </c>
    </row>
    <row r="513" ht="15" customHeight="1">
      <c r="A513" t="inlineStr">
        <is>
          <t>A 33993-2025</t>
        </is>
      </c>
      <c r="B513" s="1" t="n">
        <v>45843.61189814815</v>
      </c>
      <c r="C513" s="1" t="n">
        <v>45886</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1414-2025</t>
        </is>
      </c>
      <c r="B514" s="1" t="n">
        <v>45668.32134259259</v>
      </c>
      <c r="C514" s="1" t="n">
        <v>45886</v>
      </c>
      <c r="D514" t="inlineStr">
        <is>
          <t>VÄRMLANDS LÄN</t>
        </is>
      </c>
      <c r="E514" t="inlineStr">
        <is>
          <t>ÅRJÄNG</t>
        </is>
      </c>
      <c r="G514" t="n">
        <v>3.6</v>
      </c>
      <c r="H514" t="n">
        <v>0</v>
      </c>
      <c r="I514" t="n">
        <v>0</v>
      </c>
      <c r="J514" t="n">
        <v>0</v>
      </c>
      <c r="K514" t="n">
        <v>0</v>
      </c>
      <c r="L514" t="n">
        <v>0</v>
      </c>
      <c r="M514" t="n">
        <v>0</v>
      </c>
      <c r="N514" t="n">
        <v>0</v>
      </c>
      <c r="O514" t="n">
        <v>0</v>
      </c>
      <c r="P514" t="n">
        <v>0</v>
      </c>
      <c r="Q514" t="n">
        <v>0</v>
      </c>
      <c r="R514" s="2" t="inlineStr"/>
    </row>
    <row r="515" ht="15" customHeight="1">
      <c r="A515" t="inlineStr">
        <is>
          <t>A 74086-2021</t>
        </is>
      </c>
      <c r="B515" s="1" t="n">
        <v>44557.58112268519</v>
      </c>
      <c r="C515" s="1" t="n">
        <v>45886</v>
      </c>
      <c r="D515" t="inlineStr">
        <is>
          <t>VÄRMLANDS LÄN</t>
        </is>
      </c>
      <c r="E515" t="inlineStr">
        <is>
          <t>ÅRJÄNG</t>
        </is>
      </c>
      <c r="G515" t="n">
        <v>3.6</v>
      </c>
      <c r="H515" t="n">
        <v>0</v>
      </c>
      <c r="I515" t="n">
        <v>0</v>
      </c>
      <c r="J515" t="n">
        <v>0</v>
      </c>
      <c r="K515" t="n">
        <v>0</v>
      </c>
      <c r="L515" t="n">
        <v>0</v>
      </c>
      <c r="M515" t="n">
        <v>0</v>
      </c>
      <c r="N515" t="n">
        <v>0</v>
      </c>
      <c r="O515" t="n">
        <v>0</v>
      </c>
      <c r="P515" t="n">
        <v>0</v>
      </c>
      <c r="Q515" t="n">
        <v>0</v>
      </c>
      <c r="R515" s="2" t="inlineStr"/>
    </row>
    <row r="516" ht="15" customHeight="1">
      <c r="A516" t="inlineStr">
        <is>
          <t>A 20674-2023</t>
        </is>
      </c>
      <c r="B516" s="1" t="n">
        <v>45058</v>
      </c>
      <c r="C516" s="1" t="n">
        <v>45886</v>
      </c>
      <c r="D516" t="inlineStr">
        <is>
          <t>VÄRMLANDS LÄN</t>
        </is>
      </c>
      <c r="E516" t="inlineStr">
        <is>
          <t>ÅRJÄNG</t>
        </is>
      </c>
      <c r="G516" t="n">
        <v>11.1</v>
      </c>
      <c r="H516" t="n">
        <v>0</v>
      </c>
      <c r="I516" t="n">
        <v>0</v>
      </c>
      <c r="J516" t="n">
        <v>0</v>
      </c>
      <c r="K516" t="n">
        <v>0</v>
      </c>
      <c r="L516" t="n">
        <v>0</v>
      </c>
      <c r="M516" t="n">
        <v>0</v>
      </c>
      <c r="N516" t="n">
        <v>0</v>
      </c>
      <c r="O516" t="n">
        <v>0</v>
      </c>
      <c r="P516" t="n">
        <v>0</v>
      </c>
      <c r="Q516" t="n">
        <v>0</v>
      </c>
      <c r="R516" s="2" t="inlineStr"/>
    </row>
    <row r="517" ht="15" customHeight="1">
      <c r="A517" t="inlineStr">
        <is>
          <t>A 39096-2023</t>
        </is>
      </c>
      <c r="B517" s="1" t="n">
        <v>45164.55570601852</v>
      </c>
      <c r="C517" s="1" t="n">
        <v>45886</v>
      </c>
      <c r="D517" t="inlineStr">
        <is>
          <t>VÄRMLANDS LÄN</t>
        </is>
      </c>
      <c r="E517" t="inlineStr">
        <is>
          <t>ÅRJÄNG</t>
        </is>
      </c>
      <c r="G517" t="n">
        <v>5.1</v>
      </c>
      <c r="H517" t="n">
        <v>0</v>
      </c>
      <c r="I517" t="n">
        <v>0</v>
      </c>
      <c r="J517" t="n">
        <v>0</v>
      </c>
      <c r="K517" t="n">
        <v>0</v>
      </c>
      <c r="L517" t="n">
        <v>0</v>
      </c>
      <c r="M517" t="n">
        <v>0</v>
      </c>
      <c r="N517" t="n">
        <v>0</v>
      </c>
      <c r="O517" t="n">
        <v>0</v>
      </c>
      <c r="P517" t="n">
        <v>0</v>
      </c>
      <c r="Q517" t="n">
        <v>0</v>
      </c>
      <c r="R517" s="2" t="inlineStr"/>
    </row>
    <row r="518" ht="15" customHeight="1">
      <c r="A518" t="inlineStr">
        <is>
          <t>A 23878-2023</t>
        </is>
      </c>
      <c r="B518" s="1" t="n">
        <v>45078</v>
      </c>
      <c r="C518" s="1" t="n">
        <v>45886</v>
      </c>
      <c r="D518" t="inlineStr">
        <is>
          <t>VÄRMLANDS LÄN</t>
        </is>
      </c>
      <c r="E518" t="inlineStr">
        <is>
          <t>ÅRJÄNG</t>
        </is>
      </c>
      <c r="G518" t="n">
        <v>2.5</v>
      </c>
      <c r="H518" t="n">
        <v>0</v>
      </c>
      <c r="I518" t="n">
        <v>0</v>
      </c>
      <c r="J518" t="n">
        <v>0</v>
      </c>
      <c r="K518" t="n">
        <v>0</v>
      </c>
      <c r="L518" t="n">
        <v>0</v>
      </c>
      <c r="M518" t="n">
        <v>0</v>
      </c>
      <c r="N518" t="n">
        <v>0</v>
      </c>
      <c r="O518" t="n">
        <v>0</v>
      </c>
      <c r="P518" t="n">
        <v>0</v>
      </c>
      <c r="Q518" t="n">
        <v>0</v>
      </c>
      <c r="R518" s="2" t="inlineStr"/>
    </row>
    <row r="519" ht="15" customHeight="1">
      <c r="A519" t="inlineStr">
        <is>
          <t>A 39178-2023</t>
        </is>
      </c>
      <c r="B519" s="1" t="n">
        <v>45166.38395833333</v>
      </c>
      <c r="C519" s="1" t="n">
        <v>45886</v>
      </c>
      <c r="D519" t="inlineStr">
        <is>
          <t>VÄRMLANDS LÄN</t>
        </is>
      </c>
      <c r="E519" t="inlineStr">
        <is>
          <t>ÅRJÄNG</t>
        </is>
      </c>
      <c r="G519" t="n">
        <v>2.1</v>
      </c>
      <c r="H519" t="n">
        <v>0</v>
      </c>
      <c r="I519" t="n">
        <v>0</v>
      </c>
      <c r="J519" t="n">
        <v>0</v>
      </c>
      <c r="K519" t="n">
        <v>0</v>
      </c>
      <c r="L519" t="n">
        <v>0</v>
      </c>
      <c r="M519" t="n">
        <v>0</v>
      </c>
      <c r="N519" t="n">
        <v>0</v>
      </c>
      <c r="O519" t="n">
        <v>0</v>
      </c>
      <c r="P519" t="n">
        <v>0</v>
      </c>
      <c r="Q519" t="n">
        <v>0</v>
      </c>
      <c r="R519" s="2" t="inlineStr"/>
    </row>
    <row r="520" ht="15" customHeight="1">
      <c r="A520" t="inlineStr">
        <is>
          <t>A 61811-2024</t>
        </is>
      </c>
      <c r="B520" s="1" t="n">
        <v>45646</v>
      </c>
      <c r="C520" s="1" t="n">
        <v>45886</v>
      </c>
      <c r="D520" t="inlineStr">
        <is>
          <t>VÄRMLANDS LÄN</t>
        </is>
      </c>
      <c r="E520" t="inlineStr">
        <is>
          <t>ÅRJÄNG</t>
        </is>
      </c>
      <c r="G520" t="n">
        <v>3.4</v>
      </c>
      <c r="H520" t="n">
        <v>0</v>
      </c>
      <c r="I520" t="n">
        <v>0</v>
      </c>
      <c r="J520" t="n">
        <v>0</v>
      </c>
      <c r="K520" t="n">
        <v>0</v>
      </c>
      <c r="L520" t="n">
        <v>0</v>
      </c>
      <c r="M520" t="n">
        <v>0</v>
      </c>
      <c r="N520" t="n">
        <v>0</v>
      </c>
      <c r="O520" t="n">
        <v>0</v>
      </c>
      <c r="P520" t="n">
        <v>0</v>
      </c>
      <c r="Q520" t="n">
        <v>0</v>
      </c>
      <c r="R520" s="2" t="inlineStr"/>
    </row>
    <row r="521" ht="15" customHeight="1">
      <c r="A521" t="inlineStr">
        <is>
          <t>A 5332-2025</t>
        </is>
      </c>
      <c r="B521" s="1" t="n">
        <v>45692.53978009259</v>
      </c>
      <c r="C521" s="1" t="n">
        <v>45886</v>
      </c>
      <c r="D521" t="inlineStr">
        <is>
          <t>VÄRMLANDS LÄN</t>
        </is>
      </c>
      <c r="E521" t="inlineStr">
        <is>
          <t>ÅRJÄNG</t>
        </is>
      </c>
      <c r="G521" t="n">
        <v>0.9</v>
      </c>
      <c r="H521" t="n">
        <v>0</v>
      </c>
      <c r="I521" t="n">
        <v>0</v>
      </c>
      <c r="J521" t="n">
        <v>0</v>
      </c>
      <c r="K521" t="n">
        <v>0</v>
      </c>
      <c r="L521" t="n">
        <v>0</v>
      </c>
      <c r="M521" t="n">
        <v>0</v>
      </c>
      <c r="N521" t="n">
        <v>0</v>
      </c>
      <c r="O521" t="n">
        <v>0</v>
      </c>
      <c r="P521" t="n">
        <v>0</v>
      </c>
      <c r="Q521" t="n">
        <v>0</v>
      </c>
      <c r="R521" s="2" t="inlineStr"/>
    </row>
    <row r="522" ht="15" customHeight="1">
      <c r="A522" t="inlineStr">
        <is>
          <t>A 52574-2024</t>
        </is>
      </c>
      <c r="B522" s="1" t="n">
        <v>45609</v>
      </c>
      <c r="C522" s="1" t="n">
        <v>45886</v>
      </c>
      <c r="D522" t="inlineStr">
        <is>
          <t>VÄRMLANDS LÄN</t>
        </is>
      </c>
      <c r="E522" t="inlineStr">
        <is>
          <t>ÅRJÄNG</t>
        </is>
      </c>
      <c r="G522" t="n">
        <v>0.2</v>
      </c>
      <c r="H522" t="n">
        <v>0</v>
      </c>
      <c r="I522" t="n">
        <v>0</v>
      </c>
      <c r="J522" t="n">
        <v>0</v>
      </c>
      <c r="K522" t="n">
        <v>0</v>
      </c>
      <c r="L522" t="n">
        <v>0</v>
      </c>
      <c r="M522" t="n">
        <v>0</v>
      </c>
      <c r="N522" t="n">
        <v>0</v>
      </c>
      <c r="O522" t="n">
        <v>0</v>
      </c>
      <c r="P522" t="n">
        <v>0</v>
      </c>
      <c r="Q522" t="n">
        <v>0</v>
      </c>
      <c r="R522" s="2" t="inlineStr"/>
    </row>
    <row r="523" ht="15" customHeight="1">
      <c r="A523" t="inlineStr">
        <is>
          <t>A 3656-2022</t>
        </is>
      </c>
      <c r="B523" s="1" t="n">
        <v>44586</v>
      </c>
      <c r="C523" s="1" t="n">
        <v>45886</v>
      </c>
      <c r="D523" t="inlineStr">
        <is>
          <t>VÄRMLANDS LÄN</t>
        </is>
      </c>
      <c r="E523" t="inlineStr">
        <is>
          <t>ÅRJÄNG</t>
        </is>
      </c>
      <c r="G523" t="n">
        <v>11.7</v>
      </c>
      <c r="H523" t="n">
        <v>0</v>
      </c>
      <c r="I523" t="n">
        <v>0</v>
      </c>
      <c r="J523" t="n">
        <v>0</v>
      </c>
      <c r="K523" t="n">
        <v>0</v>
      </c>
      <c r="L523" t="n">
        <v>0</v>
      </c>
      <c r="M523" t="n">
        <v>0</v>
      </c>
      <c r="N523" t="n">
        <v>0</v>
      </c>
      <c r="O523" t="n">
        <v>0</v>
      </c>
      <c r="P523" t="n">
        <v>0</v>
      </c>
      <c r="Q523" t="n">
        <v>0</v>
      </c>
      <c r="R523" s="2" t="inlineStr"/>
    </row>
    <row r="524" ht="15" customHeight="1">
      <c r="A524" t="inlineStr">
        <is>
          <t>A 11392-2024</t>
        </is>
      </c>
      <c r="B524" s="1" t="n">
        <v>45372</v>
      </c>
      <c r="C524" s="1" t="n">
        <v>45886</v>
      </c>
      <c r="D524" t="inlineStr">
        <is>
          <t>VÄRMLANDS LÄN</t>
        </is>
      </c>
      <c r="E524" t="inlineStr">
        <is>
          <t>ÅRJÄNG</t>
        </is>
      </c>
      <c r="G524" t="n">
        <v>3.6</v>
      </c>
      <c r="H524" t="n">
        <v>0</v>
      </c>
      <c r="I524" t="n">
        <v>0</v>
      </c>
      <c r="J524" t="n">
        <v>0</v>
      </c>
      <c r="K524" t="n">
        <v>0</v>
      </c>
      <c r="L524" t="n">
        <v>0</v>
      </c>
      <c r="M524" t="n">
        <v>0</v>
      </c>
      <c r="N524" t="n">
        <v>0</v>
      </c>
      <c r="O524" t="n">
        <v>0</v>
      </c>
      <c r="P524" t="n">
        <v>0</v>
      </c>
      <c r="Q524" t="n">
        <v>0</v>
      </c>
      <c r="R524" s="2" t="inlineStr"/>
    </row>
    <row r="525" ht="15" customHeight="1">
      <c r="A525" t="inlineStr">
        <is>
          <t>A 70461-2021</t>
        </is>
      </c>
      <c r="B525" s="1" t="n">
        <v>44536</v>
      </c>
      <c r="C525" s="1" t="n">
        <v>45886</v>
      </c>
      <c r="D525" t="inlineStr">
        <is>
          <t>VÄRMLANDS LÄN</t>
        </is>
      </c>
      <c r="E525" t="inlineStr">
        <is>
          <t>ÅRJÄNG</t>
        </is>
      </c>
      <c r="G525" t="n">
        <v>3.8</v>
      </c>
      <c r="H525" t="n">
        <v>0</v>
      </c>
      <c r="I525" t="n">
        <v>0</v>
      </c>
      <c r="J525" t="n">
        <v>0</v>
      </c>
      <c r="K525" t="n">
        <v>0</v>
      </c>
      <c r="L525" t="n">
        <v>0</v>
      </c>
      <c r="M525" t="n">
        <v>0</v>
      </c>
      <c r="N525" t="n">
        <v>0</v>
      </c>
      <c r="O525" t="n">
        <v>0</v>
      </c>
      <c r="P525" t="n">
        <v>0</v>
      </c>
      <c r="Q525" t="n">
        <v>0</v>
      </c>
      <c r="R525" s="2" t="inlineStr"/>
    </row>
    <row r="526" ht="15" customHeight="1">
      <c r="A526" t="inlineStr">
        <is>
          <t>A 62261-2023</t>
        </is>
      </c>
      <c r="B526" s="1" t="n">
        <v>45266</v>
      </c>
      <c r="C526" s="1" t="n">
        <v>45886</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38707-2023</t>
        </is>
      </c>
      <c r="B527" s="1" t="n">
        <v>45163.34018518519</v>
      </c>
      <c r="C527" s="1" t="n">
        <v>45886</v>
      </c>
      <c r="D527" t="inlineStr">
        <is>
          <t>VÄRMLANDS LÄN</t>
        </is>
      </c>
      <c r="E527" t="inlineStr">
        <is>
          <t>ÅRJÄNG</t>
        </is>
      </c>
      <c r="G527" t="n">
        <v>2.8</v>
      </c>
      <c r="H527" t="n">
        <v>0</v>
      </c>
      <c r="I527" t="n">
        <v>0</v>
      </c>
      <c r="J527" t="n">
        <v>0</v>
      </c>
      <c r="K527" t="n">
        <v>0</v>
      </c>
      <c r="L527" t="n">
        <v>0</v>
      </c>
      <c r="M527" t="n">
        <v>0</v>
      </c>
      <c r="N527" t="n">
        <v>0</v>
      </c>
      <c r="O527" t="n">
        <v>0</v>
      </c>
      <c r="P527" t="n">
        <v>0</v>
      </c>
      <c r="Q527" t="n">
        <v>0</v>
      </c>
      <c r="R527" s="2" t="inlineStr"/>
    </row>
    <row r="528" ht="15" customHeight="1">
      <c r="A528" t="inlineStr">
        <is>
          <t>A 49641-2021</t>
        </is>
      </c>
      <c r="B528" s="1" t="n">
        <v>44455.44327546296</v>
      </c>
      <c r="C528" s="1" t="n">
        <v>45886</v>
      </c>
      <c r="D528" t="inlineStr">
        <is>
          <t>VÄRMLANDS LÄN</t>
        </is>
      </c>
      <c r="E528" t="inlineStr">
        <is>
          <t>ÅRJÄNG</t>
        </is>
      </c>
      <c r="G528" t="n">
        <v>3.2</v>
      </c>
      <c r="H528" t="n">
        <v>0</v>
      </c>
      <c r="I528" t="n">
        <v>0</v>
      </c>
      <c r="J528" t="n">
        <v>0</v>
      </c>
      <c r="K528" t="n">
        <v>0</v>
      </c>
      <c r="L528" t="n">
        <v>0</v>
      </c>
      <c r="M528" t="n">
        <v>0</v>
      </c>
      <c r="N528" t="n">
        <v>0</v>
      </c>
      <c r="O528" t="n">
        <v>0</v>
      </c>
      <c r="P528" t="n">
        <v>0</v>
      </c>
      <c r="Q528" t="n">
        <v>0</v>
      </c>
      <c r="R528" s="2" t="inlineStr"/>
    </row>
    <row r="529" ht="15" customHeight="1">
      <c r="A529" t="inlineStr">
        <is>
          <t>A 32338-2024</t>
        </is>
      </c>
      <c r="B529" s="1" t="n">
        <v>45512</v>
      </c>
      <c r="C529" s="1" t="n">
        <v>45886</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5863-2023</t>
        </is>
      </c>
      <c r="B530" s="1" t="n">
        <v>44963</v>
      </c>
      <c r="C530" s="1" t="n">
        <v>45886</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45643-2023</t>
        </is>
      </c>
      <c r="B531" s="1" t="n">
        <v>45194.69827546296</v>
      </c>
      <c r="C531" s="1" t="n">
        <v>45886</v>
      </c>
      <c r="D531" t="inlineStr">
        <is>
          <t>VÄRMLANDS LÄN</t>
        </is>
      </c>
      <c r="E531" t="inlineStr">
        <is>
          <t>ÅRJÄNG</t>
        </is>
      </c>
      <c r="G531" t="n">
        <v>1.2</v>
      </c>
      <c r="H531" t="n">
        <v>0</v>
      </c>
      <c r="I531" t="n">
        <v>0</v>
      </c>
      <c r="J531" t="n">
        <v>0</v>
      </c>
      <c r="K531" t="n">
        <v>0</v>
      </c>
      <c r="L531" t="n">
        <v>0</v>
      </c>
      <c r="M531" t="n">
        <v>0</v>
      </c>
      <c r="N531" t="n">
        <v>0</v>
      </c>
      <c r="O531" t="n">
        <v>0</v>
      </c>
      <c r="P531" t="n">
        <v>0</v>
      </c>
      <c r="Q531" t="n">
        <v>0</v>
      </c>
      <c r="R531" s="2" t="inlineStr"/>
    </row>
    <row r="532" ht="15" customHeight="1">
      <c r="A532" t="inlineStr">
        <is>
          <t>A 55071-2024</t>
        </is>
      </c>
      <c r="B532" s="1" t="n">
        <v>45621.41861111111</v>
      </c>
      <c r="C532" s="1" t="n">
        <v>45886</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13155-2024</t>
        </is>
      </c>
      <c r="B533" s="1" t="n">
        <v>45386</v>
      </c>
      <c r="C533" s="1" t="n">
        <v>45886</v>
      </c>
      <c r="D533" t="inlineStr">
        <is>
          <t>VÄRMLANDS LÄN</t>
        </is>
      </c>
      <c r="E533" t="inlineStr">
        <is>
          <t>ÅRJÄNG</t>
        </is>
      </c>
      <c r="G533" t="n">
        <v>2.2</v>
      </c>
      <c r="H533" t="n">
        <v>0</v>
      </c>
      <c r="I533" t="n">
        <v>0</v>
      </c>
      <c r="J533" t="n">
        <v>0</v>
      </c>
      <c r="K533" t="n">
        <v>0</v>
      </c>
      <c r="L533" t="n">
        <v>0</v>
      </c>
      <c r="M533" t="n">
        <v>0</v>
      </c>
      <c r="N533" t="n">
        <v>0</v>
      </c>
      <c r="O533" t="n">
        <v>0</v>
      </c>
      <c r="P533" t="n">
        <v>0</v>
      </c>
      <c r="Q533" t="n">
        <v>0</v>
      </c>
      <c r="R533" s="2" t="inlineStr"/>
    </row>
    <row r="534" ht="15" customHeight="1">
      <c r="A534" t="inlineStr">
        <is>
          <t>A 52579-2024</t>
        </is>
      </c>
      <c r="B534" s="1" t="n">
        <v>45609</v>
      </c>
      <c r="C534" s="1" t="n">
        <v>45886</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44556-2023</t>
        </is>
      </c>
      <c r="B535" s="1" t="n">
        <v>45189.53738425926</v>
      </c>
      <c r="C535" s="1" t="n">
        <v>45886</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26258-2025</t>
        </is>
      </c>
      <c r="B536" s="1" t="n">
        <v>45805.58349537037</v>
      </c>
      <c r="C536" s="1" t="n">
        <v>45886</v>
      </c>
      <c r="D536" t="inlineStr">
        <is>
          <t>VÄRMLANDS LÄN</t>
        </is>
      </c>
      <c r="E536" t="inlineStr">
        <is>
          <t>ÅRJÄNG</t>
        </is>
      </c>
      <c r="G536" t="n">
        <v>2.3</v>
      </c>
      <c r="H536" t="n">
        <v>0</v>
      </c>
      <c r="I536" t="n">
        <v>0</v>
      </c>
      <c r="J536" t="n">
        <v>0</v>
      </c>
      <c r="K536" t="n">
        <v>0</v>
      </c>
      <c r="L536" t="n">
        <v>0</v>
      </c>
      <c r="M536" t="n">
        <v>0</v>
      </c>
      <c r="N536" t="n">
        <v>0</v>
      </c>
      <c r="O536" t="n">
        <v>0</v>
      </c>
      <c r="P536" t="n">
        <v>0</v>
      </c>
      <c r="Q536" t="n">
        <v>0</v>
      </c>
      <c r="R536" s="2" t="inlineStr"/>
    </row>
    <row r="537" ht="15" customHeight="1">
      <c r="A537" t="inlineStr">
        <is>
          <t>A 53742-2024</t>
        </is>
      </c>
      <c r="B537" s="1" t="n">
        <v>45615.47130787037</v>
      </c>
      <c r="C537" s="1" t="n">
        <v>45886</v>
      </c>
      <c r="D537" t="inlineStr">
        <is>
          <t>VÄRMLANDS LÄN</t>
        </is>
      </c>
      <c r="E537" t="inlineStr">
        <is>
          <t>ÅRJÄNG</t>
        </is>
      </c>
      <c r="G537" t="n">
        <v>0.8</v>
      </c>
      <c r="H537" t="n">
        <v>0</v>
      </c>
      <c r="I537" t="n">
        <v>0</v>
      </c>
      <c r="J537" t="n">
        <v>0</v>
      </c>
      <c r="K537" t="n">
        <v>0</v>
      </c>
      <c r="L537" t="n">
        <v>0</v>
      </c>
      <c r="M537" t="n">
        <v>0</v>
      </c>
      <c r="N537" t="n">
        <v>0</v>
      </c>
      <c r="O537" t="n">
        <v>0</v>
      </c>
      <c r="P537" t="n">
        <v>0</v>
      </c>
      <c r="Q537" t="n">
        <v>0</v>
      </c>
      <c r="R537" s="2" t="inlineStr"/>
    </row>
    <row r="538" ht="15" customHeight="1">
      <c r="A538" t="inlineStr">
        <is>
          <t>A 5319-2025</t>
        </is>
      </c>
      <c r="B538" s="1" t="n">
        <v>45692.52384259259</v>
      </c>
      <c r="C538" s="1" t="n">
        <v>45886</v>
      </c>
      <c r="D538" t="inlineStr">
        <is>
          <t>VÄRMLANDS LÄN</t>
        </is>
      </c>
      <c r="E538" t="inlineStr">
        <is>
          <t>ÅRJÄNG</t>
        </is>
      </c>
      <c r="G538" t="n">
        <v>1.8</v>
      </c>
      <c r="H538" t="n">
        <v>0</v>
      </c>
      <c r="I538" t="n">
        <v>0</v>
      </c>
      <c r="J538" t="n">
        <v>0</v>
      </c>
      <c r="K538" t="n">
        <v>0</v>
      </c>
      <c r="L538" t="n">
        <v>0</v>
      </c>
      <c r="M538" t="n">
        <v>0</v>
      </c>
      <c r="N538" t="n">
        <v>0</v>
      </c>
      <c r="O538" t="n">
        <v>0</v>
      </c>
      <c r="P538" t="n">
        <v>0</v>
      </c>
      <c r="Q538" t="n">
        <v>0</v>
      </c>
      <c r="R538" s="2" t="inlineStr"/>
    </row>
    <row r="539" ht="15" customHeight="1">
      <c r="A539" t="inlineStr">
        <is>
          <t>A 56769-2024</t>
        </is>
      </c>
      <c r="B539" s="1" t="n">
        <v>45628.41550925926</v>
      </c>
      <c r="C539" s="1" t="n">
        <v>45886</v>
      </c>
      <c r="D539" t="inlineStr">
        <is>
          <t>VÄRMLANDS LÄN</t>
        </is>
      </c>
      <c r="E539" t="inlineStr">
        <is>
          <t>ÅRJÄNG</t>
        </is>
      </c>
      <c r="G539" t="n">
        <v>1.5</v>
      </c>
      <c r="H539" t="n">
        <v>0</v>
      </c>
      <c r="I539" t="n">
        <v>0</v>
      </c>
      <c r="J539" t="n">
        <v>0</v>
      </c>
      <c r="K539" t="n">
        <v>0</v>
      </c>
      <c r="L539" t="n">
        <v>0</v>
      </c>
      <c r="M539" t="n">
        <v>0</v>
      </c>
      <c r="N539" t="n">
        <v>0</v>
      </c>
      <c r="O539" t="n">
        <v>0</v>
      </c>
      <c r="P539" t="n">
        <v>0</v>
      </c>
      <c r="Q539" t="n">
        <v>0</v>
      </c>
      <c r="R539" s="2" t="inlineStr"/>
    </row>
    <row r="540" ht="15" customHeight="1">
      <c r="A540" t="inlineStr">
        <is>
          <t>A 12840-2025</t>
        </is>
      </c>
      <c r="B540" s="1" t="n">
        <v>45733</v>
      </c>
      <c r="C540" s="1" t="n">
        <v>45886</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45886</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56030-2024</t>
        </is>
      </c>
      <c r="B542" s="1" t="n">
        <v>45624.31178240741</v>
      </c>
      <c r="C542" s="1" t="n">
        <v>45886</v>
      </c>
      <c r="D542" t="inlineStr">
        <is>
          <t>VÄRMLANDS LÄN</t>
        </is>
      </c>
      <c r="E542" t="inlineStr">
        <is>
          <t>ÅRJÄNG</t>
        </is>
      </c>
      <c r="G542" t="n">
        <v>2</v>
      </c>
      <c r="H542" t="n">
        <v>0</v>
      </c>
      <c r="I542" t="n">
        <v>0</v>
      </c>
      <c r="J542" t="n">
        <v>0</v>
      </c>
      <c r="K542" t="n">
        <v>0</v>
      </c>
      <c r="L542" t="n">
        <v>0</v>
      </c>
      <c r="M542" t="n">
        <v>0</v>
      </c>
      <c r="N542" t="n">
        <v>0</v>
      </c>
      <c r="O542" t="n">
        <v>0</v>
      </c>
      <c r="P542" t="n">
        <v>0</v>
      </c>
      <c r="Q542" t="n">
        <v>0</v>
      </c>
      <c r="R542" s="2" t="inlineStr"/>
    </row>
    <row r="543" ht="15" customHeight="1">
      <c r="A543" t="inlineStr">
        <is>
          <t>A 49701-2022</t>
        </is>
      </c>
      <c r="B543" s="1" t="n">
        <v>44862.53201388889</v>
      </c>
      <c r="C543" s="1" t="n">
        <v>45886</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8146-2024</t>
        </is>
      </c>
      <c r="B544" s="1" t="n">
        <v>45351.57671296296</v>
      </c>
      <c r="C544" s="1" t="n">
        <v>45886</v>
      </c>
      <c r="D544" t="inlineStr">
        <is>
          <t>VÄRMLANDS LÄN</t>
        </is>
      </c>
      <c r="E544" t="inlineStr">
        <is>
          <t>ÅRJÄNG</t>
        </is>
      </c>
      <c r="G544" t="n">
        <v>1.7</v>
      </c>
      <c r="H544" t="n">
        <v>0</v>
      </c>
      <c r="I544" t="n">
        <v>0</v>
      </c>
      <c r="J544" t="n">
        <v>0</v>
      </c>
      <c r="K544" t="n">
        <v>0</v>
      </c>
      <c r="L544" t="n">
        <v>0</v>
      </c>
      <c r="M544" t="n">
        <v>0</v>
      </c>
      <c r="N544" t="n">
        <v>0</v>
      </c>
      <c r="O544" t="n">
        <v>0</v>
      </c>
      <c r="P544" t="n">
        <v>0</v>
      </c>
      <c r="Q544" t="n">
        <v>0</v>
      </c>
      <c r="R544" s="2" t="inlineStr"/>
    </row>
    <row r="545" ht="15" customHeight="1">
      <c r="A545" t="inlineStr">
        <is>
          <t>A 16562-2024</t>
        </is>
      </c>
      <c r="B545" s="1" t="n">
        <v>45408.45829861111</v>
      </c>
      <c r="C545" s="1" t="n">
        <v>45886</v>
      </c>
      <c r="D545" t="inlineStr">
        <is>
          <t>VÄRMLANDS LÄN</t>
        </is>
      </c>
      <c r="E545" t="inlineStr">
        <is>
          <t>ÅRJÄNG</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4582-2025</t>
        </is>
      </c>
      <c r="B546" s="1" t="n">
        <v>45687</v>
      </c>
      <c r="C546" s="1" t="n">
        <v>45886</v>
      </c>
      <c r="D546" t="inlineStr">
        <is>
          <t>VÄRMLANDS LÄN</t>
        </is>
      </c>
      <c r="E546" t="inlineStr">
        <is>
          <t>ÅRJÄNG</t>
        </is>
      </c>
      <c r="F546" t="inlineStr">
        <is>
          <t>Övriga Aktiebolag</t>
        </is>
      </c>
      <c r="G546" t="n">
        <v>3.4</v>
      </c>
      <c r="H546" t="n">
        <v>0</v>
      </c>
      <c r="I546" t="n">
        <v>0</v>
      </c>
      <c r="J546" t="n">
        <v>0</v>
      </c>
      <c r="K546" t="n">
        <v>0</v>
      </c>
      <c r="L546" t="n">
        <v>0</v>
      </c>
      <c r="M546" t="n">
        <v>0</v>
      </c>
      <c r="N546" t="n">
        <v>0</v>
      </c>
      <c r="O546" t="n">
        <v>0</v>
      </c>
      <c r="P546" t="n">
        <v>0</v>
      </c>
      <c r="Q546" t="n">
        <v>0</v>
      </c>
      <c r="R546" s="2" t="inlineStr"/>
    </row>
    <row r="547" ht="15" customHeight="1">
      <c r="A547" t="inlineStr">
        <is>
          <t>A 35104-2025</t>
        </is>
      </c>
      <c r="B547" s="1" t="n">
        <v>45852.57070601852</v>
      </c>
      <c r="C547" s="1" t="n">
        <v>45886</v>
      </c>
      <c r="D547" t="inlineStr">
        <is>
          <t>VÄRMLANDS LÄN</t>
        </is>
      </c>
      <c r="E547" t="inlineStr">
        <is>
          <t>ÅRJÄNG</t>
        </is>
      </c>
      <c r="G547" t="n">
        <v>0.8</v>
      </c>
      <c r="H547" t="n">
        <v>0</v>
      </c>
      <c r="I547" t="n">
        <v>0</v>
      </c>
      <c r="J547" t="n">
        <v>0</v>
      </c>
      <c r="K547" t="n">
        <v>0</v>
      </c>
      <c r="L547" t="n">
        <v>0</v>
      </c>
      <c r="M547" t="n">
        <v>0</v>
      </c>
      <c r="N547" t="n">
        <v>0</v>
      </c>
      <c r="O547" t="n">
        <v>0</v>
      </c>
      <c r="P547" t="n">
        <v>0</v>
      </c>
      <c r="Q547" t="n">
        <v>0</v>
      </c>
      <c r="R547" s="2" t="inlineStr"/>
    </row>
    <row r="548" ht="15" customHeight="1">
      <c r="A548" t="inlineStr">
        <is>
          <t>A 26758-2025</t>
        </is>
      </c>
      <c r="B548" s="1" t="n">
        <v>45807</v>
      </c>
      <c r="C548" s="1" t="n">
        <v>45886</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60172-2023</t>
        </is>
      </c>
      <c r="B549" s="1" t="n">
        <v>45257</v>
      </c>
      <c r="C549" s="1" t="n">
        <v>45886</v>
      </c>
      <c r="D549" t="inlineStr">
        <is>
          <t>VÄRMLANDS LÄN</t>
        </is>
      </c>
      <c r="E549" t="inlineStr">
        <is>
          <t>ÅRJÄNG</t>
        </is>
      </c>
      <c r="G549" t="n">
        <v>2.1</v>
      </c>
      <c r="H549" t="n">
        <v>0</v>
      </c>
      <c r="I549" t="n">
        <v>0</v>
      </c>
      <c r="J549" t="n">
        <v>0</v>
      </c>
      <c r="K549" t="n">
        <v>0</v>
      </c>
      <c r="L549" t="n">
        <v>0</v>
      </c>
      <c r="M549" t="n">
        <v>0</v>
      </c>
      <c r="N549" t="n">
        <v>0</v>
      </c>
      <c r="O549" t="n">
        <v>0</v>
      </c>
      <c r="P549" t="n">
        <v>0</v>
      </c>
      <c r="Q549" t="n">
        <v>0</v>
      </c>
      <c r="R549" s="2" t="inlineStr"/>
    </row>
    <row r="550" ht="15" customHeight="1">
      <c r="A550" t="inlineStr">
        <is>
          <t>A 26833-2024</t>
        </is>
      </c>
      <c r="B550" s="1" t="n">
        <v>45470</v>
      </c>
      <c r="C550" s="1" t="n">
        <v>45886</v>
      </c>
      <c r="D550" t="inlineStr">
        <is>
          <t>VÄRMLANDS LÄN</t>
        </is>
      </c>
      <c r="E550" t="inlineStr">
        <is>
          <t>ÅRJÄNG</t>
        </is>
      </c>
      <c r="F550" t="inlineStr">
        <is>
          <t>Kyrkan</t>
        </is>
      </c>
      <c r="G550" t="n">
        <v>7.9</v>
      </c>
      <c r="H550" t="n">
        <v>0</v>
      </c>
      <c r="I550" t="n">
        <v>0</v>
      </c>
      <c r="J550" t="n">
        <v>0</v>
      </c>
      <c r="K550" t="n">
        <v>0</v>
      </c>
      <c r="L550" t="n">
        <v>0</v>
      </c>
      <c r="M550" t="n">
        <v>0</v>
      </c>
      <c r="N550" t="n">
        <v>0</v>
      </c>
      <c r="O550" t="n">
        <v>0</v>
      </c>
      <c r="P550" t="n">
        <v>0</v>
      </c>
      <c r="Q550" t="n">
        <v>0</v>
      </c>
      <c r="R550" s="2" t="inlineStr"/>
    </row>
    <row r="551" ht="15" customHeight="1">
      <c r="A551" t="inlineStr">
        <is>
          <t>A 44004-2023</t>
        </is>
      </c>
      <c r="B551" s="1" t="n">
        <v>45188.30134259259</v>
      </c>
      <c r="C551" s="1" t="n">
        <v>45886</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44007-2023</t>
        </is>
      </c>
      <c r="B552" s="1" t="n">
        <v>45188.31231481482</v>
      </c>
      <c r="C552" s="1" t="n">
        <v>45886</v>
      </c>
      <c r="D552" t="inlineStr">
        <is>
          <t>VÄRMLANDS LÄN</t>
        </is>
      </c>
      <c r="E552" t="inlineStr">
        <is>
          <t>ÅRJÄNG</t>
        </is>
      </c>
      <c r="G552" t="n">
        <v>2.1</v>
      </c>
      <c r="H552" t="n">
        <v>0</v>
      </c>
      <c r="I552" t="n">
        <v>0</v>
      </c>
      <c r="J552" t="n">
        <v>0</v>
      </c>
      <c r="K552" t="n">
        <v>0</v>
      </c>
      <c r="L552" t="n">
        <v>0</v>
      </c>
      <c r="M552" t="n">
        <v>0</v>
      </c>
      <c r="N552" t="n">
        <v>0</v>
      </c>
      <c r="O552" t="n">
        <v>0</v>
      </c>
      <c r="P552" t="n">
        <v>0</v>
      </c>
      <c r="Q552" t="n">
        <v>0</v>
      </c>
      <c r="R552" s="2" t="inlineStr"/>
    </row>
    <row r="553" ht="15" customHeight="1">
      <c r="A553" t="inlineStr">
        <is>
          <t>A 26728-2025</t>
        </is>
      </c>
      <c r="B553" s="1" t="n">
        <v>45810.50186342592</v>
      </c>
      <c r="C553" s="1" t="n">
        <v>45886</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5741-2025</t>
        </is>
      </c>
      <c r="B554" s="1" t="n">
        <v>45694.52100694444</v>
      </c>
      <c r="C554" s="1" t="n">
        <v>45886</v>
      </c>
      <c r="D554" t="inlineStr">
        <is>
          <t>VÄRMLANDS LÄN</t>
        </is>
      </c>
      <c r="E554" t="inlineStr">
        <is>
          <t>ÅRJÄNG</t>
        </is>
      </c>
      <c r="G554" t="n">
        <v>2.4</v>
      </c>
      <c r="H554" t="n">
        <v>0</v>
      </c>
      <c r="I554" t="n">
        <v>0</v>
      </c>
      <c r="J554" t="n">
        <v>0</v>
      </c>
      <c r="K554" t="n">
        <v>0</v>
      </c>
      <c r="L554" t="n">
        <v>0</v>
      </c>
      <c r="M554" t="n">
        <v>0</v>
      </c>
      <c r="N554" t="n">
        <v>0</v>
      </c>
      <c r="O554" t="n">
        <v>0</v>
      </c>
      <c r="P554" t="n">
        <v>0</v>
      </c>
      <c r="Q554" t="n">
        <v>0</v>
      </c>
      <c r="R554" s="2" t="inlineStr"/>
    </row>
    <row r="555" ht="15" customHeight="1">
      <c r="A555" t="inlineStr">
        <is>
          <t>A 23690-2024</t>
        </is>
      </c>
      <c r="B555" s="1" t="n">
        <v>45454.65612268518</v>
      </c>
      <c r="C555" s="1" t="n">
        <v>45886</v>
      </c>
      <c r="D555" t="inlineStr">
        <is>
          <t>VÄRMLANDS LÄN</t>
        </is>
      </c>
      <c r="E555" t="inlineStr">
        <is>
          <t>ÅRJÄNG</t>
        </is>
      </c>
      <c r="G555" t="n">
        <v>2.4</v>
      </c>
      <c r="H555" t="n">
        <v>0</v>
      </c>
      <c r="I555" t="n">
        <v>0</v>
      </c>
      <c r="J555" t="n">
        <v>0</v>
      </c>
      <c r="K555" t="n">
        <v>0</v>
      </c>
      <c r="L555" t="n">
        <v>0</v>
      </c>
      <c r="M555" t="n">
        <v>0</v>
      </c>
      <c r="N555" t="n">
        <v>0</v>
      </c>
      <c r="O555" t="n">
        <v>0</v>
      </c>
      <c r="P555" t="n">
        <v>0</v>
      </c>
      <c r="Q555" t="n">
        <v>0</v>
      </c>
      <c r="R555" s="2" t="inlineStr"/>
    </row>
    <row r="556" ht="15" customHeight="1">
      <c r="A556" t="inlineStr">
        <is>
          <t>A 54946-2024</t>
        </is>
      </c>
      <c r="B556" s="1" t="n">
        <v>45619.37443287037</v>
      </c>
      <c r="C556" s="1" t="n">
        <v>45886</v>
      </c>
      <c r="D556" t="inlineStr">
        <is>
          <t>VÄRMLANDS LÄN</t>
        </is>
      </c>
      <c r="E556" t="inlineStr">
        <is>
          <t>ÅRJÄNG</t>
        </is>
      </c>
      <c r="G556" t="n">
        <v>1.3</v>
      </c>
      <c r="H556" t="n">
        <v>0</v>
      </c>
      <c r="I556" t="n">
        <v>0</v>
      </c>
      <c r="J556" t="n">
        <v>0</v>
      </c>
      <c r="K556" t="n">
        <v>0</v>
      </c>
      <c r="L556" t="n">
        <v>0</v>
      </c>
      <c r="M556" t="n">
        <v>0</v>
      </c>
      <c r="N556" t="n">
        <v>0</v>
      </c>
      <c r="O556" t="n">
        <v>0</v>
      </c>
      <c r="P556" t="n">
        <v>0</v>
      </c>
      <c r="Q556" t="n">
        <v>0</v>
      </c>
      <c r="R556" s="2" t="inlineStr"/>
    </row>
    <row r="557" ht="15" customHeight="1">
      <c r="A557" t="inlineStr">
        <is>
          <t>A 24789-2024</t>
        </is>
      </c>
      <c r="B557" s="1" t="n">
        <v>45460</v>
      </c>
      <c r="C557" s="1" t="n">
        <v>45886</v>
      </c>
      <c r="D557" t="inlineStr">
        <is>
          <t>VÄRMLANDS LÄN</t>
        </is>
      </c>
      <c r="E557" t="inlineStr">
        <is>
          <t>ÅRJÄNG</t>
        </is>
      </c>
      <c r="G557" t="n">
        <v>1.7</v>
      </c>
      <c r="H557" t="n">
        <v>0</v>
      </c>
      <c r="I557" t="n">
        <v>0</v>
      </c>
      <c r="J557" t="n">
        <v>0</v>
      </c>
      <c r="K557" t="n">
        <v>0</v>
      </c>
      <c r="L557" t="n">
        <v>0</v>
      </c>
      <c r="M557" t="n">
        <v>0</v>
      </c>
      <c r="N557" t="n">
        <v>0</v>
      </c>
      <c r="O557" t="n">
        <v>0</v>
      </c>
      <c r="P557" t="n">
        <v>0</v>
      </c>
      <c r="Q557" t="n">
        <v>0</v>
      </c>
      <c r="R557" s="2" t="inlineStr"/>
    </row>
    <row r="558" ht="15" customHeight="1">
      <c r="A558" t="inlineStr">
        <is>
          <t>A 283-2025</t>
        </is>
      </c>
      <c r="B558" s="1" t="n">
        <v>45656</v>
      </c>
      <c r="C558" s="1" t="n">
        <v>45886</v>
      </c>
      <c r="D558" t="inlineStr">
        <is>
          <t>VÄRMLANDS LÄN</t>
        </is>
      </c>
      <c r="E558" t="inlineStr">
        <is>
          <t>ÅRJÄNG</t>
        </is>
      </c>
      <c r="F558" t="inlineStr">
        <is>
          <t>Övriga Aktiebolag</t>
        </is>
      </c>
      <c r="G558" t="n">
        <v>3.9</v>
      </c>
      <c r="H558" t="n">
        <v>0</v>
      </c>
      <c r="I558" t="n">
        <v>0</v>
      </c>
      <c r="J558" t="n">
        <v>0</v>
      </c>
      <c r="K558" t="n">
        <v>0</v>
      </c>
      <c r="L558" t="n">
        <v>0</v>
      </c>
      <c r="M558" t="n">
        <v>0</v>
      </c>
      <c r="N558" t="n">
        <v>0</v>
      </c>
      <c r="O558" t="n">
        <v>0</v>
      </c>
      <c r="P558" t="n">
        <v>0</v>
      </c>
      <c r="Q558" t="n">
        <v>0</v>
      </c>
      <c r="R558" s="2" t="inlineStr"/>
    </row>
    <row r="559" ht="15" customHeight="1">
      <c r="A559" t="inlineStr">
        <is>
          <t>A 5127-2025</t>
        </is>
      </c>
      <c r="B559" s="1" t="n">
        <v>45691.56623842593</v>
      </c>
      <c r="C559" s="1" t="n">
        <v>45886</v>
      </c>
      <c r="D559" t="inlineStr">
        <is>
          <t>VÄRMLANDS LÄN</t>
        </is>
      </c>
      <c r="E559" t="inlineStr">
        <is>
          <t>ÅRJÄNG</t>
        </is>
      </c>
      <c r="G559" t="n">
        <v>5.7</v>
      </c>
      <c r="H559" t="n">
        <v>0</v>
      </c>
      <c r="I559" t="n">
        <v>0</v>
      </c>
      <c r="J559" t="n">
        <v>0</v>
      </c>
      <c r="K559" t="n">
        <v>0</v>
      </c>
      <c r="L559" t="n">
        <v>0</v>
      </c>
      <c r="M559" t="n">
        <v>0</v>
      </c>
      <c r="N559" t="n">
        <v>0</v>
      </c>
      <c r="O559" t="n">
        <v>0</v>
      </c>
      <c r="P559" t="n">
        <v>0</v>
      </c>
      <c r="Q559" t="n">
        <v>0</v>
      </c>
      <c r="R559" s="2" t="inlineStr"/>
    </row>
    <row r="560" ht="15" customHeight="1">
      <c r="A560" t="inlineStr">
        <is>
          <t>A 55422-2023</t>
        </is>
      </c>
      <c r="B560" s="1" t="n">
        <v>45238.41858796297</v>
      </c>
      <c r="C560" s="1" t="n">
        <v>45886</v>
      </c>
      <c r="D560" t="inlineStr">
        <is>
          <t>VÄRMLANDS LÄN</t>
        </is>
      </c>
      <c r="E560" t="inlineStr">
        <is>
          <t>ÅRJÄNG</t>
        </is>
      </c>
      <c r="F560" t="inlineStr">
        <is>
          <t>Kyrkan</t>
        </is>
      </c>
      <c r="G560" t="n">
        <v>2.3</v>
      </c>
      <c r="H560" t="n">
        <v>0</v>
      </c>
      <c r="I560" t="n">
        <v>0</v>
      </c>
      <c r="J560" t="n">
        <v>0</v>
      </c>
      <c r="K560" t="n">
        <v>0</v>
      </c>
      <c r="L560" t="n">
        <v>0</v>
      </c>
      <c r="M560" t="n">
        <v>0</v>
      </c>
      <c r="N560" t="n">
        <v>0</v>
      </c>
      <c r="O560" t="n">
        <v>0</v>
      </c>
      <c r="P560" t="n">
        <v>0</v>
      </c>
      <c r="Q560" t="n">
        <v>0</v>
      </c>
      <c r="R560" s="2" t="inlineStr"/>
    </row>
    <row r="561" ht="15" customHeight="1">
      <c r="A561" t="inlineStr">
        <is>
          <t>A 57992-2023</t>
        </is>
      </c>
      <c r="B561" s="1" t="n">
        <v>45244</v>
      </c>
      <c r="C561" s="1" t="n">
        <v>45886</v>
      </c>
      <c r="D561" t="inlineStr">
        <is>
          <t>VÄRMLANDS LÄN</t>
        </is>
      </c>
      <c r="E561" t="inlineStr">
        <is>
          <t>ÅRJÄNG</t>
        </is>
      </c>
      <c r="G561" t="n">
        <v>1.9</v>
      </c>
      <c r="H561" t="n">
        <v>0</v>
      </c>
      <c r="I561" t="n">
        <v>0</v>
      </c>
      <c r="J561" t="n">
        <v>0</v>
      </c>
      <c r="K561" t="n">
        <v>0</v>
      </c>
      <c r="L561" t="n">
        <v>0</v>
      </c>
      <c r="M561" t="n">
        <v>0</v>
      </c>
      <c r="N561" t="n">
        <v>0</v>
      </c>
      <c r="O561" t="n">
        <v>0</v>
      </c>
      <c r="P561" t="n">
        <v>0</v>
      </c>
      <c r="Q561" t="n">
        <v>0</v>
      </c>
      <c r="R561" s="2" t="inlineStr"/>
    </row>
    <row r="562" ht="15" customHeight="1">
      <c r="A562" t="inlineStr">
        <is>
          <t>A 8601-2022</t>
        </is>
      </c>
      <c r="B562" s="1" t="n">
        <v>44613.57193287037</v>
      </c>
      <c r="C562" s="1" t="n">
        <v>45886</v>
      </c>
      <c r="D562" t="inlineStr">
        <is>
          <t>VÄRMLANDS LÄN</t>
        </is>
      </c>
      <c r="E562" t="inlineStr">
        <is>
          <t>ÅRJÄNG</t>
        </is>
      </c>
      <c r="G562" t="n">
        <v>1.3</v>
      </c>
      <c r="H562" t="n">
        <v>0</v>
      </c>
      <c r="I562" t="n">
        <v>0</v>
      </c>
      <c r="J562" t="n">
        <v>0</v>
      </c>
      <c r="K562" t="n">
        <v>0</v>
      </c>
      <c r="L562" t="n">
        <v>0</v>
      </c>
      <c r="M562" t="n">
        <v>0</v>
      </c>
      <c r="N562" t="n">
        <v>0</v>
      </c>
      <c r="O562" t="n">
        <v>0</v>
      </c>
      <c r="P562" t="n">
        <v>0</v>
      </c>
      <c r="Q562" t="n">
        <v>0</v>
      </c>
      <c r="R562" s="2" t="inlineStr"/>
    </row>
    <row r="563" ht="15" customHeight="1">
      <c r="A563" t="inlineStr">
        <is>
          <t>A 8002-2025</t>
        </is>
      </c>
      <c r="B563" s="1" t="n">
        <v>45707.52704861111</v>
      </c>
      <c r="C563" s="1" t="n">
        <v>45886</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56060-2023</t>
        </is>
      </c>
      <c r="B564" s="1" t="n">
        <v>45233</v>
      </c>
      <c r="C564" s="1" t="n">
        <v>45886</v>
      </c>
      <c r="D564" t="inlineStr">
        <is>
          <t>VÄRMLANDS LÄN</t>
        </is>
      </c>
      <c r="E564" t="inlineStr">
        <is>
          <t>ÅRJÄNG</t>
        </is>
      </c>
      <c r="G564" t="n">
        <v>2</v>
      </c>
      <c r="H564" t="n">
        <v>0</v>
      </c>
      <c r="I564" t="n">
        <v>0</v>
      </c>
      <c r="J564" t="n">
        <v>0</v>
      </c>
      <c r="K564" t="n">
        <v>0</v>
      </c>
      <c r="L564" t="n">
        <v>0</v>
      </c>
      <c r="M564" t="n">
        <v>0</v>
      </c>
      <c r="N564" t="n">
        <v>0</v>
      </c>
      <c r="O564" t="n">
        <v>0</v>
      </c>
      <c r="P564" t="n">
        <v>0</v>
      </c>
      <c r="Q564" t="n">
        <v>0</v>
      </c>
      <c r="R564" s="2" t="inlineStr"/>
    </row>
    <row r="565" ht="15" customHeight="1">
      <c r="A565" t="inlineStr">
        <is>
          <t>A 51269-2022</t>
        </is>
      </c>
      <c r="B565" s="1" t="n">
        <v>44868</v>
      </c>
      <c r="C565" s="1" t="n">
        <v>45886</v>
      </c>
      <c r="D565" t="inlineStr">
        <is>
          <t>VÄRMLANDS LÄN</t>
        </is>
      </c>
      <c r="E565" t="inlineStr">
        <is>
          <t>ÅRJÄNG</t>
        </is>
      </c>
      <c r="G565" t="n">
        <v>2.1</v>
      </c>
      <c r="H565" t="n">
        <v>0</v>
      </c>
      <c r="I565" t="n">
        <v>0</v>
      </c>
      <c r="J565" t="n">
        <v>0</v>
      </c>
      <c r="K565" t="n">
        <v>0</v>
      </c>
      <c r="L565" t="n">
        <v>0</v>
      </c>
      <c r="M565" t="n">
        <v>0</v>
      </c>
      <c r="N565" t="n">
        <v>0</v>
      </c>
      <c r="O565" t="n">
        <v>0</v>
      </c>
      <c r="P565" t="n">
        <v>0</v>
      </c>
      <c r="Q565" t="n">
        <v>0</v>
      </c>
      <c r="R565" s="2" t="inlineStr"/>
    </row>
    <row r="566" ht="15" customHeight="1">
      <c r="A566" t="inlineStr">
        <is>
          <t>A 62609-2023</t>
        </is>
      </c>
      <c r="B566" s="1" t="n">
        <v>45267</v>
      </c>
      <c r="C566" s="1" t="n">
        <v>45886</v>
      </c>
      <c r="D566" t="inlineStr">
        <is>
          <t>VÄRMLANDS LÄN</t>
        </is>
      </c>
      <c r="E566" t="inlineStr">
        <is>
          <t>ÅRJÄNG</t>
        </is>
      </c>
      <c r="G566" t="n">
        <v>14.4</v>
      </c>
      <c r="H566" t="n">
        <v>0</v>
      </c>
      <c r="I566" t="n">
        <v>0</v>
      </c>
      <c r="J566" t="n">
        <v>0</v>
      </c>
      <c r="K566" t="n">
        <v>0</v>
      </c>
      <c r="L566" t="n">
        <v>0</v>
      </c>
      <c r="M566" t="n">
        <v>0</v>
      </c>
      <c r="N566" t="n">
        <v>0</v>
      </c>
      <c r="O566" t="n">
        <v>0</v>
      </c>
      <c r="P566" t="n">
        <v>0</v>
      </c>
      <c r="Q566" t="n">
        <v>0</v>
      </c>
      <c r="R566" s="2" t="inlineStr"/>
    </row>
    <row r="567" ht="15" customHeight="1">
      <c r="A567" t="inlineStr">
        <is>
          <t>A 56655-2024</t>
        </is>
      </c>
      <c r="B567" s="1" t="n">
        <v>45625</v>
      </c>
      <c r="C567" s="1" t="n">
        <v>45886</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34526-2023</t>
        </is>
      </c>
      <c r="B568" s="1" t="n">
        <v>45140.41518518519</v>
      </c>
      <c r="C568" s="1" t="n">
        <v>45886</v>
      </c>
      <c r="D568" t="inlineStr">
        <is>
          <t>VÄRMLANDS LÄN</t>
        </is>
      </c>
      <c r="E568" t="inlineStr">
        <is>
          <t>ÅRJÄNG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27240-2023</t>
        </is>
      </c>
      <c r="B569" s="1" t="n">
        <v>45096</v>
      </c>
      <c r="C569" s="1" t="n">
        <v>45886</v>
      </c>
      <c r="D569" t="inlineStr">
        <is>
          <t>VÄRMLANDS LÄN</t>
        </is>
      </c>
      <c r="E569" t="inlineStr">
        <is>
          <t>ÅRJÄNG</t>
        </is>
      </c>
      <c r="G569" t="n">
        <v>2.1</v>
      </c>
      <c r="H569" t="n">
        <v>0</v>
      </c>
      <c r="I569" t="n">
        <v>0</v>
      </c>
      <c r="J569" t="n">
        <v>0</v>
      </c>
      <c r="K569" t="n">
        <v>0</v>
      </c>
      <c r="L569" t="n">
        <v>0</v>
      </c>
      <c r="M569" t="n">
        <v>0</v>
      </c>
      <c r="N569" t="n">
        <v>0</v>
      </c>
      <c r="O569" t="n">
        <v>0</v>
      </c>
      <c r="P569" t="n">
        <v>0</v>
      </c>
      <c r="Q569" t="n">
        <v>0</v>
      </c>
      <c r="R569" s="2" t="inlineStr"/>
    </row>
    <row r="570" ht="15" customHeight="1">
      <c r="A570" t="inlineStr">
        <is>
          <t>A 12137-2025</t>
        </is>
      </c>
      <c r="B570" s="1" t="n">
        <v>45729.39879629629</v>
      </c>
      <c r="C570" s="1" t="n">
        <v>45886</v>
      </c>
      <c r="D570" t="inlineStr">
        <is>
          <t>VÄRMLANDS LÄN</t>
        </is>
      </c>
      <c r="E570" t="inlineStr">
        <is>
          <t>ÅRJÄNG</t>
        </is>
      </c>
      <c r="G570" t="n">
        <v>12.6</v>
      </c>
      <c r="H570" t="n">
        <v>0</v>
      </c>
      <c r="I570" t="n">
        <v>0</v>
      </c>
      <c r="J570" t="n">
        <v>0</v>
      </c>
      <c r="K570" t="n">
        <v>0</v>
      </c>
      <c r="L570" t="n">
        <v>0</v>
      </c>
      <c r="M570" t="n">
        <v>0</v>
      </c>
      <c r="N570" t="n">
        <v>0</v>
      </c>
      <c r="O570" t="n">
        <v>0</v>
      </c>
      <c r="P570" t="n">
        <v>0</v>
      </c>
      <c r="Q570" t="n">
        <v>0</v>
      </c>
      <c r="R570" s="2" t="inlineStr"/>
    </row>
    <row r="571" ht="15" customHeight="1">
      <c r="A571" t="inlineStr">
        <is>
          <t>A 50339-2024</t>
        </is>
      </c>
      <c r="B571" s="1" t="n">
        <v>45600.73030092593</v>
      </c>
      <c r="C571" s="1" t="n">
        <v>45886</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50388-2024</t>
        </is>
      </c>
      <c r="B572" s="1" t="n">
        <v>45600</v>
      </c>
      <c r="C572" s="1" t="n">
        <v>45886</v>
      </c>
      <c r="D572" t="inlineStr">
        <is>
          <t>VÄRMLANDS LÄN</t>
        </is>
      </c>
      <c r="E572" t="inlineStr">
        <is>
          <t>ÅRJÄNG</t>
        </is>
      </c>
      <c r="G572" t="n">
        <v>1.3</v>
      </c>
      <c r="H572" t="n">
        <v>0</v>
      </c>
      <c r="I572" t="n">
        <v>0</v>
      </c>
      <c r="J572" t="n">
        <v>0</v>
      </c>
      <c r="K572" t="n">
        <v>0</v>
      </c>
      <c r="L572" t="n">
        <v>0</v>
      </c>
      <c r="M572" t="n">
        <v>0</v>
      </c>
      <c r="N572" t="n">
        <v>0</v>
      </c>
      <c r="O572" t="n">
        <v>0</v>
      </c>
      <c r="P572" t="n">
        <v>0</v>
      </c>
      <c r="Q572" t="n">
        <v>0</v>
      </c>
      <c r="R572" s="2" t="inlineStr"/>
    </row>
    <row r="573" ht="15" customHeight="1">
      <c r="A573" t="inlineStr">
        <is>
          <t>A 24339-2024</t>
        </is>
      </c>
      <c r="B573" s="1" t="n">
        <v>45457</v>
      </c>
      <c r="C573" s="1" t="n">
        <v>45886</v>
      </c>
      <c r="D573" t="inlineStr">
        <is>
          <t>VÄRMLANDS LÄN</t>
        </is>
      </c>
      <c r="E573" t="inlineStr">
        <is>
          <t>ÅRJÄNG</t>
        </is>
      </c>
      <c r="G573" t="n">
        <v>0.9</v>
      </c>
      <c r="H573" t="n">
        <v>0</v>
      </c>
      <c r="I573" t="n">
        <v>0</v>
      </c>
      <c r="J573" t="n">
        <v>0</v>
      </c>
      <c r="K573" t="n">
        <v>0</v>
      </c>
      <c r="L573" t="n">
        <v>0</v>
      </c>
      <c r="M573" t="n">
        <v>0</v>
      </c>
      <c r="N573" t="n">
        <v>0</v>
      </c>
      <c r="O573" t="n">
        <v>0</v>
      </c>
      <c r="P573" t="n">
        <v>0</v>
      </c>
      <c r="Q573" t="n">
        <v>0</v>
      </c>
      <c r="R573" s="2" t="inlineStr"/>
    </row>
    <row r="574" ht="15" customHeight="1">
      <c r="A574" t="inlineStr">
        <is>
          <t>A 19846-2025</t>
        </is>
      </c>
      <c r="B574" s="1" t="n">
        <v>45771</v>
      </c>
      <c r="C574" s="1" t="n">
        <v>45886</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34839-2025</t>
        </is>
      </c>
      <c r="B575" s="1" t="n">
        <v>45849.39505787037</v>
      </c>
      <c r="C575" s="1" t="n">
        <v>45886</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55432-2024</t>
        </is>
      </c>
      <c r="B576" s="1" t="n">
        <v>45622</v>
      </c>
      <c r="C576" s="1" t="n">
        <v>45886</v>
      </c>
      <c r="D576" t="inlineStr">
        <is>
          <t>VÄRMLANDS LÄN</t>
        </is>
      </c>
      <c r="E576" t="inlineStr">
        <is>
          <t>ÅRJÄNG</t>
        </is>
      </c>
      <c r="G576" t="n">
        <v>6.9</v>
      </c>
      <c r="H576" t="n">
        <v>0</v>
      </c>
      <c r="I576" t="n">
        <v>0</v>
      </c>
      <c r="J576" t="n">
        <v>0</v>
      </c>
      <c r="K576" t="n">
        <v>0</v>
      </c>
      <c r="L576" t="n">
        <v>0</v>
      </c>
      <c r="M576" t="n">
        <v>0</v>
      </c>
      <c r="N576" t="n">
        <v>0</v>
      </c>
      <c r="O576" t="n">
        <v>0</v>
      </c>
      <c r="P576" t="n">
        <v>0</v>
      </c>
      <c r="Q576" t="n">
        <v>0</v>
      </c>
      <c r="R576" s="2" t="inlineStr"/>
    </row>
    <row r="577" ht="15" customHeight="1">
      <c r="A577" t="inlineStr">
        <is>
          <t>A 24971-2025</t>
        </is>
      </c>
      <c r="B577" s="1" t="n">
        <v>45799</v>
      </c>
      <c r="C577" s="1" t="n">
        <v>45886</v>
      </c>
      <c r="D577" t="inlineStr">
        <is>
          <t>VÄRMLANDS LÄN</t>
        </is>
      </c>
      <c r="E577" t="inlineStr">
        <is>
          <t>ÅRJÄNG</t>
        </is>
      </c>
      <c r="G577" t="n">
        <v>2</v>
      </c>
      <c r="H577" t="n">
        <v>0</v>
      </c>
      <c r="I577" t="n">
        <v>0</v>
      </c>
      <c r="J577" t="n">
        <v>0</v>
      </c>
      <c r="K577" t="n">
        <v>0</v>
      </c>
      <c r="L577" t="n">
        <v>0</v>
      </c>
      <c r="M577" t="n">
        <v>0</v>
      </c>
      <c r="N577" t="n">
        <v>0</v>
      </c>
      <c r="O577" t="n">
        <v>0</v>
      </c>
      <c r="P577" t="n">
        <v>0</v>
      </c>
      <c r="Q577" t="n">
        <v>0</v>
      </c>
      <c r="R577" s="2" t="inlineStr"/>
    </row>
    <row r="578" ht="15" customHeight="1">
      <c r="A578" t="inlineStr">
        <is>
          <t>A 51265-2024</t>
        </is>
      </c>
      <c r="B578" s="1" t="n">
        <v>45602</v>
      </c>
      <c r="C578" s="1" t="n">
        <v>45886</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58141-2023</t>
        </is>
      </c>
      <c r="B579" s="1" t="n">
        <v>45245</v>
      </c>
      <c r="C579" s="1" t="n">
        <v>45886</v>
      </c>
      <c r="D579" t="inlineStr">
        <is>
          <t>VÄRMLANDS LÄN</t>
        </is>
      </c>
      <c r="E579" t="inlineStr">
        <is>
          <t>ÅRJÄNG</t>
        </is>
      </c>
      <c r="G579" t="n">
        <v>6.2</v>
      </c>
      <c r="H579" t="n">
        <v>0</v>
      </c>
      <c r="I579" t="n">
        <v>0</v>
      </c>
      <c r="J579" t="n">
        <v>0</v>
      </c>
      <c r="K579" t="n">
        <v>0</v>
      </c>
      <c r="L579" t="n">
        <v>0</v>
      </c>
      <c r="M579" t="n">
        <v>0</v>
      </c>
      <c r="N579" t="n">
        <v>0</v>
      </c>
      <c r="O579" t="n">
        <v>0</v>
      </c>
      <c r="P579" t="n">
        <v>0</v>
      </c>
      <c r="Q579" t="n">
        <v>0</v>
      </c>
      <c r="R579" s="2" t="inlineStr"/>
    </row>
    <row r="580" ht="15" customHeight="1">
      <c r="A580" t="inlineStr">
        <is>
          <t>A 27138-2024</t>
        </is>
      </c>
      <c r="B580" s="1" t="n">
        <v>45471</v>
      </c>
      <c r="C580" s="1" t="n">
        <v>45886</v>
      </c>
      <c r="D580" t="inlineStr">
        <is>
          <t>VÄRMLANDS LÄN</t>
        </is>
      </c>
      <c r="E580" t="inlineStr">
        <is>
          <t>ÅRJÄNG</t>
        </is>
      </c>
      <c r="G580" t="n">
        <v>5.7</v>
      </c>
      <c r="H580" t="n">
        <v>0</v>
      </c>
      <c r="I580" t="n">
        <v>0</v>
      </c>
      <c r="J580" t="n">
        <v>0</v>
      </c>
      <c r="K580" t="n">
        <v>0</v>
      </c>
      <c r="L580" t="n">
        <v>0</v>
      </c>
      <c r="M580" t="n">
        <v>0</v>
      </c>
      <c r="N580" t="n">
        <v>0</v>
      </c>
      <c r="O580" t="n">
        <v>0</v>
      </c>
      <c r="P580" t="n">
        <v>0</v>
      </c>
      <c r="Q580" t="n">
        <v>0</v>
      </c>
      <c r="R580" s="2" t="inlineStr"/>
    </row>
    <row r="581" ht="15" customHeight="1">
      <c r="A581" t="inlineStr">
        <is>
          <t>A 4865-2024</t>
        </is>
      </c>
      <c r="B581" s="1" t="n">
        <v>45329</v>
      </c>
      <c r="C581" s="1" t="n">
        <v>45886</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33304-2021</t>
        </is>
      </c>
      <c r="B582" s="1" t="n">
        <v>44377.43040509259</v>
      </c>
      <c r="C582" s="1" t="n">
        <v>45886</v>
      </c>
      <c r="D582" t="inlineStr">
        <is>
          <t>VÄRMLANDS LÄN</t>
        </is>
      </c>
      <c r="E582" t="inlineStr">
        <is>
          <t>ÅRJÄNG</t>
        </is>
      </c>
      <c r="G582" t="n">
        <v>4.9</v>
      </c>
      <c r="H582" t="n">
        <v>0</v>
      </c>
      <c r="I582" t="n">
        <v>0</v>
      </c>
      <c r="J582" t="n">
        <v>0</v>
      </c>
      <c r="K582" t="n">
        <v>0</v>
      </c>
      <c r="L582" t="n">
        <v>0</v>
      </c>
      <c r="M582" t="n">
        <v>0</v>
      </c>
      <c r="N582" t="n">
        <v>0</v>
      </c>
      <c r="O582" t="n">
        <v>0</v>
      </c>
      <c r="P582" t="n">
        <v>0</v>
      </c>
      <c r="Q582" t="n">
        <v>0</v>
      </c>
      <c r="R582" s="2" t="inlineStr"/>
    </row>
    <row r="583" ht="15" customHeight="1">
      <c r="A583" t="inlineStr">
        <is>
          <t>A 26783-2024</t>
        </is>
      </c>
      <c r="B583" s="1" t="n">
        <v>45470</v>
      </c>
      <c r="C583" s="1" t="n">
        <v>45886</v>
      </c>
      <c r="D583" t="inlineStr">
        <is>
          <t>VÄRMLANDS LÄN</t>
        </is>
      </c>
      <c r="E583" t="inlineStr">
        <is>
          <t>ÅRJÄNG</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18718-2023</t>
        </is>
      </c>
      <c r="B584" s="1" t="n">
        <v>45043.65459490741</v>
      </c>
      <c r="C584" s="1" t="n">
        <v>45886</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46351-2023</t>
        </is>
      </c>
      <c r="B585" s="1" t="n">
        <v>45197.42811342593</v>
      </c>
      <c r="C585" s="1" t="n">
        <v>45886</v>
      </c>
      <c r="D585" t="inlineStr">
        <is>
          <t>VÄRMLANDS LÄN</t>
        </is>
      </c>
      <c r="E585" t="inlineStr">
        <is>
          <t>ÅRJÄNG</t>
        </is>
      </c>
      <c r="G585" t="n">
        <v>0.7</v>
      </c>
      <c r="H585" t="n">
        <v>0</v>
      </c>
      <c r="I585" t="n">
        <v>0</v>
      </c>
      <c r="J585" t="n">
        <v>0</v>
      </c>
      <c r="K585" t="n">
        <v>0</v>
      </c>
      <c r="L585" t="n">
        <v>0</v>
      </c>
      <c r="M585" t="n">
        <v>0</v>
      </c>
      <c r="N585" t="n">
        <v>0</v>
      </c>
      <c r="O585" t="n">
        <v>0</v>
      </c>
      <c r="P585" t="n">
        <v>0</v>
      </c>
      <c r="Q585" t="n">
        <v>0</v>
      </c>
      <c r="R585" s="2" t="inlineStr"/>
    </row>
    <row r="586" ht="15" customHeight="1">
      <c r="A586" t="inlineStr">
        <is>
          <t>A 17361-2022</t>
        </is>
      </c>
      <c r="B586" s="1" t="n">
        <v>44678.6044675926</v>
      </c>
      <c r="C586" s="1" t="n">
        <v>45886</v>
      </c>
      <c r="D586" t="inlineStr">
        <is>
          <t>VÄRMLANDS LÄN</t>
        </is>
      </c>
      <c r="E586" t="inlineStr">
        <is>
          <t>ÅRJÄNG</t>
        </is>
      </c>
      <c r="G586" t="n">
        <v>5.7</v>
      </c>
      <c r="H586" t="n">
        <v>0</v>
      </c>
      <c r="I586" t="n">
        <v>0</v>
      </c>
      <c r="J586" t="n">
        <v>0</v>
      </c>
      <c r="K586" t="n">
        <v>0</v>
      </c>
      <c r="L586" t="n">
        <v>0</v>
      </c>
      <c r="M586" t="n">
        <v>0</v>
      </c>
      <c r="N586" t="n">
        <v>0</v>
      </c>
      <c r="O586" t="n">
        <v>0</v>
      </c>
      <c r="P586" t="n">
        <v>0</v>
      </c>
      <c r="Q586" t="n">
        <v>0</v>
      </c>
      <c r="R586" s="2" t="inlineStr"/>
    </row>
    <row r="587" ht="15" customHeight="1">
      <c r="A587" t="inlineStr">
        <is>
          <t>A 26434-2025</t>
        </is>
      </c>
      <c r="B587" s="1" t="n">
        <v>45807.39797453704</v>
      </c>
      <c r="C587" s="1" t="n">
        <v>45886</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57546-2024</t>
        </is>
      </c>
      <c r="B588" s="1" t="n">
        <v>45629</v>
      </c>
      <c r="C588" s="1" t="n">
        <v>45886</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30693-2021</t>
        </is>
      </c>
      <c r="B589" s="1" t="n">
        <v>44365</v>
      </c>
      <c r="C589" s="1" t="n">
        <v>45886</v>
      </c>
      <c r="D589" t="inlineStr">
        <is>
          <t>VÄRMLANDS LÄN</t>
        </is>
      </c>
      <c r="E589" t="inlineStr">
        <is>
          <t>ÅRJÄNG</t>
        </is>
      </c>
      <c r="G589" t="n">
        <v>8.4</v>
      </c>
      <c r="H589" t="n">
        <v>0</v>
      </c>
      <c r="I589" t="n">
        <v>0</v>
      </c>
      <c r="J589" t="n">
        <v>0</v>
      </c>
      <c r="K589" t="n">
        <v>0</v>
      </c>
      <c r="L589" t="n">
        <v>0</v>
      </c>
      <c r="M589" t="n">
        <v>0</v>
      </c>
      <c r="N589" t="n">
        <v>0</v>
      </c>
      <c r="O589" t="n">
        <v>0</v>
      </c>
      <c r="P589" t="n">
        <v>0</v>
      </c>
      <c r="Q589" t="n">
        <v>0</v>
      </c>
      <c r="R589" s="2" t="inlineStr"/>
    </row>
    <row r="590" ht="15" customHeight="1">
      <c r="A590" t="inlineStr">
        <is>
          <t>A 9427-2025</t>
        </is>
      </c>
      <c r="B590" s="1" t="n">
        <v>45715</v>
      </c>
      <c r="C590" s="1" t="n">
        <v>45886</v>
      </c>
      <c r="D590" t="inlineStr">
        <is>
          <t>VÄRMLANDS LÄN</t>
        </is>
      </c>
      <c r="E590" t="inlineStr">
        <is>
          <t>ÅRJÄNG</t>
        </is>
      </c>
      <c r="G590" t="n">
        <v>4.5</v>
      </c>
      <c r="H590" t="n">
        <v>0</v>
      </c>
      <c r="I590" t="n">
        <v>0</v>
      </c>
      <c r="J590" t="n">
        <v>0</v>
      </c>
      <c r="K590" t="n">
        <v>0</v>
      </c>
      <c r="L590" t="n">
        <v>0</v>
      </c>
      <c r="M590" t="n">
        <v>0</v>
      </c>
      <c r="N590" t="n">
        <v>0</v>
      </c>
      <c r="O590" t="n">
        <v>0</v>
      </c>
      <c r="P590" t="n">
        <v>0</v>
      </c>
      <c r="Q590" t="n">
        <v>0</v>
      </c>
      <c r="R590" s="2" t="inlineStr"/>
    </row>
    <row r="591" ht="15" customHeight="1">
      <c r="A591" t="inlineStr">
        <is>
          <t>A 26766-2025</t>
        </is>
      </c>
      <c r="B591" s="1" t="n">
        <v>45810.56712962963</v>
      </c>
      <c r="C591" s="1" t="n">
        <v>45886</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26781-2025</t>
        </is>
      </c>
      <c r="B592" s="1" t="n">
        <v>45810.58258101852</v>
      </c>
      <c r="C592" s="1" t="n">
        <v>45886</v>
      </c>
      <c r="D592" t="inlineStr">
        <is>
          <t>VÄRMLANDS LÄN</t>
        </is>
      </c>
      <c r="E592" t="inlineStr">
        <is>
          <t>ÅRJÄNG</t>
        </is>
      </c>
      <c r="G592" t="n">
        <v>4.2</v>
      </c>
      <c r="H592" t="n">
        <v>0</v>
      </c>
      <c r="I592" t="n">
        <v>0</v>
      </c>
      <c r="J592" t="n">
        <v>0</v>
      </c>
      <c r="K592" t="n">
        <v>0</v>
      </c>
      <c r="L592" t="n">
        <v>0</v>
      </c>
      <c r="M592" t="n">
        <v>0</v>
      </c>
      <c r="N592" t="n">
        <v>0</v>
      </c>
      <c r="O592" t="n">
        <v>0</v>
      </c>
      <c r="P592" t="n">
        <v>0</v>
      </c>
      <c r="Q592" t="n">
        <v>0</v>
      </c>
      <c r="R592" s="2" t="inlineStr"/>
    </row>
    <row r="593" ht="15" customHeight="1">
      <c r="A593" t="inlineStr">
        <is>
          <t>A 57306-2023</t>
        </is>
      </c>
      <c r="B593" s="1" t="n">
        <v>45245.62431712963</v>
      </c>
      <c r="C593" s="1" t="n">
        <v>45886</v>
      </c>
      <c r="D593" t="inlineStr">
        <is>
          <t>VÄRMLANDS LÄN</t>
        </is>
      </c>
      <c r="E593" t="inlineStr">
        <is>
          <t>ÅRJÄNG</t>
        </is>
      </c>
      <c r="G593" t="n">
        <v>1.1</v>
      </c>
      <c r="H593" t="n">
        <v>0</v>
      </c>
      <c r="I593" t="n">
        <v>0</v>
      </c>
      <c r="J593" t="n">
        <v>0</v>
      </c>
      <c r="K593" t="n">
        <v>0</v>
      </c>
      <c r="L593" t="n">
        <v>0</v>
      </c>
      <c r="M593" t="n">
        <v>0</v>
      </c>
      <c r="N593" t="n">
        <v>0</v>
      </c>
      <c r="O593" t="n">
        <v>0</v>
      </c>
      <c r="P593" t="n">
        <v>0</v>
      </c>
      <c r="Q593" t="n">
        <v>0</v>
      </c>
      <c r="R593" s="2" t="inlineStr"/>
    </row>
    <row r="594" ht="15" customHeight="1">
      <c r="A594" t="inlineStr">
        <is>
          <t>A 48357-2023</t>
        </is>
      </c>
      <c r="B594" s="1" t="n">
        <v>45202</v>
      </c>
      <c r="C594" s="1" t="n">
        <v>45886</v>
      </c>
      <c r="D594" t="inlineStr">
        <is>
          <t>VÄRMLANDS LÄN</t>
        </is>
      </c>
      <c r="E594" t="inlineStr">
        <is>
          <t>ÅRJÄNG</t>
        </is>
      </c>
      <c r="G594" t="n">
        <v>2.6</v>
      </c>
      <c r="H594" t="n">
        <v>0</v>
      </c>
      <c r="I594" t="n">
        <v>0</v>
      </c>
      <c r="J594" t="n">
        <v>0</v>
      </c>
      <c r="K594" t="n">
        <v>0</v>
      </c>
      <c r="L594" t="n">
        <v>0</v>
      </c>
      <c r="M594" t="n">
        <v>0</v>
      </c>
      <c r="N594" t="n">
        <v>0</v>
      </c>
      <c r="O594" t="n">
        <v>0</v>
      </c>
      <c r="P594" t="n">
        <v>0</v>
      </c>
      <c r="Q594" t="n">
        <v>0</v>
      </c>
      <c r="R594" s="2" t="inlineStr"/>
    </row>
    <row r="595" ht="15" customHeight="1">
      <c r="A595" t="inlineStr">
        <is>
          <t>A 39434-2023</t>
        </is>
      </c>
      <c r="B595" s="1" t="n">
        <v>45166.69690972222</v>
      </c>
      <c r="C595" s="1" t="n">
        <v>45886</v>
      </c>
      <c r="D595" t="inlineStr">
        <is>
          <t>VÄRMLANDS LÄN</t>
        </is>
      </c>
      <c r="E595" t="inlineStr">
        <is>
          <t>ÅRJÄNG</t>
        </is>
      </c>
      <c r="G595" t="n">
        <v>0.3</v>
      </c>
      <c r="H595" t="n">
        <v>0</v>
      </c>
      <c r="I595" t="n">
        <v>0</v>
      </c>
      <c r="J595" t="n">
        <v>0</v>
      </c>
      <c r="K595" t="n">
        <v>0</v>
      </c>
      <c r="L595" t="n">
        <v>0</v>
      </c>
      <c r="M595" t="n">
        <v>0</v>
      </c>
      <c r="N595" t="n">
        <v>0</v>
      </c>
      <c r="O595" t="n">
        <v>0</v>
      </c>
      <c r="P595" t="n">
        <v>0</v>
      </c>
      <c r="Q595" t="n">
        <v>0</v>
      </c>
      <c r="R595" s="2" t="inlineStr"/>
    </row>
    <row r="596" ht="15" customHeight="1">
      <c r="A596" t="inlineStr">
        <is>
          <t>A 72476-2021</t>
        </is>
      </c>
      <c r="B596" s="1" t="n">
        <v>44545.86997685185</v>
      </c>
      <c r="C596" s="1" t="n">
        <v>45886</v>
      </c>
      <c r="D596" t="inlineStr">
        <is>
          <t>VÄRMLANDS LÄN</t>
        </is>
      </c>
      <c r="E596" t="inlineStr">
        <is>
          <t>ÅRJÄNG</t>
        </is>
      </c>
      <c r="G596" t="n">
        <v>1.9</v>
      </c>
      <c r="H596" t="n">
        <v>0</v>
      </c>
      <c r="I596" t="n">
        <v>0</v>
      </c>
      <c r="J596" t="n">
        <v>0</v>
      </c>
      <c r="K596" t="n">
        <v>0</v>
      </c>
      <c r="L596" t="n">
        <v>0</v>
      </c>
      <c r="M596" t="n">
        <v>0</v>
      </c>
      <c r="N596" t="n">
        <v>0</v>
      </c>
      <c r="O596" t="n">
        <v>0</v>
      </c>
      <c r="P596" t="n">
        <v>0</v>
      </c>
      <c r="Q596" t="n">
        <v>0</v>
      </c>
      <c r="R596" s="2" t="inlineStr"/>
    </row>
    <row r="597" ht="15" customHeight="1">
      <c r="A597" t="inlineStr">
        <is>
          <t>A 4137-2025</t>
        </is>
      </c>
      <c r="B597" s="1" t="n">
        <v>45685.35232638889</v>
      </c>
      <c r="C597" s="1" t="n">
        <v>45886</v>
      </c>
      <c r="D597" t="inlineStr">
        <is>
          <t>VÄRMLANDS LÄN</t>
        </is>
      </c>
      <c r="E597" t="inlineStr">
        <is>
          <t>ÅRJÄNG</t>
        </is>
      </c>
      <c r="G597" t="n">
        <v>3.3</v>
      </c>
      <c r="H597" t="n">
        <v>0</v>
      </c>
      <c r="I597" t="n">
        <v>0</v>
      </c>
      <c r="J597" t="n">
        <v>0</v>
      </c>
      <c r="K597" t="n">
        <v>0</v>
      </c>
      <c r="L597" t="n">
        <v>0</v>
      </c>
      <c r="M597" t="n">
        <v>0</v>
      </c>
      <c r="N597" t="n">
        <v>0</v>
      </c>
      <c r="O597" t="n">
        <v>0</v>
      </c>
      <c r="P597" t="n">
        <v>0</v>
      </c>
      <c r="Q597" t="n">
        <v>0</v>
      </c>
      <c r="R597" s="2" t="inlineStr"/>
    </row>
    <row r="598" ht="15" customHeight="1">
      <c r="A598" t="inlineStr">
        <is>
          <t>A 43517-2024</t>
        </is>
      </c>
      <c r="B598" s="1" t="n">
        <v>45569.32800925926</v>
      </c>
      <c r="C598" s="1" t="n">
        <v>45886</v>
      </c>
      <c r="D598" t="inlineStr">
        <is>
          <t>VÄRMLANDS LÄN</t>
        </is>
      </c>
      <c r="E598" t="inlineStr">
        <is>
          <t>ÅRJÄNG</t>
        </is>
      </c>
      <c r="G598" t="n">
        <v>5.9</v>
      </c>
      <c r="H598" t="n">
        <v>0</v>
      </c>
      <c r="I598" t="n">
        <v>0</v>
      </c>
      <c r="J598" t="n">
        <v>0</v>
      </c>
      <c r="K598" t="n">
        <v>0</v>
      </c>
      <c r="L598" t="n">
        <v>0</v>
      </c>
      <c r="M598" t="n">
        <v>0</v>
      </c>
      <c r="N598" t="n">
        <v>0</v>
      </c>
      <c r="O598" t="n">
        <v>0</v>
      </c>
      <c r="P598" t="n">
        <v>0</v>
      </c>
      <c r="Q598" t="n">
        <v>0</v>
      </c>
      <c r="R598" s="2" t="inlineStr"/>
    </row>
    <row r="599" ht="15" customHeight="1">
      <c r="A599" t="inlineStr">
        <is>
          <t>A 15323-2025</t>
        </is>
      </c>
      <c r="B599" s="1" t="n">
        <v>45747.32385416667</v>
      </c>
      <c r="C599" s="1" t="n">
        <v>45886</v>
      </c>
      <c r="D599" t="inlineStr">
        <is>
          <t>VÄRMLANDS LÄN</t>
        </is>
      </c>
      <c r="E599" t="inlineStr">
        <is>
          <t>ÅRJÄNG</t>
        </is>
      </c>
      <c r="G599" t="n">
        <v>5.5</v>
      </c>
      <c r="H599" t="n">
        <v>0</v>
      </c>
      <c r="I599" t="n">
        <v>0</v>
      </c>
      <c r="J599" t="n">
        <v>0</v>
      </c>
      <c r="K599" t="n">
        <v>0</v>
      </c>
      <c r="L599" t="n">
        <v>0</v>
      </c>
      <c r="M599" t="n">
        <v>0</v>
      </c>
      <c r="N599" t="n">
        <v>0</v>
      </c>
      <c r="O599" t="n">
        <v>0</v>
      </c>
      <c r="P599" t="n">
        <v>0</v>
      </c>
      <c r="Q599" t="n">
        <v>0</v>
      </c>
      <c r="R599" s="2" t="inlineStr"/>
    </row>
    <row r="600" ht="15" customHeight="1">
      <c r="A600" t="inlineStr">
        <is>
          <t>A 39008-2023</t>
        </is>
      </c>
      <c r="B600" s="1" t="n">
        <v>45162</v>
      </c>
      <c r="C600" s="1" t="n">
        <v>45886</v>
      </c>
      <c r="D600" t="inlineStr">
        <is>
          <t>VÄRMLANDS LÄN</t>
        </is>
      </c>
      <c r="E600" t="inlineStr">
        <is>
          <t>ÅRJÄNG</t>
        </is>
      </c>
      <c r="G600" t="n">
        <v>5.1</v>
      </c>
      <c r="H600" t="n">
        <v>0</v>
      </c>
      <c r="I600" t="n">
        <v>0</v>
      </c>
      <c r="J600" t="n">
        <v>0</v>
      </c>
      <c r="K600" t="n">
        <v>0</v>
      </c>
      <c r="L600" t="n">
        <v>0</v>
      </c>
      <c r="M600" t="n">
        <v>0</v>
      </c>
      <c r="N600" t="n">
        <v>0</v>
      </c>
      <c r="O600" t="n">
        <v>0</v>
      </c>
      <c r="P600" t="n">
        <v>0</v>
      </c>
      <c r="Q600" t="n">
        <v>0</v>
      </c>
      <c r="R600" s="2" t="inlineStr"/>
    </row>
    <row r="601" ht="15" customHeight="1">
      <c r="A601" t="inlineStr">
        <is>
          <t>A 236-2025</t>
        </is>
      </c>
      <c r="B601" s="1" t="n">
        <v>45653</v>
      </c>
      <c r="C601" s="1" t="n">
        <v>45886</v>
      </c>
      <c r="D601" t="inlineStr">
        <is>
          <t>VÄRMLANDS LÄN</t>
        </is>
      </c>
      <c r="E601" t="inlineStr">
        <is>
          <t>ÅRJÄNG</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1602-2025</t>
        </is>
      </c>
      <c r="B602" s="1" t="n">
        <v>45670.59069444444</v>
      </c>
      <c r="C602" s="1" t="n">
        <v>45886</v>
      </c>
      <c r="D602" t="inlineStr">
        <is>
          <t>VÄRMLANDS LÄN</t>
        </is>
      </c>
      <c r="E602" t="inlineStr">
        <is>
          <t>ÅRJÄNG</t>
        </is>
      </c>
      <c r="G602" t="n">
        <v>1</v>
      </c>
      <c r="H602" t="n">
        <v>0</v>
      </c>
      <c r="I602" t="n">
        <v>0</v>
      </c>
      <c r="J602" t="n">
        <v>0</v>
      </c>
      <c r="K602" t="n">
        <v>0</v>
      </c>
      <c r="L602" t="n">
        <v>0</v>
      </c>
      <c r="M602" t="n">
        <v>0</v>
      </c>
      <c r="N602" t="n">
        <v>0</v>
      </c>
      <c r="O602" t="n">
        <v>0</v>
      </c>
      <c r="P602" t="n">
        <v>0</v>
      </c>
      <c r="Q602" t="n">
        <v>0</v>
      </c>
      <c r="R602" s="2" t="inlineStr"/>
    </row>
    <row r="603" ht="15" customHeight="1">
      <c r="A603" t="inlineStr">
        <is>
          <t>A 19246-2024</t>
        </is>
      </c>
      <c r="B603" s="1" t="n">
        <v>45428</v>
      </c>
      <c r="C603" s="1" t="n">
        <v>45886</v>
      </c>
      <c r="D603" t="inlineStr">
        <is>
          <t>VÄRMLANDS LÄN</t>
        </is>
      </c>
      <c r="E603" t="inlineStr">
        <is>
          <t>ÅRJÄNG</t>
        </is>
      </c>
      <c r="F603" t="inlineStr">
        <is>
          <t>Bergvik skog väst AB</t>
        </is>
      </c>
      <c r="G603" t="n">
        <v>2.9</v>
      </c>
      <c r="H603" t="n">
        <v>0</v>
      </c>
      <c r="I603" t="n">
        <v>0</v>
      </c>
      <c r="J603" t="n">
        <v>0</v>
      </c>
      <c r="K603" t="n">
        <v>0</v>
      </c>
      <c r="L603" t="n">
        <v>0</v>
      </c>
      <c r="M603" t="n">
        <v>0</v>
      </c>
      <c r="N603" t="n">
        <v>0</v>
      </c>
      <c r="O603" t="n">
        <v>0</v>
      </c>
      <c r="P603" t="n">
        <v>0</v>
      </c>
      <c r="Q603" t="n">
        <v>0</v>
      </c>
      <c r="R603" s="2" t="inlineStr"/>
    </row>
    <row r="604" ht="15" customHeight="1">
      <c r="A604" t="inlineStr">
        <is>
          <t>A 35304-2025</t>
        </is>
      </c>
      <c r="B604" s="1" t="n">
        <v>45854.43931712963</v>
      </c>
      <c r="C604" s="1" t="n">
        <v>45886</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43253-2023</t>
        </is>
      </c>
      <c r="B605" s="1" t="n">
        <v>45183.49578703703</v>
      </c>
      <c r="C605" s="1" t="n">
        <v>45886</v>
      </c>
      <c r="D605" t="inlineStr">
        <is>
          <t>VÄRMLANDS LÄN</t>
        </is>
      </c>
      <c r="E605" t="inlineStr">
        <is>
          <t>ÅRJÄNG</t>
        </is>
      </c>
      <c r="G605" t="n">
        <v>5.5</v>
      </c>
      <c r="H605" t="n">
        <v>0</v>
      </c>
      <c r="I605" t="n">
        <v>0</v>
      </c>
      <c r="J605" t="n">
        <v>0</v>
      </c>
      <c r="K605" t="n">
        <v>0</v>
      </c>
      <c r="L605" t="n">
        <v>0</v>
      </c>
      <c r="M605" t="n">
        <v>0</v>
      </c>
      <c r="N605" t="n">
        <v>0</v>
      </c>
      <c r="O605" t="n">
        <v>0</v>
      </c>
      <c r="P605" t="n">
        <v>0</v>
      </c>
      <c r="Q605" t="n">
        <v>0</v>
      </c>
      <c r="R605" s="2" t="inlineStr"/>
    </row>
    <row r="606" ht="15" customHeight="1">
      <c r="A606" t="inlineStr">
        <is>
          <t>A 1665-2023</t>
        </is>
      </c>
      <c r="B606" s="1" t="n">
        <v>44938</v>
      </c>
      <c r="C606" s="1" t="n">
        <v>45886</v>
      </c>
      <c r="D606" t="inlineStr">
        <is>
          <t>VÄRMLANDS LÄN</t>
        </is>
      </c>
      <c r="E606" t="inlineStr">
        <is>
          <t>ÅRJÄNG</t>
        </is>
      </c>
      <c r="G606" t="n">
        <v>5.1</v>
      </c>
      <c r="H606" t="n">
        <v>0</v>
      </c>
      <c r="I606" t="n">
        <v>0</v>
      </c>
      <c r="J606" t="n">
        <v>0</v>
      </c>
      <c r="K606" t="n">
        <v>0</v>
      </c>
      <c r="L606" t="n">
        <v>0</v>
      </c>
      <c r="M606" t="n">
        <v>0</v>
      </c>
      <c r="N606" t="n">
        <v>0</v>
      </c>
      <c r="O606" t="n">
        <v>0</v>
      </c>
      <c r="P606" t="n">
        <v>0</v>
      </c>
      <c r="Q606" t="n">
        <v>0</v>
      </c>
      <c r="R606" s="2" t="inlineStr"/>
    </row>
    <row r="607" ht="15" customHeight="1">
      <c r="A607" t="inlineStr">
        <is>
          <t>A 38158-2023</t>
        </is>
      </c>
      <c r="B607" s="1" t="n">
        <v>45161</v>
      </c>
      <c r="C607" s="1" t="n">
        <v>45886</v>
      </c>
      <c r="D607" t="inlineStr">
        <is>
          <t>VÄRMLANDS LÄN</t>
        </is>
      </c>
      <c r="E607" t="inlineStr">
        <is>
          <t>ÅRJÄNG</t>
        </is>
      </c>
      <c r="G607" t="n">
        <v>1.1</v>
      </c>
      <c r="H607" t="n">
        <v>0</v>
      </c>
      <c r="I607" t="n">
        <v>0</v>
      </c>
      <c r="J607" t="n">
        <v>0</v>
      </c>
      <c r="K607" t="n">
        <v>0</v>
      </c>
      <c r="L607" t="n">
        <v>0</v>
      </c>
      <c r="M607" t="n">
        <v>0</v>
      </c>
      <c r="N607" t="n">
        <v>0</v>
      </c>
      <c r="O607" t="n">
        <v>0</v>
      </c>
      <c r="P607" t="n">
        <v>0</v>
      </c>
      <c r="Q607" t="n">
        <v>0</v>
      </c>
      <c r="R607" s="2" t="inlineStr"/>
    </row>
    <row r="608" ht="15" customHeight="1">
      <c r="A608" t="inlineStr">
        <is>
          <t>A 60909-2024</t>
        </is>
      </c>
      <c r="B608" s="1" t="n">
        <v>45645</v>
      </c>
      <c r="C608" s="1" t="n">
        <v>45886</v>
      </c>
      <c r="D608" t="inlineStr">
        <is>
          <t>VÄRMLANDS LÄN</t>
        </is>
      </c>
      <c r="E608" t="inlineStr">
        <is>
          <t>ÅRJÄNG</t>
        </is>
      </c>
      <c r="G608" t="n">
        <v>1.1</v>
      </c>
      <c r="H608" t="n">
        <v>0</v>
      </c>
      <c r="I608" t="n">
        <v>0</v>
      </c>
      <c r="J608" t="n">
        <v>0</v>
      </c>
      <c r="K608" t="n">
        <v>0</v>
      </c>
      <c r="L608" t="n">
        <v>0</v>
      </c>
      <c r="M608" t="n">
        <v>0</v>
      </c>
      <c r="N608" t="n">
        <v>0</v>
      </c>
      <c r="O608" t="n">
        <v>0</v>
      </c>
      <c r="P608" t="n">
        <v>0</v>
      </c>
      <c r="Q608" t="n">
        <v>0</v>
      </c>
      <c r="R608" s="2" t="inlineStr"/>
    </row>
    <row r="609" ht="15" customHeight="1">
      <c r="A609" t="inlineStr">
        <is>
          <t>A 28733-2024</t>
        </is>
      </c>
      <c r="B609" s="1" t="n">
        <v>45478</v>
      </c>
      <c r="C609" s="1" t="n">
        <v>45886</v>
      </c>
      <c r="D609" t="inlineStr">
        <is>
          <t>VÄRMLANDS LÄN</t>
        </is>
      </c>
      <c r="E609" t="inlineStr">
        <is>
          <t>ÅRJÄNG</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17827-2025</t>
        </is>
      </c>
      <c r="B610" s="1" t="n">
        <v>45758.57596064815</v>
      </c>
      <c r="C610" s="1" t="n">
        <v>45886</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8357-2025</t>
        </is>
      </c>
      <c r="B611" s="1" t="n">
        <v>45708.79896990741</v>
      </c>
      <c r="C611" s="1" t="n">
        <v>45886</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10321-2025</t>
        </is>
      </c>
      <c r="B612" s="1" t="n">
        <v>45720</v>
      </c>
      <c r="C612" s="1" t="n">
        <v>45886</v>
      </c>
      <c r="D612" t="inlineStr">
        <is>
          <t>VÄRMLANDS LÄN</t>
        </is>
      </c>
      <c r="E612" t="inlineStr">
        <is>
          <t>ÅRJÄNG</t>
        </is>
      </c>
      <c r="G612" t="n">
        <v>3.4</v>
      </c>
      <c r="H612" t="n">
        <v>0</v>
      </c>
      <c r="I612" t="n">
        <v>0</v>
      </c>
      <c r="J612" t="n">
        <v>0</v>
      </c>
      <c r="K612" t="n">
        <v>0</v>
      </c>
      <c r="L612" t="n">
        <v>0</v>
      </c>
      <c r="M612" t="n">
        <v>0</v>
      </c>
      <c r="N612" t="n">
        <v>0</v>
      </c>
      <c r="O612" t="n">
        <v>0</v>
      </c>
      <c r="P612" t="n">
        <v>0</v>
      </c>
      <c r="Q612" t="n">
        <v>0</v>
      </c>
      <c r="R612" s="2" t="inlineStr"/>
    </row>
    <row r="613" ht="15" customHeight="1">
      <c r="A613" t="inlineStr">
        <is>
          <t>A 56348-2024</t>
        </is>
      </c>
      <c r="B613" s="1" t="n">
        <v>45624</v>
      </c>
      <c r="C613" s="1" t="n">
        <v>45886</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19920-2024</t>
        </is>
      </c>
      <c r="B614" s="1" t="n">
        <v>45433.58947916667</v>
      </c>
      <c r="C614" s="1" t="n">
        <v>45886</v>
      </c>
      <c r="D614" t="inlineStr">
        <is>
          <t>VÄRMLANDS LÄN</t>
        </is>
      </c>
      <c r="E614" t="inlineStr">
        <is>
          <t>ÅRJÄNG</t>
        </is>
      </c>
      <c r="F614" t="inlineStr">
        <is>
          <t>Bergvik skog väst AB</t>
        </is>
      </c>
      <c r="G614" t="n">
        <v>3.6</v>
      </c>
      <c r="H614" t="n">
        <v>0</v>
      </c>
      <c r="I614" t="n">
        <v>0</v>
      </c>
      <c r="J614" t="n">
        <v>0</v>
      </c>
      <c r="K614" t="n">
        <v>0</v>
      </c>
      <c r="L614" t="n">
        <v>0</v>
      </c>
      <c r="M614" t="n">
        <v>0</v>
      </c>
      <c r="N614" t="n">
        <v>0</v>
      </c>
      <c r="O614" t="n">
        <v>0</v>
      </c>
      <c r="P614" t="n">
        <v>0</v>
      </c>
      <c r="Q614" t="n">
        <v>0</v>
      </c>
      <c r="R614" s="2" t="inlineStr"/>
    </row>
    <row r="615" ht="15" customHeight="1">
      <c r="A615" t="inlineStr">
        <is>
          <t>A 24896-2024</t>
        </is>
      </c>
      <c r="B615" s="1" t="n">
        <v>45461</v>
      </c>
      <c r="C615" s="1" t="n">
        <v>45886</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32095-2024</t>
        </is>
      </c>
      <c r="B616" s="1" t="n">
        <v>45511.39107638889</v>
      </c>
      <c r="C616" s="1" t="n">
        <v>45886</v>
      </c>
      <c r="D616" t="inlineStr">
        <is>
          <t>VÄRMLANDS LÄN</t>
        </is>
      </c>
      <c r="E616" t="inlineStr">
        <is>
          <t>ÅRJÄNG</t>
        </is>
      </c>
      <c r="G616" t="n">
        <v>4.6</v>
      </c>
      <c r="H616" t="n">
        <v>0</v>
      </c>
      <c r="I616" t="n">
        <v>0</v>
      </c>
      <c r="J616" t="n">
        <v>0</v>
      </c>
      <c r="K616" t="n">
        <v>0</v>
      </c>
      <c r="L616" t="n">
        <v>0</v>
      </c>
      <c r="M616" t="n">
        <v>0</v>
      </c>
      <c r="N616" t="n">
        <v>0</v>
      </c>
      <c r="O616" t="n">
        <v>0</v>
      </c>
      <c r="P616" t="n">
        <v>0</v>
      </c>
      <c r="Q616" t="n">
        <v>0</v>
      </c>
      <c r="R616" s="2" t="inlineStr"/>
    </row>
    <row r="617" ht="15" customHeight="1">
      <c r="A617" t="inlineStr">
        <is>
          <t>A 301-2025</t>
        </is>
      </c>
      <c r="B617" s="1" t="n">
        <v>45660.56</v>
      </c>
      <c r="C617" s="1" t="n">
        <v>45886</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26998-2025</t>
        </is>
      </c>
      <c r="B618" s="1" t="n">
        <v>45811</v>
      </c>
      <c r="C618" s="1" t="n">
        <v>45886</v>
      </c>
      <c r="D618" t="inlineStr">
        <is>
          <t>VÄRMLANDS LÄN</t>
        </is>
      </c>
      <c r="E618" t="inlineStr">
        <is>
          <t>ÅRJÄNG</t>
        </is>
      </c>
      <c r="G618" t="n">
        <v>1.8</v>
      </c>
      <c r="H618" t="n">
        <v>0</v>
      </c>
      <c r="I618" t="n">
        <v>0</v>
      </c>
      <c r="J618" t="n">
        <v>0</v>
      </c>
      <c r="K618" t="n">
        <v>0</v>
      </c>
      <c r="L618" t="n">
        <v>0</v>
      </c>
      <c r="M618" t="n">
        <v>0</v>
      </c>
      <c r="N618" t="n">
        <v>0</v>
      </c>
      <c r="O618" t="n">
        <v>0</v>
      </c>
      <c r="P618" t="n">
        <v>0</v>
      </c>
      <c r="Q618" t="n">
        <v>0</v>
      </c>
      <c r="R618" s="2" t="inlineStr"/>
    </row>
    <row r="619" ht="15" customHeight="1">
      <c r="A619" t="inlineStr">
        <is>
          <t>A 24964-2025</t>
        </is>
      </c>
      <c r="B619" s="1" t="n">
        <v>45799</v>
      </c>
      <c r="C619" s="1" t="n">
        <v>45886</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26959-2025</t>
        </is>
      </c>
      <c r="B620" s="1" t="n">
        <v>45811.45909722222</v>
      </c>
      <c r="C620" s="1" t="n">
        <v>45886</v>
      </c>
      <c r="D620" t="inlineStr">
        <is>
          <t>VÄRMLANDS LÄN</t>
        </is>
      </c>
      <c r="E620" t="inlineStr">
        <is>
          <t>ÅRJÄNG</t>
        </is>
      </c>
      <c r="G620" t="n">
        <v>1.4</v>
      </c>
      <c r="H620" t="n">
        <v>0</v>
      </c>
      <c r="I620" t="n">
        <v>0</v>
      </c>
      <c r="J620" t="n">
        <v>0</v>
      </c>
      <c r="K620" t="n">
        <v>0</v>
      </c>
      <c r="L620" t="n">
        <v>0</v>
      </c>
      <c r="M620" t="n">
        <v>0</v>
      </c>
      <c r="N620" t="n">
        <v>0</v>
      </c>
      <c r="O620" t="n">
        <v>0</v>
      </c>
      <c r="P620" t="n">
        <v>0</v>
      </c>
      <c r="Q620" t="n">
        <v>0</v>
      </c>
      <c r="R620" s="2" t="inlineStr"/>
    </row>
    <row r="621" ht="15" customHeight="1">
      <c r="A621" t="inlineStr">
        <is>
          <t>A 35295-2025</t>
        </is>
      </c>
      <c r="B621" s="1" t="n">
        <v>45854.40325231481</v>
      </c>
      <c r="C621" s="1" t="n">
        <v>45886</v>
      </c>
      <c r="D621" t="inlineStr">
        <is>
          <t>VÄRMLANDS LÄN</t>
        </is>
      </c>
      <c r="E621" t="inlineStr">
        <is>
          <t>ÅRJÄNG</t>
        </is>
      </c>
      <c r="G621" t="n">
        <v>6.2</v>
      </c>
      <c r="H621" t="n">
        <v>0</v>
      </c>
      <c r="I621" t="n">
        <v>0</v>
      </c>
      <c r="J621" t="n">
        <v>0</v>
      </c>
      <c r="K621" t="n">
        <v>0</v>
      </c>
      <c r="L621" t="n">
        <v>0</v>
      </c>
      <c r="M621" t="n">
        <v>0</v>
      </c>
      <c r="N621" t="n">
        <v>0</v>
      </c>
      <c r="O621" t="n">
        <v>0</v>
      </c>
      <c r="P621" t="n">
        <v>0</v>
      </c>
      <c r="Q621" t="n">
        <v>0</v>
      </c>
      <c r="R621" s="2" t="inlineStr"/>
    </row>
    <row r="622" ht="15" customHeight="1">
      <c r="A622" t="inlineStr">
        <is>
          <t>A 92-2022</t>
        </is>
      </c>
      <c r="B622" s="1" t="n">
        <v>44564</v>
      </c>
      <c r="C622" s="1" t="n">
        <v>45886</v>
      </c>
      <c r="D622" t="inlineStr">
        <is>
          <t>VÄRMLANDS LÄN</t>
        </is>
      </c>
      <c r="E622" t="inlineStr">
        <is>
          <t>ÅRJÄNG</t>
        </is>
      </c>
      <c r="G622" t="n">
        <v>10.4</v>
      </c>
      <c r="H622" t="n">
        <v>0</v>
      </c>
      <c r="I622" t="n">
        <v>0</v>
      </c>
      <c r="J622" t="n">
        <v>0</v>
      </c>
      <c r="K622" t="n">
        <v>0</v>
      </c>
      <c r="L622" t="n">
        <v>0</v>
      </c>
      <c r="M622" t="n">
        <v>0</v>
      </c>
      <c r="N622" t="n">
        <v>0</v>
      </c>
      <c r="O622" t="n">
        <v>0</v>
      </c>
      <c r="P622" t="n">
        <v>0</v>
      </c>
      <c r="Q622" t="n">
        <v>0</v>
      </c>
      <c r="R622" s="2" t="inlineStr"/>
    </row>
    <row r="623" ht="15" customHeight="1">
      <c r="A623" t="inlineStr">
        <is>
          <t>A 9489-2023</t>
        </is>
      </c>
      <c r="B623" s="1" t="n">
        <v>44981</v>
      </c>
      <c r="C623" s="1" t="n">
        <v>45886</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36642-2021</t>
        </is>
      </c>
      <c r="B624" s="1" t="n">
        <v>44392</v>
      </c>
      <c r="C624" s="1" t="n">
        <v>45886</v>
      </c>
      <c r="D624" t="inlineStr">
        <is>
          <t>VÄRMLANDS LÄN</t>
        </is>
      </c>
      <c r="E624" t="inlineStr">
        <is>
          <t>ÅRJÄNG</t>
        </is>
      </c>
      <c r="G624" t="n">
        <v>6.1</v>
      </c>
      <c r="H624" t="n">
        <v>0</v>
      </c>
      <c r="I624" t="n">
        <v>0</v>
      </c>
      <c r="J624" t="n">
        <v>0</v>
      </c>
      <c r="K624" t="n">
        <v>0</v>
      </c>
      <c r="L624" t="n">
        <v>0</v>
      </c>
      <c r="M624" t="n">
        <v>0</v>
      </c>
      <c r="N624" t="n">
        <v>0</v>
      </c>
      <c r="O624" t="n">
        <v>0</v>
      </c>
      <c r="P624" t="n">
        <v>0</v>
      </c>
      <c r="Q624" t="n">
        <v>0</v>
      </c>
      <c r="R624" s="2" t="inlineStr"/>
    </row>
    <row r="625" ht="15" customHeight="1">
      <c r="A625" t="inlineStr">
        <is>
          <t>A 34159-2025</t>
        </is>
      </c>
      <c r="B625" s="1" t="n">
        <v>45844</v>
      </c>
      <c r="C625" s="1" t="n">
        <v>45886</v>
      </c>
      <c r="D625" t="inlineStr">
        <is>
          <t>VÄRMLANDS LÄN</t>
        </is>
      </c>
      <c r="E625" t="inlineStr">
        <is>
          <t>ÅRJÄNG</t>
        </is>
      </c>
      <c r="G625" t="n">
        <v>0.6</v>
      </c>
      <c r="H625" t="n">
        <v>0</v>
      </c>
      <c r="I625" t="n">
        <v>0</v>
      </c>
      <c r="J625" t="n">
        <v>0</v>
      </c>
      <c r="K625" t="n">
        <v>0</v>
      </c>
      <c r="L625" t="n">
        <v>0</v>
      </c>
      <c r="M625" t="n">
        <v>0</v>
      </c>
      <c r="N625" t="n">
        <v>0</v>
      </c>
      <c r="O625" t="n">
        <v>0</v>
      </c>
      <c r="P625" t="n">
        <v>0</v>
      </c>
      <c r="Q625" t="n">
        <v>0</v>
      </c>
      <c r="R625" s="2" t="inlineStr"/>
    </row>
    <row r="626" ht="15" customHeight="1">
      <c r="A626" t="inlineStr">
        <is>
          <t>A 27120-2025</t>
        </is>
      </c>
      <c r="B626" s="1" t="n">
        <v>45811.76232638889</v>
      </c>
      <c r="C626" s="1" t="n">
        <v>45886</v>
      </c>
      <c r="D626" t="inlineStr">
        <is>
          <t>VÄRMLANDS LÄN</t>
        </is>
      </c>
      <c r="E626" t="inlineStr">
        <is>
          <t>ÅRJÄNG</t>
        </is>
      </c>
      <c r="G626" t="n">
        <v>4.3</v>
      </c>
      <c r="H626" t="n">
        <v>0</v>
      </c>
      <c r="I626" t="n">
        <v>0</v>
      </c>
      <c r="J626" t="n">
        <v>0</v>
      </c>
      <c r="K626" t="n">
        <v>0</v>
      </c>
      <c r="L626" t="n">
        <v>0</v>
      </c>
      <c r="M626" t="n">
        <v>0</v>
      </c>
      <c r="N626" t="n">
        <v>0</v>
      </c>
      <c r="O626" t="n">
        <v>0</v>
      </c>
      <c r="P626" t="n">
        <v>0</v>
      </c>
      <c r="Q626" t="n">
        <v>0</v>
      </c>
      <c r="R626" s="2" t="inlineStr"/>
    </row>
    <row r="627" ht="15" customHeight="1">
      <c r="A627" t="inlineStr">
        <is>
          <t>A 27247-2025</t>
        </is>
      </c>
      <c r="B627" s="1" t="n">
        <v>45812.46612268518</v>
      </c>
      <c r="C627" s="1" t="n">
        <v>45886</v>
      </c>
      <c r="D627" t="inlineStr">
        <is>
          <t>VÄRMLANDS LÄN</t>
        </is>
      </c>
      <c r="E627" t="inlineStr">
        <is>
          <t>ÅRJÄNG</t>
        </is>
      </c>
      <c r="G627" t="n">
        <v>2.9</v>
      </c>
      <c r="H627" t="n">
        <v>0</v>
      </c>
      <c r="I627" t="n">
        <v>0</v>
      </c>
      <c r="J627" t="n">
        <v>0</v>
      </c>
      <c r="K627" t="n">
        <v>0</v>
      </c>
      <c r="L627" t="n">
        <v>0</v>
      </c>
      <c r="M627" t="n">
        <v>0</v>
      </c>
      <c r="N627" t="n">
        <v>0</v>
      </c>
      <c r="O627" t="n">
        <v>0</v>
      </c>
      <c r="P627" t="n">
        <v>0</v>
      </c>
      <c r="Q627" t="n">
        <v>0</v>
      </c>
      <c r="R627" s="2" t="inlineStr"/>
    </row>
    <row r="628" ht="15" customHeight="1">
      <c r="A628" t="inlineStr">
        <is>
          <t>A 14434-2025</t>
        </is>
      </c>
      <c r="B628" s="1" t="n">
        <v>45741</v>
      </c>
      <c r="C628" s="1" t="n">
        <v>45886</v>
      </c>
      <c r="D628" t="inlineStr">
        <is>
          <t>VÄRMLANDS LÄN</t>
        </is>
      </c>
      <c r="E628" t="inlineStr">
        <is>
          <t>ÅRJÄNG</t>
        </is>
      </c>
      <c r="F628" t="inlineStr">
        <is>
          <t>Övriga Aktiebolag</t>
        </is>
      </c>
      <c r="G628" t="n">
        <v>2.3</v>
      </c>
      <c r="H628" t="n">
        <v>0</v>
      </c>
      <c r="I628" t="n">
        <v>0</v>
      </c>
      <c r="J628" t="n">
        <v>0</v>
      </c>
      <c r="K628" t="n">
        <v>0</v>
      </c>
      <c r="L628" t="n">
        <v>0</v>
      </c>
      <c r="M628" t="n">
        <v>0</v>
      </c>
      <c r="N628" t="n">
        <v>0</v>
      </c>
      <c r="O628" t="n">
        <v>0</v>
      </c>
      <c r="P628" t="n">
        <v>0</v>
      </c>
      <c r="Q628" t="n">
        <v>0</v>
      </c>
      <c r="R628" s="2" t="inlineStr"/>
    </row>
    <row r="629" ht="15" customHeight="1">
      <c r="A629" t="inlineStr">
        <is>
          <t>A 19248-2025</t>
        </is>
      </c>
      <c r="B629" s="1" t="n">
        <v>45769.48710648148</v>
      </c>
      <c r="C629" s="1" t="n">
        <v>45886</v>
      </c>
      <c r="D629" t="inlineStr">
        <is>
          <t>VÄRMLANDS LÄN</t>
        </is>
      </c>
      <c r="E629" t="inlineStr">
        <is>
          <t>ÅRJÄNG</t>
        </is>
      </c>
      <c r="G629" t="n">
        <v>5.3</v>
      </c>
      <c r="H629" t="n">
        <v>0</v>
      </c>
      <c r="I629" t="n">
        <v>0</v>
      </c>
      <c r="J629" t="n">
        <v>0</v>
      </c>
      <c r="K629" t="n">
        <v>0</v>
      </c>
      <c r="L629" t="n">
        <v>0</v>
      </c>
      <c r="M629" t="n">
        <v>0</v>
      </c>
      <c r="N629" t="n">
        <v>0</v>
      </c>
      <c r="O629" t="n">
        <v>0</v>
      </c>
      <c r="P629" t="n">
        <v>0</v>
      </c>
      <c r="Q629" t="n">
        <v>0</v>
      </c>
      <c r="R629" s="2" t="inlineStr"/>
    </row>
    <row r="630" ht="15" customHeight="1">
      <c r="A630" t="inlineStr">
        <is>
          <t>A 6109-2025</t>
        </is>
      </c>
      <c r="B630" s="1" t="n">
        <v>45698.31012731481</v>
      </c>
      <c r="C630" s="1" t="n">
        <v>45886</v>
      </c>
      <c r="D630" t="inlineStr">
        <is>
          <t>VÄRMLANDS LÄN</t>
        </is>
      </c>
      <c r="E630" t="inlineStr">
        <is>
          <t>ÅRJÄNG</t>
        </is>
      </c>
      <c r="G630" t="n">
        <v>4.1</v>
      </c>
      <c r="H630" t="n">
        <v>0</v>
      </c>
      <c r="I630" t="n">
        <v>0</v>
      </c>
      <c r="J630" t="n">
        <v>0</v>
      </c>
      <c r="K630" t="n">
        <v>0</v>
      </c>
      <c r="L630" t="n">
        <v>0</v>
      </c>
      <c r="M630" t="n">
        <v>0</v>
      </c>
      <c r="N630" t="n">
        <v>0</v>
      </c>
      <c r="O630" t="n">
        <v>0</v>
      </c>
      <c r="P630" t="n">
        <v>0</v>
      </c>
      <c r="Q630" t="n">
        <v>0</v>
      </c>
      <c r="R630" s="2" t="inlineStr"/>
    </row>
    <row r="631" ht="15" customHeight="1">
      <c r="A631" t="inlineStr">
        <is>
          <t>A 21443-2022</t>
        </is>
      </c>
      <c r="B631" s="1" t="n">
        <v>44706.35293981482</v>
      </c>
      <c r="C631" s="1" t="n">
        <v>45886</v>
      </c>
      <c r="D631" t="inlineStr">
        <is>
          <t>VÄRMLANDS LÄN</t>
        </is>
      </c>
      <c r="E631" t="inlineStr">
        <is>
          <t>ÅRJÄNG</t>
        </is>
      </c>
      <c r="G631" t="n">
        <v>3.5</v>
      </c>
      <c r="H631" t="n">
        <v>0</v>
      </c>
      <c r="I631" t="n">
        <v>0</v>
      </c>
      <c r="J631" t="n">
        <v>0</v>
      </c>
      <c r="K631" t="n">
        <v>0</v>
      </c>
      <c r="L631" t="n">
        <v>0</v>
      </c>
      <c r="M631" t="n">
        <v>0</v>
      </c>
      <c r="N631" t="n">
        <v>0</v>
      </c>
      <c r="O631" t="n">
        <v>0</v>
      </c>
      <c r="P631" t="n">
        <v>0</v>
      </c>
      <c r="Q631" t="n">
        <v>0</v>
      </c>
      <c r="R631" s="2" t="inlineStr"/>
    </row>
    <row r="632" ht="15" customHeight="1">
      <c r="A632" t="inlineStr">
        <is>
          <t>A 19245-2024</t>
        </is>
      </c>
      <c r="B632" s="1" t="n">
        <v>45428</v>
      </c>
      <c r="C632" s="1" t="n">
        <v>45886</v>
      </c>
      <c r="D632" t="inlineStr">
        <is>
          <t>VÄRMLANDS LÄN</t>
        </is>
      </c>
      <c r="E632" t="inlineStr">
        <is>
          <t>ÅRJÄNG</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61154-2021</t>
        </is>
      </c>
      <c r="B633" s="1" t="n">
        <v>44497</v>
      </c>
      <c r="C633" s="1" t="n">
        <v>45886</v>
      </c>
      <c r="D633" t="inlineStr">
        <is>
          <t>VÄRMLANDS LÄN</t>
        </is>
      </c>
      <c r="E633" t="inlineStr">
        <is>
          <t>ÅRJÄNG</t>
        </is>
      </c>
      <c r="G633" t="n">
        <v>1.6</v>
      </c>
      <c r="H633" t="n">
        <v>0</v>
      </c>
      <c r="I633" t="n">
        <v>0</v>
      </c>
      <c r="J633" t="n">
        <v>0</v>
      </c>
      <c r="K633" t="n">
        <v>0</v>
      </c>
      <c r="L633" t="n">
        <v>0</v>
      </c>
      <c r="M633" t="n">
        <v>0</v>
      </c>
      <c r="N633" t="n">
        <v>0</v>
      </c>
      <c r="O633" t="n">
        <v>0</v>
      </c>
      <c r="P633" t="n">
        <v>0</v>
      </c>
      <c r="Q633" t="n">
        <v>0</v>
      </c>
      <c r="R633" s="2" t="inlineStr"/>
    </row>
    <row r="634" ht="15" customHeight="1">
      <c r="A634" t="inlineStr">
        <is>
          <t>A 2969-2022</t>
        </is>
      </c>
      <c r="B634" s="1" t="n">
        <v>44581.70811342593</v>
      </c>
      <c r="C634" s="1" t="n">
        <v>45886</v>
      </c>
      <c r="D634" t="inlineStr">
        <is>
          <t>VÄRMLANDS LÄN</t>
        </is>
      </c>
      <c r="E634" t="inlineStr">
        <is>
          <t>ÅRJÄNG</t>
        </is>
      </c>
      <c r="G634" t="n">
        <v>1.6</v>
      </c>
      <c r="H634" t="n">
        <v>0</v>
      </c>
      <c r="I634" t="n">
        <v>0</v>
      </c>
      <c r="J634" t="n">
        <v>0</v>
      </c>
      <c r="K634" t="n">
        <v>0</v>
      </c>
      <c r="L634" t="n">
        <v>0</v>
      </c>
      <c r="M634" t="n">
        <v>0</v>
      </c>
      <c r="N634" t="n">
        <v>0</v>
      </c>
      <c r="O634" t="n">
        <v>0</v>
      </c>
      <c r="P634" t="n">
        <v>0</v>
      </c>
      <c r="Q634" t="n">
        <v>0</v>
      </c>
      <c r="R634" s="2" t="inlineStr"/>
    </row>
    <row r="635" ht="15" customHeight="1">
      <c r="A635" t="inlineStr">
        <is>
          <t>A 48203-2023</t>
        </is>
      </c>
      <c r="B635" s="1" t="n">
        <v>45200</v>
      </c>
      <c r="C635" s="1" t="n">
        <v>45886</v>
      </c>
      <c r="D635" t="inlineStr">
        <is>
          <t>VÄRMLANDS LÄN</t>
        </is>
      </c>
      <c r="E635" t="inlineStr">
        <is>
          <t>ÅRJÄNG</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42667-2023</t>
        </is>
      </c>
      <c r="B636" s="1" t="n">
        <v>45176</v>
      </c>
      <c r="C636" s="1" t="n">
        <v>45886</v>
      </c>
      <c r="D636" t="inlineStr">
        <is>
          <t>VÄRMLANDS LÄN</t>
        </is>
      </c>
      <c r="E636" t="inlineStr">
        <is>
          <t>ÅRJÄNG</t>
        </is>
      </c>
      <c r="G636" t="n">
        <v>2.8</v>
      </c>
      <c r="H636" t="n">
        <v>0</v>
      </c>
      <c r="I636" t="n">
        <v>0</v>
      </c>
      <c r="J636" t="n">
        <v>0</v>
      </c>
      <c r="K636" t="n">
        <v>0</v>
      </c>
      <c r="L636" t="n">
        <v>0</v>
      </c>
      <c r="M636" t="n">
        <v>0</v>
      </c>
      <c r="N636" t="n">
        <v>0</v>
      </c>
      <c r="O636" t="n">
        <v>0</v>
      </c>
      <c r="P636" t="n">
        <v>0</v>
      </c>
      <c r="Q636" t="n">
        <v>0</v>
      </c>
      <c r="R636" s="2" t="inlineStr"/>
    </row>
    <row r="637" ht="15" customHeight="1">
      <c r="A637" t="inlineStr">
        <is>
          <t>A 13504-2025</t>
        </is>
      </c>
      <c r="B637" s="1" t="n">
        <v>45736.46400462963</v>
      </c>
      <c r="C637" s="1" t="n">
        <v>45886</v>
      </c>
      <c r="D637" t="inlineStr">
        <is>
          <t>VÄRMLANDS LÄN</t>
        </is>
      </c>
      <c r="E637" t="inlineStr">
        <is>
          <t>ÅRJÄNG</t>
        </is>
      </c>
      <c r="G637" t="n">
        <v>7.2</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44560.47202546296</v>
      </c>
      <c r="C638" s="1" t="n">
        <v>45886</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61295-2022</t>
        </is>
      </c>
      <c r="B639" s="1" t="n">
        <v>44915</v>
      </c>
      <c r="C639" s="1" t="n">
        <v>45886</v>
      </c>
      <c r="D639" t="inlineStr">
        <is>
          <t>VÄRMLANDS LÄN</t>
        </is>
      </c>
      <c r="E639" t="inlineStr">
        <is>
          <t>ÅRJÄNG</t>
        </is>
      </c>
      <c r="G639" t="n">
        <v>0.4</v>
      </c>
      <c r="H639" t="n">
        <v>0</v>
      </c>
      <c r="I639" t="n">
        <v>0</v>
      </c>
      <c r="J639" t="n">
        <v>0</v>
      </c>
      <c r="K639" t="n">
        <v>0</v>
      </c>
      <c r="L639" t="n">
        <v>0</v>
      </c>
      <c r="M639" t="n">
        <v>0</v>
      </c>
      <c r="N639" t="n">
        <v>0</v>
      </c>
      <c r="O639" t="n">
        <v>0</v>
      </c>
      <c r="P639" t="n">
        <v>0</v>
      </c>
      <c r="Q639" t="n">
        <v>0</v>
      </c>
      <c r="R639" s="2" t="inlineStr"/>
    </row>
    <row r="640" ht="15" customHeight="1">
      <c r="A640" t="inlineStr">
        <is>
          <t>A 16519-2025</t>
        </is>
      </c>
      <c r="B640" s="1" t="n">
        <v>45751</v>
      </c>
      <c r="C640" s="1" t="n">
        <v>45886</v>
      </c>
      <c r="D640" t="inlineStr">
        <is>
          <t>VÄRMLANDS LÄN</t>
        </is>
      </c>
      <c r="E640" t="inlineStr">
        <is>
          <t>ÅRJÄNG</t>
        </is>
      </c>
      <c r="G640" t="n">
        <v>6.3</v>
      </c>
      <c r="H640" t="n">
        <v>0</v>
      </c>
      <c r="I640" t="n">
        <v>0</v>
      </c>
      <c r="J640" t="n">
        <v>0</v>
      </c>
      <c r="K640" t="n">
        <v>0</v>
      </c>
      <c r="L640" t="n">
        <v>0</v>
      </c>
      <c r="M640" t="n">
        <v>0</v>
      </c>
      <c r="N640" t="n">
        <v>0</v>
      </c>
      <c r="O640" t="n">
        <v>0</v>
      </c>
      <c r="P640" t="n">
        <v>0</v>
      </c>
      <c r="Q640" t="n">
        <v>0</v>
      </c>
      <c r="R640" s="2" t="inlineStr"/>
    </row>
    <row r="641" ht="15" customHeight="1">
      <c r="A641" t="inlineStr">
        <is>
          <t>A 10648-2023</t>
        </is>
      </c>
      <c r="B641" s="1" t="n">
        <v>44984</v>
      </c>
      <c r="C641" s="1" t="n">
        <v>45886</v>
      </c>
      <c r="D641" t="inlineStr">
        <is>
          <t>VÄRMLANDS LÄN</t>
        </is>
      </c>
      <c r="E641" t="inlineStr">
        <is>
          <t>ÅRJÄNG</t>
        </is>
      </c>
      <c r="G641" t="n">
        <v>0.6</v>
      </c>
      <c r="H641" t="n">
        <v>0</v>
      </c>
      <c r="I641" t="n">
        <v>0</v>
      </c>
      <c r="J641" t="n">
        <v>0</v>
      </c>
      <c r="K641" t="n">
        <v>0</v>
      </c>
      <c r="L641" t="n">
        <v>0</v>
      </c>
      <c r="M641" t="n">
        <v>0</v>
      </c>
      <c r="N641" t="n">
        <v>0</v>
      </c>
      <c r="O641" t="n">
        <v>0</v>
      </c>
      <c r="P641" t="n">
        <v>0</v>
      </c>
      <c r="Q641" t="n">
        <v>0</v>
      </c>
      <c r="R641" s="2" t="inlineStr"/>
    </row>
    <row r="642" ht="15" customHeight="1">
      <c r="A642" t="inlineStr">
        <is>
          <t>A 36282-2024</t>
        </is>
      </c>
      <c r="B642" s="1" t="n">
        <v>45534.5887962963</v>
      </c>
      <c r="C642" s="1" t="n">
        <v>45886</v>
      </c>
      <c r="D642" t="inlineStr">
        <is>
          <t>VÄRMLANDS LÄN</t>
        </is>
      </c>
      <c r="E642" t="inlineStr">
        <is>
          <t>ÅRJÄNG</t>
        </is>
      </c>
      <c r="G642" t="n">
        <v>1.7</v>
      </c>
      <c r="H642" t="n">
        <v>0</v>
      </c>
      <c r="I642" t="n">
        <v>0</v>
      </c>
      <c r="J642" t="n">
        <v>0</v>
      </c>
      <c r="K642" t="n">
        <v>0</v>
      </c>
      <c r="L642" t="n">
        <v>0</v>
      </c>
      <c r="M642" t="n">
        <v>0</v>
      </c>
      <c r="N642" t="n">
        <v>0</v>
      </c>
      <c r="O642" t="n">
        <v>0</v>
      </c>
      <c r="P642" t="n">
        <v>0</v>
      </c>
      <c r="Q642" t="n">
        <v>0</v>
      </c>
      <c r="R642" s="2" t="inlineStr"/>
    </row>
    <row r="643" ht="15" customHeight="1">
      <c r="A643" t="inlineStr">
        <is>
          <t>A 53554-2023</t>
        </is>
      </c>
      <c r="B643" s="1" t="n">
        <v>45230</v>
      </c>
      <c r="C643" s="1" t="n">
        <v>45886</v>
      </c>
      <c r="D643" t="inlineStr">
        <is>
          <t>VÄRMLANDS LÄN</t>
        </is>
      </c>
      <c r="E643" t="inlineStr">
        <is>
          <t>ÅRJÄNG</t>
        </is>
      </c>
      <c r="G643" t="n">
        <v>0.5</v>
      </c>
      <c r="H643" t="n">
        <v>0</v>
      </c>
      <c r="I643" t="n">
        <v>0</v>
      </c>
      <c r="J643" t="n">
        <v>0</v>
      </c>
      <c r="K643" t="n">
        <v>0</v>
      </c>
      <c r="L643" t="n">
        <v>0</v>
      </c>
      <c r="M643" t="n">
        <v>0</v>
      </c>
      <c r="N643" t="n">
        <v>0</v>
      </c>
      <c r="O643" t="n">
        <v>0</v>
      </c>
      <c r="P643" t="n">
        <v>0</v>
      </c>
      <c r="Q643" t="n">
        <v>0</v>
      </c>
      <c r="R643" s="2" t="inlineStr"/>
    </row>
    <row r="644" ht="15" customHeight="1">
      <c r="A644" t="inlineStr">
        <is>
          <t>A 61545-2024</t>
        </is>
      </c>
      <c r="B644" s="1" t="n">
        <v>45646.59966435185</v>
      </c>
      <c r="C644" s="1" t="n">
        <v>45886</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56566-2022</t>
        </is>
      </c>
      <c r="B645" s="1" t="n">
        <v>44893.50795138889</v>
      </c>
      <c r="C645" s="1" t="n">
        <v>45886</v>
      </c>
      <c r="D645" t="inlineStr">
        <is>
          <t>VÄRMLANDS LÄN</t>
        </is>
      </c>
      <c r="E645" t="inlineStr">
        <is>
          <t>ÅRJÄNG</t>
        </is>
      </c>
      <c r="G645" t="n">
        <v>2.2</v>
      </c>
      <c r="H645" t="n">
        <v>0</v>
      </c>
      <c r="I645" t="n">
        <v>0</v>
      </c>
      <c r="J645" t="n">
        <v>0</v>
      </c>
      <c r="K645" t="n">
        <v>0</v>
      </c>
      <c r="L645" t="n">
        <v>0</v>
      </c>
      <c r="M645" t="n">
        <v>0</v>
      </c>
      <c r="N645" t="n">
        <v>0</v>
      </c>
      <c r="O645" t="n">
        <v>0</v>
      </c>
      <c r="P645" t="n">
        <v>0</v>
      </c>
      <c r="Q645" t="n">
        <v>0</v>
      </c>
      <c r="R645" s="2" t="inlineStr"/>
    </row>
    <row r="646" ht="15" customHeight="1">
      <c r="A646" t="inlineStr">
        <is>
          <t>A 37347-2024</t>
        </is>
      </c>
      <c r="B646" s="1" t="n">
        <v>45540</v>
      </c>
      <c r="C646" s="1" t="n">
        <v>45886</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28314-2025</t>
        </is>
      </c>
      <c r="B647" s="1" t="n">
        <v>45818.62592592592</v>
      </c>
      <c r="C647" s="1" t="n">
        <v>45886</v>
      </c>
      <c r="D647" t="inlineStr">
        <is>
          <t>VÄRMLANDS LÄN</t>
        </is>
      </c>
      <c r="E647" t="inlineStr">
        <is>
          <t>ÅRJÄNG</t>
        </is>
      </c>
      <c r="G647" t="n">
        <v>2.5</v>
      </c>
      <c r="H647" t="n">
        <v>0</v>
      </c>
      <c r="I647" t="n">
        <v>0</v>
      </c>
      <c r="J647" t="n">
        <v>0</v>
      </c>
      <c r="K647" t="n">
        <v>0</v>
      </c>
      <c r="L647" t="n">
        <v>0</v>
      </c>
      <c r="M647" t="n">
        <v>0</v>
      </c>
      <c r="N647" t="n">
        <v>0</v>
      </c>
      <c r="O647" t="n">
        <v>0</v>
      </c>
      <c r="P647" t="n">
        <v>0</v>
      </c>
      <c r="Q647" t="n">
        <v>0</v>
      </c>
      <c r="R647" s="2" t="inlineStr"/>
    </row>
    <row r="648" ht="15" customHeight="1">
      <c r="A648" t="inlineStr">
        <is>
          <t>A 34172-2024</t>
        </is>
      </c>
      <c r="B648" s="1" t="n">
        <v>45524</v>
      </c>
      <c r="C648" s="1" t="n">
        <v>45886</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55574-2023</t>
        </is>
      </c>
      <c r="B649" s="1" t="n">
        <v>45232</v>
      </c>
      <c r="C649" s="1" t="n">
        <v>45886</v>
      </c>
      <c r="D649" t="inlineStr">
        <is>
          <t>VÄRMLANDS LÄN</t>
        </is>
      </c>
      <c r="E649" t="inlineStr">
        <is>
          <t>ÅRJÄNG</t>
        </is>
      </c>
      <c r="G649" t="n">
        <v>9.1</v>
      </c>
      <c r="H649" t="n">
        <v>0</v>
      </c>
      <c r="I649" t="n">
        <v>0</v>
      </c>
      <c r="J649" t="n">
        <v>0</v>
      </c>
      <c r="K649" t="n">
        <v>0</v>
      </c>
      <c r="L649" t="n">
        <v>0</v>
      </c>
      <c r="M649" t="n">
        <v>0</v>
      </c>
      <c r="N649" t="n">
        <v>0</v>
      </c>
      <c r="O649" t="n">
        <v>0</v>
      </c>
      <c r="P649" t="n">
        <v>0</v>
      </c>
      <c r="Q649" t="n">
        <v>0</v>
      </c>
      <c r="R649" s="2" t="inlineStr"/>
    </row>
    <row r="650" ht="15" customHeight="1">
      <c r="A650" t="inlineStr">
        <is>
          <t>A 3729-2025</t>
        </is>
      </c>
      <c r="B650" s="1" t="n">
        <v>45681.5497800926</v>
      </c>
      <c r="C650" s="1" t="n">
        <v>45886</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7700-2023</t>
        </is>
      </c>
      <c r="B651" s="1" t="n">
        <v>44967</v>
      </c>
      <c r="C651" s="1" t="n">
        <v>45886</v>
      </c>
      <c r="D651" t="inlineStr">
        <is>
          <t>VÄRMLANDS LÄN</t>
        </is>
      </c>
      <c r="E651" t="inlineStr">
        <is>
          <t>ÅRJÄNG</t>
        </is>
      </c>
      <c r="F651" t="inlineStr">
        <is>
          <t>Övriga Aktiebolag</t>
        </is>
      </c>
      <c r="G651" t="n">
        <v>4.3</v>
      </c>
      <c r="H651" t="n">
        <v>0</v>
      </c>
      <c r="I651" t="n">
        <v>0</v>
      </c>
      <c r="J651" t="n">
        <v>0</v>
      </c>
      <c r="K651" t="n">
        <v>0</v>
      </c>
      <c r="L651" t="n">
        <v>0</v>
      </c>
      <c r="M651" t="n">
        <v>0</v>
      </c>
      <c r="N651" t="n">
        <v>0</v>
      </c>
      <c r="O651" t="n">
        <v>0</v>
      </c>
      <c r="P651" t="n">
        <v>0</v>
      </c>
      <c r="Q651" t="n">
        <v>0</v>
      </c>
      <c r="R651" s="2" t="inlineStr"/>
    </row>
    <row r="652" ht="15" customHeight="1">
      <c r="A652" t="inlineStr">
        <is>
          <t>A 37356-2024</t>
        </is>
      </c>
      <c r="B652" s="1" t="n">
        <v>45540</v>
      </c>
      <c r="C652" s="1" t="n">
        <v>45886</v>
      </c>
      <c r="D652" t="inlineStr">
        <is>
          <t>VÄRMLANDS LÄN</t>
        </is>
      </c>
      <c r="E652" t="inlineStr">
        <is>
          <t>ÅRJÄNG</t>
        </is>
      </c>
      <c r="G652" t="n">
        <v>3.4</v>
      </c>
      <c r="H652" t="n">
        <v>0</v>
      </c>
      <c r="I652" t="n">
        <v>0</v>
      </c>
      <c r="J652" t="n">
        <v>0</v>
      </c>
      <c r="K652" t="n">
        <v>0</v>
      </c>
      <c r="L652" t="n">
        <v>0</v>
      </c>
      <c r="M652" t="n">
        <v>0</v>
      </c>
      <c r="N652" t="n">
        <v>0</v>
      </c>
      <c r="O652" t="n">
        <v>0</v>
      </c>
      <c r="P652" t="n">
        <v>0</v>
      </c>
      <c r="Q652" t="n">
        <v>0</v>
      </c>
      <c r="R652" s="2" t="inlineStr"/>
    </row>
    <row r="653" ht="15" customHeight="1">
      <c r="A653" t="inlineStr">
        <is>
          <t>A 62720-2023</t>
        </is>
      </c>
      <c r="B653" s="1" t="n">
        <v>45271.5799537037</v>
      </c>
      <c r="C653" s="1" t="n">
        <v>45886</v>
      </c>
      <c r="D653" t="inlineStr">
        <is>
          <t>VÄRMLANDS LÄN</t>
        </is>
      </c>
      <c r="E653" t="inlineStr">
        <is>
          <t>ÅRJÄNG</t>
        </is>
      </c>
      <c r="G653" t="n">
        <v>0.8</v>
      </c>
      <c r="H653" t="n">
        <v>0</v>
      </c>
      <c r="I653" t="n">
        <v>0</v>
      </c>
      <c r="J653" t="n">
        <v>0</v>
      </c>
      <c r="K653" t="n">
        <v>0</v>
      </c>
      <c r="L653" t="n">
        <v>0</v>
      </c>
      <c r="M653" t="n">
        <v>0</v>
      </c>
      <c r="N653" t="n">
        <v>0</v>
      </c>
      <c r="O653" t="n">
        <v>0</v>
      </c>
      <c r="P653" t="n">
        <v>0</v>
      </c>
      <c r="Q653" t="n">
        <v>0</v>
      </c>
      <c r="R653" s="2" t="inlineStr"/>
    </row>
    <row r="654" ht="15" customHeight="1">
      <c r="A654" t="inlineStr">
        <is>
          <t>A 60207-2023</t>
        </is>
      </c>
      <c r="B654" s="1" t="n">
        <v>45257</v>
      </c>
      <c r="C654" s="1" t="n">
        <v>45886</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58434-2023</t>
        </is>
      </c>
      <c r="B655" s="1" t="n">
        <v>45250</v>
      </c>
      <c r="C655" s="1" t="n">
        <v>45886</v>
      </c>
      <c r="D655" t="inlineStr">
        <is>
          <t>VÄRMLANDS LÄN</t>
        </is>
      </c>
      <c r="E655" t="inlineStr">
        <is>
          <t>ÅRJÄNG</t>
        </is>
      </c>
      <c r="F655" t="inlineStr">
        <is>
          <t>Naturvårdsverket</t>
        </is>
      </c>
      <c r="G655" t="n">
        <v>3</v>
      </c>
      <c r="H655" t="n">
        <v>0</v>
      </c>
      <c r="I655" t="n">
        <v>0</v>
      </c>
      <c r="J655" t="n">
        <v>0</v>
      </c>
      <c r="K655" t="n">
        <v>0</v>
      </c>
      <c r="L655" t="n">
        <v>0</v>
      </c>
      <c r="M655" t="n">
        <v>0</v>
      </c>
      <c r="N655" t="n">
        <v>0</v>
      </c>
      <c r="O655" t="n">
        <v>0</v>
      </c>
      <c r="P655" t="n">
        <v>0</v>
      </c>
      <c r="Q655" t="n">
        <v>0</v>
      </c>
      <c r="R655" s="2" t="inlineStr"/>
    </row>
    <row r="656" ht="15" customHeight="1">
      <c r="A656" t="inlineStr">
        <is>
          <t>A 28115-2025</t>
        </is>
      </c>
      <c r="B656" s="1" t="n">
        <v>45818</v>
      </c>
      <c r="C656" s="1" t="n">
        <v>45886</v>
      </c>
      <c r="D656" t="inlineStr">
        <is>
          <t>VÄRMLANDS LÄN</t>
        </is>
      </c>
      <c r="E656" t="inlineStr">
        <is>
          <t>ÅRJÄNG</t>
        </is>
      </c>
      <c r="G656" t="n">
        <v>3</v>
      </c>
      <c r="H656" t="n">
        <v>0</v>
      </c>
      <c r="I656" t="n">
        <v>0</v>
      </c>
      <c r="J656" t="n">
        <v>0</v>
      </c>
      <c r="K656" t="n">
        <v>0</v>
      </c>
      <c r="L656" t="n">
        <v>0</v>
      </c>
      <c r="M656" t="n">
        <v>0</v>
      </c>
      <c r="N656" t="n">
        <v>0</v>
      </c>
      <c r="O656" t="n">
        <v>0</v>
      </c>
      <c r="P656" t="n">
        <v>0</v>
      </c>
      <c r="Q656" t="n">
        <v>0</v>
      </c>
      <c r="R656" s="2" t="inlineStr"/>
    </row>
    <row r="657" ht="15" customHeight="1">
      <c r="A657" t="inlineStr">
        <is>
          <t>A 39027-2024</t>
        </is>
      </c>
      <c r="B657" s="1" t="n">
        <v>45548</v>
      </c>
      <c r="C657" s="1" t="n">
        <v>45886</v>
      </c>
      <c r="D657" t="inlineStr">
        <is>
          <t>VÄRMLANDS LÄN</t>
        </is>
      </c>
      <c r="E657" t="inlineStr">
        <is>
          <t>ÅRJÄNG</t>
        </is>
      </c>
      <c r="F657" t="inlineStr">
        <is>
          <t>Kyrkan</t>
        </is>
      </c>
      <c r="G657" t="n">
        <v>3.6</v>
      </c>
      <c r="H657" t="n">
        <v>0</v>
      </c>
      <c r="I657" t="n">
        <v>0</v>
      </c>
      <c r="J657" t="n">
        <v>0</v>
      </c>
      <c r="K657" t="n">
        <v>0</v>
      </c>
      <c r="L657" t="n">
        <v>0</v>
      </c>
      <c r="M657" t="n">
        <v>0</v>
      </c>
      <c r="N657" t="n">
        <v>0</v>
      </c>
      <c r="O657" t="n">
        <v>0</v>
      </c>
      <c r="P657" t="n">
        <v>0</v>
      </c>
      <c r="Q657" t="n">
        <v>0</v>
      </c>
      <c r="R657" s="2" t="inlineStr"/>
    </row>
    <row r="658" ht="15" customHeight="1">
      <c r="A658" t="inlineStr">
        <is>
          <t>A 68328-2021</t>
        </is>
      </c>
      <c r="B658" s="1" t="n">
        <v>44527.35875</v>
      </c>
      <c r="C658" s="1" t="n">
        <v>45886</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8356-2025</t>
        </is>
      </c>
      <c r="B659" s="1" t="n">
        <v>45708.79752314815</v>
      </c>
      <c r="C659" s="1" t="n">
        <v>45886</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52741-2024</t>
        </is>
      </c>
      <c r="B660" s="1" t="n">
        <v>45610</v>
      </c>
      <c r="C660" s="1" t="n">
        <v>45886</v>
      </c>
      <c r="D660" t="inlineStr">
        <is>
          <t>VÄRMLANDS LÄN</t>
        </is>
      </c>
      <c r="E660" t="inlineStr">
        <is>
          <t>ÅRJÄNG</t>
        </is>
      </c>
      <c r="G660" t="n">
        <v>2.3</v>
      </c>
      <c r="H660" t="n">
        <v>0</v>
      </c>
      <c r="I660" t="n">
        <v>0</v>
      </c>
      <c r="J660" t="n">
        <v>0</v>
      </c>
      <c r="K660" t="n">
        <v>0</v>
      </c>
      <c r="L660" t="n">
        <v>0</v>
      </c>
      <c r="M660" t="n">
        <v>0</v>
      </c>
      <c r="N660" t="n">
        <v>0</v>
      </c>
      <c r="O660" t="n">
        <v>0</v>
      </c>
      <c r="P660" t="n">
        <v>0</v>
      </c>
      <c r="Q660" t="n">
        <v>0</v>
      </c>
      <c r="R660" s="2" t="inlineStr"/>
    </row>
    <row r="661" ht="15" customHeight="1">
      <c r="A661" t="inlineStr">
        <is>
          <t>A 44934-2024</t>
        </is>
      </c>
      <c r="B661" s="1" t="n">
        <v>45575</v>
      </c>
      <c r="C661" s="1" t="n">
        <v>45886</v>
      </c>
      <c r="D661" t="inlineStr">
        <is>
          <t>VÄRMLANDS LÄN</t>
        </is>
      </c>
      <c r="E661" t="inlineStr">
        <is>
          <t>ÅRJÄNG</t>
        </is>
      </c>
      <c r="F661" t="inlineStr">
        <is>
          <t>Bergvik skog väst AB</t>
        </is>
      </c>
      <c r="G661" t="n">
        <v>1.3</v>
      </c>
      <c r="H661" t="n">
        <v>0</v>
      </c>
      <c r="I661" t="n">
        <v>0</v>
      </c>
      <c r="J661" t="n">
        <v>0</v>
      </c>
      <c r="K661" t="n">
        <v>0</v>
      </c>
      <c r="L661" t="n">
        <v>0</v>
      </c>
      <c r="M661" t="n">
        <v>0</v>
      </c>
      <c r="N661" t="n">
        <v>0</v>
      </c>
      <c r="O661" t="n">
        <v>0</v>
      </c>
      <c r="P661" t="n">
        <v>0</v>
      </c>
      <c r="Q661" t="n">
        <v>0</v>
      </c>
      <c r="R661" s="2" t="inlineStr"/>
    </row>
    <row r="662" ht="15" customHeight="1">
      <c r="A662" t="inlineStr">
        <is>
          <t>A 35414-2025</t>
        </is>
      </c>
      <c r="B662" s="1" t="n">
        <v>45855</v>
      </c>
      <c r="C662" s="1" t="n">
        <v>45886</v>
      </c>
      <c r="D662" t="inlineStr">
        <is>
          <t>VÄRMLANDS LÄN</t>
        </is>
      </c>
      <c r="E662" t="inlineStr">
        <is>
          <t>ÅRJÄNG</t>
        </is>
      </c>
      <c r="F662" t="inlineStr">
        <is>
          <t>Bergvik skog väst AB</t>
        </is>
      </c>
      <c r="G662" t="n">
        <v>6.8</v>
      </c>
      <c r="H662" t="n">
        <v>0</v>
      </c>
      <c r="I662" t="n">
        <v>0</v>
      </c>
      <c r="J662" t="n">
        <v>0</v>
      </c>
      <c r="K662" t="n">
        <v>0</v>
      </c>
      <c r="L662" t="n">
        <v>0</v>
      </c>
      <c r="M662" t="n">
        <v>0</v>
      </c>
      <c r="N662" t="n">
        <v>0</v>
      </c>
      <c r="O662" t="n">
        <v>0</v>
      </c>
      <c r="P662" t="n">
        <v>0</v>
      </c>
      <c r="Q662" t="n">
        <v>0</v>
      </c>
      <c r="R662" s="2" t="inlineStr"/>
    </row>
    <row r="663" ht="15" customHeight="1">
      <c r="A663" t="inlineStr">
        <is>
          <t>A 18256-2024</t>
        </is>
      </c>
      <c r="B663" s="1" t="n">
        <v>45421.52498842592</v>
      </c>
      <c r="C663" s="1" t="n">
        <v>45886</v>
      </c>
      <c r="D663" t="inlineStr">
        <is>
          <t>VÄRMLANDS LÄN</t>
        </is>
      </c>
      <c r="E663" t="inlineStr">
        <is>
          <t>ÅRJÄNG</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43794-2024</t>
        </is>
      </c>
      <c r="B664" s="1" t="n">
        <v>45571.53519675926</v>
      </c>
      <c r="C664" s="1" t="n">
        <v>45886</v>
      </c>
      <c r="D664" t="inlineStr">
        <is>
          <t>VÄRMLANDS LÄN</t>
        </is>
      </c>
      <c r="E664" t="inlineStr">
        <is>
          <t>ÅRJÄNG</t>
        </is>
      </c>
      <c r="G664" t="n">
        <v>0.6</v>
      </c>
      <c r="H664" t="n">
        <v>0</v>
      </c>
      <c r="I664" t="n">
        <v>0</v>
      </c>
      <c r="J664" t="n">
        <v>0</v>
      </c>
      <c r="K664" t="n">
        <v>0</v>
      </c>
      <c r="L664" t="n">
        <v>0</v>
      </c>
      <c r="M664" t="n">
        <v>0</v>
      </c>
      <c r="N664" t="n">
        <v>0</v>
      </c>
      <c r="O664" t="n">
        <v>0</v>
      </c>
      <c r="P664" t="n">
        <v>0</v>
      </c>
      <c r="Q664" t="n">
        <v>0</v>
      </c>
      <c r="R664" s="2" t="inlineStr"/>
    </row>
    <row r="665" ht="15" customHeight="1">
      <c r="A665" t="inlineStr">
        <is>
          <t>A 4408-2025</t>
        </is>
      </c>
      <c r="B665" s="1" t="n">
        <v>45686</v>
      </c>
      <c r="C665" s="1" t="n">
        <v>45886</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33738-2021</t>
        </is>
      </c>
      <c r="B666" s="1" t="n">
        <v>44378.48505787037</v>
      </c>
      <c r="C666" s="1" t="n">
        <v>45886</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38065-2024</t>
        </is>
      </c>
      <c r="B667" s="1" t="n">
        <v>45544.8249537037</v>
      </c>
      <c r="C667" s="1" t="n">
        <v>45886</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9749-2024</t>
        </is>
      </c>
      <c r="B668" s="1" t="n">
        <v>45362</v>
      </c>
      <c r="C668" s="1" t="n">
        <v>45886</v>
      </c>
      <c r="D668" t="inlineStr">
        <is>
          <t>VÄRMLANDS LÄN</t>
        </is>
      </c>
      <c r="E668" t="inlineStr">
        <is>
          <t>ÅRJÄNG</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8614-2023</t>
        </is>
      </c>
      <c r="B669" s="1" t="n">
        <v>44977</v>
      </c>
      <c r="C669" s="1" t="n">
        <v>45886</v>
      </c>
      <c r="D669" t="inlineStr">
        <is>
          <t>VÄRMLANDS LÄN</t>
        </is>
      </c>
      <c r="E669" t="inlineStr">
        <is>
          <t>ÅRJÄNG</t>
        </is>
      </c>
      <c r="G669" t="n">
        <v>3.8</v>
      </c>
      <c r="H669" t="n">
        <v>0</v>
      </c>
      <c r="I669" t="n">
        <v>0</v>
      </c>
      <c r="J669" t="n">
        <v>0</v>
      </c>
      <c r="K669" t="n">
        <v>0</v>
      </c>
      <c r="L669" t="n">
        <v>0</v>
      </c>
      <c r="M669" t="n">
        <v>0</v>
      </c>
      <c r="N669" t="n">
        <v>0</v>
      </c>
      <c r="O669" t="n">
        <v>0</v>
      </c>
      <c r="P669" t="n">
        <v>0</v>
      </c>
      <c r="Q669" t="n">
        <v>0</v>
      </c>
      <c r="R669" s="2" t="inlineStr"/>
    </row>
    <row r="670" ht="15" customHeight="1">
      <c r="A670" t="inlineStr">
        <is>
          <t>A 1571-2025</t>
        </is>
      </c>
      <c r="B670" s="1" t="n">
        <v>45670.55496527778</v>
      </c>
      <c r="C670" s="1" t="n">
        <v>45886</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24477-2022</t>
        </is>
      </c>
      <c r="B671" s="1" t="n">
        <v>44726.65575231481</v>
      </c>
      <c r="C671" s="1" t="n">
        <v>45886</v>
      </c>
      <c r="D671" t="inlineStr">
        <is>
          <t>VÄRMLANDS LÄN</t>
        </is>
      </c>
      <c r="E671" t="inlineStr">
        <is>
          <t>ÅRJÄNG</t>
        </is>
      </c>
      <c r="G671" t="n">
        <v>2.2</v>
      </c>
      <c r="H671" t="n">
        <v>0</v>
      </c>
      <c r="I671" t="n">
        <v>0</v>
      </c>
      <c r="J671" t="n">
        <v>0</v>
      </c>
      <c r="K671" t="n">
        <v>0</v>
      </c>
      <c r="L671" t="n">
        <v>0</v>
      </c>
      <c r="M671" t="n">
        <v>0</v>
      </c>
      <c r="N671" t="n">
        <v>0</v>
      </c>
      <c r="O671" t="n">
        <v>0</v>
      </c>
      <c r="P671" t="n">
        <v>0</v>
      </c>
      <c r="Q671" t="n">
        <v>0</v>
      </c>
      <c r="R671" s="2" t="inlineStr"/>
    </row>
    <row r="672" ht="15" customHeight="1">
      <c r="A672" t="inlineStr">
        <is>
          <t>A 40458-2023</t>
        </is>
      </c>
      <c r="B672" s="1" t="n">
        <v>45170.32993055556</v>
      </c>
      <c r="C672" s="1" t="n">
        <v>45886</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33525-2023</t>
        </is>
      </c>
      <c r="B673" s="1" t="n">
        <v>45131.51326388889</v>
      </c>
      <c r="C673" s="1" t="n">
        <v>45886</v>
      </c>
      <c r="D673" t="inlineStr">
        <is>
          <t>VÄRMLANDS LÄN</t>
        </is>
      </c>
      <c r="E673" t="inlineStr">
        <is>
          <t>ÅRJÄNG</t>
        </is>
      </c>
      <c r="G673" t="n">
        <v>10.2</v>
      </c>
      <c r="H673" t="n">
        <v>0</v>
      </c>
      <c r="I673" t="n">
        <v>0</v>
      </c>
      <c r="J673" t="n">
        <v>0</v>
      </c>
      <c r="K673" t="n">
        <v>0</v>
      </c>
      <c r="L673" t="n">
        <v>0</v>
      </c>
      <c r="M673" t="n">
        <v>0</v>
      </c>
      <c r="N673" t="n">
        <v>0</v>
      </c>
      <c r="O673" t="n">
        <v>0</v>
      </c>
      <c r="P673" t="n">
        <v>0</v>
      </c>
      <c r="Q673" t="n">
        <v>0</v>
      </c>
      <c r="R673" s="2" t="inlineStr"/>
    </row>
    <row r="674" ht="15" customHeight="1">
      <c r="A674" t="inlineStr">
        <is>
          <t>A 46441-2023</t>
        </is>
      </c>
      <c r="B674" s="1" t="n">
        <v>45197</v>
      </c>
      <c r="C674" s="1" t="n">
        <v>45886</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28874-2025</t>
        </is>
      </c>
      <c r="B675" s="1" t="n">
        <v>45820</v>
      </c>
      <c r="C675" s="1" t="n">
        <v>45886</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34163-2025</t>
        </is>
      </c>
      <c r="B676" s="1" t="n">
        <v>45844</v>
      </c>
      <c r="C676" s="1" t="n">
        <v>45886</v>
      </c>
      <c r="D676" t="inlineStr">
        <is>
          <t>VÄRMLANDS LÄN</t>
        </is>
      </c>
      <c r="E676" t="inlineStr">
        <is>
          <t>ÅRJÄNG</t>
        </is>
      </c>
      <c r="G676" t="n">
        <v>4.5</v>
      </c>
      <c r="H676" t="n">
        <v>0</v>
      </c>
      <c r="I676" t="n">
        <v>0</v>
      </c>
      <c r="J676" t="n">
        <v>0</v>
      </c>
      <c r="K676" t="n">
        <v>0</v>
      </c>
      <c r="L676" t="n">
        <v>0</v>
      </c>
      <c r="M676" t="n">
        <v>0</v>
      </c>
      <c r="N676" t="n">
        <v>0</v>
      </c>
      <c r="O676" t="n">
        <v>0</v>
      </c>
      <c r="P676" t="n">
        <v>0</v>
      </c>
      <c r="Q676" t="n">
        <v>0</v>
      </c>
      <c r="R676" s="2" t="inlineStr"/>
    </row>
    <row r="677" ht="15" customHeight="1">
      <c r="A677" t="inlineStr">
        <is>
          <t>A 34840-2025</t>
        </is>
      </c>
      <c r="B677" s="1" t="n">
        <v>45849</v>
      </c>
      <c r="C677" s="1" t="n">
        <v>45886</v>
      </c>
      <c r="D677" t="inlineStr">
        <is>
          <t>VÄRMLANDS LÄN</t>
        </is>
      </c>
      <c r="E677" t="inlineStr">
        <is>
          <t>ÅRJÄNG</t>
        </is>
      </c>
      <c r="G677" t="n">
        <v>2.3</v>
      </c>
      <c r="H677" t="n">
        <v>0</v>
      </c>
      <c r="I677" t="n">
        <v>0</v>
      </c>
      <c r="J677" t="n">
        <v>0</v>
      </c>
      <c r="K677" t="n">
        <v>0</v>
      </c>
      <c r="L677" t="n">
        <v>0</v>
      </c>
      <c r="M677" t="n">
        <v>0</v>
      </c>
      <c r="N677" t="n">
        <v>0</v>
      </c>
      <c r="O677" t="n">
        <v>0</v>
      </c>
      <c r="P677" t="n">
        <v>0</v>
      </c>
      <c r="Q677" t="n">
        <v>0</v>
      </c>
      <c r="R677" s="2" t="inlineStr"/>
    </row>
    <row r="678" ht="15" customHeight="1">
      <c r="A678" t="inlineStr">
        <is>
          <t>A 28690-2025</t>
        </is>
      </c>
      <c r="B678" s="1" t="n">
        <v>45819.73236111111</v>
      </c>
      <c r="C678" s="1" t="n">
        <v>45886</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28711-2025</t>
        </is>
      </c>
      <c r="B679" s="1" t="n">
        <v>45820.33701388889</v>
      </c>
      <c r="C679" s="1" t="n">
        <v>45886</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59352-2022</t>
        </is>
      </c>
      <c r="B680" s="1" t="n">
        <v>44904.7077199074</v>
      </c>
      <c r="C680" s="1" t="n">
        <v>45886</v>
      </c>
      <c r="D680" t="inlineStr">
        <is>
          <t>VÄRMLANDS LÄN</t>
        </is>
      </c>
      <c r="E680" t="inlineStr">
        <is>
          <t>ÅRJÄNG</t>
        </is>
      </c>
      <c r="G680" t="n">
        <v>9.6</v>
      </c>
      <c r="H680" t="n">
        <v>0</v>
      </c>
      <c r="I680" t="n">
        <v>0</v>
      </c>
      <c r="J680" t="n">
        <v>0</v>
      </c>
      <c r="K680" t="n">
        <v>0</v>
      </c>
      <c r="L680" t="n">
        <v>0</v>
      </c>
      <c r="M680" t="n">
        <v>0</v>
      </c>
      <c r="N680" t="n">
        <v>0</v>
      </c>
      <c r="O680" t="n">
        <v>0</v>
      </c>
      <c r="P680" t="n">
        <v>0</v>
      </c>
      <c r="Q680" t="n">
        <v>0</v>
      </c>
      <c r="R680" s="2" t="inlineStr"/>
    </row>
    <row r="681" ht="15" customHeight="1">
      <c r="A681" t="inlineStr">
        <is>
          <t>A 1115-2024</t>
        </is>
      </c>
      <c r="B681" s="1" t="n">
        <v>45302</v>
      </c>
      <c r="C681" s="1" t="n">
        <v>45886</v>
      </c>
      <c r="D681" t="inlineStr">
        <is>
          <t>VÄRMLANDS LÄN</t>
        </is>
      </c>
      <c r="E681" t="inlineStr">
        <is>
          <t>ÅRJÄNG</t>
        </is>
      </c>
      <c r="G681" t="n">
        <v>0.6</v>
      </c>
      <c r="H681" t="n">
        <v>0</v>
      </c>
      <c r="I681" t="n">
        <v>0</v>
      </c>
      <c r="J681" t="n">
        <v>0</v>
      </c>
      <c r="K681" t="n">
        <v>0</v>
      </c>
      <c r="L681" t="n">
        <v>0</v>
      </c>
      <c r="M681" t="n">
        <v>0</v>
      </c>
      <c r="N681" t="n">
        <v>0</v>
      </c>
      <c r="O681" t="n">
        <v>0</v>
      </c>
      <c r="P681" t="n">
        <v>0</v>
      </c>
      <c r="Q681" t="n">
        <v>0</v>
      </c>
      <c r="R681" s="2" t="inlineStr"/>
    </row>
    <row r="682" ht="15" customHeight="1">
      <c r="A682" t="inlineStr">
        <is>
          <t>A 48453-2023</t>
        </is>
      </c>
      <c r="B682" s="1" t="n">
        <v>45206.4346412037</v>
      </c>
      <c r="C682" s="1" t="n">
        <v>45886</v>
      </c>
      <c r="D682" t="inlineStr">
        <is>
          <t>VÄRMLANDS LÄN</t>
        </is>
      </c>
      <c r="E682" t="inlineStr">
        <is>
          <t>ÅRJÄNG</t>
        </is>
      </c>
      <c r="G682" t="n">
        <v>3.5</v>
      </c>
      <c r="H682" t="n">
        <v>0</v>
      </c>
      <c r="I682" t="n">
        <v>0</v>
      </c>
      <c r="J682" t="n">
        <v>0</v>
      </c>
      <c r="K682" t="n">
        <v>0</v>
      </c>
      <c r="L682" t="n">
        <v>0</v>
      </c>
      <c r="M682" t="n">
        <v>0</v>
      </c>
      <c r="N682" t="n">
        <v>0</v>
      </c>
      <c r="O682" t="n">
        <v>0</v>
      </c>
      <c r="P682" t="n">
        <v>0</v>
      </c>
      <c r="Q682" t="n">
        <v>0</v>
      </c>
      <c r="R682" s="2" t="inlineStr"/>
    </row>
    <row r="683" ht="15" customHeight="1">
      <c r="A683" t="inlineStr">
        <is>
          <t>A 28797-2025</t>
        </is>
      </c>
      <c r="B683" s="1" t="n">
        <v>45820.48179398148</v>
      </c>
      <c r="C683" s="1" t="n">
        <v>45886</v>
      </c>
      <c r="D683" t="inlineStr">
        <is>
          <t>VÄRMLANDS LÄN</t>
        </is>
      </c>
      <c r="E683" t="inlineStr">
        <is>
          <t>ÅRJÄNG</t>
        </is>
      </c>
      <c r="G683" t="n">
        <v>3</v>
      </c>
      <c r="H683" t="n">
        <v>0</v>
      </c>
      <c r="I683" t="n">
        <v>0</v>
      </c>
      <c r="J683" t="n">
        <v>0</v>
      </c>
      <c r="K683" t="n">
        <v>0</v>
      </c>
      <c r="L683" t="n">
        <v>0</v>
      </c>
      <c r="M683" t="n">
        <v>0</v>
      </c>
      <c r="N683" t="n">
        <v>0</v>
      </c>
      <c r="O683" t="n">
        <v>0</v>
      </c>
      <c r="P683" t="n">
        <v>0</v>
      </c>
      <c r="Q683" t="n">
        <v>0</v>
      </c>
      <c r="R683" s="2" t="inlineStr"/>
    </row>
    <row r="684" ht="15" customHeight="1">
      <c r="A684" t="inlineStr">
        <is>
          <t>A 34831-2025</t>
        </is>
      </c>
      <c r="B684" s="1" t="n">
        <v>45849</v>
      </c>
      <c r="C684" s="1" t="n">
        <v>45886</v>
      </c>
      <c r="D684" t="inlineStr">
        <is>
          <t>VÄRMLANDS LÄN</t>
        </is>
      </c>
      <c r="E684" t="inlineStr">
        <is>
          <t>ÅRJÄNG</t>
        </is>
      </c>
      <c r="G684" t="n">
        <v>5.4</v>
      </c>
      <c r="H684" t="n">
        <v>0</v>
      </c>
      <c r="I684" t="n">
        <v>0</v>
      </c>
      <c r="J684" t="n">
        <v>0</v>
      </c>
      <c r="K684" t="n">
        <v>0</v>
      </c>
      <c r="L684" t="n">
        <v>0</v>
      </c>
      <c r="M684" t="n">
        <v>0</v>
      </c>
      <c r="N684" t="n">
        <v>0</v>
      </c>
      <c r="O684" t="n">
        <v>0</v>
      </c>
      <c r="P684" t="n">
        <v>0</v>
      </c>
      <c r="Q684" t="n">
        <v>0</v>
      </c>
      <c r="R684" s="2" t="inlineStr"/>
    </row>
    <row r="685" ht="15" customHeight="1">
      <c r="A685" t="inlineStr">
        <is>
          <t>A 28793-2025</t>
        </is>
      </c>
      <c r="B685" s="1" t="n">
        <v>45820.47452546296</v>
      </c>
      <c r="C685" s="1" t="n">
        <v>45886</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59784-2023</t>
        </is>
      </c>
      <c r="B686" s="1" t="n">
        <v>45257</v>
      </c>
      <c r="C686" s="1" t="n">
        <v>45886</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59801-2023</t>
        </is>
      </c>
      <c r="B687" s="1" t="n">
        <v>45254</v>
      </c>
      <c r="C687" s="1" t="n">
        <v>45886</v>
      </c>
      <c r="D687" t="inlineStr">
        <is>
          <t>VÄRMLANDS LÄN</t>
        </is>
      </c>
      <c r="E687" t="inlineStr">
        <is>
          <t>ÅRJÄNG</t>
        </is>
      </c>
      <c r="G687" t="n">
        <v>13.8</v>
      </c>
      <c r="H687" t="n">
        <v>0</v>
      </c>
      <c r="I687" t="n">
        <v>0</v>
      </c>
      <c r="J687" t="n">
        <v>0</v>
      </c>
      <c r="K687" t="n">
        <v>0</v>
      </c>
      <c r="L687" t="n">
        <v>0</v>
      </c>
      <c r="M687" t="n">
        <v>0</v>
      </c>
      <c r="N687" t="n">
        <v>0</v>
      </c>
      <c r="O687" t="n">
        <v>0</v>
      </c>
      <c r="P687" t="n">
        <v>0</v>
      </c>
      <c r="Q687" t="n">
        <v>0</v>
      </c>
      <c r="R687" s="2" t="inlineStr"/>
    </row>
    <row r="688" ht="15" customHeight="1">
      <c r="A688" t="inlineStr">
        <is>
          <t>A 28790-2025</t>
        </is>
      </c>
      <c r="B688" s="1" t="n">
        <v>45820.47377314815</v>
      </c>
      <c r="C688" s="1" t="n">
        <v>45886</v>
      </c>
      <c r="D688" t="inlineStr">
        <is>
          <t>VÄRMLANDS LÄN</t>
        </is>
      </c>
      <c r="E688" t="inlineStr">
        <is>
          <t>ÅRJÄNG</t>
        </is>
      </c>
      <c r="G688" t="n">
        <v>2.6</v>
      </c>
      <c r="H688" t="n">
        <v>0</v>
      </c>
      <c r="I688" t="n">
        <v>0</v>
      </c>
      <c r="J688" t="n">
        <v>0</v>
      </c>
      <c r="K688" t="n">
        <v>0</v>
      </c>
      <c r="L688" t="n">
        <v>0</v>
      </c>
      <c r="M688" t="n">
        <v>0</v>
      </c>
      <c r="N688" t="n">
        <v>0</v>
      </c>
      <c r="O688" t="n">
        <v>0</v>
      </c>
      <c r="P688" t="n">
        <v>0</v>
      </c>
      <c r="Q688" t="n">
        <v>0</v>
      </c>
      <c r="R688" s="2" t="inlineStr"/>
    </row>
    <row r="689" ht="15" customHeight="1">
      <c r="A689" t="inlineStr">
        <is>
          <t>A 28948-2025</t>
        </is>
      </c>
      <c r="B689" s="1" t="n">
        <v>45820</v>
      </c>
      <c r="C689" s="1" t="n">
        <v>45886</v>
      </c>
      <c r="D689" t="inlineStr">
        <is>
          <t>VÄRMLANDS LÄN</t>
        </is>
      </c>
      <c r="E689" t="inlineStr">
        <is>
          <t>ÅRJÄNG</t>
        </is>
      </c>
      <c r="G689" t="n">
        <v>0.6</v>
      </c>
      <c r="H689" t="n">
        <v>0</v>
      </c>
      <c r="I689" t="n">
        <v>0</v>
      </c>
      <c r="J689" t="n">
        <v>0</v>
      </c>
      <c r="K689" t="n">
        <v>0</v>
      </c>
      <c r="L689" t="n">
        <v>0</v>
      </c>
      <c r="M689" t="n">
        <v>0</v>
      </c>
      <c r="N689" t="n">
        <v>0</v>
      </c>
      <c r="O689" t="n">
        <v>0</v>
      </c>
      <c r="P689" t="n">
        <v>0</v>
      </c>
      <c r="Q689" t="n">
        <v>0</v>
      </c>
      <c r="R689" s="2" t="inlineStr"/>
    </row>
    <row r="690" ht="15" customHeight="1">
      <c r="A690" t="inlineStr">
        <is>
          <t>A 28949-2025</t>
        </is>
      </c>
      <c r="B690" s="1" t="n">
        <v>45820</v>
      </c>
      <c r="C690" s="1" t="n">
        <v>45886</v>
      </c>
      <c r="D690" t="inlineStr">
        <is>
          <t>VÄRMLANDS LÄN</t>
        </is>
      </c>
      <c r="E690" t="inlineStr">
        <is>
          <t>ÅRJÄNG</t>
        </is>
      </c>
      <c r="G690" t="n">
        <v>0.3</v>
      </c>
      <c r="H690" t="n">
        <v>0</v>
      </c>
      <c r="I690" t="n">
        <v>0</v>
      </c>
      <c r="J690" t="n">
        <v>0</v>
      </c>
      <c r="K690" t="n">
        <v>0</v>
      </c>
      <c r="L690" t="n">
        <v>0</v>
      </c>
      <c r="M690" t="n">
        <v>0</v>
      </c>
      <c r="N690" t="n">
        <v>0</v>
      </c>
      <c r="O690" t="n">
        <v>0</v>
      </c>
      <c r="P690" t="n">
        <v>0</v>
      </c>
      <c r="Q690" t="n">
        <v>0</v>
      </c>
      <c r="R690" s="2" t="inlineStr"/>
    </row>
    <row r="691" ht="15" customHeight="1">
      <c r="A691" t="inlineStr">
        <is>
          <t>A 27311-2022</t>
        </is>
      </c>
      <c r="B691" s="1" t="n">
        <v>44728</v>
      </c>
      <c r="C691" s="1" t="n">
        <v>45886</v>
      </c>
      <c r="D691" t="inlineStr">
        <is>
          <t>VÄRMLANDS LÄN</t>
        </is>
      </c>
      <c r="E691" t="inlineStr">
        <is>
          <t>ÅRJÄNG</t>
        </is>
      </c>
      <c r="G691" t="n">
        <v>3.5</v>
      </c>
      <c r="H691" t="n">
        <v>0</v>
      </c>
      <c r="I691" t="n">
        <v>0</v>
      </c>
      <c r="J691" t="n">
        <v>0</v>
      </c>
      <c r="K691" t="n">
        <v>0</v>
      </c>
      <c r="L691" t="n">
        <v>0</v>
      </c>
      <c r="M691" t="n">
        <v>0</v>
      </c>
      <c r="N691" t="n">
        <v>0</v>
      </c>
      <c r="O691" t="n">
        <v>0</v>
      </c>
      <c r="P691" t="n">
        <v>0</v>
      </c>
      <c r="Q691" t="n">
        <v>0</v>
      </c>
      <c r="R691" s="2" t="inlineStr"/>
    </row>
    <row r="692" ht="15" customHeight="1">
      <c r="A692" t="inlineStr">
        <is>
          <t>A 16010-2024</t>
        </is>
      </c>
      <c r="B692" s="1" t="n">
        <v>45405</v>
      </c>
      <c r="C692" s="1" t="n">
        <v>45886</v>
      </c>
      <c r="D692" t="inlineStr">
        <is>
          <t>VÄRMLANDS LÄN</t>
        </is>
      </c>
      <c r="E692" t="inlineStr">
        <is>
          <t>ÅRJÄNG</t>
        </is>
      </c>
      <c r="G692" t="n">
        <v>4.6</v>
      </c>
      <c r="H692" t="n">
        <v>0</v>
      </c>
      <c r="I692" t="n">
        <v>0</v>
      </c>
      <c r="J692" t="n">
        <v>0</v>
      </c>
      <c r="K692" t="n">
        <v>0</v>
      </c>
      <c r="L692" t="n">
        <v>0</v>
      </c>
      <c r="M692" t="n">
        <v>0</v>
      </c>
      <c r="N692" t="n">
        <v>0</v>
      </c>
      <c r="O692" t="n">
        <v>0</v>
      </c>
      <c r="P692" t="n">
        <v>0</v>
      </c>
      <c r="Q692" t="n">
        <v>0</v>
      </c>
      <c r="R692" s="2" t="inlineStr"/>
    </row>
    <row r="693" ht="15" customHeight="1">
      <c r="A693" t="inlineStr">
        <is>
          <t>A 28710-2025</t>
        </is>
      </c>
      <c r="B693" s="1" t="n">
        <v>45820.32953703704</v>
      </c>
      <c r="C693" s="1" t="n">
        <v>45886</v>
      </c>
      <c r="D693" t="inlineStr">
        <is>
          <t>VÄRMLANDS LÄN</t>
        </is>
      </c>
      <c r="E693" t="inlineStr">
        <is>
          <t>ÅRJÄNG</t>
        </is>
      </c>
      <c r="G693" t="n">
        <v>1.2</v>
      </c>
      <c r="H693" t="n">
        <v>0</v>
      </c>
      <c r="I693" t="n">
        <v>0</v>
      </c>
      <c r="J693" t="n">
        <v>0</v>
      </c>
      <c r="K693" t="n">
        <v>0</v>
      </c>
      <c r="L693" t="n">
        <v>0</v>
      </c>
      <c r="M693" t="n">
        <v>0</v>
      </c>
      <c r="N693" t="n">
        <v>0</v>
      </c>
      <c r="O693" t="n">
        <v>0</v>
      </c>
      <c r="P693" t="n">
        <v>0</v>
      </c>
      <c r="Q693" t="n">
        <v>0</v>
      </c>
      <c r="R693" s="2" t="inlineStr"/>
    </row>
    <row r="694" ht="15" customHeight="1">
      <c r="A694" t="inlineStr">
        <is>
          <t>A 62966-2023</t>
        </is>
      </c>
      <c r="B694" s="1" t="n">
        <v>45272.57006944445</v>
      </c>
      <c r="C694" s="1" t="n">
        <v>45886</v>
      </c>
      <c r="D694" t="inlineStr">
        <is>
          <t>VÄRMLANDS LÄN</t>
        </is>
      </c>
      <c r="E694" t="inlineStr">
        <is>
          <t>ÅRJÄNG</t>
        </is>
      </c>
      <c r="G694" t="n">
        <v>4.5</v>
      </c>
      <c r="H694" t="n">
        <v>0</v>
      </c>
      <c r="I694" t="n">
        <v>0</v>
      </c>
      <c r="J694" t="n">
        <v>0</v>
      </c>
      <c r="K694" t="n">
        <v>0</v>
      </c>
      <c r="L694" t="n">
        <v>0</v>
      </c>
      <c r="M694" t="n">
        <v>0</v>
      </c>
      <c r="N694" t="n">
        <v>0</v>
      </c>
      <c r="O694" t="n">
        <v>0</v>
      </c>
      <c r="P694" t="n">
        <v>0</v>
      </c>
      <c r="Q694" t="n">
        <v>0</v>
      </c>
      <c r="R694" s="2" t="inlineStr"/>
    </row>
    <row r="695" ht="15" customHeight="1">
      <c r="A695" t="inlineStr">
        <is>
          <t>A 28554-2025</t>
        </is>
      </c>
      <c r="B695" s="1" t="n">
        <v>45819.53761574074</v>
      </c>
      <c r="C695" s="1" t="n">
        <v>45886</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1200-2023</t>
        </is>
      </c>
      <c r="B696" s="1" t="n">
        <v>44935</v>
      </c>
      <c r="C696" s="1" t="n">
        <v>45886</v>
      </c>
      <c r="D696" t="inlineStr">
        <is>
          <t>VÄRMLANDS LÄN</t>
        </is>
      </c>
      <c r="E696" t="inlineStr">
        <is>
          <t>ÅRJÄNG</t>
        </is>
      </c>
      <c r="G696" t="n">
        <v>1.5</v>
      </c>
      <c r="H696" t="n">
        <v>0</v>
      </c>
      <c r="I696" t="n">
        <v>0</v>
      </c>
      <c r="J696" t="n">
        <v>0</v>
      </c>
      <c r="K696" t="n">
        <v>0</v>
      </c>
      <c r="L696" t="n">
        <v>0</v>
      </c>
      <c r="M696" t="n">
        <v>0</v>
      </c>
      <c r="N696" t="n">
        <v>0</v>
      </c>
      <c r="O696" t="n">
        <v>0</v>
      </c>
      <c r="P696" t="n">
        <v>0</v>
      </c>
      <c r="Q696" t="n">
        <v>0</v>
      </c>
      <c r="R696" s="2" t="inlineStr"/>
    </row>
    <row r="697" ht="15" customHeight="1">
      <c r="A697" t="inlineStr">
        <is>
          <t>A 29136-2025</t>
        </is>
      </c>
      <c r="B697" s="1" t="n">
        <v>45821</v>
      </c>
      <c r="C697" s="1" t="n">
        <v>45886</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29138-2025</t>
        </is>
      </c>
      <c r="B698" s="1" t="n">
        <v>45821</v>
      </c>
      <c r="C698" s="1" t="n">
        <v>45886</v>
      </c>
      <c r="D698" t="inlineStr">
        <is>
          <t>VÄRMLANDS LÄN</t>
        </is>
      </c>
      <c r="E698" t="inlineStr">
        <is>
          <t>ÅRJÄNG</t>
        </is>
      </c>
      <c r="G698" t="n">
        <v>1.1</v>
      </c>
      <c r="H698" t="n">
        <v>0</v>
      </c>
      <c r="I698" t="n">
        <v>0</v>
      </c>
      <c r="J698" t="n">
        <v>0</v>
      </c>
      <c r="K698" t="n">
        <v>0</v>
      </c>
      <c r="L698" t="n">
        <v>0</v>
      </c>
      <c r="M698" t="n">
        <v>0</v>
      </c>
      <c r="N698" t="n">
        <v>0</v>
      </c>
      <c r="O698" t="n">
        <v>0</v>
      </c>
      <c r="P698" t="n">
        <v>0</v>
      </c>
      <c r="Q698" t="n">
        <v>0</v>
      </c>
      <c r="R698" s="2" t="inlineStr"/>
    </row>
    <row r="699" ht="15" customHeight="1">
      <c r="A699" t="inlineStr">
        <is>
          <t>A 29146-2025</t>
        </is>
      </c>
      <c r="B699" s="1" t="n">
        <v>45821</v>
      </c>
      <c r="C699" s="1" t="n">
        <v>45886</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29007-2025</t>
        </is>
      </c>
      <c r="B700" s="1" t="n">
        <v>45821</v>
      </c>
      <c r="C700" s="1" t="n">
        <v>45886</v>
      </c>
      <c r="D700" t="inlineStr">
        <is>
          <t>VÄRMLANDS LÄN</t>
        </is>
      </c>
      <c r="E700" t="inlineStr">
        <is>
          <t>ÅRJÄNG</t>
        </is>
      </c>
      <c r="F700" t="inlineStr">
        <is>
          <t>Bergvik skog väst AB</t>
        </is>
      </c>
      <c r="G700" t="n">
        <v>6.2</v>
      </c>
      <c r="H700" t="n">
        <v>0</v>
      </c>
      <c r="I700" t="n">
        <v>0</v>
      </c>
      <c r="J700" t="n">
        <v>0</v>
      </c>
      <c r="K700" t="n">
        <v>0</v>
      </c>
      <c r="L700" t="n">
        <v>0</v>
      </c>
      <c r="M700" t="n">
        <v>0</v>
      </c>
      <c r="N700" t="n">
        <v>0</v>
      </c>
      <c r="O700" t="n">
        <v>0</v>
      </c>
      <c r="P700" t="n">
        <v>0</v>
      </c>
      <c r="Q700" t="n">
        <v>0</v>
      </c>
      <c r="R700" s="2" t="inlineStr"/>
    </row>
    <row r="701" ht="15" customHeight="1">
      <c r="A701" t="inlineStr">
        <is>
          <t>A 29026-2025</t>
        </is>
      </c>
      <c r="B701" s="1" t="n">
        <v>45821</v>
      </c>
      <c r="C701" s="1" t="n">
        <v>45886</v>
      </c>
      <c r="D701" t="inlineStr">
        <is>
          <t>VÄRMLANDS LÄN</t>
        </is>
      </c>
      <c r="E701" t="inlineStr">
        <is>
          <t>ÅRJÄNG</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29082-2025</t>
        </is>
      </c>
      <c r="B702" s="1" t="n">
        <v>45821</v>
      </c>
      <c r="C702" s="1" t="n">
        <v>45886</v>
      </c>
      <c r="D702" t="inlineStr">
        <is>
          <t>VÄRMLANDS LÄN</t>
        </is>
      </c>
      <c r="E702" t="inlineStr">
        <is>
          <t>ÅRJÄNG</t>
        </is>
      </c>
      <c r="G702" t="n">
        <v>1.8</v>
      </c>
      <c r="H702" t="n">
        <v>0</v>
      </c>
      <c r="I702" t="n">
        <v>0</v>
      </c>
      <c r="J702" t="n">
        <v>0</v>
      </c>
      <c r="K702" t="n">
        <v>0</v>
      </c>
      <c r="L702" t="n">
        <v>0</v>
      </c>
      <c r="M702" t="n">
        <v>0</v>
      </c>
      <c r="N702" t="n">
        <v>0</v>
      </c>
      <c r="O702" t="n">
        <v>0</v>
      </c>
      <c r="P702" t="n">
        <v>0</v>
      </c>
      <c r="Q702" t="n">
        <v>0</v>
      </c>
      <c r="R702" s="2" t="inlineStr"/>
    </row>
    <row r="703" ht="15" customHeight="1">
      <c r="A703" t="inlineStr">
        <is>
          <t>A 29166-2025</t>
        </is>
      </c>
      <c r="B703" s="1" t="n">
        <v>45821.68682870371</v>
      </c>
      <c r="C703" s="1" t="n">
        <v>45886</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15954-2025</t>
        </is>
      </c>
      <c r="B704" s="1" t="n">
        <v>45749</v>
      </c>
      <c r="C704" s="1" t="n">
        <v>45886</v>
      </c>
      <c r="D704" t="inlineStr">
        <is>
          <t>VÄRMLANDS LÄN</t>
        </is>
      </c>
      <c r="E704" t="inlineStr">
        <is>
          <t>ÅRJÄNG</t>
        </is>
      </c>
      <c r="F704" t="inlineStr">
        <is>
          <t>Bergvik skog väst AB</t>
        </is>
      </c>
      <c r="G704" t="n">
        <v>4.2</v>
      </c>
      <c r="H704" t="n">
        <v>0</v>
      </c>
      <c r="I704" t="n">
        <v>0</v>
      </c>
      <c r="J704" t="n">
        <v>0</v>
      </c>
      <c r="K704" t="n">
        <v>0</v>
      </c>
      <c r="L704" t="n">
        <v>0</v>
      </c>
      <c r="M704" t="n">
        <v>0</v>
      </c>
      <c r="N704" t="n">
        <v>0</v>
      </c>
      <c r="O704" t="n">
        <v>0</v>
      </c>
      <c r="P704" t="n">
        <v>0</v>
      </c>
      <c r="Q704" t="n">
        <v>0</v>
      </c>
      <c r="R704" s="2" t="inlineStr"/>
    </row>
    <row r="705" ht="15" customHeight="1">
      <c r="A705" t="inlineStr">
        <is>
          <t>A 28992-2025</t>
        </is>
      </c>
      <c r="B705" s="1" t="n">
        <v>45821</v>
      </c>
      <c r="C705" s="1" t="n">
        <v>45886</v>
      </c>
      <c r="D705" t="inlineStr">
        <is>
          <t>VÄRMLANDS LÄN</t>
        </is>
      </c>
      <c r="E705" t="inlineStr">
        <is>
          <t>ÅRJÄNG</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29208-2025</t>
        </is>
      </c>
      <c r="B706" s="1" t="n">
        <v>45823.80380787037</v>
      </c>
      <c r="C706" s="1" t="n">
        <v>45886</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35869-2025</t>
        </is>
      </c>
      <c r="B707" s="1" t="n">
        <v>45862</v>
      </c>
      <c r="C707" s="1" t="n">
        <v>45886</v>
      </c>
      <c r="D707" t="inlineStr">
        <is>
          <t>VÄRMLANDS LÄN</t>
        </is>
      </c>
      <c r="E707" t="inlineStr">
        <is>
          <t>ÅRJÄNG</t>
        </is>
      </c>
      <c r="F707" t="inlineStr">
        <is>
          <t>Bergvik skog väst AB</t>
        </is>
      </c>
      <c r="G707" t="n">
        <v>4.1</v>
      </c>
      <c r="H707" t="n">
        <v>0</v>
      </c>
      <c r="I707" t="n">
        <v>0</v>
      </c>
      <c r="J707" t="n">
        <v>0</v>
      </c>
      <c r="K707" t="n">
        <v>0</v>
      </c>
      <c r="L707" t="n">
        <v>0</v>
      </c>
      <c r="M707" t="n">
        <v>0</v>
      </c>
      <c r="N707" t="n">
        <v>0</v>
      </c>
      <c r="O707" t="n">
        <v>0</v>
      </c>
      <c r="P707" t="n">
        <v>0</v>
      </c>
      <c r="Q707" t="n">
        <v>0</v>
      </c>
      <c r="R707" s="2" t="inlineStr"/>
    </row>
    <row r="708" ht="15" customHeight="1">
      <c r="A708" t="inlineStr">
        <is>
          <t>A 36143-2025</t>
        </is>
      </c>
      <c r="B708" s="1" t="n">
        <v>45866.68708333333</v>
      </c>
      <c r="C708" s="1" t="n">
        <v>45886</v>
      </c>
      <c r="D708" t="inlineStr">
        <is>
          <t>VÄRMLANDS LÄN</t>
        </is>
      </c>
      <c r="E708" t="inlineStr">
        <is>
          <t>ÅRJÄNG</t>
        </is>
      </c>
      <c r="G708" t="n">
        <v>1</v>
      </c>
      <c r="H708" t="n">
        <v>0</v>
      </c>
      <c r="I708" t="n">
        <v>0</v>
      </c>
      <c r="J708" t="n">
        <v>0</v>
      </c>
      <c r="K708" t="n">
        <v>0</v>
      </c>
      <c r="L708" t="n">
        <v>0</v>
      </c>
      <c r="M708" t="n">
        <v>0</v>
      </c>
      <c r="N708" t="n">
        <v>0</v>
      </c>
      <c r="O708" t="n">
        <v>0</v>
      </c>
      <c r="P708" t="n">
        <v>0</v>
      </c>
      <c r="Q708" t="n">
        <v>0</v>
      </c>
      <c r="R708" s="2" t="inlineStr"/>
    </row>
    <row r="709" ht="15" customHeight="1">
      <c r="A709" t="inlineStr">
        <is>
          <t>A 29169-2025</t>
        </is>
      </c>
      <c r="B709" s="1" t="n">
        <v>45821.69650462963</v>
      </c>
      <c r="C709" s="1" t="n">
        <v>45886</v>
      </c>
      <c r="D709" t="inlineStr">
        <is>
          <t>VÄRMLANDS LÄN</t>
        </is>
      </c>
      <c r="E709" t="inlineStr">
        <is>
          <t>ÅRJÄNG</t>
        </is>
      </c>
      <c r="G709" t="n">
        <v>3.6</v>
      </c>
      <c r="H709" t="n">
        <v>0</v>
      </c>
      <c r="I709" t="n">
        <v>0</v>
      </c>
      <c r="J709" t="n">
        <v>0</v>
      </c>
      <c r="K709" t="n">
        <v>0</v>
      </c>
      <c r="L709" t="n">
        <v>0</v>
      </c>
      <c r="M709" t="n">
        <v>0</v>
      </c>
      <c r="N709" t="n">
        <v>0</v>
      </c>
      <c r="O709" t="n">
        <v>0</v>
      </c>
      <c r="P709" t="n">
        <v>0</v>
      </c>
      <c r="Q709" t="n">
        <v>0</v>
      </c>
      <c r="R709" s="2" t="inlineStr"/>
    </row>
    <row r="710" ht="15" customHeight="1">
      <c r="A710" t="inlineStr">
        <is>
          <t>A 29100-2025</t>
        </is>
      </c>
      <c r="B710" s="1" t="n">
        <v>45821</v>
      </c>
      <c r="C710" s="1" t="n">
        <v>45886</v>
      </c>
      <c r="D710" t="inlineStr">
        <is>
          <t>VÄRMLANDS LÄN</t>
        </is>
      </c>
      <c r="E710" t="inlineStr">
        <is>
          <t>ÅRJÄNG</t>
        </is>
      </c>
      <c r="F710" t="inlineStr">
        <is>
          <t>Bergvik skog väst AB</t>
        </is>
      </c>
      <c r="G710" t="n">
        <v>1.9</v>
      </c>
      <c r="H710" t="n">
        <v>0</v>
      </c>
      <c r="I710" t="n">
        <v>0</v>
      </c>
      <c r="J710" t="n">
        <v>0</v>
      </c>
      <c r="K710" t="n">
        <v>0</v>
      </c>
      <c r="L710" t="n">
        <v>0</v>
      </c>
      <c r="M710" t="n">
        <v>0</v>
      </c>
      <c r="N710" t="n">
        <v>0</v>
      </c>
      <c r="O710" t="n">
        <v>0</v>
      </c>
      <c r="P710" t="n">
        <v>0</v>
      </c>
      <c r="Q710" t="n">
        <v>0</v>
      </c>
      <c r="R710" s="2" t="inlineStr"/>
    </row>
    <row r="711" ht="15" customHeight="1">
      <c r="A711" t="inlineStr">
        <is>
          <t>A 29139-2025</t>
        </is>
      </c>
      <c r="B711" s="1" t="n">
        <v>45821</v>
      </c>
      <c r="C711" s="1" t="n">
        <v>45886</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687-2024</t>
        </is>
      </c>
      <c r="B712" s="1" t="n">
        <v>45300.37333333334</v>
      </c>
      <c r="C712" s="1" t="n">
        <v>45886</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713-2024</t>
        </is>
      </c>
      <c r="B713" s="1" t="n">
        <v>45300.4261574074</v>
      </c>
      <c r="C713" s="1" t="n">
        <v>45886</v>
      </c>
      <c r="D713" t="inlineStr">
        <is>
          <t>VÄRMLANDS LÄN</t>
        </is>
      </c>
      <c r="E713" t="inlineStr">
        <is>
          <t>ÅRJÄNG</t>
        </is>
      </c>
      <c r="F713" t="inlineStr">
        <is>
          <t>Kyrkan</t>
        </is>
      </c>
      <c r="G713" t="n">
        <v>4.4</v>
      </c>
      <c r="H713" t="n">
        <v>0</v>
      </c>
      <c r="I713" t="n">
        <v>0</v>
      </c>
      <c r="J713" t="n">
        <v>0</v>
      </c>
      <c r="K713" t="n">
        <v>0</v>
      </c>
      <c r="L713" t="n">
        <v>0</v>
      </c>
      <c r="M713" t="n">
        <v>0</v>
      </c>
      <c r="N713" t="n">
        <v>0</v>
      </c>
      <c r="O713" t="n">
        <v>0</v>
      </c>
      <c r="P713" t="n">
        <v>0</v>
      </c>
      <c r="Q713" t="n">
        <v>0</v>
      </c>
      <c r="R713" s="2" t="inlineStr"/>
    </row>
    <row r="714" ht="15" customHeight="1">
      <c r="A714" t="inlineStr">
        <is>
          <t>A 8835-2025</t>
        </is>
      </c>
      <c r="B714" s="1" t="n">
        <v>45712.92547453703</v>
      </c>
      <c r="C714" s="1" t="n">
        <v>45886</v>
      </c>
      <c r="D714" t="inlineStr">
        <is>
          <t>VÄRMLANDS LÄN</t>
        </is>
      </c>
      <c r="E714" t="inlineStr">
        <is>
          <t>ÅRJÄNG</t>
        </is>
      </c>
      <c r="G714" t="n">
        <v>7.3</v>
      </c>
      <c r="H714" t="n">
        <v>0</v>
      </c>
      <c r="I714" t="n">
        <v>0</v>
      </c>
      <c r="J714" t="n">
        <v>0</v>
      </c>
      <c r="K714" t="n">
        <v>0</v>
      </c>
      <c r="L714" t="n">
        <v>0</v>
      </c>
      <c r="M714" t="n">
        <v>0</v>
      </c>
      <c r="N714" t="n">
        <v>0</v>
      </c>
      <c r="O714" t="n">
        <v>0</v>
      </c>
      <c r="P714" t="n">
        <v>0</v>
      </c>
      <c r="Q714" t="n">
        <v>0</v>
      </c>
      <c r="R714" s="2" t="inlineStr"/>
    </row>
    <row r="715" ht="15" customHeight="1">
      <c r="A715" t="inlineStr">
        <is>
          <t>A 62288-2023</t>
        </is>
      </c>
      <c r="B715" s="1" t="n">
        <v>45267.65707175926</v>
      </c>
      <c r="C715" s="1" t="n">
        <v>45886</v>
      </c>
      <c r="D715" t="inlineStr">
        <is>
          <t>VÄRMLANDS LÄN</t>
        </is>
      </c>
      <c r="E715" t="inlineStr">
        <is>
          <t>ÅRJÄNG</t>
        </is>
      </c>
      <c r="G715" t="n">
        <v>2.3</v>
      </c>
      <c r="H715" t="n">
        <v>0</v>
      </c>
      <c r="I715" t="n">
        <v>0</v>
      </c>
      <c r="J715" t="n">
        <v>0</v>
      </c>
      <c r="K715" t="n">
        <v>0</v>
      </c>
      <c r="L715" t="n">
        <v>0</v>
      </c>
      <c r="M715" t="n">
        <v>0</v>
      </c>
      <c r="N715" t="n">
        <v>0</v>
      </c>
      <c r="O715" t="n">
        <v>0</v>
      </c>
      <c r="P715" t="n">
        <v>0</v>
      </c>
      <c r="Q715" t="n">
        <v>0</v>
      </c>
      <c r="R715" s="2" t="inlineStr"/>
    </row>
    <row r="716" ht="15" customHeight="1">
      <c r="A716" t="inlineStr">
        <is>
          <t>A 18389-2022</t>
        </is>
      </c>
      <c r="B716" s="1" t="n">
        <v>44685</v>
      </c>
      <c r="C716" s="1" t="n">
        <v>45886</v>
      </c>
      <c r="D716" t="inlineStr">
        <is>
          <t>VÄRMLANDS LÄN</t>
        </is>
      </c>
      <c r="E716" t="inlineStr">
        <is>
          <t>ÅRJÄNG</t>
        </is>
      </c>
      <c r="G716" t="n">
        <v>11.1</v>
      </c>
      <c r="H716" t="n">
        <v>0</v>
      </c>
      <c r="I716" t="n">
        <v>0</v>
      </c>
      <c r="J716" t="n">
        <v>0</v>
      </c>
      <c r="K716" t="n">
        <v>0</v>
      </c>
      <c r="L716" t="n">
        <v>0</v>
      </c>
      <c r="M716" t="n">
        <v>0</v>
      </c>
      <c r="N716" t="n">
        <v>0</v>
      </c>
      <c r="O716" t="n">
        <v>0</v>
      </c>
      <c r="P716" t="n">
        <v>0</v>
      </c>
      <c r="Q716" t="n">
        <v>0</v>
      </c>
      <c r="R716" s="2" t="inlineStr"/>
    </row>
    <row r="717" ht="15" customHeight="1">
      <c r="A717" t="inlineStr">
        <is>
          <t>A 30134-2025</t>
        </is>
      </c>
      <c r="B717" s="1" t="n">
        <v>45826</v>
      </c>
      <c r="C717" s="1" t="n">
        <v>45886</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12993-2025</t>
        </is>
      </c>
      <c r="B718" s="1" t="n">
        <v>45734.48583333333</v>
      </c>
      <c r="C718" s="1" t="n">
        <v>45886</v>
      </c>
      <c r="D718" t="inlineStr">
        <is>
          <t>VÄRMLANDS LÄN</t>
        </is>
      </c>
      <c r="E718" t="inlineStr">
        <is>
          <t>ÅRJÄNG</t>
        </is>
      </c>
      <c r="G718" t="n">
        <v>1.1</v>
      </c>
      <c r="H718" t="n">
        <v>0</v>
      </c>
      <c r="I718" t="n">
        <v>0</v>
      </c>
      <c r="J718" t="n">
        <v>0</v>
      </c>
      <c r="K718" t="n">
        <v>0</v>
      </c>
      <c r="L718" t="n">
        <v>0</v>
      </c>
      <c r="M718" t="n">
        <v>0</v>
      </c>
      <c r="N718" t="n">
        <v>0</v>
      </c>
      <c r="O718" t="n">
        <v>0</v>
      </c>
      <c r="P718" t="n">
        <v>0</v>
      </c>
      <c r="Q718" t="n">
        <v>0</v>
      </c>
      <c r="R718" s="2" t="inlineStr"/>
    </row>
    <row r="719" ht="15" customHeight="1">
      <c r="A719" t="inlineStr">
        <is>
          <t>A 9630-2025</t>
        </is>
      </c>
      <c r="B719" s="1" t="n">
        <v>45715.71145833333</v>
      </c>
      <c r="C719" s="1" t="n">
        <v>45886</v>
      </c>
      <c r="D719" t="inlineStr">
        <is>
          <t>VÄRMLANDS LÄN</t>
        </is>
      </c>
      <c r="E719" t="inlineStr">
        <is>
          <t>ÅRJÄNG</t>
        </is>
      </c>
      <c r="G719" t="n">
        <v>0.4</v>
      </c>
      <c r="H719" t="n">
        <v>0</v>
      </c>
      <c r="I719" t="n">
        <v>0</v>
      </c>
      <c r="J719" t="n">
        <v>0</v>
      </c>
      <c r="K719" t="n">
        <v>0</v>
      </c>
      <c r="L719" t="n">
        <v>0</v>
      </c>
      <c r="M719" t="n">
        <v>0</v>
      </c>
      <c r="N719" t="n">
        <v>0</v>
      </c>
      <c r="O719" t="n">
        <v>0</v>
      </c>
      <c r="P719" t="n">
        <v>0</v>
      </c>
      <c r="Q719" t="n">
        <v>0</v>
      </c>
      <c r="R719" s="2" t="inlineStr"/>
    </row>
    <row r="720" ht="15" customHeight="1">
      <c r="A720" t="inlineStr">
        <is>
          <t>A 40628-2024</t>
        </is>
      </c>
      <c r="B720" s="1" t="n">
        <v>45557.61668981481</v>
      </c>
      <c r="C720" s="1" t="n">
        <v>45886</v>
      </c>
      <c r="D720" t="inlineStr">
        <is>
          <t>VÄRMLANDS LÄN</t>
        </is>
      </c>
      <c r="E720" t="inlineStr">
        <is>
          <t>ÅRJÄNG</t>
        </is>
      </c>
      <c r="G720" t="n">
        <v>3.3</v>
      </c>
      <c r="H720" t="n">
        <v>0</v>
      </c>
      <c r="I720" t="n">
        <v>0</v>
      </c>
      <c r="J720" t="n">
        <v>0</v>
      </c>
      <c r="K720" t="n">
        <v>0</v>
      </c>
      <c r="L720" t="n">
        <v>0</v>
      </c>
      <c r="M720" t="n">
        <v>0</v>
      </c>
      <c r="N720" t="n">
        <v>0</v>
      </c>
      <c r="O720" t="n">
        <v>0</v>
      </c>
      <c r="P720" t="n">
        <v>0</v>
      </c>
      <c r="Q720" t="n">
        <v>0</v>
      </c>
      <c r="R720" s="2" t="inlineStr"/>
    </row>
    <row r="721" ht="15" customHeight="1">
      <c r="A721" t="inlineStr">
        <is>
          <t>A 29783-2025</t>
        </is>
      </c>
      <c r="B721" s="1" t="n">
        <v>45825</v>
      </c>
      <c r="C721" s="1" t="n">
        <v>45886</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29624-2025</t>
        </is>
      </c>
      <c r="B722" s="1" t="n">
        <v>45825.44246527777</v>
      </c>
      <c r="C722" s="1" t="n">
        <v>45886</v>
      </c>
      <c r="D722" t="inlineStr">
        <is>
          <t>VÄRMLANDS LÄN</t>
        </is>
      </c>
      <c r="E722" t="inlineStr">
        <is>
          <t>ÅRJÄNG</t>
        </is>
      </c>
      <c r="G722" t="n">
        <v>6.2</v>
      </c>
      <c r="H722" t="n">
        <v>0</v>
      </c>
      <c r="I722" t="n">
        <v>0</v>
      </c>
      <c r="J722" t="n">
        <v>0</v>
      </c>
      <c r="K722" t="n">
        <v>0</v>
      </c>
      <c r="L722" t="n">
        <v>0</v>
      </c>
      <c r="M722" t="n">
        <v>0</v>
      </c>
      <c r="N722" t="n">
        <v>0</v>
      </c>
      <c r="O722" t="n">
        <v>0</v>
      </c>
      <c r="P722" t="n">
        <v>0</v>
      </c>
      <c r="Q722" t="n">
        <v>0</v>
      </c>
      <c r="R722" s="2" t="inlineStr"/>
    </row>
    <row r="723" ht="15" customHeight="1">
      <c r="A723" t="inlineStr">
        <is>
          <t>A 5106-2023</t>
        </is>
      </c>
      <c r="B723" s="1" t="n">
        <v>44953</v>
      </c>
      <c r="C723" s="1" t="n">
        <v>45886</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15951-2025</t>
        </is>
      </c>
      <c r="B724" s="1" t="n">
        <v>45749</v>
      </c>
      <c r="C724" s="1" t="n">
        <v>45886</v>
      </c>
      <c r="D724" t="inlineStr">
        <is>
          <t>VÄRMLANDS LÄN</t>
        </is>
      </c>
      <c r="E724" t="inlineStr">
        <is>
          <t>ÅRJÄNG</t>
        </is>
      </c>
      <c r="F724" t="inlineStr">
        <is>
          <t>Bergvik skog väst AB</t>
        </is>
      </c>
      <c r="G724" t="n">
        <v>5.1</v>
      </c>
      <c r="H724" t="n">
        <v>0</v>
      </c>
      <c r="I724" t="n">
        <v>0</v>
      </c>
      <c r="J724" t="n">
        <v>0</v>
      </c>
      <c r="K724" t="n">
        <v>0</v>
      </c>
      <c r="L724" t="n">
        <v>0</v>
      </c>
      <c r="M724" t="n">
        <v>0</v>
      </c>
      <c r="N724" t="n">
        <v>0</v>
      </c>
      <c r="O724" t="n">
        <v>0</v>
      </c>
      <c r="P724" t="n">
        <v>0</v>
      </c>
      <c r="Q724" t="n">
        <v>0</v>
      </c>
      <c r="R724" s="2" t="inlineStr"/>
    </row>
    <row r="725" ht="15" customHeight="1">
      <c r="A725" t="inlineStr">
        <is>
          <t>A 14710-2025</t>
        </is>
      </c>
      <c r="B725" s="1" t="n">
        <v>45742.60868055555</v>
      </c>
      <c r="C725" s="1" t="n">
        <v>45886</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15248-2025</t>
        </is>
      </c>
      <c r="B726" s="1" t="n">
        <v>45744</v>
      </c>
      <c r="C726" s="1" t="n">
        <v>45886</v>
      </c>
      <c r="D726" t="inlineStr">
        <is>
          <t>VÄRMLANDS LÄN</t>
        </is>
      </c>
      <c r="E726" t="inlineStr">
        <is>
          <t>ÅRJÄNG</t>
        </is>
      </c>
      <c r="G726" t="n">
        <v>3.2</v>
      </c>
      <c r="H726" t="n">
        <v>0</v>
      </c>
      <c r="I726" t="n">
        <v>0</v>
      </c>
      <c r="J726" t="n">
        <v>0</v>
      </c>
      <c r="K726" t="n">
        <v>0</v>
      </c>
      <c r="L726" t="n">
        <v>0</v>
      </c>
      <c r="M726" t="n">
        <v>0</v>
      </c>
      <c r="N726" t="n">
        <v>0</v>
      </c>
      <c r="O726" t="n">
        <v>0</v>
      </c>
      <c r="P726" t="n">
        <v>0</v>
      </c>
      <c r="Q726" t="n">
        <v>0</v>
      </c>
      <c r="R726" s="2" t="inlineStr"/>
    </row>
    <row r="727" ht="15" customHeight="1">
      <c r="A727" t="inlineStr">
        <is>
          <t>A 8818-2022</t>
        </is>
      </c>
      <c r="B727" s="1" t="n">
        <v>44614.45849537037</v>
      </c>
      <c r="C727" s="1" t="n">
        <v>45886</v>
      </c>
      <c r="D727" t="inlineStr">
        <is>
          <t>VÄRMLANDS LÄN</t>
        </is>
      </c>
      <c r="E727" t="inlineStr">
        <is>
          <t>ÅRJÄNG</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42233-2024</t>
        </is>
      </c>
      <c r="B728" s="1" t="n">
        <v>45562</v>
      </c>
      <c r="C728" s="1" t="n">
        <v>45886</v>
      </c>
      <c r="D728" t="inlineStr">
        <is>
          <t>VÄRMLANDS LÄN</t>
        </is>
      </c>
      <c r="E728" t="inlineStr">
        <is>
          <t>ÅRJÄNG</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34181-2024</t>
        </is>
      </c>
      <c r="B729" s="1" t="n">
        <v>45524</v>
      </c>
      <c r="C729" s="1" t="n">
        <v>45886</v>
      </c>
      <c r="D729" t="inlineStr">
        <is>
          <t>VÄRMLANDS LÄN</t>
        </is>
      </c>
      <c r="E729" t="inlineStr">
        <is>
          <t>ÅRJÄNG</t>
        </is>
      </c>
      <c r="G729" t="n">
        <v>0.8</v>
      </c>
      <c r="H729" t="n">
        <v>0</v>
      </c>
      <c r="I729" t="n">
        <v>0</v>
      </c>
      <c r="J729" t="n">
        <v>0</v>
      </c>
      <c r="K729" t="n">
        <v>0</v>
      </c>
      <c r="L729" t="n">
        <v>0</v>
      </c>
      <c r="M729" t="n">
        <v>0</v>
      </c>
      <c r="N729" t="n">
        <v>0</v>
      </c>
      <c r="O729" t="n">
        <v>0</v>
      </c>
      <c r="P729" t="n">
        <v>0</v>
      </c>
      <c r="Q729" t="n">
        <v>0</v>
      </c>
      <c r="R729" s="2" t="inlineStr"/>
    </row>
    <row r="730" ht="15" customHeight="1">
      <c r="A730" t="inlineStr">
        <is>
          <t>A 34184-2024</t>
        </is>
      </c>
      <c r="B730" s="1" t="n">
        <v>45524</v>
      </c>
      <c r="C730" s="1" t="n">
        <v>45886</v>
      </c>
      <c r="D730" t="inlineStr">
        <is>
          <t>VÄRMLANDS LÄN</t>
        </is>
      </c>
      <c r="E730" t="inlineStr">
        <is>
          <t>ÅRJÄNG</t>
        </is>
      </c>
      <c r="G730" t="n">
        <v>0.6</v>
      </c>
      <c r="H730" t="n">
        <v>0</v>
      </c>
      <c r="I730" t="n">
        <v>0</v>
      </c>
      <c r="J730" t="n">
        <v>0</v>
      </c>
      <c r="K730" t="n">
        <v>0</v>
      </c>
      <c r="L730" t="n">
        <v>0</v>
      </c>
      <c r="M730" t="n">
        <v>0</v>
      </c>
      <c r="N730" t="n">
        <v>0</v>
      </c>
      <c r="O730" t="n">
        <v>0</v>
      </c>
      <c r="P730" t="n">
        <v>0</v>
      </c>
      <c r="Q730" t="n">
        <v>0</v>
      </c>
      <c r="R730" s="2" t="inlineStr"/>
    </row>
    <row r="731" ht="15" customHeight="1">
      <c r="A731" t="inlineStr">
        <is>
          <t>A 424-2025</t>
        </is>
      </c>
      <c r="B731" s="1" t="n">
        <v>45664</v>
      </c>
      <c r="C731" s="1" t="n">
        <v>45886</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6559-2025</t>
        </is>
      </c>
      <c r="B732" s="1" t="n">
        <v>45699.73678240741</v>
      </c>
      <c r="C732" s="1" t="n">
        <v>45886</v>
      </c>
      <c r="D732" t="inlineStr">
        <is>
          <t>VÄRMLANDS LÄN</t>
        </is>
      </c>
      <c r="E732" t="inlineStr">
        <is>
          <t>ÅRJÄNG</t>
        </is>
      </c>
      <c r="G732" t="n">
        <v>0.7</v>
      </c>
      <c r="H732" t="n">
        <v>0</v>
      </c>
      <c r="I732" t="n">
        <v>0</v>
      </c>
      <c r="J732" t="n">
        <v>0</v>
      </c>
      <c r="K732" t="n">
        <v>0</v>
      </c>
      <c r="L732" t="n">
        <v>0</v>
      </c>
      <c r="M732" t="n">
        <v>0</v>
      </c>
      <c r="N732" t="n">
        <v>0</v>
      </c>
      <c r="O732" t="n">
        <v>0</v>
      </c>
      <c r="P732" t="n">
        <v>0</v>
      </c>
      <c r="Q732" t="n">
        <v>0</v>
      </c>
      <c r="R732" s="2" t="inlineStr"/>
    </row>
    <row r="733" ht="15" customHeight="1">
      <c r="A733" t="inlineStr">
        <is>
          <t>A 60903-2023</t>
        </is>
      </c>
      <c r="B733" s="1" t="n">
        <v>45261</v>
      </c>
      <c r="C733" s="1" t="n">
        <v>45886</v>
      </c>
      <c r="D733" t="inlineStr">
        <is>
          <t>VÄRMLANDS LÄN</t>
        </is>
      </c>
      <c r="E733" t="inlineStr">
        <is>
          <t>ÅRJÄNG</t>
        </is>
      </c>
      <c r="G733" t="n">
        <v>2.1</v>
      </c>
      <c r="H733" t="n">
        <v>0</v>
      </c>
      <c r="I733" t="n">
        <v>0</v>
      </c>
      <c r="J733" t="n">
        <v>0</v>
      </c>
      <c r="K733" t="n">
        <v>0</v>
      </c>
      <c r="L733" t="n">
        <v>0</v>
      </c>
      <c r="M733" t="n">
        <v>0</v>
      </c>
      <c r="N733" t="n">
        <v>0</v>
      </c>
      <c r="O733" t="n">
        <v>0</v>
      </c>
      <c r="P733" t="n">
        <v>0</v>
      </c>
      <c r="Q733" t="n">
        <v>0</v>
      </c>
      <c r="R733" s="2" t="inlineStr"/>
    </row>
    <row r="734" ht="15" customHeight="1">
      <c r="A734" t="inlineStr">
        <is>
          <t>A 36461-2025</t>
        </is>
      </c>
      <c r="B734" s="1" t="n">
        <v>45869</v>
      </c>
      <c r="C734" s="1" t="n">
        <v>45886</v>
      </c>
      <c r="D734" t="inlineStr">
        <is>
          <t>VÄRMLANDS LÄN</t>
        </is>
      </c>
      <c r="E734" t="inlineStr">
        <is>
          <t>ÅRJÄNG</t>
        </is>
      </c>
      <c r="G734" t="n">
        <v>3.7</v>
      </c>
      <c r="H734" t="n">
        <v>0</v>
      </c>
      <c r="I734" t="n">
        <v>0</v>
      </c>
      <c r="J734" t="n">
        <v>0</v>
      </c>
      <c r="K734" t="n">
        <v>0</v>
      </c>
      <c r="L734" t="n">
        <v>0</v>
      </c>
      <c r="M734" t="n">
        <v>0</v>
      </c>
      <c r="N734" t="n">
        <v>0</v>
      </c>
      <c r="O734" t="n">
        <v>0</v>
      </c>
      <c r="P734" t="n">
        <v>0</v>
      </c>
      <c r="Q734" t="n">
        <v>0</v>
      </c>
      <c r="R734" s="2" t="inlineStr"/>
    </row>
    <row r="735" ht="15" customHeight="1">
      <c r="A735" t="inlineStr">
        <is>
          <t>A 14446-2025</t>
        </is>
      </c>
      <c r="B735" s="1" t="n">
        <v>45741.53552083333</v>
      </c>
      <c r="C735" s="1" t="n">
        <v>45886</v>
      </c>
      <c r="D735" t="inlineStr">
        <is>
          <t>VÄRMLANDS LÄN</t>
        </is>
      </c>
      <c r="E735" t="inlineStr">
        <is>
          <t>ÅRJÄNG</t>
        </is>
      </c>
      <c r="G735" t="n">
        <v>4.3</v>
      </c>
      <c r="H735" t="n">
        <v>0</v>
      </c>
      <c r="I735" t="n">
        <v>0</v>
      </c>
      <c r="J735" t="n">
        <v>0</v>
      </c>
      <c r="K735" t="n">
        <v>0</v>
      </c>
      <c r="L735" t="n">
        <v>0</v>
      </c>
      <c r="M735" t="n">
        <v>0</v>
      </c>
      <c r="N735" t="n">
        <v>0</v>
      </c>
      <c r="O735" t="n">
        <v>0</v>
      </c>
      <c r="P735" t="n">
        <v>0</v>
      </c>
      <c r="Q735" t="n">
        <v>0</v>
      </c>
      <c r="R735" s="2" t="inlineStr"/>
    </row>
    <row r="736" ht="15" customHeight="1">
      <c r="A736" t="inlineStr">
        <is>
          <t>A 8833-2025</t>
        </is>
      </c>
      <c r="B736" s="1" t="n">
        <v>45712.91263888889</v>
      </c>
      <c r="C736" s="1" t="n">
        <v>45886</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26265-2024</t>
        </is>
      </c>
      <c r="B737" s="1" t="n">
        <v>45468</v>
      </c>
      <c r="C737" s="1" t="n">
        <v>45886</v>
      </c>
      <c r="D737" t="inlineStr">
        <is>
          <t>VÄRMLANDS LÄN</t>
        </is>
      </c>
      <c r="E737" t="inlineStr">
        <is>
          <t>ÅRJÄNG</t>
        </is>
      </c>
      <c r="G737" t="n">
        <v>3.4</v>
      </c>
      <c r="H737" t="n">
        <v>0</v>
      </c>
      <c r="I737" t="n">
        <v>0</v>
      </c>
      <c r="J737" t="n">
        <v>0</v>
      </c>
      <c r="K737" t="n">
        <v>0</v>
      </c>
      <c r="L737" t="n">
        <v>0</v>
      </c>
      <c r="M737" t="n">
        <v>0</v>
      </c>
      <c r="N737" t="n">
        <v>0</v>
      </c>
      <c r="O737" t="n">
        <v>0</v>
      </c>
      <c r="P737" t="n">
        <v>0</v>
      </c>
      <c r="Q737" t="n">
        <v>0</v>
      </c>
      <c r="R737" s="2" t="inlineStr"/>
    </row>
    <row r="738" ht="15" customHeight="1">
      <c r="A738" t="inlineStr">
        <is>
          <t>A 46957-2024</t>
        </is>
      </c>
      <c r="B738" s="1" t="n">
        <v>45586</v>
      </c>
      <c r="C738" s="1" t="n">
        <v>45886</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64381-2023</t>
        </is>
      </c>
      <c r="B739" s="1" t="n">
        <v>45280</v>
      </c>
      <c r="C739" s="1" t="n">
        <v>45886</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4545-2024</t>
        </is>
      </c>
      <c r="B740" s="1" t="n">
        <v>45327</v>
      </c>
      <c r="C740" s="1" t="n">
        <v>45886</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13196-2023</t>
        </is>
      </c>
      <c r="B741" s="1" t="n">
        <v>45002</v>
      </c>
      <c r="C741" s="1" t="n">
        <v>45886</v>
      </c>
      <c r="D741" t="inlineStr">
        <is>
          <t>VÄRMLANDS LÄN</t>
        </is>
      </c>
      <c r="E741" t="inlineStr">
        <is>
          <t>ÅRJÄNG</t>
        </is>
      </c>
      <c r="F741" t="inlineStr">
        <is>
          <t>Kyrkan</t>
        </is>
      </c>
      <c r="G741" t="n">
        <v>4.5</v>
      </c>
      <c r="H741" t="n">
        <v>0</v>
      </c>
      <c r="I741" t="n">
        <v>0</v>
      </c>
      <c r="J741" t="n">
        <v>0</v>
      </c>
      <c r="K741" t="n">
        <v>0</v>
      </c>
      <c r="L741" t="n">
        <v>0</v>
      </c>
      <c r="M741" t="n">
        <v>0</v>
      </c>
      <c r="N741" t="n">
        <v>0</v>
      </c>
      <c r="O741" t="n">
        <v>0</v>
      </c>
      <c r="P741" t="n">
        <v>0</v>
      </c>
      <c r="Q741" t="n">
        <v>0</v>
      </c>
      <c r="R741" s="2" t="inlineStr"/>
    </row>
    <row r="742" ht="15" customHeight="1">
      <c r="A742" t="inlineStr">
        <is>
          <t>A 41206-2024</t>
        </is>
      </c>
      <c r="B742" s="1" t="n">
        <v>45559</v>
      </c>
      <c r="C742" s="1" t="n">
        <v>45886</v>
      </c>
      <c r="D742" t="inlineStr">
        <is>
          <t>VÄRMLANDS LÄN</t>
        </is>
      </c>
      <c r="E742" t="inlineStr">
        <is>
          <t>ÅRJÄNG</t>
        </is>
      </c>
      <c r="G742" t="n">
        <v>1.3</v>
      </c>
      <c r="H742" t="n">
        <v>0</v>
      </c>
      <c r="I742" t="n">
        <v>0</v>
      </c>
      <c r="J742" t="n">
        <v>0</v>
      </c>
      <c r="K742" t="n">
        <v>0</v>
      </c>
      <c r="L742" t="n">
        <v>0</v>
      </c>
      <c r="M742" t="n">
        <v>0</v>
      </c>
      <c r="N742" t="n">
        <v>0</v>
      </c>
      <c r="O742" t="n">
        <v>0</v>
      </c>
      <c r="P742" t="n">
        <v>0</v>
      </c>
      <c r="Q742" t="n">
        <v>0</v>
      </c>
      <c r="R742" s="2" t="inlineStr"/>
    </row>
    <row r="743" ht="15" customHeight="1">
      <c r="A743" t="inlineStr">
        <is>
          <t>A 36450-2025</t>
        </is>
      </c>
      <c r="B743" s="1" t="n">
        <v>45869</v>
      </c>
      <c r="C743" s="1" t="n">
        <v>45886</v>
      </c>
      <c r="D743" t="inlineStr">
        <is>
          <t>VÄRMLANDS LÄN</t>
        </is>
      </c>
      <c r="E743" t="inlineStr">
        <is>
          <t>ÅRJÄNG</t>
        </is>
      </c>
      <c r="G743" t="n">
        <v>4.6</v>
      </c>
      <c r="H743" t="n">
        <v>0</v>
      </c>
      <c r="I743" t="n">
        <v>0</v>
      </c>
      <c r="J743" t="n">
        <v>0</v>
      </c>
      <c r="K743" t="n">
        <v>0</v>
      </c>
      <c r="L743" t="n">
        <v>0</v>
      </c>
      <c r="M743" t="n">
        <v>0</v>
      </c>
      <c r="N743" t="n">
        <v>0</v>
      </c>
      <c r="O743" t="n">
        <v>0</v>
      </c>
      <c r="P743" t="n">
        <v>0</v>
      </c>
      <c r="Q743" t="n">
        <v>0</v>
      </c>
      <c r="R743" s="2" t="inlineStr"/>
    </row>
    <row r="744" ht="15" customHeight="1">
      <c r="A744" t="inlineStr">
        <is>
          <t>A 47332-2022</t>
        </is>
      </c>
      <c r="B744" s="1" t="n">
        <v>44853</v>
      </c>
      <c r="C744" s="1" t="n">
        <v>45886</v>
      </c>
      <c r="D744" t="inlineStr">
        <is>
          <t>VÄRMLANDS LÄN</t>
        </is>
      </c>
      <c r="E744" t="inlineStr">
        <is>
          <t>ÅRJÄNG</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21145-2022</t>
        </is>
      </c>
      <c r="B745" s="1" t="n">
        <v>44704</v>
      </c>
      <c r="C745" s="1" t="n">
        <v>45886</v>
      </c>
      <c r="D745" t="inlineStr">
        <is>
          <t>VÄRMLANDS LÄN</t>
        </is>
      </c>
      <c r="E745" t="inlineStr">
        <is>
          <t>ÅRJÄNG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45886</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31111-2025</t>
        </is>
      </c>
      <c r="B747" s="1" t="n">
        <v>45831</v>
      </c>
      <c r="C747" s="1" t="n">
        <v>45886</v>
      </c>
      <c r="D747" t="inlineStr">
        <is>
          <t>VÄRMLANDS LÄN</t>
        </is>
      </c>
      <c r="E747" t="inlineStr">
        <is>
          <t>ÅRJÄNG</t>
        </is>
      </c>
      <c r="G747" t="n">
        <v>6</v>
      </c>
      <c r="H747" t="n">
        <v>0</v>
      </c>
      <c r="I747" t="n">
        <v>0</v>
      </c>
      <c r="J747" t="n">
        <v>0</v>
      </c>
      <c r="K747" t="n">
        <v>0</v>
      </c>
      <c r="L747" t="n">
        <v>0</v>
      </c>
      <c r="M747" t="n">
        <v>0</v>
      </c>
      <c r="N747" t="n">
        <v>0</v>
      </c>
      <c r="O747" t="n">
        <v>0</v>
      </c>
      <c r="P747" t="n">
        <v>0</v>
      </c>
      <c r="Q747" t="n">
        <v>0</v>
      </c>
      <c r="R747" s="2" t="inlineStr"/>
    </row>
    <row r="748" ht="15" customHeight="1">
      <c r="A748" t="inlineStr">
        <is>
          <t>A 16295-2025</t>
        </is>
      </c>
      <c r="B748" s="1" t="n">
        <v>45750</v>
      </c>
      <c r="C748" s="1" t="n">
        <v>45886</v>
      </c>
      <c r="D748" t="inlineStr">
        <is>
          <t>VÄRMLANDS LÄN</t>
        </is>
      </c>
      <c r="E748" t="inlineStr">
        <is>
          <t>ÅRJÄNG</t>
        </is>
      </c>
      <c r="G748" t="n">
        <v>3.7</v>
      </c>
      <c r="H748" t="n">
        <v>0</v>
      </c>
      <c r="I748" t="n">
        <v>0</v>
      </c>
      <c r="J748" t="n">
        <v>0</v>
      </c>
      <c r="K748" t="n">
        <v>0</v>
      </c>
      <c r="L748" t="n">
        <v>0</v>
      </c>
      <c r="M748" t="n">
        <v>0</v>
      </c>
      <c r="N748" t="n">
        <v>0</v>
      </c>
      <c r="O748" t="n">
        <v>0</v>
      </c>
      <c r="P748" t="n">
        <v>0</v>
      </c>
      <c r="Q748" t="n">
        <v>0</v>
      </c>
      <c r="R748" s="2" t="inlineStr"/>
    </row>
    <row r="749" ht="15" customHeight="1">
      <c r="A749" t="inlineStr">
        <is>
          <t>A 34387-2023</t>
        </is>
      </c>
      <c r="B749" s="1" t="n">
        <v>45139.50744212963</v>
      </c>
      <c r="C749" s="1" t="n">
        <v>45886</v>
      </c>
      <c r="D749" t="inlineStr">
        <is>
          <t>VÄRMLANDS LÄN</t>
        </is>
      </c>
      <c r="E749" t="inlineStr">
        <is>
          <t>ÅRJÄNG</t>
        </is>
      </c>
      <c r="G749" t="n">
        <v>2.6</v>
      </c>
      <c r="H749" t="n">
        <v>0</v>
      </c>
      <c r="I749" t="n">
        <v>0</v>
      </c>
      <c r="J749" t="n">
        <v>0</v>
      </c>
      <c r="K749" t="n">
        <v>0</v>
      </c>
      <c r="L749" t="n">
        <v>0</v>
      </c>
      <c r="M749" t="n">
        <v>0</v>
      </c>
      <c r="N749" t="n">
        <v>0</v>
      </c>
      <c r="O749" t="n">
        <v>0</v>
      </c>
      <c r="P749" t="n">
        <v>0</v>
      </c>
      <c r="Q749" t="n">
        <v>0</v>
      </c>
      <c r="R749" s="2" t="inlineStr"/>
    </row>
    <row r="750" ht="15" customHeight="1">
      <c r="A750" t="inlineStr">
        <is>
          <t>A 19621-2025</t>
        </is>
      </c>
      <c r="B750" s="1" t="n">
        <v>45770</v>
      </c>
      <c r="C750" s="1" t="n">
        <v>45886</v>
      </c>
      <c r="D750" t="inlineStr">
        <is>
          <t>VÄRMLANDS LÄN</t>
        </is>
      </c>
      <c r="E750" t="inlineStr">
        <is>
          <t>ÅRJÄNG</t>
        </is>
      </c>
      <c r="F750" t="inlineStr">
        <is>
          <t>Övriga Aktiebolag</t>
        </is>
      </c>
      <c r="G750" t="n">
        <v>7.7</v>
      </c>
      <c r="H750" t="n">
        <v>0</v>
      </c>
      <c r="I750" t="n">
        <v>0</v>
      </c>
      <c r="J750" t="n">
        <v>0</v>
      </c>
      <c r="K750" t="n">
        <v>0</v>
      </c>
      <c r="L750" t="n">
        <v>0</v>
      </c>
      <c r="M750" t="n">
        <v>0</v>
      </c>
      <c r="N750" t="n">
        <v>0</v>
      </c>
      <c r="O750" t="n">
        <v>0</v>
      </c>
      <c r="P750" t="n">
        <v>0</v>
      </c>
      <c r="Q750" t="n">
        <v>0</v>
      </c>
      <c r="R750" s="2" t="inlineStr"/>
    </row>
    <row r="751" ht="15" customHeight="1">
      <c r="A751" t="inlineStr">
        <is>
          <t>A 48389-2021</t>
        </is>
      </c>
      <c r="B751" s="1" t="n">
        <v>44452.26943287037</v>
      </c>
      <c r="C751" s="1" t="n">
        <v>45886</v>
      </c>
      <c r="D751" t="inlineStr">
        <is>
          <t>VÄRMLANDS LÄN</t>
        </is>
      </c>
      <c r="E751" t="inlineStr">
        <is>
          <t>ÅRJÄNG</t>
        </is>
      </c>
      <c r="G751" t="n">
        <v>2.4</v>
      </c>
      <c r="H751" t="n">
        <v>0</v>
      </c>
      <c r="I751" t="n">
        <v>0</v>
      </c>
      <c r="J751" t="n">
        <v>0</v>
      </c>
      <c r="K751" t="n">
        <v>0</v>
      </c>
      <c r="L751" t="n">
        <v>0</v>
      </c>
      <c r="M751" t="n">
        <v>0</v>
      </c>
      <c r="N751" t="n">
        <v>0</v>
      </c>
      <c r="O751" t="n">
        <v>0</v>
      </c>
      <c r="P751" t="n">
        <v>0</v>
      </c>
      <c r="Q751" t="n">
        <v>0</v>
      </c>
      <c r="R751" s="2" t="inlineStr"/>
    </row>
    <row r="752" ht="15" customHeight="1">
      <c r="A752" t="inlineStr">
        <is>
          <t>A 30761-2025</t>
        </is>
      </c>
      <c r="B752" s="1" t="n">
        <v>45831</v>
      </c>
      <c r="C752" s="1" t="n">
        <v>45886</v>
      </c>
      <c r="D752" t="inlineStr">
        <is>
          <t>VÄRMLANDS LÄN</t>
        </is>
      </c>
      <c r="E752" t="inlineStr">
        <is>
          <t>ÅRJÄNG</t>
        </is>
      </c>
      <c r="G752" t="n">
        <v>1.5</v>
      </c>
      <c r="H752" t="n">
        <v>0</v>
      </c>
      <c r="I752" t="n">
        <v>0</v>
      </c>
      <c r="J752" t="n">
        <v>0</v>
      </c>
      <c r="K752" t="n">
        <v>0</v>
      </c>
      <c r="L752" t="n">
        <v>0</v>
      </c>
      <c r="M752" t="n">
        <v>0</v>
      </c>
      <c r="N752" t="n">
        <v>0</v>
      </c>
      <c r="O752" t="n">
        <v>0</v>
      </c>
      <c r="P752" t="n">
        <v>0</v>
      </c>
      <c r="Q752" t="n">
        <v>0</v>
      </c>
      <c r="R752" s="2" t="inlineStr"/>
    </row>
    <row r="753" ht="15" customHeight="1">
      <c r="A753" t="inlineStr">
        <is>
          <t>A 30579-2025</t>
        </is>
      </c>
      <c r="B753" s="1" t="n">
        <v>45831.41965277777</v>
      </c>
      <c r="C753" s="1" t="n">
        <v>45886</v>
      </c>
      <c r="D753" t="inlineStr">
        <is>
          <t>VÄRMLANDS LÄN</t>
        </is>
      </c>
      <c r="E753" t="inlineStr">
        <is>
          <t>ÅRJÄNG</t>
        </is>
      </c>
      <c r="G753" t="n">
        <v>2.4</v>
      </c>
      <c r="H753" t="n">
        <v>0</v>
      </c>
      <c r="I753" t="n">
        <v>0</v>
      </c>
      <c r="J753" t="n">
        <v>0</v>
      </c>
      <c r="K753" t="n">
        <v>0</v>
      </c>
      <c r="L753" t="n">
        <v>0</v>
      </c>
      <c r="M753" t="n">
        <v>0</v>
      </c>
      <c r="N753" t="n">
        <v>0</v>
      </c>
      <c r="O753" t="n">
        <v>0</v>
      </c>
      <c r="P753" t="n">
        <v>0</v>
      </c>
      <c r="Q753" t="n">
        <v>0</v>
      </c>
      <c r="R753" s="2" t="inlineStr"/>
    </row>
    <row r="754" ht="15" customHeight="1">
      <c r="A754" t="inlineStr">
        <is>
          <t>A 9662-2024</t>
        </is>
      </c>
      <c r="B754" s="1" t="n">
        <v>45362.43423611111</v>
      </c>
      <c r="C754" s="1" t="n">
        <v>45886</v>
      </c>
      <c r="D754" t="inlineStr">
        <is>
          <t>VÄRMLANDS LÄN</t>
        </is>
      </c>
      <c r="E754" t="inlineStr">
        <is>
          <t>ÅRJÄNG</t>
        </is>
      </c>
      <c r="G754" t="n">
        <v>5.7</v>
      </c>
      <c r="H754" t="n">
        <v>0</v>
      </c>
      <c r="I754" t="n">
        <v>0</v>
      </c>
      <c r="J754" t="n">
        <v>0</v>
      </c>
      <c r="K754" t="n">
        <v>0</v>
      </c>
      <c r="L754" t="n">
        <v>0</v>
      </c>
      <c r="M754" t="n">
        <v>0</v>
      </c>
      <c r="N754" t="n">
        <v>0</v>
      </c>
      <c r="O754" t="n">
        <v>0</v>
      </c>
      <c r="P754" t="n">
        <v>0</v>
      </c>
      <c r="Q754" t="n">
        <v>0</v>
      </c>
      <c r="R754" s="2" t="inlineStr"/>
    </row>
    <row r="755" ht="15" customHeight="1">
      <c r="A755" t="inlineStr">
        <is>
          <t>A 30611-2025</t>
        </is>
      </c>
      <c r="B755" s="1" t="n">
        <v>45831.46104166667</v>
      </c>
      <c r="C755" s="1" t="n">
        <v>45886</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7794-2024</t>
        </is>
      </c>
      <c r="B756" s="1" t="n">
        <v>45349</v>
      </c>
      <c r="C756" s="1" t="n">
        <v>45886</v>
      </c>
      <c r="D756" t="inlineStr">
        <is>
          <t>VÄRMLANDS LÄN</t>
        </is>
      </c>
      <c r="E756" t="inlineStr">
        <is>
          <t>ÅRJÄNG</t>
        </is>
      </c>
      <c r="G756" t="n">
        <v>0.6</v>
      </c>
      <c r="H756" t="n">
        <v>0</v>
      </c>
      <c r="I756" t="n">
        <v>0</v>
      </c>
      <c r="J756" t="n">
        <v>0</v>
      </c>
      <c r="K756" t="n">
        <v>0</v>
      </c>
      <c r="L756" t="n">
        <v>0</v>
      </c>
      <c r="M756" t="n">
        <v>0</v>
      </c>
      <c r="N756" t="n">
        <v>0</v>
      </c>
      <c r="O756" t="n">
        <v>0</v>
      </c>
      <c r="P756" t="n">
        <v>0</v>
      </c>
      <c r="Q756" t="n">
        <v>0</v>
      </c>
      <c r="R756" s="2" t="inlineStr"/>
    </row>
    <row r="757" ht="15" customHeight="1">
      <c r="A757" t="inlineStr">
        <is>
          <t>A 36857-2025</t>
        </is>
      </c>
      <c r="B757" s="1" t="n">
        <v>45874.40488425926</v>
      </c>
      <c r="C757" s="1" t="n">
        <v>45886</v>
      </c>
      <c r="D757" t="inlineStr">
        <is>
          <t>VÄRMLANDS LÄN</t>
        </is>
      </c>
      <c r="E757" t="inlineStr">
        <is>
          <t>ÅRJÄNG</t>
        </is>
      </c>
      <c r="G757" t="n">
        <v>5.2</v>
      </c>
      <c r="H757" t="n">
        <v>0</v>
      </c>
      <c r="I757" t="n">
        <v>0</v>
      </c>
      <c r="J757" t="n">
        <v>0</v>
      </c>
      <c r="K757" t="n">
        <v>0</v>
      </c>
      <c r="L757" t="n">
        <v>0</v>
      </c>
      <c r="M757" t="n">
        <v>0</v>
      </c>
      <c r="N757" t="n">
        <v>0</v>
      </c>
      <c r="O757" t="n">
        <v>0</v>
      </c>
      <c r="P757" t="n">
        <v>0</v>
      </c>
      <c r="Q757" t="n">
        <v>0</v>
      </c>
      <c r="R757" s="2" t="inlineStr"/>
    </row>
    <row r="758" ht="15" customHeight="1">
      <c r="A758" t="inlineStr">
        <is>
          <t>A 36865-2025</t>
        </is>
      </c>
      <c r="B758" s="1" t="n">
        <v>45874.41655092593</v>
      </c>
      <c r="C758" s="1" t="n">
        <v>45886</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30658-2025</t>
        </is>
      </c>
      <c r="B759" s="1" t="n">
        <v>45831.5072337963</v>
      </c>
      <c r="C759" s="1" t="n">
        <v>45886</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36819-2025</t>
        </is>
      </c>
      <c r="B760" s="1" t="n">
        <v>45873.84164351852</v>
      </c>
      <c r="C760" s="1" t="n">
        <v>45886</v>
      </c>
      <c r="D760" t="inlineStr">
        <is>
          <t>VÄRMLANDS LÄN</t>
        </is>
      </c>
      <c r="E760" t="inlineStr">
        <is>
          <t>ÅRJÄNG</t>
        </is>
      </c>
      <c r="G760" t="n">
        <v>2.3</v>
      </c>
      <c r="H760" t="n">
        <v>0</v>
      </c>
      <c r="I760" t="n">
        <v>0</v>
      </c>
      <c r="J760" t="n">
        <v>0</v>
      </c>
      <c r="K760" t="n">
        <v>0</v>
      </c>
      <c r="L760" t="n">
        <v>0</v>
      </c>
      <c r="M760" t="n">
        <v>0</v>
      </c>
      <c r="N760" t="n">
        <v>0</v>
      </c>
      <c r="O760" t="n">
        <v>0</v>
      </c>
      <c r="P760" t="n">
        <v>0</v>
      </c>
      <c r="Q760" t="n">
        <v>0</v>
      </c>
      <c r="R760" s="2" t="inlineStr"/>
    </row>
    <row r="761" ht="15" customHeight="1">
      <c r="A761" t="inlineStr">
        <is>
          <t>A 36834-2025</t>
        </is>
      </c>
      <c r="B761" s="1" t="n">
        <v>45874.35965277778</v>
      </c>
      <c r="C761" s="1" t="n">
        <v>45886</v>
      </c>
      <c r="D761" t="inlineStr">
        <is>
          <t>VÄRMLANDS LÄN</t>
        </is>
      </c>
      <c r="E761" t="inlineStr">
        <is>
          <t>ÅRJÄNG</t>
        </is>
      </c>
      <c r="G761" t="n">
        <v>2.9</v>
      </c>
      <c r="H761" t="n">
        <v>0</v>
      </c>
      <c r="I761" t="n">
        <v>0</v>
      </c>
      <c r="J761" t="n">
        <v>0</v>
      </c>
      <c r="K761" t="n">
        <v>0</v>
      </c>
      <c r="L761" t="n">
        <v>0</v>
      </c>
      <c r="M761" t="n">
        <v>0</v>
      </c>
      <c r="N761" t="n">
        <v>0</v>
      </c>
      <c r="O761" t="n">
        <v>0</v>
      </c>
      <c r="P761" t="n">
        <v>0</v>
      </c>
      <c r="Q761" t="n">
        <v>0</v>
      </c>
      <c r="R761" s="2" t="inlineStr"/>
    </row>
    <row r="762" ht="15" customHeight="1">
      <c r="A762" t="inlineStr">
        <is>
          <t>A 65773-2020</t>
        </is>
      </c>
      <c r="B762" s="1" t="n">
        <v>44174</v>
      </c>
      <c r="C762" s="1" t="n">
        <v>45886</v>
      </c>
      <c r="D762" t="inlineStr">
        <is>
          <t>VÄRMLANDS LÄN</t>
        </is>
      </c>
      <c r="E762" t="inlineStr">
        <is>
          <t>ÅRJÄNG</t>
        </is>
      </c>
      <c r="G762" t="n">
        <v>0.4</v>
      </c>
      <c r="H762" t="n">
        <v>0</v>
      </c>
      <c r="I762" t="n">
        <v>0</v>
      </c>
      <c r="J762" t="n">
        <v>0</v>
      </c>
      <c r="K762" t="n">
        <v>0</v>
      </c>
      <c r="L762" t="n">
        <v>0</v>
      </c>
      <c r="M762" t="n">
        <v>0</v>
      </c>
      <c r="N762" t="n">
        <v>0</v>
      </c>
      <c r="O762" t="n">
        <v>0</v>
      </c>
      <c r="P762" t="n">
        <v>0</v>
      </c>
      <c r="Q762" t="n">
        <v>0</v>
      </c>
      <c r="R762" s="2" t="inlineStr"/>
    </row>
    <row r="763" ht="15" customHeight="1">
      <c r="A763" t="inlineStr">
        <is>
          <t>A 65781-2020</t>
        </is>
      </c>
      <c r="B763" s="1" t="n">
        <v>44174</v>
      </c>
      <c r="C763" s="1" t="n">
        <v>45886</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31063-2025</t>
        </is>
      </c>
      <c r="B764" s="1" t="n">
        <v>45831</v>
      </c>
      <c r="C764" s="1" t="n">
        <v>45886</v>
      </c>
      <c r="D764" t="inlineStr">
        <is>
          <t>VÄRMLANDS LÄN</t>
        </is>
      </c>
      <c r="E764" t="inlineStr">
        <is>
          <t>ÅRJÄNG</t>
        </is>
      </c>
      <c r="G764" t="n">
        <v>0.6</v>
      </c>
      <c r="H764" t="n">
        <v>0</v>
      </c>
      <c r="I764" t="n">
        <v>0</v>
      </c>
      <c r="J764" t="n">
        <v>0</v>
      </c>
      <c r="K764" t="n">
        <v>0</v>
      </c>
      <c r="L764" t="n">
        <v>0</v>
      </c>
      <c r="M764" t="n">
        <v>0</v>
      </c>
      <c r="N764" t="n">
        <v>0</v>
      </c>
      <c r="O764" t="n">
        <v>0</v>
      </c>
      <c r="P764" t="n">
        <v>0</v>
      </c>
      <c r="Q764" t="n">
        <v>0</v>
      </c>
      <c r="R764" s="2" t="inlineStr"/>
    </row>
    <row r="765" ht="15" customHeight="1">
      <c r="A765" t="inlineStr">
        <is>
          <t>A 31073-2025</t>
        </is>
      </c>
      <c r="B765" s="1" t="n">
        <v>45831</v>
      </c>
      <c r="C765" s="1" t="n">
        <v>45886</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46096-2021</t>
        </is>
      </c>
      <c r="B766" s="1" t="n">
        <v>44442</v>
      </c>
      <c r="C766" s="1" t="n">
        <v>45886</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59068-2024</t>
        </is>
      </c>
      <c r="B767" s="1" t="n">
        <v>45636.95376157408</v>
      </c>
      <c r="C767" s="1" t="n">
        <v>45886</v>
      </c>
      <c r="D767" t="inlineStr">
        <is>
          <t>VÄRMLANDS LÄN</t>
        </is>
      </c>
      <c r="E767" t="inlineStr">
        <is>
          <t>ÅRJÄNG</t>
        </is>
      </c>
      <c r="G767" t="n">
        <v>3.2</v>
      </c>
      <c r="H767" t="n">
        <v>0</v>
      </c>
      <c r="I767" t="n">
        <v>0</v>
      </c>
      <c r="J767" t="n">
        <v>0</v>
      </c>
      <c r="K767" t="n">
        <v>0</v>
      </c>
      <c r="L767" t="n">
        <v>0</v>
      </c>
      <c r="M767" t="n">
        <v>0</v>
      </c>
      <c r="N767" t="n">
        <v>0</v>
      </c>
      <c r="O767" t="n">
        <v>0</v>
      </c>
      <c r="P767" t="n">
        <v>0</v>
      </c>
      <c r="Q767" t="n">
        <v>0</v>
      </c>
      <c r="R767" s="2" t="inlineStr"/>
    </row>
    <row r="768" ht="15" customHeight="1">
      <c r="A768" t="inlineStr">
        <is>
          <t>A 30604-2025</t>
        </is>
      </c>
      <c r="B768" s="1" t="n">
        <v>45831.45185185185</v>
      </c>
      <c r="C768" s="1" t="n">
        <v>45886</v>
      </c>
      <c r="D768" t="inlineStr">
        <is>
          <t>VÄRMLANDS LÄN</t>
        </is>
      </c>
      <c r="E768" t="inlineStr">
        <is>
          <t>ÅRJÄNG</t>
        </is>
      </c>
      <c r="G768" t="n">
        <v>6.5</v>
      </c>
      <c r="H768" t="n">
        <v>0</v>
      </c>
      <c r="I768" t="n">
        <v>0</v>
      </c>
      <c r="J768" t="n">
        <v>0</v>
      </c>
      <c r="K768" t="n">
        <v>0</v>
      </c>
      <c r="L768" t="n">
        <v>0</v>
      </c>
      <c r="M768" t="n">
        <v>0</v>
      </c>
      <c r="N768" t="n">
        <v>0</v>
      </c>
      <c r="O768" t="n">
        <v>0</v>
      </c>
      <c r="P768" t="n">
        <v>0</v>
      </c>
      <c r="Q768" t="n">
        <v>0</v>
      </c>
      <c r="R768" s="2" t="inlineStr"/>
    </row>
    <row r="769" ht="15" customHeight="1">
      <c r="A769" t="inlineStr">
        <is>
          <t>A 22898-2024</t>
        </is>
      </c>
      <c r="B769" s="1" t="n">
        <v>45448</v>
      </c>
      <c r="C769" s="1" t="n">
        <v>45886</v>
      </c>
      <c r="D769" t="inlineStr">
        <is>
          <t>VÄRMLANDS LÄN</t>
        </is>
      </c>
      <c r="E769" t="inlineStr">
        <is>
          <t>ÅRJÄNG</t>
        </is>
      </c>
      <c r="G769" t="n">
        <v>0.6</v>
      </c>
      <c r="H769" t="n">
        <v>0</v>
      </c>
      <c r="I769" t="n">
        <v>0</v>
      </c>
      <c r="J769" t="n">
        <v>0</v>
      </c>
      <c r="K769" t="n">
        <v>0</v>
      </c>
      <c r="L769" t="n">
        <v>0</v>
      </c>
      <c r="M769" t="n">
        <v>0</v>
      </c>
      <c r="N769" t="n">
        <v>0</v>
      </c>
      <c r="O769" t="n">
        <v>0</v>
      </c>
      <c r="P769" t="n">
        <v>0</v>
      </c>
      <c r="Q769" t="n">
        <v>0</v>
      </c>
      <c r="R769" s="2" t="inlineStr"/>
    </row>
    <row r="770" ht="15" customHeight="1">
      <c r="A770" t="inlineStr">
        <is>
          <t>A 10338-2024</t>
        </is>
      </c>
      <c r="B770" s="1" t="n">
        <v>45365.58712962963</v>
      </c>
      <c r="C770" s="1" t="n">
        <v>45886</v>
      </c>
      <c r="D770" t="inlineStr">
        <is>
          <t>VÄRMLANDS LÄN</t>
        </is>
      </c>
      <c r="E770" t="inlineStr">
        <is>
          <t>ÅRJÄNG</t>
        </is>
      </c>
      <c r="G770" t="n">
        <v>1.5</v>
      </c>
      <c r="H770" t="n">
        <v>0</v>
      </c>
      <c r="I770" t="n">
        <v>0</v>
      </c>
      <c r="J770" t="n">
        <v>0</v>
      </c>
      <c r="K770" t="n">
        <v>0</v>
      </c>
      <c r="L770" t="n">
        <v>0</v>
      </c>
      <c r="M770" t="n">
        <v>0</v>
      </c>
      <c r="N770" t="n">
        <v>0</v>
      </c>
      <c r="O770" t="n">
        <v>0</v>
      </c>
      <c r="P770" t="n">
        <v>0</v>
      </c>
      <c r="Q770" t="n">
        <v>0</v>
      </c>
      <c r="R770" s="2" t="inlineStr"/>
    </row>
    <row r="771" ht="15" customHeight="1">
      <c r="A771" t="inlineStr">
        <is>
          <t>A 51895-2022</t>
        </is>
      </c>
      <c r="B771" s="1" t="n">
        <v>44872.61237268519</v>
      </c>
      <c r="C771" s="1" t="n">
        <v>45886</v>
      </c>
      <c r="D771" t="inlineStr">
        <is>
          <t>VÄRMLANDS LÄN</t>
        </is>
      </c>
      <c r="E771" t="inlineStr">
        <is>
          <t>ÅRJÄNG</t>
        </is>
      </c>
      <c r="F771" t="inlineStr">
        <is>
          <t>Kyrkan</t>
        </is>
      </c>
      <c r="G771" t="n">
        <v>3.1</v>
      </c>
      <c r="H771" t="n">
        <v>0</v>
      </c>
      <c r="I771" t="n">
        <v>0</v>
      </c>
      <c r="J771" t="n">
        <v>0</v>
      </c>
      <c r="K771" t="n">
        <v>0</v>
      </c>
      <c r="L771" t="n">
        <v>0</v>
      </c>
      <c r="M771" t="n">
        <v>0</v>
      </c>
      <c r="N771" t="n">
        <v>0</v>
      </c>
      <c r="O771" t="n">
        <v>0</v>
      </c>
      <c r="P771" t="n">
        <v>0</v>
      </c>
      <c r="Q771" t="n">
        <v>0</v>
      </c>
      <c r="R771" s="2" t="inlineStr"/>
    </row>
    <row r="772" ht="15" customHeight="1">
      <c r="A772" t="inlineStr">
        <is>
          <t>A 61868-2024</t>
        </is>
      </c>
      <c r="B772" s="1" t="n">
        <v>45651.47393518518</v>
      </c>
      <c r="C772" s="1" t="n">
        <v>45886</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13647-2025</t>
        </is>
      </c>
      <c r="B773" s="1" t="n">
        <v>45736.69149305556</v>
      </c>
      <c r="C773" s="1" t="n">
        <v>45886</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5256-2023</t>
        </is>
      </c>
      <c r="B774" s="1" t="n">
        <v>44959.45520833333</v>
      </c>
      <c r="C774" s="1" t="n">
        <v>45886</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31282-2025</t>
        </is>
      </c>
      <c r="B775" s="1" t="n">
        <v>45833</v>
      </c>
      <c r="C775" s="1" t="n">
        <v>45886</v>
      </c>
      <c r="D775" t="inlineStr">
        <is>
          <t>VÄRMLANDS LÄN</t>
        </is>
      </c>
      <c r="E775" t="inlineStr">
        <is>
          <t>ÅRJÄNG</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31710-2025</t>
        </is>
      </c>
      <c r="B776" s="1" t="n">
        <v>45834.4325462963</v>
      </c>
      <c r="C776" s="1" t="n">
        <v>45886</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34075-2025</t>
        </is>
      </c>
      <c r="B777" s="1" t="n">
        <v>45845</v>
      </c>
      <c r="C777" s="1" t="n">
        <v>45886</v>
      </c>
      <c r="D777" t="inlineStr">
        <is>
          <t>VÄRMLANDS LÄN</t>
        </is>
      </c>
      <c r="E777" t="inlineStr">
        <is>
          <t>ÅRJÄNG</t>
        </is>
      </c>
      <c r="G777" t="n">
        <v>3.4</v>
      </c>
      <c r="H777" t="n">
        <v>0</v>
      </c>
      <c r="I777" t="n">
        <v>0</v>
      </c>
      <c r="J777" t="n">
        <v>0</v>
      </c>
      <c r="K777" t="n">
        <v>0</v>
      </c>
      <c r="L777" t="n">
        <v>0</v>
      </c>
      <c r="M777" t="n">
        <v>0</v>
      </c>
      <c r="N777" t="n">
        <v>0</v>
      </c>
      <c r="O777" t="n">
        <v>0</v>
      </c>
      <c r="P777" t="n">
        <v>0</v>
      </c>
      <c r="Q777" t="n">
        <v>0</v>
      </c>
      <c r="R777" s="2" t="inlineStr"/>
    </row>
    <row r="778" ht="15" customHeight="1">
      <c r="A778" t="inlineStr">
        <is>
          <t>A 31591-2025</t>
        </is>
      </c>
      <c r="B778" s="1" t="n">
        <v>45833</v>
      </c>
      <c r="C778" s="1" t="n">
        <v>45886</v>
      </c>
      <c r="D778" t="inlineStr">
        <is>
          <t>VÄRMLANDS LÄN</t>
        </is>
      </c>
      <c r="E778" t="inlineStr">
        <is>
          <t>ÅRJÄNG</t>
        </is>
      </c>
      <c r="G778" t="n">
        <v>1.2</v>
      </c>
      <c r="H778" t="n">
        <v>0</v>
      </c>
      <c r="I778" t="n">
        <v>0</v>
      </c>
      <c r="J778" t="n">
        <v>0</v>
      </c>
      <c r="K778" t="n">
        <v>0</v>
      </c>
      <c r="L778" t="n">
        <v>0</v>
      </c>
      <c r="M778" t="n">
        <v>0</v>
      </c>
      <c r="N778" t="n">
        <v>0</v>
      </c>
      <c r="O778" t="n">
        <v>0</v>
      </c>
      <c r="P778" t="n">
        <v>0</v>
      </c>
      <c r="Q778" t="n">
        <v>0</v>
      </c>
      <c r="R778" s="2" t="inlineStr"/>
    </row>
    <row r="779" ht="15" customHeight="1">
      <c r="A779" t="inlineStr">
        <is>
          <t>A 31433-2025</t>
        </is>
      </c>
      <c r="B779" s="1" t="n">
        <v>45833</v>
      </c>
      <c r="C779" s="1" t="n">
        <v>45886</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59624-2022</t>
        </is>
      </c>
      <c r="B780" s="1" t="n">
        <v>44907.90521990741</v>
      </c>
      <c r="C780" s="1" t="n">
        <v>45886</v>
      </c>
      <c r="D780" t="inlineStr">
        <is>
          <t>VÄRMLANDS LÄN</t>
        </is>
      </c>
      <c r="E780" t="inlineStr">
        <is>
          <t>ÅRJÄNG</t>
        </is>
      </c>
      <c r="G780" t="n">
        <v>1</v>
      </c>
      <c r="H780" t="n">
        <v>0</v>
      </c>
      <c r="I780" t="n">
        <v>0</v>
      </c>
      <c r="J780" t="n">
        <v>0</v>
      </c>
      <c r="K780" t="n">
        <v>0</v>
      </c>
      <c r="L780" t="n">
        <v>0</v>
      </c>
      <c r="M780" t="n">
        <v>0</v>
      </c>
      <c r="N780" t="n">
        <v>0</v>
      </c>
      <c r="O780" t="n">
        <v>0</v>
      </c>
      <c r="P780" t="n">
        <v>0</v>
      </c>
      <c r="Q780" t="n">
        <v>0</v>
      </c>
      <c r="R780" s="2" t="inlineStr"/>
    </row>
    <row r="781" ht="15" customHeight="1">
      <c r="A781" t="inlineStr">
        <is>
          <t>A 31393-2025</t>
        </is>
      </c>
      <c r="B781" s="1" t="n">
        <v>45833.46305555556</v>
      </c>
      <c r="C781" s="1" t="n">
        <v>45886</v>
      </c>
      <c r="D781" t="inlineStr">
        <is>
          <t>VÄRMLANDS LÄN</t>
        </is>
      </c>
      <c r="E781" t="inlineStr">
        <is>
          <t>ÅRJÄNG</t>
        </is>
      </c>
      <c r="G781" t="n">
        <v>1.8</v>
      </c>
      <c r="H781" t="n">
        <v>0</v>
      </c>
      <c r="I781" t="n">
        <v>0</v>
      </c>
      <c r="J781" t="n">
        <v>0</v>
      </c>
      <c r="K781" t="n">
        <v>0</v>
      </c>
      <c r="L781" t="n">
        <v>0</v>
      </c>
      <c r="M781" t="n">
        <v>0</v>
      </c>
      <c r="N781" t="n">
        <v>0</v>
      </c>
      <c r="O781" t="n">
        <v>0</v>
      </c>
      <c r="P781" t="n">
        <v>0</v>
      </c>
      <c r="Q781" t="n">
        <v>0</v>
      </c>
      <c r="R781" s="2" t="inlineStr"/>
    </row>
    <row r="782" ht="15" customHeight="1">
      <c r="A782" t="inlineStr">
        <is>
          <t>A 3492-2024</t>
        </is>
      </c>
      <c r="B782" s="1" t="n">
        <v>45317</v>
      </c>
      <c r="C782" s="1" t="n">
        <v>45886</v>
      </c>
      <c r="D782" t="inlineStr">
        <is>
          <t>VÄRMLANDS LÄN</t>
        </is>
      </c>
      <c r="E782" t="inlineStr">
        <is>
          <t>ÅRJÄNG</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64229-2023</t>
        </is>
      </c>
      <c r="B783" s="1" t="n">
        <v>45279</v>
      </c>
      <c r="C783" s="1" t="n">
        <v>45886</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37071-2025</t>
        </is>
      </c>
      <c r="B784" s="1" t="n">
        <v>45875.40101851852</v>
      </c>
      <c r="C784" s="1" t="n">
        <v>45886</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37247-2025</t>
        </is>
      </c>
      <c r="B785" s="1" t="n">
        <v>45876.40268518519</v>
      </c>
      <c r="C785" s="1" t="n">
        <v>45886</v>
      </c>
      <c r="D785" t="inlineStr">
        <is>
          <t>VÄRMLANDS LÄN</t>
        </is>
      </c>
      <c r="E785" t="inlineStr">
        <is>
          <t>ÅRJÄNG</t>
        </is>
      </c>
      <c r="G785" t="n">
        <v>2.7</v>
      </c>
      <c r="H785" t="n">
        <v>0</v>
      </c>
      <c r="I785" t="n">
        <v>0</v>
      </c>
      <c r="J785" t="n">
        <v>0</v>
      </c>
      <c r="K785" t="n">
        <v>0</v>
      </c>
      <c r="L785" t="n">
        <v>0</v>
      </c>
      <c r="M785" t="n">
        <v>0</v>
      </c>
      <c r="N785" t="n">
        <v>0</v>
      </c>
      <c r="O785" t="n">
        <v>0</v>
      </c>
      <c r="P785" t="n">
        <v>0</v>
      </c>
      <c r="Q785" t="n">
        <v>0</v>
      </c>
      <c r="R785" s="2" t="inlineStr"/>
    </row>
    <row r="786" ht="15" customHeight="1">
      <c r="A786" t="inlineStr">
        <is>
          <t>A 13029-2025</t>
        </is>
      </c>
      <c r="B786" s="1" t="n">
        <v>45734.5703125</v>
      </c>
      <c r="C786" s="1" t="n">
        <v>45886</v>
      </c>
      <c r="D786" t="inlineStr">
        <is>
          <t>VÄRMLANDS LÄN</t>
        </is>
      </c>
      <c r="E786" t="inlineStr">
        <is>
          <t>ÅRJÄNG</t>
        </is>
      </c>
      <c r="G786" t="n">
        <v>4.1</v>
      </c>
      <c r="H786" t="n">
        <v>0</v>
      </c>
      <c r="I786" t="n">
        <v>0</v>
      </c>
      <c r="J786" t="n">
        <v>0</v>
      </c>
      <c r="K786" t="n">
        <v>0</v>
      </c>
      <c r="L786" t="n">
        <v>0</v>
      </c>
      <c r="M786" t="n">
        <v>0</v>
      </c>
      <c r="N786" t="n">
        <v>0</v>
      </c>
      <c r="O786" t="n">
        <v>0</v>
      </c>
      <c r="P786" t="n">
        <v>0</v>
      </c>
      <c r="Q786" t="n">
        <v>0</v>
      </c>
      <c r="R786" s="2" t="inlineStr"/>
    </row>
    <row r="787" ht="15" customHeight="1">
      <c r="A787" t="inlineStr">
        <is>
          <t>A 37402-2025</t>
        </is>
      </c>
      <c r="B787" s="1" t="n">
        <v>45877</v>
      </c>
      <c r="C787" s="1" t="n">
        <v>45886</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37419-2025</t>
        </is>
      </c>
      <c r="B788" s="1" t="n">
        <v>45877</v>
      </c>
      <c r="C788" s="1" t="n">
        <v>45886</v>
      </c>
      <c r="D788" t="inlineStr">
        <is>
          <t>VÄRMLANDS LÄN</t>
        </is>
      </c>
      <c r="E788" t="inlineStr">
        <is>
          <t>ÅRJÄNG</t>
        </is>
      </c>
      <c r="G788" t="n">
        <v>4.9</v>
      </c>
      <c r="H788" t="n">
        <v>0</v>
      </c>
      <c r="I788" t="n">
        <v>0</v>
      </c>
      <c r="J788" t="n">
        <v>0</v>
      </c>
      <c r="K788" t="n">
        <v>0</v>
      </c>
      <c r="L788" t="n">
        <v>0</v>
      </c>
      <c r="M788" t="n">
        <v>0</v>
      </c>
      <c r="N788" t="n">
        <v>0</v>
      </c>
      <c r="O788" t="n">
        <v>0</v>
      </c>
      <c r="P788" t="n">
        <v>0</v>
      </c>
      <c r="Q788" t="n">
        <v>0</v>
      </c>
      <c r="R788" s="2" t="inlineStr"/>
    </row>
    <row r="789" ht="15" customHeight="1">
      <c r="A789" t="inlineStr">
        <is>
          <t>A 32321-2025</t>
        </is>
      </c>
      <c r="B789" s="1" t="n">
        <v>45836</v>
      </c>
      <c r="C789" s="1" t="n">
        <v>45886</v>
      </c>
      <c r="D789" t="inlineStr">
        <is>
          <t>VÄRMLANDS LÄN</t>
        </is>
      </c>
      <c r="E789" t="inlineStr">
        <is>
          <t>ÅRJÄNG</t>
        </is>
      </c>
      <c r="G789" t="n">
        <v>2.4</v>
      </c>
      <c r="H789" t="n">
        <v>0</v>
      </c>
      <c r="I789" t="n">
        <v>0</v>
      </c>
      <c r="J789" t="n">
        <v>0</v>
      </c>
      <c r="K789" t="n">
        <v>0</v>
      </c>
      <c r="L789" t="n">
        <v>0</v>
      </c>
      <c r="M789" t="n">
        <v>0</v>
      </c>
      <c r="N789" t="n">
        <v>0</v>
      </c>
      <c r="O789" t="n">
        <v>0</v>
      </c>
      <c r="P789" t="n">
        <v>0</v>
      </c>
      <c r="Q789" t="n">
        <v>0</v>
      </c>
      <c r="R789" s="2" t="inlineStr"/>
    </row>
    <row r="790" ht="15" customHeight="1">
      <c r="A790" t="inlineStr">
        <is>
          <t>A 32330-2025</t>
        </is>
      </c>
      <c r="B790" s="1" t="n">
        <v>45836.50547453704</v>
      </c>
      <c r="C790" s="1" t="n">
        <v>45886</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7443-2024</t>
        </is>
      </c>
      <c r="B791" s="1" t="n">
        <v>45345.72207175926</v>
      </c>
      <c r="C791" s="1" t="n">
        <v>45886</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32324-2025</t>
        </is>
      </c>
      <c r="B792" s="1" t="n">
        <v>45836.43634259259</v>
      </c>
      <c r="C792" s="1" t="n">
        <v>45886</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58486-2023</t>
        </is>
      </c>
      <c r="B793" s="1" t="n">
        <v>45246</v>
      </c>
      <c r="C793" s="1" t="n">
        <v>45886</v>
      </c>
      <c r="D793" t="inlineStr">
        <is>
          <t>VÄRMLANDS LÄN</t>
        </is>
      </c>
      <c r="E793" t="inlineStr">
        <is>
          <t>ÅRJÄNG</t>
        </is>
      </c>
      <c r="G793" t="n">
        <v>8.5</v>
      </c>
      <c r="H793" t="n">
        <v>0</v>
      </c>
      <c r="I793" t="n">
        <v>0</v>
      </c>
      <c r="J793" t="n">
        <v>0</v>
      </c>
      <c r="K793" t="n">
        <v>0</v>
      </c>
      <c r="L793" t="n">
        <v>0</v>
      </c>
      <c r="M793" t="n">
        <v>0</v>
      </c>
      <c r="N793" t="n">
        <v>0</v>
      </c>
      <c r="O793" t="n">
        <v>0</v>
      </c>
      <c r="P793" t="n">
        <v>0</v>
      </c>
      <c r="Q793" t="n">
        <v>0</v>
      </c>
      <c r="R793" s="2" t="inlineStr"/>
    </row>
    <row r="794" ht="15" customHeight="1">
      <c r="A794" t="inlineStr">
        <is>
          <t>A 37418-2025</t>
        </is>
      </c>
      <c r="B794" s="1" t="n">
        <v>45877</v>
      </c>
      <c r="C794" s="1" t="n">
        <v>45886</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36587-2024</t>
        </is>
      </c>
      <c r="B795" s="1" t="n">
        <v>45537</v>
      </c>
      <c r="C795" s="1" t="n">
        <v>45886</v>
      </c>
      <c r="D795" t="inlineStr">
        <is>
          <t>VÄRMLANDS LÄN</t>
        </is>
      </c>
      <c r="E795" t="inlineStr">
        <is>
          <t>ÅRJÄNG</t>
        </is>
      </c>
      <c r="G795" t="n">
        <v>2.6</v>
      </c>
      <c r="H795" t="n">
        <v>0</v>
      </c>
      <c r="I795" t="n">
        <v>0</v>
      </c>
      <c r="J795" t="n">
        <v>0</v>
      </c>
      <c r="K795" t="n">
        <v>0</v>
      </c>
      <c r="L795" t="n">
        <v>0</v>
      </c>
      <c r="M795" t="n">
        <v>0</v>
      </c>
      <c r="N795" t="n">
        <v>0</v>
      </c>
      <c r="O795" t="n">
        <v>0</v>
      </c>
      <c r="P795" t="n">
        <v>0</v>
      </c>
      <c r="Q795" t="n">
        <v>0</v>
      </c>
      <c r="R795" s="2" t="inlineStr"/>
    </row>
    <row r="796" ht="15" customHeight="1">
      <c r="A796" t="inlineStr">
        <is>
          <t>A 40349-2024</t>
        </is>
      </c>
      <c r="B796" s="1" t="n">
        <v>45555.35849537037</v>
      </c>
      <c r="C796" s="1" t="n">
        <v>45886</v>
      </c>
      <c r="D796" t="inlineStr">
        <is>
          <t>VÄRMLANDS LÄN</t>
        </is>
      </c>
      <c r="E796" t="inlineStr">
        <is>
          <t>ÅRJÄNG</t>
        </is>
      </c>
      <c r="G796" t="n">
        <v>0.6</v>
      </c>
      <c r="H796" t="n">
        <v>0</v>
      </c>
      <c r="I796" t="n">
        <v>0</v>
      </c>
      <c r="J796" t="n">
        <v>0</v>
      </c>
      <c r="K796" t="n">
        <v>0</v>
      </c>
      <c r="L796" t="n">
        <v>0</v>
      </c>
      <c r="M796" t="n">
        <v>0</v>
      </c>
      <c r="N796" t="n">
        <v>0</v>
      </c>
      <c r="O796" t="n">
        <v>0</v>
      </c>
      <c r="P796" t="n">
        <v>0</v>
      </c>
      <c r="Q796" t="n">
        <v>0</v>
      </c>
      <c r="R796" s="2" t="inlineStr"/>
    </row>
    <row r="797" ht="15" customHeight="1">
      <c r="A797" t="inlineStr">
        <is>
          <t>A 34230-2025</t>
        </is>
      </c>
      <c r="B797" s="1" t="n">
        <v>45845</v>
      </c>
      <c r="C797" s="1" t="n">
        <v>45886</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4404-2025</t>
        </is>
      </c>
      <c r="B798" s="1" t="n">
        <v>45686</v>
      </c>
      <c r="C798" s="1" t="n">
        <v>45886</v>
      </c>
      <c r="D798" t="inlineStr">
        <is>
          <t>VÄRMLANDS LÄN</t>
        </is>
      </c>
      <c r="E798" t="inlineStr">
        <is>
          <t>ÅRJÄNG</t>
        </is>
      </c>
      <c r="F798" t="inlineStr">
        <is>
          <t>Kyrkan</t>
        </is>
      </c>
      <c r="G798" t="n">
        <v>4.8</v>
      </c>
      <c r="H798" t="n">
        <v>0</v>
      </c>
      <c r="I798" t="n">
        <v>0</v>
      </c>
      <c r="J798" t="n">
        <v>0</v>
      </c>
      <c r="K798" t="n">
        <v>0</v>
      </c>
      <c r="L798" t="n">
        <v>0</v>
      </c>
      <c r="M798" t="n">
        <v>0</v>
      </c>
      <c r="N798" t="n">
        <v>0</v>
      </c>
      <c r="O798" t="n">
        <v>0</v>
      </c>
      <c r="P798" t="n">
        <v>0</v>
      </c>
      <c r="Q798" t="n">
        <v>0</v>
      </c>
      <c r="R798" s="2" t="inlineStr"/>
    </row>
    <row r="799" ht="15" customHeight="1">
      <c r="A799" t="inlineStr">
        <is>
          <t>A 23971-2023</t>
        </is>
      </c>
      <c r="B799" s="1" t="n">
        <v>45078.63996527778</v>
      </c>
      <c r="C799" s="1" t="n">
        <v>45886</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37662-2025</t>
        </is>
      </c>
      <c r="B800" s="1" t="n">
        <v>45880</v>
      </c>
      <c r="C800" s="1" t="n">
        <v>45886</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37416-2025</t>
        </is>
      </c>
      <c r="B801" s="1" t="n">
        <v>45877</v>
      </c>
      <c r="C801" s="1" t="n">
        <v>45886</v>
      </c>
      <c r="D801" t="inlineStr">
        <is>
          <t>VÄRMLANDS LÄN</t>
        </is>
      </c>
      <c r="E801" t="inlineStr">
        <is>
          <t>ÅRJÄNG</t>
        </is>
      </c>
      <c r="G801" t="n">
        <v>3.8</v>
      </c>
      <c r="H801" t="n">
        <v>0</v>
      </c>
      <c r="I801" t="n">
        <v>0</v>
      </c>
      <c r="J801" t="n">
        <v>0</v>
      </c>
      <c r="K801" t="n">
        <v>0</v>
      </c>
      <c r="L801" t="n">
        <v>0</v>
      </c>
      <c r="M801" t="n">
        <v>0</v>
      </c>
      <c r="N801" t="n">
        <v>0</v>
      </c>
      <c r="O801" t="n">
        <v>0</v>
      </c>
      <c r="P801" t="n">
        <v>0</v>
      </c>
      <c r="Q801" t="n">
        <v>0</v>
      </c>
      <c r="R801" s="2" t="inlineStr"/>
    </row>
    <row r="802" ht="15" customHeight="1">
      <c r="A802" t="inlineStr">
        <is>
          <t>A 37420-2025</t>
        </is>
      </c>
      <c r="B802" s="1" t="n">
        <v>45877</v>
      </c>
      <c r="C802" s="1" t="n">
        <v>45886</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37555-2025</t>
        </is>
      </c>
      <c r="B803" s="1" t="n">
        <v>45880</v>
      </c>
      <c r="C803" s="1" t="n">
        <v>45886</v>
      </c>
      <c r="D803" t="inlineStr">
        <is>
          <t>VÄRMLANDS LÄN</t>
        </is>
      </c>
      <c r="E803" t="inlineStr">
        <is>
          <t>ÅRJÄNG</t>
        </is>
      </c>
      <c r="G803" t="n">
        <v>0.8</v>
      </c>
      <c r="H803" t="n">
        <v>0</v>
      </c>
      <c r="I803" t="n">
        <v>0</v>
      </c>
      <c r="J803" t="n">
        <v>0</v>
      </c>
      <c r="K803" t="n">
        <v>0</v>
      </c>
      <c r="L803" t="n">
        <v>0</v>
      </c>
      <c r="M803" t="n">
        <v>0</v>
      </c>
      <c r="N803" t="n">
        <v>0</v>
      </c>
      <c r="O803" t="n">
        <v>0</v>
      </c>
      <c r="P803" t="n">
        <v>0</v>
      </c>
      <c r="Q803" t="n">
        <v>0</v>
      </c>
      <c r="R803" s="2" t="inlineStr"/>
    </row>
    <row r="804" ht="15" customHeight="1">
      <c r="A804" t="inlineStr">
        <is>
          <t>A 57708-2024</t>
        </is>
      </c>
      <c r="B804" s="1" t="n">
        <v>45630</v>
      </c>
      <c r="C804" s="1" t="n">
        <v>45886</v>
      </c>
      <c r="D804" t="inlineStr">
        <is>
          <t>VÄRMLANDS LÄN</t>
        </is>
      </c>
      <c r="E804" t="inlineStr">
        <is>
          <t>ÅRJÄNG</t>
        </is>
      </c>
      <c r="G804" t="n">
        <v>2</v>
      </c>
      <c r="H804" t="n">
        <v>0</v>
      </c>
      <c r="I804" t="n">
        <v>0</v>
      </c>
      <c r="J804" t="n">
        <v>0</v>
      </c>
      <c r="K804" t="n">
        <v>0</v>
      </c>
      <c r="L804" t="n">
        <v>0</v>
      </c>
      <c r="M804" t="n">
        <v>0</v>
      </c>
      <c r="N804" t="n">
        <v>0</v>
      </c>
      <c r="O804" t="n">
        <v>0</v>
      </c>
      <c r="P804" t="n">
        <v>0</v>
      </c>
      <c r="Q804" t="n">
        <v>0</v>
      </c>
      <c r="R804" s="2" t="inlineStr"/>
    </row>
    <row r="805" ht="15" customHeight="1">
      <c r="A805" t="inlineStr">
        <is>
          <t>A 37680-2025</t>
        </is>
      </c>
      <c r="B805" s="1" t="n">
        <v>45880.54208333333</v>
      </c>
      <c r="C805" s="1" t="n">
        <v>45886</v>
      </c>
      <c r="D805" t="inlineStr">
        <is>
          <t>VÄRMLANDS LÄN</t>
        </is>
      </c>
      <c r="E805" t="inlineStr">
        <is>
          <t>ÅRJÄNG</t>
        </is>
      </c>
      <c r="G805" t="n">
        <v>2</v>
      </c>
      <c r="H805" t="n">
        <v>0</v>
      </c>
      <c r="I805" t="n">
        <v>0</v>
      </c>
      <c r="J805" t="n">
        <v>0</v>
      </c>
      <c r="K805" t="n">
        <v>0</v>
      </c>
      <c r="L805" t="n">
        <v>0</v>
      </c>
      <c r="M805" t="n">
        <v>0</v>
      </c>
      <c r="N805" t="n">
        <v>0</v>
      </c>
      <c r="O805" t="n">
        <v>0</v>
      </c>
      <c r="P805" t="n">
        <v>0</v>
      </c>
      <c r="Q805" t="n">
        <v>0</v>
      </c>
      <c r="R805" s="2" t="inlineStr"/>
    </row>
    <row r="806" ht="15" customHeight="1">
      <c r="A806" t="inlineStr">
        <is>
          <t>A 32326-2025</t>
        </is>
      </c>
      <c r="B806" s="1" t="n">
        <v>45836.44392361111</v>
      </c>
      <c r="C806" s="1" t="n">
        <v>45886</v>
      </c>
      <c r="D806" t="inlineStr">
        <is>
          <t>VÄRMLANDS LÄN</t>
        </is>
      </c>
      <c r="E806" t="inlineStr">
        <is>
          <t>ÅRJÄNG</t>
        </is>
      </c>
      <c r="G806" t="n">
        <v>0.7</v>
      </c>
      <c r="H806" t="n">
        <v>0</v>
      </c>
      <c r="I806" t="n">
        <v>0</v>
      </c>
      <c r="J806" t="n">
        <v>0</v>
      </c>
      <c r="K806" t="n">
        <v>0</v>
      </c>
      <c r="L806" t="n">
        <v>0</v>
      </c>
      <c r="M806" t="n">
        <v>0</v>
      </c>
      <c r="N806" t="n">
        <v>0</v>
      </c>
      <c r="O806" t="n">
        <v>0</v>
      </c>
      <c r="P806" t="n">
        <v>0</v>
      </c>
      <c r="Q806" t="n">
        <v>0</v>
      </c>
      <c r="R806" s="2" t="inlineStr"/>
    </row>
    <row r="807" ht="15" customHeight="1">
      <c r="A807" t="inlineStr">
        <is>
          <t>A 15547-2025</t>
        </is>
      </c>
      <c r="B807" s="1" t="n">
        <v>45747</v>
      </c>
      <c r="C807" s="1" t="n">
        <v>45886</v>
      </c>
      <c r="D807" t="inlineStr">
        <is>
          <t>VÄRMLANDS LÄN</t>
        </is>
      </c>
      <c r="E807" t="inlineStr">
        <is>
          <t>ÅRJÄNG</t>
        </is>
      </c>
      <c r="G807" t="n">
        <v>5.8</v>
      </c>
      <c r="H807" t="n">
        <v>0</v>
      </c>
      <c r="I807" t="n">
        <v>0</v>
      </c>
      <c r="J807" t="n">
        <v>0</v>
      </c>
      <c r="K807" t="n">
        <v>0</v>
      </c>
      <c r="L807" t="n">
        <v>0</v>
      </c>
      <c r="M807" t="n">
        <v>0</v>
      </c>
      <c r="N807" t="n">
        <v>0</v>
      </c>
      <c r="O807" t="n">
        <v>0</v>
      </c>
      <c r="P807" t="n">
        <v>0</v>
      </c>
      <c r="Q807" t="n">
        <v>0</v>
      </c>
      <c r="R807" s="2" t="inlineStr"/>
    </row>
    <row r="808" ht="15" customHeight="1">
      <c r="A808" t="inlineStr">
        <is>
          <t>A 15548-2025</t>
        </is>
      </c>
      <c r="B808" s="1" t="n">
        <v>45747</v>
      </c>
      <c r="C808" s="1" t="n">
        <v>45886</v>
      </c>
      <c r="D808" t="inlineStr">
        <is>
          <t>VÄRMLANDS LÄN</t>
        </is>
      </c>
      <c r="E808" t="inlineStr">
        <is>
          <t>ÅRJÄNG</t>
        </is>
      </c>
      <c r="G808" t="n">
        <v>2.5</v>
      </c>
      <c r="H808" t="n">
        <v>0</v>
      </c>
      <c r="I808" t="n">
        <v>0</v>
      </c>
      <c r="J808" t="n">
        <v>0</v>
      </c>
      <c r="K808" t="n">
        <v>0</v>
      </c>
      <c r="L808" t="n">
        <v>0</v>
      </c>
      <c r="M808" t="n">
        <v>0</v>
      </c>
      <c r="N808" t="n">
        <v>0</v>
      </c>
      <c r="O808" t="n">
        <v>0</v>
      </c>
      <c r="P808" t="n">
        <v>0</v>
      </c>
      <c r="Q808" t="n">
        <v>0</v>
      </c>
      <c r="R808" s="2" t="inlineStr"/>
    </row>
    <row r="809" ht="15" customHeight="1">
      <c r="A809" t="inlineStr">
        <is>
          <t>A 6107-2024</t>
        </is>
      </c>
      <c r="B809" s="1" t="n">
        <v>45337</v>
      </c>
      <c r="C809" s="1" t="n">
        <v>45886</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54013-2023</t>
        </is>
      </c>
      <c r="B810" s="1" t="n">
        <v>45231.81550925926</v>
      </c>
      <c r="C810" s="1" t="n">
        <v>45886</v>
      </c>
      <c r="D810" t="inlineStr">
        <is>
          <t>VÄRMLANDS LÄN</t>
        </is>
      </c>
      <c r="E810" t="inlineStr">
        <is>
          <t>ÅRJÄNG</t>
        </is>
      </c>
      <c r="G810" t="n">
        <v>1.3</v>
      </c>
      <c r="H810" t="n">
        <v>0</v>
      </c>
      <c r="I810" t="n">
        <v>0</v>
      </c>
      <c r="J810" t="n">
        <v>0</v>
      </c>
      <c r="K810" t="n">
        <v>0</v>
      </c>
      <c r="L810" t="n">
        <v>0</v>
      </c>
      <c r="M810" t="n">
        <v>0</v>
      </c>
      <c r="N810" t="n">
        <v>0</v>
      </c>
      <c r="O810" t="n">
        <v>0</v>
      </c>
      <c r="P810" t="n">
        <v>0</v>
      </c>
      <c r="Q810" t="n">
        <v>0</v>
      </c>
      <c r="R810" s="2" t="inlineStr"/>
    </row>
    <row r="811" ht="15" customHeight="1">
      <c r="A811" t="inlineStr">
        <is>
          <t>A 15308-2022</t>
        </is>
      </c>
      <c r="B811" s="1" t="n">
        <v>44659.45865740741</v>
      </c>
      <c r="C811" s="1" t="n">
        <v>45886</v>
      </c>
      <c r="D811" t="inlineStr">
        <is>
          <t>VÄRMLANDS LÄN</t>
        </is>
      </c>
      <c r="E811" t="inlineStr">
        <is>
          <t>ÅRJÄNG</t>
        </is>
      </c>
      <c r="G811" t="n">
        <v>10.7</v>
      </c>
      <c r="H811" t="n">
        <v>0</v>
      </c>
      <c r="I811" t="n">
        <v>0</v>
      </c>
      <c r="J811" t="n">
        <v>0</v>
      </c>
      <c r="K811" t="n">
        <v>0</v>
      </c>
      <c r="L811" t="n">
        <v>0</v>
      </c>
      <c r="M811" t="n">
        <v>0</v>
      </c>
      <c r="N811" t="n">
        <v>0</v>
      </c>
      <c r="O811" t="n">
        <v>0</v>
      </c>
      <c r="P811" t="n">
        <v>0</v>
      </c>
      <c r="Q811" t="n">
        <v>0</v>
      </c>
      <c r="R811" s="2" t="inlineStr"/>
    </row>
    <row r="812" ht="15" customHeight="1">
      <c r="A812" t="inlineStr">
        <is>
          <t>A 37655-2025</t>
        </is>
      </c>
      <c r="B812" s="1" t="n">
        <v>45880</v>
      </c>
      <c r="C812" s="1" t="n">
        <v>45886</v>
      </c>
      <c r="D812" t="inlineStr">
        <is>
          <t>VÄRMLANDS LÄN</t>
        </is>
      </c>
      <c r="E812" t="inlineStr">
        <is>
          <t>ÅRJÄNG</t>
        </is>
      </c>
      <c r="G812" t="n">
        <v>2.3</v>
      </c>
      <c r="H812" t="n">
        <v>0</v>
      </c>
      <c r="I812" t="n">
        <v>0</v>
      </c>
      <c r="J812" t="n">
        <v>0</v>
      </c>
      <c r="K812" t="n">
        <v>0</v>
      </c>
      <c r="L812" t="n">
        <v>0</v>
      </c>
      <c r="M812" t="n">
        <v>0</v>
      </c>
      <c r="N812" t="n">
        <v>0</v>
      </c>
      <c r="O812" t="n">
        <v>0</v>
      </c>
      <c r="P812" t="n">
        <v>0</v>
      </c>
      <c r="Q812" t="n">
        <v>0</v>
      </c>
      <c r="R812" s="2" t="inlineStr"/>
    </row>
    <row r="813" ht="15" customHeight="1">
      <c r="A813" t="inlineStr">
        <is>
          <t>A 14466-2025</t>
        </is>
      </c>
      <c r="B813" s="1" t="n">
        <v>45741.57255787037</v>
      </c>
      <c r="C813" s="1" t="n">
        <v>45886</v>
      </c>
      <c r="D813" t="inlineStr">
        <is>
          <t>VÄRMLANDS LÄN</t>
        </is>
      </c>
      <c r="E813" t="inlineStr">
        <is>
          <t>ÅRJÄNG</t>
        </is>
      </c>
      <c r="G813" t="n">
        <v>12.2</v>
      </c>
      <c r="H813" t="n">
        <v>0</v>
      </c>
      <c r="I813" t="n">
        <v>0</v>
      </c>
      <c r="J813" t="n">
        <v>0</v>
      </c>
      <c r="K813" t="n">
        <v>0</v>
      </c>
      <c r="L813" t="n">
        <v>0</v>
      </c>
      <c r="M813" t="n">
        <v>0</v>
      </c>
      <c r="N813" t="n">
        <v>0</v>
      </c>
      <c r="O813" t="n">
        <v>0</v>
      </c>
      <c r="P813" t="n">
        <v>0</v>
      </c>
      <c r="Q813" t="n">
        <v>0</v>
      </c>
      <c r="R813" s="2" t="inlineStr"/>
    </row>
    <row r="814" ht="15" customHeight="1">
      <c r="A814" t="inlineStr">
        <is>
          <t>A 7114-2023</t>
        </is>
      </c>
      <c r="B814" s="1" t="n">
        <v>44970.39068287037</v>
      </c>
      <c r="C814" s="1" t="n">
        <v>45886</v>
      </c>
      <c r="D814" t="inlineStr">
        <is>
          <t>VÄRMLANDS LÄN</t>
        </is>
      </c>
      <c r="E814" t="inlineStr">
        <is>
          <t>ÅRJÄNG</t>
        </is>
      </c>
      <c r="G814" t="n">
        <v>4.7</v>
      </c>
      <c r="H814" t="n">
        <v>0</v>
      </c>
      <c r="I814" t="n">
        <v>0</v>
      </c>
      <c r="J814" t="n">
        <v>0</v>
      </c>
      <c r="K814" t="n">
        <v>0</v>
      </c>
      <c r="L814" t="n">
        <v>0</v>
      </c>
      <c r="M814" t="n">
        <v>0</v>
      </c>
      <c r="N814" t="n">
        <v>0</v>
      </c>
      <c r="O814" t="n">
        <v>0</v>
      </c>
      <c r="P814" t="n">
        <v>0</v>
      </c>
      <c r="Q814" t="n">
        <v>0</v>
      </c>
      <c r="R814" s="2" t="inlineStr"/>
    </row>
    <row r="815" ht="15" customHeight="1">
      <c r="A815" t="inlineStr">
        <is>
          <t>A 37191-2023</t>
        </is>
      </c>
      <c r="B815" s="1" t="n">
        <v>45154</v>
      </c>
      <c r="C815" s="1" t="n">
        <v>45886</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59976-2022</t>
        </is>
      </c>
      <c r="B816" s="1" t="n">
        <v>44901</v>
      </c>
      <c r="C816" s="1" t="n">
        <v>45886</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21365-2022</t>
        </is>
      </c>
      <c r="B817" s="1" t="n">
        <v>44705</v>
      </c>
      <c r="C817" s="1" t="n">
        <v>45886</v>
      </c>
      <c r="D817" t="inlineStr">
        <is>
          <t>VÄRMLANDS LÄN</t>
        </is>
      </c>
      <c r="E817" t="inlineStr">
        <is>
          <t>ÅRJÄNG</t>
        </is>
      </c>
      <c r="G817" t="n">
        <v>1.8</v>
      </c>
      <c r="H817" t="n">
        <v>0</v>
      </c>
      <c r="I817" t="n">
        <v>0</v>
      </c>
      <c r="J817" t="n">
        <v>0</v>
      </c>
      <c r="K817" t="n">
        <v>0</v>
      </c>
      <c r="L817" t="n">
        <v>0</v>
      </c>
      <c r="M817" t="n">
        <v>0</v>
      </c>
      <c r="N817" t="n">
        <v>0</v>
      </c>
      <c r="O817" t="n">
        <v>0</v>
      </c>
      <c r="P817" t="n">
        <v>0</v>
      </c>
      <c r="Q817" t="n">
        <v>0</v>
      </c>
      <c r="R817" s="2" t="inlineStr"/>
    </row>
    <row r="818" ht="15" customHeight="1">
      <c r="A818" t="inlineStr">
        <is>
          <t>A 32920-2025</t>
        </is>
      </c>
      <c r="B818" s="1" t="n">
        <v>45839</v>
      </c>
      <c r="C818" s="1" t="n">
        <v>45886</v>
      </c>
      <c r="D818" t="inlineStr">
        <is>
          <t>VÄRMLANDS LÄN</t>
        </is>
      </c>
      <c r="E818" t="inlineStr">
        <is>
          <t>ÅRJÄNG</t>
        </is>
      </c>
      <c r="G818" t="n">
        <v>4.8</v>
      </c>
      <c r="H818" t="n">
        <v>0</v>
      </c>
      <c r="I818" t="n">
        <v>0</v>
      </c>
      <c r="J818" t="n">
        <v>0</v>
      </c>
      <c r="K818" t="n">
        <v>0</v>
      </c>
      <c r="L818" t="n">
        <v>0</v>
      </c>
      <c r="M818" t="n">
        <v>0</v>
      </c>
      <c r="N818" t="n">
        <v>0</v>
      </c>
      <c r="O818" t="n">
        <v>0</v>
      </c>
      <c r="P818" t="n">
        <v>0</v>
      </c>
      <c r="Q818" t="n">
        <v>0</v>
      </c>
      <c r="R818" s="2" t="inlineStr"/>
    </row>
    <row r="819" ht="15" customHeight="1">
      <c r="A819" t="inlineStr">
        <is>
          <t>A 32730-2025</t>
        </is>
      </c>
      <c r="B819" s="1" t="n">
        <v>45839.40315972222</v>
      </c>
      <c r="C819" s="1" t="n">
        <v>45886</v>
      </c>
      <c r="D819" t="inlineStr">
        <is>
          <t>VÄRMLANDS LÄN</t>
        </is>
      </c>
      <c r="E819" t="inlineStr">
        <is>
          <t>ÅRJÄNG</t>
        </is>
      </c>
      <c r="F819" t="inlineStr">
        <is>
          <t>Kyrkan</t>
        </is>
      </c>
      <c r="G819" t="n">
        <v>5.9</v>
      </c>
      <c r="H819" t="n">
        <v>0</v>
      </c>
      <c r="I819" t="n">
        <v>0</v>
      </c>
      <c r="J819" t="n">
        <v>0</v>
      </c>
      <c r="K819" t="n">
        <v>0</v>
      </c>
      <c r="L819" t="n">
        <v>0</v>
      </c>
      <c r="M819" t="n">
        <v>0</v>
      </c>
      <c r="N819" t="n">
        <v>0</v>
      </c>
      <c r="O819" t="n">
        <v>0</v>
      </c>
      <c r="P819" t="n">
        <v>0</v>
      </c>
      <c r="Q819" t="n">
        <v>0</v>
      </c>
      <c r="R819" s="2" t="inlineStr"/>
    </row>
    <row r="820" ht="15" customHeight="1">
      <c r="A820" t="inlineStr">
        <is>
          <t>A 53468-2021</t>
        </is>
      </c>
      <c r="B820" s="1" t="n">
        <v>44468.74127314815</v>
      </c>
      <c r="C820" s="1" t="n">
        <v>45886</v>
      </c>
      <c r="D820" t="inlineStr">
        <is>
          <t>VÄRMLANDS LÄN</t>
        </is>
      </c>
      <c r="E820" t="inlineStr">
        <is>
          <t>ÅRJÄNG</t>
        </is>
      </c>
      <c r="G820" t="n">
        <v>2.1</v>
      </c>
      <c r="H820" t="n">
        <v>0</v>
      </c>
      <c r="I820" t="n">
        <v>0</v>
      </c>
      <c r="J820" t="n">
        <v>0</v>
      </c>
      <c r="K820" t="n">
        <v>0</v>
      </c>
      <c r="L820" t="n">
        <v>0</v>
      </c>
      <c r="M820" t="n">
        <v>0</v>
      </c>
      <c r="N820" t="n">
        <v>0</v>
      </c>
      <c r="O820" t="n">
        <v>0</v>
      </c>
      <c r="P820" t="n">
        <v>0</v>
      </c>
      <c r="Q820" t="n">
        <v>0</v>
      </c>
      <c r="R820" s="2" t="inlineStr"/>
    </row>
    <row r="821" ht="15" customHeight="1">
      <c r="A821" t="inlineStr">
        <is>
          <t>A 3298-2025</t>
        </is>
      </c>
      <c r="B821" s="1" t="n">
        <v>45679.64770833333</v>
      </c>
      <c r="C821" s="1" t="n">
        <v>45886</v>
      </c>
      <c r="D821" t="inlineStr">
        <is>
          <t>VÄRMLANDS LÄN</t>
        </is>
      </c>
      <c r="E821" t="inlineStr">
        <is>
          <t>ÅRJÄNG</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57142-2024</t>
        </is>
      </c>
      <c r="B822" s="1" t="n">
        <v>45628</v>
      </c>
      <c r="C822" s="1" t="n">
        <v>45886</v>
      </c>
      <c r="D822" t="inlineStr">
        <is>
          <t>VÄRMLANDS LÄN</t>
        </is>
      </c>
      <c r="E822" t="inlineStr">
        <is>
          <t>ÅRJÄNG</t>
        </is>
      </c>
      <c r="G822" t="n">
        <v>5.4</v>
      </c>
      <c r="H822" t="n">
        <v>0</v>
      </c>
      <c r="I822" t="n">
        <v>0</v>
      </c>
      <c r="J822" t="n">
        <v>0</v>
      </c>
      <c r="K822" t="n">
        <v>0</v>
      </c>
      <c r="L822" t="n">
        <v>0</v>
      </c>
      <c r="M822" t="n">
        <v>0</v>
      </c>
      <c r="N822" t="n">
        <v>0</v>
      </c>
      <c r="O822" t="n">
        <v>0</v>
      </c>
      <c r="P822" t="n">
        <v>0</v>
      </c>
      <c r="Q822" t="n">
        <v>0</v>
      </c>
      <c r="R822" s="2" t="inlineStr"/>
    </row>
    <row r="823" ht="15" customHeight="1">
      <c r="A823" t="inlineStr">
        <is>
          <t>A 41283-2023</t>
        </is>
      </c>
      <c r="B823" s="1" t="n">
        <v>45174.57032407408</v>
      </c>
      <c r="C823" s="1" t="n">
        <v>45886</v>
      </c>
      <c r="D823" t="inlineStr">
        <is>
          <t>VÄRMLANDS LÄN</t>
        </is>
      </c>
      <c r="E823" t="inlineStr">
        <is>
          <t>ÅRJÄNG</t>
        </is>
      </c>
      <c r="G823" t="n">
        <v>9.6</v>
      </c>
      <c r="H823" t="n">
        <v>0</v>
      </c>
      <c r="I823" t="n">
        <v>0</v>
      </c>
      <c r="J823" t="n">
        <v>0</v>
      </c>
      <c r="K823" t="n">
        <v>0</v>
      </c>
      <c r="L823" t="n">
        <v>0</v>
      </c>
      <c r="M823" t="n">
        <v>0</v>
      </c>
      <c r="N823" t="n">
        <v>0</v>
      </c>
      <c r="O823" t="n">
        <v>0</v>
      </c>
      <c r="P823" t="n">
        <v>0</v>
      </c>
      <c r="Q823" t="n">
        <v>0</v>
      </c>
      <c r="R823" s="2" t="inlineStr"/>
    </row>
    <row r="824" ht="15" customHeight="1">
      <c r="A824" t="inlineStr">
        <is>
          <t>A 37681-2025</t>
        </is>
      </c>
      <c r="B824" s="1" t="n">
        <v>45880</v>
      </c>
      <c r="C824" s="1" t="n">
        <v>45886</v>
      </c>
      <c r="D824" t="inlineStr">
        <is>
          <t>VÄRMLANDS LÄN</t>
        </is>
      </c>
      <c r="E824" t="inlineStr">
        <is>
          <t>ÅRJÄNG</t>
        </is>
      </c>
      <c r="G824" t="n">
        <v>1.9</v>
      </c>
      <c r="H824" t="n">
        <v>0</v>
      </c>
      <c r="I824" t="n">
        <v>0</v>
      </c>
      <c r="J824" t="n">
        <v>0</v>
      </c>
      <c r="K824" t="n">
        <v>0</v>
      </c>
      <c r="L824" t="n">
        <v>0</v>
      </c>
      <c r="M824" t="n">
        <v>0</v>
      </c>
      <c r="N824" t="n">
        <v>0</v>
      </c>
      <c r="O824" t="n">
        <v>0</v>
      </c>
      <c r="P824" t="n">
        <v>0</v>
      </c>
      <c r="Q824" t="n">
        <v>0</v>
      </c>
      <c r="R824" s="2" t="inlineStr"/>
    </row>
    <row r="825" ht="15" customHeight="1">
      <c r="A825" t="inlineStr">
        <is>
          <t>A 37484-2025</t>
        </is>
      </c>
      <c r="B825" s="1" t="n">
        <v>45877</v>
      </c>
      <c r="C825" s="1" t="n">
        <v>45886</v>
      </c>
      <c r="D825" t="inlineStr">
        <is>
          <t>VÄRMLANDS LÄN</t>
        </is>
      </c>
      <c r="E825" t="inlineStr">
        <is>
          <t>ÅRJÄNG</t>
        </is>
      </c>
      <c r="G825" t="n">
        <v>2.2</v>
      </c>
      <c r="H825" t="n">
        <v>0</v>
      </c>
      <c r="I825" t="n">
        <v>0</v>
      </c>
      <c r="J825" t="n">
        <v>0</v>
      </c>
      <c r="K825" t="n">
        <v>0</v>
      </c>
      <c r="L825" t="n">
        <v>0</v>
      </c>
      <c r="M825" t="n">
        <v>0</v>
      </c>
      <c r="N825" t="n">
        <v>0</v>
      </c>
      <c r="O825" t="n">
        <v>0</v>
      </c>
      <c r="P825" t="n">
        <v>0</v>
      </c>
      <c r="Q825" t="n">
        <v>0</v>
      </c>
      <c r="R825" s="2" t="inlineStr"/>
    </row>
    <row r="826" ht="15" customHeight="1">
      <c r="A826" t="inlineStr">
        <is>
          <t>A 36592-2024</t>
        </is>
      </c>
      <c r="B826" s="1" t="n">
        <v>45537</v>
      </c>
      <c r="C826" s="1" t="n">
        <v>45886</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33237-2025</t>
        </is>
      </c>
      <c r="B827" s="1" t="n">
        <v>45840</v>
      </c>
      <c r="C827" s="1" t="n">
        <v>45886</v>
      </c>
      <c r="D827" t="inlineStr">
        <is>
          <t>VÄRMLANDS LÄN</t>
        </is>
      </c>
      <c r="E827" t="inlineStr">
        <is>
          <t>ÅRJÄNG</t>
        </is>
      </c>
      <c r="G827" t="n">
        <v>5.2</v>
      </c>
      <c r="H827" t="n">
        <v>0</v>
      </c>
      <c r="I827" t="n">
        <v>0</v>
      </c>
      <c r="J827" t="n">
        <v>0</v>
      </c>
      <c r="K827" t="n">
        <v>0</v>
      </c>
      <c r="L827" t="n">
        <v>0</v>
      </c>
      <c r="M827" t="n">
        <v>0</v>
      </c>
      <c r="N827" t="n">
        <v>0</v>
      </c>
      <c r="O827" t="n">
        <v>0</v>
      </c>
      <c r="P827" t="n">
        <v>0</v>
      </c>
      <c r="Q827" t="n">
        <v>0</v>
      </c>
      <c r="R827" s="2" t="inlineStr"/>
    </row>
    <row r="828" ht="15" customHeight="1">
      <c r="A828" t="inlineStr">
        <is>
          <t>A 32924-2025</t>
        </is>
      </c>
      <c r="B828" s="1" t="n">
        <v>45839.65589120371</v>
      </c>
      <c r="C828" s="1" t="n">
        <v>45886</v>
      </c>
      <c r="D828" t="inlineStr">
        <is>
          <t>VÄRMLANDS LÄN</t>
        </is>
      </c>
      <c r="E828" t="inlineStr">
        <is>
          <t>ÅRJÄNG</t>
        </is>
      </c>
      <c r="G828" t="n">
        <v>4.5</v>
      </c>
      <c r="H828" t="n">
        <v>0</v>
      </c>
      <c r="I828" t="n">
        <v>0</v>
      </c>
      <c r="J828" t="n">
        <v>0</v>
      </c>
      <c r="K828" t="n">
        <v>0</v>
      </c>
      <c r="L828" t="n">
        <v>0</v>
      </c>
      <c r="M828" t="n">
        <v>0</v>
      </c>
      <c r="N828" t="n">
        <v>0</v>
      </c>
      <c r="O828" t="n">
        <v>0</v>
      </c>
      <c r="P828" t="n">
        <v>0</v>
      </c>
      <c r="Q828" t="n">
        <v>0</v>
      </c>
      <c r="R828" s="2" t="inlineStr"/>
    </row>
    <row r="829" ht="15" customHeight="1">
      <c r="A829" t="inlineStr">
        <is>
          <t>A 37510-2025</t>
        </is>
      </c>
      <c r="B829" s="1" t="n">
        <v>45877</v>
      </c>
      <c r="C829" s="1" t="n">
        <v>45886</v>
      </c>
      <c r="D829" t="inlineStr">
        <is>
          <t>VÄRMLANDS LÄN</t>
        </is>
      </c>
      <c r="E829" t="inlineStr">
        <is>
          <t>ÅRJÄNG</t>
        </is>
      </c>
      <c r="G829" t="n">
        <v>10.4</v>
      </c>
      <c r="H829" t="n">
        <v>0</v>
      </c>
      <c r="I829" t="n">
        <v>0</v>
      </c>
      <c r="J829" t="n">
        <v>0</v>
      </c>
      <c r="K829" t="n">
        <v>0</v>
      </c>
      <c r="L829" t="n">
        <v>0</v>
      </c>
      <c r="M829" t="n">
        <v>0</v>
      </c>
      <c r="N829" t="n">
        <v>0</v>
      </c>
      <c r="O829" t="n">
        <v>0</v>
      </c>
      <c r="P829" t="n">
        <v>0</v>
      </c>
      <c r="Q829" t="n">
        <v>0</v>
      </c>
      <c r="R829" s="2" t="inlineStr"/>
    </row>
    <row r="830" ht="15" customHeight="1">
      <c r="A830" t="inlineStr">
        <is>
          <t>A 37507-2025</t>
        </is>
      </c>
      <c r="B830" s="1" t="n">
        <v>45877</v>
      </c>
      <c r="C830" s="1" t="n">
        <v>45886</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56757-2023</t>
        </is>
      </c>
      <c r="B831" s="1" t="n">
        <v>45244.37539351852</v>
      </c>
      <c r="C831" s="1" t="n">
        <v>45886</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49891-2022</t>
        </is>
      </c>
      <c r="B832" s="1" t="n">
        <v>44864</v>
      </c>
      <c r="C832" s="1" t="n">
        <v>45886</v>
      </c>
      <c r="D832" t="inlineStr">
        <is>
          <t>VÄRMLANDS LÄN</t>
        </is>
      </c>
      <c r="E832" t="inlineStr">
        <is>
          <t>ÅRJÄNG</t>
        </is>
      </c>
      <c r="G832" t="n">
        <v>5.6</v>
      </c>
      <c r="H832" t="n">
        <v>0</v>
      </c>
      <c r="I832" t="n">
        <v>0</v>
      </c>
      <c r="J832" t="n">
        <v>0</v>
      </c>
      <c r="K832" t="n">
        <v>0</v>
      </c>
      <c r="L832" t="n">
        <v>0</v>
      </c>
      <c r="M832" t="n">
        <v>0</v>
      </c>
      <c r="N832" t="n">
        <v>0</v>
      </c>
      <c r="O832" t="n">
        <v>0</v>
      </c>
      <c r="P832" t="n">
        <v>0</v>
      </c>
      <c r="Q832" t="n">
        <v>0</v>
      </c>
      <c r="R832" s="2" t="inlineStr"/>
    </row>
    <row r="833" ht="15" customHeight="1">
      <c r="A833" t="inlineStr">
        <is>
          <t>A 37409-2025</t>
        </is>
      </c>
      <c r="B833" s="1" t="n">
        <v>45877</v>
      </c>
      <c r="C833" s="1" t="n">
        <v>45886</v>
      </c>
      <c r="D833" t="inlineStr">
        <is>
          <t>VÄRMLANDS LÄN</t>
        </is>
      </c>
      <c r="E833" t="inlineStr">
        <is>
          <t>ÅRJÄNG</t>
        </is>
      </c>
      <c r="G833" t="n">
        <v>4.8</v>
      </c>
      <c r="H833" t="n">
        <v>0</v>
      </c>
      <c r="I833" t="n">
        <v>0</v>
      </c>
      <c r="J833" t="n">
        <v>0</v>
      </c>
      <c r="K833" t="n">
        <v>0</v>
      </c>
      <c r="L833" t="n">
        <v>0</v>
      </c>
      <c r="M833" t="n">
        <v>0</v>
      </c>
      <c r="N833" t="n">
        <v>0</v>
      </c>
      <c r="O833" t="n">
        <v>0</v>
      </c>
      <c r="P833" t="n">
        <v>0</v>
      </c>
      <c r="Q833" t="n">
        <v>0</v>
      </c>
      <c r="R833" s="2" t="inlineStr"/>
    </row>
    <row r="834" ht="15" customHeight="1">
      <c r="A834" t="inlineStr">
        <is>
          <t>A 9584-2024</t>
        </is>
      </c>
      <c r="B834" s="1" t="n">
        <v>45360.50243055556</v>
      </c>
      <c r="C834" s="1" t="n">
        <v>45886</v>
      </c>
      <c r="D834" t="inlineStr">
        <is>
          <t>VÄRMLANDS LÄN</t>
        </is>
      </c>
      <c r="E834" t="inlineStr">
        <is>
          <t>ÅRJÄNG</t>
        </is>
      </c>
      <c r="G834" t="n">
        <v>2.2</v>
      </c>
      <c r="H834" t="n">
        <v>0</v>
      </c>
      <c r="I834" t="n">
        <v>0</v>
      </c>
      <c r="J834" t="n">
        <v>0</v>
      </c>
      <c r="K834" t="n">
        <v>0</v>
      </c>
      <c r="L834" t="n">
        <v>0</v>
      </c>
      <c r="M834" t="n">
        <v>0</v>
      </c>
      <c r="N834" t="n">
        <v>0</v>
      </c>
      <c r="O834" t="n">
        <v>0</v>
      </c>
      <c r="P834" t="n">
        <v>0</v>
      </c>
      <c r="Q834" t="n">
        <v>0</v>
      </c>
      <c r="R834" s="2" t="inlineStr"/>
    </row>
    <row r="835" ht="15" customHeight="1">
      <c r="A835" t="inlineStr">
        <is>
          <t>A 59811-2023</t>
        </is>
      </c>
      <c r="B835" s="1" t="n">
        <v>45254</v>
      </c>
      <c r="C835" s="1" t="n">
        <v>45886</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43650-2024</t>
        </is>
      </c>
      <c r="B836" s="1" t="n">
        <v>45569.53091435185</v>
      </c>
      <c r="C836" s="1" t="n">
        <v>45886</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21513-2024</t>
        </is>
      </c>
      <c r="B837" s="1" t="n">
        <v>45441</v>
      </c>
      <c r="C837" s="1" t="n">
        <v>45886</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14509-2022</t>
        </is>
      </c>
      <c r="B838" s="1" t="n">
        <v>44655</v>
      </c>
      <c r="C838" s="1" t="n">
        <v>45886</v>
      </c>
      <c r="D838" t="inlineStr">
        <is>
          <t>VÄRMLANDS LÄN</t>
        </is>
      </c>
      <c r="E838" t="inlineStr">
        <is>
          <t>ÅRJÄNG</t>
        </is>
      </c>
      <c r="G838" t="n">
        <v>0.2</v>
      </c>
      <c r="H838" t="n">
        <v>0</v>
      </c>
      <c r="I838" t="n">
        <v>0</v>
      </c>
      <c r="J838" t="n">
        <v>0</v>
      </c>
      <c r="K838" t="n">
        <v>0</v>
      </c>
      <c r="L838" t="n">
        <v>0</v>
      </c>
      <c r="M838" t="n">
        <v>0</v>
      </c>
      <c r="N838" t="n">
        <v>0</v>
      </c>
      <c r="O838" t="n">
        <v>0</v>
      </c>
      <c r="P838" t="n">
        <v>0</v>
      </c>
      <c r="Q838" t="n">
        <v>0</v>
      </c>
      <c r="R838" s="2" t="inlineStr"/>
    </row>
    <row r="839" ht="15" customHeight="1">
      <c r="A839" t="inlineStr">
        <is>
          <t>A 59384-2023</t>
        </is>
      </c>
      <c r="B839" s="1" t="n">
        <v>45253</v>
      </c>
      <c r="C839" s="1" t="n">
        <v>45886</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24916-2024</t>
        </is>
      </c>
      <c r="B840" s="1" t="n">
        <v>45461.6058449074</v>
      </c>
      <c r="C840" s="1" t="n">
        <v>45886</v>
      </c>
      <c r="D840" t="inlineStr">
        <is>
          <t>VÄRMLANDS LÄN</t>
        </is>
      </c>
      <c r="E840" t="inlineStr">
        <is>
          <t>ÅRJÄNG</t>
        </is>
      </c>
      <c r="G840" t="n">
        <v>0.7</v>
      </c>
      <c r="H840" t="n">
        <v>0</v>
      </c>
      <c r="I840" t="n">
        <v>0</v>
      </c>
      <c r="J840" t="n">
        <v>0</v>
      </c>
      <c r="K840" t="n">
        <v>0</v>
      </c>
      <c r="L840" t="n">
        <v>0</v>
      </c>
      <c r="M840" t="n">
        <v>0</v>
      </c>
      <c r="N840" t="n">
        <v>0</v>
      </c>
      <c r="O840" t="n">
        <v>0</v>
      </c>
      <c r="P840" t="n">
        <v>0</v>
      </c>
      <c r="Q840" t="n">
        <v>0</v>
      </c>
      <c r="R840" s="2" t="inlineStr"/>
    </row>
    <row r="841" ht="15" customHeight="1">
      <c r="A841" t="inlineStr">
        <is>
          <t>A 27692-2024</t>
        </is>
      </c>
      <c r="B841" s="1" t="n">
        <v>45474</v>
      </c>
      <c r="C841" s="1" t="n">
        <v>45886</v>
      </c>
      <c r="D841" t="inlineStr">
        <is>
          <t>VÄRMLANDS LÄN</t>
        </is>
      </c>
      <c r="E841" t="inlineStr">
        <is>
          <t>ÅRJÄNG</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34425-2021</t>
        </is>
      </c>
      <c r="B842" s="1" t="n">
        <v>44380</v>
      </c>
      <c r="C842" s="1" t="n">
        <v>45886</v>
      </c>
      <c r="D842" t="inlineStr">
        <is>
          <t>VÄRMLANDS LÄN</t>
        </is>
      </c>
      <c r="E842" t="inlineStr">
        <is>
          <t>ÅRJÄNG</t>
        </is>
      </c>
      <c r="G842" t="n">
        <v>2.9</v>
      </c>
      <c r="H842" t="n">
        <v>0</v>
      </c>
      <c r="I842" t="n">
        <v>0</v>
      </c>
      <c r="J842" t="n">
        <v>0</v>
      </c>
      <c r="K842" t="n">
        <v>0</v>
      </c>
      <c r="L842" t="n">
        <v>0</v>
      </c>
      <c r="M842" t="n">
        <v>0</v>
      </c>
      <c r="N842" t="n">
        <v>0</v>
      </c>
      <c r="O842" t="n">
        <v>0</v>
      </c>
      <c r="P842" t="n">
        <v>0</v>
      </c>
      <c r="Q842" t="n">
        <v>0</v>
      </c>
      <c r="R842" s="2" t="inlineStr"/>
    </row>
    <row r="843" ht="15" customHeight="1">
      <c r="A843" t="inlineStr">
        <is>
          <t>A 32973-2021</t>
        </is>
      </c>
      <c r="B843" s="1" t="n">
        <v>44376</v>
      </c>
      <c r="C843" s="1" t="n">
        <v>45886</v>
      </c>
      <c r="D843" t="inlineStr">
        <is>
          <t>VÄRMLANDS LÄN</t>
        </is>
      </c>
      <c r="E843" t="inlineStr">
        <is>
          <t>ÅRJÄNG</t>
        </is>
      </c>
      <c r="G843" t="n">
        <v>1.8</v>
      </c>
      <c r="H843" t="n">
        <v>0</v>
      </c>
      <c r="I843" t="n">
        <v>0</v>
      </c>
      <c r="J843" t="n">
        <v>0</v>
      </c>
      <c r="K843" t="n">
        <v>0</v>
      </c>
      <c r="L843" t="n">
        <v>0</v>
      </c>
      <c r="M843" t="n">
        <v>0</v>
      </c>
      <c r="N843" t="n">
        <v>0</v>
      </c>
      <c r="O843" t="n">
        <v>0</v>
      </c>
      <c r="P843" t="n">
        <v>0</v>
      </c>
      <c r="Q843" t="n">
        <v>0</v>
      </c>
      <c r="R843" s="2" t="inlineStr"/>
    </row>
    <row r="844" ht="15" customHeight="1">
      <c r="A844" t="inlineStr">
        <is>
          <t>A 34205-2025</t>
        </is>
      </c>
      <c r="B844" s="1" t="n">
        <v>45845</v>
      </c>
      <c r="C844" s="1" t="n">
        <v>45886</v>
      </c>
      <c r="D844" t="inlineStr">
        <is>
          <t>VÄRMLANDS LÄN</t>
        </is>
      </c>
      <c r="E844" t="inlineStr">
        <is>
          <t>ÅRJÄNG</t>
        </is>
      </c>
      <c r="G844" t="n">
        <v>4.4</v>
      </c>
      <c r="H844" t="n">
        <v>0</v>
      </c>
      <c r="I844" t="n">
        <v>0</v>
      </c>
      <c r="J844" t="n">
        <v>0</v>
      </c>
      <c r="K844" t="n">
        <v>0</v>
      </c>
      <c r="L844" t="n">
        <v>0</v>
      </c>
      <c r="M844" t="n">
        <v>0</v>
      </c>
      <c r="N844" t="n">
        <v>0</v>
      </c>
      <c r="O844" t="n">
        <v>0</v>
      </c>
      <c r="P844" t="n">
        <v>0</v>
      </c>
      <c r="Q844" t="n">
        <v>0</v>
      </c>
      <c r="R844" s="2" t="inlineStr"/>
    </row>
    <row r="845" ht="15" customHeight="1">
      <c r="A845" t="inlineStr">
        <is>
          <t>A 56333-2024</t>
        </is>
      </c>
      <c r="B845" s="1" t="n">
        <v>45624.8005324074</v>
      </c>
      <c r="C845" s="1" t="n">
        <v>45886</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15718-2023</t>
        </is>
      </c>
      <c r="B846" s="1" t="n">
        <v>45021.55432870371</v>
      </c>
      <c r="C846" s="1" t="n">
        <v>45886</v>
      </c>
      <c r="D846" t="inlineStr">
        <is>
          <t>VÄRMLANDS LÄN</t>
        </is>
      </c>
      <c r="E846" t="inlineStr">
        <is>
          <t>ÅRJÄNG</t>
        </is>
      </c>
      <c r="G846" t="n">
        <v>2.9</v>
      </c>
      <c r="H846" t="n">
        <v>0</v>
      </c>
      <c r="I846" t="n">
        <v>0</v>
      </c>
      <c r="J846" t="n">
        <v>0</v>
      </c>
      <c r="K846" t="n">
        <v>0</v>
      </c>
      <c r="L846" t="n">
        <v>0</v>
      </c>
      <c r="M846" t="n">
        <v>0</v>
      </c>
      <c r="N846" t="n">
        <v>0</v>
      </c>
      <c r="O846" t="n">
        <v>0</v>
      </c>
      <c r="P846" t="n">
        <v>0</v>
      </c>
      <c r="Q846" t="n">
        <v>0</v>
      </c>
      <c r="R846" s="2" t="inlineStr"/>
    </row>
    <row r="847" ht="15" customHeight="1">
      <c r="A847" t="inlineStr">
        <is>
          <t>A 33412-2025</t>
        </is>
      </c>
      <c r="B847" s="1" t="n">
        <v>45841</v>
      </c>
      <c r="C847" s="1" t="n">
        <v>45886</v>
      </c>
      <c r="D847" t="inlineStr">
        <is>
          <t>VÄRMLANDS LÄN</t>
        </is>
      </c>
      <c r="E847" t="inlineStr">
        <is>
          <t>ÅRJÄNG</t>
        </is>
      </c>
      <c r="G847" t="n">
        <v>4.1</v>
      </c>
      <c r="H847" t="n">
        <v>0</v>
      </c>
      <c r="I847" t="n">
        <v>0</v>
      </c>
      <c r="J847" t="n">
        <v>0</v>
      </c>
      <c r="K847" t="n">
        <v>0</v>
      </c>
      <c r="L847" t="n">
        <v>0</v>
      </c>
      <c r="M847" t="n">
        <v>0</v>
      </c>
      <c r="N847" t="n">
        <v>0</v>
      </c>
      <c r="O847" t="n">
        <v>0</v>
      </c>
      <c r="P847" t="n">
        <v>0</v>
      </c>
      <c r="Q847" t="n">
        <v>0</v>
      </c>
      <c r="R847" s="2" t="inlineStr"/>
    </row>
    <row r="848" ht="15" customHeight="1">
      <c r="A848" t="inlineStr">
        <is>
          <t>A 57605-2020</t>
        </is>
      </c>
      <c r="B848" s="1" t="n">
        <v>44140</v>
      </c>
      <c r="C848" s="1" t="n">
        <v>45886</v>
      </c>
      <c r="D848" t="inlineStr">
        <is>
          <t>VÄRMLANDS LÄN</t>
        </is>
      </c>
      <c r="E848" t="inlineStr">
        <is>
          <t>ÅRJÄNG</t>
        </is>
      </c>
      <c r="G848" t="n">
        <v>2.4</v>
      </c>
      <c r="H848" t="n">
        <v>0</v>
      </c>
      <c r="I848" t="n">
        <v>0</v>
      </c>
      <c r="J848" t="n">
        <v>0</v>
      </c>
      <c r="K848" t="n">
        <v>0</v>
      </c>
      <c r="L848" t="n">
        <v>0</v>
      </c>
      <c r="M848" t="n">
        <v>0</v>
      </c>
      <c r="N848" t="n">
        <v>0</v>
      </c>
      <c r="O848" t="n">
        <v>0</v>
      </c>
      <c r="P848" t="n">
        <v>0</v>
      </c>
      <c r="Q848" t="n">
        <v>0</v>
      </c>
      <c r="R848" s="2" t="inlineStr"/>
    </row>
    <row r="849" ht="15" customHeight="1">
      <c r="A849" t="inlineStr">
        <is>
          <t>A 48911-2024</t>
        </is>
      </c>
      <c r="B849" s="1" t="n">
        <v>45594.36512731481</v>
      </c>
      <c r="C849" s="1" t="n">
        <v>45886</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8215-2025</t>
        </is>
      </c>
      <c r="B850" s="1" t="n">
        <v>45708.44832175926</v>
      </c>
      <c r="C850" s="1" t="n">
        <v>45886</v>
      </c>
      <c r="D850" t="inlineStr">
        <is>
          <t>VÄRMLANDS LÄN</t>
        </is>
      </c>
      <c r="E850" t="inlineStr">
        <is>
          <t>ÅRJÄNG</t>
        </is>
      </c>
      <c r="G850" t="n">
        <v>1.9</v>
      </c>
      <c r="H850" t="n">
        <v>0</v>
      </c>
      <c r="I850" t="n">
        <v>0</v>
      </c>
      <c r="J850" t="n">
        <v>0</v>
      </c>
      <c r="K850" t="n">
        <v>0</v>
      </c>
      <c r="L850" t="n">
        <v>0</v>
      </c>
      <c r="M850" t="n">
        <v>0</v>
      </c>
      <c r="N850" t="n">
        <v>0</v>
      </c>
      <c r="O850" t="n">
        <v>0</v>
      </c>
      <c r="P850" t="n">
        <v>0</v>
      </c>
      <c r="Q850" t="n">
        <v>0</v>
      </c>
      <c r="R850" s="2" t="inlineStr"/>
    </row>
    <row r="851" ht="15" customHeight="1">
      <c r="A851" t="inlineStr">
        <is>
          <t>A 8230-2025</t>
        </is>
      </c>
      <c r="B851" s="1" t="n">
        <v>45708.47010416666</v>
      </c>
      <c r="C851" s="1" t="n">
        <v>45886</v>
      </c>
      <c r="D851" t="inlineStr">
        <is>
          <t>VÄRMLANDS LÄN</t>
        </is>
      </c>
      <c r="E851" t="inlineStr">
        <is>
          <t>ÅRJÄNG</t>
        </is>
      </c>
      <c r="G851" t="n">
        <v>2.5</v>
      </c>
      <c r="H851" t="n">
        <v>0</v>
      </c>
      <c r="I851" t="n">
        <v>0</v>
      </c>
      <c r="J851" t="n">
        <v>0</v>
      </c>
      <c r="K851" t="n">
        <v>0</v>
      </c>
      <c r="L851" t="n">
        <v>0</v>
      </c>
      <c r="M851" t="n">
        <v>0</v>
      </c>
      <c r="N851" t="n">
        <v>0</v>
      </c>
      <c r="O851" t="n">
        <v>0</v>
      </c>
      <c r="P851" t="n">
        <v>0</v>
      </c>
      <c r="Q851" t="n">
        <v>0</v>
      </c>
      <c r="R851" s="2" t="inlineStr"/>
    </row>
    <row r="852" ht="15" customHeight="1">
      <c r="A852" t="inlineStr">
        <is>
          <t>A 61764-2022</t>
        </is>
      </c>
      <c r="B852" s="1" t="n">
        <v>44911</v>
      </c>
      <c r="C852" s="1" t="n">
        <v>45886</v>
      </c>
      <c r="D852" t="inlineStr">
        <is>
          <t>VÄRMLANDS LÄN</t>
        </is>
      </c>
      <c r="E852" t="inlineStr">
        <is>
          <t>ÅRJÄNG</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19052-2023</t>
        </is>
      </c>
      <c r="B853" s="1" t="n">
        <v>45047</v>
      </c>
      <c r="C853" s="1" t="n">
        <v>45886</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40346-2024</t>
        </is>
      </c>
      <c r="B854" s="1" t="n">
        <v>45555.34840277778</v>
      </c>
      <c r="C854" s="1" t="n">
        <v>45886</v>
      </c>
      <c r="D854" t="inlineStr">
        <is>
          <t>VÄRMLANDS LÄN</t>
        </is>
      </c>
      <c r="E854" t="inlineStr">
        <is>
          <t>ÅRJÄNG</t>
        </is>
      </c>
      <c r="G854" t="n">
        <v>2.5</v>
      </c>
      <c r="H854" t="n">
        <v>0</v>
      </c>
      <c r="I854" t="n">
        <v>0</v>
      </c>
      <c r="J854" t="n">
        <v>0</v>
      </c>
      <c r="K854" t="n">
        <v>0</v>
      </c>
      <c r="L854" t="n">
        <v>0</v>
      </c>
      <c r="M854" t="n">
        <v>0</v>
      </c>
      <c r="N854" t="n">
        <v>0</v>
      </c>
      <c r="O854" t="n">
        <v>0</v>
      </c>
      <c r="P854" t="n">
        <v>0</v>
      </c>
      <c r="Q854" t="n">
        <v>0</v>
      </c>
      <c r="R854" s="2" t="inlineStr"/>
    </row>
    <row r="855" ht="15" customHeight="1">
      <c r="A855" t="inlineStr">
        <is>
          <t>A 49785-2024</t>
        </is>
      </c>
      <c r="B855" s="1" t="n">
        <v>45597.35758101852</v>
      </c>
      <c r="C855" s="1" t="n">
        <v>45886</v>
      </c>
      <c r="D855" t="inlineStr">
        <is>
          <t>VÄRMLANDS LÄN</t>
        </is>
      </c>
      <c r="E855" t="inlineStr">
        <is>
          <t>ÅRJÄNG</t>
        </is>
      </c>
      <c r="G855" t="n">
        <v>0.6</v>
      </c>
      <c r="H855" t="n">
        <v>0</v>
      </c>
      <c r="I855" t="n">
        <v>0</v>
      </c>
      <c r="J855" t="n">
        <v>0</v>
      </c>
      <c r="K855" t="n">
        <v>0</v>
      </c>
      <c r="L855" t="n">
        <v>0</v>
      </c>
      <c r="M855" t="n">
        <v>0</v>
      </c>
      <c r="N855" t="n">
        <v>0</v>
      </c>
      <c r="O855" t="n">
        <v>0</v>
      </c>
      <c r="P855" t="n">
        <v>0</v>
      </c>
      <c r="Q855" t="n">
        <v>0</v>
      </c>
      <c r="R855" s="2" t="inlineStr"/>
    </row>
    <row r="856" ht="15" customHeight="1">
      <c r="A856" t="inlineStr">
        <is>
          <t>A 10239-2023</t>
        </is>
      </c>
      <c r="B856" s="1" t="n">
        <v>44986</v>
      </c>
      <c r="C856" s="1" t="n">
        <v>45886</v>
      </c>
      <c r="D856" t="inlineStr">
        <is>
          <t>VÄRMLANDS LÄN</t>
        </is>
      </c>
      <c r="E856" t="inlineStr">
        <is>
          <t>ÅRJÄNG</t>
        </is>
      </c>
      <c r="G856" t="n">
        <v>5.4</v>
      </c>
      <c r="H856" t="n">
        <v>0</v>
      </c>
      <c r="I856" t="n">
        <v>0</v>
      </c>
      <c r="J856" t="n">
        <v>0</v>
      </c>
      <c r="K856" t="n">
        <v>0</v>
      </c>
      <c r="L856" t="n">
        <v>0</v>
      </c>
      <c r="M856" t="n">
        <v>0</v>
      </c>
      <c r="N856" t="n">
        <v>0</v>
      </c>
      <c r="O856" t="n">
        <v>0</v>
      </c>
      <c r="P856" t="n">
        <v>0</v>
      </c>
      <c r="Q856" t="n">
        <v>0</v>
      </c>
      <c r="R856" s="2" t="inlineStr"/>
    </row>
    <row r="857" ht="15" customHeight="1">
      <c r="A857" t="inlineStr">
        <is>
          <t>A 33526-2025</t>
        </is>
      </c>
      <c r="B857" s="1" t="n">
        <v>45841.54869212963</v>
      </c>
      <c r="C857" s="1" t="n">
        <v>45886</v>
      </c>
      <c r="D857" t="inlineStr">
        <is>
          <t>VÄRMLANDS LÄN</t>
        </is>
      </c>
      <c r="E857" t="inlineStr">
        <is>
          <t>ÅRJÄNG</t>
        </is>
      </c>
      <c r="G857" t="n">
        <v>0.7</v>
      </c>
      <c r="H857" t="n">
        <v>0</v>
      </c>
      <c r="I857" t="n">
        <v>0</v>
      </c>
      <c r="J857" t="n">
        <v>0</v>
      </c>
      <c r="K857" t="n">
        <v>0</v>
      </c>
      <c r="L857" t="n">
        <v>0</v>
      </c>
      <c r="M857" t="n">
        <v>0</v>
      </c>
      <c r="N857" t="n">
        <v>0</v>
      </c>
      <c r="O857" t="n">
        <v>0</v>
      </c>
      <c r="P857" t="n">
        <v>0</v>
      </c>
      <c r="Q857" t="n">
        <v>0</v>
      </c>
      <c r="R857" s="2" t="inlineStr"/>
    </row>
    <row r="858" ht="15" customHeight="1">
      <c r="A858" t="inlineStr">
        <is>
          <t>A 33600-2025</t>
        </is>
      </c>
      <c r="B858" s="1" t="n">
        <v>45841.60918981482</v>
      </c>
      <c r="C858" s="1" t="n">
        <v>45886</v>
      </c>
      <c r="D858" t="inlineStr">
        <is>
          <t>VÄRMLANDS LÄN</t>
        </is>
      </c>
      <c r="E858" t="inlineStr">
        <is>
          <t>ÅRJÄNG</t>
        </is>
      </c>
      <c r="G858" t="n">
        <v>1.3</v>
      </c>
      <c r="H858" t="n">
        <v>0</v>
      </c>
      <c r="I858" t="n">
        <v>0</v>
      </c>
      <c r="J858" t="n">
        <v>0</v>
      </c>
      <c r="K858" t="n">
        <v>0</v>
      </c>
      <c r="L858" t="n">
        <v>0</v>
      </c>
      <c r="M858" t="n">
        <v>0</v>
      </c>
      <c r="N858" t="n">
        <v>0</v>
      </c>
      <c r="O858" t="n">
        <v>0</v>
      </c>
      <c r="P858" t="n">
        <v>0</v>
      </c>
      <c r="Q858" t="n">
        <v>0</v>
      </c>
      <c r="R858" s="2" t="inlineStr"/>
    </row>
    <row r="859" ht="15" customHeight="1">
      <c r="A859" t="inlineStr">
        <is>
          <t>A 36831-2025</t>
        </is>
      </c>
      <c r="B859" s="1" t="n">
        <v>45874</v>
      </c>
      <c r="C859" s="1" t="n">
        <v>45886</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15570-2025</t>
        </is>
      </c>
      <c r="B860" s="1" t="n">
        <v>45747</v>
      </c>
      <c r="C860" s="1" t="n">
        <v>45886</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15572-2025</t>
        </is>
      </c>
      <c r="B861" s="1" t="n">
        <v>45747</v>
      </c>
      <c r="C861" s="1" t="n">
        <v>45886</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15578-2025</t>
        </is>
      </c>
      <c r="B862" s="1" t="n">
        <v>45747</v>
      </c>
      <c r="C862" s="1" t="n">
        <v>45886</v>
      </c>
      <c r="D862" t="inlineStr">
        <is>
          <t>VÄRMLANDS LÄN</t>
        </is>
      </c>
      <c r="E862" t="inlineStr">
        <is>
          <t>ÅRJÄNG</t>
        </is>
      </c>
      <c r="G862" t="n">
        <v>4.6</v>
      </c>
      <c r="H862" t="n">
        <v>0</v>
      </c>
      <c r="I862" t="n">
        <v>0</v>
      </c>
      <c r="J862" t="n">
        <v>0</v>
      </c>
      <c r="K862" t="n">
        <v>0</v>
      </c>
      <c r="L862" t="n">
        <v>0</v>
      </c>
      <c r="M862" t="n">
        <v>0</v>
      </c>
      <c r="N862" t="n">
        <v>0</v>
      </c>
      <c r="O862" t="n">
        <v>0</v>
      </c>
      <c r="P862" t="n">
        <v>0</v>
      </c>
      <c r="Q862" t="n">
        <v>0</v>
      </c>
      <c r="R862" s="2" t="inlineStr"/>
    </row>
    <row r="863" ht="15" customHeight="1">
      <c r="A863" t="inlineStr">
        <is>
          <t>A 33481-2025</t>
        </is>
      </c>
      <c r="B863" s="1" t="n">
        <v>45841</v>
      </c>
      <c r="C863" s="1" t="n">
        <v>45886</v>
      </c>
      <c r="D863" t="inlineStr">
        <is>
          <t>VÄRMLANDS LÄN</t>
        </is>
      </c>
      <c r="E863" t="inlineStr">
        <is>
          <t>ÅRJÄNG</t>
        </is>
      </c>
      <c r="G863" t="n">
        <v>10.3</v>
      </c>
      <c r="H863" t="n">
        <v>0</v>
      </c>
      <c r="I863" t="n">
        <v>0</v>
      </c>
      <c r="J863" t="n">
        <v>0</v>
      </c>
      <c r="K863" t="n">
        <v>0</v>
      </c>
      <c r="L863" t="n">
        <v>0</v>
      </c>
      <c r="M863" t="n">
        <v>0</v>
      </c>
      <c r="N863" t="n">
        <v>0</v>
      </c>
      <c r="O863" t="n">
        <v>0</v>
      </c>
      <c r="P863" t="n">
        <v>0</v>
      </c>
      <c r="Q863" t="n">
        <v>0</v>
      </c>
      <c r="R863" s="2" t="inlineStr"/>
    </row>
    <row r="864" ht="15" customHeight="1">
      <c r="A864" t="inlineStr">
        <is>
          <t>A 69417-2021</t>
        </is>
      </c>
      <c r="B864" s="1" t="n">
        <v>44531</v>
      </c>
      <c r="C864" s="1" t="n">
        <v>45886</v>
      </c>
      <c r="D864" t="inlineStr">
        <is>
          <t>VÄRMLANDS LÄN</t>
        </is>
      </c>
      <c r="E864" t="inlineStr">
        <is>
          <t>ÅRJÄNG</t>
        </is>
      </c>
      <c r="G864" t="n">
        <v>3.8</v>
      </c>
      <c r="H864" t="n">
        <v>0</v>
      </c>
      <c r="I864" t="n">
        <v>0</v>
      </c>
      <c r="J864" t="n">
        <v>0</v>
      </c>
      <c r="K864" t="n">
        <v>0</v>
      </c>
      <c r="L864" t="n">
        <v>0</v>
      </c>
      <c r="M864" t="n">
        <v>0</v>
      </c>
      <c r="N864" t="n">
        <v>0</v>
      </c>
      <c r="O864" t="n">
        <v>0</v>
      </c>
      <c r="P864" t="n">
        <v>0</v>
      </c>
      <c r="Q864" t="n">
        <v>0</v>
      </c>
      <c r="R864" s="2" t="inlineStr"/>
    </row>
    <row r="865" ht="15" customHeight="1">
      <c r="A865" t="inlineStr">
        <is>
          <t>A 33832-2025</t>
        </is>
      </c>
      <c r="B865" s="1" t="n">
        <v>45842.47506944444</v>
      </c>
      <c r="C865" s="1" t="n">
        <v>45886</v>
      </c>
      <c r="D865" t="inlineStr">
        <is>
          <t>VÄRMLANDS LÄN</t>
        </is>
      </c>
      <c r="E865" t="inlineStr">
        <is>
          <t>ÅRJÄNG</t>
        </is>
      </c>
      <c r="G865" t="n">
        <v>2</v>
      </c>
      <c r="H865" t="n">
        <v>0</v>
      </c>
      <c r="I865" t="n">
        <v>0</v>
      </c>
      <c r="J865" t="n">
        <v>0</v>
      </c>
      <c r="K865" t="n">
        <v>0</v>
      </c>
      <c r="L865" t="n">
        <v>0</v>
      </c>
      <c r="M865" t="n">
        <v>0</v>
      </c>
      <c r="N865" t="n">
        <v>0</v>
      </c>
      <c r="O865" t="n">
        <v>0</v>
      </c>
      <c r="P865" t="n">
        <v>0</v>
      </c>
      <c r="Q865" t="n">
        <v>0</v>
      </c>
      <c r="R865" s="2" t="inlineStr"/>
    </row>
    <row r="866" ht="15" customHeight="1">
      <c r="A866" t="inlineStr">
        <is>
          <t>A 29792-2022</t>
        </is>
      </c>
      <c r="B866" s="1" t="n">
        <v>44755.67122685185</v>
      </c>
      <c r="C866" s="1" t="n">
        <v>45886</v>
      </c>
      <c r="D866" t="inlineStr">
        <is>
          <t>VÄRMLANDS LÄN</t>
        </is>
      </c>
      <c r="E866" t="inlineStr">
        <is>
          <t>ÅRJÄNG</t>
        </is>
      </c>
      <c r="G866" t="n">
        <v>1.9</v>
      </c>
      <c r="H866" t="n">
        <v>0</v>
      </c>
      <c r="I866" t="n">
        <v>0</v>
      </c>
      <c r="J866" t="n">
        <v>0</v>
      </c>
      <c r="K866" t="n">
        <v>0</v>
      </c>
      <c r="L866" t="n">
        <v>0</v>
      </c>
      <c r="M866" t="n">
        <v>0</v>
      </c>
      <c r="N866" t="n">
        <v>0</v>
      </c>
      <c r="O866" t="n">
        <v>0</v>
      </c>
      <c r="P866" t="n">
        <v>0</v>
      </c>
      <c r="Q866" t="n">
        <v>0</v>
      </c>
      <c r="R866" s="2" t="inlineStr"/>
    </row>
    <row r="867" ht="15" customHeight="1">
      <c r="A867" t="inlineStr">
        <is>
          <t>A 30346-2022</t>
        </is>
      </c>
      <c r="B867" s="1" t="n">
        <v>44760.55734953703</v>
      </c>
      <c r="C867" s="1" t="n">
        <v>45886</v>
      </c>
      <c r="D867" t="inlineStr">
        <is>
          <t>VÄRMLANDS LÄN</t>
        </is>
      </c>
      <c r="E867" t="inlineStr">
        <is>
          <t>ÅRJÄNG</t>
        </is>
      </c>
      <c r="G867" t="n">
        <v>6</v>
      </c>
      <c r="H867" t="n">
        <v>0</v>
      </c>
      <c r="I867" t="n">
        <v>0</v>
      </c>
      <c r="J867" t="n">
        <v>0</v>
      </c>
      <c r="K867" t="n">
        <v>0</v>
      </c>
      <c r="L867" t="n">
        <v>0</v>
      </c>
      <c r="M867" t="n">
        <v>0</v>
      </c>
      <c r="N867" t="n">
        <v>0</v>
      </c>
      <c r="O867" t="n">
        <v>0</v>
      </c>
      <c r="P867" t="n">
        <v>0</v>
      </c>
      <c r="Q867" t="n">
        <v>0</v>
      </c>
      <c r="R867" s="2" t="inlineStr"/>
    </row>
    <row r="868" ht="15" customHeight="1">
      <c r="A868" t="inlineStr">
        <is>
          <t>A 10126-2023</t>
        </is>
      </c>
      <c r="B868" s="1" t="n">
        <v>44980</v>
      </c>
      <c r="C868" s="1" t="n">
        <v>45886</v>
      </c>
      <c r="D868" t="inlineStr">
        <is>
          <t>VÄRMLANDS LÄN</t>
        </is>
      </c>
      <c r="E868" t="inlineStr">
        <is>
          <t>ÅRJÄNG</t>
        </is>
      </c>
      <c r="G868" t="n">
        <v>2</v>
      </c>
      <c r="H868" t="n">
        <v>0</v>
      </c>
      <c r="I868" t="n">
        <v>0</v>
      </c>
      <c r="J868" t="n">
        <v>0</v>
      </c>
      <c r="K868" t="n">
        <v>0</v>
      </c>
      <c r="L868" t="n">
        <v>0</v>
      </c>
      <c r="M868" t="n">
        <v>0</v>
      </c>
      <c r="N868" t="n">
        <v>0</v>
      </c>
      <c r="O868" t="n">
        <v>0</v>
      </c>
      <c r="P868" t="n">
        <v>0</v>
      </c>
      <c r="Q868" t="n">
        <v>0</v>
      </c>
      <c r="R868" s="2" t="inlineStr"/>
    </row>
    <row r="869" ht="15" customHeight="1">
      <c r="A869" t="inlineStr">
        <is>
          <t>A 34889-2022</t>
        </is>
      </c>
      <c r="B869" s="1" t="n">
        <v>44796</v>
      </c>
      <c r="C869" s="1" t="n">
        <v>45886</v>
      </c>
      <c r="D869" t="inlineStr">
        <is>
          <t>VÄRMLANDS LÄN</t>
        </is>
      </c>
      <c r="E869" t="inlineStr">
        <is>
          <t>ÅRJÄNG</t>
        </is>
      </c>
      <c r="G869" t="n">
        <v>0.8</v>
      </c>
      <c r="H869" t="n">
        <v>0</v>
      </c>
      <c r="I869" t="n">
        <v>0</v>
      </c>
      <c r="J869" t="n">
        <v>0</v>
      </c>
      <c r="K869" t="n">
        <v>0</v>
      </c>
      <c r="L869" t="n">
        <v>0</v>
      </c>
      <c r="M869" t="n">
        <v>0</v>
      </c>
      <c r="N869" t="n">
        <v>0</v>
      </c>
      <c r="O869" t="n">
        <v>0</v>
      </c>
      <c r="P869" t="n">
        <v>0</v>
      </c>
      <c r="Q869" t="n">
        <v>0</v>
      </c>
      <c r="R869" s="2" t="inlineStr"/>
    </row>
    <row r="870" ht="15" customHeight="1">
      <c r="A870" t="inlineStr">
        <is>
          <t>A 14310-2022</t>
        </is>
      </c>
      <c r="B870" s="1" t="n">
        <v>44652</v>
      </c>
      <c r="C870" s="1" t="n">
        <v>45886</v>
      </c>
      <c r="D870" t="inlineStr">
        <is>
          <t>VÄRMLANDS LÄN</t>
        </is>
      </c>
      <c r="E870" t="inlineStr">
        <is>
          <t>ÅRJÄNG</t>
        </is>
      </c>
      <c r="G870" t="n">
        <v>2.5</v>
      </c>
      <c r="H870" t="n">
        <v>0</v>
      </c>
      <c r="I870" t="n">
        <v>0</v>
      </c>
      <c r="J870" t="n">
        <v>0</v>
      </c>
      <c r="K870" t="n">
        <v>0</v>
      </c>
      <c r="L870" t="n">
        <v>0</v>
      </c>
      <c r="M870" t="n">
        <v>0</v>
      </c>
      <c r="N870" t="n">
        <v>0</v>
      </c>
      <c r="O870" t="n">
        <v>0</v>
      </c>
      <c r="P870" t="n">
        <v>0</v>
      </c>
      <c r="Q870" t="n">
        <v>0</v>
      </c>
      <c r="R870" s="2" t="inlineStr"/>
    </row>
    <row r="871" ht="15" customHeight="1">
      <c r="A871" t="inlineStr">
        <is>
          <t>A 38482-2024</t>
        </is>
      </c>
      <c r="B871" s="1" t="n">
        <v>45546</v>
      </c>
      <c r="C871" s="1" t="n">
        <v>45886</v>
      </c>
      <c r="D871" t="inlineStr">
        <is>
          <t>VÄRMLANDS LÄN</t>
        </is>
      </c>
      <c r="E871" t="inlineStr">
        <is>
          <t>ÅRJÄNG</t>
        </is>
      </c>
      <c r="G871" t="n">
        <v>2.8</v>
      </c>
      <c r="H871" t="n">
        <v>0</v>
      </c>
      <c r="I871" t="n">
        <v>0</v>
      </c>
      <c r="J871" t="n">
        <v>0</v>
      </c>
      <c r="K871" t="n">
        <v>0</v>
      </c>
      <c r="L871" t="n">
        <v>0</v>
      </c>
      <c r="M871" t="n">
        <v>0</v>
      </c>
      <c r="N871" t="n">
        <v>0</v>
      </c>
      <c r="O871" t="n">
        <v>0</v>
      </c>
      <c r="P871" t="n">
        <v>0</v>
      </c>
      <c r="Q871" t="n">
        <v>0</v>
      </c>
      <c r="R871" s="2" t="inlineStr"/>
    </row>
    <row r="872" ht="15" customHeight="1">
      <c r="A872" t="inlineStr">
        <is>
          <t>A 14917-2024</t>
        </is>
      </c>
      <c r="B872" s="1" t="n">
        <v>45398</v>
      </c>
      <c r="C872" s="1" t="n">
        <v>45886</v>
      </c>
      <c r="D872" t="inlineStr">
        <is>
          <t>VÄRMLANDS LÄN</t>
        </is>
      </c>
      <c r="E872" t="inlineStr">
        <is>
          <t>ÅRJÄNG</t>
        </is>
      </c>
      <c r="G872" t="n">
        <v>19.9</v>
      </c>
      <c r="H872" t="n">
        <v>0</v>
      </c>
      <c r="I872" t="n">
        <v>0</v>
      </c>
      <c r="J872" t="n">
        <v>0</v>
      </c>
      <c r="K872" t="n">
        <v>0</v>
      </c>
      <c r="L872" t="n">
        <v>0</v>
      </c>
      <c r="M872" t="n">
        <v>0</v>
      </c>
      <c r="N872" t="n">
        <v>0</v>
      </c>
      <c r="O872" t="n">
        <v>0</v>
      </c>
      <c r="P872" t="n">
        <v>0</v>
      </c>
      <c r="Q872" t="n">
        <v>0</v>
      </c>
      <c r="R872" s="2" t="inlineStr"/>
    </row>
    <row r="873" ht="15" customHeight="1">
      <c r="A873" t="inlineStr">
        <is>
          <t>A 53793-2024</t>
        </is>
      </c>
      <c r="B873" s="1" t="n">
        <v>45615</v>
      </c>
      <c r="C873" s="1" t="n">
        <v>45886</v>
      </c>
      <c r="D873" t="inlineStr">
        <is>
          <t>VÄRMLANDS LÄN</t>
        </is>
      </c>
      <c r="E873" t="inlineStr">
        <is>
          <t>ÅRJÄNG</t>
        </is>
      </c>
      <c r="G873" t="n">
        <v>4.9</v>
      </c>
      <c r="H873" t="n">
        <v>0</v>
      </c>
      <c r="I873" t="n">
        <v>0</v>
      </c>
      <c r="J873" t="n">
        <v>0</v>
      </c>
      <c r="K873" t="n">
        <v>0</v>
      </c>
      <c r="L873" t="n">
        <v>0</v>
      </c>
      <c r="M873" t="n">
        <v>0</v>
      </c>
      <c r="N873" t="n">
        <v>0</v>
      </c>
      <c r="O873" t="n">
        <v>0</v>
      </c>
      <c r="P873" t="n">
        <v>0</v>
      </c>
      <c r="Q873" t="n">
        <v>0</v>
      </c>
      <c r="R873" s="2" t="inlineStr"/>
    </row>
    <row r="874" ht="15" customHeight="1">
      <c r="A874" t="inlineStr">
        <is>
          <t>A 15537-2024</t>
        </is>
      </c>
      <c r="B874" s="1" t="n">
        <v>45401</v>
      </c>
      <c r="C874" s="1" t="n">
        <v>45886</v>
      </c>
      <c r="D874" t="inlineStr">
        <is>
          <t>VÄRMLANDS LÄN</t>
        </is>
      </c>
      <c r="E874" t="inlineStr">
        <is>
          <t>ÅRJÄNG</t>
        </is>
      </c>
      <c r="G874" t="n">
        <v>2</v>
      </c>
      <c r="H874" t="n">
        <v>0</v>
      </c>
      <c r="I874" t="n">
        <v>0</v>
      </c>
      <c r="J874" t="n">
        <v>0</v>
      </c>
      <c r="K874" t="n">
        <v>0</v>
      </c>
      <c r="L874" t="n">
        <v>0</v>
      </c>
      <c r="M874" t="n">
        <v>0</v>
      </c>
      <c r="N874" t="n">
        <v>0</v>
      </c>
      <c r="O874" t="n">
        <v>0</v>
      </c>
      <c r="P874" t="n">
        <v>0</v>
      </c>
      <c r="Q874" t="n">
        <v>0</v>
      </c>
      <c r="R874" s="2" t="inlineStr"/>
    </row>
    <row r="875" ht="15" customHeight="1">
      <c r="A875" t="inlineStr">
        <is>
          <t>A 60975-2022</t>
        </is>
      </c>
      <c r="B875" s="1" t="n">
        <v>44914</v>
      </c>
      <c r="C875" s="1" t="n">
        <v>45886</v>
      </c>
      <c r="D875" t="inlineStr">
        <is>
          <t>VÄRMLANDS LÄN</t>
        </is>
      </c>
      <c r="E875" t="inlineStr">
        <is>
          <t>ÅRJÄNG</t>
        </is>
      </c>
      <c r="G875" t="n">
        <v>1.3</v>
      </c>
      <c r="H875" t="n">
        <v>0</v>
      </c>
      <c r="I875" t="n">
        <v>0</v>
      </c>
      <c r="J875" t="n">
        <v>0</v>
      </c>
      <c r="K875" t="n">
        <v>0</v>
      </c>
      <c r="L875" t="n">
        <v>0</v>
      </c>
      <c r="M875" t="n">
        <v>0</v>
      </c>
      <c r="N875" t="n">
        <v>0</v>
      </c>
      <c r="O875" t="n">
        <v>0</v>
      </c>
      <c r="P875" t="n">
        <v>0</v>
      </c>
      <c r="Q875" t="n">
        <v>0</v>
      </c>
      <c r="R875" s="2" t="inlineStr"/>
    </row>
    <row r="876" ht="15" customHeight="1">
      <c r="A876" t="inlineStr">
        <is>
          <t>A 39156-2024</t>
        </is>
      </c>
      <c r="B876" s="1" t="n">
        <v>45548.62956018518</v>
      </c>
      <c r="C876" s="1" t="n">
        <v>45886</v>
      </c>
      <c r="D876" t="inlineStr">
        <is>
          <t>VÄRMLANDS LÄN</t>
        </is>
      </c>
      <c r="E876" t="inlineStr">
        <is>
          <t>ÅRJÄNG</t>
        </is>
      </c>
      <c r="G876" t="n">
        <v>0.8</v>
      </c>
      <c r="H876" t="n">
        <v>0</v>
      </c>
      <c r="I876" t="n">
        <v>0</v>
      </c>
      <c r="J876" t="n">
        <v>0</v>
      </c>
      <c r="K876" t="n">
        <v>0</v>
      </c>
      <c r="L876" t="n">
        <v>0</v>
      </c>
      <c r="M876" t="n">
        <v>0</v>
      </c>
      <c r="N876" t="n">
        <v>0</v>
      </c>
      <c r="O876" t="n">
        <v>0</v>
      </c>
      <c r="P876" t="n">
        <v>0</v>
      </c>
      <c r="Q876" t="n">
        <v>0</v>
      </c>
      <c r="R876" s="2" t="inlineStr"/>
    </row>
    <row r="877" ht="15" customHeight="1">
      <c r="A877" t="inlineStr">
        <is>
          <t>A 65837-2021</t>
        </is>
      </c>
      <c r="B877" s="1" t="n">
        <v>44517.35402777778</v>
      </c>
      <c r="C877" s="1" t="n">
        <v>45886</v>
      </c>
      <c r="D877" t="inlineStr">
        <is>
          <t>VÄRMLANDS LÄN</t>
        </is>
      </c>
      <c r="E877" t="inlineStr">
        <is>
          <t>ÅRJÄNG</t>
        </is>
      </c>
      <c r="G877" t="n">
        <v>6.8</v>
      </c>
      <c r="H877" t="n">
        <v>0</v>
      </c>
      <c r="I877" t="n">
        <v>0</v>
      </c>
      <c r="J877" t="n">
        <v>0</v>
      </c>
      <c r="K877" t="n">
        <v>0</v>
      </c>
      <c r="L877" t="n">
        <v>0</v>
      </c>
      <c r="M877" t="n">
        <v>0</v>
      </c>
      <c r="N877" t="n">
        <v>0</v>
      </c>
      <c r="O877" t="n">
        <v>0</v>
      </c>
      <c r="P877" t="n">
        <v>0</v>
      </c>
      <c r="Q877" t="n">
        <v>0</v>
      </c>
      <c r="R877" s="2" t="inlineStr"/>
    </row>
    <row r="878" ht="15" customHeight="1">
      <c r="A878" t="inlineStr">
        <is>
          <t>A 49405-2022</t>
        </is>
      </c>
      <c r="B878" s="1" t="n">
        <v>44861.63182870371</v>
      </c>
      <c r="C878" s="1" t="n">
        <v>45886</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44417-2021</t>
        </is>
      </c>
      <c r="B879" s="1" t="n">
        <v>44435.50591435185</v>
      </c>
      <c r="C879" s="1" t="n">
        <v>45886</v>
      </c>
      <c r="D879" t="inlineStr">
        <is>
          <t>VÄRMLANDS LÄN</t>
        </is>
      </c>
      <c r="E879" t="inlineStr">
        <is>
          <t>ÅRJÄNG</t>
        </is>
      </c>
      <c r="G879" t="n">
        <v>32.2</v>
      </c>
      <c r="H879" t="n">
        <v>0</v>
      </c>
      <c r="I879" t="n">
        <v>0</v>
      </c>
      <c r="J879" t="n">
        <v>0</v>
      </c>
      <c r="K879" t="n">
        <v>0</v>
      </c>
      <c r="L879" t="n">
        <v>0</v>
      </c>
      <c r="M879" t="n">
        <v>0</v>
      </c>
      <c r="N879" t="n">
        <v>0</v>
      </c>
      <c r="O879" t="n">
        <v>0</v>
      </c>
      <c r="P879" t="n">
        <v>0</v>
      </c>
      <c r="Q879" t="n">
        <v>0</v>
      </c>
      <c r="R879" s="2" t="inlineStr"/>
    </row>
    <row r="880" ht="15" customHeight="1">
      <c r="A880" t="inlineStr">
        <is>
          <t>A 21362-2022</t>
        </is>
      </c>
      <c r="B880" s="1" t="n">
        <v>44705</v>
      </c>
      <c r="C880" s="1" t="n">
        <v>45886</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65854-2021</t>
        </is>
      </c>
      <c r="B881" s="1" t="n">
        <v>44517.37467592592</v>
      </c>
      <c r="C881" s="1" t="n">
        <v>45886</v>
      </c>
      <c r="D881" t="inlineStr">
        <is>
          <t>VÄRMLANDS LÄN</t>
        </is>
      </c>
      <c r="E881" t="inlineStr">
        <is>
          <t>ÅRJÄNG</t>
        </is>
      </c>
      <c r="G881" t="n">
        <v>11.1</v>
      </c>
      <c r="H881" t="n">
        <v>0</v>
      </c>
      <c r="I881" t="n">
        <v>0</v>
      </c>
      <c r="J881" t="n">
        <v>0</v>
      </c>
      <c r="K881" t="n">
        <v>0</v>
      </c>
      <c r="L881" t="n">
        <v>0</v>
      </c>
      <c r="M881" t="n">
        <v>0</v>
      </c>
      <c r="N881" t="n">
        <v>0</v>
      </c>
      <c r="O881" t="n">
        <v>0</v>
      </c>
      <c r="P881" t="n">
        <v>0</v>
      </c>
      <c r="Q881" t="n">
        <v>0</v>
      </c>
      <c r="R881" s="2" t="inlineStr"/>
    </row>
    <row r="882" ht="15" customHeight="1">
      <c r="A882" t="inlineStr">
        <is>
          <t>A 42149-2024</t>
        </is>
      </c>
      <c r="B882" s="1" t="n">
        <v>45562.44591435185</v>
      </c>
      <c r="C882" s="1" t="n">
        <v>45886</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8951-2021</t>
        </is>
      </c>
      <c r="B883" s="1" t="n">
        <v>44246</v>
      </c>
      <c r="C883" s="1" t="n">
        <v>45886</v>
      </c>
      <c r="D883" t="inlineStr">
        <is>
          <t>VÄRMLANDS LÄN</t>
        </is>
      </c>
      <c r="E883" t="inlineStr">
        <is>
          <t>ÅRJÄNG</t>
        </is>
      </c>
      <c r="F883" t="inlineStr">
        <is>
          <t>Övriga Aktiebolag</t>
        </is>
      </c>
      <c r="G883" t="n">
        <v>3.7</v>
      </c>
      <c r="H883" t="n">
        <v>0</v>
      </c>
      <c r="I883" t="n">
        <v>0</v>
      </c>
      <c r="J883" t="n">
        <v>0</v>
      </c>
      <c r="K883" t="n">
        <v>0</v>
      </c>
      <c r="L883" t="n">
        <v>0</v>
      </c>
      <c r="M883" t="n">
        <v>0</v>
      </c>
      <c r="N883" t="n">
        <v>0</v>
      </c>
      <c r="O883" t="n">
        <v>0</v>
      </c>
      <c r="P883" t="n">
        <v>0</v>
      </c>
      <c r="Q883" t="n">
        <v>0</v>
      </c>
      <c r="R883" s="2" t="inlineStr"/>
    </row>
    <row r="884" ht="15" customHeight="1">
      <c r="A884" t="inlineStr">
        <is>
          <t>A 47223-2021</t>
        </is>
      </c>
      <c r="B884" s="1" t="n">
        <v>44446</v>
      </c>
      <c r="C884" s="1" t="n">
        <v>45886</v>
      </c>
      <c r="D884" t="inlineStr">
        <is>
          <t>VÄRMLANDS LÄN</t>
        </is>
      </c>
      <c r="E884" t="inlineStr">
        <is>
          <t>ÅRJÄNG</t>
        </is>
      </c>
      <c r="G884" t="n">
        <v>5.4</v>
      </c>
      <c r="H884" t="n">
        <v>0</v>
      </c>
      <c r="I884" t="n">
        <v>0</v>
      </c>
      <c r="J884" t="n">
        <v>0</v>
      </c>
      <c r="K884" t="n">
        <v>0</v>
      </c>
      <c r="L884" t="n">
        <v>0</v>
      </c>
      <c r="M884" t="n">
        <v>0</v>
      </c>
      <c r="N884" t="n">
        <v>0</v>
      </c>
      <c r="O884" t="n">
        <v>0</v>
      </c>
      <c r="P884" t="n">
        <v>0</v>
      </c>
      <c r="Q884" t="n">
        <v>0</v>
      </c>
      <c r="R884" s="2" t="inlineStr"/>
    </row>
    <row r="885" ht="15" customHeight="1">
      <c r="A885" t="inlineStr">
        <is>
          <t>A 8685-2024</t>
        </is>
      </c>
      <c r="B885" s="1" t="n">
        <v>45356</v>
      </c>
      <c r="C885" s="1" t="n">
        <v>45886</v>
      </c>
      <c r="D885" t="inlineStr">
        <is>
          <t>VÄRMLANDS LÄN</t>
        </is>
      </c>
      <c r="E885" t="inlineStr">
        <is>
          <t>ÅRJÄNG</t>
        </is>
      </c>
      <c r="G885" t="n">
        <v>2.5</v>
      </c>
      <c r="H885" t="n">
        <v>0</v>
      </c>
      <c r="I885" t="n">
        <v>0</v>
      </c>
      <c r="J885" t="n">
        <v>0</v>
      </c>
      <c r="K885" t="n">
        <v>0</v>
      </c>
      <c r="L885" t="n">
        <v>0</v>
      </c>
      <c r="M885" t="n">
        <v>0</v>
      </c>
      <c r="N885" t="n">
        <v>0</v>
      </c>
      <c r="O885" t="n">
        <v>0</v>
      </c>
      <c r="P885" t="n">
        <v>0</v>
      </c>
      <c r="Q885" t="n">
        <v>0</v>
      </c>
      <c r="R885" s="2" t="inlineStr"/>
    </row>
    <row r="886" ht="15" customHeight="1">
      <c r="A886" t="inlineStr">
        <is>
          <t>A 49057-2024</t>
        </is>
      </c>
      <c r="B886" s="1" t="n">
        <v>45594</v>
      </c>
      <c r="C886" s="1" t="n">
        <v>45886</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4748-2023</t>
        </is>
      </c>
      <c r="B887" s="1" t="n">
        <v>44957</v>
      </c>
      <c r="C887" s="1" t="n">
        <v>45886</v>
      </c>
      <c r="D887" t="inlineStr">
        <is>
          <t>VÄRMLANDS LÄN</t>
        </is>
      </c>
      <c r="E887" t="inlineStr">
        <is>
          <t>ÅRJÄNG</t>
        </is>
      </c>
      <c r="G887" t="n">
        <v>2.6</v>
      </c>
      <c r="H887" t="n">
        <v>0</v>
      </c>
      <c r="I887" t="n">
        <v>0</v>
      </c>
      <c r="J887" t="n">
        <v>0</v>
      </c>
      <c r="K887" t="n">
        <v>0</v>
      </c>
      <c r="L887" t="n">
        <v>0</v>
      </c>
      <c r="M887" t="n">
        <v>0</v>
      </c>
      <c r="N887" t="n">
        <v>0</v>
      </c>
      <c r="O887" t="n">
        <v>0</v>
      </c>
      <c r="P887" t="n">
        <v>0</v>
      </c>
      <c r="Q887" t="n">
        <v>0</v>
      </c>
      <c r="R887" s="2" t="inlineStr"/>
    </row>
    <row r="888" ht="15" customHeight="1">
      <c r="A888" t="inlineStr">
        <is>
          <t>A 43244-2023</t>
        </is>
      </c>
      <c r="B888" s="1" t="n">
        <v>45183.48121527778</v>
      </c>
      <c r="C888" s="1" t="n">
        <v>45886</v>
      </c>
      <c r="D888" t="inlineStr">
        <is>
          <t>VÄRMLANDS LÄN</t>
        </is>
      </c>
      <c r="E888" t="inlineStr">
        <is>
          <t>ÅRJÄNG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42141-2024</t>
        </is>
      </c>
      <c r="B889" s="1" t="n">
        <v>45562.43354166667</v>
      </c>
      <c r="C889" s="1" t="n">
        <v>45886</v>
      </c>
      <c r="D889" t="inlineStr">
        <is>
          <t>VÄRMLANDS LÄN</t>
        </is>
      </c>
      <c r="E889" t="inlineStr">
        <is>
          <t>ÅRJÄNG</t>
        </is>
      </c>
      <c r="G889" t="n">
        <v>2.5</v>
      </c>
      <c r="H889" t="n">
        <v>0</v>
      </c>
      <c r="I889" t="n">
        <v>0</v>
      </c>
      <c r="J889" t="n">
        <v>0</v>
      </c>
      <c r="K889" t="n">
        <v>0</v>
      </c>
      <c r="L889" t="n">
        <v>0</v>
      </c>
      <c r="M889" t="n">
        <v>0</v>
      </c>
      <c r="N889" t="n">
        <v>0</v>
      </c>
      <c r="O889" t="n">
        <v>0</v>
      </c>
      <c r="P889" t="n">
        <v>0</v>
      </c>
      <c r="Q889" t="n">
        <v>0</v>
      </c>
      <c r="R889" s="2" t="inlineStr"/>
    </row>
    <row r="890" ht="15" customHeight="1">
      <c r="A890" t="inlineStr">
        <is>
          <t>A 11026-2023</t>
        </is>
      </c>
      <c r="B890" s="1" t="n">
        <v>44991</v>
      </c>
      <c r="C890" s="1" t="n">
        <v>45886</v>
      </c>
      <c r="D890" t="inlineStr">
        <is>
          <t>VÄRMLANDS LÄN</t>
        </is>
      </c>
      <c r="E890" t="inlineStr">
        <is>
          <t>ÅRJÄNG</t>
        </is>
      </c>
      <c r="G890" t="n">
        <v>1.3</v>
      </c>
      <c r="H890" t="n">
        <v>0</v>
      </c>
      <c r="I890" t="n">
        <v>0</v>
      </c>
      <c r="J890" t="n">
        <v>0</v>
      </c>
      <c r="K890" t="n">
        <v>0</v>
      </c>
      <c r="L890" t="n">
        <v>0</v>
      </c>
      <c r="M890" t="n">
        <v>0</v>
      </c>
      <c r="N890" t="n">
        <v>0</v>
      </c>
      <c r="O890" t="n">
        <v>0</v>
      </c>
      <c r="P890" t="n">
        <v>0</v>
      </c>
      <c r="Q890" t="n">
        <v>0</v>
      </c>
      <c r="R890" s="2" t="inlineStr"/>
    </row>
    <row r="891" ht="15" customHeight="1">
      <c r="A891" t="inlineStr">
        <is>
          <t>A 42455-2024</t>
        </is>
      </c>
      <c r="B891" s="1" t="n">
        <v>45565</v>
      </c>
      <c r="C891" s="1" t="n">
        <v>45886</v>
      </c>
      <c r="D891" t="inlineStr">
        <is>
          <t>VÄRMLANDS LÄN</t>
        </is>
      </c>
      <c r="E891" t="inlineStr">
        <is>
          <t>ÅRJÄNG</t>
        </is>
      </c>
      <c r="G891" t="n">
        <v>0.7</v>
      </c>
      <c r="H891" t="n">
        <v>0</v>
      </c>
      <c r="I891" t="n">
        <v>0</v>
      </c>
      <c r="J891" t="n">
        <v>0</v>
      </c>
      <c r="K891" t="n">
        <v>0</v>
      </c>
      <c r="L891" t="n">
        <v>0</v>
      </c>
      <c r="M891" t="n">
        <v>0</v>
      </c>
      <c r="N891" t="n">
        <v>0</v>
      </c>
      <c r="O891" t="n">
        <v>0</v>
      </c>
      <c r="P891" t="n">
        <v>0</v>
      </c>
      <c r="Q891" t="n">
        <v>0</v>
      </c>
      <c r="R891" s="2" t="inlineStr"/>
    </row>
    <row r="892" ht="15" customHeight="1">
      <c r="A892" t="inlineStr">
        <is>
          <t>A 64690-2023</t>
        </is>
      </c>
      <c r="B892" s="1" t="n">
        <v>45281.63434027778</v>
      </c>
      <c r="C892" s="1" t="n">
        <v>45886</v>
      </c>
      <c r="D892" t="inlineStr">
        <is>
          <t>VÄRMLANDS LÄN</t>
        </is>
      </c>
      <c r="E892" t="inlineStr">
        <is>
          <t>ÅRJÄNG</t>
        </is>
      </c>
      <c r="G892" t="n">
        <v>2.1</v>
      </c>
      <c r="H892" t="n">
        <v>0</v>
      </c>
      <c r="I892" t="n">
        <v>0</v>
      </c>
      <c r="J892" t="n">
        <v>0</v>
      </c>
      <c r="K892" t="n">
        <v>0</v>
      </c>
      <c r="L892" t="n">
        <v>0</v>
      </c>
      <c r="M892" t="n">
        <v>0</v>
      </c>
      <c r="N892" t="n">
        <v>0</v>
      </c>
      <c r="O892" t="n">
        <v>0</v>
      </c>
      <c r="P892" t="n">
        <v>0</v>
      </c>
      <c r="Q892" t="n">
        <v>0</v>
      </c>
      <c r="R892" s="2" t="inlineStr"/>
    </row>
    <row r="893" ht="15" customHeight="1">
      <c r="A893" t="inlineStr">
        <is>
          <t>A 3796-2021</t>
        </is>
      </c>
      <c r="B893" s="1" t="n">
        <v>44221</v>
      </c>
      <c r="C893" s="1" t="n">
        <v>45886</v>
      </c>
      <c r="D893" t="inlineStr">
        <is>
          <t>VÄRMLANDS LÄN</t>
        </is>
      </c>
      <c r="E893" t="inlineStr">
        <is>
          <t>ÅRJÄNG</t>
        </is>
      </c>
      <c r="G893" t="n">
        <v>4</v>
      </c>
      <c r="H893" t="n">
        <v>0</v>
      </c>
      <c r="I893" t="n">
        <v>0</v>
      </c>
      <c r="J893" t="n">
        <v>0</v>
      </c>
      <c r="K893" t="n">
        <v>0</v>
      </c>
      <c r="L893" t="n">
        <v>0</v>
      </c>
      <c r="M893" t="n">
        <v>0</v>
      </c>
      <c r="N893" t="n">
        <v>0</v>
      </c>
      <c r="O893" t="n">
        <v>0</v>
      </c>
      <c r="P893" t="n">
        <v>0</v>
      </c>
      <c r="Q893" t="n">
        <v>0</v>
      </c>
      <c r="R893" s="2" t="inlineStr"/>
    </row>
    <row r="894" ht="15" customHeight="1">
      <c r="A894" t="inlineStr">
        <is>
          <t>A 9489-2025</t>
        </is>
      </c>
      <c r="B894" s="1" t="n">
        <v>45715</v>
      </c>
      <c r="C894" s="1" t="n">
        <v>45886</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7574-2024</t>
        </is>
      </c>
      <c r="B895" s="1" t="n">
        <v>45348</v>
      </c>
      <c r="C895" s="1" t="n">
        <v>45886</v>
      </c>
      <c r="D895" t="inlineStr">
        <is>
          <t>VÄRMLANDS LÄN</t>
        </is>
      </c>
      <c r="E895" t="inlineStr">
        <is>
          <t>ÅRJÄNG</t>
        </is>
      </c>
      <c r="G895" t="n">
        <v>4.6</v>
      </c>
      <c r="H895" t="n">
        <v>0</v>
      </c>
      <c r="I895" t="n">
        <v>0</v>
      </c>
      <c r="J895" t="n">
        <v>0</v>
      </c>
      <c r="K895" t="n">
        <v>0</v>
      </c>
      <c r="L895" t="n">
        <v>0</v>
      </c>
      <c r="M895" t="n">
        <v>0</v>
      </c>
      <c r="N895" t="n">
        <v>0</v>
      </c>
      <c r="O895" t="n">
        <v>0</v>
      </c>
      <c r="P895" t="n">
        <v>0</v>
      </c>
      <c r="Q895" t="n">
        <v>0</v>
      </c>
      <c r="R895" s="2" t="inlineStr"/>
    </row>
    <row r="896" ht="15" customHeight="1">
      <c r="A896" t="inlineStr">
        <is>
          <t>A 49673-2022</t>
        </is>
      </c>
      <c r="B896" s="1" t="n">
        <v>44862.47881944444</v>
      </c>
      <c r="C896" s="1" t="n">
        <v>45886</v>
      </c>
      <c r="D896" t="inlineStr">
        <is>
          <t>VÄRMLANDS LÄN</t>
        </is>
      </c>
      <c r="E896" t="inlineStr">
        <is>
          <t>ÅRJÄNG</t>
        </is>
      </c>
      <c r="G896" t="n">
        <v>2.1</v>
      </c>
      <c r="H896" t="n">
        <v>0</v>
      </c>
      <c r="I896" t="n">
        <v>0</v>
      </c>
      <c r="J896" t="n">
        <v>0</v>
      </c>
      <c r="K896" t="n">
        <v>0</v>
      </c>
      <c r="L896" t="n">
        <v>0</v>
      </c>
      <c r="M896" t="n">
        <v>0</v>
      </c>
      <c r="N896" t="n">
        <v>0</v>
      </c>
      <c r="O896" t="n">
        <v>0</v>
      </c>
      <c r="P896" t="n">
        <v>0</v>
      </c>
      <c r="Q896" t="n">
        <v>0</v>
      </c>
      <c r="R896" s="2" t="inlineStr"/>
    </row>
    <row r="897" ht="15" customHeight="1">
      <c r="A897" t="inlineStr">
        <is>
          <t>A 54335-2021</t>
        </is>
      </c>
      <c r="B897" s="1" t="n">
        <v>44472.93063657408</v>
      </c>
      <c r="C897" s="1" t="n">
        <v>45886</v>
      </c>
      <c r="D897" t="inlineStr">
        <is>
          <t>VÄRMLANDS LÄN</t>
        </is>
      </c>
      <c r="E897" t="inlineStr">
        <is>
          <t>ÅRJÄNG</t>
        </is>
      </c>
      <c r="G897" t="n">
        <v>5.5</v>
      </c>
      <c r="H897" t="n">
        <v>0</v>
      </c>
      <c r="I897" t="n">
        <v>0</v>
      </c>
      <c r="J897" t="n">
        <v>0</v>
      </c>
      <c r="K897" t="n">
        <v>0</v>
      </c>
      <c r="L897" t="n">
        <v>0</v>
      </c>
      <c r="M897" t="n">
        <v>0</v>
      </c>
      <c r="N897" t="n">
        <v>0</v>
      </c>
      <c r="O897" t="n">
        <v>0</v>
      </c>
      <c r="P897" t="n">
        <v>0</v>
      </c>
      <c r="Q897" t="n">
        <v>0</v>
      </c>
      <c r="R897" s="2" t="inlineStr"/>
    </row>
    <row r="898" ht="15" customHeight="1">
      <c r="A898" t="inlineStr">
        <is>
          <t>A 60886-2023</t>
        </is>
      </c>
      <c r="B898" s="1" t="n">
        <v>45261</v>
      </c>
      <c r="C898" s="1" t="n">
        <v>45886</v>
      </c>
      <c r="D898" t="inlineStr">
        <is>
          <t>VÄRMLANDS LÄN</t>
        </is>
      </c>
      <c r="E898" t="inlineStr">
        <is>
          <t>ÅRJÄNG</t>
        </is>
      </c>
      <c r="G898" t="n">
        <v>2.9</v>
      </c>
      <c r="H898" t="n">
        <v>0</v>
      </c>
      <c r="I898" t="n">
        <v>0</v>
      </c>
      <c r="J898" t="n">
        <v>0</v>
      </c>
      <c r="K898" t="n">
        <v>0</v>
      </c>
      <c r="L898" t="n">
        <v>0</v>
      </c>
      <c r="M898" t="n">
        <v>0</v>
      </c>
      <c r="N898" t="n">
        <v>0</v>
      </c>
      <c r="O898" t="n">
        <v>0</v>
      </c>
      <c r="P898" t="n">
        <v>0</v>
      </c>
      <c r="Q898" t="n">
        <v>0</v>
      </c>
      <c r="R898" s="2" t="inlineStr"/>
    </row>
    <row r="899" ht="15" customHeight="1">
      <c r="A899" t="inlineStr">
        <is>
          <t>A 31622-2024</t>
        </is>
      </c>
      <c r="B899" s="1" t="n">
        <v>45506</v>
      </c>
      <c r="C899" s="1" t="n">
        <v>45886</v>
      </c>
      <c r="D899" t="inlineStr">
        <is>
          <t>VÄRMLANDS LÄN</t>
        </is>
      </c>
      <c r="E899" t="inlineStr">
        <is>
          <t>ÅRJÄNG</t>
        </is>
      </c>
      <c r="G899" t="n">
        <v>4</v>
      </c>
      <c r="H899" t="n">
        <v>0</v>
      </c>
      <c r="I899" t="n">
        <v>0</v>
      </c>
      <c r="J899" t="n">
        <v>0</v>
      </c>
      <c r="K899" t="n">
        <v>0</v>
      </c>
      <c r="L899" t="n">
        <v>0</v>
      </c>
      <c r="M899" t="n">
        <v>0</v>
      </c>
      <c r="N899" t="n">
        <v>0</v>
      </c>
      <c r="O899" t="n">
        <v>0</v>
      </c>
      <c r="P899" t="n">
        <v>0</v>
      </c>
      <c r="Q899" t="n">
        <v>0</v>
      </c>
      <c r="R899" s="2" t="inlineStr"/>
    </row>
    <row r="900" ht="15" customHeight="1">
      <c r="A900" t="inlineStr">
        <is>
          <t>A 11176-2023</t>
        </is>
      </c>
      <c r="B900" s="1" t="n">
        <v>44987</v>
      </c>
      <c r="C900" s="1" t="n">
        <v>45886</v>
      </c>
      <c r="D900" t="inlineStr">
        <is>
          <t>VÄRMLANDS LÄN</t>
        </is>
      </c>
      <c r="E900" t="inlineStr">
        <is>
          <t>ÅRJÄNG</t>
        </is>
      </c>
      <c r="G900" t="n">
        <v>5.2</v>
      </c>
      <c r="H900" t="n">
        <v>0</v>
      </c>
      <c r="I900" t="n">
        <v>0</v>
      </c>
      <c r="J900" t="n">
        <v>0</v>
      </c>
      <c r="K900" t="n">
        <v>0</v>
      </c>
      <c r="L900" t="n">
        <v>0</v>
      </c>
      <c r="M900" t="n">
        <v>0</v>
      </c>
      <c r="N900" t="n">
        <v>0</v>
      </c>
      <c r="O900" t="n">
        <v>0</v>
      </c>
      <c r="P900" t="n">
        <v>0</v>
      </c>
      <c r="Q900" t="n">
        <v>0</v>
      </c>
      <c r="R900" s="2" t="inlineStr"/>
    </row>
    <row r="901" ht="15" customHeight="1">
      <c r="A901" t="inlineStr">
        <is>
          <t>A 24216-2024</t>
        </is>
      </c>
      <c r="B901" s="1" t="n">
        <v>45457</v>
      </c>
      <c r="C901" s="1" t="n">
        <v>45886</v>
      </c>
      <c r="D901" t="inlineStr">
        <is>
          <t>VÄRMLANDS LÄN</t>
        </is>
      </c>
      <c r="E901" t="inlineStr">
        <is>
          <t>ÅRJÄNG</t>
        </is>
      </c>
      <c r="G901" t="n">
        <v>2</v>
      </c>
      <c r="H901" t="n">
        <v>0</v>
      </c>
      <c r="I901" t="n">
        <v>0</v>
      </c>
      <c r="J901" t="n">
        <v>0</v>
      </c>
      <c r="K901" t="n">
        <v>0</v>
      </c>
      <c r="L901" t="n">
        <v>0</v>
      </c>
      <c r="M901" t="n">
        <v>0</v>
      </c>
      <c r="N901" t="n">
        <v>0</v>
      </c>
      <c r="O901" t="n">
        <v>0</v>
      </c>
      <c r="P901" t="n">
        <v>0</v>
      </c>
      <c r="Q901" t="n">
        <v>0</v>
      </c>
      <c r="R901" s="2" t="inlineStr"/>
    </row>
    <row r="902" ht="15" customHeight="1">
      <c r="A902" t="inlineStr">
        <is>
          <t>A 8678-2022</t>
        </is>
      </c>
      <c r="B902" s="1" t="n">
        <v>44613.68043981482</v>
      </c>
      <c r="C902" s="1" t="n">
        <v>45886</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61009-2022</t>
        </is>
      </c>
      <c r="B903" s="1" t="n">
        <v>44914.7541550926</v>
      </c>
      <c r="C903" s="1" t="n">
        <v>45886</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50112-2024</t>
        </is>
      </c>
      <c r="B904" s="1" t="n">
        <v>45600</v>
      </c>
      <c r="C904" s="1" t="n">
        <v>45886</v>
      </c>
      <c r="D904" t="inlineStr">
        <is>
          <t>VÄRMLANDS LÄN</t>
        </is>
      </c>
      <c r="E904" t="inlineStr">
        <is>
          <t>ÅRJÄNG</t>
        </is>
      </c>
      <c r="G904" t="n">
        <v>2.8</v>
      </c>
      <c r="H904" t="n">
        <v>0</v>
      </c>
      <c r="I904" t="n">
        <v>0</v>
      </c>
      <c r="J904" t="n">
        <v>0</v>
      </c>
      <c r="K904" t="n">
        <v>0</v>
      </c>
      <c r="L904" t="n">
        <v>0</v>
      </c>
      <c r="M904" t="n">
        <v>0</v>
      </c>
      <c r="N904" t="n">
        <v>0</v>
      </c>
      <c r="O904" t="n">
        <v>0</v>
      </c>
      <c r="P904" t="n">
        <v>0</v>
      </c>
      <c r="Q904" t="n">
        <v>0</v>
      </c>
      <c r="R904" s="2" t="inlineStr"/>
    </row>
    <row r="905" ht="15" customHeight="1">
      <c r="A905" t="inlineStr">
        <is>
          <t>A 34574-2023</t>
        </is>
      </c>
      <c r="B905" s="1" t="n">
        <v>45135</v>
      </c>
      <c r="C905" s="1" t="n">
        <v>45886</v>
      </c>
      <c r="D905" t="inlineStr">
        <is>
          <t>VÄRMLANDS LÄN</t>
        </is>
      </c>
      <c r="E905" t="inlineStr">
        <is>
          <t>ÅRJÄNG</t>
        </is>
      </c>
      <c r="F905" t="inlineStr">
        <is>
          <t>Övriga Aktiebolag</t>
        </is>
      </c>
      <c r="G905" t="n">
        <v>5.9</v>
      </c>
      <c r="H905" t="n">
        <v>0</v>
      </c>
      <c r="I905" t="n">
        <v>0</v>
      </c>
      <c r="J905" t="n">
        <v>0</v>
      </c>
      <c r="K905" t="n">
        <v>0</v>
      </c>
      <c r="L905" t="n">
        <v>0</v>
      </c>
      <c r="M905" t="n">
        <v>0</v>
      </c>
      <c r="N905" t="n">
        <v>0</v>
      </c>
      <c r="O905" t="n">
        <v>0</v>
      </c>
      <c r="P905" t="n">
        <v>0</v>
      </c>
      <c r="Q905" t="n">
        <v>0</v>
      </c>
      <c r="R905" s="2" t="inlineStr"/>
    </row>
    <row r="906" ht="15" customHeight="1">
      <c r="A906" t="inlineStr">
        <is>
          <t>A 18388-2025</t>
        </is>
      </c>
      <c r="B906" s="1" t="n">
        <v>45762</v>
      </c>
      <c r="C906" s="1" t="n">
        <v>45886</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56168-2024</t>
        </is>
      </c>
      <c r="B907" s="1" t="n">
        <v>45623</v>
      </c>
      <c r="C907" s="1" t="n">
        <v>45886</v>
      </c>
      <c r="D907" t="inlineStr">
        <is>
          <t>VÄRMLANDS LÄN</t>
        </is>
      </c>
      <c r="E907" t="inlineStr">
        <is>
          <t>ÅRJÄNG</t>
        </is>
      </c>
      <c r="G907" t="n">
        <v>2.3</v>
      </c>
      <c r="H907" t="n">
        <v>0</v>
      </c>
      <c r="I907" t="n">
        <v>0</v>
      </c>
      <c r="J907" t="n">
        <v>0</v>
      </c>
      <c r="K907" t="n">
        <v>0</v>
      </c>
      <c r="L907" t="n">
        <v>0</v>
      </c>
      <c r="M907" t="n">
        <v>0</v>
      </c>
      <c r="N907" t="n">
        <v>0</v>
      </c>
      <c r="O907" t="n">
        <v>0</v>
      </c>
      <c r="P907" t="n">
        <v>0</v>
      </c>
      <c r="Q907" t="n">
        <v>0</v>
      </c>
      <c r="R907" s="2" t="inlineStr"/>
    </row>
    <row r="908" ht="15" customHeight="1">
      <c r="A908" t="inlineStr">
        <is>
          <t>A 48293-2022</t>
        </is>
      </c>
      <c r="B908" s="1" t="n">
        <v>44858.51623842592</v>
      </c>
      <c r="C908" s="1" t="n">
        <v>45886</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1912-2024</t>
        </is>
      </c>
      <c r="B909" s="1" t="n">
        <v>45308</v>
      </c>
      <c r="C909" s="1" t="n">
        <v>45886</v>
      </c>
      <c r="D909" t="inlineStr">
        <is>
          <t>VÄRMLANDS LÄN</t>
        </is>
      </c>
      <c r="E909" t="inlineStr">
        <is>
          <t>ÅRJÄNG</t>
        </is>
      </c>
      <c r="G909" t="n">
        <v>0.9</v>
      </c>
      <c r="H909" t="n">
        <v>0</v>
      </c>
      <c r="I909" t="n">
        <v>0</v>
      </c>
      <c r="J909" t="n">
        <v>0</v>
      </c>
      <c r="K909" t="n">
        <v>0</v>
      </c>
      <c r="L909" t="n">
        <v>0</v>
      </c>
      <c r="M909" t="n">
        <v>0</v>
      </c>
      <c r="N909" t="n">
        <v>0</v>
      </c>
      <c r="O909" t="n">
        <v>0</v>
      </c>
      <c r="P909" t="n">
        <v>0</v>
      </c>
      <c r="Q909" t="n">
        <v>0</v>
      </c>
      <c r="R909" s="2" t="inlineStr"/>
    </row>
    <row r="910" ht="15" customHeight="1">
      <c r="A910" t="inlineStr">
        <is>
          <t>A 38167-2022</t>
        </is>
      </c>
      <c r="B910" s="1" t="n">
        <v>44812</v>
      </c>
      <c r="C910" s="1" t="n">
        <v>45886</v>
      </c>
      <c r="D910" t="inlineStr">
        <is>
          <t>VÄRMLANDS LÄN</t>
        </is>
      </c>
      <c r="E910" t="inlineStr">
        <is>
          <t>ÅRJÄNG</t>
        </is>
      </c>
      <c r="G910" t="n">
        <v>10.5</v>
      </c>
      <c r="H910" t="n">
        <v>0</v>
      </c>
      <c r="I910" t="n">
        <v>0</v>
      </c>
      <c r="J910" t="n">
        <v>0</v>
      </c>
      <c r="K910" t="n">
        <v>0</v>
      </c>
      <c r="L910" t="n">
        <v>0</v>
      </c>
      <c r="M910" t="n">
        <v>0</v>
      </c>
      <c r="N910" t="n">
        <v>0</v>
      </c>
      <c r="O910" t="n">
        <v>0</v>
      </c>
      <c r="P910" t="n">
        <v>0</v>
      </c>
      <c r="Q910" t="n">
        <v>0</v>
      </c>
      <c r="R910" s="2" t="inlineStr"/>
    </row>
    <row r="911" ht="15" customHeight="1">
      <c r="A911" t="inlineStr">
        <is>
          <t>A 57161-2024</t>
        </is>
      </c>
      <c r="B911" s="1" t="n">
        <v>45628</v>
      </c>
      <c r="C911" s="1" t="n">
        <v>45886</v>
      </c>
      <c r="D911" t="inlineStr">
        <is>
          <t>VÄRMLANDS LÄN</t>
        </is>
      </c>
      <c r="E911" t="inlineStr">
        <is>
          <t>ÅRJÄNG</t>
        </is>
      </c>
      <c r="G911" t="n">
        <v>0.9</v>
      </c>
      <c r="H911" t="n">
        <v>0</v>
      </c>
      <c r="I911" t="n">
        <v>0</v>
      </c>
      <c r="J911" t="n">
        <v>0</v>
      </c>
      <c r="K911" t="n">
        <v>0</v>
      </c>
      <c r="L911" t="n">
        <v>0</v>
      </c>
      <c r="M911" t="n">
        <v>0</v>
      </c>
      <c r="N911" t="n">
        <v>0</v>
      </c>
      <c r="O911" t="n">
        <v>0</v>
      </c>
      <c r="P911" t="n">
        <v>0</v>
      </c>
      <c r="Q911" t="n">
        <v>0</v>
      </c>
      <c r="R911" s="2" t="inlineStr"/>
    </row>
    <row r="912" ht="15" customHeight="1">
      <c r="A912" t="inlineStr">
        <is>
          <t>A 38433-2024</t>
        </is>
      </c>
      <c r="B912" s="1" t="n">
        <v>45546</v>
      </c>
      <c r="C912" s="1" t="n">
        <v>45886</v>
      </c>
      <c r="D912" t="inlineStr">
        <is>
          <t>VÄRMLANDS LÄN</t>
        </is>
      </c>
      <c r="E912" t="inlineStr">
        <is>
          <t>ÅRJÄNG</t>
        </is>
      </c>
      <c r="G912" t="n">
        <v>0.3</v>
      </c>
      <c r="H912" t="n">
        <v>0</v>
      </c>
      <c r="I912" t="n">
        <v>0</v>
      </c>
      <c r="J912" t="n">
        <v>0</v>
      </c>
      <c r="K912" t="n">
        <v>0</v>
      </c>
      <c r="L912" t="n">
        <v>0</v>
      </c>
      <c r="M912" t="n">
        <v>0</v>
      </c>
      <c r="N912" t="n">
        <v>0</v>
      </c>
      <c r="O912" t="n">
        <v>0</v>
      </c>
      <c r="P912" t="n">
        <v>0</v>
      </c>
      <c r="Q912" t="n">
        <v>0</v>
      </c>
      <c r="R912" s="2" t="inlineStr"/>
    </row>
    <row r="913" ht="15" customHeight="1">
      <c r="A913" t="inlineStr">
        <is>
          <t>A 60202-2023</t>
        </is>
      </c>
      <c r="B913" s="1" t="n">
        <v>45257</v>
      </c>
      <c r="C913" s="1" t="n">
        <v>45886</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42236-2024</t>
        </is>
      </c>
      <c r="B914" s="1" t="n">
        <v>45562</v>
      </c>
      <c r="C914" s="1" t="n">
        <v>45886</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7746-2022</t>
        </is>
      </c>
      <c r="B915" s="1" t="n">
        <v>44608.39331018519</v>
      </c>
      <c r="C915" s="1" t="n">
        <v>45886</v>
      </c>
      <c r="D915" t="inlineStr">
        <is>
          <t>VÄRMLANDS LÄN</t>
        </is>
      </c>
      <c r="E915" t="inlineStr">
        <is>
          <t>ÅRJÄNG</t>
        </is>
      </c>
      <c r="G915" t="n">
        <v>3.1</v>
      </c>
      <c r="H915" t="n">
        <v>0</v>
      </c>
      <c r="I915" t="n">
        <v>0</v>
      </c>
      <c r="J915" t="n">
        <v>0</v>
      </c>
      <c r="K915" t="n">
        <v>0</v>
      </c>
      <c r="L915" t="n">
        <v>0</v>
      </c>
      <c r="M915" t="n">
        <v>0</v>
      </c>
      <c r="N915" t="n">
        <v>0</v>
      </c>
      <c r="O915" t="n">
        <v>0</v>
      </c>
      <c r="P915" t="n">
        <v>0</v>
      </c>
      <c r="Q915" t="n">
        <v>0</v>
      </c>
      <c r="R915" s="2" t="inlineStr"/>
    </row>
    <row r="916" ht="15" customHeight="1">
      <c r="A916" t="inlineStr">
        <is>
          <t>A 34410-2023</t>
        </is>
      </c>
      <c r="B916" s="1" t="n">
        <v>45139.56870370371</v>
      </c>
      <c r="C916" s="1" t="n">
        <v>45886</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59484-2024</t>
        </is>
      </c>
      <c r="B917" s="1" t="n">
        <v>45638</v>
      </c>
      <c r="C917" s="1" t="n">
        <v>45886</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51260-2024</t>
        </is>
      </c>
      <c r="B918" s="1" t="n">
        <v>45602</v>
      </c>
      <c r="C918" s="1" t="n">
        <v>45886</v>
      </c>
      <c r="D918" t="inlineStr">
        <is>
          <t>VÄRMLANDS LÄN</t>
        </is>
      </c>
      <c r="E918" t="inlineStr">
        <is>
          <t>ÅRJÄNG</t>
        </is>
      </c>
      <c r="G918" t="n">
        <v>1.7</v>
      </c>
      <c r="H918" t="n">
        <v>0</v>
      </c>
      <c r="I918" t="n">
        <v>0</v>
      </c>
      <c r="J918" t="n">
        <v>0</v>
      </c>
      <c r="K918" t="n">
        <v>0</v>
      </c>
      <c r="L918" t="n">
        <v>0</v>
      </c>
      <c r="M918" t="n">
        <v>0</v>
      </c>
      <c r="N918" t="n">
        <v>0</v>
      </c>
      <c r="O918" t="n">
        <v>0</v>
      </c>
      <c r="P918" t="n">
        <v>0</v>
      </c>
      <c r="Q918" t="n">
        <v>0</v>
      </c>
      <c r="R918" s="2" t="inlineStr"/>
    </row>
    <row r="919" ht="15" customHeight="1">
      <c r="A919" t="inlineStr">
        <is>
          <t>A 41205-2024</t>
        </is>
      </c>
      <c r="B919" s="1" t="n">
        <v>45559</v>
      </c>
      <c r="C919" s="1" t="n">
        <v>45886</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29570-2023</t>
        </is>
      </c>
      <c r="B920" s="1" t="n">
        <v>45106.6989699074</v>
      </c>
      <c r="C920" s="1" t="n">
        <v>45886</v>
      </c>
      <c r="D920" t="inlineStr">
        <is>
          <t>VÄRMLANDS LÄN</t>
        </is>
      </c>
      <c r="E920" t="inlineStr">
        <is>
          <t>ÅRJÄNG</t>
        </is>
      </c>
      <c r="G920" t="n">
        <v>1.4</v>
      </c>
      <c r="H920" t="n">
        <v>0</v>
      </c>
      <c r="I920" t="n">
        <v>0</v>
      </c>
      <c r="J920" t="n">
        <v>0</v>
      </c>
      <c r="K920" t="n">
        <v>0</v>
      </c>
      <c r="L920" t="n">
        <v>0</v>
      </c>
      <c r="M920" t="n">
        <v>0</v>
      </c>
      <c r="N920" t="n">
        <v>0</v>
      </c>
      <c r="O920" t="n">
        <v>0</v>
      </c>
      <c r="P920" t="n">
        <v>0</v>
      </c>
      <c r="Q920" t="n">
        <v>0</v>
      </c>
      <c r="R920" s="2" t="inlineStr"/>
    </row>
    <row r="921" ht="15" customHeight="1">
      <c r="A921" t="inlineStr">
        <is>
          <t>A 52382-2024</t>
        </is>
      </c>
      <c r="B921" s="1" t="n">
        <v>45608</v>
      </c>
      <c r="C921" s="1" t="n">
        <v>45886</v>
      </c>
      <c r="D921" t="inlineStr">
        <is>
          <t>VÄRMLANDS LÄN</t>
        </is>
      </c>
      <c r="E921" t="inlineStr">
        <is>
          <t>ÅRJÄNG</t>
        </is>
      </c>
      <c r="G921" t="n">
        <v>8.9</v>
      </c>
      <c r="H921" t="n">
        <v>0</v>
      </c>
      <c r="I921" t="n">
        <v>0</v>
      </c>
      <c r="J921" t="n">
        <v>0</v>
      </c>
      <c r="K921" t="n">
        <v>0</v>
      </c>
      <c r="L921" t="n">
        <v>0</v>
      </c>
      <c r="M921" t="n">
        <v>0</v>
      </c>
      <c r="N921" t="n">
        <v>0</v>
      </c>
      <c r="O921" t="n">
        <v>0</v>
      </c>
      <c r="P921" t="n">
        <v>0</v>
      </c>
      <c r="Q921" t="n">
        <v>0</v>
      </c>
      <c r="R921" s="2" t="inlineStr"/>
    </row>
    <row r="922" ht="15" customHeight="1">
      <c r="A922" t="inlineStr">
        <is>
          <t>A 7537-2021</t>
        </is>
      </c>
      <c r="B922" s="1" t="n">
        <v>44239</v>
      </c>
      <c r="C922" s="1" t="n">
        <v>45886</v>
      </c>
      <c r="D922" t="inlineStr">
        <is>
          <t>VÄRMLANDS LÄN</t>
        </is>
      </c>
      <c r="E922" t="inlineStr">
        <is>
          <t>ÅRJÄNG</t>
        </is>
      </c>
      <c r="G922" t="n">
        <v>4.2</v>
      </c>
      <c r="H922" t="n">
        <v>0</v>
      </c>
      <c r="I922" t="n">
        <v>0</v>
      </c>
      <c r="J922" t="n">
        <v>0</v>
      </c>
      <c r="K922" t="n">
        <v>0</v>
      </c>
      <c r="L922" t="n">
        <v>0</v>
      </c>
      <c r="M922" t="n">
        <v>0</v>
      </c>
      <c r="N922" t="n">
        <v>0</v>
      </c>
      <c r="O922" t="n">
        <v>0</v>
      </c>
      <c r="P922" t="n">
        <v>0</v>
      </c>
      <c r="Q922" t="n">
        <v>0</v>
      </c>
      <c r="R922" s="2" t="inlineStr"/>
    </row>
    <row r="923" ht="15" customHeight="1">
      <c r="A923" t="inlineStr">
        <is>
          <t>A 56917-2024</t>
        </is>
      </c>
      <c r="B923" s="1" t="n">
        <v>45628</v>
      </c>
      <c r="C923" s="1" t="n">
        <v>45886</v>
      </c>
      <c r="D923" t="inlineStr">
        <is>
          <t>VÄRMLANDS LÄN</t>
        </is>
      </c>
      <c r="E923" t="inlineStr">
        <is>
          <t>ÅRJÄNG</t>
        </is>
      </c>
      <c r="G923" t="n">
        <v>2.5</v>
      </c>
      <c r="H923" t="n">
        <v>0</v>
      </c>
      <c r="I923" t="n">
        <v>0</v>
      </c>
      <c r="J923" t="n">
        <v>0</v>
      </c>
      <c r="K923" t="n">
        <v>0</v>
      </c>
      <c r="L923" t="n">
        <v>0</v>
      </c>
      <c r="M923" t="n">
        <v>0</v>
      </c>
      <c r="N923" t="n">
        <v>0</v>
      </c>
      <c r="O923" t="n">
        <v>0</v>
      </c>
      <c r="P923" t="n">
        <v>0</v>
      </c>
      <c r="Q923" t="n">
        <v>0</v>
      </c>
      <c r="R923" s="2" t="inlineStr"/>
    </row>
    <row r="924" ht="15" customHeight="1">
      <c r="A924" t="inlineStr">
        <is>
          <t>A 46318-2024</t>
        </is>
      </c>
      <c r="B924" s="1" t="n">
        <v>45581.75744212963</v>
      </c>
      <c r="C924" s="1" t="n">
        <v>45886</v>
      </c>
      <c r="D924" t="inlineStr">
        <is>
          <t>VÄRMLANDS LÄN</t>
        </is>
      </c>
      <c r="E924" t="inlineStr">
        <is>
          <t>ÅRJÄNG</t>
        </is>
      </c>
      <c r="G924" t="n">
        <v>2.5</v>
      </c>
      <c r="H924" t="n">
        <v>0</v>
      </c>
      <c r="I924" t="n">
        <v>0</v>
      </c>
      <c r="J924" t="n">
        <v>0</v>
      </c>
      <c r="K924" t="n">
        <v>0</v>
      </c>
      <c r="L924" t="n">
        <v>0</v>
      </c>
      <c r="M924" t="n">
        <v>0</v>
      </c>
      <c r="N924" t="n">
        <v>0</v>
      </c>
      <c r="O924" t="n">
        <v>0</v>
      </c>
      <c r="P924" t="n">
        <v>0</v>
      </c>
      <c r="Q924" t="n">
        <v>0</v>
      </c>
      <c r="R924" s="2" t="inlineStr"/>
    </row>
    <row r="925" ht="15" customHeight="1">
      <c r="A925" t="inlineStr">
        <is>
          <t>A 18796-2023</t>
        </is>
      </c>
      <c r="B925" s="1" t="n">
        <v>45044.31065972222</v>
      </c>
      <c r="C925" s="1" t="n">
        <v>45886</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50301-2024</t>
        </is>
      </c>
      <c r="B926" s="1" t="n">
        <v>45600</v>
      </c>
      <c r="C926" s="1" t="n">
        <v>45886</v>
      </c>
      <c r="D926" t="inlineStr">
        <is>
          <t>VÄRMLANDS LÄN</t>
        </is>
      </c>
      <c r="E926" t="inlineStr">
        <is>
          <t>ÅRJÄNG</t>
        </is>
      </c>
      <c r="G926" t="n">
        <v>0.5</v>
      </c>
      <c r="H926" t="n">
        <v>0</v>
      </c>
      <c r="I926" t="n">
        <v>0</v>
      </c>
      <c r="J926" t="n">
        <v>0</v>
      </c>
      <c r="K926" t="n">
        <v>0</v>
      </c>
      <c r="L926" t="n">
        <v>0</v>
      </c>
      <c r="M926" t="n">
        <v>0</v>
      </c>
      <c r="N926" t="n">
        <v>0</v>
      </c>
      <c r="O926" t="n">
        <v>0</v>
      </c>
      <c r="P926" t="n">
        <v>0</v>
      </c>
      <c r="Q926" t="n">
        <v>0</v>
      </c>
      <c r="R926" s="2" t="inlineStr"/>
    </row>
    <row r="927" ht="15" customHeight="1">
      <c r="A927" t="inlineStr">
        <is>
          <t>A 15616-2023</t>
        </is>
      </c>
      <c r="B927" s="1" t="n">
        <v>45020.88847222222</v>
      </c>
      <c r="C927" s="1" t="n">
        <v>45886</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5342-2022</t>
        </is>
      </c>
      <c r="B928" s="1" t="n">
        <v>44594.72582175926</v>
      </c>
      <c r="C928" s="1" t="n">
        <v>45886</v>
      </c>
      <c r="D928" t="inlineStr">
        <is>
          <t>VÄRMLANDS LÄN</t>
        </is>
      </c>
      <c r="E928" t="inlineStr">
        <is>
          <t>ÅRJÄNG</t>
        </is>
      </c>
      <c r="G928" t="n">
        <v>1.5</v>
      </c>
      <c r="H928" t="n">
        <v>0</v>
      </c>
      <c r="I928" t="n">
        <v>0</v>
      </c>
      <c r="J928" t="n">
        <v>0</v>
      </c>
      <c r="K928" t="n">
        <v>0</v>
      </c>
      <c r="L928" t="n">
        <v>0</v>
      </c>
      <c r="M928" t="n">
        <v>0</v>
      </c>
      <c r="N928" t="n">
        <v>0</v>
      </c>
      <c r="O928" t="n">
        <v>0</v>
      </c>
      <c r="P928" t="n">
        <v>0</v>
      </c>
      <c r="Q928" t="n">
        <v>0</v>
      </c>
      <c r="R928" s="2" t="inlineStr"/>
    </row>
    <row r="929" ht="15" customHeight="1">
      <c r="A929" t="inlineStr">
        <is>
          <t>A 25654-2024</t>
        </is>
      </c>
      <c r="B929" s="1" t="n">
        <v>45463</v>
      </c>
      <c r="C929" s="1" t="n">
        <v>45886</v>
      </c>
      <c r="D929" t="inlineStr">
        <is>
          <t>VÄRMLANDS LÄN</t>
        </is>
      </c>
      <c r="E929" t="inlineStr">
        <is>
          <t>ÅRJÄNG</t>
        </is>
      </c>
      <c r="G929" t="n">
        <v>16.9</v>
      </c>
      <c r="H929" t="n">
        <v>0</v>
      </c>
      <c r="I929" t="n">
        <v>0</v>
      </c>
      <c r="J929" t="n">
        <v>0</v>
      </c>
      <c r="K929" t="n">
        <v>0</v>
      </c>
      <c r="L929" t="n">
        <v>0</v>
      </c>
      <c r="M929" t="n">
        <v>0</v>
      </c>
      <c r="N929" t="n">
        <v>0</v>
      </c>
      <c r="O929" t="n">
        <v>0</v>
      </c>
      <c r="P929" t="n">
        <v>0</v>
      </c>
      <c r="Q929" t="n">
        <v>0</v>
      </c>
      <c r="R929" s="2" t="inlineStr"/>
    </row>
    <row r="930" ht="15" customHeight="1">
      <c r="A930" t="inlineStr">
        <is>
          <t>A 65849-2021</t>
        </is>
      </c>
      <c r="B930" s="1" t="n">
        <v>44517</v>
      </c>
      <c r="C930" s="1" t="n">
        <v>45886</v>
      </c>
      <c r="D930" t="inlineStr">
        <is>
          <t>VÄRMLANDS LÄN</t>
        </is>
      </c>
      <c r="E930" t="inlineStr">
        <is>
          <t>ÅRJÄNG</t>
        </is>
      </c>
      <c r="G930" t="n">
        <v>3.3</v>
      </c>
      <c r="H930" t="n">
        <v>0</v>
      </c>
      <c r="I930" t="n">
        <v>0</v>
      </c>
      <c r="J930" t="n">
        <v>0</v>
      </c>
      <c r="K930" t="n">
        <v>0</v>
      </c>
      <c r="L930" t="n">
        <v>0</v>
      </c>
      <c r="M930" t="n">
        <v>0</v>
      </c>
      <c r="N930" t="n">
        <v>0</v>
      </c>
      <c r="O930" t="n">
        <v>0</v>
      </c>
      <c r="P930" t="n">
        <v>0</v>
      </c>
      <c r="Q930" t="n">
        <v>0</v>
      </c>
      <c r="R930" s="2" t="inlineStr"/>
    </row>
    <row r="931" ht="15" customHeight="1">
      <c r="A931" t="inlineStr">
        <is>
          <t>A 53123-2024</t>
        </is>
      </c>
      <c r="B931" s="1" t="n">
        <v>45611.58819444444</v>
      </c>
      <c r="C931" s="1" t="n">
        <v>45886</v>
      </c>
      <c r="D931" t="inlineStr">
        <is>
          <t>VÄRMLANDS LÄN</t>
        </is>
      </c>
      <c r="E931" t="inlineStr">
        <is>
          <t>ÅRJÄNG</t>
        </is>
      </c>
      <c r="F931" t="inlineStr">
        <is>
          <t>Bergvik skog väst AB</t>
        </is>
      </c>
      <c r="G931" t="n">
        <v>2.6</v>
      </c>
      <c r="H931" t="n">
        <v>0</v>
      </c>
      <c r="I931" t="n">
        <v>0</v>
      </c>
      <c r="J931" t="n">
        <v>0</v>
      </c>
      <c r="K931" t="n">
        <v>0</v>
      </c>
      <c r="L931" t="n">
        <v>0</v>
      </c>
      <c r="M931" t="n">
        <v>0</v>
      </c>
      <c r="N931" t="n">
        <v>0</v>
      </c>
      <c r="O931" t="n">
        <v>0</v>
      </c>
      <c r="P931" t="n">
        <v>0</v>
      </c>
      <c r="Q931" t="n">
        <v>0</v>
      </c>
      <c r="R931" s="2" t="inlineStr"/>
    </row>
    <row r="932" ht="15" customHeight="1">
      <c r="A932" t="inlineStr">
        <is>
          <t>A 30548-2023</t>
        </is>
      </c>
      <c r="B932" s="1" t="n">
        <v>45111.77894675926</v>
      </c>
      <c r="C932" s="1" t="n">
        <v>45886</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32776-2024</t>
        </is>
      </c>
      <c r="B933" s="1" t="n">
        <v>45516</v>
      </c>
      <c r="C933" s="1" t="n">
        <v>45886</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17174-2023</t>
        </is>
      </c>
      <c r="B934" s="1" t="n">
        <v>45034</v>
      </c>
      <c r="C934" s="1" t="n">
        <v>45886</v>
      </c>
      <c r="D934" t="inlineStr">
        <is>
          <t>VÄRMLANDS LÄN</t>
        </is>
      </c>
      <c r="E934" t="inlineStr">
        <is>
          <t>ÅRJÄNG</t>
        </is>
      </c>
      <c r="G934" t="n">
        <v>4.9</v>
      </c>
      <c r="H934" t="n">
        <v>0</v>
      </c>
      <c r="I934" t="n">
        <v>0</v>
      </c>
      <c r="J934" t="n">
        <v>0</v>
      </c>
      <c r="K934" t="n">
        <v>0</v>
      </c>
      <c r="L934" t="n">
        <v>0</v>
      </c>
      <c r="M934" t="n">
        <v>0</v>
      </c>
      <c r="N934" t="n">
        <v>0</v>
      </c>
      <c r="O934" t="n">
        <v>0</v>
      </c>
      <c r="P934" t="n">
        <v>0</v>
      </c>
      <c r="Q934" t="n">
        <v>0</v>
      </c>
      <c r="R934" s="2" t="inlineStr"/>
    </row>
    <row r="935" ht="15" customHeight="1">
      <c r="A935" t="inlineStr">
        <is>
          <t>A 44385-2022</t>
        </is>
      </c>
      <c r="B935" s="1" t="n">
        <v>44839</v>
      </c>
      <c r="C935" s="1" t="n">
        <v>45886</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1153-2023</t>
        </is>
      </c>
      <c r="B936" s="1" t="n">
        <v>44935</v>
      </c>
      <c r="C936" s="1" t="n">
        <v>45886</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68180-2021</t>
        </is>
      </c>
      <c r="B937" s="1" t="n">
        <v>44526.48689814815</v>
      </c>
      <c r="C937" s="1" t="n">
        <v>45886</v>
      </c>
      <c r="D937" t="inlineStr">
        <is>
          <t>VÄRMLANDS LÄN</t>
        </is>
      </c>
      <c r="E937" t="inlineStr">
        <is>
          <t>ÅRJÄNG</t>
        </is>
      </c>
      <c r="F937" t="inlineStr">
        <is>
          <t>Kyrkan</t>
        </is>
      </c>
      <c r="G937" t="n">
        <v>4.1</v>
      </c>
      <c r="H937" t="n">
        <v>0</v>
      </c>
      <c r="I937" t="n">
        <v>0</v>
      </c>
      <c r="J937" t="n">
        <v>0</v>
      </c>
      <c r="K937" t="n">
        <v>0</v>
      </c>
      <c r="L937" t="n">
        <v>0</v>
      </c>
      <c r="M937" t="n">
        <v>0</v>
      </c>
      <c r="N937" t="n">
        <v>0</v>
      </c>
      <c r="O937" t="n">
        <v>0</v>
      </c>
      <c r="P937" t="n">
        <v>0</v>
      </c>
      <c r="Q937" t="n">
        <v>0</v>
      </c>
      <c r="R937" s="2" t="inlineStr"/>
    </row>
    <row r="938" ht="15" customHeight="1">
      <c r="A938" t="inlineStr">
        <is>
          <t>A 11265-2021</t>
        </is>
      </c>
      <c r="B938" s="1" t="n">
        <v>44263.44670138889</v>
      </c>
      <c r="C938" s="1" t="n">
        <v>45886</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28384-2022</t>
        </is>
      </c>
      <c r="B939" s="1" t="n">
        <v>44747</v>
      </c>
      <c r="C939" s="1" t="n">
        <v>45886</v>
      </c>
      <c r="D939" t="inlineStr">
        <is>
          <t>VÄRMLANDS LÄN</t>
        </is>
      </c>
      <c r="E939" t="inlineStr">
        <is>
          <t>ÅRJÄNG</t>
        </is>
      </c>
      <c r="F939" t="inlineStr">
        <is>
          <t>Naturvårdsverket</t>
        </is>
      </c>
      <c r="G939" t="n">
        <v>1.7</v>
      </c>
      <c r="H939" t="n">
        <v>0</v>
      </c>
      <c r="I939" t="n">
        <v>0</v>
      </c>
      <c r="J939" t="n">
        <v>0</v>
      </c>
      <c r="K939" t="n">
        <v>0</v>
      </c>
      <c r="L939" t="n">
        <v>0</v>
      </c>
      <c r="M939" t="n">
        <v>0</v>
      </c>
      <c r="N939" t="n">
        <v>0</v>
      </c>
      <c r="O939" t="n">
        <v>0</v>
      </c>
      <c r="P939" t="n">
        <v>0</v>
      </c>
      <c r="Q939" t="n">
        <v>0</v>
      </c>
      <c r="R939" s="2" t="inlineStr"/>
    </row>
    <row r="940" ht="15" customHeight="1">
      <c r="A940" t="inlineStr">
        <is>
          <t>A 40447-2022</t>
        </is>
      </c>
      <c r="B940" s="1" t="n">
        <v>44823</v>
      </c>
      <c r="C940" s="1" t="n">
        <v>45886</v>
      </c>
      <c r="D940" t="inlineStr">
        <is>
          <t>VÄRMLANDS LÄN</t>
        </is>
      </c>
      <c r="E940" t="inlineStr">
        <is>
          <t>ÅRJÄNG</t>
        </is>
      </c>
      <c r="G940" t="n">
        <v>10.4</v>
      </c>
      <c r="H940" t="n">
        <v>0</v>
      </c>
      <c r="I940" t="n">
        <v>0</v>
      </c>
      <c r="J940" t="n">
        <v>0</v>
      </c>
      <c r="K940" t="n">
        <v>0</v>
      </c>
      <c r="L940" t="n">
        <v>0</v>
      </c>
      <c r="M940" t="n">
        <v>0</v>
      </c>
      <c r="N940" t="n">
        <v>0</v>
      </c>
      <c r="O940" t="n">
        <v>0</v>
      </c>
      <c r="P940" t="n">
        <v>0</v>
      </c>
      <c r="Q940" t="n">
        <v>0</v>
      </c>
      <c r="R940" s="2" t="inlineStr"/>
    </row>
    <row r="941" ht="15" customHeight="1">
      <c r="A941" t="inlineStr">
        <is>
          <t>A 14340-2023</t>
        </is>
      </c>
      <c r="B941" s="1" t="n">
        <v>45012.36368055556</v>
      </c>
      <c r="C941" s="1" t="n">
        <v>45886</v>
      </c>
      <c r="D941" t="inlineStr">
        <is>
          <t>VÄRMLANDS LÄN</t>
        </is>
      </c>
      <c r="E941" t="inlineStr">
        <is>
          <t>ÅRJÄNG</t>
        </is>
      </c>
      <c r="G941" t="n">
        <v>3.1</v>
      </c>
      <c r="H941" t="n">
        <v>0</v>
      </c>
      <c r="I941" t="n">
        <v>0</v>
      </c>
      <c r="J941" t="n">
        <v>0</v>
      </c>
      <c r="K941" t="n">
        <v>0</v>
      </c>
      <c r="L941" t="n">
        <v>0</v>
      </c>
      <c r="M941" t="n">
        <v>0</v>
      </c>
      <c r="N941" t="n">
        <v>0</v>
      </c>
      <c r="O941" t="n">
        <v>0</v>
      </c>
      <c r="P941" t="n">
        <v>0</v>
      </c>
      <c r="Q941" t="n">
        <v>0</v>
      </c>
      <c r="R941" s="2" t="inlineStr"/>
    </row>
    <row r="942" ht="15" customHeight="1">
      <c r="A942" t="inlineStr">
        <is>
          <t>A 49795-2024</t>
        </is>
      </c>
      <c r="B942" s="1" t="n">
        <v>45597.3713425926</v>
      </c>
      <c r="C942" s="1" t="n">
        <v>45886</v>
      </c>
      <c r="D942" t="inlineStr">
        <is>
          <t>VÄRMLANDS LÄN</t>
        </is>
      </c>
      <c r="E942" t="inlineStr">
        <is>
          <t>ÅRJÄNG</t>
        </is>
      </c>
      <c r="G942" t="n">
        <v>2.6</v>
      </c>
      <c r="H942" t="n">
        <v>0</v>
      </c>
      <c r="I942" t="n">
        <v>0</v>
      </c>
      <c r="J942" t="n">
        <v>0</v>
      </c>
      <c r="K942" t="n">
        <v>0</v>
      </c>
      <c r="L942" t="n">
        <v>0</v>
      </c>
      <c r="M942" t="n">
        <v>0</v>
      </c>
      <c r="N942" t="n">
        <v>0</v>
      </c>
      <c r="O942" t="n">
        <v>0</v>
      </c>
      <c r="P942" t="n">
        <v>0</v>
      </c>
      <c r="Q942" t="n">
        <v>0</v>
      </c>
      <c r="R942" s="2" t="inlineStr"/>
    </row>
    <row r="943" ht="15" customHeight="1">
      <c r="A943" t="inlineStr">
        <is>
          <t>A 24342-2024</t>
        </is>
      </c>
      <c r="B943" s="1" t="n">
        <v>45457</v>
      </c>
      <c r="C943" s="1" t="n">
        <v>45886</v>
      </c>
      <c r="D943" t="inlineStr">
        <is>
          <t>VÄRMLANDS LÄN</t>
        </is>
      </c>
      <c r="E943" t="inlineStr">
        <is>
          <t>ÅRJÄNG</t>
        </is>
      </c>
      <c r="G943" t="n">
        <v>0.8</v>
      </c>
      <c r="H943" t="n">
        <v>0</v>
      </c>
      <c r="I943" t="n">
        <v>0</v>
      </c>
      <c r="J943" t="n">
        <v>0</v>
      </c>
      <c r="K943" t="n">
        <v>0</v>
      </c>
      <c r="L943" t="n">
        <v>0</v>
      </c>
      <c r="M943" t="n">
        <v>0</v>
      </c>
      <c r="N943" t="n">
        <v>0</v>
      </c>
      <c r="O943" t="n">
        <v>0</v>
      </c>
      <c r="P943" t="n">
        <v>0</v>
      </c>
      <c r="Q943" t="n">
        <v>0</v>
      </c>
      <c r="R943" s="2" t="inlineStr"/>
    </row>
    <row r="944" ht="15" customHeight="1">
      <c r="A944" t="inlineStr">
        <is>
          <t>A 47623-2024</t>
        </is>
      </c>
      <c r="B944" s="1" t="n">
        <v>45588.33216435185</v>
      </c>
      <c r="C944" s="1" t="n">
        <v>45886</v>
      </c>
      <c r="D944" t="inlineStr">
        <is>
          <t>VÄRMLANDS LÄN</t>
        </is>
      </c>
      <c r="E944" t="inlineStr">
        <is>
          <t>ÅRJÄNG</t>
        </is>
      </c>
      <c r="F944" t="inlineStr">
        <is>
          <t>Kommuner</t>
        </is>
      </c>
      <c r="G944" t="n">
        <v>2.7</v>
      </c>
      <c r="H944" t="n">
        <v>0</v>
      </c>
      <c r="I944" t="n">
        <v>0</v>
      </c>
      <c r="J944" t="n">
        <v>0</v>
      </c>
      <c r="K944" t="n">
        <v>0</v>
      </c>
      <c r="L944" t="n">
        <v>0</v>
      </c>
      <c r="M944" t="n">
        <v>0</v>
      </c>
      <c r="N944" t="n">
        <v>0</v>
      </c>
      <c r="O944" t="n">
        <v>0</v>
      </c>
      <c r="P944" t="n">
        <v>0</v>
      </c>
      <c r="Q944" t="n">
        <v>0</v>
      </c>
      <c r="R944" s="2" t="inlineStr"/>
    </row>
    <row r="945" ht="15" customHeight="1">
      <c r="A945" t="inlineStr">
        <is>
          <t>A 2116-2025</t>
        </is>
      </c>
      <c r="B945" s="1" t="n">
        <v>45672</v>
      </c>
      <c r="C945" s="1" t="n">
        <v>45886</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53726-2021</t>
        </is>
      </c>
      <c r="B946" s="1" t="n">
        <v>44469.51079861111</v>
      </c>
      <c r="C946" s="1" t="n">
        <v>45886</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23203-2023</t>
        </is>
      </c>
      <c r="B947" s="1" t="n">
        <v>45075.61314814815</v>
      </c>
      <c r="C947" s="1" t="n">
        <v>45886</v>
      </c>
      <c r="D947" t="inlineStr">
        <is>
          <t>VÄRMLANDS LÄN</t>
        </is>
      </c>
      <c r="E947" t="inlineStr">
        <is>
          <t>ÅRJÄNG</t>
        </is>
      </c>
      <c r="G947" t="n">
        <v>4.3</v>
      </c>
      <c r="H947" t="n">
        <v>0</v>
      </c>
      <c r="I947" t="n">
        <v>0</v>
      </c>
      <c r="J947" t="n">
        <v>0</v>
      </c>
      <c r="K947" t="n">
        <v>0</v>
      </c>
      <c r="L947" t="n">
        <v>0</v>
      </c>
      <c r="M947" t="n">
        <v>0</v>
      </c>
      <c r="N947" t="n">
        <v>0</v>
      </c>
      <c r="O947" t="n">
        <v>0</v>
      </c>
      <c r="P947" t="n">
        <v>0</v>
      </c>
      <c r="Q947" t="n">
        <v>0</v>
      </c>
      <c r="R947" s="2" t="inlineStr"/>
    </row>
    <row r="948" ht="15" customHeight="1">
      <c r="A948" t="inlineStr">
        <is>
          <t>A 23212-2023</t>
        </is>
      </c>
      <c r="B948" s="1" t="n">
        <v>45075.63211805555</v>
      </c>
      <c r="C948" s="1" t="n">
        <v>45886</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24505-2023</t>
        </is>
      </c>
      <c r="B949" s="1" t="n">
        <v>45082</v>
      </c>
      <c r="C949" s="1" t="n">
        <v>45886</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56314-2024</t>
        </is>
      </c>
      <c r="B950" s="1" t="n">
        <v>45624.72149305556</v>
      </c>
      <c r="C950" s="1" t="n">
        <v>45886</v>
      </c>
      <c r="D950" t="inlineStr">
        <is>
          <t>VÄRMLANDS LÄN</t>
        </is>
      </c>
      <c r="E950" t="inlineStr">
        <is>
          <t>ÅRJÄNG</t>
        </is>
      </c>
      <c r="G950" t="n">
        <v>0.5</v>
      </c>
      <c r="H950" t="n">
        <v>0</v>
      </c>
      <c r="I950" t="n">
        <v>0</v>
      </c>
      <c r="J950" t="n">
        <v>0</v>
      </c>
      <c r="K950" t="n">
        <v>0</v>
      </c>
      <c r="L950" t="n">
        <v>0</v>
      </c>
      <c r="M950" t="n">
        <v>0</v>
      </c>
      <c r="N950" t="n">
        <v>0</v>
      </c>
      <c r="O950" t="n">
        <v>0</v>
      </c>
      <c r="P950" t="n">
        <v>0</v>
      </c>
      <c r="Q950" t="n">
        <v>0</v>
      </c>
      <c r="R950" s="2" t="inlineStr"/>
    </row>
    <row r="951" ht="15" customHeight="1">
      <c r="A951" t="inlineStr">
        <is>
          <t>A 13157-2024</t>
        </is>
      </c>
      <c r="B951" s="1" t="n">
        <v>45386</v>
      </c>
      <c r="C951" s="1" t="n">
        <v>45886</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50509-2024</t>
        </is>
      </c>
      <c r="B952" s="1" t="n">
        <v>45601</v>
      </c>
      <c r="C952" s="1" t="n">
        <v>45886</v>
      </c>
      <c r="D952" t="inlineStr">
        <is>
          <t>VÄRMLANDS LÄN</t>
        </is>
      </c>
      <c r="E952" t="inlineStr">
        <is>
          <t>ÅRJÄNG</t>
        </is>
      </c>
      <c r="G952" t="n">
        <v>1.2</v>
      </c>
      <c r="H952" t="n">
        <v>0</v>
      </c>
      <c r="I952" t="n">
        <v>0</v>
      </c>
      <c r="J952" t="n">
        <v>0</v>
      </c>
      <c r="K952" t="n">
        <v>0</v>
      </c>
      <c r="L952" t="n">
        <v>0</v>
      </c>
      <c r="M952" t="n">
        <v>0</v>
      </c>
      <c r="N952" t="n">
        <v>0</v>
      </c>
      <c r="O952" t="n">
        <v>0</v>
      </c>
      <c r="P952" t="n">
        <v>0</v>
      </c>
      <c r="Q952" t="n">
        <v>0</v>
      </c>
      <c r="R952" s="2" t="inlineStr"/>
    </row>
    <row r="953" ht="15" customHeight="1">
      <c r="A953" t="inlineStr">
        <is>
          <t>A 32773-2024</t>
        </is>
      </c>
      <c r="B953" s="1" t="n">
        <v>45516.49834490741</v>
      </c>
      <c r="C953" s="1" t="n">
        <v>45886</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59622-2022</t>
        </is>
      </c>
      <c r="B954" s="1" t="n">
        <v>44907.89939814815</v>
      </c>
      <c r="C954" s="1" t="n">
        <v>45886</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11874-2025</t>
        </is>
      </c>
      <c r="B955" s="1" t="n">
        <v>45728.43699074074</v>
      </c>
      <c r="C955" s="1" t="n">
        <v>45886</v>
      </c>
      <c r="D955" t="inlineStr">
        <is>
          <t>VÄRMLANDS LÄN</t>
        </is>
      </c>
      <c r="E955" t="inlineStr">
        <is>
          <t>ÅRJÄNG</t>
        </is>
      </c>
      <c r="F955" t="inlineStr">
        <is>
          <t>Övriga Aktiebolag</t>
        </is>
      </c>
      <c r="G955" t="n">
        <v>3.5</v>
      </c>
      <c r="H955" t="n">
        <v>0</v>
      </c>
      <c r="I955" t="n">
        <v>0</v>
      </c>
      <c r="J955" t="n">
        <v>0</v>
      </c>
      <c r="K955" t="n">
        <v>0</v>
      </c>
      <c r="L955" t="n">
        <v>0</v>
      </c>
      <c r="M955" t="n">
        <v>0</v>
      </c>
      <c r="N955" t="n">
        <v>0</v>
      </c>
      <c r="O955" t="n">
        <v>0</v>
      </c>
      <c r="P955" t="n">
        <v>0</v>
      </c>
      <c r="Q955" t="n">
        <v>0</v>
      </c>
      <c r="R955" s="2" t="inlineStr"/>
    </row>
    <row r="956" ht="15" customHeight="1">
      <c r="A956" t="inlineStr">
        <is>
          <t>A 15949-2025</t>
        </is>
      </c>
      <c r="B956" s="1" t="n">
        <v>45749</v>
      </c>
      <c r="C956" s="1" t="n">
        <v>45886</v>
      </c>
      <c r="D956" t="inlineStr">
        <is>
          <t>VÄRMLANDS LÄN</t>
        </is>
      </c>
      <c r="E956" t="inlineStr">
        <is>
          <t>ÅRJÄNG</t>
        </is>
      </c>
      <c r="F956" t="inlineStr">
        <is>
          <t>Bergvik skog väst AB</t>
        </is>
      </c>
      <c r="G956" t="n">
        <v>3.1</v>
      </c>
      <c r="H956" t="n">
        <v>0</v>
      </c>
      <c r="I956" t="n">
        <v>0</v>
      </c>
      <c r="J956" t="n">
        <v>0</v>
      </c>
      <c r="K956" t="n">
        <v>0</v>
      </c>
      <c r="L956" t="n">
        <v>0</v>
      </c>
      <c r="M956" t="n">
        <v>0</v>
      </c>
      <c r="N956" t="n">
        <v>0</v>
      </c>
      <c r="O956" t="n">
        <v>0</v>
      </c>
      <c r="P956" t="n">
        <v>0</v>
      </c>
      <c r="Q956" t="n">
        <v>0</v>
      </c>
      <c r="R956" s="2" t="inlineStr"/>
    </row>
    <row r="957" ht="15" customHeight="1">
      <c r="A957" t="inlineStr">
        <is>
          <t>A 65751-2020</t>
        </is>
      </c>
      <c r="B957" s="1" t="n">
        <v>44174</v>
      </c>
      <c r="C957" s="1" t="n">
        <v>45886</v>
      </c>
      <c r="D957" t="inlineStr">
        <is>
          <t>VÄRMLANDS LÄN</t>
        </is>
      </c>
      <c r="E957" t="inlineStr">
        <is>
          <t>ÅRJÄNG</t>
        </is>
      </c>
      <c r="G957" t="n">
        <v>1.3</v>
      </c>
      <c r="H957" t="n">
        <v>0</v>
      </c>
      <c r="I957" t="n">
        <v>0</v>
      </c>
      <c r="J957" t="n">
        <v>0</v>
      </c>
      <c r="K957" t="n">
        <v>0</v>
      </c>
      <c r="L957" t="n">
        <v>0</v>
      </c>
      <c r="M957" t="n">
        <v>0</v>
      </c>
      <c r="N957" t="n">
        <v>0</v>
      </c>
      <c r="O957" t="n">
        <v>0</v>
      </c>
      <c r="P957" t="n">
        <v>0</v>
      </c>
      <c r="Q957" t="n">
        <v>0</v>
      </c>
      <c r="R957" s="2" t="inlineStr"/>
    </row>
    <row r="958" ht="15" customHeight="1">
      <c r="A958" t="inlineStr">
        <is>
          <t>A 8246-2025</t>
        </is>
      </c>
      <c r="B958" s="1" t="n">
        <v>45708.48710648148</v>
      </c>
      <c r="C958" s="1" t="n">
        <v>45886</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35726-2022</t>
        </is>
      </c>
      <c r="B959" s="1" t="n">
        <v>44799</v>
      </c>
      <c r="C959" s="1" t="n">
        <v>45886</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45929-2024</t>
        </is>
      </c>
      <c r="B960" s="1" t="n">
        <v>45580</v>
      </c>
      <c r="C960" s="1" t="n">
        <v>45886</v>
      </c>
      <c r="D960" t="inlineStr">
        <is>
          <t>VÄRMLANDS LÄN</t>
        </is>
      </c>
      <c r="E960" t="inlineStr">
        <is>
          <t>ÅRJÄNG</t>
        </is>
      </c>
      <c r="G960" t="n">
        <v>2.2</v>
      </c>
      <c r="H960" t="n">
        <v>0</v>
      </c>
      <c r="I960" t="n">
        <v>0</v>
      </c>
      <c r="J960" t="n">
        <v>0</v>
      </c>
      <c r="K960" t="n">
        <v>0</v>
      </c>
      <c r="L960" t="n">
        <v>0</v>
      </c>
      <c r="M960" t="n">
        <v>0</v>
      </c>
      <c r="N960" t="n">
        <v>0</v>
      </c>
      <c r="O960" t="n">
        <v>0</v>
      </c>
      <c r="P960" t="n">
        <v>0</v>
      </c>
      <c r="Q960" t="n">
        <v>0</v>
      </c>
      <c r="R960" s="2" t="inlineStr"/>
    </row>
    <row r="961" ht="15" customHeight="1">
      <c r="A961" t="inlineStr">
        <is>
          <t>A 60000-2024</t>
        </is>
      </c>
      <c r="B961" s="1" t="n">
        <v>45642</v>
      </c>
      <c r="C961" s="1" t="n">
        <v>45886</v>
      </c>
      <c r="D961" t="inlineStr">
        <is>
          <t>VÄRMLANDS LÄN</t>
        </is>
      </c>
      <c r="E961" t="inlineStr">
        <is>
          <t>ÅRJÄNG</t>
        </is>
      </c>
      <c r="G961" t="n">
        <v>1</v>
      </c>
      <c r="H961" t="n">
        <v>0</v>
      </c>
      <c r="I961" t="n">
        <v>0</v>
      </c>
      <c r="J961" t="n">
        <v>0</v>
      </c>
      <c r="K961" t="n">
        <v>0</v>
      </c>
      <c r="L961" t="n">
        <v>0</v>
      </c>
      <c r="M961" t="n">
        <v>0</v>
      </c>
      <c r="N961" t="n">
        <v>0</v>
      </c>
      <c r="O961" t="n">
        <v>0</v>
      </c>
      <c r="P961" t="n">
        <v>0</v>
      </c>
      <c r="Q961" t="n">
        <v>0</v>
      </c>
      <c r="R961" s="2" t="inlineStr"/>
    </row>
    <row r="962" ht="15" customHeight="1">
      <c r="A962" t="inlineStr">
        <is>
          <t>A 45876-2024</t>
        </is>
      </c>
      <c r="B962" s="1" t="n">
        <v>45580</v>
      </c>
      <c r="C962" s="1" t="n">
        <v>45886</v>
      </c>
      <c r="D962" t="inlineStr">
        <is>
          <t>VÄRMLANDS LÄN</t>
        </is>
      </c>
      <c r="E962" t="inlineStr">
        <is>
          <t>ÅRJÄNG</t>
        </is>
      </c>
      <c r="G962" t="n">
        <v>0.9</v>
      </c>
      <c r="H962" t="n">
        <v>0</v>
      </c>
      <c r="I962" t="n">
        <v>0</v>
      </c>
      <c r="J962" t="n">
        <v>0</v>
      </c>
      <c r="K962" t="n">
        <v>0</v>
      </c>
      <c r="L962" t="n">
        <v>0</v>
      </c>
      <c r="M962" t="n">
        <v>0</v>
      </c>
      <c r="N962" t="n">
        <v>0</v>
      </c>
      <c r="O962" t="n">
        <v>0</v>
      </c>
      <c r="P962" t="n">
        <v>0</v>
      </c>
      <c r="Q962" t="n">
        <v>0</v>
      </c>
      <c r="R962" s="2" t="inlineStr"/>
    </row>
    <row r="963" ht="15" customHeight="1">
      <c r="A963" t="inlineStr">
        <is>
          <t>A 46473-2024</t>
        </is>
      </c>
      <c r="B963" s="1" t="n">
        <v>45582</v>
      </c>
      <c r="C963" s="1" t="n">
        <v>45886</v>
      </c>
      <c r="D963" t="inlineStr">
        <is>
          <t>VÄRMLANDS LÄN</t>
        </is>
      </c>
      <c r="E963" t="inlineStr">
        <is>
          <t>ÅRJÄNG</t>
        </is>
      </c>
      <c r="G963" t="n">
        <v>4</v>
      </c>
      <c r="H963" t="n">
        <v>0</v>
      </c>
      <c r="I963" t="n">
        <v>0</v>
      </c>
      <c r="J963" t="n">
        <v>0</v>
      </c>
      <c r="K963" t="n">
        <v>0</v>
      </c>
      <c r="L963" t="n">
        <v>0</v>
      </c>
      <c r="M963" t="n">
        <v>0</v>
      </c>
      <c r="N963" t="n">
        <v>0</v>
      </c>
      <c r="O963" t="n">
        <v>0</v>
      </c>
      <c r="P963" t="n">
        <v>0</v>
      </c>
      <c r="Q963" t="n">
        <v>0</v>
      </c>
      <c r="R963" s="2" t="inlineStr"/>
    </row>
    <row r="964" ht="15" customHeight="1">
      <c r="A964" t="inlineStr">
        <is>
          <t>A 47647-2021</t>
        </is>
      </c>
      <c r="B964" s="1" t="n">
        <v>44448.40790509259</v>
      </c>
      <c r="C964" s="1" t="n">
        <v>45886</v>
      </c>
      <c r="D964" t="inlineStr">
        <is>
          <t>VÄRMLANDS LÄN</t>
        </is>
      </c>
      <c r="E964" t="inlineStr">
        <is>
          <t>ÅRJÄNG</t>
        </is>
      </c>
      <c r="G964" t="n">
        <v>2.3</v>
      </c>
      <c r="H964" t="n">
        <v>0</v>
      </c>
      <c r="I964" t="n">
        <v>0</v>
      </c>
      <c r="J964" t="n">
        <v>0</v>
      </c>
      <c r="K964" t="n">
        <v>0</v>
      </c>
      <c r="L964" t="n">
        <v>0</v>
      </c>
      <c r="M964" t="n">
        <v>0</v>
      </c>
      <c r="N964" t="n">
        <v>0</v>
      </c>
      <c r="O964" t="n">
        <v>0</v>
      </c>
      <c r="P964" t="n">
        <v>0</v>
      </c>
      <c r="Q964" t="n">
        <v>0</v>
      </c>
      <c r="R964" s="2" t="inlineStr"/>
    </row>
    <row r="965" ht="15" customHeight="1">
      <c r="A965" t="inlineStr">
        <is>
          <t>A 23870-2023</t>
        </is>
      </c>
      <c r="B965" s="1" t="n">
        <v>45078</v>
      </c>
      <c r="C965" s="1" t="n">
        <v>45886</v>
      </c>
      <c r="D965" t="inlineStr">
        <is>
          <t>VÄRMLANDS LÄN</t>
        </is>
      </c>
      <c r="E965" t="inlineStr">
        <is>
          <t>ÅRJÄNG</t>
        </is>
      </c>
      <c r="G965" t="n">
        <v>1.6</v>
      </c>
      <c r="H965" t="n">
        <v>0</v>
      </c>
      <c r="I965" t="n">
        <v>0</v>
      </c>
      <c r="J965" t="n">
        <v>0</v>
      </c>
      <c r="K965" t="n">
        <v>0</v>
      </c>
      <c r="L965" t="n">
        <v>0</v>
      </c>
      <c r="M965" t="n">
        <v>0</v>
      </c>
      <c r="N965" t="n">
        <v>0</v>
      </c>
      <c r="O965" t="n">
        <v>0</v>
      </c>
      <c r="P965" t="n">
        <v>0</v>
      </c>
      <c r="Q965" t="n">
        <v>0</v>
      </c>
      <c r="R965" s="2" t="inlineStr"/>
    </row>
    <row r="966" ht="15" customHeight="1">
      <c r="A966" t="inlineStr">
        <is>
          <t>A 45962-2021</t>
        </is>
      </c>
      <c r="B966" s="1" t="n">
        <v>44441</v>
      </c>
      <c r="C966" s="1" t="n">
        <v>45886</v>
      </c>
      <c r="D966" t="inlineStr">
        <is>
          <t>VÄRMLANDS LÄN</t>
        </is>
      </c>
      <c r="E966" t="inlineStr">
        <is>
          <t>ÅRJÄNG</t>
        </is>
      </c>
      <c r="G966" t="n">
        <v>4.3</v>
      </c>
      <c r="H966" t="n">
        <v>0</v>
      </c>
      <c r="I966" t="n">
        <v>0</v>
      </c>
      <c r="J966" t="n">
        <v>0</v>
      </c>
      <c r="K966" t="n">
        <v>0</v>
      </c>
      <c r="L966" t="n">
        <v>0</v>
      </c>
      <c r="M966" t="n">
        <v>0</v>
      </c>
      <c r="N966" t="n">
        <v>0</v>
      </c>
      <c r="O966" t="n">
        <v>0</v>
      </c>
      <c r="P966" t="n">
        <v>0</v>
      </c>
      <c r="Q966" t="n">
        <v>0</v>
      </c>
      <c r="R966" s="2" t="inlineStr"/>
    </row>
    <row r="967" ht="15" customHeight="1">
      <c r="A967" t="inlineStr">
        <is>
          <t>A 60126-2024</t>
        </is>
      </c>
      <c r="B967" s="1" t="n">
        <v>45642.5919212963</v>
      </c>
      <c r="C967" s="1" t="n">
        <v>45886</v>
      </c>
      <c r="D967" t="inlineStr">
        <is>
          <t>VÄRMLANDS LÄN</t>
        </is>
      </c>
      <c r="E967" t="inlineStr">
        <is>
          <t>ÅRJÄNG</t>
        </is>
      </c>
      <c r="G967" t="n">
        <v>1.2</v>
      </c>
      <c r="H967" t="n">
        <v>0</v>
      </c>
      <c r="I967" t="n">
        <v>0</v>
      </c>
      <c r="J967" t="n">
        <v>0</v>
      </c>
      <c r="K967" t="n">
        <v>0</v>
      </c>
      <c r="L967" t="n">
        <v>0</v>
      </c>
      <c r="M967" t="n">
        <v>0</v>
      </c>
      <c r="N967" t="n">
        <v>0</v>
      </c>
      <c r="O967" t="n">
        <v>0</v>
      </c>
      <c r="P967" t="n">
        <v>0</v>
      </c>
      <c r="Q967" t="n">
        <v>0</v>
      </c>
      <c r="R967" s="2" t="inlineStr"/>
    </row>
    <row r="968" ht="15" customHeight="1">
      <c r="A968" t="inlineStr">
        <is>
          <t>A 61119-2024</t>
        </is>
      </c>
      <c r="B968" s="1" t="n">
        <v>45645.57</v>
      </c>
      <c r="C968" s="1" t="n">
        <v>45886</v>
      </c>
      <c r="D968" t="inlineStr">
        <is>
          <t>VÄRMLANDS LÄN</t>
        </is>
      </c>
      <c r="E968" t="inlineStr">
        <is>
          <t>ÅRJÄNG</t>
        </is>
      </c>
      <c r="G968" t="n">
        <v>2.4</v>
      </c>
      <c r="H968" t="n">
        <v>0</v>
      </c>
      <c r="I968" t="n">
        <v>0</v>
      </c>
      <c r="J968" t="n">
        <v>0</v>
      </c>
      <c r="K968" t="n">
        <v>0</v>
      </c>
      <c r="L968" t="n">
        <v>0</v>
      </c>
      <c r="M968" t="n">
        <v>0</v>
      </c>
      <c r="N968" t="n">
        <v>0</v>
      </c>
      <c r="O968" t="n">
        <v>0</v>
      </c>
      <c r="P968" t="n">
        <v>0</v>
      </c>
      <c r="Q968" t="n">
        <v>0</v>
      </c>
      <c r="R968" s="2" t="inlineStr"/>
    </row>
    <row r="969" ht="15" customHeight="1">
      <c r="A969" t="inlineStr">
        <is>
          <t>A 12907-2022</t>
        </is>
      </c>
      <c r="B969" s="1" t="n">
        <v>44642.62002314815</v>
      </c>
      <c r="C969" s="1" t="n">
        <v>45886</v>
      </c>
      <c r="D969" t="inlineStr">
        <is>
          <t>VÄRMLANDS LÄN</t>
        </is>
      </c>
      <c r="E969" t="inlineStr">
        <is>
          <t>ÅRJÄNG</t>
        </is>
      </c>
      <c r="G969" t="n">
        <v>7.3</v>
      </c>
      <c r="H969" t="n">
        <v>0</v>
      </c>
      <c r="I969" t="n">
        <v>0</v>
      </c>
      <c r="J969" t="n">
        <v>0</v>
      </c>
      <c r="K969" t="n">
        <v>0</v>
      </c>
      <c r="L969" t="n">
        <v>0</v>
      </c>
      <c r="M969" t="n">
        <v>0</v>
      </c>
      <c r="N969" t="n">
        <v>0</v>
      </c>
      <c r="O969" t="n">
        <v>0</v>
      </c>
      <c r="P969" t="n">
        <v>0</v>
      </c>
      <c r="Q969" t="n">
        <v>0</v>
      </c>
      <c r="R969" s="2" t="inlineStr"/>
    </row>
    <row r="970" ht="15" customHeight="1">
      <c r="A970" t="inlineStr">
        <is>
          <t>A 4088-2025</t>
        </is>
      </c>
      <c r="B970" s="1" t="n">
        <v>45684.66329861111</v>
      </c>
      <c r="C970" s="1" t="n">
        <v>45886</v>
      </c>
      <c r="D970" t="inlineStr">
        <is>
          <t>VÄRMLANDS LÄN</t>
        </is>
      </c>
      <c r="E970" t="inlineStr">
        <is>
          <t>ÅRJÄNG</t>
        </is>
      </c>
      <c r="G970" t="n">
        <v>4.1</v>
      </c>
      <c r="H970" t="n">
        <v>0</v>
      </c>
      <c r="I970" t="n">
        <v>0</v>
      </c>
      <c r="J970" t="n">
        <v>0</v>
      </c>
      <c r="K970" t="n">
        <v>0</v>
      </c>
      <c r="L970" t="n">
        <v>0</v>
      </c>
      <c r="M970" t="n">
        <v>0</v>
      </c>
      <c r="N970" t="n">
        <v>0</v>
      </c>
      <c r="O970" t="n">
        <v>0</v>
      </c>
      <c r="P970" t="n">
        <v>0</v>
      </c>
      <c r="Q970" t="n">
        <v>0</v>
      </c>
      <c r="R970" s="2" t="inlineStr"/>
    </row>
    <row r="971" ht="15" customHeight="1">
      <c r="A971" t="inlineStr">
        <is>
          <t>A 13060-2022</t>
        </is>
      </c>
      <c r="B971" s="1" t="n">
        <v>44643</v>
      </c>
      <c r="C971" s="1" t="n">
        <v>45886</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13160-2022</t>
        </is>
      </c>
      <c r="B972" s="1" t="n">
        <v>44644.43545138889</v>
      </c>
      <c r="C972" s="1" t="n">
        <v>45886</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8885-2021</t>
        </is>
      </c>
      <c r="B973" s="1" t="n">
        <v>44248</v>
      </c>
      <c r="C973" s="1" t="n">
        <v>45886</v>
      </c>
      <c r="D973" t="inlineStr">
        <is>
          <t>VÄRMLANDS LÄN</t>
        </is>
      </c>
      <c r="E973" t="inlineStr">
        <is>
          <t>ÅRJÄNG</t>
        </is>
      </c>
      <c r="G973" t="n">
        <v>1.5</v>
      </c>
      <c r="H973" t="n">
        <v>0</v>
      </c>
      <c r="I973" t="n">
        <v>0</v>
      </c>
      <c r="J973" t="n">
        <v>0</v>
      </c>
      <c r="K973" t="n">
        <v>0</v>
      </c>
      <c r="L973" t="n">
        <v>0</v>
      </c>
      <c r="M973" t="n">
        <v>0</v>
      </c>
      <c r="N973" t="n">
        <v>0</v>
      </c>
      <c r="O973" t="n">
        <v>0</v>
      </c>
      <c r="P973" t="n">
        <v>0</v>
      </c>
      <c r="Q973" t="n">
        <v>0</v>
      </c>
      <c r="R973" s="2" t="inlineStr"/>
    </row>
    <row r="974" ht="15" customHeight="1">
      <c r="A974" t="inlineStr">
        <is>
          <t>A 60930-2021</t>
        </is>
      </c>
      <c r="B974" s="1" t="n">
        <v>44497.46921296296</v>
      </c>
      <c r="C974" s="1" t="n">
        <v>45886</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45886</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28382-2022</t>
        </is>
      </c>
      <c r="B976" s="1" t="n">
        <v>44747</v>
      </c>
      <c r="C976" s="1" t="n">
        <v>45886</v>
      </c>
      <c r="D976" t="inlineStr">
        <is>
          <t>VÄRMLANDS LÄN</t>
        </is>
      </c>
      <c r="E976" t="inlineStr">
        <is>
          <t>ÅRJÄNG</t>
        </is>
      </c>
      <c r="F976" t="inlineStr">
        <is>
          <t>Naturvårdsverket</t>
        </is>
      </c>
      <c r="G976" t="n">
        <v>1</v>
      </c>
      <c r="H976" t="n">
        <v>0</v>
      </c>
      <c r="I976" t="n">
        <v>0</v>
      </c>
      <c r="J976" t="n">
        <v>0</v>
      </c>
      <c r="K976" t="n">
        <v>0</v>
      </c>
      <c r="L976" t="n">
        <v>0</v>
      </c>
      <c r="M976" t="n">
        <v>0</v>
      </c>
      <c r="N976" t="n">
        <v>0</v>
      </c>
      <c r="O976" t="n">
        <v>0</v>
      </c>
      <c r="P976" t="n">
        <v>0</v>
      </c>
      <c r="Q976" t="n">
        <v>0</v>
      </c>
      <c r="R976" s="2" t="inlineStr"/>
    </row>
    <row r="977" ht="15" customHeight="1">
      <c r="A977" t="inlineStr">
        <is>
          <t>A 28439-2022</t>
        </is>
      </c>
      <c r="B977" s="1" t="n">
        <v>44747</v>
      </c>
      <c r="C977" s="1" t="n">
        <v>45886</v>
      </c>
      <c r="D977" t="inlineStr">
        <is>
          <t>VÄRMLANDS LÄN</t>
        </is>
      </c>
      <c r="E977" t="inlineStr">
        <is>
          <t>ÅRJÄNG</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11813-2025</t>
        </is>
      </c>
      <c r="B978" s="1" t="n">
        <v>45728.28122685185</v>
      </c>
      <c r="C978" s="1" t="n">
        <v>45886</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56535-2023</t>
        </is>
      </c>
      <c r="B979" s="1" t="n">
        <v>45243.5708912037</v>
      </c>
      <c r="C979" s="1" t="n">
        <v>45886</v>
      </c>
      <c r="D979" t="inlineStr">
        <is>
          <t>VÄRMLANDS LÄN</t>
        </is>
      </c>
      <c r="E979" t="inlineStr">
        <is>
          <t>ÅRJÄNG</t>
        </is>
      </c>
      <c r="G979" t="n">
        <v>5.8</v>
      </c>
      <c r="H979" t="n">
        <v>0</v>
      </c>
      <c r="I979" t="n">
        <v>0</v>
      </c>
      <c r="J979" t="n">
        <v>0</v>
      </c>
      <c r="K979" t="n">
        <v>0</v>
      </c>
      <c r="L979" t="n">
        <v>0</v>
      </c>
      <c r="M979" t="n">
        <v>0</v>
      </c>
      <c r="N979" t="n">
        <v>0</v>
      </c>
      <c r="O979" t="n">
        <v>0</v>
      </c>
      <c r="P979" t="n">
        <v>0</v>
      </c>
      <c r="Q979" t="n">
        <v>0</v>
      </c>
      <c r="R979" s="2" t="inlineStr"/>
    </row>
    <row r="980" ht="15" customHeight="1">
      <c r="A980" t="inlineStr">
        <is>
          <t>A 26866-2024</t>
        </is>
      </c>
      <c r="B980" s="1" t="n">
        <v>45470</v>
      </c>
      <c r="C980" s="1" t="n">
        <v>45886</v>
      </c>
      <c r="D980" t="inlineStr">
        <is>
          <t>VÄRMLANDS LÄN</t>
        </is>
      </c>
      <c r="E980" t="inlineStr">
        <is>
          <t>ÅRJÄNG</t>
        </is>
      </c>
      <c r="F980" t="inlineStr">
        <is>
          <t>Kyrkan</t>
        </is>
      </c>
      <c r="G980" t="n">
        <v>3.3</v>
      </c>
      <c r="H980" t="n">
        <v>0</v>
      </c>
      <c r="I980" t="n">
        <v>0</v>
      </c>
      <c r="J980" t="n">
        <v>0</v>
      </c>
      <c r="K980" t="n">
        <v>0</v>
      </c>
      <c r="L980" t="n">
        <v>0</v>
      </c>
      <c r="M980" t="n">
        <v>0</v>
      </c>
      <c r="N980" t="n">
        <v>0</v>
      </c>
      <c r="O980" t="n">
        <v>0</v>
      </c>
      <c r="P980" t="n">
        <v>0</v>
      </c>
      <c r="Q980" t="n">
        <v>0</v>
      </c>
      <c r="R980" s="2" t="inlineStr"/>
    </row>
    <row r="981" ht="15" customHeight="1">
      <c r="A981" t="inlineStr">
        <is>
          <t>A 49780-2024</t>
        </is>
      </c>
      <c r="B981" s="1" t="n">
        <v>45597</v>
      </c>
      <c r="C981" s="1" t="n">
        <v>45886</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9990-2025</t>
        </is>
      </c>
      <c r="B982" s="1" t="n">
        <v>45719</v>
      </c>
      <c r="C982" s="1" t="n">
        <v>45886</v>
      </c>
      <c r="D982" t="inlineStr">
        <is>
          <t>VÄRMLANDS LÄN</t>
        </is>
      </c>
      <c r="E982" t="inlineStr">
        <is>
          <t>ÅRJÄNG</t>
        </is>
      </c>
      <c r="G982" t="n">
        <v>1.2</v>
      </c>
      <c r="H982" t="n">
        <v>0</v>
      </c>
      <c r="I982" t="n">
        <v>0</v>
      </c>
      <c r="J982" t="n">
        <v>0</v>
      </c>
      <c r="K982" t="n">
        <v>0</v>
      </c>
      <c r="L982" t="n">
        <v>0</v>
      </c>
      <c r="M982" t="n">
        <v>0</v>
      </c>
      <c r="N982" t="n">
        <v>0</v>
      </c>
      <c r="O982" t="n">
        <v>0</v>
      </c>
      <c r="P982" t="n">
        <v>0</v>
      </c>
      <c r="Q982" t="n">
        <v>0</v>
      </c>
      <c r="R982" s="2" t="inlineStr"/>
    </row>
    <row r="983" ht="15" customHeight="1">
      <c r="A983" t="inlineStr">
        <is>
          <t>A 49133-2024</t>
        </is>
      </c>
      <c r="B983" s="1" t="n">
        <v>45594</v>
      </c>
      <c r="C983" s="1" t="n">
        <v>45886</v>
      </c>
      <c r="D983" t="inlineStr">
        <is>
          <t>VÄRMLANDS LÄN</t>
        </is>
      </c>
      <c r="E983" t="inlineStr">
        <is>
          <t>ÅRJÄNG</t>
        </is>
      </c>
      <c r="G983" t="n">
        <v>7.5</v>
      </c>
      <c r="H983" t="n">
        <v>0</v>
      </c>
      <c r="I983" t="n">
        <v>0</v>
      </c>
      <c r="J983" t="n">
        <v>0</v>
      </c>
      <c r="K983" t="n">
        <v>0</v>
      </c>
      <c r="L983" t="n">
        <v>0</v>
      </c>
      <c r="M983" t="n">
        <v>0</v>
      </c>
      <c r="N983" t="n">
        <v>0</v>
      </c>
      <c r="O983" t="n">
        <v>0</v>
      </c>
      <c r="P983" t="n">
        <v>0</v>
      </c>
      <c r="Q983" t="n">
        <v>0</v>
      </c>
      <c r="R983" s="2" t="inlineStr"/>
    </row>
    <row r="984" ht="15" customHeight="1">
      <c r="A984" t="inlineStr">
        <is>
          <t>A 12740-2025</t>
        </is>
      </c>
      <c r="B984" s="1" t="n">
        <v>45733</v>
      </c>
      <c r="C984" s="1" t="n">
        <v>45886</v>
      </c>
      <c r="D984" t="inlineStr">
        <is>
          <t>VÄRMLANDS LÄN</t>
        </is>
      </c>
      <c r="E984" t="inlineStr">
        <is>
          <t>ÅRJÄNG</t>
        </is>
      </c>
      <c r="G984" t="n">
        <v>2.9</v>
      </c>
      <c r="H984" t="n">
        <v>0</v>
      </c>
      <c r="I984" t="n">
        <v>0</v>
      </c>
      <c r="J984" t="n">
        <v>0</v>
      </c>
      <c r="K984" t="n">
        <v>0</v>
      </c>
      <c r="L984" t="n">
        <v>0</v>
      </c>
      <c r="M984" t="n">
        <v>0</v>
      </c>
      <c r="N984" t="n">
        <v>0</v>
      </c>
      <c r="O984" t="n">
        <v>0</v>
      </c>
      <c r="P984" t="n">
        <v>0</v>
      </c>
      <c r="Q984" t="n">
        <v>0</v>
      </c>
      <c r="R984" s="2" t="inlineStr"/>
    </row>
    <row r="985" ht="15" customHeight="1">
      <c r="A985" t="inlineStr">
        <is>
          <t>A 1415-2025</t>
        </is>
      </c>
      <c r="B985" s="1" t="n">
        <v>45668.32795138889</v>
      </c>
      <c r="C985" s="1" t="n">
        <v>45886</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15300-2025</t>
        </is>
      </c>
      <c r="B986" s="1" t="n">
        <v>45746</v>
      </c>
      <c r="C986" s="1" t="n">
        <v>45886</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9992-2025</t>
        </is>
      </c>
      <c r="B987" s="1" t="n">
        <v>45719.43708333333</v>
      </c>
      <c r="C987" s="1" t="n">
        <v>45886</v>
      </c>
      <c r="D987" t="inlineStr">
        <is>
          <t>VÄRMLANDS LÄN</t>
        </is>
      </c>
      <c r="E987" t="inlineStr">
        <is>
          <t>ÅRJÄNG</t>
        </is>
      </c>
      <c r="G987" t="n">
        <v>1.5</v>
      </c>
      <c r="H987" t="n">
        <v>0</v>
      </c>
      <c r="I987" t="n">
        <v>0</v>
      </c>
      <c r="J987" t="n">
        <v>0</v>
      </c>
      <c r="K987" t="n">
        <v>0</v>
      </c>
      <c r="L987" t="n">
        <v>0</v>
      </c>
      <c r="M987" t="n">
        <v>0</v>
      </c>
      <c r="N987" t="n">
        <v>0</v>
      </c>
      <c r="O987" t="n">
        <v>0</v>
      </c>
      <c r="P987" t="n">
        <v>0</v>
      </c>
      <c r="Q987" t="n">
        <v>0</v>
      </c>
      <c r="R987" s="2" t="inlineStr"/>
    </row>
    <row r="988" ht="15" customHeight="1">
      <c r="A988" t="inlineStr">
        <is>
          <t>A 6962-2025</t>
        </is>
      </c>
      <c r="B988" s="1" t="n">
        <v>45701</v>
      </c>
      <c r="C988" s="1" t="n">
        <v>45886</v>
      </c>
      <c r="D988" t="inlineStr">
        <is>
          <t>VÄRMLANDS LÄN</t>
        </is>
      </c>
      <c r="E988" t="inlineStr">
        <is>
          <t>ÅRJÄNG</t>
        </is>
      </c>
      <c r="G988" t="n">
        <v>2.6</v>
      </c>
      <c r="H988" t="n">
        <v>0</v>
      </c>
      <c r="I988" t="n">
        <v>0</v>
      </c>
      <c r="J988" t="n">
        <v>0</v>
      </c>
      <c r="K988" t="n">
        <v>0</v>
      </c>
      <c r="L988" t="n">
        <v>0</v>
      </c>
      <c r="M988" t="n">
        <v>0</v>
      </c>
      <c r="N988" t="n">
        <v>0</v>
      </c>
      <c r="O988" t="n">
        <v>0</v>
      </c>
      <c r="P988" t="n">
        <v>0</v>
      </c>
      <c r="Q988" t="n">
        <v>0</v>
      </c>
      <c r="R988" s="2" t="inlineStr"/>
    </row>
    <row r="989" ht="15" customHeight="1">
      <c r="A989" t="inlineStr">
        <is>
          <t>A 34803-2021</t>
        </is>
      </c>
      <c r="B989" s="1" t="n">
        <v>44383</v>
      </c>
      <c r="C989" s="1" t="n">
        <v>45886</v>
      </c>
      <c r="D989" t="inlineStr">
        <is>
          <t>VÄRMLANDS LÄN</t>
        </is>
      </c>
      <c r="E989" t="inlineStr">
        <is>
          <t>ÅRJÄNG</t>
        </is>
      </c>
      <c r="G989" t="n">
        <v>0.7</v>
      </c>
      <c r="H989" t="n">
        <v>0</v>
      </c>
      <c r="I989" t="n">
        <v>0</v>
      </c>
      <c r="J989" t="n">
        <v>0</v>
      </c>
      <c r="K989" t="n">
        <v>0</v>
      </c>
      <c r="L989" t="n">
        <v>0</v>
      </c>
      <c r="M989" t="n">
        <v>0</v>
      </c>
      <c r="N989" t="n">
        <v>0</v>
      </c>
      <c r="O989" t="n">
        <v>0</v>
      </c>
      <c r="P989" t="n">
        <v>0</v>
      </c>
      <c r="Q989" t="n">
        <v>0</v>
      </c>
      <c r="R989" s="2" t="inlineStr"/>
    </row>
    <row r="990" ht="15" customHeight="1">
      <c r="A990" t="inlineStr">
        <is>
          <t>A 46249-2023</t>
        </is>
      </c>
      <c r="B990" s="1" t="n">
        <v>45196.89337962963</v>
      </c>
      <c r="C990" s="1" t="n">
        <v>45886</v>
      </c>
      <c r="D990" t="inlineStr">
        <is>
          <t>VÄRMLANDS LÄN</t>
        </is>
      </c>
      <c r="E990" t="inlineStr">
        <is>
          <t>ÅRJÄNG</t>
        </is>
      </c>
      <c r="G990" t="n">
        <v>1.7</v>
      </c>
      <c r="H990" t="n">
        <v>0</v>
      </c>
      <c r="I990" t="n">
        <v>0</v>
      </c>
      <c r="J990" t="n">
        <v>0</v>
      </c>
      <c r="K990" t="n">
        <v>0</v>
      </c>
      <c r="L990" t="n">
        <v>0</v>
      </c>
      <c r="M990" t="n">
        <v>0</v>
      </c>
      <c r="N990" t="n">
        <v>0</v>
      </c>
      <c r="O990" t="n">
        <v>0</v>
      </c>
      <c r="P990" t="n">
        <v>0</v>
      </c>
      <c r="Q990" t="n">
        <v>0</v>
      </c>
      <c r="R990" s="2" t="inlineStr"/>
    </row>
    <row r="991" ht="15" customHeight="1">
      <c r="A991" t="inlineStr">
        <is>
          <t>A 58427-2024</t>
        </is>
      </c>
      <c r="B991" s="1" t="n">
        <v>45634.89083333333</v>
      </c>
      <c r="C991" s="1" t="n">
        <v>45886</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58428-2024</t>
        </is>
      </c>
      <c r="B992" s="1" t="n">
        <v>45634.90734953704</v>
      </c>
      <c r="C992" s="1" t="n">
        <v>45886</v>
      </c>
      <c r="D992" t="inlineStr">
        <is>
          <t>VÄRMLANDS LÄN</t>
        </is>
      </c>
      <c r="E992" t="inlineStr">
        <is>
          <t>ÅRJÄNG</t>
        </is>
      </c>
      <c r="G992" t="n">
        <v>0.9</v>
      </c>
      <c r="H992" t="n">
        <v>0</v>
      </c>
      <c r="I992" t="n">
        <v>0</v>
      </c>
      <c r="J992" t="n">
        <v>0</v>
      </c>
      <c r="K992" t="n">
        <v>0</v>
      </c>
      <c r="L992" t="n">
        <v>0</v>
      </c>
      <c r="M992" t="n">
        <v>0</v>
      </c>
      <c r="N992" t="n">
        <v>0</v>
      </c>
      <c r="O992" t="n">
        <v>0</v>
      </c>
      <c r="P992" t="n">
        <v>0</v>
      </c>
      <c r="Q992" t="n">
        <v>0</v>
      </c>
      <c r="R992" s="2" t="inlineStr"/>
    </row>
    <row r="993" ht="15" customHeight="1">
      <c r="A993" t="inlineStr">
        <is>
          <t>A 17178-2021</t>
        </is>
      </c>
      <c r="B993" s="1" t="n">
        <v>44298.46592592593</v>
      </c>
      <c r="C993" s="1" t="n">
        <v>45886</v>
      </c>
      <c r="D993" t="inlineStr">
        <is>
          <t>VÄRMLANDS LÄN</t>
        </is>
      </c>
      <c r="E993" t="inlineStr">
        <is>
          <t>ÅRJÄNG</t>
        </is>
      </c>
      <c r="G993" t="n">
        <v>4</v>
      </c>
      <c r="H993" t="n">
        <v>0</v>
      </c>
      <c r="I993" t="n">
        <v>0</v>
      </c>
      <c r="J993" t="n">
        <v>0</v>
      </c>
      <c r="K993" t="n">
        <v>0</v>
      </c>
      <c r="L993" t="n">
        <v>0</v>
      </c>
      <c r="M993" t="n">
        <v>0</v>
      </c>
      <c r="N993" t="n">
        <v>0</v>
      </c>
      <c r="O993" t="n">
        <v>0</v>
      </c>
      <c r="P993" t="n">
        <v>0</v>
      </c>
      <c r="Q993" t="n">
        <v>0</v>
      </c>
      <c r="R993" s="2" t="inlineStr"/>
    </row>
    <row r="994" ht="15" customHeight="1">
      <c r="A994" t="inlineStr">
        <is>
          <t>A 21392-2023</t>
        </is>
      </c>
      <c r="B994" s="1" t="n">
        <v>45061</v>
      </c>
      <c r="C994" s="1" t="n">
        <v>45886</v>
      </c>
      <c r="D994" t="inlineStr">
        <is>
          <t>VÄRMLANDS LÄN</t>
        </is>
      </c>
      <c r="E994" t="inlineStr">
        <is>
          <t>ÅRJÄNG</t>
        </is>
      </c>
      <c r="G994" t="n">
        <v>11.7</v>
      </c>
      <c r="H994" t="n">
        <v>0</v>
      </c>
      <c r="I994" t="n">
        <v>0</v>
      </c>
      <c r="J994" t="n">
        <v>0</v>
      </c>
      <c r="K994" t="n">
        <v>0</v>
      </c>
      <c r="L994" t="n">
        <v>0</v>
      </c>
      <c r="M994" t="n">
        <v>0</v>
      </c>
      <c r="N994" t="n">
        <v>0</v>
      </c>
      <c r="O994" t="n">
        <v>0</v>
      </c>
      <c r="P994" t="n">
        <v>0</v>
      </c>
      <c r="Q994" t="n">
        <v>0</v>
      </c>
      <c r="R994" s="2" t="inlineStr"/>
    </row>
    <row r="995" ht="15" customHeight="1">
      <c r="A995" t="inlineStr">
        <is>
          <t>A 44140-2024</t>
        </is>
      </c>
      <c r="B995" s="1" t="n">
        <v>45572</v>
      </c>
      <c r="C995" s="1" t="n">
        <v>45886</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10180-2023</t>
        </is>
      </c>
      <c r="B996" s="1" t="n">
        <v>44986</v>
      </c>
      <c r="C996" s="1" t="n">
        <v>45886</v>
      </c>
      <c r="D996" t="inlineStr">
        <is>
          <t>VÄRMLANDS LÄN</t>
        </is>
      </c>
      <c r="E996" t="inlineStr">
        <is>
          <t>ÅRJÄNG</t>
        </is>
      </c>
      <c r="G996" t="n">
        <v>4.6</v>
      </c>
      <c r="H996" t="n">
        <v>0</v>
      </c>
      <c r="I996" t="n">
        <v>0</v>
      </c>
      <c r="J996" t="n">
        <v>0</v>
      </c>
      <c r="K996" t="n">
        <v>0</v>
      </c>
      <c r="L996" t="n">
        <v>0</v>
      </c>
      <c r="M996" t="n">
        <v>0</v>
      </c>
      <c r="N996" t="n">
        <v>0</v>
      </c>
      <c r="O996" t="n">
        <v>0</v>
      </c>
      <c r="P996" t="n">
        <v>0</v>
      </c>
      <c r="Q996" t="n">
        <v>0</v>
      </c>
      <c r="R996" s="2" t="inlineStr"/>
    </row>
    <row r="997" ht="15" customHeight="1">
      <c r="A997" t="inlineStr">
        <is>
          <t>A 9441-2021</t>
        </is>
      </c>
      <c r="B997" s="1" t="n">
        <v>44251</v>
      </c>
      <c r="C997" s="1" t="n">
        <v>45886</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69862-2021</t>
        </is>
      </c>
      <c r="B998" s="1" t="n">
        <v>44532</v>
      </c>
      <c r="C998" s="1" t="n">
        <v>45886</v>
      </c>
      <c r="D998" t="inlineStr">
        <is>
          <t>VÄRMLANDS LÄN</t>
        </is>
      </c>
      <c r="E998" t="inlineStr">
        <is>
          <t>ÅRJÄNG</t>
        </is>
      </c>
      <c r="G998" t="n">
        <v>1.6</v>
      </c>
      <c r="H998" t="n">
        <v>0</v>
      </c>
      <c r="I998" t="n">
        <v>0</v>
      </c>
      <c r="J998" t="n">
        <v>0</v>
      </c>
      <c r="K998" t="n">
        <v>0</v>
      </c>
      <c r="L998" t="n">
        <v>0</v>
      </c>
      <c r="M998" t="n">
        <v>0</v>
      </c>
      <c r="N998" t="n">
        <v>0</v>
      </c>
      <c r="O998" t="n">
        <v>0</v>
      </c>
      <c r="P998" t="n">
        <v>0</v>
      </c>
      <c r="Q998" t="n">
        <v>0</v>
      </c>
      <c r="R998" s="2" t="inlineStr"/>
    </row>
    <row r="999" ht="15" customHeight="1">
      <c r="A999" t="inlineStr">
        <is>
          <t>A 7184-2024</t>
        </is>
      </c>
      <c r="B999" s="1" t="n">
        <v>45344</v>
      </c>
      <c r="C999" s="1" t="n">
        <v>45886</v>
      </c>
      <c r="D999" t="inlineStr">
        <is>
          <t>VÄRMLANDS LÄN</t>
        </is>
      </c>
      <c r="E999" t="inlineStr">
        <is>
          <t>ÅRJÄNG</t>
        </is>
      </c>
      <c r="G999" t="n">
        <v>1.3</v>
      </c>
      <c r="H999" t="n">
        <v>0</v>
      </c>
      <c r="I999" t="n">
        <v>0</v>
      </c>
      <c r="J999" t="n">
        <v>0</v>
      </c>
      <c r="K999" t="n">
        <v>0</v>
      </c>
      <c r="L999" t="n">
        <v>0</v>
      </c>
      <c r="M999" t="n">
        <v>0</v>
      </c>
      <c r="N999" t="n">
        <v>0</v>
      </c>
      <c r="O999" t="n">
        <v>0</v>
      </c>
      <c r="P999" t="n">
        <v>0</v>
      </c>
      <c r="Q999" t="n">
        <v>0</v>
      </c>
      <c r="R999" s="2" t="inlineStr"/>
    </row>
    <row r="1000" ht="15" customHeight="1">
      <c r="A1000" t="inlineStr">
        <is>
          <t>A 29558-2024</t>
        </is>
      </c>
      <c r="B1000" s="1" t="n">
        <v>45484</v>
      </c>
      <c r="C1000" s="1" t="n">
        <v>45886</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23754-2024</t>
        </is>
      </c>
      <c r="B1001" s="1" t="n">
        <v>45455</v>
      </c>
      <c r="C1001" s="1" t="n">
        <v>45886</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99-2025</t>
        </is>
      </c>
      <c r="B1002" s="1" t="n">
        <v>45649</v>
      </c>
      <c r="C1002" s="1" t="n">
        <v>45886</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480-2025</t>
        </is>
      </c>
      <c r="B1003" s="1" t="n">
        <v>45664</v>
      </c>
      <c r="C1003" s="1" t="n">
        <v>45886</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2253-2025</t>
        </is>
      </c>
      <c r="B1004" s="1" t="n">
        <v>45673</v>
      </c>
      <c r="C1004" s="1" t="n">
        <v>45886</v>
      </c>
      <c r="D1004" t="inlineStr">
        <is>
          <t>VÄRMLANDS LÄN</t>
        </is>
      </c>
      <c r="E1004" t="inlineStr">
        <is>
          <t>ÅRJÄNG</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4976-2025</t>
        </is>
      </c>
      <c r="B1005" s="1" t="n">
        <v>45690.86565972222</v>
      </c>
      <c r="C1005" s="1" t="n">
        <v>45886</v>
      </c>
      <c r="D1005" t="inlineStr">
        <is>
          <t>VÄRMLANDS LÄN</t>
        </is>
      </c>
      <c r="E1005" t="inlineStr">
        <is>
          <t>ÅRJÄNG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13726-2024</t>
        </is>
      </c>
      <c r="B1006" s="1" t="n">
        <v>45390.68759259259</v>
      </c>
      <c r="C1006" s="1" t="n">
        <v>45886</v>
      </c>
      <c r="D1006" t="inlineStr">
        <is>
          <t>VÄRMLANDS LÄN</t>
        </is>
      </c>
      <c r="E1006" t="inlineStr">
        <is>
          <t>ÅRJÄNG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12068-2022</t>
        </is>
      </c>
      <c r="B1007" s="1" t="n">
        <v>44636</v>
      </c>
      <c r="C1007" s="1" t="n">
        <v>45886</v>
      </c>
      <c r="D1007" t="inlineStr">
        <is>
          <t>VÄRMLANDS LÄN</t>
        </is>
      </c>
      <c r="E1007" t="inlineStr">
        <is>
          <t>ÅRJÄNG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54437-2021</t>
        </is>
      </c>
      <c r="B1008" s="1" t="n">
        <v>44459</v>
      </c>
      <c r="C1008" s="1" t="n">
        <v>45886</v>
      </c>
      <c r="D1008" t="inlineStr">
        <is>
          <t>VÄRMLANDS LÄN</t>
        </is>
      </c>
      <c r="E1008" t="inlineStr">
        <is>
          <t>ÅRJÄNG</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40465-2023</t>
        </is>
      </c>
      <c r="B1009" s="1" t="n">
        <v>45170.34325231481</v>
      </c>
      <c r="C1009" s="1" t="n">
        <v>45886</v>
      </c>
      <c r="D1009" t="inlineStr">
        <is>
          <t>VÄRMLANDS LÄN</t>
        </is>
      </c>
      <c r="E1009" t="inlineStr">
        <is>
          <t>ÅRJÄNG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40366-2022</t>
        </is>
      </c>
      <c r="B1010" s="1" t="n">
        <v>44823.38884259259</v>
      </c>
      <c r="C1010" s="1" t="n">
        <v>45886</v>
      </c>
      <c r="D1010" t="inlineStr">
        <is>
          <t>VÄRMLANDS LÄN</t>
        </is>
      </c>
      <c r="E1010" t="inlineStr">
        <is>
          <t>ÅRJÄNG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13814-2024</t>
        </is>
      </c>
      <c r="B1011" s="1" t="n">
        <v>45391</v>
      </c>
      <c r="C1011" s="1" t="n">
        <v>45886</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13819-2024</t>
        </is>
      </c>
      <c r="B1012" s="1" t="n">
        <v>45391.42252314815</v>
      </c>
      <c r="C1012" s="1" t="n">
        <v>45886</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12082-2023</t>
        </is>
      </c>
      <c r="B1013" s="1" t="n">
        <v>44997.78215277778</v>
      </c>
      <c r="C1013" s="1" t="n">
        <v>45886</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61913-2024</t>
        </is>
      </c>
      <c r="B1014" s="1" t="n">
        <v>45653.38708333333</v>
      </c>
      <c r="C1014" s="1" t="n">
        <v>45886</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5931-2023</t>
        </is>
      </c>
      <c r="B1015" s="1" t="n">
        <v>44963</v>
      </c>
      <c r="C1015" s="1" t="n">
        <v>45886</v>
      </c>
      <c r="D1015" t="inlineStr">
        <is>
          <t>VÄRMLANDS LÄN</t>
        </is>
      </c>
      <c r="E1015" t="inlineStr">
        <is>
          <t>ÅRJÄNG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33728-2021</t>
        </is>
      </c>
      <c r="B1016" s="1" t="n">
        <v>44378.47640046296</v>
      </c>
      <c r="C1016" s="1" t="n">
        <v>45886</v>
      </c>
      <c r="D1016" t="inlineStr">
        <is>
          <t>VÄRMLANDS LÄN</t>
        </is>
      </c>
      <c r="E1016" t="inlineStr">
        <is>
          <t>ÅRJÄNG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13317-2025</t>
        </is>
      </c>
      <c r="B1017" s="1" t="n">
        <v>45735.59452546296</v>
      </c>
      <c r="C1017" s="1" t="n">
        <v>45886</v>
      </c>
      <c r="D1017" t="inlineStr">
        <is>
          <t>VÄRMLANDS LÄN</t>
        </is>
      </c>
      <c r="E1017" t="inlineStr">
        <is>
          <t>ÅRJÄNG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64903-2023</t>
        </is>
      </c>
      <c r="B1018" s="1" t="n">
        <v>45282</v>
      </c>
      <c r="C1018" s="1" t="n">
        <v>45886</v>
      </c>
      <c r="D1018" t="inlineStr">
        <is>
          <t>VÄRMLANDS LÄN</t>
        </is>
      </c>
      <c r="E1018" t="inlineStr">
        <is>
          <t>ÅRJÄNG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1279-2025</t>
        </is>
      </c>
      <c r="B1019" s="1" t="n">
        <v>45667.48987268518</v>
      </c>
      <c r="C1019" s="1" t="n">
        <v>45886</v>
      </c>
      <c r="D1019" t="inlineStr">
        <is>
          <t>VÄRMLANDS LÄN</t>
        </is>
      </c>
      <c r="E1019" t="inlineStr">
        <is>
          <t>ÅRJÄNG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17878-2024</t>
        </is>
      </c>
      <c r="B1020" s="1" t="n">
        <v>45419</v>
      </c>
      <c r="C1020" s="1" t="n">
        <v>45886</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10873-2023</t>
        </is>
      </c>
      <c r="B1021" s="1" t="n">
        <v>44991.42243055555</v>
      </c>
      <c r="C1021" s="1" t="n">
        <v>45886</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64151-2023</t>
        </is>
      </c>
      <c r="B1022" s="1" t="n">
        <v>45279.58803240741</v>
      </c>
      <c r="C1022" s="1" t="n">
        <v>45886</v>
      </c>
      <c r="D1022" t="inlineStr">
        <is>
          <t>VÄRMLANDS LÄN</t>
        </is>
      </c>
      <c r="E1022" t="inlineStr">
        <is>
          <t>ÅRJÄNG</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8838-2023</t>
        </is>
      </c>
      <c r="B1023" s="1" t="n">
        <v>44978</v>
      </c>
      <c r="C1023" s="1" t="n">
        <v>45886</v>
      </c>
      <c r="D1023" t="inlineStr">
        <is>
          <t>VÄRMLANDS LÄN</t>
        </is>
      </c>
      <c r="E1023" t="inlineStr">
        <is>
          <t>ÅRJÄNG</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59810-2024</t>
        </is>
      </c>
      <c r="B1024" s="1" t="n">
        <v>45639.60642361111</v>
      </c>
      <c r="C1024" s="1" t="n">
        <v>45886</v>
      </c>
      <c r="D1024" t="inlineStr">
        <is>
          <t>VÄRMLANDS LÄN</t>
        </is>
      </c>
      <c r="E1024" t="inlineStr">
        <is>
          <t>ÅRJÄNG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22274-2024</t>
        </is>
      </c>
      <c r="B1025" s="1" t="n">
        <v>45446</v>
      </c>
      <c r="C1025" s="1" t="n">
        <v>45886</v>
      </c>
      <c r="D1025" t="inlineStr">
        <is>
          <t>VÄRMLANDS LÄN</t>
        </is>
      </c>
      <c r="E1025" t="inlineStr">
        <is>
          <t>ÅRJÄNG</t>
        </is>
      </c>
      <c r="G1025" t="n">
        <v>8.6</v>
      </c>
      <c r="H1025" t="n">
        <v>0</v>
      </c>
      <c r="I1025" t="n">
        <v>0</v>
      </c>
      <c r="J1025" t="n">
        <v>0</v>
      </c>
      <c r="K1025" t="n">
        <v>0</v>
      </c>
      <c r="L1025" t="n">
        <v>0</v>
      </c>
      <c r="M1025" t="n">
        <v>0</v>
      </c>
      <c r="N1025" t="n">
        <v>0</v>
      </c>
      <c r="O1025" t="n">
        <v>0</v>
      </c>
      <c r="P1025" t="n">
        <v>0</v>
      </c>
      <c r="Q1025" t="n">
        <v>0</v>
      </c>
      <c r="R1025" s="2" t="inlineStr"/>
    </row>
    <row r="1026" ht="15" customHeight="1">
      <c r="A1026" t="inlineStr">
        <is>
          <t>A 30699-2021</t>
        </is>
      </c>
      <c r="B1026" s="1" t="n">
        <v>44365.42443287037</v>
      </c>
      <c r="C1026" s="1" t="n">
        <v>45886</v>
      </c>
      <c r="D1026" t="inlineStr">
        <is>
          <t>VÄRMLANDS LÄN</t>
        </is>
      </c>
      <c r="E1026" t="inlineStr">
        <is>
          <t>ÅRJÄNG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35157-2021</t>
        </is>
      </c>
      <c r="B1027" s="1" t="n">
        <v>44383</v>
      </c>
      <c r="C1027" s="1" t="n">
        <v>45886</v>
      </c>
      <c r="D1027" t="inlineStr">
        <is>
          <t>VÄRMLANDS LÄN</t>
        </is>
      </c>
      <c r="E1027" t="inlineStr">
        <is>
          <t>ÅRJÄNG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21706-2024</t>
        </is>
      </c>
      <c r="B1028" s="1" t="n">
        <v>45442</v>
      </c>
      <c r="C1028" s="1" t="n">
        <v>45886</v>
      </c>
      <c r="D1028" t="inlineStr">
        <is>
          <t>VÄRMLANDS LÄN</t>
        </is>
      </c>
      <c r="E1028" t="inlineStr">
        <is>
          <t>ÅRJÄNG</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43040-2023</t>
        </is>
      </c>
      <c r="B1029" s="1" t="n">
        <v>45182.68716435185</v>
      </c>
      <c r="C1029" s="1" t="n">
        <v>45886</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8232-2025</t>
        </is>
      </c>
      <c r="B1030" s="1" t="n">
        <v>45708.47144675926</v>
      </c>
      <c r="C1030" s="1" t="n">
        <v>45886</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10510-2023</t>
        </is>
      </c>
      <c r="B1031" s="1" t="n">
        <v>44987.73665509259</v>
      </c>
      <c r="C1031" s="1" t="n">
        <v>45886</v>
      </c>
      <c r="D1031" t="inlineStr">
        <is>
          <t>VÄRMLANDS LÄN</t>
        </is>
      </c>
      <c r="E1031" t="inlineStr">
        <is>
          <t>ÅRJÄNG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51258-2022</t>
        </is>
      </c>
      <c r="B1032" s="1" t="n">
        <v>44868.67460648148</v>
      </c>
      <c r="C1032" s="1" t="n">
        <v>45886</v>
      </c>
      <c r="D1032" t="inlineStr">
        <is>
          <t>VÄRMLANDS LÄN</t>
        </is>
      </c>
      <c r="E1032" t="inlineStr">
        <is>
          <t>ÅRJÄNG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3458-2025</t>
        </is>
      </c>
      <c r="B1033" s="1" t="n">
        <v>45680.48917824074</v>
      </c>
      <c r="C1033" s="1" t="n">
        <v>45886</v>
      </c>
      <c r="D1033" t="inlineStr">
        <is>
          <t>VÄRMLANDS LÄN</t>
        </is>
      </c>
      <c r="E1033" t="inlineStr">
        <is>
          <t>ÅRJÄNG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3479-2025</t>
        </is>
      </c>
      <c r="B1034" s="1" t="n">
        <v>45680.53805555555</v>
      </c>
      <c r="C1034" s="1" t="n">
        <v>45886</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10574-2023</t>
        </is>
      </c>
      <c r="B1035" s="1" t="n">
        <v>44984</v>
      </c>
      <c r="C1035" s="1" t="n">
        <v>45886</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62901-2021</t>
        </is>
      </c>
      <c r="B1036" s="1" t="n">
        <v>44504</v>
      </c>
      <c r="C1036" s="1" t="n">
        <v>45886</v>
      </c>
      <c r="D1036" t="inlineStr">
        <is>
          <t>VÄRMLANDS LÄN</t>
        </is>
      </c>
      <c r="E1036" t="inlineStr">
        <is>
          <t>ÅRJÄNG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15730-2023</t>
        </is>
      </c>
      <c r="B1037" s="1" t="n">
        <v>45021</v>
      </c>
      <c r="C1037" s="1" t="n">
        <v>45886</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23847-2023</t>
        </is>
      </c>
      <c r="B1038" s="1" t="n">
        <v>45078</v>
      </c>
      <c r="C1038" s="1" t="n">
        <v>45886</v>
      </c>
      <c r="D1038" t="inlineStr">
        <is>
          <t>VÄRMLANDS LÄN</t>
        </is>
      </c>
      <c r="E1038" t="inlineStr">
        <is>
          <t>ÅRJÄNG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15327-2022</t>
        </is>
      </c>
      <c r="B1039" s="1" t="n">
        <v>44659</v>
      </c>
      <c r="C1039" s="1" t="n">
        <v>45886</v>
      </c>
      <c r="D1039" t="inlineStr">
        <is>
          <t>VÄRMLANDS LÄN</t>
        </is>
      </c>
      <c r="E1039" t="inlineStr">
        <is>
          <t>ÅRJÄNG</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33831-2023</t>
        </is>
      </c>
      <c r="B1040" s="1" t="n">
        <v>45121</v>
      </c>
      <c r="C1040" s="1" t="n">
        <v>45886</v>
      </c>
      <c r="D1040" t="inlineStr">
        <is>
          <t>VÄRMLANDS LÄN</t>
        </is>
      </c>
      <c r="E1040" t="inlineStr">
        <is>
          <t>ÅRJÄNG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59070-2024</t>
        </is>
      </c>
      <c r="B1041" s="1" t="n">
        <v>45636.95711805556</v>
      </c>
      <c r="C1041" s="1" t="n">
        <v>45886</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29603-2024</t>
        </is>
      </c>
      <c r="B1042" s="1" t="n">
        <v>45484</v>
      </c>
      <c r="C1042" s="1" t="n">
        <v>45886</v>
      </c>
      <c r="D1042" t="inlineStr">
        <is>
          <t>VÄRMLANDS LÄN</t>
        </is>
      </c>
      <c r="E1042" t="inlineStr">
        <is>
          <t>ÅRJÄNG</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15546-2025</t>
        </is>
      </c>
      <c r="B1043" s="1" t="n">
        <v>45747</v>
      </c>
      <c r="C1043" s="1" t="n">
        <v>45886</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71812-2021</t>
        </is>
      </c>
      <c r="B1044" s="1" t="n">
        <v>44539</v>
      </c>
      <c r="C1044" s="1" t="n">
        <v>45886</v>
      </c>
      <c r="D1044" t="inlineStr">
        <is>
          <t>VÄRMLANDS LÄN</t>
        </is>
      </c>
      <c r="E1044" t="inlineStr">
        <is>
          <t>ÅRJÄNG</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7660-2025</t>
        </is>
      </c>
      <c r="B1045" s="1" t="n">
        <v>45706.32505787037</v>
      </c>
      <c r="C1045" s="1" t="n">
        <v>45886</v>
      </c>
      <c r="D1045" t="inlineStr">
        <is>
          <t>VÄRMLANDS LÄN</t>
        </is>
      </c>
      <c r="E1045" t="inlineStr">
        <is>
          <t>ÅRJÄNG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34580-2023</t>
        </is>
      </c>
      <c r="B1046" s="1" t="n">
        <v>45135</v>
      </c>
      <c r="C1046" s="1" t="n">
        <v>45886</v>
      </c>
      <c r="D1046" t="inlineStr">
        <is>
          <t>VÄRMLANDS LÄN</t>
        </is>
      </c>
      <c r="E1046" t="inlineStr">
        <is>
          <t>ÅRJÄNG</t>
        </is>
      </c>
      <c r="F1046" t="inlineStr">
        <is>
          <t>Övriga Aktiebolag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52278-2023</t>
        </is>
      </c>
      <c r="B1047" s="1" t="n">
        <v>45224.57358796296</v>
      </c>
      <c r="C1047" s="1" t="n">
        <v>45886</v>
      </c>
      <c r="D1047" t="inlineStr">
        <is>
          <t>VÄRMLANDS LÄN</t>
        </is>
      </c>
      <c r="E1047" t="inlineStr">
        <is>
          <t>ÅRJÄNG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15164-2023</t>
        </is>
      </c>
      <c r="B1048" s="1" t="n">
        <v>45016.59475694445</v>
      </c>
      <c r="C1048" s="1" t="n">
        <v>45886</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48130-2023</t>
        </is>
      </c>
      <c r="B1049" s="1" t="n">
        <v>45201</v>
      </c>
      <c r="C1049" s="1" t="n">
        <v>45886</v>
      </c>
      <c r="D1049" t="inlineStr">
        <is>
          <t>VÄRMLANDS LÄN</t>
        </is>
      </c>
      <c r="E1049" t="inlineStr">
        <is>
          <t>ÅRJÄNG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8918-2025</t>
        </is>
      </c>
      <c r="B1050" s="1" t="n">
        <v>45713.43067129629</v>
      </c>
      <c r="C1050" s="1" t="n">
        <v>45886</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39187-2024</t>
        </is>
      </c>
      <c r="B1051" s="1" t="n">
        <v>45548.66915509259</v>
      </c>
      <c r="C1051" s="1" t="n">
        <v>45886</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19850-2025</t>
        </is>
      </c>
      <c r="B1052" s="1" t="n">
        <v>45771</v>
      </c>
      <c r="C1052" s="1" t="n">
        <v>45886</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36641-2021</t>
        </is>
      </c>
      <c r="B1053" s="1" t="n">
        <v>44392.31038194444</v>
      </c>
      <c r="C1053" s="1" t="n">
        <v>45886</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24483-2024</t>
        </is>
      </c>
      <c r="B1054" s="1" t="n">
        <v>45459</v>
      </c>
      <c r="C1054" s="1" t="n">
        <v>45886</v>
      </c>
      <c r="D1054" t="inlineStr">
        <is>
          <t>VÄRMLANDS LÄN</t>
        </is>
      </c>
      <c r="E1054" t="inlineStr">
        <is>
          <t>ÅRJÄNG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27001-2021</t>
        </is>
      </c>
      <c r="B1055" s="1" t="n">
        <v>44350.35271990741</v>
      </c>
      <c r="C1055" s="1" t="n">
        <v>45886</v>
      </c>
      <c r="D1055" t="inlineStr">
        <is>
          <t>VÄRMLANDS LÄN</t>
        </is>
      </c>
      <c r="E1055" t="inlineStr">
        <is>
          <t>ÅRJÄNG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42576-2021</t>
        </is>
      </c>
      <c r="B1056" s="1" t="n">
        <v>44428</v>
      </c>
      <c r="C1056" s="1" t="n">
        <v>45886</v>
      </c>
      <c r="D1056" t="inlineStr">
        <is>
          <t>VÄRMLANDS LÄN</t>
        </is>
      </c>
      <c r="E1056" t="inlineStr">
        <is>
          <t>ÅRJÄNG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24273-2023</t>
        </is>
      </c>
      <c r="B1057" s="1" t="n">
        <v>45079.6764699074</v>
      </c>
      <c r="C1057" s="1" t="n">
        <v>45886</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56940-2024</t>
        </is>
      </c>
      <c r="B1058" s="1" t="n">
        <v>45628.61755787037</v>
      </c>
      <c r="C1058" s="1" t="n">
        <v>45886</v>
      </c>
      <c r="D1058" t="inlineStr">
        <is>
          <t>VÄRMLANDS LÄN</t>
        </is>
      </c>
      <c r="E1058" t="inlineStr">
        <is>
          <t>ÅRJÄNG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3861-2025</t>
        </is>
      </c>
      <c r="B1059" s="1" t="n">
        <v>45683</v>
      </c>
      <c r="C1059" s="1" t="n">
        <v>45886</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33525-2022</t>
        </is>
      </c>
      <c r="B1060" s="1" t="n">
        <v>44789.31077546296</v>
      </c>
      <c r="C1060" s="1" t="n">
        <v>45886</v>
      </c>
      <c r="D1060" t="inlineStr">
        <is>
          <t>VÄRMLANDS LÄN</t>
        </is>
      </c>
      <c r="E1060" t="inlineStr">
        <is>
          <t>ÅRJÄNG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36344-2023</t>
        </is>
      </c>
      <c r="B1061" s="1" t="n">
        <v>45152</v>
      </c>
      <c r="C1061" s="1" t="n">
        <v>45886</v>
      </c>
      <c r="D1061" t="inlineStr">
        <is>
          <t>VÄRMLANDS LÄN</t>
        </is>
      </c>
      <c r="E1061" t="inlineStr">
        <is>
          <t>ÅRJÄNG</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45078.55413194445</v>
      </c>
      <c r="C1062" s="1" t="n">
        <v>45886</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21177-2023</t>
        </is>
      </c>
      <c r="B1063" s="1" t="n">
        <v>45062</v>
      </c>
      <c r="C1063" s="1" t="n">
        <v>45886</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4763-2023</t>
        </is>
      </c>
      <c r="B1064" s="1" t="n">
        <v>44957.57651620371</v>
      </c>
      <c r="C1064" s="1" t="n">
        <v>45886</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46317-2024</t>
        </is>
      </c>
      <c r="B1065" s="1" t="n">
        <v>45581.74462962963</v>
      </c>
      <c r="C1065" s="1" t="n">
        <v>45886</v>
      </c>
      <c r="D1065" t="inlineStr">
        <is>
          <t>VÄRMLANDS LÄN</t>
        </is>
      </c>
      <c r="E1065" t="inlineStr">
        <is>
          <t>ÅRJÄNG</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7877-2025</t>
        </is>
      </c>
      <c r="B1066" s="1" t="n">
        <v>45706.76609953704</v>
      </c>
      <c r="C1066" s="1" t="n">
        <v>45886</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7998-2025</t>
        </is>
      </c>
      <c r="B1067" s="1" t="n">
        <v>45707.52335648148</v>
      </c>
      <c r="C1067" s="1" t="n">
        <v>45886</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11815-2025</t>
        </is>
      </c>
      <c r="B1068" s="1" t="n">
        <v>45728.28719907408</v>
      </c>
      <c r="C1068" s="1" t="n">
        <v>45886</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15165-2025</t>
        </is>
      </c>
      <c r="B1069" s="1" t="n">
        <v>45744.48599537037</v>
      </c>
      <c r="C1069" s="1" t="n">
        <v>45886</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19242-2025</t>
        </is>
      </c>
      <c r="B1070" s="1" t="n">
        <v>45769.47761574074</v>
      </c>
      <c r="C1070" s="1" t="n">
        <v>45886</v>
      </c>
      <c r="D1070" t="inlineStr">
        <is>
          <t>VÄRMLANDS LÄN</t>
        </is>
      </c>
      <c r="E1070" t="inlineStr">
        <is>
          <t>ÅRJÄNG</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55377-2024</t>
        </is>
      </c>
      <c r="B1071" s="1" t="n">
        <v>45621.9885300926</v>
      </c>
      <c r="C1071" s="1" t="n">
        <v>45886</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16977-2025</t>
        </is>
      </c>
      <c r="B1072" s="1" t="n">
        <v>45755.47517361111</v>
      </c>
      <c r="C1072" s="1" t="n">
        <v>45886</v>
      </c>
      <c r="D1072" t="inlineStr">
        <is>
          <t>VÄRMLANDS LÄN</t>
        </is>
      </c>
      <c r="E1072" t="inlineStr">
        <is>
          <t>ÅRJÄNG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1580-2025</t>
        </is>
      </c>
      <c r="B1073" s="1" t="n">
        <v>45670</v>
      </c>
      <c r="C1073" s="1" t="n">
        <v>45886</v>
      </c>
      <c r="D1073" t="inlineStr">
        <is>
          <t>VÄRMLANDS LÄN</t>
        </is>
      </c>
      <c r="E1073" t="inlineStr">
        <is>
          <t>ÅRJÄNG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39557-2023</t>
        </is>
      </c>
      <c r="B1074" s="1" t="n">
        <v>45167.38633101852</v>
      </c>
      <c r="C1074" s="1" t="n">
        <v>45886</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51493-2023</t>
        </is>
      </c>
      <c r="B1075" s="1" t="n">
        <v>45215</v>
      </c>
      <c r="C1075" s="1" t="n">
        <v>45886</v>
      </c>
      <c r="D1075" t="inlineStr">
        <is>
          <t>VÄRMLANDS LÄN</t>
        </is>
      </c>
      <c r="E1075" t="inlineStr">
        <is>
          <t>ÅRJÄNG</t>
        </is>
      </c>
      <c r="F1075" t="inlineStr">
        <is>
          <t>Övriga Aktiebolag</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2551-2025</t>
        </is>
      </c>
      <c r="B1076" s="1" t="n">
        <v>45674.63969907408</v>
      </c>
      <c r="C1076" s="1" t="n">
        <v>45886</v>
      </c>
      <c r="D1076" t="inlineStr">
        <is>
          <t>VÄRMLANDS LÄN</t>
        </is>
      </c>
      <c r="E1076" t="inlineStr">
        <is>
          <t>ÅRJÄNG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3848-2025</t>
        </is>
      </c>
      <c r="B1077" s="1" t="n">
        <v>45683</v>
      </c>
      <c r="C1077" s="1" t="n">
        <v>45886</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47833-2023</t>
        </is>
      </c>
      <c r="B1078" s="1" t="n">
        <v>45204.36287037037</v>
      </c>
      <c r="C1078" s="1" t="n">
        <v>45886</v>
      </c>
      <c r="D1078" t="inlineStr">
        <is>
          <t>VÄRMLANDS LÄN</t>
        </is>
      </c>
      <c r="E1078" t="inlineStr">
        <is>
          <t>ÅRJÄNG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18309-2025</t>
        </is>
      </c>
      <c r="B1079" s="1" t="n">
        <v>45762.44186342593</v>
      </c>
      <c r="C1079" s="1" t="n">
        <v>45886</v>
      </c>
      <c r="D1079" t="inlineStr">
        <is>
          <t>VÄRMLANDS LÄN</t>
        </is>
      </c>
      <c r="E1079" t="inlineStr">
        <is>
          <t>ÅRJÄNG</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40352-2023</t>
        </is>
      </c>
      <c r="B1080" s="1" t="n">
        <v>45168</v>
      </c>
      <c r="C1080" s="1" t="n">
        <v>45886</v>
      </c>
      <c r="D1080" t="inlineStr">
        <is>
          <t>VÄRMLANDS LÄN</t>
        </is>
      </c>
      <c r="E1080" t="inlineStr">
        <is>
          <t>ÅRJÄNG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6577-2025</t>
        </is>
      </c>
      <c r="B1081" s="1" t="n">
        <v>45699.87793981482</v>
      </c>
      <c r="C1081" s="1" t="n">
        <v>45886</v>
      </c>
      <c r="D1081" t="inlineStr">
        <is>
          <t>VÄRMLANDS LÄN</t>
        </is>
      </c>
      <c r="E1081" t="inlineStr">
        <is>
          <t>ÅRJÄNG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21557-2023</t>
        </is>
      </c>
      <c r="B1082" s="1" t="n">
        <v>45063.57524305556</v>
      </c>
      <c r="C1082" s="1" t="n">
        <v>45886</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55167-2024</t>
        </is>
      </c>
      <c r="B1083" s="1" t="n">
        <v>45621</v>
      </c>
      <c r="C1083" s="1" t="n">
        <v>45886</v>
      </c>
      <c r="D1083" t="inlineStr">
        <is>
          <t>VÄRMLANDS LÄN</t>
        </is>
      </c>
      <c r="E1083" t="inlineStr">
        <is>
          <t>ÅRJÄNG</t>
        </is>
      </c>
      <c r="F1083" t="inlineStr">
        <is>
          <t>Bergvik skog väst AB</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33017-2022</t>
        </is>
      </c>
      <c r="B1084" s="1" t="n">
        <v>44785.32934027778</v>
      </c>
      <c r="C1084" s="1" t="n">
        <v>45886</v>
      </c>
      <c r="D1084" t="inlineStr">
        <is>
          <t>VÄRMLANDS LÄN</t>
        </is>
      </c>
      <c r="E1084" t="inlineStr">
        <is>
          <t>ÅRJÄNG</t>
        </is>
      </c>
      <c r="F1084" t="inlineStr">
        <is>
          <t>Kyrkan</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14917-2025</t>
        </is>
      </c>
      <c r="B1085" s="1" t="n">
        <v>45743.53748842593</v>
      </c>
      <c r="C1085" s="1" t="n">
        <v>45886</v>
      </c>
      <c r="D1085" t="inlineStr">
        <is>
          <t>VÄRMLANDS LÄN</t>
        </is>
      </c>
      <c r="E1085" t="inlineStr">
        <is>
          <t>ÅRJÄNG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16383-2022</t>
        </is>
      </c>
      <c r="B1086" s="1" t="n">
        <v>44671</v>
      </c>
      <c r="C1086" s="1" t="n">
        <v>45886</v>
      </c>
      <c r="D1086" t="inlineStr">
        <is>
          <t>VÄRMLANDS LÄN</t>
        </is>
      </c>
      <c r="E1086" t="inlineStr">
        <is>
          <t>ÅRJÄNG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13620-2023</t>
        </is>
      </c>
      <c r="B1087" s="1" t="n">
        <v>45006</v>
      </c>
      <c r="C1087" s="1" t="n">
        <v>45886</v>
      </c>
      <c r="D1087" t="inlineStr">
        <is>
          <t>VÄRMLANDS LÄN</t>
        </is>
      </c>
      <c r="E1087" t="inlineStr">
        <is>
          <t>ÅRJÄNG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54950-2022</t>
        </is>
      </c>
      <c r="B1088" s="1" t="n">
        <v>44886</v>
      </c>
      <c r="C1088" s="1" t="n">
        <v>45886</v>
      </c>
      <c r="D1088" t="inlineStr">
        <is>
          <t>VÄRMLANDS LÄN</t>
        </is>
      </c>
      <c r="E1088" t="inlineStr">
        <is>
          <t>ÅRJÄNG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16666-2025</t>
        </is>
      </c>
      <c r="B1089" s="1" t="n">
        <v>45754</v>
      </c>
      <c r="C1089" s="1" t="n">
        <v>45886</v>
      </c>
      <c r="D1089" t="inlineStr">
        <is>
          <t>VÄRMLANDS LÄN</t>
        </is>
      </c>
      <c r="E1089" t="inlineStr">
        <is>
          <t>ÅRJÄNG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16806-2024</t>
        </is>
      </c>
      <c r="B1090" s="1" t="n">
        <v>45411.45510416666</v>
      </c>
      <c r="C1090" s="1" t="n">
        <v>45886</v>
      </c>
      <c r="D1090" t="inlineStr">
        <is>
          <t>VÄRMLANDS LÄN</t>
        </is>
      </c>
      <c r="E1090" t="inlineStr">
        <is>
          <t>ÅRJÄNG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1717-2025</t>
        </is>
      </c>
      <c r="B1091" s="1" t="n">
        <v>45671.32938657407</v>
      </c>
      <c r="C1091" s="1" t="n">
        <v>45886</v>
      </c>
      <c r="D1091" t="inlineStr">
        <is>
          <t>VÄRMLANDS LÄN</t>
        </is>
      </c>
      <c r="E1091" t="inlineStr">
        <is>
          <t>ÅRJÄNG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62240-2022</t>
        </is>
      </c>
      <c r="B1092" s="1" t="n">
        <v>44922</v>
      </c>
      <c r="C1092" s="1" t="n">
        <v>45886</v>
      </c>
      <c r="D1092" t="inlineStr">
        <is>
          <t>VÄRMLANDS LÄN</t>
        </is>
      </c>
      <c r="E1092" t="inlineStr">
        <is>
          <t>ÅRJÄNG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61873-2023</t>
        </is>
      </c>
      <c r="B1093" s="1" t="n">
        <v>45266.40989583333</v>
      </c>
      <c r="C1093" s="1" t="n">
        <v>45886</v>
      </c>
      <c r="D1093" t="inlineStr">
        <is>
          <t>VÄRMLANDS LÄN</t>
        </is>
      </c>
      <c r="E1093" t="inlineStr">
        <is>
          <t>ÅRJÄNG</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13871-2025</t>
        </is>
      </c>
      <c r="B1094" s="1" t="n">
        <v>45737.58568287037</v>
      </c>
      <c r="C1094" s="1" t="n">
        <v>45886</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12687-2025</t>
        </is>
      </c>
      <c r="B1095" s="1" t="n">
        <v>45733.44953703704</v>
      </c>
      <c r="C1095" s="1" t="n">
        <v>45886</v>
      </c>
      <c r="D1095" t="inlineStr">
        <is>
          <t>VÄRMLANDS LÄN</t>
        </is>
      </c>
      <c r="E1095" t="inlineStr">
        <is>
          <t>ÅRJÄNG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28260-2024</t>
        </is>
      </c>
      <c r="B1096" s="1" t="n">
        <v>45477</v>
      </c>
      <c r="C1096" s="1" t="n">
        <v>45886</v>
      </c>
      <c r="D1096" t="inlineStr">
        <is>
          <t>VÄRMLANDS LÄN</t>
        </is>
      </c>
      <c r="E1096" t="inlineStr">
        <is>
          <t>ÅRJÄNG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1560-2025</t>
        </is>
      </c>
      <c r="B1097" s="1" t="n">
        <v>45670.53878472222</v>
      </c>
      <c r="C1097" s="1" t="n">
        <v>45886</v>
      </c>
      <c r="D1097" t="inlineStr">
        <is>
          <t>VÄRMLANDS LÄN</t>
        </is>
      </c>
      <c r="E1097" t="inlineStr">
        <is>
          <t>ÅRJÄNG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30710-2023</t>
        </is>
      </c>
      <c r="B1098" s="1" t="n">
        <v>45112.59900462963</v>
      </c>
      <c r="C1098" s="1" t="n">
        <v>45886</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8255-2025</t>
        </is>
      </c>
      <c r="B1099" s="1" t="n">
        <v>45708.49788194444</v>
      </c>
      <c r="C1099" s="1" t="n">
        <v>45886</v>
      </c>
      <c r="D1099" t="inlineStr">
        <is>
          <t>VÄRMLANDS LÄN</t>
        </is>
      </c>
      <c r="E1099" t="inlineStr">
        <is>
          <t>ÅRJÄNG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34409-2023</t>
        </is>
      </c>
      <c r="B1100" s="1" t="n">
        <v>45139.56662037037</v>
      </c>
      <c r="C1100" s="1" t="n">
        <v>45886</v>
      </c>
      <c r="D1100" t="inlineStr">
        <is>
          <t>VÄRMLANDS LÄN</t>
        </is>
      </c>
      <c r="E1100" t="inlineStr">
        <is>
          <t>ÅRJÄNG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59746-2023</t>
        </is>
      </c>
      <c r="B1101" s="1" t="n">
        <v>45254</v>
      </c>
      <c r="C1101" s="1" t="n">
        <v>45886</v>
      </c>
      <c r="D1101" t="inlineStr">
        <is>
          <t>VÄRMLANDS LÄN</t>
        </is>
      </c>
      <c r="E1101" t="inlineStr">
        <is>
          <t>ÅRJÄNG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2222-2023</t>
        </is>
      </c>
      <c r="B1102" s="1" t="n">
        <v>44942.4250462963</v>
      </c>
      <c r="C1102" s="1" t="n">
        <v>45886</v>
      </c>
      <c r="D1102" t="inlineStr">
        <is>
          <t>VÄRMLANDS LÄN</t>
        </is>
      </c>
      <c r="E1102" t="inlineStr">
        <is>
          <t>ÅRJÄNG</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60192-2022</t>
        </is>
      </c>
      <c r="B1103" s="1" t="n">
        <v>44910.37239583334</v>
      </c>
      <c r="C1103" s="1" t="n">
        <v>45886</v>
      </c>
      <c r="D1103" t="inlineStr">
        <is>
          <t>VÄRMLANDS LÄN</t>
        </is>
      </c>
      <c r="E1103" t="inlineStr">
        <is>
          <t>ÅRJÄNG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29263-2023</t>
        </is>
      </c>
      <c r="B1104" s="1" t="n">
        <v>45105</v>
      </c>
      <c r="C1104" s="1" t="n">
        <v>45886</v>
      </c>
      <c r="D1104" t="inlineStr">
        <is>
          <t>VÄRMLANDS LÄN</t>
        </is>
      </c>
      <c r="E1104" t="inlineStr">
        <is>
          <t>ÅRJÄNG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55091-2023</t>
        </is>
      </c>
      <c r="B1105" s="1" t="n">
        <v>45237</v>
      </c>
      <c r="C1105" s="1" t="n">
        <v>45886</v>
      </c>
      <c r="D1105" t="inlineStr">
        <is>
          <t>VÄRMLANDS LÄN</t>
        </is>
      </c>
      <c r="E1105" t="inlineStr">
        <is>
          <t>ÅRJÄNG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55517-2023</t>
        </is>
      </c>
      <c r="B1106" s="1" t="n">
        <v>45232</v>
      </c>
      <c r="C1106" s="1" t="n">
        <v>45886</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20354-2023</t>
        </is>
      </c>
      <c r="B1107" s="1" t="n">
        <v>45056</v>
      </c>
      <c r="C1107" s="1" t="n">
        <v>45886</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32950-2024</t>
        </is>
      </c>
      <c r="B1108" s="1" t="n">
        <v>45517.36038194445</v>
      </c>
      <c r="C1108" s="1" t="n">
        <v>45886</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9425-2025</t>
        </is>
      </c>
      <c r="B1109" s="1" t="n">
        <v>45715.40350694444</v>
      </c>
      <c r="C1109" s="1" t="n">
        <v>45886</v>
      </c>
      <c r="D1109" t="inlineStr">
        <is>
          <t>VÄRMLANDS LÄN</t>
        </is>
      </c>
      <c r="E1109" t="inlineStr">
        <is>
          <t>ÅRJÄNG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6522-2021</t>
        </is>
      </c>
      <c r="B1110" s="1" t="n">
        <v>44236</v>
      </c>
      <c r="C1110" s="1" t="n">
        <v>45886</v>
      </c>
      <c r="D1110" t="inlineStr">
        <is>
          <t>VÄRMLANDS LÄN</t>
        </is>
      </c>
      <c r="E1110" t="inlineStr">
        <is>
          <t>ÅRJÄNG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13481-2025</t>
        </is>
      </c>
      <c r="B1111" s="1" t="n">
        <v>45736</v>
      </c>
      <c r="C1111" s="1" t="n">
        <v>45886</v>
      </c>
      <c r="D1111" t="inlineStr">
        <is>
          <t>VÄRMLANDS LÄN</t>
        </is>
      </c>
      <c r="E1111" t="inlineStr">
        <is>
          <t>ÅRJÄNG</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15210-2025</t>
        </is>
      </c>
      <c r="B1112" s="1" t="n">
        <v>45744</v>
      </c>
      <c r="C1112" s="1" t="n">
        <v>45886</v>
      </c>
      <c r="D1112" t="inlineStr">
        <is>
          <t>VÄRMLANDS LÄN</t>
        </is>
      </c>
      <c r="E1112" t="inlineStr">
        <is>
          <t>ÅRJÄNG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11136-2024</t>
        </is>
      </c>
      <c r="B1113" s="1" t="n">
        <v>45371</v>
      </c>
      <c r="C1113" s="1" t="n">
        <v>45886</v>
      </c>
      <c r="D1113" t="inlineStr">
        <is>
          <t>VÄRMLANDS LÄN</t>
        </is>
      </c>
      <c r="E1113" t="inlineStr">
        <is>
          <t>ÅRJÄNG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16112-2025</t>
        </is>
      </c>
      <c r="B1114" s="1" t="n">
        <v>45750.37240740741</v>
      </c>
      <c r="C1114" s="1" t="n">
        <v>45886</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5095-2023</t>
        </is>
      </c>
      <c r="B1115" s="1" t="n">
        <v>44953</v>
      </c>
      <c r="C1115" s="1" t="n">
        <v>45886</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5416-2025</t>
        </is>
      </c>
      <c r="B1116" s="1" t="n">
        <v>45692.67990740741</v>
      </c>
      <c r="C1116" s="1" t="n">
        <v>45886</v>
      </c>
      <c r="D1116" t="inlineStr">
        <is>
          <t>VÄRMLANDS LÄN</t>
        </is>
      </c>
      <c r="E1116" t="inlineStr">
        <is>
          <t>ÅRJÄNG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21996-2021</t>
        </is>
      </c>
      <c r="B1117" s="1" t="n">
        <v>44323</v>
      </c>
      <c r="C1117" s="1" t="n">
        <v>45886</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37325-2024</t>
        </is>
      </c>
      <c r="B1118" s="1" t="n">
        <v>45540</v>
      </c>
      <c r="C1118" s="1" t="n">
        <v>45886</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12659-2025</t>
        </is>
      </c>
      <c r="B1119" s="1" t="n">
        <v>45733.42350694445</v>
      </c>
      <c r="C1119" s="1" t="n">
        <v>45886</v>
      </c>
      <c r="D1119" t="inlineStr">
        <is>
          <t>VÄRMLANDS LÄN</t>
        </is>
      </c>
      <c r="E1119" t="inlineStr">
        <is>
          <t>ÅRJÄNG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58788-2024</t>
        </is>
      </c>
      <c r="B1120" s="1" t="n">
        <v>45635.96372685185</v>
      </c>
      <c r="C1120" s="1" t="n">
        <v>45886</v>
      </c>
      <c r="D1120" t="inlineStr">
        <is>
          <t>VÄRMLANDS LÄN</t>
        </is>
      </c>
      <c r="E1120" t="inlineStr">
        <is>
          <t>ÅRJÄNG</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48014-2023</t>
        </is>
      </c>
      <c r="B1121" s="1" t="n">
        <v>45198</v>
      </c>
      <c r="C1121" s="1" t="n">
        <v>45886</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60377-2023</t>
        </is>
      </c>
      <c r="B1122" s="1" t="n">
        <v>45259.40993055556</v>
      </c>
      <c r="C1122" s="1" t="n">
        <v>45886</v>
      </c>
      <c r="D1122" t="inlineStr">
        <is>
          <t>VÄRMLANDS LÄN</t>
        </is>
      </c>
      <c r="E1122" t="inlineStr">
        <is>
          <t>ÅRJÄNG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23334-2023</t>
        </is>
      </c>
      <c r="B1123" s="1" t="n">
        <v>45076</v>
      </c>
      <c r="C1123" s="1" t="n">
        <v>45886</v>
      </c>
      <c r="D1123" t="inlineStr">
        <is>
          <t>VÄRMLANDS LÄN</t>
        </is>
      </c>
      <c r="E1123" t="inlineStr">
        <is>
          <t>ÅRJÄNG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19843-2025</t>
        </is>
      </c>
      <c r="B1124" s="1" t="n">
        <v>45771</v>
      </c>
      <c r="C1124" s="1" t="n">
        <v>45886</v>
      </c>
      <c r="D1124" t="inlineStr">
        <is>
          <t>VÄRMLANDS LÄN</t>
        </is>
      </c>
      <c r="E1124" t="inlineStr">
        <is>
          <t>ÅRJÄNG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37353-2024</t>
        </is>
      </c>
      <c r="B1125" s="1" t="n">
        <v>45540</v>
      </c>
      <c r="C1125" s="1" t="n">
        <v>45886</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10681-2024</t>
        </is>
      </c>
      <c r="B1126" s="1" t="n">
        <v>45369.36349537037</v>
      </c>
      <c r="C1126" s="1" t="n">
        <v>45886</v>
      </c>
      <c r="D1126" t="inlineStr">
        <is>
          <t>VÄRMLANDS LÄN</t>
        </is>
      </c>
      <c r="E1126" t="inlineStr">
        <is>
          <t>ÅRJÄNG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54425-2021</t>
        </is>
      </c>
      <c r="B1127" s="1" t="n">
        <v>44459</v>
      </c>
      <c r="C1127" s="1" t="n">
        <v>45886</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11718-2024</t>
        </is>
      </c>
      <c r="B1128" s="1" t="n">
        <v>45373.63803240741</v>
      </c>
      <c r="C1128" s="1" t="n">
        <v>45886</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58769-2024</t>
        </is>
      </c>
      <c r="B1129" s="1" t="n">
        <v>45635.75688657408</v>
      </c>
      <c r="C1129" s="1" t="n">
        <v>45886</v>
      </c>
      <c r="D1129" t="inlineStr">
        <is>
          <t>VÄRMLANDS LÄN</t>
        </is>
      </c>
      <c r="E1129" t="inlineStr">
        <is>
          <t>ÅRJÄNG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42783-2024</t>
        </is>
      </c>
      <c r="B1130" s="1" t="n">
        <v>45566</v>
      </c>
      <c r="C1130" s="1" t="n">
        <v>45886</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3463-2025</t>
        </is>
      </c>
      <c r="B1131" s="1" t="n">
        <v>45680.49807870371</v>
      </c>
      <c r="C1131" s="1" t="n">
        <v>45886</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54900-2024</t>
        </is>
      </c>
      <c r="B1132" s="1" t="n">
        <v>45618.64770833333</v>
      </c>
      <c r="C1132" s="1" t="n">
        <v>45886</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36706-2024</t>
        </is>
      </c>
      <c r="B1133" s="1" t="n">
        <v>45537</v>
      </c>
      <c r="C1133" s="1" t="n">
        <v>45886</v>
      </c>
      <c r="D1133" t="inlineStr">
        <is>
          <t>VÄRMLANDS LÄN</t>
        </is>
      </c>
      <c r="E1133" t="inlineStr">
        <is>
          <t>ÅRJÄNG</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48781-2024</t>
        </is>
      </c>
      <c r="B1134" s="1" t="n">
        <v>45593</v>
      </c>
      <c r="C1134" s="1" t="n">
        <v>45886</v>
      </c>
      <c r="D1134" t="inlineStr">
        <is>
          <t>VÄRMLANDS LÄN</t>
        </is>
      </c>
      <c r="E1134" t="inlineStr">
        <is>
          <t>ÅRJÄNG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23940-2023</t>
        </is>
      </c>
      <c r="B1135" s="1" t="n">
        <v>45075</v>
      </c>
      <c r="C1135" s="1" t="n">
        <v>45886</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39536-2022</t>
        </is>
      </c>
      <c r="B1136" s="1" t="n">
        <v>44818</v>
      </c>
      <c r="C1136" s="1" t="n">
        <v>45886</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5095-2022</t>
        </is>
      </c>
      <c r="B1137" s="1" t="n">
        <v>44593.86192129629</v>
      </c>
      <c r="C1137" s="1" t="n">
        <v>45886</v>
      </c>
      <c r="D1137" t="inlineStr">
        <is>
          <t>VÄRMLANDS LÄN</t>
        </is>
      </c>
      <c r="E1137" t="inlineStr">
        <is>
          <t>ÅRJÄNG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13869-2025</t>
        </is>
      </c>
      <c r="B1138" s="1" t="n">
        <v>45737.58268518518</v>
      </c>
      <c r="C1138" s="1" t="n">
        <v>45886</v>
      </c>
      <c r="D1138" t="inlineStr">
        <is>
          <t>VÄRMLANDS LÄN</t>
        </is>
      </c>
      <c r="E1138" t="inlineStr">
        <is>
          <t>ÅRJÄNG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2-2024</t>
        </is>
      </c>
      <c r="B1139" s="1" t="n">
        <v>45292.54944444444</v>
      </c>
      <c r="C1139" s="1" t="n">
        <v>45886</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7995-2025</t>
        </is>
      </c>
      <c r="B1140" s="1" t="n">
        <v>45707.515625</v>
      </c>
      <c r="C1140" s="1" t="n">
        <v>45886</v>
      </c>
      <c r="D1140" t="inlineStr">
        <is>
          <t>VÄRMLANDS LÄN</t>
        </is>
      </c>
      <c r="E1140" t="inlineStr">
        <is>
          <t>ÅRJÄNG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7996-2025</t>
        </is>
      </c>
      <c r="B1141" s="1" t="n">
        <v>45707.52001157407</v>
      </c>
      <c r="C1141" s="1" t="n">
        <v>45886</v>
      </c>
      <c r="D1141" t="inlineStr">
        <is>
          <t>VÄRMLANDS LÄN</t>
        </is>
      </c>
      <c r="E1141" t="inlineStr">
        <is>
          <t>ÅRJÄNG</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58014-2022</t>
        </is>
      </c>
      <c r="B1142" s="1" t="n">
        <v>44893</v>
      </c>
      <c r="C1142" s="1" t="n">
        <v>45886</v>
      </c>
      <c r="D1142" t="inlineStr">
        <is>
          <t>VÄRMLANDS LÄN</t>
        </is>
      </c>
      <c r="E1142" t="inlineStr">
        <is>
          <t>ÅRJÄNG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74463-2021</t>
        </is>
      </c>
      <c r="B1143" s="1" t="n">
        <v>44560.5255787037</v>
      </c>
      <c r="C1143" s="1" t="n">
        <v>45886</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62963-2023</t>
        </is>
      </c>
      <c r="B1144" s="1" t="n">
        <v>45271</v>
      </c>
      <c r="C1144" s="1" t="n">
        <v>45886</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59479-2024</t>
        </is>
      </c>
      <c r="B1145" s="1" t="n">
        <v>45638.52420138889</v>
      </c>
      <c r="C1145" s="1" t="n">
        <v>45886</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34144-2022</t>
        </is>
      </c>
      <c r="B1146" s="1" t="n">
        <v>44791.55983796297</v>
      </c>
      <c r="C1146" s="1" t="n">
        <v>45886</v>
      </c>
      <c r="D1146" t="inlineStr">
        <is>
          <t>VÄRMLANDS LÄN</t>
        </is>
      </c>
      <c r="E1146" t="inlineStr">
        <is>
          <t>ÅRJÄNG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27045-2021</t>
        </is>
      </c>
      <c r="B1147" s="1" t="n">
        <v>44350.43223379629</v>
      </c>
      <c r="C1147" s="1" t="n">
        <v>45886</v>
      </c>
      <c r="D1147" t="inlineStr">
        <is>
          <t>VÄRMLANDS LÄN</t>
        </is>
      </c>
      <c r="E1147" t="inlineStr">
        <is>
          <t>ÅRJÄNG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61814-2024</t>
        </is>
      </c>
      <c r="B1148" s="1" t="n">
        <v>45646</v>
      </c>
      <c r="C1148" s="1" t="n">
        <v>45886</v>
      </c>
      <c r="D1148" t="inlineStr">
        <is>
          <t>VÄRMLANDS LÄN</t>
        </is>
      </c>
      <c r="E1148" t="inlineStr">
        <is>
          <t>ÅRJÄNG</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15575-2025</t>
        </is>
      </c>
      <c r="B1149" s="1" t="n">
        <v>45747</v>
      </c>
      <c r="C1149" s="1" t="n">
        <v>45886</v>
      </c>
      <c r="D1149" t="inlineStr">
        <is>
          <t>VÄRMLANDS LÄN</t>
        </is>
      </c>
      <c r="E1149" t="inlineStr">
        <is>
          <t>ÅRJÄNG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15577-2025</t>
        </is>
      </c>
      <c r="B1150" s="1" t="n">
        <v>45747</v>
      </c>
      <c r="C1150" s="1" t="n">
        <v>45886</v>
      </c>
      <c r="D1150" t="inlineStr">
        <is>
          <t>VÄRMLANDS LÄN</t>
        </is>
      </c>
      <c r="E1150" t="inlineStr">
        <is>
          <t>ÅRJÄNG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1929-2025</t>
        </is>
      </c>
      <c r="B1151" s="1" t="n">
        <v>45671.73023148148</v>
      </c>
      <c r="C1151" s="1" t="n">
        <v>45886</v>
      </c>
      <c r="D1151" t="inlineStr">
        <is>
          <t>VÄRMLANDS LÄN</t>
        </is>
      </c>
      <c r="E1151" t="inlineStr">
        <is>
          <t>ÅRJÄNG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36018-2024</t>
        </is>
      </c>
      <c r="B1152" s="1" t="n">
        <v>45533</v>
      </c>
      <c r="C1152" s="1" t="n">
        <v>45886</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36035-2024</t>
        </is>
      </c>
      <c r="B1153" s="1" t="n">
        <v>45533.59534722222</v>
      </c>
      <c r="C1153" s="1" t="n">
        <v>45886</v>
      </c>
      <c r="D1153" t="inlineStr">
        <is>
          <t>VÄRMLANDS LÄN</t>
        </is>
      </c>
      <c r="E1153" t="inlineStr">
        <is>
          <t>ÅRJÄNG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23871-2023</t>
        </is>
      </c>
      <c r="B1154" s="1" t="n">
        <v>45078</v>
      </c>
      <c r="C1154" s="1" t="n">
        <v>45886</v>
      </c>
      <c r="D1154" t="inlineStr">
        <is>
          <t>VÄRMLANDS LÄN</t>
        </is>
      </c>
      <c r="E1154" t="inlineStr">
        <is>
          <t>ÅRJÄNG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6646-2025</t>
        </is>
      </c>
      <c r="B1155" s="1" t="n">
        <v>45700</v>
      </c>
      <c r="C1155" s="1" t="n">
        <v>45886</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15237-2025</t>
        </is>
      </c>
      <c r="B1156" s="1" t="n">
        <v>45744</v>
      </c>
      <c r="C1156" s="1" t="n">
        <v>45886</v>
      </c>
      <c r="D1156" t="inlineStr">
        <is>
          <t>VÄRMLANDS LÄN</t>
        </is>
      </c>
      <c r="E1156" t="inlineStr">
        <is>
          <t>ÅRJÄNG</t>
        </is>
      </c>
      <c r="G1156" t="n">
        <v>29.5</v>
      </c>
      <c r="H1156" t="n">
        <v>0</v>
      </c>
      <c r="I1156" t="n">
        <v>0</v>
      </c>
      <c r="J1156" t="n">
        <v>0</v>
      </c>
      <c r="K1156" t="n">
        <v>0</v>
      </c>
      <c r="L1156" t="n">
        <v>0</v>
      </c>
      <c r="M1156" t="n">
        <v>0</v>
      </c>
      <c r="N1156" t="n">
        <v>0</v>
      </c>
      <c r="O1156" t="n">
        <v>0</v>
      </c>
      <c r="P1156" t="n">
        <v>0</v>
      </c>
      <c r="Q1156" t="n">
        <v>0</v>
      </c>
      <c r="R1156" s="2" t="inlineStr"/>
    </row>
    <row r="1157" ht="15" customHeight="1">
      <c r="A1157" t="inlineStr">
        <is>
          <t>A 58152-2024</t>
        </is>
      </c>
      <c r="B1157" s="1" t="n">
        <v>45632.43947916666</v>
      </c>
      <c r="C1157" s="1" t="n">
        <v>45886</v>
      </c>
      <c r="D1157" t="inlineStr">
        <is>
          <t>VÄRMLANDS LÄN</t>
        </is>
      </c>
      <c r="E1157" t="inlineStr">
        <is>
          <t>ÅRJÄNG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48805-2022</t>
        </is>
      </c>
      <c r="B1158" s="1" t="n">
        <v>44854</v>
      </c>
      <c r="C1158" s="1" t="n">
        <v>45886</v>
      </c>
      <c r="D1158" t="inlineStr">
        <is>
          <t>VÄRMLANDS LÄN</t>
        </is>
      </c>
      <c r="E1158" t="inlineStr">
        <is>
          <t>ÅRJÄNG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10625-2025</t>
        </is>
      </c>
      <c r="B1159" s="1" t="n">
        <v>45721</v>
      </c>
      <c r="C1159" s="1" t="n">
        <v>45886</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10627-2025</t>
        </is>
      </c>
      <c r="B1160" s="1" t="n">
        <v>45721</v>
      </c>
      <c r="C1160" s="1" t="n">
        <v>45886</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6354-2024</t>
        </is>
      </c>
      <c r="B1161" s="1" t="n">
        <v>45338.46987268519</v>
      </c>
      <c r="C1161" s="1" t="n">
        <v>45886</v>
      </c>
      <c r="D1161" t="inlineStr">
        <is>
          <t>VÄRMLANDS LÄN</t>
        </is>
      </c>
      <c r="E1161" t="inlineStr">
        <is>
          <t>ÅRJÄNG</t>
        </is>
      </c>
      <c r="F1161" t="inlineStr">
        <is>
          <t>Bergvik skog väst AB</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3471-2023</t>
        </is>
      </c>
      <c r="B1162" s="1" t="n">
        <v>44949</v>
      </c>
      <c r="C1162" s="1" t="n">
        <v>45886</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59617-2022</t>
        </is>
      </c>
      <c r="B1163" s="1" t="n">
        <v>44907</v>
      </c>
      <c r="C1163" s="1" t="n">
        <v>45886</v>
      </c>
      <c r="D1163" t="inlineStr">
        <is>
          <t>VÄRMLANDS LÄN</t>
        </is>
      </c>
      <c r="E1163" t="inlineStr">
        <is>
          <t>ÅRJÄNG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21519-2024</t>
        </is>
      </c>
      <c r="B1164" s="1" t="n">
        <v>45441</v>
      </c>
      <c r="C1164" s="1" t="n">
        <v>45886</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59887-2023</t>
        </is>
      </c>
      <c r="B1165" s="1" t="n">
        <v>45257.59917824074</v>
      </c>
      <c r="C1165" s="1" t="n">
        <v>45886</v>
      </c>
      <c r="D1165" t="inlineStr">
        <is>
          <t>VÄRMLANDS LÄN</t>
        </is>
      </c>
      <c r="E1165" t="inlineStr">
        <is>
          <t>ÅRJÄNG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11776-2025</t>
        </is>
      </c>
      <c r="B1166" s="1" t="n">
        <v>45727.70334490741</v>
      </c>
      <c r="C1166" s="1" t="n">
        <v>45886</v>
      </c>
      <c r="D1166" t="inlineStr">
        <is>
          <t>VÄRMLANDS LÄN</t>
        </is>
      </c>
      <c r="E1166" t="inlineStr">
        <is>
          <t>ÅRJÄNG</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37382-2024</t>
        </is>
      </c>
      <c r="B1167" s="1" t="n">
        <v>45540</v>
      </c>
      <c r="C1167" s="1" t="n">
        <v>45886</v>
      </c>
      <c r="D1167" t="inlineStr">
        <is>
          <t>VÄRMLANDS LÄN</t>
        </is>
      </c>
      <c r="E1167" t="inlineStr">
        <is>
          <t>ÅRJÄNG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65171-2023</t>
        </is>
      </c>
      <c r="B1168" s="1" t="n">
        <v>45288.71099537037</v>
      </c>
      <c r="C1168" s="1" t="n">
        <v>45886</v>
      </c>
      <c r="D1168" t="inlineStr">
        <is>
          <t>VÄRMLANDS LÄN</t>
        </is>
      </c>
      <c r="E1168" t="inlineStr">
        <is>
          <t>ÅRJÄNG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59071-2024</t>
        </is>
      </c>
      <c r="B1169" s="1" t="n">
        <v>45636.96637731481</v>
      </c>
      <c r="C1169" s="1" t="n">
        <v>45886</v>
      </c>
      <c r="D1169" t="inlineStr">
        <is>
          <t>VÄRMLANDS LÄN</t>
        </is>
      </c>
      <c r="E1169" t="inlineStr">
        <is>
          <t>ÅRJÄNG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59073-2024</t>
        </is>
      </c>
      <c r="B1170" s="1" t="n">
        <v>45636.97232638889</v>
      </c>
      <c r="C1170" s="1" t="n">
        <v>45886</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28864-2023</t>
        </is>
      </c>
      <c r="B1171" s="1" t="n">
        <v>45104</v>
      </c>
      <c r="C1171" s="1" t="n">
        <v>45886</v>
      </c>
      <c r="D1171" t="inlineStr">
        <is>
          <t>VÄRMLANDS LÄN</t>
        </is>
      </c>
      <c r="E1171" t="inlineStr">
        <is>
          <t>ÅRJÄNG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20337-2023</t>
        </is>
      </c>
      <c r="B1172" s="1" t="n">
        <v>45056.48157407407</v>
      </c>
      <c r="C1172" s="1" t="n">
        <v>45886</v>
      </c>
      <c r="D1172" t="inlineStr">
        <is>
          <t>VÄRMLANDS LÄN</t>
        </is>
      </c>
      <c r="E1172" t="inlineStr">
        <is>
          <t>ÅRJÄNG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10117-2023</t>
        </is>
      </c>
      <c r="B1173" s="1" t="n">
        <v>44986.34331018518</v>
      </c>
      <c r="C1173" s="1" t="n">
        <v>45886</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42045-2024</t>
        </is>
      </c>
      <c r="B1174" s="1" t="n">
        <v>45561</v>
      </c>
      <c r="C1174" s="1" t="n">
        <v>45886</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15579-2025</t>
        </is>
      </c>
      <c r="B1175" s="1" t="n">
        <v>45747</v>
      </c>
      <c r="C1175" s="1" t="n">
        <v>45886</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25495-2024</t>
        </is>
      </c>
      <c r="B1176" s="1" t="n">
        <v>45463</v>
      </c>
      <c r="C1176" s="1" t="n">
        <v>45886</v>
      </c>
      <c r="D1176" t="inlineStr">
        <is>
          <t>VÄRMLANDS LÄN</t>
        </is>
      </c>
      <c r="E1176" t="inlineStr">
        <is>
          <t>ÅRJÄNG</t>
        </is>
      </c>
      <c r="F1176" t="inlineStr">
        <is>
          <t>Kyrkan</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15303-2025</t>
        </is>
      </c>
      <c r="B1177" s="1" t="n">
        <v>45746</v>
      </c>
      <c r="C1177" s="1" t="n">
        <v>45886</v>
      </c>
      <c r="D1177" t="inlineStr">
        <is>
          <t>VÄRMLANDS LÄN</t>
        </is>
      </c>
      <c r="E1177" t="inlineStr">
        <is>
          <t>ÅRJÄNG</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11401-2025</t>
        </is>
      </c>
      <c r="B1178" s="1" t="n">
        <v>45726</v>
      </c>
      <c r="C1178" s="1" t="n">
        <v>45886</v>
      </c>
      <c r="D1178" t="inlineStr">
        <is>
          <t>VÄRMLANDS LÄN</t>
        </is>
      </c>
      <c r="E1178" t="inlineStr">
        <is>
          <t>ÅRJÄNG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11793-2023</t>
        </is>
      </c>
      <c r="B1179" s="1" t="n">
        <v>44993</v>
      </c>
      <c r="C1179" s="1" t="n">
        <v>45886</v>
      </c>
      <c r="D1179" t="inlineStr">
        <is>
          <t>VÄRMLANDS LÄN</t>
        </is>
      </c>
      <c r="E1179" t="inlineStr">
        <is>
          <t>ÅRJÄNG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58789-2024</t>
        </is>
      </c>
      <c r="B1180" s="1" t="n">
        <v>45635.98438657408</v>
      </c>
      <c r="C1180" s="1" t="n">
        <v>45886</v>
      </c>
      <c r="D1180" t="inlineStr">
        <is>
          <t>VÄRMLANDS LÄN</t>
        </is>
      </c>
      <c r="E1180" t="inlineStr">
        <is>
          <t>ÅRJÄNG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14788-2025</t>
        </is>
      </c>
      <c r="B1181" s="1" t="n">
        <v>45742.78112268518</v>
      </c>
      <c r="C1181" s="1" t="n">
        <v>45886</v>
      </c>
      <c r="D1181" t="inlineStr">
        <is>
          <t>VÄRMLANDS LÄN</t>
        </is>
      </c>
      <c r="E1181" t="inlineStr">
        <is>
          <t>ÅRJÄNG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32550-2024</t>
        </is>
      </c>
      <c r="B1182" s="1" t="n">
        <v>45513.50606481481</v>
      </c>
      <c r="C1182" s="1" t="n">
        <v>45886</v>
      </c>
      <c r="D1182" t="inlineStr">
        <is>
          <t>VÄRMLANDS LÄN</t>
        </is>
      </c>
      <c r="E1182" t="inlineStr">
        <is>
          <t>ÅRJÄNG</t>
        </is>
      </c>
      <c r="F1182" t="inlineStr">
        <is>
          <t>Bergvik skog väst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22032-2023</t>
        </is>
      </c>
      <c r="B1183" s="1" t="n">
        <v>45069.35378472223</v>
      </c>
      <c r="C1183" s="1" t="n">
        <v>45886</v>
      </c>
      <c r="D1183" t="inlineStr">
        <is>
          <t>VÄRMLANDS LÄN</t>
        </is>
      </c>
      <c r="E1183" t="inlineStr">
        <is>
          <t>ÅRJÄNG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32367-2023</t>
        </is>
      </c>
      <c r="B1184" s="1" t="n">
        <v>45120.57167824074</v>
      </c>
      <c r="C1184" s="1" t="n">
        <v>45886</v>
      </c>
      <c r="D1184" t="inlineStr">
        <is>
          <t>VÄRMLANDS LÄN</t>
        </is>
      </c>
      <c r="E1184" t="inlineStr">
        <is>
          <t>ÅRJÄNG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32373-2023</t>
        </is>
      </c>
      <c r="B1185" s="1" t="n">
        <v>45120.58025462963</v>
      </c>
      <c r="C1185" s="1" t="n">
        <v>45886</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46319-2024</t>
        </is>
      </c>
      <c r="B1186" s="1" t="n">
        <v>45581.760625</v>
      </c>
      <c r="C1186" s="1" t="n">
        <v>45886</v>
      </c>
      <c r="D1186" t="inlineStr">
        <is>
          <t>VÄRMLANDS LÄN</t>
        </is>
      </c>
      <c r="E1186" t="inlineStr">
        <is>
          <t>ÅRJÄNG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56682-2021</t>
        </is>
      </c>
      <c r="B1187" s="1" t="n">
        <v>44481</v>
      </c>
      <c r="C1187" s="1" t="n">
        <v>45886</v>
      </c>
      <c r="D1187" t="inlineStr">
        <is>
          <t>VÄRMLANDS LÄN</t>
        </is>
      </c>
      <c r="E1187" t="inlineStr">
        <is>
          <t>ÅRJÄNG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15230-2025</t>
        </is>
      </c>
      <c r="B1188" s="1" t="n">
        <v>45744</v>
      </c>
      <c r="C1188" s="1" t="n">
        <v>45886</v>
      </c>
      <c r="D1188" t="inlineStr">
        <is>
          <t>VÄRMLANDS LÄN</t>
        </is>
      </c>
      <c r="E1188" t="inlineStr">
        <is>
          <t>ÅRJÄNG</t>
        </is>
      </c>
      <c r="G1188" t="n">
        <v>17.1</v>
      </c>
      <c r="H1188" t="n">
        <v>0</v>
      </c>
      <c r="I1188" t="n">
        <v>0</v>
      </c>
      <c r="J1188" t="n">
        <v>0</v>
      </c>
      <c r="K1188" t="n">
        <v>0</v>
      </c>
      <c r="L1188" t="n">
        <v>0</v>
      </c>
      <c r="M1188" t="n">
        <v>0</v>
      </c>
      <c r="N1188" t="n">
        <v>0</v>
      </c>
      <c r="O1188" t="n">
        <v>0</v>
      </c>
      <c r="P1188" t="n">
        <v>0</v>
      </c>
      <c r="Q1188" t="n">
        <v>0</v>
      </c>
      <c r="R1188" s="2" t="inlineStr"/>
    </row>
    <row r="1189" ht="15" customHeight="1">
      <c r="A1189" t="inlineStr">
        <is>
          <t>A 20372-2025</t>
        </is>
      </c>
      <c r="B1189" s="1" t="n">
        <v>45775.42027777778</v>
      </c>
      <c r="C1189" s="1" t="n">
        <v>45886</v>
      </c>
      <c r="D1189" t="inlineStr">
        <is>
          <t>VÄRMLANDS LÄN</t>
        </is>
      </c>
      <c r="E1189" t="inlineStr">
        <is>
          <t>ÅRJÄNG</t>
        </is>
      </c>
      <c r="G1189" t="n">
        <v>0.8</v>
      </c>
      <c r="H1189" t="n">
        <v>0</v>
      </c>
      <c r="I1189" t="n">
        <v>0</v>
      </c>
      <c r="J1189" t="n">
        <v>0</v>
      </c>
      <c r="K1189" t="n">
        <v>0</v>
      </c>
      <c r="L1189" t="n">
        <v>0</v>
      </c>
      <c r="M1189" t="n">
        <v>0</v>
      </c>
      <c r="N1189" t="n">
        <v>0</v>
      </c>
      <c r="O1189" t="n">
        <v>0</v>
      </c>
      <c r="P1189" t="n">
        <v>0</v>
      </c>
      <c r="Q1189" t="n">
        <v>0</v>
      </c>
      <c r="R1189" s="2" t="inlineStr"/>
    </row>
    <row r="1190">
      <c r="A1190" t="inlineStr">
        <is>
          <t>A 45634-2023</t>
        </is>
      </c>
      <c r="B1190" s="1" t="n">
        <v>45194</v>
      </c>
      <c r="C1190" s="1" t="n">
        <v>45886</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2025-08-17T08:32:11Z</dcterms:created>
  <dcterms:modified xmlns:dcterms="http://purl.org/dc/terms/" xmlns:xsi="http://www.w3.org/2001/XMLSchema-instance" xsi:type="dcterms:W3CDTF">2025-08-17T08:32:12Z</dcterms:modified>
</cp:coreProperties>
</file>