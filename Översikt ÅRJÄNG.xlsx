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46220</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46220</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46220</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46220</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46220</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46220</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46220</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46220</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46220</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46220</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s="2" t="inlineStr">
        <is>
          <t>Knärot
Dropptaggsvamp
Lunglav
Motaggsvamp
Talltita
Blåmossa
Kungsfågel</t>
        </is>
      </c>
      <c r="V11">
        <f>HYPERLINK("https://klasma.github.io/Logging_1765/artfynd/A 7996-2025 artfynd.xlsx", "A 7996-2025")</f>
        <v/>
      </c>
      <c r="W11">
        <f>HYPERLINK("https://klasma.github.io/Logging_1765/kartor/A 7996-2025 karta.png", "A 7996-2025")</f>
        <v/>
      </c>
      <c r="X11">
        <f>HYPERLINK("https://klasma.github.io/Logging_1765/knärot/A 7996-2025 karta knärot.png", "A 7996-2025")</f>
        <v/>
      </c>
      <c r="Y11">
        <f>HYPERLINK("https://klasma.github.io/Logging_1765/klagomål/A 7996-2025 FSC-klagomål.docx", "A 7996-2025")</f>
        <v/>
      </c>
      <c r="Z11">
        <f>HYPERLINK("https://klasma.github.io/Logging_1765/klagomålsmail/A 7996-2025 FSC-klagomål mail.docx", "A 7996-2025")</f>
        <v/>
      </c>
      <c r="AA11">
        <f>HYPERLINK("https://klasma.github.io/Logging_1765/tillsyn/A 7996-2025 tillsynsbegäran.docx", "A 7996-2025")</f>
        <v/>
      </c>
      <c r="AB11">
        <f>HYPERLINK("https://klasma.github.io/Logging_1765/tillsynsmail/A 7996-2025 tillsynsbegäran mail.docx", "A 7996-2025")</f>
        <v/>
      </c>
      <c r="AC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46220</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s="2" t="inlineStr">
        <is>
          <t>Dofttaggsvamp
Dropptaggsvamp
Tallticka
Talltita
Blåmossa
Spillkråka
Kungsfågel</t>
        </is>
      </c>
      <c r="V12">
        <f>HYPERLINK("https://klasma.github.io/Logging_1765/artfynd/A 8002-2025 artfynd.xlsx", "A 8002-2025")</f>
        <v/>
      </c>
      <c r="W12">
        <f>HYPERLINK("https://klasma.github.io/Logging_1765/kartor/A 8002-2025 karta.png", "A 8002-2025")</f>
        <v/>
      </c>
      <c r="Y12">
        <f>HYPERLINK("https://klasma.github.io/Logging_1765/klagomål/A 8002-2025 FSC-klagomål.docx", "A 8002-2025")</f>
        <v/>
      </c>
      <c r="Z12">
        <f>HYPERLINK("https://klasma.github.io/Logging_1765/klagomålsmail/A 8002-2025 FSC-klagomål mail.docx", "A 8002-2025")</f>
        <v/>
      </c>
      <c r="AA12">
        <f>HYPERLINK("https://klasma.github.io/Logging_1765/tillsyn/A 8002-2025 tillsynsbegäran.docx", "A 8002-2025")</f>
        <v/>
      </c>
      <c r="AB12">
        <f>HYPERLINK("https://klasma.github.io/Logging_1765/tillsynsmail/A 8002-2025 tillsynsbegäran mail.docx", "A 8002-2025")</f>
        <v/>
      </c>
      <c r="AC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46220</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46220</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46220</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46220</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s="2" t="inlineStr">
        <is>
          <t>Gränsticka
Knärot
Bårdlav
Spillkråka
Gröngöling</t>
        </is>
      </c>
      <c r="V16">
        <f>HYPERLINK("https://klasma.github.io/Logging_1765/artfynd/A 37401-2025 artfynd.xlsx", "A 37401-2025")</f>
        <v/>
      </c>
      <c r="W16">
        <f>HYPERLINK("https://klasma.github.io/Logging_1765/kartor/A 37401-2025 karta.png", "A 37401-2025")</f>
        <v/>
      </c>
      <c r="X16">
        <f>HYPERLINK("https://klasma.github.io/Logging_1765/knärot/A 37401-2025 karta knärot.png", "A 37401-2025")</f>
        <v/>
      </c>
      <c r="Y16">
        <f>HYPERLINK("https://klasma.github.io/Logging_1765/klagomål/A 37401-2025 FSC-klagomål.docx", "A 37401-2025")</f>
        <v/>
      </c>
      <c r="Z16">
        <f>HYPERLINK("https://klasma.github.io/Logging_1765/klagomålsmail/A 37401-2025 FSC-klagomål mail.docx", "A 37401-2025")</f>
        <v/>
      </c>
      <c r="AA16">
        <f>HYPERLINK("https://klasma.github.io/Logging_1765/tillsyn/A 37401-2025 tillsynsbegäran.docx", "A 37401-2025")</f>
        <v/>
      </c>
      <c r="AB16">
        <f>HYPERLINK("https://klasma.github.io/Logging_1765/tillsynsmail/A 37401-2025 tillsynsbegäran mail.docx", "A 37401-2025")</f>
        <v/>
      </c>
      <c r="AC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46220</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s="2" t="inlineStr">
        <is>
          <t>Gul taggsvamp
Knärot
Dropptaggsvamp
Talltita
Tjäder</t>
        </is>
      </c>
      <c r="V17">
        <f>HYPERLINK("https://klasma.github.io/Logging_1765/artfynd/A 44271-2023 artfynd.xlsx", "A 44271-2023")</f>
        <v/>
      </c>
      <c r="W17">
        <f>HYPERLINK("https://klasma.github.io/Logging_1765/kartor/A 44271-2023 karta.png", "A 44271-2023")</f>
        <v/>
      </c>
      <c r="X17">
        <f>HYPERLINK("https://klasma.github.io/Logging_1765/knärot/A 44271-2023 karta knärot.png", "A 44271-2023")</f>
        <v/>
      </c>
      <c r="Y17">
        <f>HYPERLINK("https://klasma.github.io/Logging_1765/klagomål/A 44271-2023 FSC-klagomål.docx", "A 44271-2023")</f>
        <v/>
      </c>
      <c r="Z17">
        <f>HYPERLINK("https://klasma.github.io/Logging_1765/klagomålsmail/A 44271-2023 FSC-klagomål mail.docx", "A 44271-2023")</f>
        <v/>
      </c>
      <c r="AA17">
        <f>HYPERLINK("https://klasma.github.io/Logging_1765/tillsyn/A 44271-2023 tillsynsbegäran.docx", "A 44271-2023")</f>
        <v/>
      </c>
      <c r="AB17">
        <f>HYPERLINK("https://klasma.github.io/Logging_1765/tillsynsmail/A 44271-2023 tillsynsbegäran mail.docx", "A 44271-2023")</f>
        <v/>
      </c>
      <c r="AC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46220</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s="2" t="inlineStr">
        <is>
          <t>Vårärt
Dvärghäxört
Kransrams
Strutbräken
Svart trolldruva</t>
        </is>
      </c>
      <c r="V18">
        <f>HYPERLINK("https://klasma.github.io/Logging_1765/artfynd/A 31155-2026 artfynd.xlsx", "A 31155-2026")</f>
        <v/>
      </c>
      <c r="W18">
        <f>HYPERLINK("https://klasma.github.io/Logging_1765/kartor/A 31155-2026 karta.png", "A 31155-2026")</f>
        <v/>
      </c>
      <c r="Y18">
        <f>HYPERLINK("https://klasma.github.io/Logging_1765/klagomål/A 31155-2026 FSC-klagomål.docx", "A 31155-2026")</f>
        <v/>
      </c>
      <c r="Z18">
        <f>HYPERLINK("https://klasma.github.io/Logging_1765/klagomålsmail/A 31155-2026 FSC-klagomål mail.docx", "A 31155-2026")</f>
        <v/>
      </c>
      <c r="AA18">
        <f>HYPERLINK("https://klasma.github.io/Logging_1765/tillsyn/A 31155-2026 tillsynsbegäran.docx", "A 31155-2026")</f>
        <v/>
      </c>
      <c r="AB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46220</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s="2" t="inlineStr">
        <is>
          <t>Garnlav
Knärot
Tretåig hackspett
Plattlummer
Spillkråka</t>
        </is>
      </c>
      <c r="V19">
        <f>HYPERLINK("https://klasma.github.io/Logging_1765/artfynd/A 60668-2023 artfynd.xlsx", "A 60668-2023")</f>
        <v/>
      </c>
      <c r="W19">
        <f>HYPERLINK("https://klasma.github.io/Logging_1765/kartor/A 60668-2023 karta.png", "A 60668-2023")</f>
        <v/>
      </c>
      <c r="X19">
        <f>HYPERLINK("https://klasma.github.io/Logging_1765/knärot/A 60668-2023 karta knärot.png", "A 60668-2023")</f>
        <v/>
      </c>
      <c r="Y19">
        <f>HYPERLINK("https://klasma.github.io/Logging_1765/klagomål/A 60668-2023 FSC-klagomål.docx", "A 60668-2023")</f>
        <v/>
      </c>
      <c r="Z19">
        <f>HYPERLINK("https://klasma.github.io/Logging_1765/klagomålsmail/A 60668-2023 FSC-klagomål mail.docx", "A 60668-2023")</f>
        <v/>
      </c>
      <c r="AA19">
        <f>HYPERLINK("https://klasma.github.io/Logging_1765/tillsyn/A 60668-2023 tillsynsbegäran.docx", "A 60668-2023")</f>
        <v/>
      </c>
      <c r="AB19">
        <f>HYPERLINK("https://klasma.github.io/Logging_1765/tillsynsmail/A 60668-2023 tillsynsbegäran mail.docx", "A 60668-2023")</f>
        <v/>
      </c>
      <c r="AC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46220</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s="2" t="inlineStr">
        <is>
          <t>Knärot
Vedticka
Mattlummer
Revlummer</t>
        </is>
      </c>
      <c r="V20">
        <f>HYPERLINK("https://klasma.github.io/Logging_1765/artfynd/A 11156-2024 artfynd.xlsx", "A 11156-2024")</f>
        <v/>
      </c>
      <c r="W20">
        <f>HYPERLINK("https://klasma.github.io/Logging_1765/kartor/A 11156-2024 karta.png", "A 11156-2024")</f>
        <v/>
      </c>
      <c r="X20">
        <f>HYPERLINK("https://klasma.github.io/Logging_1765/knärot/A 11156-2024 karta knärot.png", "A 11156-2024")</f>
        <v/>
      </c>
      <c r="Y20">
        <f>HYPERLINK("https://klasma.github.io/Logging_1765/klagomål/A 11156-2024 FSC-klagomål.docx", "A 11156-2024")</f>
        <v/>
      </c>
      <c r="Z20">
        <f>HYPERLINK("https://klasma.github.io/Logging_1765/klagomålsmail/A 11156-2024 FSC-klagomål mail.docx", "A 11156-2024")</f>
        <v/>
      </c>
      <c r="AA20">
        <f>HYPERLINK("https://klasma.github.io/Logging_1765/tillsyn/A 11156-2024 tillsynsbegäran.docx", "A 11156-2024")</f>
        <v/>
      </c>
      <c r="AB20">
        <f>HYPERLINK("https://klasma.github.io/Logging_1765/tillsynsmail/A 11156-2024 tillsynsbegäran mail.docx", "A 11156-2024")</f>
        <v/>
      </c>
    </row>
    <row r="21" ht="15" customHeight="1">
      <c r="A21" t="inlineStr">
        <is>
          <t>A 53216-2025</t>
        </is>
      </c>
      <c r="B21" t="inlineStr">
        <is>
          <t>avverkningsanmälan</t>
        </is>
      </c>
      <c r="C21" t="inlineStr">
        <is>
          <t>Föryngringsavverkning</t>
        </is>
      </c>
      <c r="D21" s="1" t="n">
        <v>45958</v>
      </c>
      <c r="E21" s="1" t="n">
        <v>46220</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s="2" t="inlineStr">
        <is>
          <t>Garnlav
Gul taggsvamp
Knärot
Dropptaggsvamp</t>
        </is>
      </c>
      <c r="V21">
        <f>HYPERLINK("https://klasma.github.io/Logging_1765/artfynd/A 53216-2025 artfynd.xlsx", "A 53216-2025")</f>
        <v/>
      </c>
      <c r="W21">
        <f>HYPERLINK("https://klasma.github.io/Logging_1765/kartor/A 53216-2025 karta.png", "A 53216-2025")</f>
        <v/>
      </c>
      <c r="X21">
        <f>HYPERLINK("https://klasma.github.io/Logging_1765/knärot/A 53216-2025 karta knärot.png", "A 53216-2025")</f>
        <v/>
      </c>
      <c r="Y21">
        <f>HYPERLINK("https://klasma.github.io/Logging_1765/klagomål/A 53216-2025 FSC-klagomål.docx", "A 53216-2025")</f>
        <v/>
      </c>
      <c r="Z21">
        <f>HYPERLINK("https://klasma.github.io/Logging_1765/klagomålsmail/A 53216-2025 FSC-klagomål mail.docx", "A 53216-2025")</f>
        <v/>
      </c>
      <c r="AA21">
        <f>HYPERLINK("https://klasma.github.io/Logging_1765/tillsyn/A 53216-2025 tillsynsbegäran.docx", "A 53216-2025")</f>
        <v/>
      </c>
      <c r="AB21">
        <f>HYPERLINK("https://klasma.github.io/Logging_1765/tillsynsmail/A 53216-2025 tillsynsbegäran mail.docx", "A 53216-2025")</f>
        <v/>
      </c>
    </row>
    <row r="22" ht="15" customHeight="1">
      <c r="A22" t="inlineStr">
        <is>
          <t>A 33525-2023</t>
        </is>
      </c>
      <c r="B22" t="inlineStr">
        <is>
          <t>avverkningsanmälan</t>
        </is>
      </c>
      <c r="C22" t="inlineStr">
        <is>
          <t>Föryngringsavverkning</t>
        </is>
      </c>
      <c r="D22" s="1" t="n">
        <v>45131</v>
      </c>
      <c r="E22" s="1" t="n">
        <v>46220</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s="2" t="inlineStr">
        <is>
          <t>Garnlav
Dropptaggsvamp
Orange taggsvamp
Tallfingersvamp</t>
        </is>
      </c>
      <c r="V22">
        <f>HYPERLINK("https://klasma.github.io/Logging_1765/artfynd/A 33525-2023 artfynd.xlsx", "A 33525-2023")</f>
        <v/>
      </c>
      <c r="W22">
        <f>HYPERLINK("https://klasma.github.io/Logging_1765/kartor/A 33525-2023 karta.png", "A 33525-2023")</f>
        <v/>
      </c>
      <c r="Y22">
        <f>HYPERLINK("https://klasma.github.io/Logging_1765/klagomål/A 33525-2023 FSC-klagomål.docx", "A 33525-2023")</f>
        <v/>
      </c>
      <c r="Z22">
        <f>HYPERLINK("https://klasma.github.io/Logging_1765/klagomålsmail/A 33525-2023 FSC-klagomål mail.docx", "A 33525-2023")</f>
        <v/>
      </c>
      <c r="AA22">
        <f>HYPERLINK("https://klasma.github.io/Logging_1765/tillsyn/A 33525-2023 tillsynsbegäran.docx", "A 33525-2023")</f>
        <v/>
      </c>
      <c r="AB22">
        <f>HYPERLINK("https://klasma.github.io/Logging_1765/tillsynsmail/A 33525-2023 tillsynsbegäran mail.docx", "A 33525-2023")</f>
        <v/>
      </c>
    </row>
    <row r="23" ht="15" customHeight="1">
      <c r="A23" t="inlineStr">
        <is>
          <t>A 17268-2022</t>
        </is>
      </c>
      <c r="B23" t="inlineStr">
        <is>
          <t>avverkningsanmälan</t>
        </is>
      </c>
      <c r="C23" t="inlineStr">
        <is>
          <t>Föryngringsavverkning</t>
        </is>
      </c>
      <c r="D23" s="1" t="n">
        <v>44678</v>
      </c>
      <c r="E23" s="1" t="n">
        <v>46220</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s="2" t="inlineStr">
        <is>
          <t>Bårdlav
Korallblylav
Vedticka
Vågbandad barkbock</t>
        </is>
      </c>
      <c r="V23">
        <f>HYPERLINK("https://klasma.github.io/Logging_1765/artfynd/A 17268-2022 artfynd.xlsx", "A 17268-2022")</f>
        <v/>
      </c>
      <c r="W23">
        <f>HYPERLINK("https://klasma.github.io/Logging_1765/kartor/A 17268-2022 karta.png", "A 17268-2022")</f>
        <v/>
      </c>
      <c r="Y23">
        <f>HYPERLINK("https://klasma.github.io/Logging_1765/klagomål/A 17268-2022 FSC-klagomål.docx", "A 17268-2022")</f>
        <v/>
      </c>
      <c r="Z23">
        <f>HYPERLINK("https://klasma.github.io/Logging_1765/klagomålsmail/A 17268-2022 FSC-klagomål mail.docx", "A 17268-2022")</f>
        <v/>
      </c>
      <c r="AA23">
        <f>HYPERLINK("https://klasma.github.io/Logging_1765/tillsyn/A 17268-2022 tillsynsbegäran.docx", "A 17268-2022")</f>
        <v/>
      </c>
      <c r="AB23">
        <f>HYPERLINK("https://klasma.github.io/Logging_1765/tillsynsmail/A 17268-2022 tillsynsbegäran mail.docx", "A 17268-2022")</f>
        <v/>
      </c>
    </row>
    <row r="24" ht="15" customHeight="1">
      <c r="A24" t="inlineStr">
        <is>
          <t>A 45094-2024</t>
        </is>
      </c>
      <c r="B24" t="inlineStr">
        <is>
          <t>avverkningsanmälan</t>
        </is>
      </c>
      <c r="C24" t="inlineStr">
        <is>
          <t>Föryngringsavverkning</t>
        </is>
      </c>
      <c r="D24" s="1" t="n">
        <v>45575</v>
      </c>
      <c r="E24" s="1" t="n">
        <v>46220</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s="2" t="inlineStr">
        <is>
          <t>Slåttergubbe
Jungfrulin
Svinrot
Fläcknycklar</t>
        </is>
      </c>
      <c r="V24">
        <f>HYPERLINK("https://klasma.github.io/Logging_1765/artfynd/A 45094-2024 artfynd.xlsx", "A 45094-2024")</f>
        <v/>
      </c>
      <c r="W24">
        <f>HYPERLINK("https://klasma.github.io/Logging_1765/kartor/A 45094-2024 karta.png", "A 45094-2024")</f>
        <v/>
      </c>
      <c r="Y24">
        <f>HYPERLINK("https://klasma.github.io/Logging_1765/klagomål/A 45094-2024 FSC-klagomål.docx", "A 45094-2024")</f>
        <v/>
      </c>
      <c r="Z24">
        <f>HYPERLINK("https://klasma.github.io/Logging_1765/klagomålsmail/A 45094-2024 FSC-klagomål mail.docx", "A 45094-2024")</f>
        <v/>
      </c>
      <c r="AA24">
        <f>HYPERLINK("https://klasma.github.io/Logging_1765/tillsyn/A 45094-2024 tillsynsbegäran.docx", "A 45094-2024")</f>
        <v/>
      </c>
      <c r="AB24">
        <f>HYPERLINK("https://klasma.github.io/Logging_1765/tillsynsmail/A 45094-2024 tillsynsbegäran mail.docx", "A 45094-2024")</f>
        <v/>
      </c>
    </row>
    <row r="25" ht="15" customHeight="1">
      <c r="A25" t="inlineStr">
        <is>
          <t>S 1877-2020</t>
        </is>
      </c>
      <c r="B25" t="inlineStr">
        <is>
          <t>samrådsanmälan</t>
        </is>
      </c>
      <c r="C25" t="inlineStr">
        <is>
          <t>Askåterföring</t>
        </is>
      </c>
      <c r="D25" s="1" t="n">
        <v>44076</v>
      </c>
      <c r="E25" s="1" t="n">
        <v>46220</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Y25">
        <f>HYPERLINK("https://klasma.github.io/Logging_1765/klagomål/S 1877-2020 FSC-klagomål.docx", "S 1877-2020")</f>
        <v/>
      </c>
      <c r="Z25">
        <f>HYPERLINK("https://klasma.github.io/Logging_1765/klagomålsmail/S 1877-2020 FSC-klagomål mail.docx", "S 1877-2020")</f>
        <v/>
      </c>
      <c r="AA25">
        <f>HYPERLINK("https://klasma.github.io/Logging_1765/tillsyn/S 1877-2020 tillsynsbegäran.docx", "S 1877-2020")</f>
        <v/>
      </c>
      <c r="AB25">
        <f>HYPERLINK("https://klasma.github.io/Logging_1765/tillsynsmail/S 1877-2020 tillsynsbegäran mail.docx", "S 1877-2020")</f>
        <v/>
      </c>
    </row>
    <row r="26" ht="15" customHeight="1">
      <c r="A26" t="inlineStr">
        <is>
          <t>A 15730-2023</t>
        </is>
      </c>
      <c r="B26" t="inlineStr">
        <is>
          <t>avverkningsanmälan</t>
        </is>
      </c>
      <c r="C26" t="inlineStr">
        <is>
          <t>Avverkning för annat ändamål</t>
        </is>
      </c>
      <c r="D26" s="1" t="n">
        <v>45021</v>
      </c>
      <c r="E26" s="1" t="n">
        <v>46220</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s="2" t="inlineStr">
        <is>
          <t>Grangråticka
Dropptaggsvamp
Kandelabersvamp</t>
        </is>
      </c>
      <c r="V26">
        <f>HYPERLINK("https://klasma.github.io/Logging_1765/artfynd/A 15730-2023 artfynd.xlsx", "A 15730-2023")</f>
        <v/>
      </c>
      <c r="W26">
        <f>HYPERLINK("https://klasma.github.io/Logging_1765/kartor/A 15730-2023 karta.png", "A 15730-2023")</f>
        <v/>
      </c>
      <c r="Y26">
        <f>HYPERLINK("https://klasma.github.io/Logging_1765/klagomål/A 15730-2023 FSC-klagomål.docx", "A 15730-2023")</f>
        <v/>
      </c>
      <c r="Z26">
        <f>HYPERLINK("https://klasma.github.io/Logging_1765/klagomålsmail/A 15730-2023 FSC-klagomål mail.docx", "A 15730-2023")</f>
        <v/>
      </c>
      <c r="AA26">
        <f>HYPERLINK("https://klasma.github.io/Logging_1765/tillsyn/A 15730-2023 tillsynsbegäran.docx", "A 15730-2023")</f>
        <v/>
      </c>
      <c r="AB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46220</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s="2" t="inlineStr">
        <is>
          <t>Garnlav
Dropptaggsvamp
Bårdlav</t>
        </is>
      </c>
      <c r="V27">
        <f>HYPERLINK("https://klasma.github.io/Logging_1765/artfynd/A 2212-2025 artfynd.xlsx", "A 2212-2025")</f>
        <v/>
      </c>
      <c r="W27">
        <f>HYPERLINK("https://klasma.github.io/Logging_1765/kartor/A 2212-2025 karta.png", "A 2212-2025")</f>
        <v/>
      </c>
      <c r="Y27">
        <f>HYPERLINK("https://klasma.github.io/Logging_1765/klagomål/A 2212-2025 FSC-klagomål.docx", "A 2212-2025")</f>
        <v/>
      </c>
      <c r="Z27">
        <f>HYPERLINK("https://klasma.github.io/Logging_1765/klagomålsmail/A 2212-2025 FSC-klagomål mail.docx", "A 2212-2025")</f>
        <v/>
      </c>
      <c r="AA27">
        <f>HYPERLINK("https://klasma.github.io/Logging_1765/tillsyn/A 2212-2025 tillsynsbegäran.docx", "A 2212-2025")</f>
        <v/>
      </c>
      <c r="AB27">
        <f>HYPERLINK("https://klasma.github.io/Logging_1765/tillsynsmail/A 2212-2025 tillsynsbegäran mail.docx", "A 2212-2025")</f>
        <v/>
      </c>
    </row>
    <row r="28" ht="15" customHeight="1">
      <c r="A28" t="inlineStr">
        <is>
          <t>A 18741-2026</t>
        </is>
      </c>
      <c r="B28" t="inlineStr">
        <is>
          <t>avverkningsanmälan</t>
        </is>
      </c>
      <c r="C28" t="inlineStr">
        <is>
          <t>Föryngringsavverkning</t>
        </is>
      </c>
      <c r="D28" s="1" t="n">
        <v>46128</v>
      </c>
      <c r="E28" s="1" t="n">
        <v>46220</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s="2" t="inlineStr">
        <is>
          <t>Kattfotslav
Bronshjon
Vågbandad barkbock</t>
        </is>
      </c>
      <c r="V28">
        <f>HYPERLINK("https://klasma.github.io/Logging_1765/artfynd/A 18741-2026 artfynd.xlsx", "A 18741-2026")</f>
        <v/>
      </c>
      <c r="W28">
        <f>HYPERLINK("https://klasma.github.io/Logging_1765/kartor/A 18741-2026 karta.png", "A 18741-2026")</f>
        <v/>
      </c>
      <c r="Y28">
        <f>HYPERLINK("https://klasma.github.io/Logging_1765/klagomål/A 18741-2026 FSC-klagomål.docx", "A 18741-2026")</f>
        <v/>
      </c>
      <c r="Z28">
        <f>HYPERLINK("https://klasma.github.io/Logging_1765/klagomålsmail/A 18741-2026 FSC-klagomål mail.docx", "A 18741-2026")</f>
        <v/>
      </c>
      <c r="AA28">
        <f>HYPERLINK("https://klasma.github.io/Logging_1765/tillsyn/A 18741-2026 tillsynsbegäran.docx", "A 18741-2026")</f>
        <v/>
      </c>
      <c r="AB28">
        <f>HYPERLINK("https://klasma.github.io/Logging_1765/tillsynsmail/A 18741-2026 tillsynsbegäran mail.docx", "A 18741-2026")</f>
        <v/>
      </c>
    </row>
    <row r="29" ht="15" customHeight="1">
      <c r="A29" t="inlineStr">
        <is>
          <t>A 61045-2023</t>
        </is>
      </c>
      <c r="B29" t="inlineStr">
        <is>
          <t>avverkningsanmälan</t>
        </is>
      </c>
      <c r="C29" t="inlineStr">
        <is>
          <t>Föryngringsavverkning</t>
        </is>
      </c>
      <c r="D29" s="1" t="n">
        <v>45260</v>
      </c>
      <c r="E29" s="1" t="n">
        <v>46220</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s="2" t="inlineStr">
        <is>
          <t>Gränsticka
Tretåig hackspett
Vedticka</t>
        </is>
      </c>
      <c r="V29">
        <f>HYPERLINK("https://klasma.github.io/Logging_1765/artfynd/A 61045-2023 artfynd.xlsx", "A 61045-2023")</f>
        <v/>
      </c>
      <c r="W29">
        <f>HYPERLINK("https://klasma.github.io/Logging_1765/kartor/A 61045-2023 karta.png", "A 61045-2023")</f>
        <v/>
      </c>
      <c r="X29">
        <f>HYPERLINK("https://klasma.github.io/Logging_1765/knärot/A 61045-2023 karta knärot.png", "A 61045-2023")</f>
        <v/>
      </c>
      <c r="Y29">
        <f>HYPERLINK("https://klasma.github.io/Logging_1765/klagomål/A 61045-2023 FSC-klagomål.docx", "A 61045-2023")</f>
        <v/>
      </c>
      <c r="Z29">
        <f>HYPERLINK("https://klasma.github.io/Logging_1765/klagomålsmail/A 61045-2023 FSC-klagomål mail.docx", "A 61045-2023")</f>
        <v/>
      </c>
      <c r="AA29">
        <f>HYPERLINK("https://klasma.github.io/Logging_1765/tillsyn/A 61045-2023 tillsynsbegäran.docx", "A 61045-2023")</f>
        <v/>
      </c>
      <c r="AB29">
        <f>HYPERLINK("https://klasma.github.io/Logging_1765/tillsynsmail/A 61045-2023 tillsynsbegäran mail.docx", "A 61045-2023")</f>
        <v/>
      </c>
      <c r="AC29">
        <f>HYPERLINK("https://klasma.github.io/Logging_1765/fåglar/A 61045-2023 prioriterade fågelarter.docx", "A 61045-2023")</f>
        <v/>
      </c>
    </row>
    <row r="30" ht="15" customHeight="1">
      <c r="A30" t="inlineStr">
        <is>
          <t>S 1189-2023</t>
        </is>
      </c>
      <c r="B30" t="inlineStr">
        <is>
          <t>samrådsanmälan</t>
        </is>
      </c>
      <c r="C30" t="inlineStr">
        <is>
          <t>Skogsbilväg</t>
        </is>
      </c>
      <c r="D30" s="1" t="n">
        <v>45021</v>
      </c>
      <c r="E30" s="1" t="n">
        <v>46220</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Y30">
        <f>HYPERLINK("https://klasma.github.io/Logging_1765/klagomål/S 1189-2023 FSC-klagomål.docx", "S 1189-2023")</f>
        <v/>
      </c>
      <c r="Z30">
        <f>HYPERLINK("https://klasma.github.io/Logging_1765/klagomålsmail/S 1189-2023 FSC-klagomål mail.docx", "S 1189-2023")</f>
        <v/>
      </c>
      <c r="AA30">
        <f>HYPERLINK("https://klasma.github.io/Logging_1765/tillsyn/S 1189-2023 tillsynsbegäran.docx", "S 1189-2023")</f>
        <v/>
      </c>
      <c r="AB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46220</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Y31">
        <f>HYPERLINK("https://klasma.github.io/Logging_1765/klagomål/A 59466-2021 FSC-klagomål.docx", "A 59466-2021")</f>
        <v/>
      </c>
      <c r="Z31">
        <f>HYPERLINK("https://klasma.github.io/Logging_1765/klagomålsmail/A 59466-2021 FSC-klagomål mail.docx", "A 59466-2021")</f>
        <v/>
      </c>
      <c r="AA31">
        <f>HYPERLINK("https://klasma.github.io/Logging_1765/tillsyn/A 59466-2021 tillsynsbegäran.docx", "A 59466-2021")</f>
        <v/>
      </c>
      <c r="AB31">
        <f>HYPERLINK("https://klasma.github.io/Logging_1765/tillsynsmail/A 59466-2021 tillsynsbegäran mail.docx", "A 59466-2021")</f>
        <v/>
      </c>
    </row>
    <row r="32" ht="15" customHeight="1">
      <c r="A32" t="inlineStr">
        <is>
          <t>A 39251-2023</t>
        </is>
      </c>
      <c r="B32" t="inlineStr">
        <is>
          <t>avverkningsanmälan</t>
        </is>
      </c>
      <c r="C32" t="inlineStr">
        <is>
          <t>Föryngringsavverkning</t>
        </is>
      </c>
      <c r="D32" s="1" t="n">
        <v>45166</v>
      </c>
      <c r="E32" s="1" t="n">
        <v>46220</v>
      </c>
      <c r="F32" t="inlineStr">
        <is>
          <t>VÄRMLANDS LÄN</t>
        </is>
      </c>
      <c r="G32" t="inlineStr">
        <is>
          <t>ÅRJÄNG</t>
        </is>
      </c>
      <c r="H32" t="inlineStr">
        <is>
          <t>Kyrkan</t>
        </is>
      </c>
      <c r="I32" t="n">
        <v>5.1</v>
      </c>
      <c r="J32" t="n">
        <v>2</v>
      </c>
      <c r="K32" t="n">
        <v>0</v>
      </c>
      <c r="L32" t="n">
        <v>1</v>
      </c>
      <c r="M32" t="n">
        <v>0</v>
      </c>
      <c r="N32" t="n">
        <v>0</v>
      </c>
      <c r="O32" t="n">
        <v>0</v>
      </c>
      <c r="P32" t="n">
        <v>0</v>
      </c>
      <c r="Q32" t="n">
        <v>1</v>
      </c>
      <c r="R32" t="n">
        <v>0</v>
      </c>
      <c r="S32" t="n">
        <v>2</v>
      </c>
      <c r="T32" t="n">
        <v>2</v>
      </c>
      <c r="U32" s="2" t="inlineStr">
        <is>
          <t>Nordfladdermus
Vattenfladdermus</t>
        </is>
      </c>
      <c r="V32">
        <f>HYPERLINK("https://klasma.github.io/Logging_1765/artfynd/A 39251-2023 artfynd.xlsx", "A 39251-2023")</f>
        <v/>
      </c>
      <c r="W32">
        <f>HYPERLINK("https://klasma.github.io/Logging_1765/kartor/A 39251-2023 karta.png", "A 39251-2023")</f>
        <v/>
      </c>
      <c r="Y32">
        <f>HYPERLINK("https://klasma.github.io/Logging_1765/klagomål/A 39251-2023 FSC-klagomål.docx", "A 39251-2023")</f>
        <v/>
      </c>
      <c r="Z32">
        <f>HYPERLINK("https://klasma.github.io/Logging_1765/klagomålsmail/A 39251-2023 FSC-klagomål mail.docx", "A 39251-2023")</f>
        <v/>
      </c>
      <c r="AA32">
        <f>HYPERLINK("https://klasma.github.io/Logging_1765/tillsyn/A 39251-2023 tillsynsbegäran.docx", "A 39251-2023")</f>
        <v/>
      </c>
      <c r="AB32">
        <f>HYPERLINK("https://klasma.github.io/Logging_1765/tillsynsmail/A 39251-2023 tillsynsbegäran mail.docx", "A 39251-2023")</f>
        <v/>
      </c>
    </row>
    <row r="33" ht="15" customHeight="1">
      <c r="A33" t="inlineStr">
        <is>
          <t>A 45329-2025</t>
        </is>
      </c>
      <c r="B33" t="inlineStr">
        <is>
          <t>avverkningsanmälan</t>
        </is>
      </c>
      <c r="C33" t="inlineStr">
        <is>
          <t>Föryngringsavverkning</t>
        </is>
      </c>
      <c r="D33" s="1" t="n">
        <v>45922</v>
      </c>
      <c r="E33" s="1" t="n">
        <v>46220</v>
      </c>
      <c r="F33" t="inlineStr">
        <is>
          <t>VÄRMLANDS LÄN</t>
        </is>
      </c>
      <c r="G33" t="inlineStr">
        <is>
          <t>ÅRJÄNG</t>
        </is>
      </c>
      <c r="H33" t="inlineStr">
        <is>
          <t>Bergvik skog väst AB</t>
        </is>
      </c>
      <c r="I33" t="n">
        <v>1.3</v>
      </c>
      <c r="J33" t="n">
        <v>0</v>
      </c>
      <c r="K33" t="n">
        <v>1</v>
      </c>
      <c r="L33" t="n">
        <v>1</v>
      </c>
      <c r="M33" t="n">
        <v>0</v>
      </c>
      <c r="N33" t="n">
        <v>0</v>
      </c>
      <c r="O33" t="n">
        <v>0</v>
      </c>
      <c r="P33" t="n">
        <v>0</v>
      </c>
      <c r="Q33" t="n">
        <v>1</v>
      </c>
      <c r="R33" t="n">
        <v>0</v>
      </c>
      <c r="S33" t="n">
        <v>2</v>
      </c>
      <c r="T33" t="n">
        <v>2</v>
      </c>
      <c r="U33" s="2" t="inlineStr">
        <is>
          <t>Kattfotslav
Mörk husmossa</t>
        </is>
      </c>
      <c r="V33">
        <f>HYPERLINK("https://klasma.github.io/Logging_1765/artfynd/A 45329-2025 artfynd.xlsx", "A 45329-2025")</f>
        <v/>
      </c>
      <c r="W33">
        <f>HYPERLINK("https://klasma.github.io/Logging_1765/kartor/A 45329-2025 karta.png", "A 45329-2025")</f>
        <v/>
      </c>
      <c r="Y33">
        <f>HYPERLINK("https://klasma.github.io/Logging_1765/klagomål/A 45329-2025 FSC-klagomål.docx", "A 45329-2025")</f>
        <v/>
      </c>
      <c r="Z33">
        <f>HYPERLINK("https://klasma.github.io/Logging_1765/klagomålsmail/A 45329-2025 FSC-klagomål mail.docx", "A 45329-2025")</f>
        <v/>
      </c>
      <c r="AA33">
        <f>HYPERLINK("https://klasma.github.io/Logging_1765/tillsyn/A 45329-2025 tillsynsbegäran.docx", "A 45329-2025")</f>
        <v/>
      </c>
      <c r="AB33">
        <f>HYPERLINK("https://klasma.github.io/Logging_1765/tillsynsmail/A 45329-2025 tillsynsbegäran mail.docx", "A 45329-2025")</f>
        <v/>
      </c>
    </row>
    <row r="34" ht="15" customHeight="1">
      <c r="A34" t="inlineStr">
        <is>
          <t>A 47629-2025</t>
        </is>
      </c>
      <c r="B34" t="inlineStr">
        <is>
          <t>avverkningsanmälan</t>
        </is>
      </c>
      <c r="C34" t="inlineStr">
        <is>
          <t>Föryngringsavverkning</t>
        </is>
      </c>
      <c r="D34" s="1" t="n">
        <v>45931</v>
      </c>
      <c r="E34" s="1" t="n">
        <v>46220</v>
      </c>
      <c r="F34" t="inlineStr">
        <is>
          <t>VÄRMLANDS LÄN</t>
        </is>
      </c>
      <c r="G34" t="inlineStr">
        <is>
          <t>ÅRJÄNG</t>
        </is>
      </c>
      <c r="H34" t="inlineStr">
        <is>
          <t>Bergvik skog väst AB</t>
        </is>
      </c>
      <c r="I34" t="n">
        <v>1.5</v>
      </c>
      <c r="J34" t="n">
        <v>1</v>
      </c>
      <c r="K34" t="n">
        <v>0</v>
      </c>
      <c r="L34" t="n">
        <v>0</v>
      </c>
      <c r="M34" t="n">
        <v>1</v>
      </c>
      <c r="N34" t="n">
        <v>0</v>
      </c>
      <c r="O34" t="n">
        <v>0</v>
      </c>
      <c r="P34" t="n">
        <v>0</v>
      </c>
      <c r="Q34" t="n">
        <v>1</v>
      </c>
      <c r="R34" t="n">
        <v>1</v>
      </c>
      <c r="S34" t="n">
        <v>2</v>
      </c>
      <c r="T34" t="n">
        <v>3</v>
      </c>
      <c r="U34" s="2" t="inlineStr">
        <is>
          <t>Slåttergubbe
Fläcknycklar</t>
        </is>
      </c>
      <c r="V34">
        <f>HYPERLINK("https://klasma.github.io/Logging_1765/artfynd/A 47629-2025 artfynd.xlsx", "A 47629-2025")</f>
        <v/>
      </c>
      <c r="W34">
        <f>HYPERLINK("https://klasma.github.io/Logging_1765/kartor/A 47629-2025 karta.png", "A 47629-2025")</f>
        <v/>
      </c>
      <c r="Y34">
        <f>HYPERLINK("https://klasma.github.io/Logging_1765/klagomål/A 47629-2025 FSC-klagomål.docx", "A 47629-2025")</f>
        <v/>
      </c>
      <c r="Z34">
        <f>HYPERLINK("https://klasma.github.io/Logging_1765/klagomålsmail/A 47629-2025 FSC-klagomål mail.docx", "A 47629-2025")</f>
        <v/>
      </c>
      <c r="AA34">
        <f>HYPERLINK("https://klasma.github.io/Logging_1765/tillsyn/A 47629-2025 tillsynsbegäran.docx", "A 47629-2025")</f>
        <v/>
      </c>
      <c r="AB34">
        <f>HYPERLINK("https://klasma.github.io/Logging_1765/tillsynsmail/A 47629-2025 tillsynsbegäran mail.docx", "A 47629-2025")</f>
        <v/>
      </c>
    </row>
    <row r="35" ht="15" customHeight="1">
      <c r="A35" t="inlineStr">
        <is>
          <t>A 60688-2023</t>
        </is>
      </c>
      <c r="B35" t="inlineStr">
        <is>
          <t>avverkningsanmälan</t>
        </is>
      </c>
      <c r="C35" t="inlineStr">
        <is>
          <t>Föryngringsavverkning</t>
        </is>
      </c>
      <c r="D35" s="1" t="n">
        <v>45260</v>
      </c>
      <c r="E35" s="1" t="n">
        <v>46220</v>
      </c>
      <c r="F35" t="inlineStr">
        <is>
          <t>VÄRMLANDS LÄN</t>
        </is>
      </c>
      <c r="G35" t="inlineStr">
        <is>
          <t>ÅRJÄNG</t>
        </is>
      </c>
      <c r="I35" t="n">
        <v>4.2</v>
      </c>
      <c r="J35" t="n">
        <v>0</v>
      </c>
      <c r="K35" t="n">
        <v>0</v>
      </c>
      <c r="L35" t="n">
        <v>1</v>
      </c>
      <c r="M35" t="n">
        <v>1</v>
      </c>
      <c r="N35" t="n">
        <v>0</v>
      </c>
      <c r="O35" t="n">
        <v>0</v>
      </c>
      <c r="P35" t="n">
        <v>0</v>
      </c>
      <c r="Q35" t="n">
        <v>2</v>
      </c>
      <c r="R35" t="n">
        <v>1</v>
      </c>
      <c r="S35" t="n">
        <v>2</v>
      </c>
      <c r="T35" t="n">
        <v>3</v>
      </c>
      <c r="U35" s="2" t="inlineStr">
        <is>
          <t>Garnlav
Vedskivlav</t>
        </is>
      </c>
      <c r="V35">
        <f>HYPERLINK("https://klasma.github.io/Logging_1765/artfynd/A 60688-2023 artfynd.xlsx", "A 60688-2023")</f>
        <v/>
      </c>
      <c r="W35">
        <f>HYPERLINK("https://klasma.github.io/Logging_1765/kartor/A 60688-2023 karta.png", "A 60688-2023")</f>
        <v/>
      </c>
      <c r="Y35">
        <f>HYPERLINK("https://klasma.github.io/Logging_1765/klagomål/A 60688-2023 FSC-klagomål.docx", "A 60688-2023")</f>
        <v/>
      </c>
      <c r="Z35">
        <f>HYPERLINK("https://klasma.github.io/Logging_1765/klagomålsmail/A 60688-2023 FSC-klagomål mail.docx", "A 60688-2023")</f>
        <v/>
      </c>
      <c r="AA35">
        <f>HYPERLINK("https://klasma.github.io/Logging_1765/tillsyn/A 60688-2023 tillsynsbegäran.docx", "A 60688-2023")</f>
        <v/>
      </c>
      <c r="AB35">
        <f>HYPERLINK("https://klasma.github.io/Logging_1765/tillsynsmail/A 60688-2023 tillsynsbegäran mail.docx", "A 60688-2023")</f>
        <v/>
      </c>
    </row>
    <row r="36" ht="15" customHeight="1">
      <c r="A36" t="inlineStr">
        <is>
          <t>A 58238-2024</t>
        </is>
      </c>
      <c r="B36" t="inlineStr">
        <is>
          <t>avverkningsanmälan</t>
        </is>
      </c>
      <c r="C36" t="inlineStr">
        <is>
          <t>Föryngringsavverkning</t>
        </is>
      </c>
      <c r="D36" s="1" t="n">
        <v>45632</v>
      </c>
      <c r="E36" s="1" t="n">
        <v>46220</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s="2" t="inlineStr">
        <is>
          <t>Revlummer
Äkta lopplummer</t>
        </is>
      </c>
      <c r="V36">
        <f>HYPERLINK("https://klasma.github.io/Logging_1765/artfynd/A 58238-2024 artfynd.xlsx", "A 58238-2024")</f>
        <v/>
      </c>
      <c r="W36">
        <f>HYPERLINK("https://klasma.github.io/Logging_1765/kartor/A 58238-2024 karta.png", "A 58238-2024")</f>
        <v/>
      </c>
      <c r="Y36">
        <f>HYPERLINK("https://klasma.github.io/Logging_1765/klagomål/A 58238-2024 FSC-klagomål.docx", "A 58238-2024")</f>
        <v/>
      </c>
      <c r="Z36">
        <f>HYPERLINK("https://klasma.github.io/Logging_1765/klagomålsmail/A 58238-2024 FSC-klagomål mail.docx", "A 58238-2024")</f>
        <v/>
      </c>
      <c r="AA36">
        <f>HYPERLINK("https://klasma.github.io/Logging_1765/tillsyn/A 58238-2024 tillsynsbegäran.docx", "A 58238-2024")</f>
        <v/>
      </c>
      <c r="AB36">
        <f>HYPERLINK("https://klasma.github.io/Logging_1765/tillsynsmail/A 58238-2024 tillsynsbegäran mail.docx", "A 58238-2024")</f>
        <v/>
      </c>
    </row>
    <row r="37" ht="15" customHeight="1">
      <c r="A37" t="inlineStr">
        <is>
          <t>A 40437-2025</t>
        </is>
      </c>
      <c r="B37" t="inlineStr">
        <is>
          <t>avverkningsanmälan</t>
        </is>
      </c>
      <c r="C37" t="inlineStr">
        <is>
          <t>Föryngringsavverkning</t>
        </is>
      </c>
      <c r="D37" s="1" t="n">
        <v>45895</v>
      </c>
      <c r="E37" s="1" t="n">
        <v>46220</v>
      </c>
      <c r="F37" t="inlineStr">
        <is>
          <t>VÄRMLANDS LÄN</t>
        </is>
      </c>
      <c r="G37" t="inlineStr">
        <is>
          <t>ÅRJÄNG</t>
        </is>
      </c>
      <c r="I37" t="n">
        <v>8.1</v>
      </c>
      <c r="J37" t="n">
        <v>2</v>
      </c>
      <c r="K37" t="n">
        <v>0</v>
      </c>
      <c r="L37" t="n">
        <v>0</v>
      </c>
      <c r="M37" t="n">
        <v>0</v>
      </c>
      <c r="N37" t="n">
        <v>0</v>
      </c>
      <c r="O37" t="n">
        <v>0</v>
      </c>
      <c r="P37" t="n">
        <v>0</v>
      </c>
      <c r="Q37" t="n">
        <v>0</v>
      </c>
      <c r="R37" t="n">
        <v>0</v>
      </c>
      <c r="S37" t="n">
        <v>2</v>
      </c>
      <c r="T37" t="n">
        <v>2</v>
      </c>
      <c r="U37" s="2" t="inlineStr">
        <is>
          <t>Spillkråka
Revlummer</t>
        </is>
      </c>
      <c r="V37">
        <f>HYPERLINK("https://klasma.github.io/Logging_1765/artfynd/A 40437-2025 artfynd.xlsx", "A 40437-2025")</f>
        <v/>
      </c>
      <c r="W37">
        <f>HYPERLINK("https://klasma.github.io/Logging_1765/kartor/A 40437-2025 karta.png", "A 40437-2025")</f>
        <v/>
      </c>
      <c r="Y37">
        <f>HYPERLINK("https://klasma.github.io/Logging_1765/klagomål/A 40437-2025 FSC-klagomål.docx", "A 40437-2025")</f>
        <v/>
      </c>
      <c r="Z37">
        <f>HYPERLINK("https://klasma.github.io/Logging_1765/klagomålsmail/A 40437-2025 FSC-klagomål mail.docx", "A 40437-2025")</f>
        <v/>
      </c>
      <c r="AA37">
        <f>HYPERLINK("https://klasma.github.io/Logging_1765/tillsyn/A 40437-2025 tillsynsbegäran.docx", "A 40437-2025")</f>
        <v/>
      </c>
      <c r="AB37">
        <f>HYPERLINK("https://klasma.github.io/Logging_1765/tillsynsmail/A 40437-2025 tillsynsbegäran mail.docx", "A 40437-2025")</f>
        <v/>
      </c>
      <c r="AC37">
        <f>HYPERLINK("https://klasma.github.io/Logging_1765/fåglar/A 40437-2025 prioriterade fågelarter.docx", "A 40437-2025")</f>
        <v/>
      </c>
    </row>
    <row r="38" ht="15" customHeight="1">
      <c r="A38" t="inlineStr">
        <is>
          <t>A 51928-2022</t>
        </is>
      </c>
      <c r="B38" t="inlineStr">
        <is>
          <t>avverkningsanmälan</t>
        </is>
      </c>
      <c r="C38" t="inlineStr">
        <is>
          <t>Föryngringsavverkning</t>
        </is>
      </c>
      <c r="D38" s="1" t="n">
        <v>44872</v>
      </c>
      <c r="E38" s="1" t="n">
        <v>46220</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s="2" t="inlineStr">
        <is>
          <t>Knärot
Dropptaggsvamp</t>
        </is>
      </c>
      <c r="V38">
        <f>HYPERLINK("https://klasma.github.io/Logging_1765/artfynd/A 51928-2022 artfynd.xlsx", "A 51928-2022")</f>
        <v/>
      </c>
      <c r="W38">
        <f>HYPERLINK("https://klasma.github.io/Logging_1765/kartor/A 51928-2022 karta.png", "A 51928-2022")</f>
        <v/>
      </c>
      <c r="X38">
        <f>HYPERLINK("https://klasma.github.io/Logging_1765/knärot/A 51928-2022 karta knärot.png", "A 51928-2022")</f>
        <v/>
      </c>
      <c r="Y38">
        <f>HYPERLINK("https://klasma.github.io/Logging_1765/klagomål/A 51928-2022 FSC-klagomål.docx", "A 51928-2022")</f>
        <v/>
      </c>
      <c r="Z38">
        <f>HYPERLINK("https://klasma.github.io/Logging_1765/klagomålsmail/A 51928-2022 FSC-klagomål mail.docx", "A 51928-2022")</f>
        <v/>
      </c>
      <c r="AA38">
        <f>HYPERLINK("https://klasma.github.io/Logging_1765/tillsyn/A 51928-2022 tillsynsbegäran.docx", "A 51928-2022")</f>
        <v/>
      </c>
      <c r="AB38">
        <f>HYPERLINK("https://klasma.github.io/Logging_1765/tillsynsmail/A 51928-2022 tillsynsbegäran mail.docx", "A 51928-2022")</f>
        <v/>
      </c>
    </row>
    <row r="39" ht="15" customHeight="1">
      <c r="A39" t="inlineStr">
        <is>
          <t>A 53611-2023</t>
        </is>
      </c>
      <c r="B39" t="inlineStr">
        <is>
          <t>avverkningsanmälan</t>
        </is>
      </c>
      <c r="C39" t="inlineStr">
        <is>
          <t>Föryngringsavverkning</t>
        </is>
      </c>
      <c r="D39" s="1" t="n">
        <v>45230</v>
      </c>
      <c r="E39" s="1" t="n">
        <v>46220</v>
      </c>
      <c r="F39" t="inlineStr">
        <is>
          <t>VÄRMLANDS LÄN</t>
        </is>
      </c>
      <c r="G39" t="inlineStr">
        <is>
          <t>ÅRJÄNG</t>
        </is>
      </c>
      <c r="I39" t="n">
        <v>12.3</v>
      </c>
      <c r="J39" t="n">
        <v>1</v>
      </c>
      <c r="K39" t="n">
        <v>1</v>
      </c>
      <c r="L39" t="n">
        <v>0</v>
      </c>
      <c r="M39" t="n">
        <v>0</v>
      </c>
      <c r="N39" t="n">
        <v>0</v>
      </c>
      <c r="O39" t="n">
        <v>0</v>
      </c>
      <c r="P39" t="n">
        <v>0</v>
      </c>
      <c r="Q39" t="n">
        <v>0</v>
      </c>
      <c r="R39" t="n">
        <v>0</v>
      </c>
      <c r="S39" t="n">
        <v>2</v>
      </c>
      <c r="T39" t="n">
        <v>2</v>
      </c>
      <c r="U39" s="2" t="inlineStr">
        <is>
          <t>Purpurmylia
Smålom</t>
        </is>
      </c>
      <c r="V39">
        <f>HYPERLINK("https://klasma.github.io/Logging_1765/artfynd/A 53611-2023 artfynd.xlsx", "A 53611-2023")</f>
        <v/>
      </c>
      <c r="W39">
        <f>HYPERLINK("https://klasma.github.io/Logging_1765/kartor/A 53611-2023 karta.png", "A 53611-2023")</f>
        <v/>
      </c>
      <c r="Y39">
        <f>HYPERLINK("https://klasma.github.io/Logging_1765/klagomål/A 53611-2023 FSC-klagomål.docx", "A 53611-2023")</f>
        <v/>
      </c>
      <c r="Z39">
        <f>HYPERLINK("https://klasma.github.io/Logging_1765/klagomålsmail/A 53611-2023 FSC-klagomål mail.docx", "A 53611-2023")</f>
        <v/>
      </c>
      <c r="AA39">
        <f>HYPERLINK("https://klasma.github.io/Logging_1765/tillsyn/A 53611-2023 tillsynsbegäran.docx", "A 53611-2023")</f>
        <v/>
      </c>
      <c r="AB39">
        <f>HYPERLINK("https://klasma.github.io/Logging_1765/tillsynsmail/A 53611-2023 tillsynsbegäran mail.docx", "A 53611-2023")</f>
        <v/>
      </c>
      <c r="AC39">
        <f>HYPERLINK("https://klasma.github.io/Logging_1765/fåglar/A 53611-2023 prioriterade fågelarter.docx", "A 53611-2023")</f>
        <v/>
      </c>
    </row>
    <row r="40" ht="15" customHeight="1">
      <c r="A40" t="inlineStr">
        <is>
          <t>A 60741-2023</t>
        </is>
      </c>
      <c r="B40" t="inlineStr">
        <is>
          <t>avverkningsanmälan</t>
        </is>
      </c>
      <c r="C40" t="inlineStr">
        <is>
          <t>Föryngringsavverkning</t>
        </is>
      </c>
      <c r="D40" s="1" t="n">
        <v>45260</v>
      </c>
      <c r="E40" s="1" t="n">
        <v>46220</v>
      </c>
      <c r="F40" t="inlineStr">
        <is>
          <t>VÄRMLANDS LÄN</t>
        </is>
      </c>
      <c r="G40" t="inlineStr">
        <is>
          <t>ÅRJÄNG</t>
        </is>
      </c>
      <c r="I40" t="n">
        <v>2.7</v>
      </c>
      <c r="J40" t="n">
        <v>0</v>
      </c>
      <c r="K40" t="n">
        <v>0</v>
      </c>
      <c r="L40" t="n">
        <v>1</v>
      </c>
      <c r="M40" t="n">
        <v>1</v>
      </c>
      <c r="N40" t="n">
        <v>0</v>
      </c>
      <c r="O40" t="n">
        <v>0</v>
      </c>
      <c r="P40" t="n">
        <v>0</v>
      </c>
      <c r="Q40" t="n">
        <v>2</v>
      </c>
      <c r="R40" t="n">
        <v>1</v>
      </c>
      <c r="S40" t="n">
        <v>2</v>
      </c>
      <c r="T40" t="n">
        <v>3</v>
      </c>
      <c r="U40" s="2" t="inlineStr">
        <is>
          <t>Garnlav
Vedskivlav</t>
        </is>
      </c>
      <c r="V40">
        <f>HYPERLINK("https://klasma.github.io/Logging_1765/artfynd/A 60741-2023 artfynd.xlsx", "A 60741-2023")</f>
        <v/>
      </c>
      <c r="W40">
        <f>HYPERLINK("https://klasma.github.io/Logging_1765/kartor/A 60741-2023 karta.png", "A 60741-2023")</f>
        <v/>
      </c>
      <c r="Y40">
        <f>HYPERLINK("https://klasma.github.io/Logging_1765/klagomål/A 60741-2023 FSC-klagomål.docx", "A 60741-2023")</f>
        <v/>
      </c>
      <c r="Z40">
        <f>HYPERLINK("https://klasma.github.io/Logging_1765/klagomålsmail/A 60741-2023 FSC-klagomål mail.docx", "A 60741-2023")</f>
        <v/>
      </c>
      <c r="AA40">
        <f>HYPERLINK("https://klasma.github.io/Logging_1765/tillsyn/A 60741-2023 tillsynsbegäran.docx", "A 60741-2023")</f>
        <v/>
      </c>
      <c r="AB40">
        <f>HYPERLINK("https://klasma.github.io/Logging_1765/tillsynsmail/A 60741-2023 tillsynsbegäran mail.docx", "A 60741-2023")</f>
        <v/>
      </c>
    </row>
    <row r="41" ht="15" customHeight="1">
      <c r="A41" t="inlineStr">
        <is>
          <t>A 6134-2023</t>
        </is>
      </c>
      <c r="B41" t="inlineStr">
        <is>
          <t>avverkningsanmälan</t>
        </is>
      </c>
      <c r="C41" t="inlineStr">
        <is>
          <t>Föryngringsavverkning</t>
        </is>
      </c>
      <c r="D41" s="1" t="n">
        <v>44964</v>
      </c>
      <c r="E41" s="1" t="n">
        <v>46220</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s="2" t="inlineStr">
        <is>
          <t>Garnlav
Korallblylav</t>
        </is>
      </c>
      <c r="V41">
        <f>HYPERLINK("https://klasma.github.io/Logging_1765/artfynd/A 6134-2023 artfynd.xlsx", "A 6134-2023")</f>
        <v/>
      </c>
      <c r="W41">
        <f>HYPERLINK("https://klasma.github.io/Logging_1765/kartor/A 6134-2023 karta.png", "A 6134-2023")</f>
        <v/>
      </c>
      <c r="Y41">
        <f>HYPERLINK("https://klasma.github.io/Logging_1765/klagomål/A 6134-2023 FSC-klagomål.docx", "A 6134-2023")</f>
        <v/>
      </c>
      <c r="Z41">
        <f>HYPERLINK("https://klasma.github.io/Logging_1765/klagomålsmail/A 6134-2023 FSC-klagomål mail.docx", "A 6134-2023")</f>
        <v/>
      </c>
      <c r="AA41">
        <f>HYPERLINK("https://klasma.github.io/Logging_1765/tillsyn/A 6134-2023 tillsynsbegäran.docx", "A 6134-2023")</f>
        <v/>
      </c>
      <c r="AB41">
        <f>HYPERLINK("https://klasma.github.io/Logging_1765/tillsynsmail/A 6134-2023 tillsynsbegäran mail.docx", "A 6134-2023")</f>
        <v/>
      </c>
    </row>
    <row r="42" ht="15" customHeight="1">
      <c r="A42" t="inlineStr">
        <is>
          <t>A 51965-2022</t>
        </is>
      </c>
      <c r="B42" t="inlineStr">
        <is>
          <t>avverkningsanmälan</t>
        </is>
      </c>
      <c r="C42" t="inlineStr">
        <is>
          <t>Föryngringsavverkning</t>
        </is>
      </c>
      <c r="D42" s="1" t="n">
        <v>44872</v>
      </c>
      <c r="E42" s="1" t="n">
        <v>46220</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Y42">
        <f>HYPERLINK("https://klasma.github.io/Logging_1765/klagomål/A 51965-2022 FSC-klagomål.docx", "A 51965-2022")</f>
        <v/>
      </c>
      <c r="Z42">
        <f>HYPERLINK("https://klasma.github.io/Logging_1765/klagomålsmail/A 51965-2022 FSC-klagomål mail.docx", "A 51965-2022")</f>
        <v/>
      </c>
      <c r="AA42">
        <f>HYPERLINK("https://klasma.github.io/Logging_1765/tillsyn/A 51965-2022 tillsynsbegäran.docx", "A 51965-2022")</f>
        <v/>
      </c>
      <c r="AB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46220</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s="2" t="inlineStr">
        <is>
          <t>Knärot</t>
        </is>
      </c>
      <c r="V43">
        <f>HYPERLINK("https://klasma.github.io/Logging_1765/artfynd/A 45938-2022 artfynd.xlsx", "A 45938-2022")</f>
        <v/>
      </c>
      <c r="W43">
        <f>HYPERLINK("https://klasma.github.io/Logging_1765/kartor/A 45938-2022 karta.png", "A 45938-2022")</f>
        <v/>
      </c>
      <c r="X43">
        <f>HYPERLINK("https://klasma.github.io/Logging_1765/knärot/A 45938-2022 karta knärot.png", "A 45938-2022")</f>
        <v/>
      </c>
      <c r="Y43">
        <f>HYPERLINK("https://klasma.github.io/Logging_1765/klagomål/A 45938-2022 FSC-klagomål.docx", "A 45938-2022")</f>
        <v/>
      </c>
      <c r="Z43">
        <f>HYPERLINK("https://klasma.github.io/Logging_1765/klagomålsmail/A 45938-2022 FSC-klagomål mail.docx", "A 45938-2022")</f>
        <v/>
      </c>
      <c r="AA43">
        <f>HYPERLINK("https://klasma.github.io/Logging_1765/tillsyn/A 45938-2022 tillsynsbegäran.docx", "A 45938-2022")</f>
        <v/>
      </c>
      <c r="AB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46220</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s="2" t="inlineStr">
        <is>
          <t>Tjäder</t>
        </is>
      </c>
      <c r="V44">
        <f>HYPERLINK("https://klasma.github.io/Logging_1765/artfynd/A 7447-2024 artfynd.xlsx", "A 7447-2024")</f>
        <v/>
      </c>
      <c r="W44">
        <f>HYPERLINK("https://klasma.github.io/Logging_1765/kartor/A 7447-2024 karta.png", "A 7447-2024")</f>
        <v/>
      </c>
      <c r="Y44">
        <f>HYPERLINK("https://klasma.github.io/Logging_1765/klagomål/A 7447-2024 FSC-klagomål.docx", "A 7447-2024")</f>
        <v/>
      </c>
      <c r="Z44">
        <f>HYPERLINK("https://klasma.github.io/Logging_1765/klagomålsmail/A 7447-2024 FSC-klagomål mail.docx", "A 7447-2024")</f>
        <v/>
      </c>
      <c r="AA44">
        <f>HYPERLINK("https://klasma.github.io/Logging_1765/tillsyn/A 7447-2024 tillsynsbegäran.docx", "A 7447-2024")</f>
        <v/>
      </c>
      <c r="AB44">
        <f>HYPERLINK("https://klasma.github.io/Logging_1765/tillsynsmail/A 7447-2024 tillsynsbegäran mail.docx", "A 7447-2024")</f>
        <v/>
      </c>
      <c r="AC44">
        <f>HYPERLINK("https://klasma.github.io/Logging_1765/fåglar/A 7447-2024 prioriterade fågelarter.docx", "A 7447-2024")</f>
        <v/>
      </c>
    </row>
    <row r="45" ht="15" customHeight="1">
      <c r="A45" t="inlineStr">
        <is>
          <t>A 8630-2025</t>
        </is>
      </c>
      <c r="B45" t="inlineStr">
        <is>
          <t>avverkningsanmälan</t>
        </is>
      </c>
      <c r="C45" t="inlineStr">
        <is>
          <t>Föryngringsavverkning</t>
        </is>
      </c>
      <c r="D45" s="1" t="n">
        <v>45711</v>
      </c>
      <c r="E45" s="1" t="n">
        <v>46220</v>
      </c>
      <c r="F45" t="inlineStr">
        <is>
          <t>VÄRMLANDS LÄN</t>
        </is>
      </c>
      <c r="G45" t="inlineStr">
        <is>
          <t>ÅRJÄNG</t>
        </is>
      </c>
      <c r="I45" t="n">
        <v>3.1</v>
      </c>
      <c r="J45" t="n">
        <v>0</v>
      </c>
      <c r="K45" t="n">
        <v>0</v>
      </c>
      <c r="L45" t="n">
        <v>1</v>
      </c>
      <c r="M45" t="n">
        <v>0</v>
      </c>
      <c r="N45" t="n">
        <v>0</v>
      </c>
      <c r="O45" t="n">
        <v>0</v>
      </c>
      <c r="P45" t="n">
        <v>0</v>
      </c>
      <c r="Q45" t="n">
        <v>1</v>
      </c>
      <c r="R45" t="n">
        <v>0</v>
      </c>
      <c r="S45" t="n">
        <v>1</v>
      </c>
      <c r="T45" t="n">
        <v>1</v>
      </c>
      <c r="U45" s="2" t="inlineStr">
        <is>
          <t>Dropptaggsvamp</t>
        </is>
      </c>
      <c r="V45">
        <f>HYPERLINK("https://klasma.github.io/Logging_1765/artfynd/A 8630-2025 artfynd.xlsx", "A 8630-2025")</f>
        <v/>
      </c>
      <c r="W45">
        <f>HYPERLINK("https://klasma.github.io/Logging_1765/kartor/A 8630-2025 karta.png", "A 8630-2025")</f>
        <v/>
      </c>
      <c r="Y45">
        <f>HYPERLINK("https://klasma.github.io/Logging_1765/klagomål/A 8630-2025 FSC-klagomål.docx", "A 8630-2025")</f>
        <v/>
      </c>
      <c r="Z45">
        <f>HYPERLINK("https://klasma.github.io/Logging_1765/klagomålsmail/A 8630-2025 FSC-klagomål mail.docx", "A 8630-2025")</f>
        <v/>
      </c>
      <c r="AA45">
        <f>HYPERLINK("https://klasma.github.io/Logging_1765/tillsyn/A 8630-2025 tillsynsbegäran.docx", "A 8630-2025")</f>
        <v/>
      </c>
      <c r="AB45">
        <f>HYPERLINK("https://klasma.github.io/Logging_1765/tillsynsmail/A 8630-2025 tillsynsbegäran mail.docx", "A 8630-2025")</f>
        <v/>
      </c>
    </row>
    <row r="46" ht="15" customHeight="1">
      <c r="A46" t="inlineStr">
        <is>
          <t>A 28384-2022</t>
        </is>
      </c>
      <c r="B46" t="inlineStr">
        <is>
          <t>avverkningsanmälan</t>
        </is>
      </c>
      <c r="C46" t="inlineStr">
        <is>
          <t>Föryngringsavverkning</t>
        </is>
      </c>
      <c r="D46" s="1" t="n">
        <v>44747</v>
      </c>
      <c r="E46" s="1" t="n">
        <v>46220</v>
      </c>
      <c r="F46" t="inlineStr">
        <is>
          <t>VÄRMLANDS LÄN</t>
        </is>
      </c>
      <c r="G46" t="inlineStr">
        <is>
          <t>ÅRJÄNG</t>
        </is>
      </c>
      <c r="H46" t="inlineStr">
        <is>
          <t>Naturvårdsverket</t>
        </is>
      </c>
      <c r="I46" t="n">
        <v>1.7</v>
      </c>
      <c r="J46" t="n">
        <v>1</v>
      </c>
      <c r="K46" t="n">
        <v>0</v>
      </c>
      <c r="L46" t="n">
        <v>0</v>
      </c>
      <c r="M46" t="n">
        <v>0</v>
      </c>
      <c r="N46" t="n">
        <v>0</v>
      </c>
      <c r="O46" t="n">
        <v>0</v>
      </c>
      <c r="P46" t="n">
        <v>0</v>
      </c>
      <c r="Q46" t="n">
        <v>0</v>
      </c>
      <c r="R46" t="n">
        <v>0</v>
      </c>
      <c r="S46" t="n">
        <v>1</v>
      </c>
      <c r="T46" t="n">
        <v>1</v>
      </c>
      <c r="U46" s="2" t="inlineStr">
        <is>
          <t>Tjäder</t>
        </is>
      </c>
      <c r="V46">
        <f>HYPERLINK("https://klasma.github.io/Logging_1765/artfynd/A 28384-2022 artfynd.xlsx", "A 28384-2022")</f>
        <v/>
      </c>
      <c r="W46">
        <f>HYPERLINK("https://klasma.github.io/Logging_1765/kartor/A 28384-2022 karta.png", "A 28384-2022")</f>
        <v/>
      </c>
      <c r="Y46">
        <f>HYPERLINK("https://klasma.github.io/Logging_1765/klagomål/A 28384-2022 FSC-klagomål.docx", "A 28384-2022")</f>
        <v/>
      </c>
      <c r="Z46">
        <f>HYPERLINK("https://klasma.github.io/Logging_1765/klagomålsmail/A 28384-2022 FSC-klagomål mail.docx", "A 28384-2022")</f>
        <v/>
      </c>
      <c r="AA46">
        <f>HYPERLINK("https://klasma.github.io/Logging_1765/tillsyn/A 28384-2022 tillsynsbegäran.docx", "A 28384-2022")</f>
        <v/>
      </c>
      <c r="AB46">
        <f>HYPERLINK("https://klasma.github.io/Logging_1765/tillsynsmail/A 28384-2022 tillsynsbegäran mail.docx", "A 28384-2022")</f>
        <v/>
      </c>
      <c r="AC46">
        <f>HYPERLINK("https://klasma.github.io/Logging_1765/fåglar/A 28384-2022 prioriterade fågelarter.docx", "A 28384-2022")</f>
        <v/>
      </c>
    </row>
    <row r="47" ht="15" customHeight="1">
      <c r="A47" t="inlineStr">
        <is>
          <t>A 2253-2025</t>
        </is>
      </c>
      <c r="B47" t="inlineStr">
        <is>
          <t>avverkningsanmälan</t>
        </is>
      </c>
      <c r="C47" t="inlineStr">
        <is>
          <t>Föryngringsavverkning</t>
        </is>
      </c>
      <c r="D47" s="1" t="n">
        <v>45673</v>
      </c>
      <c r="E47" s="1" t="n">
        <v>46220</v>
      </c>
      <c r="F47" t="inlineStr">
        <is>
          <t>VÄRMLANDS LÄN</t>
        </is>
      </c>
      <c r="G47" t="inlineStr">
        <is>
          <t>ÅRJÄNG</t>
        </is>
      </c>
      <c r="I47" t="n">
        <v>12.4</v>
      </c>
      <c r="J47" t="n">
        <v>1</v>
      </c>
      <c r="K47" t="n">
        <v>0</v>
      </c>
      <c r="L47" t="n">
        <v>0</v>
      </c>
      <c r="M47" t="n">
        <v>0</v>
      </c>
      <c r="N47" t="n">
        <v>0</v>
      </c>
      <c r="O47" t="n">
        <v>0</v>
      </c>
      <c r="P47" t="n">
        <v>0</v>
      </c>
      <c r="Q47" t="n">
        <v>0</v>
      </c>
      <c r="R47" t="n">
        <v>0</v>
      </c>
      <c r="S47" t="n">
        <v>1</v>
      </c>
      <c r="T47" t="n">
        <v>1</v>
      </c>
      <c r="U47" s="2" t="inlineStr">
        <is>
          <t>Orre</t>
        </is>
      </c>
      <c r="V47">
        <f>HYPERLINK("https://klasma.github.io/Logging_1765/artfynd/A 2253-2025 artfynd.xlsx", "A 2253-2025")</f>
        <v/>
      </c>
      <c r="W47">
        <f>HYPERLINK("https://klasma.github.io/Logging_1765/kartor/A 2253-2025 karta.png", "A 2253-2025")</f>
        <v/>
      </c>
      <c r="Y47">
        <f>HYPERLINK("https://klasma.github.io/Logging_1765/klagomål/A 2253-2025 FSC-klagomål.docx", "A 2253-2025")</f>
        <v/>
      </c>
      <c r="Z47">
        <f>HYPERLINK("https://klasma.github.io/Logging_1765/klagomålsmail/A 2253-2025 FSC-klagomål mail.docx", "A 2253-2025")</f>
        <v/>
      </c>
      <c r="AA47">
        <f>HYPERLINK("https://klasma.github.io/Logging_1765/tillsyn/A 2253-2025 tillsynsbegäran.docx", "A 2253-2025")</f>
        <v/>
      </c>
      <c r="AB47">
        <f>HYPERLINK("https://klasma.github.io/Logging_1765/tillsynsmail/A 2253-2025 tillsynsbegäran mail.docx", "A 2253-2025")</f>
        <v/>
      </c>
      <c r="AC47">
        <f>HYPERLINK("https://klasma.github.io/Logging_1765/fåglar/A 2253-2025 prioriterade fågelarter.docx", "A 2253-2025")</f>
        <v/>
      </c>
    </row>
    <row r="48" ht="15" customHeight="1">
      <c r="A48" t="inlineStr">
        <is>
          <t>A 33237-2025</t>
        </is>
      </c>
      <c r="B48" t="inlineStr">
        <is>
          <t>avverkningsanmälan</t>
        </is>
      </c>
      <c r="C48" t="inlineStr">
        <is>
          <t>Föryngringsavverkning</t>
        </is>
      </c>
      <c r="D48" s="1" t="n">
        <v>45840</v>
      </c>
      <c r="E48" s="1" t="n">
        <v>46220</v>
      </c>
      <c r="F48" t="inlineStr">
        <is>
          <t>VÄRMLANDS LÄN</t>
        </is>
      </c>
      <c r="G48" t="inlineStr">
        <is>
          <t>ÅRJÄNG</t>
        </is>
      </c>
      <c r="I48" t="n">
        <v>5.2</v>
      </c>
      <c r="J48" t="n">
        <v>0</v>
      </c>
      <c r="K48" t="n">
        <v>0</v>
      </c>
      <c r="L48" t="n">
        <v>1</v>
      </c>
      <c r="M48" t="n">
        <v>0</v>
      </c>
      <c r="N48" t="n">
        <v>0</v>
      </c>
      <c r="O48" t="n">
        <v>0</v>
      </c>
      <c r="P48" t="n">
        <v>0</v>
      </c>
      <c r="Q48" t="n">
        <v>1</v>
      </c>
      <c r="R48" t="n">
        <v>0</v>
      </c>
      <c r="S48" t="n">
        <v>1</v>
      </c>
      <c r="T48" t="n">
        <v>1</v>
      </c>
      <c r="U48" s="2" t="inlineStr">
        <is>
          <t>Skogsklocka</t>
        </is>
      </c>
      <c r="V48">
        <f>HYPERLINK("https://klasma.github.io/Logging_1765/artfynd/A 33237-2025 artfynd.xlsx", "A 33237-2025")</f>
        <v/>
      </c>
      <c r="W48">
        <f>HYPERLINK("https://klasma.github.io/Logging_1765/kartor/A 33237-2025 karta.png", "A 33237-2025")</f>
        <v/>
      </c>
      <c r="Y48">
        <f>HYPERLINK("https://klasma.github.io/Logging_1765/klagomål/A 33237-2025 FSC-klagomål.docx", "A 33237-2025")</f>
        <v/>
      </c>
      <c r="Z48">
        <f>HYPERLINK("https://klasma.github.io/Logging_1765/klagomålsmail/A 33237-2025 FSC-klagomål mail.docx", "A 33237-2025")</f>
        <v/>
      </c>
      <c r="AA48">
        <f>HYPERLINK("https://klasma.github.io/Logging_1765/tillsyn/A 33237-2025 tillsynsbegäran.docx", "A 33237-2025")</f>
        <v/>
      </c>
      <c r="AB48">
        <f>HYPERLINK("https://klasma.github.io/Logging_1765/tillsynsmail/A 33237-2025 tillsynsbegäran mail.docx", "A 33237-2025")</f>
        <v/>
      </c>
    </row>
    <row r="49" ht="15" customHeight="1">
      <c r="A49" t="inlineStr">
        <is>
          <t>A 4135-2025</t>
        </is>
      </c>
      <c r="B49" t="inlineStr">
        <is>
          <t>avverkningsanmälan</t>
        </is>
      </c>
      <c r="C49" t="inlineStr">
        <is>
          <t>Föryngringsavverkning</t>
        </is>
      </c>
      <c r="D49" s="1" t="n">
        <v>45685</v>
      </c>
      <c r="E49" s="1" t="n">
        <v>46220</v>
      </c>
      <c r="F49" t="inlineStr">
        <is>
          <t>VÄRMLANDS LÄN</t>
        </is>
      </c>
      <c r="G49" t="inlineStr">
        <is>
          <t>ÅRJÄNG</t>
        </is>
      </c>
      <c r="I49" t="n">
        <v>4.4</v>
      </c>
      <c r="J49" t="n">
        <v>1</v>
      </c>
      <c r="K49" t="n">
        <v>0</v>
      </c>
      <c r="L49" t="n">
        <v>0</v>
      </c>
      <c r="M49" t="n">
        <v>0</v>
      </c>
      <c r="N49" t="n">
        <v>0</v>
      </c>
      <c r="O49" t="n">
        <v>0</v>
      </c>
      <c r="P49" t="n">
        <v>0</v>
      </c>
      <c r="Q49" t="n">
        <v>0</v>
      </c>
      <c r="R49" t="n">
        <v>0</v>
      </c>
      <c r="S49" t="n">
        <v>1</v>
      </c>
      <c r="T49" t="n">
        <v>1</v>
      </c>
      <c r="U49" s="2" t="inlineStr">
        <is>
          <t>Tjäder</t>
        </is>
      </c>
      <c r="V49">
        <f>HYPERLINK("https://klasma.github.io/Logging_1765/artfynd/A 4135-2025 artfynd.xlsx", "A 4135-2025")</f>
        <v/>
      </c>
      <c r="W49">
        <f>HYPERLINK("https://klasma.github.io/Logging_1765/kartor/A 4135-2025 karta.png", "A 4135-2025")</f>
        <v/>
      </c>
      <c r="Y49">
        <f>HYPERLINK("https://klasma.github.io/Logging_1765/klagomål/A 4135-2025 FSC-klagomål.docx", "A 4135-2025")</f>
        <v/>
      </c>
      <c r="Z49">
        <f>HYPERLINK("https://klasma.github.io/Logging_1765/klagomålsmail/A 4135-2025 FSC-klagomål mail.docx", "A 4135-2025")</f>
        <v/>
      </c>
      <c r="AA49">
        <f>HYPERLINK("https://klasma.github.io/Logging_1765/tillsyn/A 4135-2025 tillsynsbegäran.docx", "A 4135-2025")</f>
        <v/>
      </c>
      <c r="AB49">
        <f>HYPERLINK("https://klasma.github.io/Logging_1765/tillsynsmail/A 4135-2025 tillsynsbegäran mail.docx", "A 4135-2025")</f>
        <v/>
      </c>
      <c r="AC49">
        <f>HYPERLINK("https://klasma.github.io/Logging_1765/fåglar/A 4135-2025 prioriterade fågelarter.docx", "A 4135-2025")</f>
        <v/>
      </c>
    </row>
    <row r="50" ht="15" customHeight="1">
      <c r="A50" t="inlineStr">
        <is>
          <t>A 33600-2025</t>
        </is>
      </c>
      <c r="B50" t="inlineStr">
        <is>
          <t>avverkningsanmälan</t>
        </is>
      </c>
      <c r="C50" t="inlineStr">
        <is>
          <t>Föryngringsavverkning</t>
        </is>
      </c>
      <c r="D50" s="1" t="n">
        <v>45841</v>
      </c>
      <c r="E50" s="1" t="n">
        <v>46220</v>
      </c>
      <c r="F50" t="inlineStr">
        <is>
          <t>VÄRMLANDS LÄN</t>
        </is>
      </c>
      <c r="G50" t="inlineStr">
        <is>
          <t>ÅRJÄNG</t>
        </is>
      </c>
      <c r="I50" t="n">
        <v>1.3</v>
      </c>
      <c r="J50" t="n">
        <v>1</v>
      </c>
      <c r="K50" t="n">
        <v>0</v>
      </c>
      <c r="L50" t="n">
        <v>0</v>
      </c>
      <c r="M50" t="n">
        <v>0</v>
      </c>
      <c r="N50" t="n">
        <v>0</v>
      </c>
      <c r="O50" t="n">
        <v>0</v>
      </c>
      <c r="P50" t="n">
        <v>0</v>
      </c>
      <c r="Q50" t="n">
        <v>0</v>
      </c>
      <c r="R50" t="n">
        <v>0</v>
      </c>
      <c r="S50" t="n">
        <v>1</v>
      </c>
      <c r="T50" t="n">
        <v>1</v>
      </c>
      <c r="U50" s="2" t="inlineStr">
        <is>
          <t>Större vattensalamander</t>
        </is>
      </c>
      <c r="V50">
        <f>HYPERLINK("https://klasma.github.io/Logging_1765/artfynd/A 33600-2025 artfynd.xlsx", "A 33600-2025")</f>
        <v/>
      </c>
      <c r="W50">
        <f>HYPERLINK("https://klasma.github.io/Logging_1765/kartor/A 33600-2025 karta.png", "A 33600-2025")</f>
        <v/>
      </c>
      <c r="Y50">
        <f>HYPERLINK("https://klasma.github.io/Logging_1765/klagomål/A 33600-2025 FSC-klagomål.docx", "A 33600-2025")</f>
        <v/>
      </c>
      <c r="Z50">
        <f>HYPERLINK("https://klasma.github.io/Logging_1765/klagomålsmail/A 33600-2025 FSC-klagomål mail.docx", "A 33600-2025")</f>
        <v/>
      </c>
      <c r="AA50">
        <f>HYPERLINK("https://klasma.github.io/Logging_1765/tillsyn/A 33600-2025 tillsynsbegäran.docx", "A 33600-2025")</f>
        <v/>
      </c>
      <c r="AB50">
        <f>HYPERLINK("https://klasma.github.io/Logging_1765/tillsynsmail/A 33600-2025 tillsynsbegäran mail.docx", "A 33600-2025")</f>
        <v/>
      </c>
    </row>
    <row r="51" ht="15" customHeight="1">
      <c r="A51" t="inlineStr">
        <is>
          <t>A 33481-2025</t>
        </is>
      </c>
      <c r="B51" t="inlineStr">
        <is>
          <t>avverkningsanmälan</t>
        </is>
      </c>
      <c r="C51" t="inlineStr">
        <is>
          <t>Föryngringsavverkning</t>
        </is>
      </c>
      <c r="D51" s="1" t="n">
        <v>45841</v>
      </c>
      <c r="E51" s="1" t="n">
        <v>46220</v>
      </c>
      <c r="F51" t="inlineStr">
        <is>
          <t>VÄRMLANDS LÄN</t>
        </is>
      </c>
      <c r="G51" t="inlineStr">
        <is>
          <t>ÅRJÄNG</t>
        </is>
      </c>
      <c r="I51" t="n">
        <v>10.3</v>
      </c>
      <c r="J51" t="n">
        <v>1</v>
      </c>
      <c r="K51" t="n">
        <v>0</v>
      </c>
      <c r="L51" t="n">
        <v>0</v>
      </c>
      <c r="M51" t="n">
        <v>0</v>
      </c>
      <c r="N51" t="n">
        <v>0</v>
      </c>
      <c r="O51" t="n">
        <v>0</v>
      </c>
      <c r="P51" t="n">
        <v>0</v>
      </c>
      <c r="Q51" t="n">
        <v>0</v>
      </c>
      <c r="R51" t="n">
        <v>0</v>
      </c>
      <c r="S51" t="n">
        <v>1</v>
      </c>
      <c r="T51" t="n">
        <v>1</v>
      </c>
      <c r="U51" s="2" t="inlineStr">
        <is>
          <t>Blåsippa</t>
        </is>
      </c>
      <c r="V51">
        <f>HYPERLINK("https://klasma.github.io/Logging_1765/artfynd/A 33481-2025 artfynd.xlsx", "A 33481-2025")</f>
        <v/>
      </c>
      <c r="W51">
        <f>HYPERLINK("https://klasma.github.io/Logging_1765/kartor/A 33481-2025 karta.png", "A 33481-2025")</f>
        <v/>
      </c>
      <c r="Y51">
        <f>HYPERLINK("https://klasma.github.io/Logging_1765/klagomål/A 33481-2025 FSC-klagomål.docx", "A 33481-2025")</f>
        <v/>
      </c>
      <c r="Z51">
        <f>HYPERLINK("https://klasma.github.io/Logging_1765/klagomålsmail/A 33481-2025 FSC-klagomål mail.docx", "A 33481-2025")</f>
        <v/>
      </c>
      <c r="AA51">
        <f>HYPERLINK("https://klasma.github.io/Logging_1765/tillsyn/A 33481-2025 tillsynsbegäran.docx", "A 33481-2025")</f>
        <v/>
      </c>
      <c r="AB51">
        <f>HYPERLINK("https://klasma.github.io/Logging_1765/tillsynsmail/A 33481-2025 tillsynsbegäran mail.docx", "A 33481-2025")</f>
        <v/>
      </c>
    </row>
    <row r="52" ht="15" customHeight="1">
      <c r="A52" t="inlineStr">
        <is>
          <t>A 47476-2025</t>
        </is>
      </c>
      <c r="B52" t="inlineStr">
        <is>
          <t>avverkningsanmälan</t>
        </is>
      </c>
      <c r="C52" t="inlineStr">
        <is>
          <t>Föryngringsavverkning</t>
        </is>
      </c>
      <c r="D52" s="1" t="n">
        <v>45930</v>
      </c>
      <c r="E52" s="1" t="n">
        <v>46220</v>
      </c>
      <c r="F52" t="inlineStr">
        <is>
          <t>VÄRMLANDS LÄN</t>
        </is>
      </c>
      <c r="G52" t="inlineStr">
        <is>
          <t>ÅRJÄNG</t>
        </is>
      </c>
      <c r="H52" t="inlineStr">
        <is>
          <t>Kyrkan</t>
        </is>
      </c>
      <c r="I52" t="n">
        <v>6.5</v>
      </c>
      <c r="J52" t="n">
        <v>1</v>
      </c>
      <c r="K52" t="n">
        <v>0</v>
      </c>
      <c r="L52" t="n">
        <v>0</v>
      </c>
      <c r="M52" t="n">
        <v>0</v>
      </c>
      <c r="N52" t="n">
        <v>0</v>
      </c>
      <c r="O52" t="n">
        <v>0</v>
      </c>
      <c r="P52" t="n">
        <v>0</v>
      </c>
      <c r="Q52" t="n">
        <v>0</v>
      </c>
      <c r="R52" t="n">
        <v>0</v>
      </c>
      <c r="S52" t="n">
        <v>1</v>
      </c>
      <c r="T52" t="n">
        <v>1</v>
      </c>
      <c r="U52" s="2" t="inlineStr">
        <is>
          <t>Fläcknycklar</t>
        </is>
      </c>
      <c r="V52">
        <f>HYPERLINK("https://klasma.github.io/Logging_1765/artfynd/A 47476-2025 artfynd.xlsx", "A 47476-2025")</f>
        <v/>
      </c>
      <c r="W52">
        <f>HYPERLINK("https://klasma.github.io/Logging_1765/kartor/A 47476-2025 karta.png", "A 47476-2025")</f>
        <v/>
      </c>
      <c r="Y52">
        <f>HYPERLINK("https://klasma.github.io/Logging_1765/klagomål/A 47476-2025 FSC-klagomål.docx", "A 47476-2025")</f>
        <v/>
      </c>
      <c r="Z52">
        <f>HYPERLINK("https://klasma.github.io/Logging_1765/klagomålsmail/A 47476-2025 FSC-klagomål mail.docx", "A 47476-2025")</f>
        <v/>
      </c>
      <c r="AA52">
        <f>HYPERLINK("https://klasma.github.io/Logging_1765/tillsyn/A 47476-2025 tillsynsbegäran.docx", "A 47476-2025")</f>
        <v/>
      </c>
      <c r="AB52">
        <f>HYPERLINK("https://klasma.github.io/Logging_1765/tillsynsmail/A 47476-2025 tillsynsbegäran mail.docx", "A 47476-2025")</f>
        <v/>
      </c>
    </row>
    <row r="53" ht="15" customHeight="1">
      <c r="A53" t="inlineStr">
        <is>
          <t>A 47695-2025</t>
        </is>
      </c>
      <c r="B53" t="inlineStr">
        <is>
          <t>avverkningsanmälan</t>
        </is>
      </c>
      <c r="C53" t="inlineStr">
        <is>
          <t>Föryngringsavverkning</t>
        </is>
      </c>
      <c r="D53" s="1" t="n">
        <v>45931</v>
      </c>
      <c r="E53" s="1" t="n">
        <v>46220</v>
      </c>
      <c r="F53" t="inlineStr">
        <is>
          <t>VÄRMLANDS LÄN</t>
        </is>
      </c>
      <c r="G53" t="inlineStr">
        <is>
          <t>ÅRJÄNG</t>
        </is>
      </c>
      <c r="I53" t="n">
        <v>8.300000000000001</v>
      </c>
      <c r="J53" t="n">
        <v>0</v>
      </c>
      <c r="K53" t="n">
        <v>0</v>
      </c>
      <c r="L53" t="n">
        <v>0</v>
      </c>
      <c r="M53" t="n">
        <v>1</v>
      </c>
      <c r="N53" t="n">
        <v>0</v>
      </c>
      <c r="O53" t="n">
        <v>0</v>
      </c>
      <c r="P53" t="n">
        <v>0</v>
      </c>
      <c r="Q53" t="n">
        <v>1</v>
      </c>
      <c r="R53" t="n">
        <v>1</v>
      </c>
      <c r="S53" t="n">
        <v>1</v>
      </c>
      <c r="T53" t="n">
        <v>2</v>
      </c>
      <c r="U53" s="2" t="inlineStr">
        <is>
          <t>Slåttergubbe</t>
        </is>
      </c>
      <c r="V53">
        <f>HYPERLINK("https://klasma.github.io/Logging_1765/artfynd/A 47695-2025 artfynd.xlsx", "A 47695-2025")</f>
        <v/>
      </c>
      <c r="W53">
        <f>HYPERLINK("https://klasma.github.io/Logging_1765/kartor/A 47695-2025 karta.png", "A 47695-2025")</f>
        <v/>
      </c>
      <c r="Y53">
        <f>HYPERLINK("https://klasma.github.io/Logging_1765/klagomål/A 47695-2025 FSC-klagomål.docx", "A 47695-2025")</f>
        <v/>
      </c>
      <c r="Z53">
        <f>HYPERLINK("https://klasma.github.io/Logging_1765/klagomålsmail/A 47695-2025 FSC-klagomål mail.docx", "A 47695-2025")</f>
        <v/>
      </c>
      <c r="AA53">
        <f>HYPERLINK("https://klasma.github.io/Logging_1765/tillsyn/A 47695-2025 tillsynsbegäran.docx", "A 47695-2025")</f>
        <v/>
      </c>
      <c r="AB53">
        <f>HYPERLINK("https://klasma.github.io/Logging_1765/tillsynsmail/A 47695-2025 tillsynsbegäran mail.docx", "A 47695-2025")</f>
        <v/>
      </c>
    </row>
    <row r="54" ht="15" customHeight="1">
      <c r="A54" t="inlineStr">
        <is>
          <t>A 47631-2025</t>
        </is>
      </c>
      <c r="B54" t="inlineStr">
        <is>
          <t>avverkningsanmälan</t>
        </is>
      </c>
      <c r="C54" t="inlineStr">
        <is>
          <t>Föryngringsavverkning</t>
        </is>
      </c>
      <c r="D54" s="1" t="n">
        <v>45931</v>
      </c>
      <c r="E54" s="1" t="n">
        <v>46220</v>
      </c>
      <c r="F54" t="inlineStr">
        <is>
          <t>VÄRMLANDS LÄN</t>
        </is>
      </c>
      <c r="G54" t="inlineStr">
        <is>
          <t>ÅRJÄNG</t>
        </is>
      </c>
      <c r="H54" t="inlineStr">
        <is>
          <t>Bergvik skog väst AB</t>
        </is>
      </c>
      <c r="I54" t="n">
        <v>6.6</v>
      </c>
      <c r="J54" t="n">
        <v>0</v>
      </c>
      <c r="K54" t="n">
        <v>0</v>
      </c>
      <c r="L54" t="n">
        <v>0</v>
      </c>
      <c r="M54" t="n">
        <v>1</v>
      </c>
      <c r="N54" t="n">
        <v>0</v>
      </c>
      <c r="O54" t="n">
        <v>0</v>
      </c>
      <c r="P54" t="n">
        <v>0</v>
      </c>
      <c r="Q54" t="n">
        <v>1</v>
      </c>
      <c r="R54" t="n">
        <v>1</v>
      </c>
      <c r="S54" t="n">
        <v>1</v>
      </c>
      <c r="T54" t="n">
        <v>1</v>
      </c>
      <c r="U54" s="2" t="inlineStr">
        <is>
          <t>Slåttergubbe</t>
        </is>
      </c>
      <c r="V54">
        <f>HYPERLINK("https://klasma.github.io/Logging_1765/artfynd/A 47631-2025 artfynd.xlsx", "A 47631-2025")</f>
        <v/>
      </c>
      <c r="W54">
        <f>HYPERLINK("https://klasma.github.io/Logging_1765/kartor/A 47631-2025 karta.png", "A 47631-2025")</f>
        <v/>
      </c>
      <c r="Y54">
        <f>HYPERLINK("https://klasma.github.io/Logging_1765/klagomål/A 47631-2025 FSC-klagomål.docx", "A 47631-2025")</f>
        <v/>
      </c>
      <c r="Z54">
        <f>HYPERLINK("https://klasma.github.io/Logging_1765/klagomålsmail/A 47631-2025 FSC-klagomål mail.docx", "A 47631-2025")</f>
        <v/>
      </c>
      <c r="AA54">
        <f>HYPERLINK("https://klasma.github.io/Logging_1765/tillsyn/A 47631-2025 tillsynsbegäran.docx", "A 47631-2025")</f>
        <v/>
      </c>
      <c r="AB54">
        <f>HYPERLINK("https://klasma.github.io/Logging_1765/tillsynsmail/A 47631-2025 tillsynsbegäran mail.docx", "A 47631-2025")</f>
        <v/>
      </c>
    </row>
    <row r="55" ht="15" customHeight="1">
      <c r="A55" t="inlineStr">
        <is>
          <t>A 36385-2025</t>
        </is>
      </c>
      <c r="B55" t="inlineStr">
        <is>
          <t>avverkningsanmälan</t>
        </is>
      </c>
      <c r="C55" t="inlineStr">
        <is>
          <t>Föryngringsavverkning</t>
        </is>
      </c>
      <c r="D55" s="1" t="n">
        <v>45868</v>
      </c>
      <c r="E55" s="1" t="n">
        <v>46220</v>
      </c>
      <c r="F55" t="inlineStr">
        <is>
          <t>VÄRMLANDS LÄN</t>
        </is>
      </c>
      <c r="G55" t="inlineStr">
        <is>
          <t>ÅRJÄNG</t>
        </is>
      </c>
      <c r="I55" t="n">
        <v>2.9</v>
      </c>
      <c r="J55" t="n">
        <v>0</v>
      </c>
      <c r="K55" t="n">
        <v>1</v>
      </c>
      <c r="L55" t="n">
        <v>0</v>
      </c>
      <c r="M55" t="n">
        <v>0</v>
      </c>
      <c r="N55" t="n">
        <v>0</v>
      </c>
      <c r="O55" t="n">
        <v>0</v>
      </c>
      <c r="P55" t="n">
        <v>0</v>
      </c>
      <c r="Q55" t="n">
        <v>0</v>
      </c>
      <c r="R55" t="n">
        <v>0</v>
      </c>
      <c r="S55" t="n">
        <v>1</v>
      </c>
      <c r="T55" t="n">
        <v>1</v>
      </c>
      <c r="U55" s="2" t="inlineStr">
        <is>
          <t>Grönpyrola</t>
        </is>
      </c>
      <c r="V55">
        <f>HYPERLINK("https://klasma.github.io/Logging_1765/artfynd/A 36385-2025 artfynd.xlsx", "A 36385-2025")</f>
        <v/>
      </c>
      <c r="W55">
        <f>HYPERLINK("https://klasma.github.io/Logging_1765/kartor/A 36385-2025 karta.png", "A 36385-2025")</f>
        <v/>
      </c>
      <c r="Y55">
        <f>HYPERLINK("https://klasma.github.io/Logging_1765/klagomål/A 36385-2025 FSC-klagomål.docx", "A 36385-2025")</f>
        <v/>
      </c>
      <c r="Z55">
        <f>HYPERLINK("https://klasma.github.io/Logging_1765/klagomålsmail/A 36385-2025 FSC-klagomål mail.docx", "A 36385-2025")</f>
        <v/>
      </c>
      <c r="AA55">
        <f>HYPERLINK("https://klasma.github.io/Logging_1765/tillsyn/A 36385-2025 tillsynsbegäran.docx", "A 36385-2025")</f>
        <v/>
      </c>
      <c r="AB55">
        <f>HYPERLINK("https://klasma.github.io/Logging_1765/tillsynsmail/A 36385-2025 tillsynsbegäran mail.docx", "A 36385-2025")</f>
        <v/>
      </c>
    </row>
    <row r="56" ht="15" customHeight="1">
      <c r="A56" t="inlineStr">
        <is>
          <t>A 57430-2025</t>
        </is>
      </c>
      <c r="B56" t="inlineStr">
        <is>
          <t>avverkningsanmälan</t>
        </is>
      </c>
      <c r="C56" t="inlineStr">
        <is>
          <t>Föryngringsavverkning</t>
        </is>
      </c>
      <c r="D56" s="1" t="n">
        <v>45980</v>
      </c>
      <c r="E56" s="1" t="n">
        <v>46220</v>
      </c>
      <c r="F56" t="inlineStr">
        <is>
          <t>VÄRMLANDS LÄN</t>
        </is>
      </c>
      <c r="G56" t="inlineStr">
        <is>
          <t>ÅRJÄNG</t>
        </is>
      </c>
      <c r="I56" t="n">
        <v>1.4</v>
      </c>
      <c r="J56" t="n">
        <v>1</v>
      </c>
      <c r="K56" t="n">
        <v>0</v>
      </c>
      <c r="L56" t="n">
        <v>0</v>
      </c>
      <c r="M56" t="n">
        <v>0</v>
      </c>
      <c r="N56" t="n">
        <v>0</v>
      </c>
      <c r="O56" t="n">
        <v>0</v>
      </c>
      <c r="P56" t="n">
        <v>0</v>
      </c>
      <c r="Q56" t="n">
        <v>0</v>
      </c>
      <c r="R56" t="n">
        <v>0</v>
      </c>
      <c r="S56" t="n">
        <v>1</v>
      </c>
      <c r="T56" t="n">
        <v>3</v>
      </c>
      <c r="U56" s="2" t="inlineStr">
        <is>
          <t>Grönvit nattviol</t>
        </is>
      </c>
      <c r="V56">
        <f>HYPERLINK("https://klasma.github.io/Logging_1765/artfynd/A 57430-2025 artfynd.xlsx", "A 57430-2025")</f>
        <v/>
      </c>
      <c r="W56">
        <f>HYPERLINK("https://klasma.github.io/Logging_1765/kartor/A 57430-2025 karta.png", "A 57430-2025")</f>
        <v/>
      </c>
      <c r="Y56">
        <f>HYPERLINK("https://klasma.github.io/Logging_1765/klagomål/A 57430-2025 FSC-klagomål.docx", "A 57430-2025")</f>
        <v/>
      </c>
      <c r="Z56">
        <f>HYPERLINK("https://klasma.github.io/Logging_1765/klagomålsmail/A 57430-2025 FSC-klagomål mail.docx", "A 57430-2025")</f>
        <v/>
      </c>
      <c r="AA56">
        <f>HYPERLINK("https://klasma.github.io/Logging_1765/tillsyn/A 57430-2025 tillsynsbegäran.docx", "A 57430-2025")</f>
        <v/>
      </c>
      <c r="AB56">
        <f>HYPERLINK("https://klasma.github.io/Logging_1765/tillsynsmail/A 57430-2025 tillsynsbegäran mail.docx", "A 57430-2025")</f>
        <v/>
      </c>
    </row>
    <row r="57" ht="15" customHeight="1">
      <c r="A57" t="inlineStr">
        <is>
          <t>A 11682-2022</t>
        </is>
      </c>
      <c r="B57" t="inlineStr">
        <is>
          <t>avverkningsanmälan</t>
        </is>
      </c>
      <c r="C57" t="inlineStr">
        <is>
          <t>Föryngringsavverkning</t>
        </is>
      </c>
      <c r="D57" s="1" t="n">
        <v>44631</v>
      </c>
      <c r="E57" s="1" t="n">
        <v>46220</v>
      </c>
      <c r="F57" t="inlineStr">
        <is>
          <t>VÄRMLANDS LÄN</t>
        </is>
      </c>
      <c r="G57" t="inlineStr">
        <is>
          <t>ÅRJÄNG</t>
        </is>
      </c>
      <c r="I57" t="n">
        <v>19.9</v>
      </c>
      <c r="J57" t="n">
        <v>0</v>
      </c>
      <c r="K57" t="n">
        <v>0</v>
      </c>
      <c r="L57" t="n">
        <v>1</v>
      </c>
      <c r="M57" t="n">
        <v>0</v>
      </c>
      <c r="N57" t="n">
        <v>0</v>
      </c>
      <c r="O57" t="n">
        <v>0</v>
      </c>
      <c r="P57" t="n">
        <v>0</v>
      </c>
      <c r="Q57" t="n">
        <v>1</v>
      </c>
      <c r="R57" t="n">
        <v>0</v>
      </c>
      <c r="S57" t="n">
        <v>1</v>
      </c>
      <c r="T57" t="n">
        <v>1</v>
      </c>
      <c r="U57" s="2" t="inlineStr">
        <is>
          <t>Skogsklocka</t>
        </is>
      </c>
      <c r="V57">
        <f>HYPERLINK("https://klasma.github.io/Logging_1765/artfynd/A 11682-2022 artfynd.xlsx", "A 11682-2022")</f>
        <v/>
      </c>
      <c r="W57">
        <f>HYPERLINK("https://klasma.github.io/Logging_1765/kartor/A 11682-2022 karta.png", "A 11682-2022")</f>
        <v/>
      </c>
      <c r="Y57">
        <f>HYPERLINK("https://klasma.github.io/Logging_1765/klagomål/A 11682-2022 FSC-klagomål.docx", "A 11682-2022")</f>
        <v/>
      </c>
      <c r="Z57">
        <f>HYPERLINK("https://klasma.github.io/Logging_1765/klagomålsmail/A 11682-2022 FSC-klagomål mail.docx", "A 11682-2022")</f>
        <v/>
      </c>
      <c r="AA57">
        <f>HYPERLINK("https://klasma.github.io/Logging_1765/tillsyn/A 11682-2022 tillsynsbegäran.docx", "A 11682-2022")</f>
        <v/>
      </c>
      <c r="AB57">
        <f>HYPERLINK("https://klasma.github.io/Logging_1765/tillsynsmail/A 11682-2022 tillsynsbegäran mail.docx", "A 11682-2022")</f>
        <v/>
      </c>
    </row>
    <row r="58" ht="15" customHeight="1">
      <c r="A58" t="inlineStr">
        <is>
          <t>A 62609-2023</t>
        </is>
      </c>
      <c r="B58" t="inlineStr">
        <is>
          <t>avverkningsanmälan</t>
        </is>
      </c>
      <c r="C58" t="inlineStr">
        <is>
          <t>Föryngringsavverkning</t>
        </is>
      </c>
      <c r="D58" s="1" t="n">
        <v>45267</v>
      </c>
      <c r="E58" s="1" t="n">
        <v>46220</v>
      </c>
      <c r="F58" t="inlineStr">
        <is>
          <t>VÄRMLANDS LÄN</t>
        </is>
      </c>
      <c r="G58" t="inlineStr">
        <is>
          <t>ÅRJÄNG</t>
        </is>
      </c>
      <c r="I58" t="n">
        <v>14.4</v>
      </c>
      <c r="J58" t="n">
        <v>1</v>
      </c>
      <c r="K58" t="n">
        <v>0</v>
      </c>
      <c r="L58" t="n">
        <v>0</v>
      </c>
      <c r="M58" t="n">
        <v>0</v>
      </c>
      <c r="N58" t="n">
        <v>0</v>
      </c>
      <c r="O58" t="n">
        <v>0</v>
      </c>
      <c r="P58" t="n">
        <v>0</v>
      </c>
      <c r="Q58" t="n">
        <v>0</v>
      </c>
      <c r="R58" t="n">
        <v>0</v>
      </c>
      <c r="S58" t="n">
        <v>1</v>
      </c>
      <c r="T58" t="n">
        <v>1</v>
      </c>
      <c r="U58" s="2" t="inlineStr">
        <is>
          <t>Vanlig snok</t>
        </is>
      </c>
      <c r="V58">
        <f>HYPERLINK("https://klasma.github.io/Logging_1765/artfynd/A 62609-2023 artfynd.xlsx", "A 62609-2023")</f>
        <v/>
      </c>
      <c r="W58">
        <f>HYPERLINK("https://klasma.github.io/Logging_1765/kartor/A 62609-2023 karta.png", "A 62609-2023")</f>
        <v/>
      </c>
      <c r="Y58">
        <f>HYPERLINK("https://klasma.github.io/Logging_1765/klagomål/A 62609-2023 FSC-klagomål.docx", "A 62609-2023")</f>
        <v/>
      </c>
      <c r="Z58">
        <f>HYPERLINK("https://klasma.github.io/Logging_1765/klagomålsmail/A 62609-2023 FSC-klagomål mail.docx", "A 62609-2023")</f>
        <v/>
      </c>
      <c r="AA58">
        <f>HYPERLINK("https://klasma.github.io/Logging_1765/tillsyn/A 62609-2023 tillsynsbegäran.docx", "A 62609-2023")</f>
        <v/>
      </c>
      <c r="AB58">
        <f>HYPERLINK("https://klasma.github.io/Logging_1765/tillsynsmail/A 62609-2023 tillsynsbegäran mail.docx", "A 62609-2023")</f>
        <v/>
      </c>
    </row>
    <row r="59" ht="15" customHeight="1">
      <c r="A59" t="inlineStr">
        <is>
          <t>A 54950-2022</t>
        </is>
      </c>
      <c r="B59" t="inlineStr">
        <is>
          <t>avverkningsanmälan</t>
        </is>
      </c>
      <c r="C59" t="inlineStr">
        <is>
          <t>Föryngringsavverkning</t>
        </is>
      </c>
      <c r="D59" s="1" t="n">
        <v>44886</v>
      </c>
      <c r="E59" s="1" t="n">
        <v>46220</v>
      </c>
      <c r="F59" t="inlineStr">
        <is>
          <t>VÄRMLANDS LÄN</t>
        </is>
      </c>
      <c r="G59" t="inlineStr">
        <is>
          <t>ÅRJÄNG</t>
        </is>
      </c>
      <c r="I59" t="n">
        <v>13</v>
      </c>
      <c r="J59" t="n">
        <v>0</v>
      </c>
      <c r="K59" t="n">
        <v>0</v>
      </c>
      <c r="L59" t="n">
        <v>1</v>
      </c>
      <c r="M59" t="n">
        <v>0</v>
      </c>
      <c r="N59" t="n">
        <v>0</v>
      </c>
      <c r="O59" t="n">
        <v>0</v>
      </c>
      <c r="P59" t="n">
        <v>0</v>
      </c>
      <c r="Q59" t="n">
        <v>1</v>
      </c>
      <c r="R59" t="n">
        <v>0</v>
      </c>
      <c r="S59" t="n">
        <v>1</v>
      </c>
      <c r="T59" t="n">
        <v>1</v>
      </c>
      <c r="U59" s="2" t="inlineStr">
        <is>
          <t>Kandelabersvamp</t>
        </is>
      </c>
      <c r="V59">
        <f>HYPERLINK("https://klasma.github.io/Logging_1765/artfynd/A 54950-2022 artfynd.xlsx", "A 54950-2022")</f>
        <v/>
      </c>
      <c r="W59">
        <f>HYPERLINK("https://klasma.github.io/Logging_1765/kartor/A 54950-2022 karta.png", "A 54950-2022")</f>
        <v/>
      </c>
      <c r="Y59">
        <f>HYPERLINK("https://klasma.github.io/Logging_1765/klagomål/A 54950-2022 FSC-klagomål.docx", "A 54950-2022")</f>
        <v/>
      </c>
      <c r="Z59">
        <f>HYPERLINK("https://klasma.github.io/Logging_1765/klagomålsmail/A 54950-2022 FSC-klagomål mail.docx", "A 54950-2022")</f>
        <v/>
      </c>
      <c r="AA59">
        <f>HYPERLINK("https://klasma.github.io/Logging_1765/tillsyn/A 54950-2022 tillsynsbegäran.docx", "A 54950-2022")</f>
        <v/>
      </c>
      <c r="AB59">
        <f>HYPERLINK("https://klasma.github.io/Logging_1765/tillsynsmail/A 54950-2022 tillsynsbegäran mail.docx", "A 54950-2022")</f>
        <v/>
      </c>
    </row>
    <row r="60" ht="15" customHeight="1">
      <c r="A60" t="inlineStr">
        <is>
          <t>A 30550-2023</t>
        </is>
      </c>
      <c r="B60" t="inlineStr">
        <is>
          <t>avverkningsanmälan</t>
        </is>
      </c>
      <c r="C60" t="inlineStr">
        <is>
          <t>Föryngringsavverkning</t>
        </is>
      </c>
      <c r="D60" s="1" t="n">
        <v>45111</v>
      </c>
      <c r="E60" s="1" t="n">
        <v>46220</v>
      </c>
      <c r="F60" t="inlineStr">
        <is>
          <t>VÄRMLANDS LÄN</t>
        </is>
      </c>
      <c r="G60" t="inlineStr">
        <is>
          <t>ÅRJÄNG</t>
        </is>
      </c>
      <c r="I60" t="n">
        <v>3</v>
      </c>
      <c r="J60" t="n">
        <v>0</v>
      </c>
      <c r="K60" t="n">
        <v>0</v>
      </c>
      <c r="L60" t="n">
        <v>1</v>
      </c>
      <c r="M60" t="n">
        <v>0</v>
      </c>
      <c r="N60" t="n">
        <v>0</v>
      </c>
      <c r="O60" t="n">
        <v>0</v>
      </c>
      <c r="P60" t="n">
        <v>0</v>
      </c>
      <c r="Q60" t="n">
        <v>1</v>
      </c>
      <c r="R60" t="n">
        <v>0</v>
      </c>
      <c r="S60" t="n">
        <v>1</v>
      </c>
      <c r="T60" t="n">
        <v>1</v>
      </c>
      <c r="U60" s="2" t="inlineStr">
        <is>
          <t>Lunglav</t>
        </is>
      </c>
      <c r="V60">
        <f>HYPERLINK("https://klasma.github.io/Logging_1765/artfynd/A 30550-2023 artfynd.xlsx", "A 30550-2023")</f>
        <v/>
      </c>
      <c r="W60">
        <f>HYPERLINK("https://klasma.github.io/Logging_1765/kartor/A 30550-2023 karta.png", "A 30550-2023")</f>
        <v/>
      </c>
      <c r="Y60">
        <f>HYPERLINK("https://klasma.github.io/Logging_1765/klagomål/A 30550-2023 FSC-klagomål.docx", "A 30550-2023")</f>
        <v/>
      </c>
      <c r="Z60">
        <f>HYPERLINK("https://klasma.github.io/Logging_1765/klagomålsmail/A 30550-2023 FSC-klagomål mail.docx", "A 30550-2023")</f>
        <v/>
      </c>
      <c r="AA60">
        <f>HYPERLINK("https://klasma.github.io/Logging_1765/tillsyn/A 30550-2023 tillsynsbegäran.docx", "A 30550-2023")</f>
        <v/>
      </c>
      <c r="AB60">
        <f>HYPERLINK("https://klasma.github.io/Logging_1765/tillsynsmail/A 30550-2023 tillsynsbegäran mail.docx", "A 30550-2023")</f>
        <v/>
      </c>
    </row>
    <row r="61" ht="15" customHeight="1">
      <c r="A61" t="inlineStr">
        <is>
          <t>A 18744-2026</t>
        </is>
      </c>
      <c r="B61" t="inlineStr">
        <is>
          <t>avverkningsanmälan</t>
        </is>
      </c>
      <c r="C61" t="inlineStr">
        <is>
          <t>Föryngringsavverkning</t>
        </is>
      </c>
      <c r="D61" s="1" t="n">
        <v>46128</v>
      </c>
      <c r="E61" s="1" t="n">
        <v>46220</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s="2" t="inlineStr">
        <is>
          <t>Mattlummer</t>
        </is>
      </c>
      <c r="V61">
        <f>HYPERLINK("https://klasma.github.io/Logging_1765/artfynd/A 18744-2026 artfynd.xlsx", "A 18744-2026")</f>
        <v/>
      </c>
      <c r="W61">
        <f>HYPERLINK("https://klasma.github.io/Logging_1765/kartor/A 18744-2026 karta.png", "A 18744-2026")</f>
        <v/>
      </c>
      <c r="Y61">
        <f>HYPERLINK("https://klasma.github.io/Logging_1765/klagomål/A 18744-2026 FSC-klagomål.docx", "A 18744-2026")</f>
        <v/>
      </c>
      <c r="Z61">
        <f>HYPERLINK("https://klasma.github.io/Logging_1765/klagomålsmail/A 18744-2026 FSC-klagomål mail.docx", "A 18744-2026")</f>
        <v/>
      </c>
      <c r="AA61">
        <f>HYPERLINK("https://klasma.github.io/Logging_1765/tillsyn/A 18744-2026 tillsynsbegäran.docx", "A 18744-2026")</f>
        <v/>
      </c>
      <c r="AB61">
        <f>HYPERLINK("https://klasma.github.io/Logging_1765/tillsynsmail/A 18744-2026 tillsynsbegäran mail.docx", "A 18744-2026")</f>
        <v/>
      </c>
    </row>
    <row r="62" ht="15" customHeight="1">
      <c r="A62" t="inlineStr">
        <is>
          <t>A 1580-2025</t>
        </is>
      </c>
      <c r="B62" t="inlineStr">
        <is>
          <t>avverkningsanmälan</t>
        </is>
      </c>
      <c r="C62" t="inlineStr">
        <is>
          <t>Föryngringsavverkning</t>
        </is>
      </c>
      <c r="D62" s="1" t="n">
        <v>45670</v>
      </c>
      <c r="E62" s="1" t="n">
        <v>46220</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s="2" t="inlineStr">
        <is>
          <t>Revlummer</t>
        </is>
      </c>
      <c r="V62">
        <f>HYPERLINK("https://klasma.github.io/Logging_1765/artfynd/A 1580-2025 artfynd.xlsx", "A 1580-2025")</f>
        <v/>
      </c>
      <c r="W62">
        <f>HYPERLINK("https://klasma.github.io/Logging_1765/kartor/A 1580-2025 karta.png", "A 1580-2025")</f>
        <v/>
      </c>
      <c r="Y62">
        <f>HYPERLINK("https://klasma.github.io/Logging_1765/klagomål/A 1580-2025 FSC-klagomål.docx", "A 1580-2025")</f>
        <v/>
      </c>
      <c r="Z62">
        <f>HYPERLINK("https://klasma.github.io/Logging_1765/klagomålsmail/A 1580-2025 FSC-klagomål mail.docx", "A 1580-2025")</f>
        <v/>
      </c>
      <c r="AA62">
        <f>HYPERLINK("https://klasma.github.io/Logging_1765/tillsyn/A 1580-2025 tillsynsbegäran.docx", "A 1580-2025")</f>
        <v/>
      </c>
      <c r="AB62">
        <f>HYPERLINK("https://klasma.github.io/Logging_1765/tillsynsmail/A 1580-2025 tillsynsbegäran mail.docx", "A 1580-2025")</f>
        <v/>
      </c>
    </row>
    <row r="63" ht="15" customHeight="1">
      <c r="A63" t="inlineStr">
        <is>
          <t>A 14917-2024</t>
        </is>
      </c>
      <c r="B63" t="inlineStr">
        <is>
          <t>avverkningsanmälan</t>
        </is>
      </c>
      <c r="C63" t="inlineStr">
        <is>
          <t>Föryngringsavverkning</t>
        </is>
      </c>
      <c r="D63" s="1" t="n">
        <v>45398</v>
      </c>
      <c r="E63" s="1" t="n">
        <v>46220</v>
      </c>
      <c r="F63" t="inlineStr">
        <is>
          <t>VÄRMLANDS LÄN</t>
        </is>
      </c>
      <c r="G63" t="inlineStr">
        <is>
          <t>ÅRJÄNG</t>
        </is>
      </c>
      <c r="I63" t="n">
        <v>19.9</v>
      </c>
      <c r="J63" t="n">
        <v>0</v>
      </c>
      <c r="K63" t="n">
        <v>0</v>
      </c>
      <c r="L63" t="n">
        <v>0</v>
      </c>
      <c r="M63" t="n">
        <v>1</v>
      </c>
      <c r="N63" t="n">
        <v>0</v>
      </c>
      <c r="O63" t="n">
        <v>0</v>
      </c>
      <c r="P63" t="n">
        <v>0</v>
      </c>
      <c r="Q63" t="n">
        <v>1</v>
      </c>
      <c r="R63" t="n">
        <v>1</v>
      </c>
      <c r="S63" t="n">
        <v>1</v>
      </c>
      <c r="T63" t="n">
        <v>1</v>
      </c>
      <c r="U63" s="2" t="inlineStr">
        <is>
          <t>Slåttergubbe</t>
        </is>
      </c>
      <c r="V63">
        <f>HYPERLINK("https://klasma.github.io/Logging_1765/artfynd/A 14917-2024 artfynd.xlsx", "A 14917-2024")</f>
        <v/>
      </c>
      <c r="W63">
        <f>HYPERLINK("https://klasma.github.io/Logging_1765/kartor/A 14917-2024 karta.png", "A 14917-2024")</f>
        <v/>
      </c>
      <c r="Y63">
        <f>HYPERLINK("https://klasma.github.io/Logging_1765/klagomål/A 14917-2024 FSC-klagomål.docx", "A 14917-2024")</f>
        <v/>
      </c>
      <c r="Z63">
        <f>HYPERLINK("https://klasma.github.io/Logging_1765/klagomålsmail/A 14917-2024 FSC-klagomål mail.docx", "A 14917-2024")</f>
        <v/>
      </c>
      <c r="AA63">
        <f>HYPERLINK("https://klasma.github.io/Logging_1765/tillsyn/A 14917-2024 tillsynsbegäran.docx", "A 14917-2024")</f>
        <v/>
      </c>
      <c r="AB63">
        <f>HYPERLINK("https://klasma.github.io/Logging_1765/tillsynsmail/A 14917-2024 tillsynsbegäran mail.docx", "A 14917-2024")</f>
        <v/>
      </c>
    </row>
    <row r="64" ht="15" customHeight="1">
      <c r="A64" t="inlineStr">
        <is>
          <t>A 8818-2022</t>
        </is>
      </c>
      <c r="B64" t="inlineStr">
        <is>
          <t>avverkningsanmälan</t>
        </is>
      </c>
      <c r="C64" t="inlineStr">
        <is>
          <t>Föryngringsavverkning</t>
        </is>
      </c>
      <c r="D64" s="1" t="n">
        <v>44614</v>
      </c>
      <c r="E64" s="1" t="n">
        <v>46220</v>
      </c>
      <c r="F64" t="inlineStr">
        <is>
          <t>VÄRMLANDS LÄN</t>
        </is>
      </c>
      <c r="G64" t="inlineStr">
        <is>
          <t>ÅRJÄNG</t>
        </is>
      </c>
      <c r="I64" t="n">
        <v>8.199999999999999</v>
      </c>
      <c r="J64" t="n">
        <v>1</v>
      </c>
      <c r="K64" t="n">
        <v>0</v>
      </c>
      <c r="L64" t="n">
        <v>1</v>
      </c>
      <c r="M64" t="n">
        <v>0</v>
      </c>
      <c r="N64" t="n">
        <v>0</v>
      </c>
      <c r="O64" t="n">
        <v>0</v>
      </c>
      <c r="P64" t="n">
        <v>0</v>
      </c>
      <c r="Q64" t="n">
        <v>1</v>
      </c>
      <c r="R64" t="n">
        <v>0</v>
      </c>
      <c r="S64" t="n">
        <v>1</v>
      </c>
      <c r="T64" t="n">
        <v>1</v>
      </c>
      <c r="U64" s="2" t="inlineStr">
        <is>
          <t>Talltita</t>
        </is>
      </c>
      <c r="V64">
        <f>HYPERLINK("https://klasma.github.io/Logging_1765/artfynd/A 8818-2022 artfynd.xlsx", "A 8818-2022")</f>
        <v/>
      </c>
      <c r="W64">
        <f>HYPERLINK("https://klasma.github.io/Logging_1765/kartor/A 8818-2022 karta.png", "A 8818-2022")</f>
        <v/>
      </c>
      <c r="Y64">
        <f>HYPERLINK("https://klasma.github.io/Logging_1765/klagomål/A 8818-2022 FSC-klagomål.docx", "A 8818-2022")</f>
        <v/>
      </c>
      <c r="Z64">
        <f>HYPERLINK("https://klasma.github.io/Logging_1765/klagomålsmail/A 8818-2022 FSC-klagomål mail.docx", "A 8818-2022")</f>
        <v/>
      </c>
      <c r="AA64">
        <f>HYPERLINK("https://klasma.github.io/Logging_1765/tillsyn/A 8818-2022 tillsynsbegäran.docx", "A 8818-2022")</f>
        <v/>
      </c>
      <c r="AB64">
        <f>HYPERLINK("https://klasma.github.io/Logging_1765/tillsynsmail/A 8818-2022 tillsynsbegäran mail.docx", "A 8818-2022")</f>
        <v/>
      </c>
      <c r="AC64">
        <f>HYPERLINK("https://klasma.github.io/Logging_1765/fåglar/A 8818-2022 prioriterade fågelarter.docx", "A 8818-2022")</f>
        <v/>
      </c>
    </row>
    <row r="65" ht="15" customHeight="1">
      <c r="A65" t="inlineStr">
        <is>
          <t>A 26713-2026</t>
        </is>
      </c>
      <c r="B65" t="inlineStr">
        <is>
          <t>avverkningsanmälan</t>
        </is>
      </c>
      <c r="C65" t="inlineStr">
        <is>
          <t>Föryngringsavverkning</t>
        </is>
      </c>
      <c r="D65" s="1" t="n">
        <v>46184</v>
      </c>
      <c r="E65" s="1" t="n">
        <v>46220</v>
      </c>
      <c r="F65" t="inlineStr">
        <is>
          <t>VÄRMLANDS LÄN</t>
        </is>
      </c>
      <c r="G65" t="inlineStr">
        <is>
          <t>ÅRJÄNG</t>
        </is>
      </c>
      <c r="I65" t="n">
        <v>2.4</v>
      </c>
      <c r="J65" t="n">
        <v>0</v>
      </c>
      <c r="K65" t="n">
        <v>0</v>
      </c>
      <c r="L65" t="n">
        <v>1</v>
      </c>
      <c r="M65" t="n">
        <v>0</v>
      </c>
      <c r="N65" t="n">
        <v>0</v>
      </c>
      <c r="O65" t="n">
        <v>0</v>
      </c>
      <c r="P65" t="n">
        <v>0</v>
      </c>
      <c r="Q65" t="n">
        <v>1</v>
      </c>
      <c r="R65" t="n">
        <v>0</v>
      </c>
      <c r="S65" t="n">
        <v>1</v>
      </c>
      <c r="T65" t="n">
        <v>1</v>
      </c>
      <c r="U65" s="2" t="inlineStr">
        <is>
          <t>Blek tallfibbla</t>
        </is>
      </c>
      <c r="V65">
        <f>HYPERLINK("https://klasma.github.io/Logging_1765/artfynd/A 26713-2026 artfynd.xlsx", "A 26713-2026")</f>
        <v/>
      </c>
      <c r="W65">
        <f>HYPERLINK("https://klasma.github.io/Logging_1765/kartor/A 26713-2026 karta.png", "A 26713-2026")</f>
        <v/>
      </c>
      <c r="Y65">
        <f>HYPERLINK("https://klasma.github.io/Logging_1765/klagomål/A 26713-2026 FSC-klagomål.docx", "A 26713-2026")</f>
        <v/>
      </c>
      <c r="Z65">
        <f>HYPERLINK("https://klasma.github.io/Logging_1765/klagomålsmail/A 26713-2026 FSC-klagomål mail.docx", "A 26713-2026")</f>
        <v/>
      </c>
      <c r="AA65">
        <f>HYPERLINK("https://klasma.github.io/Logging_1765/tillsyn/A 26713-2026 tillsynsbegäran.docx", "A 26713-2026")</f>
        <v/>
      </c>
      <c r="AB65">
        <f>HYPERLINK("https://klasma.github.io/Logging_1765/tillsynsmail/A 26713-2026 tillsynsbegäran mail.docx", "A 26713-2026")</f>
        <v/>
      </c>
    </row>
    <row r="66" ht="15" customHeight="1">
      <c r="A66" t="inlineStr">
        <is>
          <t>A 21365-2022</t>
        </is>
      </c>
      <c r="B66" t="inlineStr">
        <is>
          <t>avverkningsanmälan</t>
        </is>
      </c>
      <c r="C66" t="inlineStr">
        <is>
          <t>Föryngringsavverkning</t>
        </is>
      </c>
      <c r="D66" s="1" t="n">
        <v>44705</v>
      </c>
      <c r="E66" s="1" t="n">
        <v>46220</v>
      </c>
      <c r="F66" t="inlineStr">
        <is>
          <t>VÄRMLANDS LÄN</t>
        </is>
      </c>
      <c r="G66" t="inlineStr">
        <is>
          <t>ÅRJÄNG</t>
        </is>
      </c>
      <c r="I66" t="n">
        <v>1.8</v>
      </c>
      <c r="J66" t="n">
        <v>0</v>
      </c>
      <c r="K66" t="n">
        <v>0</v>
      </c>
      <c r="L66" t="n">
        <v>0</v>
      </c>
      <c r="M66" t="n">
        <v>0</v>
      </c>
      <c r="N66" t="n">
        <v>1</v>
      </c>
      <c r="O66" t="n">
        <v>0</v>
      </c>
      <c r="P66" t="n">
        <v>0</v>
      </c>
      <c r="Q66" t="n">
        <v>1</v>
      </c>
      <c r="R66" t="n">
        <v>1</v>
      </c>
      <c r="S66" t="n">
        <v>1</v>
      </c>
      <c r="T66" t="n">
        <v>1</v>
      </c>
      <c r="U66" s="2" t="inlineStr">
        <is>
          <t>Ask</t>
        </is>
      </c>
      <c r="V66">
        <f>HYPERLINK("https://klasma.github.io/Logging_1765/artfynd/A 21365-2022 artfynd.xlsx", "A 21365-2022")</f>
        <v/>
      </c>
      <c r="W66">
        <f>HYPERLINK("https://klasma.github.io/Logging_1765/kartor/A 21365-2022 karta.png", "A 21365-2022")</f>
        <v/>
      </c>
      <c r="Y66">
        <f>HYPERLINK("https://klasma.github.io/Logging_1765/klagomål/A 21365-2022 FSC-klagomål.docx", "A 21365-2022")</f>
        <v/>
      </c>
      <c r="Z66">
        <f>HYPERLINK("https://klasma.github.io/Logging_1765/klagomålsmail/A 21365-2022 FSC-klagomål mail.docx", "A 21365-2022")</f>
        <v/>
      </c>
      <c r="AA66">
        <f>HYPERLINK("https://klasma.github.io/Logging_1765/tillsyn/A 21365-2022 tillsynsbegäran.docx", "A 21365-2022")</f>
        <v/>
      </c>
      <c r="AB66">
        <f>HYPERLINK("https://klasma.github.io/Logging_1765/tillsynsmail/A 21365-2022 tillsynsbegäran mail.docx", "A 21365-2022")</f>
        <v/>
      </c>
    </row>
    <row r="67" ht="15" customHeight="1">
      <c r="A67" t="inlineStr">
        <is>
          <t>A 57992-2023</t>
        </is>
      </c>
      <c r="B67" t="inlineStr">
        <is>
          <t>avverkningsanmälan</t>
        </is>
      </c>
      <c r="C67" t="inlineStr">
        <is>
          <t>Föryngringsavverkning</t>
        </is>
      </c>
      <c r="D67" s="1" t="n">
        <v>45244</v>
      </c>
      <c r="E67" s="1" t="n">
        <v>46220</v>
      </c>
      <c r="F67" t="inlineStr">
        <is>
          <t>VÄRMLANDS LÄN</t>
        </is>
      </c>
      <c r="G67" t="inlineStr">
        <is>
          <t>ÅRJÄNG</t>
        </is>
      </c>
      <c r="I67" t="n">
        <v>1.9</v>
      </c>
      <c r="J67" t="n">
        <v>0</v>
      </c>
      <c r="K67" t="n">
        <v>0</v>
      </c>
      <c r="L67" t="n">
        <v>1</v>
      </c>
      <c r="M67" t="n">
        <v>0</v>
      </c>
      <c r="N67" t="n">
        <v>0</v>
      </c>
      <c r="O67" t="n">
        <v>0</v>
      </c>
      <c r="P67" t="n">
        <v>0</v>
      </c>
      <c r="Q67" t="n">
        <v>1</v>
      </c>
      <c r="R67" t="n">
        <v>0</v>
      </c>
      <c r="S67" t="n">
        <v>1</v>
      </c>
      <c r="T67" t="n">
        <v>1</v>
      </c>
      <c r="U67" s="2" t="inlineStr">
        <is>
          <t>Dropptaggsvamp</t>
        </is>
      </c>
      <c r="V67">
        <f>HYPERLINK("https://klasma.github.io/Logging_1765/artfynd/A 57992-2023 artfynd.xlsx", "A 57992-2023")</f>
        <v/>
      </c>
      <c r="W67">
        <f>HYPERLINK("https://klasma.github.io/Logging_1765/kartor/A 57992-2023 karta.png", "A 57992-2023")</f>
        <v/>
      </c>
      <c r="Y67">
        <f>HYPERLINK("https://klasma.github.io/Logging_1765/klagomål/A 57992-2023 FSC-klagomål.docx", "A 57992-2023")</f>
        <v/>
      </c>
      <c r="Z67">
        <f>HYPERLINK("https://klasma.github.io/Logging_1765/klagomålsmail/A 57992-2023 FSC-klagomål mail.docx", "A 57992-2023")</f>
        <v/>
      </c>
      <c r="AA67">
        <f>HYPERLINK("https://klasma.github.io/Logging_1765/tillsyn/A 57992-2023 tillsynsbegäran.docx", "A 57992-2023")</f>
        <v/>
      </c>
      <c r="AB67">
        <f>HYPERLINK("https://klasma.github.io/Logging_1765/tillsynsmail/A 57992-2023 tillsynsbegäran mail.docx", "A 57992-2023")</f>
        <v/>
      </c>
    </row>
    <row r="68" ht="15" customHeight="1">
      <c r="A68" t="inlineStr">
        <is>
          <t>A 63796-2021</t>
        </is>
      </c>
      <c r="B68" t="inlineStr">
        <is>
          <t>avverkningsanmälan</t>
        </is>
      </c>
      <c r="C68" t="inlineStr">
        <is>
          <t>Föryngringsavverkning</t>
        </is>
      </c>
      <c r="D68" s="1" t="n">
        <v>44509</v>
      </c>
      <c r="E68" s="1" t="n">
        <v>46220</v>
      </c>
      <c r="F68" t="inlineStr">
        <is>
          <t>VÄRMLANDS LÄN</t>
        </is>
      </c>
      <c r="G68" t="inlineStr">
        <is>
          <t>ÅRJÄNG</t>
        </is>
      </c>
      <c r="I68" t="n">
        <v>2.1</v>
      </c>
      <c r="J68" t="n">
        <v>1</v>
      </c>
      <c r="K68" t="n">
        <v>0</v>
      </c>
      <c r="L68" t="n">
        <v>1</v>
      </c>
      <c r="M68" t="n">
        <v>0</v>
      </c>
      <c r="N68" t="n">
        <v>0</v>
      </c>
      <c r="O68" t="n">
        <v>0</v>
      </c>
      <c r="P68" t="n">
        <v>0</v>
      </c>
      <c r="Q68" t="n">
        <v>1</v>
      </c>
      <c r="R68" t="n">
        <v>0</v>
      </c>
      <c r="S68" t="n">
        <v>1</v>
      </c>
      <c r="T68" t="n">
        <v>1</v>
      </c>
      <c r="U68" s="2" t="inlineStr">
        <is>
          <t>Enkelbeckasin</t>
        </is>
      </c>
      <c r="V68">
        <f>HYPERLINK("https://klasma.github.io/Logging_1765/artfynd/A 63796-2021 artfynd.xlsx", "A 63796-2021")</f>
        <v/>
      </c>
      <c r="W68">
        <f>HYPERLINK("https://klasma.github.io/Logging_1765/kartor/A 63796-2021 karta.png", "A 63796-2021")</f>
        <v/>
      </c>
      <c r="Y68">
        <f>HYPERLINK("https://klasma.github.io/Logging_1765/klagomål/A 63796-2021 FSC-klagomål.docx", "A 63796-2021")</f>
        <v/>
      </c>
      <c r="Z68">
        <f>HYPERLINK("https://klasma.github.io/Logging_1765/klagomålsmail/A 63796-2021 FSC-klagomål mail.docx", "A 63796-2021")</f>
        <v/>
      </c>
      <c r="AA68">
        <f>HYPERLINK("https://klasma.github.io/Logging_1765/tillsyn/A 63796-2021 tillsynsbegäran.docx", "A 63796-2021")</f>
        <v/>
      </c>
      <c r="AB68">
        <f>HYPERLINK("https://klasma.github.io/Logging_1765/tillsynsmail/A 63796-2021 tillsynsbegäran mail.docx", "A 63796-2021")</f>
        <v/>
      </c>
      <c r="AC68">
        <f>HYPERLINK("https://klasma.github.io/Logging_1765/fåglar/A 63796-2021 prioriterade fågelarter.docx", "A 63796-2021")</f>
        <v/>
      </c>
    </row>
    <row r="69" ht="15" customHeight="1">
      <c r="A69" t="inlineStr">
        <is>
          <t>A 28317-2023</t>
        </is>
      </c>
      <c r="B69" t="inlineStr">
        <is>
          <t>avverkningsanmälan</t>
        </is>
      </c>
      <c r="C69" t="inlineStr">
        <is>
          <t>Föryngringsavverkning</t>
        </is>
      </c>
      <c r="D69" s="1" t="n">
        <v>45099</v>
      </c>
      <c r="E69" s="1" t="n">
        <v>46220</v>
      </c>
      <c r="F69" t="inlineStr">
        <is>
          <t>VÄRMLANDS LÄN</t>
        </is>
      </c>
      <c r="G69" t="inlineStr">
        <is>
          <t>ÅRJÄNG</t>
        </is>
      </c>
      <c r="I69" t="n">
        <v>10.2</v>
      </c>
      <c r="J69" t="n">
        <v>1</v>
      </c>
      <c r="K69" t="n">
        <v>0</v>
      </c>
      <c r="L69" t="n">
        <v>1</v>
      </c>
      <c r="M69" t="n">
        <v>0</v>
      </c>
      <c r="N69" t="n">
        <v>0</v>
      </c>
      <c r="O69" t="n">
        <v>0</v>
      </c>
      <c r="P69" t="n">
        <v>0</v>
      </c>
      <c r="Q69" t="n">
        <v>1</v>
      </c>
      <c r="R69" t="n">
        <v>0</v>
      </c>
      <c r="S69" t="n">
        <v>1</v>
      </c>
      <c r="T69" t="n">
        <v>1</v>
      </c>
      <c r="U69" s="2" t="inlineStr">
        <is>
          <t>Duvhök</t>
        </is>
      </c>
      <c r="V69">
        <f>HYPERLINK("https://klasma.github.io/Logging_1765/artfynd/A 28317-2023 artfynd.xlsx", "A 28317-2023")</f>
        <v/>
      </c>
      <c r="W69">
        <f>HYPERLINK("https://klasma.github.io/Logging_1765/kartor/A 28317-2023 karta.png", "A 28317-2023")</f>
        <v/>
      </c>
      <c r="Y69">
        <f>HYPERLINK("https://klasma.github.io/Logging_1765/klagomål/A 28317-2023 FSC-klagomål.docx", "A 28317-2023")</f>
        <v/>
      </c>
      <c r="Z69">
        <f>HYPERLINK("https://klasma.github.io/Logging_1765/klagomålsmail/A 28317-2023 FSC-klagomål mail.docx", "A 28317-2023")</f>
        <v/>
      </c>
      <c r="AA69">
        <f>HYPERLINK("https://klasma.github.io/Logging_1765/tillsyn/A 28317-2023 tillsynsbegäran.docx", "A 28317-2023")</f>
        <v/>
      </c>
      <c r="AB69">
        <f>HYPERLINK("https://klasma.github.io/Logging_1765/tillsynsmail/A 28317-2023 tillsynsbegäran mail.docx", "A 28317-2023")</f>
        <v/>
      </c>
      <c r="AC69">
        <f>HYPERLINK("https://klasma.github.io/Logging_1765/fåglar/A 28317-2023 prioriterade fågelarter.docx", "A 28317-2023")</f>
        <v/>
      </c>
    </row>
    <row r="70" ht="15" customHeight="1">
      <c r="A70" t="inlineStr">
        <is>
          <t>A 24003-2026</t>
        </is>
      </c>
      <c r="B70" t="inlineStr">
        <is>
          <t>avverkningsanmälan</t>
        </is>
      </c>
      <c r="C70" t="inlineStr">
        <is>
          <t>Föryngringsavverkning</t>
        </is>
      </c>
      <c r="D70" s="1" t="n">
        <v>46167</v>
      </c>
      <c r="E70" s="1" t="n">
        <v>46220</v>
      </c>
      <c r="F70" t="inlineStr">
        <is>
          <t>VÄRMLANDS LÄN</t>
        </is>
      </c>
      <c r="G70" t="inlineStr">
        <is>
          <t>ÅRJÄNG</t>
        </is>
      </c>
      <c r="H70" t="inlineStr">
        <is>
          <t>Kyrkan</t>
        </is>
      </c>
      <c r="I70" t="n">
        <v>14.6</v>
      </c>
      <c r="J70" t="n">
        <v>1</v>
      </c>
      <c r="K70" t="n">
        <v>0</v>
      </c>
      <c r="L70" t="n">
        <v>0</v>
      </c>
      <c r="M70" t="n">
        <v>0</v>
      </c>
      <c r="N70" t="n">
        <v>0</v>
      </c>
      <c r="O70" t="n">
        <v>0</v>
      </c>
      <c r="P70" t="n">
        <v>0</v>
      </c>
      <c r="Q70" t="n">
        <v>0</v>
      </c>
      <c r="R70" t="n">
        <v>0</v>
      </c>
      <c r="S70" t="n">
        <v>1</v>
      </c>
      <c r="T70" t="n">
        <v>1</v>
      </c>
      <c r="U70" s="2" t="inlineStr">
        <is>
          <t>Nattviol</t>
        </is>
      </c>
      <c r="V70">
        <f>HYPERLINK("https://klasma.github.io/Logging_1765/artfynd/A 24003-2026 artfynd.xlsx", "A 24003-2026")</f>
        <v/>
      </c>
      <c r="W70">
        <f>HYPERLINK("https://klasma.github.io/Logging_1765/kartor/A 24003-2026 karta.png", "A 24003-2026")</f>
        <v/>
      </c>
      <c r="Y70">
        <f>HYPERLINK("https://klasma.github.io/Logging_1765/klagomål/A 24003-2026 FSC-klagomål.docx", "A 24003-2026")</f>
        <v/>
      </c>
      <c r="Z70">
        <f>HYPERLINK("https://klasma.github.io/Logging_1765/klagomålsmail/A 24003-2026 FSC-klagomål mail.docx", "A 24003-2026")</f>
        <v/>
      </c>
      <c r="AA70">
        <f>HYPERLINK("https://klasma.github.io/Logging_1765/tillsyn/A 24003-2026 tillsynsbegäran.docx", "A 24003-2026")</f>
        <v/>
      </c>
      <c r="AB70">
        <f>HYPERLINK("https://klasma.github.io/Logging_1765/tillsynsmail/A 24003-2026 tillsynsbegäran mail.docx", "A 24003-2026")</f>
        <v/>
      </c>
    </row>
    <row r="71" ht="15" customHeight="1">
      <c r="A71" t="inlineStr">
        <is>
          <t>A 42455-2024</t>
        </is>
      </c>
      <c r="B71" t="inlineStr">
        <is>
          <t>avverkningsanmälan</t>
        </is>
      </c>
      <c r="C71" t="inlineStr">
        <is>
          <t>Föryngringsavverkning</t>
        </is>
      </c>
      <c r="D71" s="1" t="n">
        <v>45565</v>
      </c>
      <c r="E71" s="1" t="n">
        <v>46220</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s="2" t="inlineStr">
        <is>
          <t>Rodnande lutvaxing</t>
        </is>
      </c>
      <c r="V71">
        <f>HYPERLINK("https://klasma.github.io/Logging_1765/artfynd/A 42455-2024 artfynd.xlsx", "A 42455-2024")</f>
        <v/>
      </c>
      <c r="W71">
        <f>HYPERLINK("https://klasma.github.io/Logging_1765/kartor/A 42455-2024 karta.png", "A 42455-2024")</f>
        <v/>
      </c>
      <c r="Y71">
        <f>HYPERLINK("https://klasma.github.io/Logging_1765/klagomål/A 42455-2024 FSC-klagomål.docx", "A 42455-2024")</f>
        <v/>
      </c>
      <c r="Z71">
        <f>HYPERLINK("https://klasma.github.io/Logging_1765/klagomålsmail/A 42455-2024 FSC-klagomål mail.docx", "A 42455-2024")</f>
        <v/>
      </c>
      <c r="AA71">
        <f>HYPERLINK("https://klasma.github.io/Logging_1765/tillsyn/A 42455-2024 tillsynsbegäran.docx", "A 42455-2024")</f>
        <v/>
      </c>
      <c r="AB71">
        <f>HYPERLINK("https://klasma.github.io/Logging_1765/tillsynsmail/A 42455-2024 tillsynsbegäran mail.docx", "A 42455-2024")</f>
        <v/>
      </c>
    </row>
    <row r="72" ht="15" customHeight="1">
      <c r="A72" t="inlineStr">
        <is>
          <t>A 33017-2022</t>
        </is>
      </c>
      <c r="B72" t="inlineStr">
        <is>
          <t>avverkningsanmälan</t>
        </is>
      </c>
      <c r="C72" t="inlineStr">
        <is>
          <t>Föryngringsavverkning</t>
        </is>
      </c>
      <c r="D72" s="1" t="n">
        <v>44785</v>
      </c>
      <c r="E72" s="1" t="n">
        <v>46220</v>
      </c>
      <c r="F72" t="inlineStr">
        <is>
          <t>VÄRMLANDS LÄN</t>
        </is>
      </c>
      <c r="G72" t="inlineStr">
        <is>
          <t>ÅRJÄNG</t>
        </is>
      </c>
      <c r="H72" t="inlineStr">
        <is>
          <t>Kyrkan</t>
        </is>
      </c>
      <c r="I72" t="n">
        <v>5.9</v>
      </c>
      <c r="J72" t="n">
        <v>1</v>
      </c>
      <c r="K72" t="n">
        <v>0</v>
      </c>
      <c r="L72" t="n">
        <v>0</v>
      </c>
      <c r="M72" t="n">
        <v>0</v>
      </c>
      <c r="N72" t="n">
        <v>0</v>
      </c>
      <c r="O72" t="n">
        <v>0</v>
      </c>
      <c r="P72" t="n">
        <v>0</v>
      </c>
      <c r="Q72" t="n">
        <v>0</v>
      </c>
      <c r="R72" t="n">
        <v>0</v>
      </c>
      <c r="S72" t="n">
        <v>1</v>
      </c>
      <c r="T72" t="n">
        <v>1</v>
      </c>
      <c r="U72" s="2" t="inlineStr">
        <is>
          <t>Fläcknycklar</t>
        </is>
      </c>
      <c r="V72">
        <f>HYPERLINK("https://klasma.github.io/Logging_1765/artfynd/A 33017-2022 artfynd.xlsx", "A 33017-2022")</f>
        <v/>
      </c>
      <c r="W72">
        <f>HYPERLINK("https://klasma.github.io/Logging_1765/kartor/A 33017-2022 karta.png", "A 33017-2022")</f>
        <v/>
      </c>
      <c r="Y72">
        <f>HYPERLINK("https://klasma.github.io/Logging_1765/klagomål/A 33017-2022 FSC-klagomål.docx", "A 33017-2022")</f>
        <v/>
      </c>
      <c r="Z72">
        <f>HYPERLINK("https://klasma.github.io/Logging_1765/klagomålsmail/A 33017-2022 FSC-klagomål mail.docx", "A 33017-2022")</f>
        <v/>
      </c>
      <c r="AA72">
        <f>HYPERLINK("https://klasma.github.io/Logging_1765/tillsyn/A 33017-2022 tillsynsbegäran.docx", "A 33017-2022")</f>
        <v/>
      </c>
      <c r="AB72">
        <f>HYPERLINK("https://klasma.github.io/Logging_1765/tillsynsmail/A 33017-2022 tillsynsbegäran mail.docx", "A 33017-2022")</f>
        <v/>
      </c>
    </row>
    <row r="73" ht="15" customHeight="1">
      <c r="A73" t="inlineStr">
        <is>
          <t>A 24296-2026</t>
        </is>
      </c>
      <c r="B73" t="inlineStr">
        <is>
          <t>avverkningsanmälan</t>
        </is>
      </c>
      <c r="C73" t="inlineStr">
        <is>
          <t>Föryngringsavverkning</t>
        </is>
      </c>
      <c r="D73" s="1" t="n">
        <v>46169</v>
      </c>
      <c r="E73" s="1" t="n">
        <v>46220</v>
      </c>
      <c r="F73" t="inlineStr">
        <is>
          <t>VÄRMLANDS LÄN</t>
        </is>
      </c>
      <c r="G73" t="inlineStr">
        <is>
          <t>ÅRJÄNG</t>
        </is>
      </c>
      <c r="I73" t="n">
        <v>3.6</v>
      </c>
      <c r="J73" t="n">
        <v>0</v>
      </c>
      <c r="K73" t="n">
        <v>0</v>
      </c>
      <c r="L73" t="n">
        <v>1</v>
      </c>
      <c r="M73" t="n">
        <v>0</v>
      </c>
      <c r="N73" t="n">
        <v>0</v>
      </c>
      <c r="O73" t="n">
        <v>0</v>
      </c>
      <c r="P73" t="n">
        <v>0</v>
      </c>
      <c r="Q73" t="n">
        <v>1</v>
      </c>
      <c r="R73" t="n">
        <v>0</v>
      </c>
      <c r="S73" t="n">
        <v>1</v>
      </c>
      <c r="T73" t="n">
        <v>1</v>
      </c>
      <c r="U73" s="2" t="inlineStr">
        <is>
          <t>Blek tallfibbla</t>
        </is>
      </c>
      <c r="V73">
        <f>HYPERLINK("https://klasma.github.io/Logging_1765/artfynd/A 24296-2026 artfynd.xlsx", "A 24296-2026")</f>
        <v/>
      </c>
      <c r="W73">
        <f>HYPERLINK("https://klasma.github.io/Logging_1765/kartor/A 24296-2026 karta.png", "A 24296-2026")</f>
        <v/>
      </c>
      <c r="Y73">
        <f>HYPERLINK("https://klasma.github.io/Logging_1765/klagomål/A 24296-2026 FSC-klagomål.docx", "A 24296-2026")</f>
        <v/>
      </c>
      <c r="Z73">
        <f>HYPERLINK("https://klasma.github.io/Logging_1765/klagomålsmail/A 24296-2026 FSC-klagomål mail.docx", "A 24296-2026")</f>
        <v/>
      </c>
      <c r="AA73">
        <f>HYPERLINK("https://klasma.github.io/Logging_1765/tillsyn/A 24296-2026 tillsynsbegäran.docx", "A 24296-2026")</f>
        <v/>
      </c>
      <c r="AB73">
        <f>HYPERLINK("https://klasma.github.io/Logging_1765/tillsynsmail/A 24296-2026 tillsynsbegäran mail.docx", "A 24296-2026")</f>
        <v/>
      </c>
    </row>
    <row r="74" ht="15" customHeight="1">
      <c r="A74" t="inlineStr">
        <is>
          <t>A 24842-2026</t>
        </is>
      </c>
      <c r="B74" t="inlineStr">
        <is>
          <t>avverkningsanmälan</t>
        </is>
      </c>
      <c r="C74" t="inlineStr">
        <is>
          <t>Föryngringsavverkning</t>
        </is>
      </c>
      <c r="D74" s="1" t="n">
        <v>46174</v>
      </c>
      <c r="E74" s="1" t="n">
        <v>46220</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s="2" t="inlineStr">
        <is>
          <t>Grönvit nattviol</t>
        </is>
      </c>
      <c r="V74">
        <f>HYPERLINK("https://klasma.github.io/Logging_1765/artfynd/A 24842-2026 artfynd.xlsx", "A 24842-2026")</f>
        <v/>
      </c>
      <c r="W74">
        <f>HYPERLINK("https://klasma.github.io/Logging_1765/kartor/A 24842-2026 karta.png", "A 24842-2026")</f>
        <v/>
      </c>
      <c r="Y74">
        <f>HYPERLINK("https://klasma.github.io/Logging_1765/klagomål/A 24842-2026 FSC-klagomål.docx", "A 24842-2026")</f>
        <v/>
      </c>
      <c r="Z74">
        <f>HYPERLINK("https://klasma.github.io/Logging_1765/klagomålsmail/A 24842-2026 FSC-klagomål mail.docx", "A 24842-2026")</f>
        <v/>
      </c>
      <c r="AA74">
        <f>HYPERLINK("https://klasma.github.io/Logging_1765/tillsyn/A 24842-2026 tillsynsbegäran.docx", "A 24842-2026")</f>
        <v/>
      </c>
      <c r="AB74">
        <f>HYPERLINK("https://klasma.github.io/Logging_1765/tillsynsmail/A 24842-2026 tillsynsbegäran mail.docx", "A 24842-2026")</f>
        <v/>
      </c>
    </row>
    <row r="75" ht="15" customHeight="1">
      <c r="A75" t="inlineStr">
        <is>
          <t>A 12137-2025</t>
        </is>
      </c>
      <c r="B75" t="inlineStr">
        <is>
          <t>avverkningsanmälan</t>
        </is>
      </c>
      <c r="C75" t="inlineStr">
        <is>
          <t>Föryngringsavverkning</t>
        </is>
      </c>
      <c r="D75" s="1" t="n">
        <v>45729</v>
      </c>
      <c r="E75" s="1" t="n">
        <v>46220</v>
      </c>
      <c r="F75" t="inlineStr">
        <is>
          <t>VÄRMLANDS LÄN</t>
        </is>
      </c>
      <c r="G75" t="inlineStr">
        <is>
          <t>ÅRJÄNG</t>
        </is>
      </c>
      <c r="I75" t="n">
        <v>12.6</v>
      </c>
      <c r="J75" t="n">
        <v>1</v>
      </c>
      <c r="K75" t="n">
        <v>0</v>
      </c>
      <c r="L75" t="n">
        <v>0</v>
      </c>
      <c r="M75" t="n">
        <v>0</v>
      </c>
      <c r="N75" t="n">
        <v>0</v>
      </c>
      <c r="O75" t="n">
        <v>0</v>
      </c>
      <c r="P75" t="n">
        <v>0</v>
      </c>
      <c r="Q75" t="n">
        <v>0</v>
      </c>
      <c r="R75" t="n">
        <v>0</v>
      </c>
      <c r="S75" t="n">
        <v>1</v>
      </c>
      <c r="T75" t="n">
        <v>3</v>
      </c>
      <c r="U75" s="2" t="inlineStr">
        <is>
          <t>Fläcknycklar</t>
        </is>
      </c>
      <c r="V75">
        <f>HYPERLINK("https://klasma.github.io/Logging_1765/artfynd/A 12137-2025 artfynd.xlsx", "A 12137-2025")</f>
        <v/>
      </c>
      <c r="W75">
        <f>HYPERLINK("https://klasma.github.io/Logging_1765/kartor/A 12137-2025 karta.png", "A 12137-2025")</f>
        <v/>
      </c>
      <c r="Y75">
        <f>HYPERLINK("https://klasma.github.io/Logging_1765/klagomål/A 12137-2025 FSC-klagomål.docx", "A 12137-2025")</f>
        <v/>
      </c>
      <c r="Z75">
        <f>HYPERLINK("https://klasma.github.io/Logging_1765/klagomålsmail/A 12137-2025 FSC-klagomål mail.docx", "A 12137-2025")</f>
        <v/>
      </c>
      <c r="AA75">
        <f>HYPERLINK("https://klasma.github.io/Logging_1765/tillsyn/A 12137-2025 tillsynsbegäran.docx", "A 12137-2025")</f>
        <v/>
      </c>
      <c r="AB75">
        <f>HYPERLINK("https://klasma.github.io/Logging_1765/tillsynsmail/A 12137-2025 tillsynsbegäran mail.docx", "A 12137-2025")</f>
        <v/>
      </c>
    </row>
    <row r="76" ht="15" customHeight="1">
      <c r="A76" t="inlineStr">
        <is>
          <t>A 11880-2025</t>
        </is>
      </c>
      <c r="B76" t="inlineStr">
        <is>
          <t>avverkningsanmälan</t>
        </is>
      </c>
      <c r="C76" t="inlineStr">
        <is>
          <t>Föryngringsavverkning</t>
        </is>
      </c>
      <c r="D76" s="1" t="n">
        <v>45728</v>
      </c>
      <c r="E76" s="1" t="n">
        <v>46220</v>
      </c>
      <c r="F76" t="inlineStr">
        <is>
          <t>VÄRMLANDS LÄN</t>
        </is>
      </c>
      <c r="G76" t="inlineStr">
        <is>
          <t>ÅRJÄNG</t>
        </is>
      </c>
      <c r="H76" t="inlineStr">
        <is>
          <t>Övriga Aktiebolag</t>
        </is>
      </c>
      <c r="I76" t="n">
        <v>4.8</v>
      </c>
      <c r="J76" t="n">
        <v>0</v>
      </c>
      <c r="K76" t="n">
        <v>0</v>
      </c>
      <c r="L76" t="n">
        <v>1</v>
      </c>
      <c r="M76" t="n">
        <v>0</v>
      </c>
      <c r="N76" t="n">
        <v>0</v>
      </c>
      <c r="O76" t="n">
        <v>0</v>
      </c>
      <c r="P76" t="n">
        <v>0</v>
      </c>
      <c r="Q76" t="n">
        <v>1</v>
      </c>
      <c r="R76" t="n">
        <v>0</v>
      </c>
      <c r="S76" t="n">
        <v>1</v>
      </c>
      <c r="T76" t="n">
        <v>1</v>
      </c>
      <c r="U76" s="2" t="inlineStr">
        <is>
          <t>Lunglav</t>
        </is>
      </c>
      <c r="V76">
        <f>HYPERLINK("https://klasma.github.io/Logging_1765/artfynd/A 11880-2025 artfynd.xlsx", "A 11880-2025")</f>
        <v/>
      </c>
      <c r="W76">
        <f>HYPERLINK("https://klasma.github.io/Logging_1765/kartor/A 11880-2025 karta.png", "A 11880-2025")</f>
        <v/>
      </c>
      <c r="Y76">
        <f>HYPERLINK("https://klasma.github.io/Logging_1765/klagomål/A 11880-2025 FSC-klagomål.docx", "A 11880-2025")</f>
        <v/>
      </c>
      <c r="Z76">
        <f>HYPERLINK("https://klasma.github.io/Logging_1765/klagomålsmail/A 11880-2025 FSC-klagomål mail.docx", "A 11880-2025")</f>
        <v/>
      </c>
      <c r="AA76">
        <f>HYPERLINK("https://klasma.github.io/Logging_1765/tillsyn/A 11880-2025 tillsynsbegäran.docx", "A 11880-2025")</f>
        <v/>
      </c>
      <c r="AB76">
        <f>HYPERLINK("https://klasma.github.io/Logging_1765/tillsynsmail/A 11880-2025 tillsynsbegäran mail.docx", "A 11880-2025")</f>
        <v/>
      </c>
    </row>
    <row r="77" ht="15" customHeight="1">
      <c r="A77" t="inlineStr">
        <is>
          <t>S 4733-2024</t>
        </is>
      </c>
      <c r="B77" t="inlineStr">
        <is>
          <t>samrådsanmälan</t>
        </is>
      </c>
      <c r="C77" t="inlineStr">
        <is>
          <t>Skogsgödsling</t>
        </is>
      </c>
      <c r="D77" s="1" t="n">
        <v>45608</v>
      </c>
      <c r="E77" s="1" t="n">
        <v>46220</v>
      </c>
      <c r="F77" t="inlineStr">
        <is>
          <t>VÄRMLANDS LÄN</t>
        </is>
      </c>
      <c r="G77" t="inlineStr">
        <is>
          <t>ÅRJÄNG</t>
        </is>
      </c>
      <c r="I77" t="n">
        <v>54.1</v>
      </c>
      <c r="J77" t="n">
        <v>1</v>
      </c>
      <c r="K77" t="n">
        <v>0</v>
      </c>
      <c r="L77" t="n">
        <v>0</v>
      </c>
      <c r="M77" t="n">
        <v>0</v>
      </c>
      <c r="N77" t="n">
        <v>0</v>
      </c>
      <c r="O77" t="n">
        <v>0</v>
      </c>
      <c r="P77" t="n">
        <v>0</v>
      </c>
      <c r="Q77" t="n">
        <v>0</v>
      </c>
      <c r="R77" t="n">
        <v>0</v>
      </c>
      <c r="S77" t="n">
        <v>1</v>
      </c>
      <c r="T77" t="n">
        <v>1</v>
      </c>
      <c r="U77" s="2" t="inlineStr">
        <is>
          <t>Fläcknycklar</t>
        </is>
      </c>
      <c r="V77">
        <f>HYPERLINK("https://klasma.github.io/Logging_1765/artfynd/S 4733-2024 artfynd.xlsx", "S 4733-2024")</f>
        <v/>
      </c>
      <c r="W77">
        <f>HYPERLINK("https://klasma.github.io/Logging_1765/kartor/S 4733-2024 karta.png", "S 4733-2024")</f>
        <v/>
      </c>
      <c r="Y77">
        <f>HYPERLINK("https://klasma.github.io/Logging_1765/klagomål/S 4733-2024 FSC-klagomål.docx", "S 4733-2024")</f>
        <v/>
      </c>
      <c r="Z77">
        <f>HYPERLINK("https://klasma.github.io/Logging_1765/klagomålsmail/S 4733-2024 FSC-klagomål mail.docx", "S 4733-2024")</f>
        <v/>
      </c>
      <c r="AA77">
        <f>HYPERLINK("https://klasma.github.io/Logging_1765/tillsyn/S 4733-2024 tillsynsbegäran.docx", "S 4733-2024")</f>
        <v/>
      </c>
      <c r="AB77">
        <f>HYPERLINK("https://klasma.github.io/Logging_1765/tillsynsmail/S 4733-2024 tillsynsbegäran mail.docx", "S 4733-2024")</f>
        <v/>
      </c>
    </row>
    <row r="78" ht="15" customHeight="1">
      <c r="A78" t="inlineStr">
        <is>
          <t>S 333-2022</t>
        </is>
      </c>
      <c r="B78" t="inlineStr">
        <is>
          <t>samrådsanmälan</t>
        </is>
      </c>
      <c r="C78" t="inlineStr">
        <is>
          <t>Skogsgödsling</t>
        </is>
      </c>
      <c r="D78" s="1" t="n">
        <v>44579</v>
      </c>
      <c r="E78" s="1" t="n">
        <v>46220</v>
      </c>
      <c r="F78" t="inlineStr">
        <is>
          <t>VÄRMLANDS LÄN</t>
        </is>
      </c>
      <c r="G78" t="inlineStr">
        <is>
          <t>ÅRJÄNG</t>
        </is>
      </c>
      <c r="H78" t="inlineStr">
        <is>
          <t>Bergvik skog väst AB</t>
        </is>
      </c>
      <c r="I78" t="n">
        <v>40.8</v>
      </c>
      <c r="J78" t="n">
        <v>0</v>
      </c>
      <c r="K78" t="n">
        <v>0</v>
      </c>
      <c r="L78" t="n">
        <v>0</v>
      </c>
      <c r="M78" t="n">
        <v>1</v>
      </c>
      <c r="N78" t="n">
        <v>0</v>
      </c>
      <c r="O78" t="n">
        <v>0</v>
      </c>
      <c r="P78" t="n">
        <v>0</v>
      </c>
      <c r="Q78" t="n">
        <v>1</v>
      </c>
      <c r="R78" t="n">
        <v>1</v>
      </c>
      <c r="S78" t="n">
        <v>1</v>
      </c>
      <c r="T78" t="n">
        <v>2</v>
      </c>
      <c r="U78" s="2" t="inlineStr">
        <is>
          <t>Slåttergubbe</t>
        </is>
      </c>
      <c r="V78">
        <f>HYPERLINK("https://klasma.github.io/Logging_1765/artfynd/S 333-2022 artfynd.xlsx", "S 333-2022")</f>
        <v/>
      </c>
      <c r="W78">
        <f>HYPERLINK("https://klasma.github.io/Logging_1765/kartor/S 333-2022 karta.png", "S 333-2022")</f>
        <v/>
      </c>
      <c r="Y78">
        <f>HYPERLINK("https://klasma.github.io/Logging_1765/klagomål/S 333-2022 FSC-klagomål.docx", "S 333-2022")</f>
        <v/>
      </c>
      <c r="Z78">
        <f>HYPERLINK("https://klasma.github.io/Logging_1765/klagomålsmail/S 333-2022 FSC-klagomål mail.docx", "S 333-2022")</f>
        <v/>
      </c>
      <c r="AA78">
        <f>HYPERLINK("https://klasma.github.io/Logging_1765/tillsyn/S 333-2022 tillsynsbegäran.docx", "S 333-2022")</f>
        <v/>
      </c>
      <c r="AB78">
        <f>HYPERLINK("https://klasma.github.io/Logging_1765/tillsynsmail/S 333-2022 tillsynsbegäran mail.docx", "S 333-2022")</f>
        <v/>
      </c>
    </row>
    <row r="79" ht="15" customHeight="1">
      <c r="A79" t="inlineStr">
        <is>
          <t>A 52826-2022</t>
        </is>
      </c>
      <c r="B79" t="inlineStr">
        <is>
          <t>avverkningsanmälan</t>
        </is>
      </c>
      <c r="C79" t="inlineStr">
        <is>
          <t>Föryngringsavverkning</t>
        </is>
      </c>
      <c r="D79" s="1" t="n">
        <v>44875</v>
      </c>
      <c r="E79" s="1" t="n">
        <v>46220</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5836-2022</t>
        </is>
      </c>
      <c r="B80" t="inlineStr">
        <is>
          <t>avverkningsanmälan</t>
        </is>
      </c>
      <c r="C80" t="inlineStr">
        <is>
          <t>Föryngringsavverkning</t>
        </is>
      </c>
      <c r="D80" s="1" t="n">
        <v>44596</v>
      </c>
      <c r="E80" s="1" t="n">
        <v>46220</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s="2" t="inlineStr"/>
    </row>
    <row r="81" ht="15" customHeight="1">
      <c r="A81" t="inlineStr">
        <is>
          <t>A 19776-2022</t>
        </is>
      </c>
      <c r="B81" t="inlineStr">
        <is>
          <t>avverkningsanmälan</t>
        </is>
      </c>
      <c r="C81" t="inlineStr">
        <is>
          <t>Föryngringsavverkning</t>
        </is>
      </c>
      <c r="D81" s="1" t="n">
        <v>44694</v>
      </c>
      <c r="E81" s="1" t="n">
        <v>46220</v>
      </c>
      <c r="F81" t="inlineStr">
        <is>
          <t>VÄRMLANDS LÄN</t>
        </is>
      </c>
      <c r="G81" t="inlineStr">
        <is>
          <t>ÅRJÄNG</t>
        </is>
      </c>
      <c r="I81" t="n">
        <v>9</v>
      </c>
      <c r="J81" t="n">
        <v>0</v>
      </c>
      <c r="K81" t="n">
        <v>0</v>
      </c>
      <c r="L81" t="n">
        <v>0</v>
      </c>
      <c r="M81" t="n">
        <v>0</v>
      </c>
      <c r="N81" t="n">
        <v>0</v>
      </c>
      <c r="O81" t="n">
        <v>0</v>
      </c>
      <c r="P81" t="n">
        <v>0</v>
      </c>
      <c r="Q81" t="n">
        <v>0</v>
      </c>
      <c r="R81" t="n">
        <v>0</v>
      </c>
      <c r="S81" t="n">
        <v>0</v>
      </c>
      <c r="T81" t="n">
        <v>0</v>
      </c>
      <c r="U81" s="2" t="inlineStr"/>
    </row>
    <row r="82" ht="15" customHeight="1">
      <c r="A82" t="inlineStr">
        <is>
          <t>A 43578-2021</t>
        </is>
      </c>
      <c r="B82" t="inlineStr">
        <is>
          <t>avverkningsanmälan</t>
        </is>
      </c>
      <c r="C82" t="inlineStr">
        <is>
          <t>Föryngringsavverkning</t>
        </is>
      </c>
      <c r="D82" s="1" t="n">
        <v>44433</v>
      </c>
      <c r="E82" s="1" t="n">
        <v>46220</v>
      </c>
      <c r="F82" t="inlineStr">
        <is>
          <t>VÄRMLANDS LÄN</t>
        </is>
      </c>
      <c r="G82" t="inlineStr">
        <is>
          <t>ÅRJÄNG</t>
        </is>
      </c>
      <c r="I82" t="n">
        <v>6.3</v>
      </c>
      <c r="J82" t="n">
        <v>0</v>
      </c>
      <c r="K82" t="n">
        <v>0</v>
      </c>
      <c r="L82" t="n">
        <v>0</v>
      </c>
      <c r="M82" t="n">
        <v>0</v>
      </c>
      <c r="N82" t="n">
        <v>0</v>
      </c>
      <c r="O82" t="n">
        <v>0</v>
      </c>
      <c r="P82" t="n">
        <v>0</v>
      </c>
      <c r="Q82" t="n">
        <v>0</v>
      </c>
      <c r="R82" t="n">
        <v>0</v>
      </c>
      <c r="S82" t="n">
        <v>0</v>
      </c>
      <c r="T82" t="n">
        <v>0</v>
      </c>
      <c r="U82" s="2" t="inlineStr"/>
    </row>
    <row r="83" ht="15" customHeight="1">
      <c r="A83" t="inlineStr">
        <is>
          <t>A 13166-2022</t>
        </is>
      </c>
      <c r="B83" t="inlineStr">
        <is>
          <t>avverkningsanmälan</t>
        </is>
      </c>
      <c r="C83" t="inlineStr">
        <is>
          <t>Föryngringsavverkning</t>
        </is>
      </c>
      <c r="D83" s="1" t="n">
        <v>44643</v>
      </c>
      <c r="E83" s="1" t="n">
        <v>46220</v>
      </c>
      <c r="F83" t="inlineStr">
        <is>
          <t>VÄRMLANDS LÄN</t>
        </is>
      </c>
      <c r="G83" t="inlineStr">
        <is>
          <t>ÅRJÄNG</t>
        </is>
      </c>
      <c r="I83" t="n">
        <v>7.3</v>
      </c>
      <c r="J83" t="n">
        <v>0</v>
      </c>
      <c r="K83" t="n">
        <v>0</v>
      </c>
      <c r="L83" t="n">
        <v>0</v>
      </c>
      <c r="M83" t="n">
        <v>0</v>
      </c>
      <c r="N83" t="n">
        <v>0</v>
      </c>
      <c r="O83" t="n">
        <v>0</v>
      </c>
      <c r="P83" t="n">
        <v>0</v>
      </c>
      <c r="Q83" t="n">
        <v>0</v>
      </c>
      <c r="R83" t="n">
        <v>0</v>
      </c>
      <c r="S83" t="n">
        <v>0</v>
      </c>
      <c r="T83" t="n">
        <v>0</v>
      </c>
      <c r="U83" s="2" t="inlineStr"/>
    </row>
    <row r="84" ht="15" customHeight="1">
      <c r="A84" t="inlineStr">
        <is>
          <t>A 42956-2021</t>
        </is>
      </c>
      <c r="B84" t="inlineStr">
        <is>
          <t>avverkningsanmälan</t>
        </is>
      </c>
      <c r="C84" t="inlineStr">
        <is>
          <t>Föryngringsavverkning</t>
        </is>
      </c>
      <c r="D84" s="1" t="n">
        <v>44431</v>
      </c>
      <c r="E84" s="1" t="n">
        <v>46220</v>
      </c>
      <c r="F84" t="inlineStr">
        <is>
          <t>VÄRMLANDS LÄN</t>
        </is>
      </c>
      <c r="G84" t="inlineStr">
        <is>
          <t>ÅRJÄNG</t>
        </is>
      </c>
      <c r="I84" t="n">
        <v>4.2</v>
      </c>
      <c r="J84" t="n">
        <v>0</v>
      </c>
      <c r="K84" t="n">
        <v>0</v>
      </c>
      <c r="L84" t="n">
        <v>0</v>
      </c>
      <c r="M84" t="n">
        <v>0</v>
      </c>
      <c r="N84" t="n">
        <v>0</v>
      </c>
      <c r="O84" t="n">
        <v>0</v>
      </c>
      <c r="P84" t="n">
        <v>0</v>
      </c>
      <c r="Q84" t="n">
        <v>0</v>
      </c>
      <c r="R84" t="n">
        <v>0</v>
      </c>
      <c r="S84" t="n">
        <v>0</v>
      </c>
      <c r="T84" t="n">
        <v>0</v>
      </c>
      <c r="U84" s="2" t="inlineStr"/>
    </row>
    <row r="85" ht="15" customHeight="1">
      <c r="A85" t="inlineStr">
        <is>
          <t>A 662-2022</t>
        </is>
      </c>
      <c r="B85" t="inlineStr">
        <is>
          <t>avverkningsanmälan</t>
        </is>
      </c>
      <c r="C85" t="inlineStr">
        <is>
          <t>Föryngringsavverkning</t>
        </is>
      </c>
      <c r="D85" s="1" t="n">
        <v>44568</v>
      </c>
      <c r="E85" s="1" t="n">
        <v>46220</v>
      </c>
      <c r="F85" t="inlineStr">
        <is>
          <t>VÄRMLANDS LÄN</t>
        </is>
      </c>
      <c r="G85" t="inlineStr">
        <is>
          <t>ÅRJÄNG</t>
        </is>
      </c>
      <c r="I85" t="n">
        <v>5.7</v>
      </c>
      <c r="J85" t="n">
        <v>0</v>
      </c>
      <c r="K85" t="n">
        <v>0</v>
      </c>
      <c r="L85" t="n">
        <v>0</v>
      </c>
      <c r="M85" t="n">
        <v>0</v>
      </c>
      <c r="N85" t="n">
        <v>0</v>
      </c>
      <c r="O85" t="n">
        <v>0</v>
      </c>
      <c r="P85" t="n">
        <v>0</v>
      </c>
      <c r="Q85" t="n">
        <v>0</v>
      </c>
      <c r="R85" t="n">
        <v>0</v>
      </c>
      <c r="S85" t="n">
        <v>0</v>
      </c>
      <c r="T85" t="n">
        <v>0</v>
      </c>
      <c r="U85" s="2" t="inlineStr"/>
    </row>
    <row r="86" ht="15" customHeight="1">
      <c r="A86" t="inlineStr">
        <is>
          <t>A 47642-2021</t>
        </is>
      </c>
      <c r="B86" t="inlineStr">
        <is>
          <t>avverkningsanmälan</t>
        </is>
      </c>
      <c r="C86" t="inlineStr">
        <is>
          <t>Föryngringsavverkning</t>
        </is>
      </c>
      <c r="D86" s="1" t="n">
        <v>44448</v>
      </c>
      <c r="E86" s="1" t="n">
        <v>46220</v>
      </c>
      <c r="F86" t="inlineStr">
        <is>
          <t>VÄRMLANDS LÄN</t>
        </is>
      </c>
      <c r="G86" t="inlineStr">
        <is>
          <t>ÅRJÄNG</t>
        </is>
      </c>
      <c r="I86" t="n">
        <v>2.3</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46220</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46644-2021</t>
        </is>
      </c>
      <c r="B88" t="inlineStr">
        <is>
          <t>avverkningsanmälan</t>
        </is>
      </c>
      <c r="C88" t="inlineStr">
        <is>
          <t>Föryngringsavverkning</t>
        </is>
      </c>
      <c r="D88" s="1" t="n">
        <v>44445</v>
      </c>
      <c r="E88" s="1" t="n">
        <v>46220</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s="2" t="inlineStr"/>
    </row>
    <row r="89" ht="15" customHeight="1">
      <c r="A89" t="inlineStr">
        <is>
          <t>A 64785-2021</t>
        </is>
      </c>
      <c r="B89" t="inlineStr">
        <is>
          <t>avverkningsanmälan</t>
        </is>
      </c>
      <c r="C89" t="inlineStr">
        <is>
          <t>Föryngringsavverkning</t>
        </is>
      </c>
      <c r="D89" s="1" t="n">
        <v>44512</v>
      </c>
      <c r="E89" s="1" t="n">
        <v>46220</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s="2" t="inlineStr"/>
    </row>
    <row r="90" ht="15" customHeight="1">
      <c r="A90" t="inlineStr">
        <is>
          <t>A 61129-2021</t>
        </is>
      </c>
      <c r="B90" t="inlineStr">
        <is>
          <t>avverkningsanmälan</t>
        </is>
      </c>
      <c r="C90" t="inlineStr">
        <is>
          <t>Avverkning för annat ändamål</t>
        </is>
      </c>
      <c r="D90" s="1" t="n">
        <v>44498</v>
      </c>
      <c r="E90" s="1" t="n">
        <v>46220</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s="2" t="inlineStr"/>
    </row>
    <row r="91" ht="15" customHeight="1">
      <c r="A91" t="inlineStr">
        <is>
          <t>A 64082-2021</t>
        </is>
      </c>
      <c r="B91" t="inlineStr">
        <is>
          <t>avverkningsanmälan</t>
        </is>
      </c>
      <c r="C91" t="inlineStr">
        <is>
          <t>Föryngringsavverkning</t>
        </is>
      </c>
      <c r="D91" s="1" t="n">
        <v>44510</v>
      </c>
      <c r="E91" s="1" t="n">
        <v>46220</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s="2" t="inlineStr"/>
    </row>
    <row r="92" ht="15" customHeight="1">
      <c r="A92" t="inlineStr">
        <is>
          <t>A 61252-2021</t>
        </is>
      </c>
      <c r="B92" t="inlineStr">
        <is>
          <t>avverkningsanmälan</t>
        </is>
      </c>
      <c r="C92" t="inlineStr">
        <is>
          <t>Föryngringsavverkning</t>
        </is>
      </c>
      <c r="D92" s="1" t="n">
        <v>44496</v>
      </c>
      <c r="E92" s="1" t="n">
        <v>46220</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s="2" t="inlineStr"/>
    </row>
    <row r="93" ht="15" customHeight="1">
      <c r="A93" t="inlineStr">
        <is>
          <t>A 61254-2021</t>
        </is>
      </c>
      <c r="B93" t="inlineStr">
        <is>
          <t>avverkningsanmälan</t>
        </is>
      </c>
      <c r="C93" t="inlineStr">
        <is>
          <t>Föryngringsavverkning</t>
        </is>
      </c>
      <c r="D93" s="1" t="n">
        <v>44496</v>
      </c>
      <c r="E93" s="1" t="n">
        <v>46220</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s="2" t="inlineStr"/>
    </row>
    <row r="94" ht="15" customHeight="1">
      <c r="A94" t="inlineStr">
        <is>
          <t>A 59009-2021</t>
        </is>
      </c>
      <c r="B94" t="inlineStr">
        <is>
          <t>avverkningsanmälan</t>
        </is>
      </c>
      <c r="C94" t="inlineStr">
        <is>
          <t>Föryngringsavverkning</t>
        </is>
      </c>
      <c r="D94" s="1" t="n">
        <v>44490</v>
      </c>
      <c r="E94" s="1" t="n">
        <v>46220</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s="2" t="inlineStr"/>
    </row>
    <row r="95" ht="15" customHeight="1">
      <c r="A95" t="inlineStr">
        <is>
          <t>A 11934-2022</t>
        </is>
      </c>
      <c r="B95" t="inlineStr">
        <is>
          <t>avverkningsanmälan</t>
        </is>
      </c>
      <c r="C95" t="inlineStr">
        <is>
          <t>Föryngringsavverkning</t>
        </is>
      </c>
      <c r="D95" s="1" t="n">
        <v>44635</v>
      </c>
      <c r="E95" s="1" t="n">
        <v>46220</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s="2" t="inlineStr"/>
    </row>
    <row r="96" ht="15" customHeight="1">
      <c r="A96" t="inlineStr">
        <is>
          <t>A 5830-2022</t>
        </is>
      </c>
      <c r="B96" t="inlineStr">
        <is>
          <t>avverkningsanmälan</t>
        </is>
      </c>
      <c r="C96" t="inlineStr">
        <is>
          <t>Föryngringsavverkning</t>
        </is>
      </c>
      <c r="D96" s="1" t="n">
        <v>44596</v>
      </c>
      <c r="E96" s="1" t="n">
        <v>46220</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s="2" t="inlineStr"/>
    </row>
    <row r="97" ht="15" customHeight="1">
      <c r="A97" t="inlineStr">
        <is>
          <t>A 17352-2022</t>
        </is>
      </c>
      <c r="B97" t="inlineStr">
        <is>
          <t>avverkningsanmälan</t>
        </is>
      </c>
      <c r="C97" t="inlineStr">
        <is>
          <t>Föryngringsavverkning</t>
        </is>
      </c>
      <c r="D97" s="1" t="n">
        <v>44678</v>
      </c>
      <c r="E97" s="1" t="n">
        <v>46220</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s="2" t="inlineStr"/>
    </row>
    <row r="98" ht="15" customHeight="1">
      <c r="A98" t="inlineStr">
        <is>
          <t>A 74087-2021</t>
        </is>
      </c>
      <c r="B98" t="inlineStr">
        <is>
          <t>avverkningsanmälan</t>
        </is>
      </c>
      <c r="C98" t="inlineStr">
        <is>
          <t>Föryngringsavverkning</t>
        </is>
      </c>
      <c r="D98" s="1" t="n">
        <v>44557</v>
      </c>
      <c r="E98" s="1" t="n">
        <v>46220</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46220</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46220</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46220</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47230-2021</t>
        </is>
      </c>
      <c r="B102" t="inlineStr">
        <is>
          <t>avverkningsanmälan</t>
        </is>
      </c>
      <c r="C102" t="inlineStr">
        <is>
          <t>Föryngringsavverkning</t>
        </is>
      </c>
      <c r="D102" s="1" t="n">
        <v>44446</v>
      </c>
      <c r="E102" s="1" t="n">
        <v>46220</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8292-2022</t>
        </is>
      </c>
      <c r="B103" t="inlineStr">
        <is>
          <t>avverkningsanmälan</t>
        </is>
      </c>
      <c r="C103" t="inlineStr">
        <is>
          <t>Föryngringsavverkning</t>
        </is>
      </c>
      <c r="D103" s="1" t="n">
        <v>44609</v>
      </c>
      <c r="E103" s="1" t="n">
        <v>46220</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11037-2022</t>
        </is>
      </c>
      <c r="B104" t="inlineStr">
        <is>
          <t>avverkningsanmälan</t>
        </is>
      </c>
      <c r="C104" t="inlineStr">
        <is>
          <t>Föryngringsavverkning</t>
        </is>
      </c>
      <c r="D104" s="1" t="n">
        <v>44628</v>
      </c>
      <c r="E104" s="1" t="n">
        <v>46220</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40819-2022</t>
        </is>
      </c>
      <c r="B105" t="inlineStr">
        <is>
          <t>avverkningsanmälan</t>
        </is>
      </c>
      <c r="C105" t="inlineStr">
        <is>
          <t>Föryngringsavverkning</t>
        </is>
      </c>
      <c r="D105" s="1" t="n">
        <v>44824</v>
      </c>
      <c r="E105" s="1" t="n">
        <v>46220</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46220</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4942-2022</t>
        </is>
      </c>
      <c r="B107" t="inlineStr">
        <is>
          <t>avverkningsanmälan</t>
        </is>
      </c>
      <c r="C107" t="inlineStr">
        <is>
          <t>Föryngringsavverkning</t>
        </is>
      </c>
      <c r="D107" s="1" t="n">
        <v>44593</v>
      </c>
      <c r="E107" s="1" t="n">
        <v>46220</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s="2" t="inlineStr"/>
    </row>
    <row r="108" ht="15" customHeight="1">
      <c r="A108" t="inlineStr">
        <is>
          <t>A 41228-2022</t>
        </is>
      </c>
      <c r="B108" t="inlineStr">
        <is>
          <t>avverkningsanmälan</t>
        </is>
      </c>
      <c r="C108" t="inlineStr">
        <is>
          <t>Föryngringsavverkning</t>
        </is>
      </c>
      <c r="D108" s="1" t="n">
        <v>44826</v>
      </c>
      <c r="E108" s="1" t="n">
        <v>46220</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39752-2021</t>
        </is>
      </c>
      <c r="B109" t="inlineStr">
        <is>
          <t>avverkningsanmälan</t>
        </is>
      </c>
      <c r="C109" t="inlineStr">
        <is>
          <t>Föryngringsavverkning</t>
        </is>
      </c>
      <c r="D109" s="1" t="n">
        <v>44417</v>
      </c>
      <c r="E109" s="1" t="n">
        <v>46220</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s="2" t="inlineStr"/>
    </row>
    <row r="110" ht="15" customHeight="1">
      <c r="A110" t="inlineStr">
        <is>
          <t>A 72812-2021</t>
        </is>
      </c>
      <c r="B110" t="inlineStr">
        <is>
          <t>avverkningsanmälan</t>
        </is>
      </c>
      <c r="C110" t="inlineStr">
        <is>
          <t>Föryngringsavverkning</t>
        </is>
      </c>
      <c r="D110" s="1" t="n">
        <v>44546</v>
      </c>
      <c r="E110" s="1" t="n">
        <v>46220</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46220</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46220</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49180-2021</t>
        </is>
      </c>
      <c r="B113" t="inlineStr">
        <is>
          <t>avverkningsanmälan</t>
        </is>
      </c>
      <c r="C113" t="inlineStr">
        <is>
          <t>Föryngringsavverkning</t>
        </is>
      </c>
      <c r="D113" s="1" t="n">
        <v>44454</v>
      </c>
      <c r="E113" s="1" t="n">
        <v>46220</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1574-2022</t>
        </is>
      </c>
      <c r="B114" t="inlineStr">
        <is>
          <t>avverkningsanmälan</t>
        </is>
      </c>
      <c r="C114" t="inlineStr">
        <is>
          <t>Föryngringsavverkning</t>
        </is>
      </c>
      <c r="D114" s="1" t="n">
        <v>44573</v>
      </c>
      <c r="E114" s="1" t="n">
        <v>46220</v>
      </c>
      <c r="F114" t="inlineStr">
        <is>
          <t>VÄRMLANDS LÄN</t>
        </is>
      </c>
      <c r="G114" t="inlineStr">
        <is>
          <t>ÅRJÄNG</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61158-2021</t>
        </is>
      </c>
      <c r="B115" t="inlineStr">
        <is>
          <t>avverkningsanmälan</t>
        </is>
      </c>
      <c r="C115" t="inlineStr">
        <is>
          <t>Föryngringsavverkning</t>
        </is>
      </c>
      <c r="D115" s="1" t="n">
        <v>44497</v>
      </c>
      <c r="E115" s="1" t="n">
        <v>46220</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55784-2021</t>
        </is>
      </c>
      <c r="B116" t="inlineStr">
        <is>
          <t>avverkningsanmälan</t>
        </is>
      </c>
      <c r="C116" t="inlineStr">
        <is>
          <t>Föryngringsavverkning</t>
        </is>
      </c>
      <c r="D116" s="1" t="n">
        <v>44476</v>
      </c>
      <c r="E116" s="1" t="n">
        <v>46220</v>
      </c>
      <c r="F116" t="inlineStr">
        <is>
          <t>VÄRMLANDS LÄN</t>
        </is>
      </c>
      <c r="G116" t="inlineStr">
        <is>
          <t>ÅRJÄNG</t>
        </is>
      </c>
      <c r="I116" t="n">
        <v>3</v>
      </c>
      <c r="J116" t="n">
        <v>0</v>
      </c>
      <c r="K116" t="n">
        <v>0</v>
      </c>
      <c r="L116" t="n">
        <v>0</v>
      </c>
      <c r="M116" t="n">
        <v>0</v>
      </c>
      <c r="N116" t="n">
        <v>0</v>
      </c>
      <c r="O116" t="n">
        <v>0</v>
      </c>
      <c r="P116" t="n">
        <v>0</v>
      </c>
      <c r="Q116" t="n">
        <v>0</v>
      </c>
      <c r="R116" t="n">
        <v>0</v>
      </c>
      <c r="S116" t="n">
        <v>0</v>
      </c>
      <c r="T116" t="n">
        <v>0</v>
      </c>
      <c r="U116" s="2" t="inlineStr"/>
    </row>
    <row r="117" ht="15" customHeight="1">
      <c r="A117" t="inlineStr">
        <is>
          <t>A 1418-2022</t>
        </is>
      </c>
      <c r="B117" t="inlineStr">
        <is>
          <t>avverkningsanmälan</t>
        </is>
      </c>
      <c r="C117" t="inlineStr">
        <is>
          <t>Föryngringsavverkning</t>
        </is>
      </c>
      <c r="D117" s="1" t="n">
        <v>44573</v>
      </c>
      <c r="E117" s="1" t="n">
        <v>46220</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s="2" t="inlineStr"/>
    </row>
    <row r="118" ht="15" customHeight="1">
      <c r="A118" t="inlineStr">
        <is>
          <t>A 19947-2022</t>
        </is>
      </c>
      <c r="B118" t="inlineStr">
        <is>
          <t>avverkningsanmälan</t>
        </is>
      </c>
      <c r="C118" t="inlineStr">
        <is>
          <t>Föryngringsavverkning</t>
        </is>
      </c>
      <c r="D118" s="1" t="n">
        <v>44697</v>
      </c>
      <c r="E118" s="1" t="n">
        <v>46220</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61114-2021</t>
        </is>
      </c>
      <c r="B119" t="inlineStr">
        <is>
          <t>avverkningsanmälan</t>
        </is>
      </c>
      <c r="C119" t="inlineStr">
        <is>
          <t>Föryngringsavverkning</t>
        </is>
      </c>
      <c r="D119" s="1" t="n">
        <v>44497</v>
      </c>
      <c r="E119" s="1" t="n">
        <v>46220</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61121-2021</t>
        </is>
      </c>
      <c r="B120" t="inlineStr">
        <is>
          <t>avverkningsanmälan</t>
        </is>
      </c>
      <c r="C120" t="inlineStr">
        <is>
          <t>Avverkning för annat ändamål</t>
        </is>
      </c>
      <c r="D120" s="1" t="n">
        <v>44498</v>
      </c>
      <c r="E120" s="1" t="n">
        <v>46220</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7485-2022</t>
        </is>
      </c>
      <c r="B121" t="inlineStr">
        <is>
          <t>avverkningsanmälan</t>
        </is>
      </c>
      <c r="C121" t="inlineStr">
        <is>
          <t>Föryngringsavverkning</t>
        </is>
      </c>
      <c r="D121" s="1" t="n">
        <v>44607</v>
      </c>
      <c r="E121" s="1" t="n">
        <v>46220</v>
      </c>
      <c r="F121" t="inlineStr">
        <is>
          <t>VÄRMLANDS LÄN</t>
        </is>
      </c>
      <c r="G121" t="inlineStr">
        <is>
          <t>ÅRJÄNG</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509-2022</t>
        </is>
      </c>
      <c r="B122" t="inlineStr">
        <is>
          <t>avverkningsanmälan</t>
        </is>
      </c>
      <c r="C122" t="inlineStr">
        <is>
          <t>Föryngringsavverkning</t>
        </is>
      </c>
      <c r="D122" s="1" t="n">
        <v>44566</v>
      </c>
      <c r="E122" s="1" t="n">
        <v>46220</v>
      </c>
      <c r="F122" t="inlineStr">
        <is>
          <t>VÄRMLANDS LÄN</t>
        </is>
      </c>
      <c r="G122" t="inlineStr">
        <is>
          <t>ÅRJÄNG</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22167-2022</t>
        </is>
      </c>
      <c r="B123" t="inlineStr">
        <is>
          <t>avverkningsanmälan</t>
        </is>
      </c>
      <c r="C123" t="inlineStr">
        <is>
          <t>Föryngringsavverkning</t>
        </is>
      </c>
      <c r="D123" s="1" t="n">
        <v>44712</v>
      </c>
      <c r="E123" s="1" t="n">
        <v>46220</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73651-2021</t>
        </is>
      </c>
      <c r="B124" t="inlineStr">
        <is>
          <t>avverkningsanmälan</t>
        </is>
      </c>
      <c r="C124" t="inlineStr">
        <is>
          <t>Föryngringsavverkning</t>
        </is>
      </c>
      <c r="D124" s="1" t="n">
        <v>44552</v>
      </c>
      <c r="E124" s="1" t="n">
        <v>46220</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71834-2021</t>
        </is>
      </c>
      <c r="B125" t="inlineStr">
        <is>
          <t>avverkningsanmälan</t>
        </is>
      </c>
      <c r="C125" t="inlineStr">
        <is>
          <t>Föryngringsavverkning</t>
        </is>
      </c>
      <c r="D125" s="1" t="n">
        <v>44543</v>
      </c>
      <c r="E125" s="1" t="n">
        <v>46220</v>
      </c>
      <c r="F125" t="inlineStr">
        <is>
          <t>VÄRMLANDS LÄN</t>
        </is>
      </c>
      <c r="G125" t="inlineStr">
        <is>
          <t>ÅRJÄNG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11548-2022</t>
        </is>
      </c>
      <c r="B126" t="inlineStr">
        <is>
          <t>avverkningsanmälan</t>
        </is>
      </c>
      <c r="C126" t="inlineStr">
        <is>
          <t>Föryngringsavverkning</t>
        </is>
      </c>
      <c r="D126" s="1" t="n">
        <v>44631</v>
      </c>
      <c r="E126" s="1" t="n">
        <v>46220</v>
      </c>
      <c r="F126" t="inlineStr">
        <is>
          <t>VÄRMLANDS LÄN</t>
        </is>
      </c>
      <c r="G126" t="inlineStr">
        <is>
          <t>ÅRJÄNG</t>
        </is>
      </c>
      <c r="H126" t="inlineStr">
        <is>
          <t>Bergvik skog väst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66599-2021</t>
        </is>
      </c>
      <c r="B127" t="inlineStr">
        <is>
          <t>avverkningsanmälan</t>
        </is>
      </c>
      <c r="C127" t="inlineStr">
        <is>
          <t>Avverkning för annat ändamål</t>
        </is>
      </c>
      <c r="D127" s="1" t="n">
        <v>44519</v>
      </c>
      <c r="E127" s="1" t="n">
        <v>46220</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2966-2022</t>
        </is>
      </c>
      <c r="B128" t="inlineStr">
        <is>
          <t>avverkningsanmälan</t>
        </is>
      </c>
      <c r="C128" t="inlineStr">
        <is>
          <t>Föryngringsavverkning</t>
        </is>
      </c>
      <c r="D128" s="1" t="n">
        <v>44581</v>
      </c>
      <c r="E128" s="1" t="n">
        <v>46220</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46220</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46220</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46220</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46220</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52830-2022</t>
        </is>
      </c>
      <c r="B133" t="inlineStr">
        <is>
          <t>avverkningsanmälan</t>
        </is>
      </c>
      <c r="C133" t="inlineStr">
        <is>
          <t>Föryngringsavverkning</t>
        </is>
      </c>
      <c r="D133" s="1" t="n">
        <v>44875</v>
      </c>
      <c r="E133" s="1" t="n">
        <v>46220</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46220</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74187-2021</t>
        </is>
      </c>
      <c r="B135" t="inlineStr">
        <is>
          <t>avverkningsanmälan</t>
        </is>
      </c>
      <c r="C135" t="inlineStr">
        <is>
          <t>Föryngringsavverkning</t>
        </is>
      </c>
      <c r="D135" s="1" t="n">
        <v>44553</v>
      </c>
      <c r="E135" s="1" t="n">
        <v>46220</v>
      </c>
      <c r="F135" t="inlineStr">
        <is>
          <t>VÄRMLANDS LÄN</t>
        </is>
      </c>
      <c r="G135" t="inlineStr">
        <is>
          <t>ÅRJÄNG</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18840-2022</t>
        </is>
      </c>
      <c r="B136" t="inlineStr">
        <is>
          <t>avverkningsanmälan</t>
        </is>
      </c>
      <c r="C136" t="inlineStr">
        <is>
          <t>Föryngringsavverkning</t>
        </is>
      </c>
      <c r="D136" s="1" t="n">
        <v>44690</v>
      </c>
      <c r="E136" s="1" t="n">
        <v>46220</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46220</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46220</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61240-2021</t>
        </is>
      </c>
      <c r="B139" t="inlineStr">
        <is>
          <t>avverkningsanmälan</t>
        </is>
      </c>
      <c r="C139" t="inlineStr">
        <is>
          <t>Föryngringsavverkning</t>
        </is>
      </c>
      <c r="D139" s="1" t="n">
        <v>44496</v>
      </c>
      <c r="E139" s="1" t="n">
        <v>46220</v>
      </c>
      <c r="F139" t="inlineStr">
        <is>
          <t>VÄRMLANDS LÄN</t>
        </is>
      </c>
      <c r="G139" t="inlineStr">
        <is>
          <t>ÅRJÄNG</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33915-2022</t>
        </is>
      </c>
      <c r="B140" t="inlineStr">
        <is>
          <t>avverkningsanmälan</t>
        </is>
      </c>
      <c r="C140" t="inlineStr">
        <is>
          <t>Föryngringsavverkning</t>
        </is>
      </c>
      <c r="D140" s="1" t="n">
        <v>44790</v>
      </c>
      <c r="E140" s="1" t="n">
        <v>46220</v>
      </c>
      <c r="F140" t="inlineStr">
        <is>
          <t>VÄRMLANDS LÄN</t>
        </is>
      </c>
      <c r="G140" t="inlineStr">
        <is>
          <t>ÅRJÄNG</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53679-2022</t>
        </is>
      </c>
      <c r="B141" t="inlineStr">
        <is>
          <t>avverkningsanmälan</t>
        </is>
      </c>
      <c r="C141" t="inlineStr">
        <is>
          <t>Föryngringsavverkning</t>
        </is>
      </c>
      <c r="D141" s="1" t="n">
        <v>44879</v>
      </c>
      <c r="E141" s="1" t="n">
        <v>46220</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46220</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46248-2021</t>
        </is>
      </c>
      <c r="B143" t="inlineStr">
        <is>
          <t>avverkningsanmälan</t>
        </is>
      </c>
      <c r="C143" t="inlineStr">
        <is>
          <t>Föryngringsavverkning</t>
        </is>
      </c>
      <c r="D143" s="1" t="n">
        <v>44442</v>
      </c>
      <c r="E143" s="1" t="n">
        <v>46220</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11936-2022</t>
        </is>
      </c>
      <c r="B144" t="inlineStr">
        <is>
          <t>avverkningsanmälan</t>
        </is>
      </c>
      <c r="C144" t="inlineStr">
        <is>
          <t>Föryngringsavverkning</t>
        </is>
      </c>
      <c r="D144" s="1" t="n">
        <v>44635</v>
      </c>
      <c r="E144" s="1" t="n">
        <v>46220</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s="2" t="inlineStr"/>
    </row>
    <row r="145" ht="15" customHeight="1">
      <c r="A145" t="inlineStr">
        <is>
          <t>A 33888-2022</t>
        </is>
      </c>
      <c r="B145" t="inlineStr">
        <is>
          <t>avverkningsanmälan</t>
        </is>
      </c>
      <c r="C145" t="inlineStr">
        <is>
          <t>Föryngringsavverkning</t>
        </is>
      </c>
      <c r="D145" s="1" t="n">
        <v>44790</v>
      </c>
      <c r="E145" s="1" t="n">
        <v>46220</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56311-2021</t>
        </is>
      </c>
      <c r="B146" t="inlineStr">
        <is>
          <t>avverkningsanmälan</t>
        </is>
      </c>
      <c r="C146" t="inlineStr">
        <is>
          <t>Föryngringsavverkning</t>
        </is>
      </c>
      <c r="D146" s="1" t="n">
        <v>44480</v>
      </c>
      <c r="E146" s="1" t="n">
        <v>46220</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516-2022</t>
        </is>
      </c>
      <c r="B147" t="inlineStr">
        <is>
          <t>avverkningsanmälan</t>
        </is>
      </c>
      <c r="C147" t="inlineStr">
        <is>
          <t>Föryngringsavverkning</t>
        </is>
      </c>
      <c r="D147" s="1" t="n">
        <v>44566</v>
      </c>
      <c r="E147" s="1" t="n">
        <v>46220</v>
      </c>
      <c r="F147" t="inlineStr">
        <is>
          <t>VÄRMLANDS LÄN</t>
        </is>
      </c>
      <c r="G147" t="inlineStr">
        <is>
          <t>ÅRJÄNG</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50858-2021</t>
        </is>
      </c>
      <c r="B148" t="inlineStr">
        <is>
          <t>avverkningsanmälan</t>
        </is>
      </c>
      <c r="C148" t="inlineStr">
        <is>
          <t>Föryngringsavverkning</t>
        </is>
      </c>
      <c r="D148" s="1" t="n">
        <v>44459</v>
      </c>
      <c r="E148" s="1" t="n">
        <v>46220</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s="2" t="inlineStr"/>
    </row>
    <row r="149" ht="15" customHeight="1">
      <c r="A149" t="inlineStr">
        <is>
          <t>A 37697-2021</t>
        </is>
      </c>
      <c r="B149" t="inlineStr">
        <is>
          <t>avverkningsanmälan</t>
        </is>
      </c>
      <c r="C149" t="inlineStr">
        <is>
          <t>Föryngringsavverkning</t>
        </is>
      </c>
      <c r="D149" s="1" t="n">
        <v>44400</v>
      </c>
      <c r="E149" s="1" t="n">
        <v>46220</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42963-2021</t>
        </is>
      </c>
      <c r="B150" t="inlineStr">
        <is>
          <t>avverkningsanmälan</t>
        </is>
      </c>
      <c r="C150" t="inlineStr">
        <is>
          <t>Föryngringsavverkning</t>
        </is>
      </c>
      <c r="D150" s="1" t="n">
        <v>44431</v>
      </c>
      <c r="E150" s="1" t="n">
        <v>46220</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46220</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62289-2021</t>
        </is>
      </c>
      <c r="B152" t="inlineStr">
        <is>
          <t>avverkningsanmälan</t>
        </is>
      </c>
      <c r="C152" t="inlineStr">
        <is>
          <t>Föryngringsavverkning</t>
        </is>
      </c>
      <c r="D152" s="1" t="n">
        <v>44503</v>
      </c>
      <c r="E152" s="1" t="n">
        <v>46220</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41982-2022</t>
        </is>
      </c>
      <c r="B153" t="inlineStr">
        <is>
          <t>avverkningsanmälan</t>
        </is>
      </c>
      <c r="C153" t="inlineStr">
        <is>
          <t>Föryngringsavverkning</t>
        </is>
      </c>
      <c r="D153" s="1" t="n">
        <v>44830</v>
      </c>
      <c r="E153" s="1" t="n">
        <v>46220</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40829-2021</t>
        </is>
      </c>
      <c r="B154" t="inlineStr">
        <is>
          <t>avverkningsanmälan</t>
        </is>
      </c>
      <c r="C154" t="inlineStr">
        <is>
          <t>Föryngringsavverkning</t>
        </is>
      </c>
      <c r="D154" s="1" t="n">
        <v>44421</v>
      </c>
      <c r="E154" s="1" t="n">
        <v>46220</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40832-2021</t>
        </is>
      </c>
      <c r="B155" t="inlineStr">
        <is>
          <t>avverkningsanmälan</t>
        </is>
      </c>
      <c r="C155" t="inlineStr">
        <is>
          <t>Föryngringsavverkning</t>
        </is>
      </c>
      <c r="D155" s="1" t="n">
        <v>44421</v>
      </c>
      <c r="E155" s="1" t="n">
        <v>46220</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53052-2021</t>
        </is>
      </c>
      <c r="B156" t="inlineStr">
        <is>
          <t>avverkningsanmälan</t>
        </is>
      </c>
      <c r="C156" t="inlineStr">
        <is>
          <t>Föryngringsavverkning</t>
        </is>
      </c>
      <c r="D156" s="1" t="n">
        <v>44467</v>
      </c>
      <c r="E156" s="1" t="n">
        <v>46220</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46220</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53747-2021</t>
        </is>
      </c>
      <c r="B158" t="inlineStr">
        <is>
          <t>avverkningsanmälan</t>
        </is>
      </c>
      <c r="C158" t="inlineStr">
        <is>
          <t>Föryngringsavverkning</t>
        </is>
      </c>
      <c r="D158" s="1" t="n">
        <v>44469</v>
      </c>
      <c r="E158" s="1" t="n">
        <v>46220</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s="2" t="inlineStr"/>
    </row>
    <row r="159" ht="15" customHeight="1">
      <c r="A159" t="inlineStr">
        <is>
          <t>A 62984-2021</t>
        </is>
      </c>
      <c r="B159" t="inlineStr">
        <is>
          <t>avverkningsanmälan</t>
        </is>
      </c>
      <c r="C159" t="inlineStr">
        <is>
          <t>Föryngringsavverkning</t>
        </is>
      </c>
      <c r="D159" s="1" t="n">
        <v>44505</v>
      </c>
      <c r="E159" s="1" t="n">
        <v>46220</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67023-2021</t>
        </is>
      </c>
      <c r="B160" t="inlineStr">
        <is>
          <t>avverkningsanmälan</t>
        </is>
      </c>
      <c r="C160" t="inlineStr">
        <is>
          <t>Föryngringsavverkning</t>
        </is>
      </c>
      <c r="D160" s="1" t="n">
        <v>44522</v>
      </c>
      <c r="E160" s="1" t="n">
        <v>46220</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72291-2021</t>
        </is>
      </c>
      <c r="B161" t="inlineStr">
        <is>
          <t>avverkningsanmälan</t>
        </is>
      </c>
      <c r="C161" t="inlineStr">
        <is>
          <t>Föryngringsavverkning</t>
        </is>
      </c>
      <c r="D161" s="1" t="n">
        <v>44545</v>
      </c>
      <c r="E161" s="1" t="n">
        <v>46220</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5667-2022</t>
        </is>
      </c>
      <c r="B162" t="inlineStr">
        <is>
          <t>avverkningsanmälan</t>
        </is>
      </c>
      <c r="C162" t="inlineStr">
        <is>
          <t>Föryngringsavverkning</t>
        </is>
      </c>
      <c r="D162" s="1" t="n">
        <v>44595</v>
      </c>
      <c r="E162" s="1" t="n">
        <v>46220</v>
      </c>
      <c r="F162" t="inlineStr">
        <is>
          <t>VÄRMLANDS LÄN</t>
        </is>
      </c>
      <c r="G162" t="inlineStr">
        <is>
          <t>ÅRJÄNG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46220</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46220</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46220</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9630-2022</t>
        </is>
      </c>
      <c r="B166" t="inlineStr">
        <is>
          <t>avverkningsanmälan</t>
        </is>
      </c>
      <c r="C166" t="inlineStr">
        <is>
          <t>Avverkning för annat ändamål</t>
        </is>
      </c>
      <c r="D166" s="1" t="n">
        <v>44617</v>
      </c>
      <c r="E166" s="1" t="n">
        <v>46220</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40439-2022</t>
        </is>
      </c>
      <c r="B167" t="inlineStr">
        <is>
          <t>avverkningsanmälan</t>
        </is>
      </c>
      <c r="C167" t="inlineStr">
        <is>
          <t>Föryngringsavverkning</t>
        </is>
      </c>
      <c r="D167" s="1" t="n">
        <v>44823</v>
      </c>
      <c r="E167" s="1" t="n">
        <v>46220</v>
      </c>
      <c r="F167" t="inlineStr">
        <is>
          <t>VÄRMLANDS LÄN</t>
        </is>
      </c>
      <c r="G167" t="inlineStr">
        <is>
          <t>ÅRJÄNG</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46220</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46220</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46220</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46220</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46220</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46220</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46220</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73138-2021</t>
        </is>
      </c>
      <c r="B175" t="inlineStr">
        <is>
          <t>avverkningsanmälan</t>
        </is>
      </c>
      <c r="C175" t="inlineStr">
        <is>
          <t>Föryngringsavverkning</t>
        </is>
      </c>
      <c r="D175" s="1" t="n">
        <v>44550</v>
      </c>
      <c r="E175" s="1" t="n">
        <v>46220</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13156-2022</t>
        </is>
      </c>
      <c r="B176" t="inlineStr">
        <is>
          <t>avverkningsanmälan</t>
        </is>
      </c>
      <c r="C176" t="inlineStr">
        <is>
          <t>Föryngringsavverkning</t>
        </is>
      </c>
      <c r="D176" s="1" t="n">
        <v>44643</v>
      </c>
      <c r="E176" s="1" t="n">
        <v>46220</v>
      </c>
      <c r="F176" t="inlineStr">
        <is>
          <t>VÄRMLANDS LÄN</t>
        </is>
      </c>
      <c r="G176" t="inlineStr">
        <is>
          <t>ÅRJÄNG</t>
        </is>
      </c>
      <c r="I176" t="n">
        <v>7.8</v>
      </c>
      <c r="J176" t="n">
        <v>0</v>
      </c>
      <c r="K176" t="n">
        <v>0</v>
      </c>
      <c r="L176" t="n">
        <v>0</v>
      </c>
      <c r="M176" t="n">
        <v>0</v>
      </c>
      <c r="N176" t="n">
        <v>0</v>
      </c>
      <c r="O176" t="n">
        <v>0</v>
      </c>
      <c r="P176" t="n">
        <v>0</v>
      </c>
      <c r="Q176" t="n">
        <v>0</v>
      </c>
      <c r="R176" t="n">
        <v>0</v>
      </c>
      <c r="S176" t="n">
        <v>0</v>
      </c>
      <c r="T176" t="n">
        <v>0</v>
      </c>
      <c r="U176" s="2" t="inlineStr"/>
    </row>
    <row r="177" ht="15" customHeight="1">
      <c r="A177" t="inlineStr">
        <is>
          <t>A 47005-2021</t>
        </is>
      </c>
      <c r="B177" t="inlineStr">
        <is>
          <t>avverkningsanmälan</t>
        </is>
      </c>
      <c r="C177" t="inlineStr">
        <is>
          <t>Föryngringsavverkning</t>
        </is>
      </c>
      <c r="D177" s="1" t="n">
        <v>44446</v>
      </c>
      <c r="E177" s="1" t="n">
        <v>46220</v>
      </c>
      <c r="F177" t="inlineStr">
        <is>
          <t>VÄRMLANDS LÄN</t>
        </is>
      </c>
      <c r="G177" t="inlineStr">
        <is>
          <t>ÅRJÄNG</t>
        </is>
      </c>
      <c r="I177" t="n">
        <v>6.3</v>
      </c>
      <c r="J177" t="n">
        <v>0</v>
      </c>
      <c r="K177" t="n">
        <v>0</v>
      </c>
      <c r="L177" t="n">
        <v>0</v>
      </c>
      <c r="M177" t="n">
        <v>0</v>
      </c>
      <c r="N177" t="n">
        <v>0</v>
      </c>
      <c r="O177" t="n">
        <v>0</v>
      </c>
      <c r="P177" t="n">
        <v>0</v>
      </c>
      <c r="Q177" t="n">
        <v>0</v>
      </c>
      <c r="R177" t="n">
        <v>0</v>
      </c>
      <c r="S177" t="n">
        <v>0</v>
      </c>
      <c r="T177" t="n">
        <v>0</v>
      </c>
      <c r="U177" s="2" t="inlineStr"/>
    </row>
    <row r="178" ht="15" customHeight="1">
      <c r="A178" t="inlineStr">
        <is>
          <t>A 47033-2021</t>
        </is>
      </c>
      <c r="B178" t="inlineStr">
        <is>
          <t>avverkningsanmälan</t>
        </is>
      </c>
      <c r="C178" t="inlineStr">
        <is>
          <t>Föryngringsavverkning</t>
        </is>
      </c>
      <c r="D178" s="1" t="n">
        <v>44446</v>
      </c>
      <c r="E178" s="1" t="n">
        <v>46220</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60713-2021</t>
        </is>
      </c>
      <c r="B179" t="inlineStr">
        <is>
          <t>avverkningsanmälan</t>
        </is>
      </c>
      <c r="C179" t="inlineStr">
        <is>
          <t>Föryngringsavverkning</t>
        </is>
      </c>
      <c r="D179" s="1" t="n">
        <v>44496</v>
      </c>
      <c r="E179" s="1" t="n">
        <v>46220</v>
      </c>
      <c r="F179" t="inlineStr">
        <is>
          <t>VÄRMLANDS LÄN</t>
        </is>
      </c>
      <c r="G179" t="inlineStr">
        <is>
          <t>ÅRJÄNG</t>
        </is>
      </c>
      <c r="I179" t="n">
        <v>9.199999999999999</v>
      </c>
      <c r="J179" t="n">
        <v>0</v>
      </c>
      <c r="K179" t="n">
        <v>0</v>
      </c>
      <c r="L179" t="n">
        <v>0</v>
      </c>
      <c r="M179" t="n">
        <v>0</v>
      </c>
      <c r="N179" t="n">
        <v>0</v>
      </c>
      <c r="O179" t="n">
        <v>0</v>
      </c>
      <c r="P179" t="n">
        <v>0</v>
      </c>
      <c r="Q179" t="n">
        <v>0</v>
      </c>
      <c r="R179" t="n">
        <v>0</v>
      </c>
      <c r="S179" t="n">
        <v>0</v>
      </c>
      <c r="T179" t="n">
        <v>0</v>
      </c>
      <c r="U179" s="2" t="inlineStr"/>
    </row>
    <row r="180" ht="15" customHeight="1">
      <c r="A180" t="inlineStr">
        <is>
          <t>A 9407-2022</t>
        </is>
      </c>
      <c r="B180" t="inlineStr">
        <is>
          <t>avverkningsanmälan</t>
        </is>
      </c>
      <c r="C180" t="inlineStr">
        <is>
          <t>Föryngringsavverkning</t>
        </is>
      </c>
      <c r="D180" s="1" t="n">
        <v>44616</v>
      </c>
      <c r="E180" s="1" t="n">
        <v>46220</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74189-2021</t>
        </is>
      </c>
      <c r="B181" t="inlineStr">
        <is>
          <t>avverkningsanmälan</t>
        </is>
      </c>
      <c r="C181" t="inlineStr">
        <is>
          <t>Föryngringsavverkning</t>
        </is>
      </c>
      <c r="D181" s="1" t="n">
        <v>44553</v>
      </c>
      <c r="E181" s="1" t="n">
        <v>46220</v>
      </c>
      <c r="F181" t="inlineStr">
        <is>
          <t>VÄRMLANDS LÄN</t>
        </is>
      </c>
      <c r="G181" t="inlineStr">
        <is>
          <t>ÅRJÄNG</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8938-2022</t>
        </is>
      </c>
      <c r="B182" t="inlineStr">
        <is>
          <t>avverkningsanmälan</t>
        </is>
      </c>
      <c r="C182" t="inlineStr">
        <is>
          <t>Föryngringsavverkning</t>
        </is>
      </c>
      <c r="D182" s="1" t="n">
        <v>44614</v>
      </c>
      <c r="E182" s="1" t="n">
        <v>46220</v>
      </c>
      <c r="F182" t="inlineStr">
        <is>
          <t>VÄRMLANDS LÄN</t>
        </is>
      </c>
      <c r="G182" t="inlineStr">
        <is>
          <t>ÅRJÄNG</t>
        </is>
      </c>
      <c r="I182" t="n">
        <v>11.9</v>
      </c>
      <c r="J182" t="n">
        <v>0</v>
      </c>
      <c r="K182" t="n">
        <v>0</v>
      </c>
      <c r="L182" t="n">
        <v>0</v>
      </c>
      <c r="M182" t="n">
        <v>0</v>
      </c>
      <c r="N182" t="n">
        <v>0</v>
      </c>
      <c r="O182" t="n">
        <v>0</v>
      </c>
      <c r="P182" t="n">
        <v>0</v>
      </c>
      <c r="Q182" t="n">
        <v>0</v>
      </c>
      <c r="R182" t="n">
        <v>0</v>
      </c>
      <c r="S182" t="n">
        <v>0</v>
      </c>
      <c r="T182" t="n">
        <v>0</v>
      </c>
      <c r="U182" s="2" t="inlineStr"/>
    </row>
    <row r="183" ht="15" customHeight="1">
      <c r="A183" t="inlineStr">
        <is>
          <t>A 36016-2022</t>
        </is>
      </c>
      <c r="B183" t="inlineStr">
        <is>
          <t>avverkningsanmälan</t>
        </is>
      </c>
      <c r="C183" t="inlineStr">
        <is>
          <t>Föryngringsavverkning</t>
        </is>
      </c>
      <c r="D183" s="1" t="n">
        <v>44802</v>
      </c>
      <c r="E183" s="1" t="n">
        <v>46220</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10898-2022</t>
        </is>
      </c>
      <c r="B184" t="inlineStr">
        <is>
          <t>avverkningsanmälan</t>
        </is>
      </c>
      <c r="C184" t="inlineStr">
        <is>
          <t>Föryngringsavverkning</t>
        </is>
      </c>
      <c r="D184" s="1" t="n">
        <v>44627</v>
      </c>
      <c r="E184" s="1" t="n">
        <v>46220</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s="2" t="inlineStr"/>
    </row>
    <row r="185" ht="15" customHeight="1">
      <c r="A185" t="inlineStr">
        <is>
          <t>A 4400-2022</t>
        </is>
      </c>
      <c r="B185" t="inlineStr">
        <is>
          <t>avverkningsanmälan</t>
        </is>
      </c>
      <c r="C185" t="inlineStr">
        <is>
          <t>Föryngringsavverkning</t>
        </is>
      </c>
      <c r="D185" s="1" t="n">
        <v>44588</v>
      </c>
      <c r="E185" s="1" t="n">
        <v>46220</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14507-2022</t>
        </is>
      </c>
      <c r="B186" t="inlineStr">
        <is>
          <t>avverkningsanmälan</t>
        </is>
      </c>
      <c r="C186" t="inlineStr">
        <is>
          <t>Avverkning för annat ändamål</t>
        </is>
      </c>
      <c r="D186" s="1" t="n">
        <v>44655</v>
      </c>
      <c r="E186" s="1" t="n">
        <v>46220</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47013-2021</t>
        </is>
      </c>
      <c r="B187" t="inlineStr">
        <is>
          <t>avverkningsanmälan</t>
        </is>
      </c>
      <c r="C187" t="inlineStr">
        <is>
          <t>Föryngringsavverkning</t>
        </is>
      </c>
      <c r="D187" s="1" t="n">
        <v>44446</v>
      </c>
      <c r="E187" s="1" t="n">
        <v>46220</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2143-2022</t>
        </is>
      </c>
      <c r="B188" t="inlineStr">
        <is>
          <t>avverkningsanmälan</t>
        </is>
      </c>
      <c r="C188" t="inlineStr">
        <is>
          <t>Föryngringsavverkning</t>
        </is>
      </c>
      <c r="D188" s="1" t="n">
        <v>44571</v>
      </c>
      <c r="E188" s="1" t="n">
        <v>46220</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17135-2022</t>
        </is>
      </c>
      <c r="B189" t="inlineStr">
        <is>
          <t>avverkningsanmälan</t>
        </is>
      </c>
      <c r="C189" t="inlineStr">
        <is>
          <t>Föryngringsavverkning</t>
        </is>
      </c>
      <c r="D189" s="1" t="n">
        <v>44677</v>
      </c>
      <c r="E189" s="1" t="n">
        <v>46220</v>
      </c>
      <c r="F189" t="inlineStr">
        <is>
          <t>VÄRMLANDS LÄN</t>
        </is>
      </c>
      <c r="G189" t="inlineStr">
        <is>
          <t>ÅRJÄNG</t>
        </is>
      </c>
      <c r="I189" t="n">
        <v>9</v>
      </c>
      <c r="J189" t="n">
        <v>0</v>
      </c>
      <c r="K189" t="n">
        <v>0</v>
      </c>
      <c r="L189" t="n">
        <v>0</v>
      </c>
      <c r="M189" t="n">
        <v>0</v>
      </c>
      <c r="N189" t="n">
        <v>0</v>
      </c>
      <c r="O189" t="n">
        <v>0</v>
      </c>
      <c r="P189" t="n">
        <v>0</v>
      </c>
      <c r="Q189" t="n">
        <v>0</v>
      </c>
      <c r="R189" t="n">
        <v>0</v>
      </c>
      <c r="S189" t="n">
        <v>0</v>
      </c>
      <c r="T189" t="n">
        <v>0</v>
      </c>
      <c r="U189" s="2" t="inlineStr"/>
    </row>
    <row r="190" ht="15" customHeight="1">
      <c r="A190" t="inlineStr">
        <is>
          <t>A 40872-2022</t>
        </is>
      </c>
      <c r="B190" t="inlineStr">
        <is>
          <t>avverkningsanmälan</t>
        </is>
      </c>
      <c r="C190" t="inlineStr">
        <is>
          <t>Föryngringsavverkning</t>
        </is>
      </c>
      <c r="D190" s="1" t="n">
        <v>44825</v>
      </c>
      <c r="E190" s="1" t="n">
        <v>46220</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59453-2021</t>
        </is>
      </c>
      <c r="B191" t="inlineStr">
        <is>
          <t>avverkningsanmälan</t>
        </is>
      </c>
      <c r="C191" t="inlineStr">
        <is>
          <t>Föryngringsavverkning</t>
        </is>
      </c>
      <c r="D191" s="1" t="n">
        <v>44491</v>
      </c>
      <c r="E191" s="1" t="n">
        <v>46220</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53262-2022</t>
        </is>
      </c>
      <c r="B192" t="inlineStr">
        <is>
          <t>avverkningsanmälan</t>
        </is>
      </c>
      <c r="C192" t="inlineStr">
        <is>
          <t>Avverkning för annat ändamål</t>
        </is>
      </c>
      <c r="D192" s="1" t="n">
        <v>44876</v>
      </c>
      <c r="E192" s="1" t="n">
        <v>46220</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48192-2022</t>
        </is>
      </c>
      <c r="B193" t="inlineStr">
        <is>
          <t>avverkningsanmälan</t>
        </is>
      </c>
      <c r="C193" t="inlineStr">
        <is>
          <t>Föryngringsavverkning</t>
        </is>
      </c>
      <c r="D193" s="1" t="n">
        <v>44853</v>
      </c>
      <c r="E193" s="1" t="n">
        <v>46220</v>
      </c>
      <c r="F193" t="inlineStr">
        <is>
          <t>VÄRMLANDS LÄN</t>
        </is>
      </c>
      <c r="G193" t="inlineStr">
        <is>
          <t>ÅRJÄNG</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41416-2021</t>
        </is>
      </c>
      <c r="B194" t="inlineStr">
        <is>
          <t>avverkningsanmälan</t>
        </is>
      </c>
      <c r="C194" t="inlineStr">
        <is>
          <t>Föryngringsavverkning</t>
        </is>
      </c>
      <c r="D194" s="1" t="n">
        <v>44424</v>
      </c>
      <c r="E194" s="1" t="n">
        <v>46220</v>
      </c>
      <c r="F194" t="inlineStr">
        <is>
          <t>VÄRMLANDS LÄN</t>
        </is>
      </c>
      <c r="G194" t="inlineStr">
        <is>
          <t>ÅRJÄNG</t>
        </is>
      </c>
      <c r="I194" t="n">
        <v>10.4</v>
      </c>
      <c r="J194" t="n">
        <v>0</v>
      </c>
      <c r="K194" t="n">
        <v>0</v>
      </c>
      <c r="L194" t="n">
        <v>0</v>
      </c>
      <c r="M194" t="n">
        <v>0</v>
      </c>
      <c r="N194" t="n">
        <v>0</v>
      </c>
      <c r="O194" t="n">
        <v>0</v>
      </c>
      <c r="P194" t="n">
        <v>0</v>
      </c>
      <c r="Q194" t="n">
        <v>0</v>
      </c>
      <c r="R194" t="n">
        <v>0</v>
      </c>
      <c r="S194" t="n">
        <v>0</v>
      </c>
      <c r="T194" t="n">
        <v>0</v>
      </c>
      <c r="U194" s="2" t="inlineStr"/>
    </row>
    <row r="195" ht="15" customHeight="1">
      <c r="A195" t="inlineStr">
        <is>
          <t>A 43034-2021</t>
        </is>
      </c>
      <c r="B195" t="inlineStr">
        <is>
          <t>avverkningsanmälan</t>
        </is>
      </c>
      <c r="C195" t="inlineStr">
        <is>
          <t>Föryngringsavverkning</t>
        </is>
      </c>
      <c r="D195" s="1" t="n">
        <v>44431</v>
      </c>
      <c r="E195" s="1" t="n">
        <v>46220</v>
      </c>
      <c r="F195" t="inlineStr">
        <is>
          <t>VÄRMLANDS LÄN</t>
        </is>
      </c>
      <c r="G195" t="inlineStr">
        <is>
          <t>ÅRJÄNG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60715-2021</t>
        </is>
      </c>
      <c r="B196" t="inlineStr">
        <is>
          <t>avverkningsanmälan</t>
        </is>
      </c>
      <c r="C196" t="inlineStr">
        <is>
          <t>Föryngringsavverkning</t>
        </is>
      </c>
      <c r="D196" s="1" t="n">
        <v>44496</v>
      </c>
      <c r="E196" s="1" t="n">
        <v>46220</v>
      </c>
      <c r="F196" t="inlineStr">
        <is>
          <t>VÄRMLANDS LÄN</t>
        </is>
      </c>
      <c r="G196" t="inlineStr">
        <is>
          <t>ÅRJÄNG</t>
        </is>
      </c>
      <c r="I196" t="n">
        <v>7.4</v>
      </c>
      <c r="J196" t="n">
        <v>0</v>
      </c>
      <c r="K196" t="n">
        <v>0</v>
      </c>
      <c r="L196" t="n">
        <v>0</v>
      </c>
      <c r="M196" t="n">
        <v>0</v>
      </c>
      <c r="N196" t="n">
        <v>0</v>
      </c>
      <c r="O196" t="n">
        <v>0</v>
      </c>
      <c r="P196" t="n">
        <v>0</v>
      </c>
      <c r="Q196" t="n">
        <v>0</v>
      </c>
      <c r="R196" t="n">
        <v>0</v>
      </c>
      <c r="S196" t="n">
        <v>0</v>
      </c>
      <c r="T196" t="n">
        <v>0</v>
      </c>
      <c r="U196" s="2" t="inlineStr"/>
    </row>
    <row r="197" ht="15" customHeight="1">
      <c r="A197" t="inlineStr">
        <is>
          <t>A 57833-2021</t>
        </is>
      </c>
      <c r="B197" t="inlineStr">
        <is>
          <t>avverkningsanmälan</t>
        </is>
      </c>
      <c r="C197" t="inlineStr">
        <is>
          <t>Föryngringsavverkning</t>
        </is>
      </c>
      <c r="D197" s="1" t="n">
        <v>44484</v>
      </c>
      <c r="E197" s="1" t="n">
        <v>46220</v>
      </c>
      <c r="F197" t="inlineStr">
        <is>
          <t>VÄRMLANDS LÄN</t>
        </is>
      </c>
      <c r="G197" t="inlineStr">
        <is>
          <t>ÅRJÄNG</t>
        </is>
      </c>
      <c r="I197" t="n">
        <v>8.300000000000001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36532-2022</t>
        </is>
      </c>
      <c r="B198" t="inlineStr">
        <is>
          <t>avverkningsanmälan</t>
        </is>
      </c>
      <c r="C198" t="inlineStr">
        <is>
          <t>Föryngringsavverkning</t>
        </is>
      </c>
      <c r="D198" s="1" t="n">
        <v>44804</v>
      </c>
      <c r="E198" s="1" t="n">
        <v>46220</v>
      </c>
      <c r="F198" t="inlineStr">
        <is>
          <t>VÄRMLANDS LÄN</t>
        </is>
      </c>
      <c r="G198" t="inlineStr">
        <is>
          <t>ÅRJÄNG</t>
        </is>
      </c>
      <c r="I198" t="n">
        <v>12.7</v>
      </c>
      <c r="J198" t="n">
        <v>0</v>
      </c>
      <c r="K198" t="n">
        <v>0</v>
      </c>
      <c r="L198" t="n">
        <v>0</v>
      </c>
      <c r="M198" t="n">
        <v>0</v>
      </c>
      <c r="N198" t="n">
        <v>0</v>
      </c>
      <c r="O198" t="n">
        <v>0</v>
      </c>
      <c r="P198" t="n">
        <v>0</v>
      </c>
      <c r="Q198" t="n">
        <v>0</v>
      </c>
      <c r="R198" t="n">
        <v>0</v>
      </c>
      <c r="S198" t="n">
        <v>0</v>
      </c>
      <c r="T198" t="n">
        <v>0</v>
      </c>
      <c r="U198" s="2" t="inlineStr"/>
    </row>
    <row r="199" ht="15" customHeight="1">
      <c r="A199" t="inlineStr">
        <is>
          <t>A 51962-2022</t>
        </is>
      </c>
      <c r="B199" t="inlineStr">
        <is>
          <t>avverkningsanmälan</t>
        </is>
      </c>
      <c r="C199" t="inlineStr">
        <is>
          <t>Föryngringsavverkning</t>
        </is>
      </c>
      <c r="D199" s="1" t="n">
        <v>44872</v>
      </c>
      <c r="E199" s="1" t="n">
        <v>46220</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1567-2022</t>
        </is>
      </c>
      <c r="B200" t="inlineStr">
        <is>
          <t>avverkningsanmälan</t>
        </is>
      </c>
      <c r="C200" t="inlineStr">
        <is>
          <t>Föryngringsavverkning</t>
        </is>
      </c>
      <c r="D200" s="1" t="n">
        <v>44573</v>
      </c>
      <c r="E200" s="1" t="n">
        <v>46220</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55654-2022</t>
        </is>
      </c>
      <c r="B201" t="inlineStr">
        <is>
          <t>avverkningsanmälan</t>
        </is>
      </c>
      <c r="C201" t="inlineStr">
        <is>
          <t>Föryngringsavverkning</t>
        </is>
      </c>
      <c r="D201" s="1" t="n">
        <v>44888</v>
      </c>
      <c r="E201" s="1" t="n">
        <v>46220</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52761-2022</t>
        </is>
      </c>
      <c r="B202" t="inlineStr">
        <is>
          <t>avverkningsanmälan</t>
        </is>
      </c>
      <c r="C202" t="inlineStr">
        <is>
          <t>Föryngringsavverkning</t>
        </is>
      </c>
      <c r="D202" s="1" t="n">
        <v>44875</v>
      </c>
      <c r="E202" s="1" t="n">
        <v>46220</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16400-2022</t>
        </is>
      </c>
      <c r="B203" t="inlineStr">
        <is>
          <t>avverkningsanmälan</t>
        </is>
      </c>
      <c r="C203" t="inlineStr">
        <is>
          <t>Föryngringsavverkning</t>
        </is>
      </c>
      <c r="D203" s="1" t="n">
        <v>44671</v>
      </c>
      <c r="E203" s="1" t="n">
        <v>46220</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21939-2022</t>
        </is>
      </c>
      <c r="B204" t="inlineStr">
        <is>
          <t>avverkningsanmälan</t>
        </is>
      </c>
      <c r="C204" t="inlineStr">
        <is>
          <t>Avverkning för annat ändamål</t>
        </is>
      </c>
      <c r="D204" s="1" t="n">
        <v>44711</v>
      </c>
      <c r="E204" s="1" t="n">
        <v>46220</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51975-2022</t>
        </is>
      </c>
      <c r="B205" t="inlineStr">
        <is>
          <t>avverkningsanmälan</t>
        </is>
      </c>
      <c r="C205" t="inlineStr">
        <is>
          <t>Föryngringsavverkning</t>
        </is>
      </c>
      <c r="D205" s="1" t="n">
        <v>44872</v>
      </c>
      <c r="E205" s="1" t="n">
        <v>46220</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13654-2022</t>
        </is>
      </c>
      <c r="B206" t="inlineStr">
        <is>
          <t>avverkningsanmälan</t>
        </is>
      </c>
      <c r="C206" t="inlineStr">
        <is>
          <t>Föryngringsavverkning</t>
        </is>
      </c>
      <c r="D206" s="1" t="n">
        <v>44648</v>
      </c>
      <c r="E206" s="1" t="n">
        <v>46220</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39661-2022</t>
        </is>
      </c>
      <c r="B207" t="inlineStr">
        <is>
          <t>avverkningsanmälan</t>
        </is>
      </c>
      <c r="C207" t="inlineStr">
        <is>
          <t>Föryngringsavverkning</t>
        </is>
      </c>
      <c r="D207" s="1" t="n">
        <v>44818</v>
      </c>
      <c r="E207" s="1" t="n">
        <v>46220</v>
      </c>
      <c r="F207" t="inlineStr">
        <is>
          <t>VÄRMLANDS LÄN</t>
        </is>
      </c>
      <c r="G207" t="inlineStr">
        <is>
          <t>ÅRJÄNG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50569-2021</t>
        </is>
      </c>
      <c r="B208" t="inlineStr">
        <is>
          <t>avverkningsanmälan</t>
        </is>
      </c>
      <c r="C208" t="inlineStr">
        <is>
          <t>Föryngringsavverkning</t>
        </is>
      </c>
      <c r="D208" s="1" t="n">
        <v>44459</v>
      </c>
      <c r="E208" s="1" t="n">
        <v>46220</v>
      </c>
      <c r="F208" t="inlineStr">
        <is>
          <t>VÄRMLANDS LÄN</t>
        </is>
      </c>
      <c r="G208" t="inlineStr">
        <is>
          <t>ÅRJÄNG</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7235-2022</t>
        </is>
      </c>
      <c r="B209" t="inlineStr">
        <is>
          <t>avverkningsanmälan</t>
        </is>
      </c>
      <c r="C209" t="inlineStr">
        <is>
          <t>Föryngringsavverkning</t>
        </is>
      </c>
      <c r="D209" s="1" t="n">
        <v>44606</v>
      </c>
      <c r="E209" s="1" t="n">
        <v>46220</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72609-2021</t>
        </is>
      </c>
      <c r="B210" t="inlineStr">
        <is>
          <t>avverkningsanmälan</t>
        </is>
      </c>
      <c r="C210" t="inlineStr">
        <is>
          <t>Föryngringsavverkning</t>
        </is>
      </c>
      <c r="D210" s="1" t="n">
        <v>44546</v>
      </c>
      <c r="E210" s="1" t="n">
        <v>46220</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29098-2022</t>
        </is>
      </c>
      <c r="B211" t="inlineStr">
        <is>
          <t>avverkningsanmälan</t>
        </is>
      </c>
      <c r="C211" t="inlineStr">
        <is>
          <t>Avverkning för annat ändamål</t>
        </is>
      </c>
      <c r="D211" s="1" t="n">
        <v>44750</v>
      </c>
      <c r="E211" s="1" t="n">
        <v>46220</v>
      </c>
      <c r="F211" t="inlineStr">
        <is>
          <t>VÄRMLANDS LÄN</t>
        </is>
      </c>
      <c r="G211" t="inlineStr">
        <is>
          <t>ÅRJÄNG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29174-2022</t>
        </is>
      </c>
      <c r="B212" t="inlineStr">
        <is>
          <t>avverkningsanmälan</t>
        </is>
      </c>
      <c r="C212" t="inlineStr">
        <is>
          <t>Avverkning för annat ändamål</t>
        </is>
      </c>
      <c r="D212" s="1" t="n">
        <v>44750</v>
      </c>
      <c r="E212" s="1" t="n">
        <v>46220</v>
      </c>
      <c r="F212" t="inlineStr">
        <is>
          <t>VÄRMLANDS LÄN</t>
        </is>
      </c>
      <c r="G212" t="inlineStr">
        <is>
          <t>ÅRJÄNG</t>
        </is>
      </c>
      <c r="I212" t="n">
        <v>0.1</v>
      </c>
      <c r="J212" t="n">
        <v>0</v>
      </c>
      <c r="K212" t="n">
        <v>0</v>
      </c>
      <c r="L212" t="n">
        <v>0</v>
      </c>
      <c r="M212" t="n">
        <v>0</v>
      </c>
      <c r="N212" t="n">
        <v>0</v>
      </c>
      <c r="O212" t="n">
        <v>0</v>
      </c>
      <c r="P212" t="n">
        <v>0</v>
      </c>
      <c r="Q212" t="n">
        <v>0</v>
      </c>
      <c r="R212" t="n">
        <v>0</v>
      </c>
      <c r="S212" t="n">
        <v>0</v>
      </c>
      <c r="T212" t="n">
        <v>0</v>
      </c>
      <c r="U212" s="2" t="inlineStr"/>
    </row>
    <row r="213" ht="15" customHeight="1">
      <c r="A213" t="inlineStr">
        <is>
          <t>A 13152-2022</t>
        </is>
      </c>
      <c r="B213" t="inlineStr">
        <is>
          <t>avverkningsanmälan</t>
        </is>
      </c>
      <c r="C213" t="inlineStr">
        <is>
          <t>Föryngringsavverkning</t>
        </is>
      </c>
      <c r="D213" s="1" t="n">
        <v>44643</v>
      </c>
      <c r="E213" s="1" t="n">
        <v>46220</v>
      </c>
      <c r="F213" t="inlineStr">
        <is>
          <t>VÄRMLANDS LÄN</t>
        </is>
      </c>
      <c r="G213" t="inlineStr">
        <is>
          <t>ÅRJÄNG</t>
        </is>
      </c>
      <c r="I213" t="n">
        <v>4</v>
      </c>
      <c r="J213" t="n">
        <v>0</v>
      </c>
      <c r="K213" t="n">
        <v>0</v>
      </c>
      <c r="L213" t="n">
        <v>0</v>
      </c>
      <c r="M213" t="n">
        <v>0</v>
      </c>
      <c r="N213" t="n">
        <v>0</v>
      </c>
      <c r="O213" t="n">
        <v>0</v>
      </c>
      <c r="P213" t="n">
        <v>0</v>
      </c>
      <c r="Q213" t="n">
        <v>0</v>
      </c>
      <c r="R213" t="n">
        <v>0</v>
      </c>
      <c r="S213" t="n">
        <v>0</v>
      </c>
      <c r="T213" t="n">
        <v>0</v>
      </c>
      <c r="U213" s="2" t="inlineStr"/>
    </row>
    <row r="214" ht="15" customHeight="1">
      <c r="A214" t="inlineStr">
        <is>
          <t>A 8408-2022</t>
        </is>
      </c>
      <c r="B214" t="inlineStr">
        <is>
          <t>avverkningsanmälan</t>
        </is>
      </c>
      <c r="C214" t="inlineStr">
        <is>
          <t>Föryngringsavverkning</t>
        </is>
      </c>
      <c r="D214" s="1" t="n">
        <v>44610</v>
      </c>
      <c r="E214" s="1" t="n">
        <v>46220</v>
      </c>
      <c r="F214" t="inlineStr">
        <is>
          <t>VÄRMLANDS LÄN</t>
        </is>
      </c>
      <c r="G214" t="inlineStr">
        <is>
          <t>ÅRJÄNG</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19893-2022</t>
        </is>
      </c>
      <c r="B215" t="inlineStr">
        <is>
          <t>avverkningsanmälan</t>
        </is>
      </c>
      <c r="C215" t="inlineStr">
        <is>
          <t>Föryngringsavverkning</t>
        </is>
      </c>
      <c r="D215" s="1" t="n">
        <v>44697</v>
      </c>
      <c r="E215" s="1" t="n">
        <v>46220</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4915-2022</t>
        </is>
      </c>
      <c r="B216" t="inlineStr">
        <is>
          <t>avverkningsanmälan</t>
        </is>
      </c>
      <c r="C216" t="inlineStr">
        <is>
          <t>Föryngringsavverkning</t>
        </is>
      </c>
      <c r="D216" s="1" t="n">
        <v>44593</v>
      </c>
      <c r="E216" s="1" t="n">
        <v>46220</v>
      </c>
      <c r="F216" t="inlineStr">
        <is>
          <t>VÄRMLANDS LÄN</t>
        </is>
      </c>
      <c r="G216" t="inlineStr">
        <is>
          <t>ÅRJÄNG</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72996-2021</t>
        </is>
      </c>
      <c r="B217" t="inlineStr">
        <is>
          <t>avverkningsanmälan</t>
        </is>
      </c>
      <c r="C217" t="inlineStr">
        <is>
          <t>Föryngringsavverkning</t>
        </is>
      </c>
      <c r="D217" s="1" t="n">
        <v>44549</v>
      </c>
      <c r="E217" s="1" t="n">
        <v>46220</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37949-2022</t>
        </is>
      </c>
      <c r="B218" t="inlineStr">
        <is>
          <t>avverkningsanmälan</t>
        </is>
      </c>
      <c r="C218" t="inlineStr">
        <is>
          <t>Föryngringsavverkning</t>
        </is>
      </c>
      <c r="D218" s="1" t="n">
        <v>44811</v>
      </c>
      <c r="E218" s="1" t="n">
        <v>46220</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69024-2021</t>
        </is>
      </c>
      <c r="B219" t="inlineStr">
        <is>
          <t>avverkningsanmälan</t>
        </is>
      </c>
      <c r="C219" t="inlineStr">
        <is>
          <t>Föryngringsavverkning</t>
        </is>
      </c>
      <c r="D219" s="1" t="n">
        <v>44530</v>
      </c>
      <c r="E219" s="1" t="n">
        <v>46220</v>
      </c>
      <c r="F219" t="inlineStr">
        <is>
          <t>VÄRMLANDS LÄN</t>
        </is>
      </c>
      <c r="G219" t="inlineStr">
        <is>
          <t>ÅRJÄNG</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40643-2022</t>
        </is>
      </c>
      <c r="B220" t="inlineStr">
        <is>
          <t>avverkningsanmälan</t>
        </is>
      </c>
      <c r="C220" t="inlineStr">
        <is>
          <t>Föryngringsavverkning</t>
        </is>
      </c>
      <c r="D220" s="1" t="n">
        <v>44824</v>
      </c>
      <c r="E220" s="1" t="n">
        <v>46220</v>
      </c>
      <c r="F220" t="inlineStr">
        <is>
          <t>VÄRMLANDS LÄN</t>
        </is>
      </c>
      <c r="G220" t="inlineStr">
        <is>
          <t>ÅRJÄNG</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10518-2022</t>
        </is>
      </c>
      <c r="B221" t="inlineStr">
        <is>
          <t>avverkningsanmälan</t>
        </is>
      </c>
      <c r="C221" t="inlineStr">
        <is>
          <t>Föryngringsavverkning</t>
        </is>
      </c>
      <c r="D221" s="1" t="n">
        <v>44623</v>
      </c>
      <c r="E221" s="1" t="n">
        <v>46220</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47035-2021</t>
        </is>
      </c>
      <c r="B222" t="inlineStr">
        <is>
          <t>avverkningsanmälan</t>
        </is>
      </c>
      <c r="C222" t="inlineStr">
        <is>
          <t>Föryngringsavverkning</t>
        </is>
      </c>
      <c r="D222" s="1" t="n">
        <v>44446</v>
      </c>
      <c r="E222" s="1" t="n">
        <v>46220</v>
      </c>
      <c r="F222" t="inlineStr">
        <is>
          <t>VÄRMLANDS LÄN</t>
        </is>
      </c>
      <c r="G222" t="inlineStr">
        <is>
          <t>ÅRJÄNG</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8438-2022</t>
        </is>
      </c>
      <c r="B223" t="inlineStr">
        <is>
          <t>avverkningsanmälan</t>
        </is>
      </c>
      <c r="C223" t="inlineStr">
        <is>
          <t>Föryngringsavverkning</t>
        </is>
      </c>
      <c r="D223" s="1" t="n">
        <v>44612</v>
      </c>
      <c r="E223" s="1" t="n">
        <v>46220</v>
      </c>
      <c r="F223" t="inlineStr">
        <is>
          <t>VÄRMLANDS LÄN</t>
        </is>
      </c>
      <c r="G223" t="inlineStr">
        <is>
          <t>ÅRJÄNG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53739-2021</t>
        </is>
      </c>
      <c r="B224" t="inlineStr">
        <is>
          <t>avverkningsanmälan</t>
        </is>
      </c>
      <c r="C224" t="inlineStr">
        <is>
          <t>Föryngringsavverkning</t>
        </is>
      </c>
      <c r="D224" s="1" t="n">
        <v>44469</v>
      </c>
      <c r="E224" s="1" t="n">
        <v>46220</v>
      </c>
      <c r="F224" t="inlineStr">
        <is>
          <t>VÄRMLANDS LÄN</t>
        </is>
      </c>
      <c r="G224" t="inlineStr">
        <is>
          <t>ÅRJÄNG</t>
        </is>
      </c>
      <c r="I224" t="n">
        <v>15.9</v>
      </c>
      <c r="J224" t="n">
        <v>0</v>
      </c>
      <c r="K224" t="n">
        <v>0</v>
      </c>
      <c r="L224" t="n">
        <v>0</v>
      </c>
      <c r="M224" t="n">
        <v>0</v>
      </c>
      <c r="N224" t="n">
        <v>0</v>
      </c>
      <c r="O224" t="n">
        <v>0</v>
      </c>
      <c r="P224" t="n">
        <v>0</v>
      </c>
      <c r="Q224" t="n">
        <v>0</v>
      </c>
      <c r="R224" t="n">
        <v>0</v>
      </c>
      <c r="S224" t="n">
        <v>0</v>
      </c>
      <c r="T224" t="n">
        <v>0</v>
      </c>
      <c r="U224" s="2" t="inlineStr"/>
    </row>
    <row r="225" ht="15" customHeight="1">
      <c r="A225" t="inlineStr">
        <is>
          <t>A 10899-2022</t>
        </is>
      </c>
      <c r="B225" t="inlineStr">
        <is>
          <t>avverkningsanmälan</t>
        </is>
      </c>
      <c r="C225" t="inlineStr">
        <is>
          <t>Föryngringsavverkning</t>
        </is>
      </c>
      <c r="D225" s="1" t="n">
        <v>44627</v>
      </c>
      <c r="E225" s="1" t="n">
        <v>46220</v>
      </c>
      <c r="F225" t="inlineStr">
        <is>
          <t>VÄRMLANDS LÄN</t>
        </is>
      </c>
      <c r="G225" t="inlineStr">
        <is>
          <t>ÅRJÄNG</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28925-2022</t>
        </is>
      </c>
      <c r="B226" t="inlineStr">
        <is>
          <t>avverkningsanmälan</t>
        </is>
      </c>
      <c r="C226" t="inlineStr">
        <is>
          <t>Föryngringsavverkning</t>
        </is>
      </c>
      <c r="D226" s="1" t="n">
        <v>44749</v>
      </c>
      <c r="E226" s="1" t="n">
        <v>46220</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40490-2022</t>
        </is>
      </c>
      <c r="B227" t="inlineStr">
        <is>
          <t>avverkningsanmälan</t>
        </is>
      </c>
      <c r="C227" t="inlineStr">
        <is>
          <t>Föryngringsavverkning</t>
        </is>
      </c>
      <c r="D227" s="1" t="n">
        <v>44823</v>
      </c>
      <c r="E227" s="1" t="n">
        <v>46220</v>
      </c>
      <c r="F227" t="inlineStr">
        <is>
          <t>VÄRMLANDS LÄN</t>
        </is>
      </c>
      <c r="G227" t="inlineStr">
        <is>
          <t>ÅRJÄNG</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23878-2023</t>
        </is>
      </c>
      <c r="B228" t="inlineStr">
        <is>
          <t>avverkningsanmälan</t>
        </is>
      </c>
      <c r="C228" t="inlineStr">
        <is>
          <t>Föryngringsavverkning</t>
        </is>
      </c>
      <c r="D228" s="1" t="n">
        <v>45078</v>
      </c>
      <c r="E228" s="1" t="n">
        <v>46220</v>
      </c>
      <c r="F228" t="inlineStr">
        <is>
          <t>VÄRMLANDS LÄN</t>
        </is>
      </c>
      <c r="G228" t="inlineStr">
        <is>
          <t>ÅRJÄNG</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23945-2023</t>
        </is>
      </c>
      <c r="B229" t="inlineStr">
        <is>
          <t>avverkningsanmälan</t>
        </is>
      </c>
      <c r="C229" t="inlineStr">
        <is>
          <t>Föryngringsavverkning</t>
        </is>
      </c>
      <c r="D229" s="1" t="n">
        <v>45075</v>
      </c>
      <c r="E229" s="1" t="n">
        <v>46220</v>
      </c>
      <c r="F229" t="inlineStr">
        <is>
          <t>VÄRMLANDS LÄN</t>
        </is>
      </c>
      <c r="G229" t="inlineStr">
        <is>
          <t>ÅRJÄNG</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16806-2024</t>
        </is>
      </c>
      <c r="B230" t="inlineStr">
        <is>
          <t>avverkningsanmälan</t>
        </is>
      </c>
      <c r="C230" t="inlineStr">
        <is>
          <t>Föryngringsavverkning</t>
        </is>
      </c>
      <c r="D230" s="1" t="n">
        <v>45411</v>
      </c>
      <c r="E230" s="1" t="n">
        <v>46220</v>
      </c>
      <c r="F230" t="inlineStr">
        <is>
          <t>VÄRMLANDS LÄN</t>
        </is>
      </c>
      <c r="G230" t="inlineStr">
        <is>
          <t>ÅRJÄNG</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39096-2023</t>
        </is>
      </c>
      <c r="B231" t="inlineStr">
        <is>
          <t>avverkningsanmälan</t>
        </is>
      </c>
      <c r="C231" t="inlineStr">
        <is>
          <t>Föryngringsavverkning</t>
        </is>
      </c>
      <c r="D231" s="1" t="n">
        <v>45164</v>
      </c>
      <c r="E231" s="1" t="n">
        <v>46220</v>
      </c>
      <c r="F231" t="inlineStr">
        <is>
          <t>VÄRMLANDS LÄN</t>
        </is>
      </c>
      <c r="G231" t="inlineStr">
        <is>
          <t>ÅRJÄNG</t>
        </is>
      </c>
      <c r="I231" t="n">
        <v>5.1</v>
      </c>
      <c r="J231" t="n">
        <v>0</v>
      </c>
      <c r="K231" t="n">
        <v>0</v>
      </c>
      <c r="L231" t="n">
        <v>0</v>
      </c>
      <c r="M231" t="n">
        <v>0</v>
      </c>
      <c r="N231" t="n">
        <v>0</v>
      </c>
      <c r="O231" t="n">
        <v>0</v>
      </c>
      <c r="P231" t="n">
        <v>0</v>
      </c>
      <c r="Q231" t="n">
        <v>0</v>
      </c>
      <c r="R231" t="n">
        <v>0</v>
      </c>
      <c r="S231" t="n">
        <v>0</v>
      </c>
      <c r="T231" t="n">
        <v>0</v>
      </c>
      <c r="U231" s="2" t="inlineStr"/>
    </row>
    <row r="232" ht="15" customHeight="1">
      <c r="A232" t="inlineStr">
        <is>
          <t>A 2969-2022</t>
        </is>
      </c>
      <c r="B232" t="inlineStr">
        <is>
          <t>avverkningsanmälan</t>
        </is>
      </c>
      <c r="C232" t="inlineStr">
        <is>
          <t>Föryngringsavverkning</t>
        </is>
      </c>
      <c r="D232" s="1" t="n">
        <v>44581</v>
      </c>
      <c r="E232" s="1" t="n">
        <v>46220</v>
      </c>
      <c r="F232" t="inlineStr">
        <is>
          <t>VÄRMLANDS LÄN</t>
        </is>
      </c>
      <c r="G232" t="inlineStr">
        <is>
          <t>ÅRJÄNG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59624-2022</t>
        </is>
      </c>
      <c r="B233" t="inlineStr">
        <is>
          <t>avverkningsanmälan</t>
        </is>
      </c>
      <c r="C233" t="inlineStr">
        <is>
          <t>Föryngringsavverkning</t>
        </is>
      </c>
      <c r="D233" s="1" t="n">
        <v>44907</v>
      </c>
      <c r="E233" s="1" t="n">
        <v>46220</v>
      </c>
      <c r="F233" t="inlineStr">
        <is>
          <t>VÄRMLANDS LÄN</t>
        </is>
      </c>
      <c r="G233" t="inlineStr">
        <is>
          <t>ÅRJÄNG</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10625-2025</t>
        </is>
      </c>
      <c r="B234" t="inlineStr">
        <is>
          <t>avverkningsanmälan</t>
        </is>
      </c>
      <c r="C234" t="inlineStr">
        <is>
          <t>Föryngringsavverkning</t>
        </is>
      </c>
      <c r="D234" s="1" t="n">
        <v>45721</v>
      </c>
      <c r="E234" s="1" t="n">
        <v>46220</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10627-2025</t>
        </is>
      </c>
      <c r="B235" t="inlineStr">
        <is>
          <t>avverkningsanmälan</t>
        </is>
      </c>
      <c r="C235" t="inlineStr">
        <is>
          <t>Föryngringsavverkning</t>
        </is>
      </c>
      <c r="D235" s="1" t="n">
        <v>45721</v>
      </c>
      <c r="E235" s="1" t="n">
        <v>46220</v>
      </c>
      <c r="F235" t="inlineStr">
        <is>
          <t>VÄRMLANDS LÄN</t>
        </is>
      </c>
      <c r="G235" t="inlineStr">
        <is>
          <t>ÅRJÄNG</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71812-2021</t>
        </is>
      </c>
      <c r="B236" t="inlineStr">
        <is>
          <t>avverkningsanmälan</t>
        </is>
      </c>
      <c r="C236" t="inlineStr">
        <is>
          <t>Föryngringsavverkning</t>
        </is>
      </c>
      <c r="D236" s="1" t="n">
        <v>44539</v>
      </c>
      <c r="E236" s="1" t="n">
        <v>46220</v>
      </c>
      <c r="F236" t="inlineStr">
        <is>
          <t>VÄRMLANDS LÄN</t>
        </is>
      </c>
      <c r="G236" t="inlineStr">
        <is>
          <t>ÅRJÄNG</t>
        </is>
      </c>
      <c r="I236" t="n">
        <v>9</v>
      </c>
      <c r="J236" t="n">
        <v>0</v>
      </c>
      <c r="K236" t="n">
        <v>0</v>
      </c>
      <c r="L236" t="n">
        <v>0</v>
      </c>
      <c r="M236" t="n">
        <v>0</v>
      </c>
      <c r="N236" t="n">
        <v>0</v>
      </c>
      <c r="O236" t="n">
        <v>0</v>
      </c>
      <c r="P236" t="n">
        <v>0</v>
      </c>
      <c r="Q236" t="n">
        <v>0</v>
      </c>
      <c r="R236" t="n">
        <v>0</v>
      </c>
      <c r="S236" t="n">
        <v>0</v>
      </c>
      <c r="T236" t="n">
        <v>0</v>
      </c>
      <c r="U236" s="2" t="inlineStr"/>
    </row>
    <row r="237" ht="15" customHeight="1">
      <c r="A237" t="inlineStr">
        <is>
          <t>A 45124-2024</t>
        </is>
      </c>
      <c r="B237" t="inlineStr">
        <is>
          <t>avverkningsanmälan</t>
        </is>
      </c>
      <c r="C237" t="inlineStr">
        <is>
          <t>Föryngringsavverkning</t>
        </is>
      </c>
      <c r="D237" s="1" t="n">
        <v>45575</v>
      </c>
      <c r="E237" s="1" t="n">
        <v>46220</v>
      </c>
      <c r="F237" t="inlineStr">
        <is>
          <t>VÄRMLANDS LÄN</t>
        </is>
      </c>
      <c r="G237" t="inlineStr">
        <is>
          <t>ÅRJÄNG</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13196-2023</t>
        </is>
      </c>
      <c r="B238" t="inlineStr">
        <is>
          <t>avverkningsanmälan</t>
        </is>
      </c>
      <c r="C238" t="inlineStr">
        <is>
          <t>Avverkning för att bevara och utveckla /försöksver</t>
        </is>
      </c>
      <c r="D238" s="1" t="n">
        <v>45002</v>
      </c>
      <c r="E238" s="1" t="n">
        <v>46220</v>
      </c>
      <c r="F238" t="inlineStr">
        <is>
          <t>VÄRMLANDS LÄN</t>
        </is>
      </c>
      <c r="G238" t="inlineStr">
        <is>
          <t>ÅRJÄNG</t>
        </is>
      </c>
      <c r="H238" t="inlineStr">
        <is>
          <t>Kyrkan</t>
        </is>
      </c>
      <c r="I238" t="n">
        <v>4.5</v>
      </c>
      <c r="J238" t="n">
        <v>0</v>
      </c>
      <c r="K238" t="n">
        <v>0</v>
      </c>
      <c r="L238" t="n">
        <v>0</v>
      </c>
      <c r="M238" t="n">
        <v>0</v>
      </c>
      <c r="N238" t="n">
        <v>0</v>
      </c>
      <c r="O238" t="n">
        <v>0</v>
      </c>
      <c r="P238" t="n">
        <v>0</v>
      </c>
      <c r="Q238" t="n">
        <v>0</v>
      </c>
      <c r="R238" t="n">
        <v>0</v>
      </c>
      <c r="S238" t="n">
        <v>0</v>
      </c>
      <c r="T238" t="n">
        <v>0</v>
      </c>
      <c r="U238" s="2" t="inlineStr"/>
    </row>
    <row r="239" ht="15" customHeight="1">
      <c r="A239" t="inlineStr">
        <is>
          <t>A 10574-2023</t>
        </is>
      </c>
      <c r="B239" t="inlineStr">
        <is>
          <t>avverkningsanmälan</t>
        </is>
      </c>
      <c r="C239" t="inlineStr">
        <is>
          <t>Föryngringsavverkning</t>
        </is>
      </c>
      <c r="D239" s="1" t="n">
        <v>44984</v>
      </c>
      <c r="E239" s="1" t="n">
        <v>46220</v>
      </c>
      <c r="F239" t="inlineStr">
        <is>
          <t>VÄRMLANDS LÄN</t>
        </is>
      </c>
      <c r="G239" t="inlineStr">
        <is>
          <t>ÅRJÄNG</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25654-2024</t>
        </is>
      </c>
      <c r="B240" t="inlineStr">
        <is>
          <t>avverkningsanmälan</t>
        </is>
      </c>
      <c r="C240" t="inlineStr">
        <is>
          <t>Föryngringsavverkning</t>
        </is>
      </c>
      <c r="D240" s="1" t="n">
        <v>45463</v>
      </c>
      <c r="E240" s="1" t="n">
        <v>46220</v>
      </c>
      <c r="F240" t="inlineStr">
        <is>
          <t>VÄRMLANDS LÄN</t>
        </is>
      </c>
      <c r="G240" t="inlineStr">
        <is>
          <t>ÅRJÄNG</t>
        </is>
      </c>
      <c r="I240" t="n">
        <v>16.9</v>
      </c>
      <c r="J240" t="n">
        <v>0</v>
      </c>
      <c r="K240" t="n">
        <v>0</v>
      </c>
      <c r="L240" t="n">
        <v>0</v>
      </c>
      <c r="M240" t="n">
        <v>0</v>
      </c>
      <c r="N240" t="n">
        <v>0</v>
      </c>
      <c r="O240" t="n">
        <v>0</v>
      </c>
      <c r="P240" t="n">
        <v>0</v>
      </c>
      <c r="Q240" t="n">
        <v>0</v>
      </c>
      <c r="R240" t="n">
        <v>0</v>
      </c>
      <c r="S240" t="n">
        <v>0</v>
      </c>
      <c r="T240" t="n">
        <v>0</v>
      </c>
      <c r="U240" s="2" t="inlineStr"/>
    </row>
    <row r="241" ht="15" customHeight="1">
      <c r="A241" t="inlineStr">
        <is>
          <t>A 68180-2021</t>
        </is>
      </c>
      <c r="B241" t="inlineStr">
        <is>
          <t>avverkningsanmälan</t>
        </is>
      </c>
      <c r="C241" t="inlineStr">
        <is>
          <t>Föryngringsavverkning</t>
        </is>
      </c>
      <c r="D241" s="1" t="n">
        <v>44526</v>
      </c>
      <c r="E241" s="1" t="n">
        <v>46220</v>
      </c>
      <c r="F241" t="inlineStr">
        <is>
          <t>VÄRMLANDS LÄN</t>
        </is>
      </c>
      <c r="G241" t="inlineStr">
        <is>
          <t>ÅRJÄNG</t>
        </is>
      </c>
      <c r="H241" t="inlineStr">
        <is>
          <t>Kyrkan</t>
        </is>
      </c>
      <c r="I241" t="n">
        <v>4.1</v>
      </c>
      <c r="J241" t="n">
        <v>0</v>
      </c>
      <c r="K241" t="n">
        <v>0</v>
      </c>
      <c r="L241" t="n">
        <v>0</v>
      </c>
      <c r="M241" t="n">
        <v>0</v>
      </c>
      <c r="N241" t="n">
        <v>0</v>
      </c>
      <c r="O241" t="n">
        <v>0</v>
      </c>
      <c r="P241" t="n">
        <v>0</v>
      </c>
      <c r="Q241" t="n">
        <v>0</v>
      </c>
      <c r="R241" t="n">
        <v>0</v>
      </c>
      <c r="S241" t="n">
        <v>0</v>
      </c>
      <c r="T241" t="n">
        <v>0</v>
      </c>
      <c r="U241" s="2" t="inlineStr"/>
    </row>
    <row r="242" ht="15" customHeight="1">
      <c r="A242" t="inlineStr">
        <is>
          <t>A 19964-2023</t>
        </is>
      </c>
      <c r="B242" t="inlineStr">
        <is>
          <t>avverkningsanmälan</t>
        </is>
      </c>
      <c r="C242" t="inlineStr">
        <is>
          <t>Föryngringsavverkning</t>
        </is>
      </c>
      <c r="D242" s="1" t="n">
        <v>45051</v>
      </c>
      <c r="E242" s="1" t="n">
        <v>46220</v>
      </c>
      <c r="F242" t="inlineStr">
        <is>
          <t>VÄRMLANDS LÄN</t>
        </is>
      </c>
      <c r="G242" t="inlineStr">
        <is>
          <t>ÅRJÄNG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15579-2025</t>
        </is>
      </c>
      <c r="B243" t="inlineStr">
        <is>
          <t>avverkningsanmälan</t>
        </is>
      </c>
      <c r="C243" t="inlineStr">
        <is>
          <t>Föryngringsavverkning</t>
        </is>
      </c>
      <c r="D243" s="1" t="n">
        <v>45747</v>
      </c>
      <c r="E243" s="1" t="n">
        <v>46220</v>
      </c>
      <c r="F243" t="inlineStr">
        <is>
          <t>VÄRMLANDS LÄN</t>
        </is>
      </c>
      <c r="G243" t="inlineStr">
        <is>
          <t>ÅRJÄNG</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36344-2023</t>
        </is>
      </c>
      <c r="B244" t="inlineStr">
        <is>
          <t>avverkningsanmälan</t>
        </is>
      </c>
      <c r="C244" t="inlineStr">
        <is>
          <t>Föryngringsavverkning</t>
        </is>
      </c>
      <c r="D244" s="1" t="n">
        <v>45152</v>
      </c>
      <c r="E244" s="1" t="n">
        <v>46220</v>
      </c>
      <c r="F244" t="inlineStr">
        <is>
          <t>VÄRMLANDS LÄN</t>
        </is>
      </c>
      <c r="G244" t="inlineStr">
        <is>
          <t>ÅRJÄNG</t>
        </is>
      </c>
      <c r="I244" t="n">
        <v>7.7</v>
      </c>
      <c r="J244" t="n">
        <v>0</v>
      </c>
      <c r="K244" t="n">
        <v>0</v>
      </c>
      <c r="L244" t="n">
        <v>0</v>
      </c>
      <c r="M244" t="n">
        <v>0</v>
      </c>
      <c r="N244" t="n">
        <v>0</v>
      </c>
      <c r="O244" t="n">
        <v>0</v>
      </c>
      <c r="P244" t="n">
        <v>0</v>
      </c>
      <c r="Q244" t="n">
        <v>0</v>
      </c>
      <c r="R244" t="n">
        <v>0</v>
      </c>
      <c r="S244" t="n">
        <v>0</v>
      </c>
      <c r="T244" t="n">
        <v>0</v>
      </c>
      <c r="U244" s="2" t="inlineStr"/>
    </row>
    <row r="245" ht="15" customHeight="1">
      <c r="A245" t="inlineStr">
        <is>
          <t>A 23203-2023</t>
        </is>
      </c>
      <c r="B245" t="inlineStr">
        <is>
          <t>avverkningsanmälan</t>
        </is>
      </c>
      <c r="C245" t="inlineStr">
        <is>
          <t>Föryngringsavverkning</t>
        </is>
      </c>
      <c r="D245" s="1" t="n">
        <v>45075</v>
      </c>
      <c r="E245" s="1" t="n">
        <v>46220</v>
      </c>
      <c r="F245" t="inlineStr">
        <is>
          <t>VÄRMLANDS LÄN</t>
        </is>
      </c>
      <c r="G245" t="inlineStr">
        <is>
          <t>ÅRJÄNG</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23212-2023</t>
        </is>
      </c>
      <c r="B246" t="inlineStr">
        <is>
          <t>avverkningsanmälan</t>
        </is>
      </c>
      <c r="C246" t="inlineStr">
        <is>
          <t>Föryngringsavverkning</t>
        </is>
      </c>
      <c r="D246" s="1" t="n">
        <v>45075</v>
      </c>
      <c r="E246" s="1" t="n">
        <v>46220</v>
      </c>
      <c r="F246" t="inlineStr">
        <is>
          <t>VÄRMLANDS LÄN</t>
        </is>
      </c>
      <c r="G246" t="inlineStr">
        <is>
          <t>ÅRJÄNG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26880-2023</t>
        </is>
      </c>
      <c r="B247" t="inlineStr">
        <is>
          <t>avverkningsanmälan</t>
        </is>
      </c>
      <c r="C247" t="inlineStr">
        <is>
          <t>Föryngringsavverkning</t>
        </is>
      </c>
      <c r="D247" s="1" t="n">
        <v>45093</v>
      </c>
      <c r="E247" s="1" t="n">
        <v>46220</v>
      </c>
      <c r="F247" t="inlineStr">
        <is>
          <t>VÄRMLANDS LÄN</t>
        </is>
      </c>
      <c r="G247" t="inlineStr">
        <is>
          <t>ÅRJÄNG</t>
        </is>
      </c>
      <c r="I247" t="n">
        <v>3.6</v>
      </c>
      <c r="J247" t="n">
        <v>0</v>
      </c>
      <c r="K247" t="n">
        <v>0</v>
      </c>
      <c r="L247" t="n">
        <v>0</v>
      </c>
      <c r="M247" t="n">
        <v>0</v>
      </c>
      <c r="N247" t="n">
        <v>0</v>
      </c>
      <c r="O247" t="n">
        <v>0</v>
      </c>
      <c r="P247" t="n">
        <v>0</v>
      </c>
      <c r="Q247" t="n">
        <v>0</v>
      </c>
      <c r="R247" t="n">
        <v>0</v>
      </c>
      <c r="S247" t="n">
        <v>0</v>
      </c>
      <c r="T247" t="n">
        <v>0</v>
      </c>
      <c r="U247" s="2" t="inlineStr"/>
    </row>
    <row r="248" ht="15" customHeight="1">
      <c r="A248" t="inlineStr">
        <is>
          <t>A 46317-2024</t>
        </is>
      </c>
      <c r="B248" t="inlineStr">
        <is>
          <t>avverkningsanmälan</t>
        </is>
      </c>
      <c r="C248" t="inlineStr">
        <is>
          <t>Föryngringsavverkning</t>
        </is>
      </c>
      <c r="D248" s="1" t="n">
        <v>45581</v>
      </c>
      <c r="E248" s="1" t="n">
        <v>46220</v>
      </c>
      <c r="F248" t="inlineStr">
        <is>
          <t>VÄRMLANDS LÄN</t>
        </is>
      </c>
      <c r="G248" t="inlineStr">
        <is>
          <t>ÅRJÄNG</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24483-2024</t>
        </is>
      </c>
      <c r="B249" t="inlineStr">
        <is>
          <t>avverkningsanmälan</t>
        </is>
      </c>
      <c r="C249" t="inlineStr">
        <is>
          <t>Föryngringsavverkning</t>
        </is>
      </c>
      <c r="D249" s="1" t="n">
        <v>45459</v>
      </c>
      <c r="E249" s="1" t="n">
        <v>46220</v>
      </c>
      <c r="F249" t="inlineStr">
        <is>
          <t>VÄRMLANDS LÄN</t>
        </is>
      </c>
      <c r="G249" t="inlineStr">
        <is>
          <t>ÅRJÄNG</t>
        </is>
      </c>
      <c r="I249" t="n">
        <v>3.6</v>
      </c>
      <c r="J249" t="n">
        <v>0</v>
      </c>
      <c r="K249" t="n">
        <v>0</v>
      </c>
      <c r="L249" t="n">
        <v>0</v>
      </c>
      <c r="M249" t="n">
        <v>0</v>
      </c>
      <c r="N249" t="n">
        <v>0</v>
      </c>
      <c r="O249" t="n">
        <v>0</v>
      </c>
      <c r="P249" t="n">
        <v>0</v>
      </c>
      <c r="Q249" t="n">
        <v>0</v>
      </c>
      <c r="R249" t="n">
        <v>0</v>
      </c>
      <c r="S249" t="n">
        <v>0</v>
      </c>
      <c r="T249" t="n">
        <v>0</v>
      </c>
      <c r="U249" s="2" t="inlineStr"/>
    </row>
    <row r="250" ht="15" customHeight="1">
      <c r="A250" t="inlineStr">
        <is>
          <t>A 7444-2024</t>
        </is>
      </c>
      <c r="B250" t="inlineStr">
        <is>
          <t>avverkningsanmälan</t>
        </is>
      </c>
      <c r="C250" t="inlineStr">
        <is>
          <t>Föryngringsavverkning</t>
        </is>
      </c>
      <c r="D250" s="1" t="n">
        <v>45345</v>
      </c>
      <c r="E250" s="1" t="n">
        <v>46220</v>
      </c>
      <c r="F250" t="inlineStr">
        <is>
          <t>VÄRMLANDS LÄN</t>
        </is>
      </c>
      <c r="G250" t="inlineStr">
        <is>
          <t>ÅRJÄNG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1279-2025</t>
        </is>
      </c>
      <c r="B251" t="inlineStr">
        <is>
          <t>avverkningsanmälan</t>
        </is>
      </c>
      <c r="C251" t="inlineStr">
        <is>
          <t>Föryngringsavverkning</t>
        </is>
      </c>
      <c r="D251" s="1" t="n">
        <v>45667</v>
      </c>
      <c r="E251" s="1" t="n">
        <v>46220</v>
      </c>
      <c r="F251" t="inlineStr">
        <is>
          <t>VÄRMLANDS LÄN</t>
        </is>
      </c>
      <c r="G251" t="inlineStr">
        <is>
          <t>ÅRJÄNG</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5741-2025</t>
        </is>
      </c>
      <c r="B252" t="inlineStr">
        <is>
          <t>avverkningsanmälan</t>
        </is>
      </c>
      <c r="C252" t="inlineStr">
        <is>
          <t>Föryngringsavverkning</t>
        </is>
      </c>
      <c r="D252" s="1" t="n">
        <v>45694</v>
      </c>
      <c r="E252" s="1" t="n">
        <v>46220</v>
      </c>
      <c r="F252" t="inlineStr">
        <is>
          <t>VÄRMLANDS LÄN</t>
        </is>
      </c>
      <c r="G252" t="inlineStr">
        <is>
          <t>ÅRJÄNG</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62963-2023</t>
        </is>
      </c>
      <c r="B253" t="inlineStr">
        <is>
          <t>avverkningsanmälan</t>
        </is>
      </c>
      <c r="C253" t="inlineStr">
        <is>
          <t>Avverkning för annat ändamål</t>
        </is>
      </c>
      <c r="D253" s="1" t="n">
        <v>45271</v>
      </c>
      <c r="E253" s="1" t="n">
        <v>46220</v>
      </c>
      <c r="F253" t="inlineStr">
        <is>
          <t>VÄRMLANDS LÄN</t>
        </is>
      </c>
      <c r="G253" t="inlineStr">
        <is>
          <t>ÅRJÄNG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15237-2025</t>
        </is>
      </c>
      <c r="B254" t="inlineStr">
        <is>
          <t>avverkningsanmälan</t>
        </is>
      </c>
      <c r="C254" t="inlineStr">
        <is>
          <t>Föryngringsavverkning</t>
        </is>
      </c>
      <c r="D254" s="1" t="n">
        <v>45744</v>
      </c>
      <c r="E254" s="1" t="n">
        <v>46220</v>
      </c>
      <c r="F254" t="inlineStr">
        <is>
          <t>VÄRMLANDS LÄN</t>
        </is>
      </c>
      <c r="G254" t="inlineStr">
        <is>
          <t>ÅRJÄNG</t>
        </is>
      </c>
      <c r="I254" t="n">
        <v>29.5</v>
      </c>
      <c r="J254" t="n">
        <v>0</v>
      </c>
      <c r="K254" t="n">
        <v>0</v>
      </c>
      <c r="L254" t="n">
        <v>0</v>
      </c>
      <c r="M254" t="n">
        <v>0</v>
      </c>
      <c r="N254" t="n">
        <v>0</v>
      </c>
      <c r="O254" t="n">
        <v>0</v>
      </c>
      <c r="P254" t="n">
        <v>0</v>
      </c>
      <c r="Q254" t="n">
        <v>0</v>
      </c>
      <c r="R254" t="n">
        <v>0</v>
      </c>
      <c r="S254" t="n">
        <v>0</v>
      </c>
      <c r="T254" t="n">
        <v>0</v>
      </c>
      <c r="U254" s="2" t="inlineStr"/>
    </row>
    <row r="255" ht="15" customHeight="1">
      <c r="A255" t="inlineStr">
        <is>
          <t>A 2-2024</t>
        </is>
      </c>
      <c r="B255" t="inlineStr">
        <is>
          <t>avverkningsanmälan</t>
        </is>
      </c>
      <c r="C255" t="inlineStr">
        <is>
          <t>Föryngringsavverkning</t>
        </is>
      </c>
      <c r="D255" s="1" t="n">
        <v>45292</v>
      </c>
      <c r="E255" s="1" t="n">
        <v>46220</v>
      </c>
      <c r="F255" t="inlineStr">
        <is>
          <t>VÄRMLANDS LÄN</t>
        </is>
      </c>
      <c r="G255" t="inlineStr">
        <is>
          <t>ÅRJÄNG</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15570-2025</t>
        </is>
      </c>
      <c r="B256" t="inlineStr">
        <is>
          <t>avverkningsanmälan</t>
        </is>
      </c>
      <c r="C256" t="inlineStr">
        <is>
          <t>Föryngringsavverkning</t>
        </is>
      </c>
      <c r="D256" s="1" t="n">
        <v>45747</v>
      </c>
      <c r="E256" s="1" t="n">
        <v>46220</v>
      </c>
      <c r="F256" t="inlineStr">
        <is>
          <t>VÄRMLANDS LÄN</t>
        </is>
      </c>
      <c r="G256" t="inlineStr">
        <is>
          <t>ÅRJÄNG</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15572-2025</t>
        </is>
      </c>
      <c r="B257" t="inlineStr">
        <is>
          <t>avverkningsanmälan</t>
        </is>
      </c>
      <c r="C257" t="inlineStr">
        <is>
          <t>Föryngringsavverkning</t>
        </is>
      </c>
      <c r="D257" s="1" t="n">
        <v>45747</v>
      </c>
      <c r="E257" s="1" t="n">
        <v>46220</v>
      </c>
      <c r="F257" t="inlineStr">
        <is>
          <t>VÄRMLANDS LÄN</t>
        </is>
      </c>
      <c r="G257" t="inlineStr">
        <is>
          <t>ÅRJÄNG</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15578-2025</t>
        </is>
      </c>
      <c r="B258" t="inlineStr">
        <is>
          <t>avverkningsanmälan</t>
        </is>
      </c>
      <c r="C258" t="inlineStr">
        <is>
          <t>Föryngringsavverkning</t>
        </is>
      </c>
      <c r="D258" s="1" t="n">
        <v>45747</v>
      </c>
      <c r="E258" s="1" t="n">
        <v>46220</v>
      </c>
      <c r="F258" t="inlineStr">
        <is>
          <t>VÄRMLANDS LÄN</t>
        </is>
      </c>
      <c r="G258" t="inlineStr">
        <is>
          <t>ÅRJÄNG</t>
        </is>
      </c>
      <c r="I258" t="n">
        <v>4.6</v>
      </c>
      <c r="J258" t="n">
        <v>0</v>
      </c>
      <c r="K258" t="n">
        <v>0</v>
      </c>
      <c r="L258" t="n">
        <v>0</v>
      </c>
      <c r="M258" t="n">
        <v>0</v>
      </c>
      <c r="N258" t="n">
        <v>0</v>
      </c>
      <c r="O258" t="n">
        <v>0</v>
      </c>
      <c r="P258" t="n">
        <v>0</v>
      </c>
      <c r="Q258" t="n">
        <v>0</v>
      </c>
      <c r="R258" t="n">
        <v>0</v>
      </c>
      <c r="S258" t="n">
        <v>0</v>
      </c>
      <c r="T258" t="n">
        <v>0</v>
      </c>
      <c r="U258" s="2" t="inlineStr"/>
    </row>
    <row r="259" ht="15" customHeight="1">
      <c r="A259" t="inlineStr">
        <is>
          <t>A 43253-2023</t>
        </is>
      </c>
      <c r="B259" t="inlineStr">
        <is>
          <t>avverkningsanmälan</t>
        </is>
      </c>
      <c r="C259" t="inlineStr">
        <is>
          <t>Föryngringsavverkning</t>
        </is>
      </c>
      <c r="D259" s="1" t="n">
        <v>45183</v>
      </c>
      <c r="E259" s="1" t="n">
        <v>46220</v>
      </c>
      <c r="F259" t="inlineStr">
        <is>
          <t>VÄRMLANDS LÄN</t>
        </is>
      </c>
      <c r="G259" t="inlineStr">
        <is>
          <t>ÅRJÄNG</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70461-2021</t>
        </is>
      </c>
      <c r="B260" t="inlineStr">
        <is>
          <t>avverkningsanmälan</t>
        </is>
      </c>
      <c r="C260" t="inlineStr">
        <is>
          <t>Föryngringsavverkning</t>
        </is>
      </c>
      <c r="D260" s="1" t="n">
        <v>44536</v>
      </c>
      <c r="E260" s="1" t="n">
        <v>46220</v>
      </c>
      <c r="F260" t="inlineStr">
        <is>
          <t>VÄRMLANDS LÄN</t>
        </is>
      </c>
      <c r="G260" t="inlineStr">
        <is>
          <t>ÅRJÄNG</t>
        </is>
      </c>
      <c r="I260" t="n">
        <v>3.8</v>
      </c>
      <c r="J260" t="n">
        <v>0</v>
      </c>
      <c r="K260" t="n">
        <v>0</v>
      </c>
      <c r="L260" t="n">
        <v>0</v>
      </c>
      <c r="M260" t="n">
        <v>0</v>
      </c>
      <c r="N260" t="n">
        <v>0</v>
      </c>
      <c r="O260" t="n">
        <v>0</v>
      </c>
      <c r="P260" t="n">
        <v>0</v>
      </c>
      <c r="Q260" t="n">
        <v>0</v>
      </c>
      <c r="R260" t="n">
        <v>0</v>
      </c>
      <c r="S260" t="n">
        <v>0</v>
      </c>
      <c r="T260" t="n">
        <v>0</v>
      </c>
      <c r="U260" s="2" t="inlineStr"/>
    </row>
    <row r="261" ht="15" customHeight="1">
      <c r="A261" t="inlineStr">
        <is>
          <t>A 62901-2021</t>
        </is>
      </c>
      <c r="B261" t="inlineStr">
        <is>
          <t>avverkningsanmälan</t>
        </is>
      </c>
      <c r="C261" t="inlineStr">
        <is>
          <t>Föryngringsavverkning</t>
        </is>
      </c>
      <c r="D261" s="1" t="n">
        <v>44504</v>
      </c>
      <c r="E261" s="1" t="n">
        <v>46220</v>
      </c>
      <c r="F261" t="inlineStr">
        <is>
          <t>VÄRMLANDS LÄN</t>
        </is>
      </c>
      <c r="G261" t="inlineStr">
        <is>
          <t>ÅRJÄNG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60975-2022</t>
        </is>
      </c>
      <c r="B262" t="inlineStr">
        <is>
          <t>avverkningsanmälan</t>
        </is>
      </c>
      <c r="C262" t="inlineStr">
        <is>
          <t>Föryngringsavverkning</t>
        </is>
      </c>
      <c r="D262" s="1" t="n">
        <v>44914</v>
      </c>
      <c r="E262" s="1" t="n">
        <v>46220</v>
      </c>
      <c r="F262" t="inlineStr">
        <is>
          <t>VÄRMLANDS LÄN</t>
        </is>
      </c>
      <c r="G262" t="inlineStr">
        <is>
          <t>ÅRJÄNG</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48453-2023</t>
        </is>
      </c>
      <c r="B263" t="inlineStr">
        <is>
          <t>avverkningsanmälan</t>
        </is>
      </c>
      <c r="C263" t="inlineStr">
        <is>
          <t>Föryngringsavverkning</t>
        </is>
      </c>
      <c r="D263" s="1" t="n">
        <v>45206</v>
      </c>
      <c r="E263" s="1" t="n">
        <v>46220</v>
      </c>
      <c r="F263" t="inlineStr">
        <is>
          <t>VÄRMLANDS LÄN</t>
        </is>
      </c>
      <c r="G263" t="inlineStr">
        <is>
          <t>ÅRJÄNG</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28733-2024</t>
        </is>
      </c>
      <c r="B264" t="inlineStr">
        <is>
          <t>avverkningsanmälan</t>
        </is>
      </c>
      <c r="C264" t="inlineStr">
        <is>
          <t>Föryngringsavverkning</t>
        </is>
      </c>
      <c r="D264" s="1" t="n">
        <v>45478</v>
      </c>
      <c r="E264" s="1" t="n">
        <v>46220</v>
      </c>
      <c r="F264" t="inlineStr">
        <is>
          <t>VÄRMLANDS LÄN</t>
        </is>
      </c>
      <c r="G264" t="inlineStr">
        <is>
          <t>ÅRJÄNG</t>
        </is>
      </c>
      <c r="H264" t="inlineStr">
        <is>
          <t>Bergvik skog väst AB</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32950-2024</t>
        </is>
      </c>
      <c r="B265" t="inlineStr">
        <is>
          <t>avverkningsanmälan</t>
        </is>
      </c>
      <c r="C265" t="inlineStr">
        <is>
          <t>Föryngringsavverkning</t>
        </is>
      </c>
      <c r="D265" s="1" t="n">
        <v>45517</v>
      </c>
      <c r="E265" s="1" t="n">
        <v>46220</v>
      </c>
      <c r="F265" t="inlineStr">
        <is>
          <t>VÄRMLANDS LÄN</t>
        </is>
      </c>
      <c r="G265" t="inlineStr">
        <is>
          <t>ÅRJÄNG</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53726-2021</t>
        </is>
      </c>
      <c r="B266" t="inlineStr">
        <is>
          <t>avverkningsanmälan</t>
        </is>
      </c>
      <c r="C266" t="inlineStr">
        <is>
          <t>Föryngringsavverkning</t>
        </is>
      </c>
      <c r="D266" s="1" t="n">
        <v>44469</v>
      </c>
      <c r="E266" s="1" t="n">
        <v>46220</v>
      </c>
      <c r="F266" t="inlineStr">
        <is>
          <t>VÄRMLANDS LÄN</t>
        </is>
      </c>
      <c r="G266" t="inlineStr">
        <is>
          <t>ÅRJÄNG</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61295-2022</t>
        </is>
      </c>
      <c r="B267" t="inlineStr">
        <is>
          <t>avverkningsanmälan</t>
        </is>
      </c>
      <c r="C267" t="inlineStr">
        <is>
          <t>Föryngringsavverkning</t>
        </is>
      </c>
      <c r="D267" s="1" t="n">
        <v>44915</v>
      </c>
      <c r="E267" s="1" t="n">
        <v>46220</v>
      </c>
      <c r="F267" t="inlineStr">
        <is>
          <t>VÄRMLANDS LÄN</t>
        </is>
      </c>
      <c r="G267" t="inlineStr">
        <is>
          <t>ÅRJÄNG</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37220-2024</t>
        </is>
      </c>
      <c r="B268" t="inlineStr">
        <is>
          <t>avverkningsanmälan</t>
        </is>
      </c>
      <c r="C268" t="inlineStr">
        <is>
          <t>Föryngringsavverkning</t>
        </is>
      </c>
      <c r="D268" s="1" t="n">
        <v>45539</v>
      </c>
      <c r="E268" s="1" t="n">
        <v>46220</v>
      </c>
      <c r="F268" t="inlineStr">
        <is>
          <t>VÄRMLANDS LÄN</t>
        </is>
      </c>
      <c r="G268" t="inlineStr">
        <is>
          <t>ÅRJÄNG</t>
        </is>
      </c>
      <c r="I268" t="n">
        <v>3.5</v>
      </c>
      <c r="J268" t="n">
        <v>0</v>
      </c>
      <c r="K268" t="n">
        <v>0</v>
      </c>
      <c r="L268" t="n">
        <v>0</v>
      </c>
      <c r="M268" t="n">
        <v>0</v>
      </c>
      <c r="N268" t="n">
        <v>0</v>
      </c>
      <c r="O268" t="n">
        <v>0</v>
      </c>
      <c r="P268" t="n">
        <v>0</v>
      </c>
      <c r="Q268" t="n">
        <v>0</v>
      </c>
      <c r="R268" t="n">
        <v>0</v>
      </c>
      <c r="S268" t="n">
        <v>0</v>
      </c>
      <c r="T268" t="n">
        <v>0</v>
      </c>
      <c r="U268" s="2" t="inlineStr"/>
    </row>
    <row r="269" ht="15" customHeight="1">
      <c r="A269" t="inlineStr">
        <is>
          <t>A 59385-2023</t>
        </is>
      </c>
      <c r="B269" t="inlineStr">
        <is>
          <t>avverkningsanmälan</t>
        </is>
      </c>
      <c r="C269" t="inlineStr">
        <is>
          <t>Föryngringsavverkning</t>
        </is>
      </c>
      <c r="D269" s="1" t="n">
        <v>45253</v>
      </c>
      <c r="E269" s="1" t="n">
        <v>46220</v>
      </c>
      <c r="F269" t="inlineStr">
        <is>
          <t>VÄRMLANDS LÄN</t>
        </is>
      </c>
      <c r="G269" t="inlineStr">
        <is>
          <t>ÅRJÄNG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11176-2023</t>
        </is>
      </c>
      <c r="B270" t="inlineStr">
        <is>
          <t>avverkningsanmälan</t>
        </is>
      </c>
      <c r="C270" t="inlineStr">
        <is>
          <t>Föryngringsavverkning</t>
        </is>
      </c>
      <c r="D270" s="1" t="n">
        <v>44987</v>
      </c>
      <c r="E270" s="1" t="n">
        <v>46220</v>
      </c>
      <c r="F270" t="inlineStr">
        <is>
          <t>VÄRMLANDS LÄN</t>
        </is>
      </c>
      <c r="G270" t="inlineStr">
        <is>
          <t>ÅRJÄNG</t>
        </is>
      </c>
      <c r="I270" t="n">
        <v>5.2</v>
      </c>
      <c r="J270" t="n">
        <v>0</v>
      </c>
      <c r="K270" t="n">
        <v>0</v>
      </c>
      <c r="L270" t="n">
        <v>0</v>
      </c>
      <c r="M270" t="n">
        <v>0</v>
      </c>
      <c r="N270" t="n">
        <v>0</v>
      </c>
      <c r="O270" t="n">
        <v>0</v>
      </c>
      <c r="P270" t="n">
        <v>0</v>
      </c>
      <c r="Q270" t="n">
        <v>0</v>
      </c>
      <c r="R270" t="n">
        <v>0</v>
      </c>
      <c r="S270" t="n">
        <v>0</v>
      </c>
      <c r="T270" t="n">
        <v>0</v>
      </c>
      <c r="U270" s="2" t="inlineStr"/>
    </row>
    <row r="271" ht="15" customHeight="1">
      <c r="A271" t="inlineStr">
        <is>
          <t>A 32550-2024</t>
        </is>
      </c>
      <c r="B271" t="inlineStr">
        <is>
          <t>avverkningsanmälan</t>
        </is>
      </c>
      <c r="C271" t="inlineStr">
        <is>
          <t>Föryngringsavverkning</t>
        </is>
      </c>
      <c r="D271" s="1" t="n">
        <v>45513</v>
      </c>
      <c r="E271" s="1" t="n">
        <v>46220</v>
      </c>
      <c r="F271" t="inlineStr">
        <is>
          <t>VÄRMLANDS LÄN</t>
        </is>
      </c>
      <c r="G271" t="inlineStr">
        <is>
          <t>ÅRJÄNG</t>
        </is>
      </c>
      <c r="H271" t="inlineStr">
        <is>
          <t>Bergvik skog väst AB</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19313-2023</t>
        </is>
      </c>
      <c r="B272" t="inlineStr">
        <is>
          <t>avverkningsanmälan</t>
        </is>
      </c>
      <c r="C272" t="inlineStr">
        <is>
          <t>Föryngringsavverkning</t>
        </is>
      </c>
      <c r="D272" s="1" t="n">
        <v>45049</v>
      </c>
      <c r="E272" s="1" t="n">
        <v>46220</v>
      </c>
      <c r="F272" t="inlineStr">
        <is>
          <t>VÄRMLANDS LÄN</t>
        </is>
      </c>
      <c r="G272" t="inlineStr">
        <is>
          <t>ÅRJÄNG</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7443-2024</t>
        </is>
      </c>
      <c r="B273" t="inlineStr">
        <is>
          <t>avverkningsanmälan</t>
        </is>
      </c>
      <c r="C273" t="inlineStr">
        <is>
          <t>Föryngringsavverkning</t>
        </is>
      </c>
      <c r="D273" s="1" t="n">
        <v>45345</v>
      </c>
      <c r="E273" s="1" t="n">
        <v>46220</v>
      </c>
      <c r="F273" t="inlineStr">
        <is>
          <t>VÄRMLANDS LÄN</t>
        </is>
      </c>
      <c r="G273" t="inlineStr">
        <is>
          <t>ÅRJÄNG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15903-2022</t>
        </is>
      </c>
      <c r="B274" t="inlineStr">
        <is>
          <t>avverkningsanmälan</t>
        </is>
      </c>
      <c r="C274" t="inlineStr">
        <is>
          <t>Föryngringsavverkning</t>
        </is>
      </c>
      <c r="D274" s="1" t="n">
        <v>44664</v>
      </c>
      <c r="E274" s="1" t="n">
        <v>46220</v>
      </c>
      <c r="F274" t="inlineStr">
        <is>
          <t>VÄRMLANDS LÄN</t>
        </is>
      </c>
      <c r="G274" t="inlineStr">
        <is>
          <t>ÅRJÄNG</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48911-2024</t>
        </is>
      </c>
      <c r="B275" t="inlineStr">
        <is>
          <t>avverkningsanmälan</t>
        </is>
      </c>
      <c r="C275" t="inlineStr">
        <is>
          <t>Föryngringsavverkning</t>
        </is>
      </c>
      <c r="D275" s="1" t="n">
        <v>45594</v>
      </c>
      <c r="E275" s="1" t="n">
        <v>46220</v>
      </c>
      <c r="F275" t="inlineStr">
        <is>
          <t>VÄRMLANDS LÄN</t>
        </is>
      </c>
      <c r="G275" t="inlineStr">
        <is>
          <t>ÅRJÄNG</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43794-2024</t>
        </is>
      </c>
      <c r="B276" t="inlineStr">
        <is>
          <t>avverkningsanmälan</t>
        </is>
      </c>
      <c r="C276" t="inlineStr">
        <is>
          <t>Föryngringsavverkning</t>
        </is>
      </c>
      <c r="D276" s="1" t="n">
        <v>45571</v>
      </c>
      <c r="E276" s="1" t="n">
        <v>46220</v>
      </c>
      <c r="F276" t="inlineStr">
        <is>
          <t>VÄRMLANDS LÄN</t>
        </is>
      </c>
      <c r="G276" t="inlineStr">
        <is>
          <t>ÅRJÄNG</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40352-2023</t>
        </is>
      </c>
      <c r="B277" t="inlineStr">
        <is>
          <t>avverkningsanmälan</t>
        </is>
      </c>
      <c r="C277" t="inlineStr">
        <is>
          <t>Föryngringsavverkning</t>
        </is>
      </c>
      <c r="D277" s="1" t="n">
        <v>45168</v>
      </c>
      <c r="E277" s="1" t="n">
        <v>46220</v>
      </c>
      <c r="F277" t="inlineStr">
        <is>
          <t>VÄRMLANDS LÄN</t>
        </is>
      </c>
      <c r="G277" t="inlineStr">
        <is>
          <t>ÅRJÄNG</t>
        </is>
      </c>
      <c r="I277" t="n">
        <v>3.4</v>
      </c>
      <c r="J277" t="n">
        <v>0</v>
      </c>
      <c r="K277" t="n">
        <v>0</v>
      </c>
      <c r="L277" t="n">
        <v>0</v>
      </c>
      <c r="M277" t="n">
        <v>0</v>
      </c>
      <c r="N277" t="n">
        <v>0</v>
      </c>
      <c r="O277" t="n">
        <v>0</v>
      </c>
      <c r="P277" t="n">
        <v>0</v>
      </c>
      <c r="Q277" t="n">
        <v>0</v>
      </c>
      <c r="R277" t="n">
        <v>0</v>
      </c>
      <c r="S277" t="n">
        <v>0</v>
      </c>
      <c r="T277" t="n">
        <v>0</v>
      </c>
      <c r="U277" s="2" t="inlineStr"/>
    </row>
    <row r="278" ht="15" customHeight="1">
      <c r="A278" t="inlineStr">
        <is>
          <t>A 3458-2025</t>
        </is>
      </c>
      <c r="B278" t="inlineStr">
        <is>
          <t>avverkningsanmälan</t>
        </is>
      </c>
      <c r="C278" t="inlineStr">
        <is>
          <t>Föryngringsavverkning</t>
        </is>
      </c>
      <c r="D278" s="1" t="n">
        <v>45680</v>
      </c>
      <c r="E278" s="1" t="n">
        <v>46220</v>
      </c>
      <c r="F278" t="inlineStr">
        <is>
          <t>VÄRMLANDS LÄN</t>
        </is>
      </c>
      <c r="G278" t="inlineStr">
        <is>
          <t>ÅRJÄNG</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18388-2025</t>
        </is>
      </c>
      <c r="B279" t="inlineStr">
        <is>
          <t>avverkningsanmälan</t>
        </is>
      </c>
      <c r="C279" t="inlineStr">
        <is>
          <t>Avverkning för annat ändamål</t>
        </is>
      </c>
      <c r="D279" s="1" t="n">
        <v>45762</v>
      </c>
      <c r="E279" s="1" t="n">
        <v>46220</v>
      </c>
      <c r="F279" t="inlineStr">
        <is>
          <t>VÄRMLANDS LÄN</t>
        </is>
      </c>
      <c r="G279" t="inlineStr">
        <is>
          <t>ÅRJÄNG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56060-2023</t>
        </is>
      </c>
      <c r="B280" t="inlineStr">
        <is>
          <t>avverkningsanmälan</t>
        </is>
      </c>
      <c r="C280" t="inlineStr">
        <is>
          <t>Föryngringsavverkning</t>
        </is>
      </c>
      <c r="D280" s="1" t="n">
        <v>45233</v>
      </c>
      <c r="E280" s="1" t="n">
        <v>46220</v>
      </c>
      <c r="F280" t="inlineStr">
        <is>
          <t>VÄRMLANDS LÄN</t>
        </is>
      </c>
      <c r="G280" t="inlineStr">
        <is>
          <t>ÅRJÄNG</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61119-2024</t>
        </is>
      </c>
      <c r="B281" t="inlineStr">
        <is>
          <t>avverkningsanmälan</t>
        </is>
      </c>
      <c r="C281" t="inlineStr">
        <is>
          <t>Föryngringsavverkning</t>
        </is>
      </c>
      <c r="D281" s="1" t="n">
        <v>45645</v>
      </c>
      <c r="E281" s="1" t="n">
        <v>46220</v>
      </c>
      <c r="F281" t="inlineStr">
        <is>
          <t>VÄRMLANDS LÄN</t>
        </is>
      </c>
      <c r="G281" t="inlineStr">
        <is>
          <t>ÅRJÄNG</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23754-2024</t>
        </is>
      </c>
      <c r="B282" t="inlineStr">
        <is>
          <t>avverkningsanmälan</t>
        </is>
      </c>
      <c r="C282" t="inlineStr">
        <is>
          <t>Föryngringsavverkning</t>
        </is>
      </c>
      <c r="D282" s="1" t="n">
        <v>45455</v>
      </c>
      <c r="E282" s="1" t="n">
        <v>46220</v>
      </c>
      <c r="F282" t="inlineStr">
        <is>
          <t>VÄRMLANDS LÄN</t>
        </is>
      </c>
      <c r="G282" t="inlineStr">
        <is>
          <t>ÅRJÄNG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29263-2023</t>
        </is>
      </c>
      <c r="B283" t="inlineStr">
        <is>
          <t>avverkningsanmälan</t>
        </is>
      </c>
      <c r="C283" t="inlineStr">
        <is>
          <t>Föryngringsavverkning</t>
        </is>
      </c>
      <c r="D283" s="1" t="n">
        <v>45105</v>
      </c>
      <c r="E283" s="1" t="n">
        <v>46220</v>
      </c>
      <c r="F283" t="inlineStr">
        <is>
          <t>VÄRMLANDS LÄN</t>
        </is>
      </c>
      <c r="G283" t="inlineStr">
        <is>
          <t>ÅRJÄNG</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37191-2023</t>
        </is>
      </c>
      <c r="B284" t="inlineStr">
        <is>
          <t>avverkningsanmälan</t>
        </is>
      </c>
      <c r="C284" t="inlineStr">
        <is>
          <t>Föryngringsavverkning</t>
        </is>
      </c>
      <c r="D284" s="1" t="n">
        <v>45154</v>
      </c>
      <c r="E284" s="1" t="n">
        <v>46220</v>
      </c>
      <c r="F284" t="inlineStr">
        <is>
          <t>VÄRMLANDS LÄN</t>
        </is>
      </c>
      <c r="G284" t="inlineStr">
        <is>
          <t>ÅRJÄNG</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19242-2025</t>
        </is>
      </c>
      <c r="B285" t="inlineStr">
        <is>
          <t>avverkningsanmälan</t>
        </is>
      </c>
      <c r="C285" t="inlineStr">
        <is>
          <t>Föryngringsavverkning</t>
        </is>
      </c>
      <c r="D285" s="1" t="n">
        <v>45769</v>
      </c>
      <c r="E285" s="1" t="n">
        <v>46220</v>
      </c>
      <c r="F285" t="inlineStr">
        <is>
          <t>VÄRMLANDS LÄN</t>
        </is>
      </c>
      <c r="G285" t="inlineStr">
        <is>
          <t>ÅRJÄNG</t>
        </is>
      </c>
      <c r="I285" t="n">
        <v>17.5</v>
      </c>
      <c r="J285" t="n">
        <v>0</v>
      </c>
      <c r="K285" t="n">
        <v>0</v>
      </c>
      <c r="L285" t="n">
        <v>0</v>
      </c>
      <c r="M285" t="n">
        <v>0</v>
      </c>
      <c r="N285" t="n">
        <v>0</v>
      </c>
      <c r="O285" t="n">
        <v>0</v>
      </c>
      <c r="P285" t="n">
        <v>0</v>
      </c>
      <c r="Q285" t="n">
        <v>0</v>
      </c>
      <c r="R285" t="n">
        <v>0</v>
      </c>
      <c r="S285" t="n">
        <v>0</v>
      </c>
      <c r="T285" t="n">
        <v>0</v>
      </c>
      <c r="U285" s="2" t="inlineStr"/>
    </row>
    <row r="286" ht="15" customHeight="1">
      <c r="A286" t="inlineStr">
        <is>
          <t>A 14509-2022</t>
        </is>
      </c>
      <c r="B286" t="inlineStr">
        <is>
          <t>avverkningsanmälan</t>
        </is>
      </c>
      <c r="C286" t="inlineStr">
        <is>
          <t>Avverkning för annat ändamål</t>
        </is>
      </c>
      <c r="D286" s="1" t="n">
        <v>44655</v>
      </c>
      <c r="E286" s="1" t="n">
        <v>46220</v>
      </c>
      <c r="F286" t="inlineStr">
        <is>
          <t>VÄRMLANDS LÄN</t>
        </is>
      </c>
      <c r="G286" t="inlineStr">
        <is>
          <t>ÅRJÄNG</t>
        </is>
      </c>
      <c r="I286" t="n">
        <v>0.2</v>
      </c>
      <c r="J286" t="n">
        <v>0</v>
      </c>
      <c r="K286" t="n">
        <v>0</v>
      </c>
      <c r="L286" t="n">
        <v>0</v>
      </c>
      <c r="M286" t="n">
        <v>0</v>
      </c>
      <c r="N286" t="n">
        <v>0</v>
      </c>
      <c r="O286" t="n">
        <v>0</v>
      </c>
      <c r="P286" t="n">
        <v>0</v>
      </c>
      <c r="Q286" t="n">
        <v>0</v>
      </c>
      <c r="R286" t="n">
        <v>0</v>
      </c>
      <c r="S286" t="n">
        <v>0</v>
      </c>
      <c r="T286" t="n">
        <v>0</v>
      </c>
      <c r="U286" s="2" t="inlineStr"/>
    </row>
    <row r="287" ht="15" customHeight="1">
      <c r="A287" t="inlineStr">
        <is>
          <t>A 13157-2024</t>
        </is>
      </c>
      <c r="B287" t="inlineStr">
        <is>
          <t>avverkningsanmälan</t>
        </is>
      </c>
      <c r="C287" t="inlineStr">
        <is>
          <t>Föryngringsavverkning</t>
        </is>
      </c>
      <c r="D287" s="1" t="n">
        <v>45386</v>
      </c>
      <c r="E287" s="1" t="n">
        <v>46220</v>
      </c>
      <c r="F287" t="inlineStr">
        <is>
          <t>VÄRMLANDS LÄN</t>
        </is>
      </c>
      <c r="G287" t="inlineStr">
        <is>
          <t>ÅRJÄNG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16079-2024</t>
        </is>
      </c>
      <c r="B288" t="inlineStr">
        <is>
          <t>avverkningsanmälan</t>
        </is>
      </c>
      <c r="C288" t="inlineStr">
        <is>
          <t>Föryngringsavverkning</t>
        </is>
      </c>
      <c r="D288" s="1" t="n">
        <v>45406</v>
      </c>
      <c r="E288" s="1" t="n">
        <v>46220</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13859-2023</t>
        </is>
      </c>
      <c r="B289" t="inlineStr">
        <is>
          <t>avverkningsanmälan</t>
        </is>
      </c>
      <c r="C289" t="inlineStr">
        <is>
          <t>Föryngringsavverkning</t>
        </is>
      </c>
      <c r="D289" s="1" t="n">
        <v>45007</v>
      </c>
      <c r="E289" s="1" t="n">
        <v>46220</v>
      </c>
      <c r="F289" t="inlineStr">
        <is>
          <t>VÄRMLANDS LÄN</t>
        </is>
      </c>
      <c r="G289" t="inlineStr">
        <is>
          <t>ÅRJÄNG</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11776-2025</t>
        </is>
      </c>
      <c r="B290" t="inlineStr">
        <is>
          <t>avverkningsanmälan</t>
        </is>
      </c>
      <c r="C290" t="inlineStr">
        <is>
          <t>Föryngringsavverkning</t>
        </is>
      </c>
      <c r="D290" s="1" t="n">
        <v>45727</v>
      </c>
      <c r="E290" s="1" t="n">
        <v>46220</v>
      </c>
      <c r="F290" t="inlineStr">
        <is>
          <t>VÄRMLANDS LÄN</t>
        </is>
      </c>
      <c r="G290" t="inlineStr">
        <is>
          <t>ÅRJÄNG</t>
        </is>
      </c>
      <c r="I290" t="n">
        <v>7.2</v>
      </c>
      <c r="J290" t="n">
        <v>0</v>
      </c>
      <c r="K290" t="n">
        <v>0</v>
      </c>
      <c r="L290" t="n">
        <v>0</v>
      </c>
      <c r="M290" t="n">
        <v>0</v>
      </c>
      <c r="N290" t="n">
        <v>0</v>
      </c>
      <c r="O290" t="n">
        <v>0</v>
      </c>
      <c r="P290" t="n">
        <v>0</v>
      </c>
      <c r="Q290" t="n">
        <v>0</v>
      </c>
      <c r="R290" t="n">
        <v>0</v>
      </c>
      <c r="S290" t="n">
        <v>0</v>
      </c>
      <c r="T290" t="n">
        <v>0</v>
      </c>
      <c r="U290" s="2" t="inlineStr"/>
    </row>
    <row r="291" ht="15" customHeight="1">
      <c r="A291" t="inlineStr">
        <is>
          <t>A 36017-2024</t>
        </is>
      </c>
      <c r="B291" t="inlineStr">
        <is>
          <t>avverkningsanmälan</t>
        </is>
      </c>
      <c r="C291" t="inlineStr">
        <is>
          <t>Föryngringsavverkning</t>
        </is>
      </c>
      <c r="D291" s="1" t="n">
        <v>45533</v>
      </c>
      <c r="E291" s="1" t="n">
        <v>46220</v>
      </c>
      <c r="F291" t="inlineStr">
        <is>
          <t>VÄRMLANDS LÄN</t>
        </is>
      </c>
      <c r="G291" t="inlineStr">
        <is>
          <t>ÅRJÄNG</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23904-2023</t>
        </is>
      </c>
      <c r="B292" t="inlineStr">
        <is>
          <t>avverkningsanmälan</t>
        </is>
      </c>
      <c r="C292" t="inlineStr">
        <is>
          <t>Föryngringsavverkning</t>
        </is>
      </c>
      <c r="D292" s="1" t="n">
        <v>45078</v>
      </c>
      <c r="E292" s="1" t="n">
        <v>46220</v>
      </c>
      <c r="F292" t="inlineStr">
        <is>
          <t>VÄRMLANDS LÄN</t>
        </is>
      </c>
      <c r="G292" t="inlineStr">
        <is>
          <t>ÅRJÄNG</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59384-2023</t>
        </is>
      </c>
      <c r="B293" t="inlineStr">
        <is>
          <t>avverkningsanmälan</t>
        </is>
      </c>
      <c r="C293" t="inlineStr">
        <is>
          <t>Föryngringsavverkning</t>
        </is>
      </c>
      <c r="D293" s="1" t="n">
        <v>45253</v>
      </c>
      <c r="E293" s="1" t="n">
        <v>46220</v>
      </c>
      <c r="F293" t="inlineStr">
        <is>
          <t>VÄRMLANDS LÄN</t>
        </is>
      </c>
      <c r="G293" t="inlineStr">
        <is>
          <t>ÅRJÄNG</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59976-2022</t>
        </is>
      </c>
      <c r="B294" t="inlineStr">
        <is>
          <t>avverkningsanmälan</t>
        </is>
      </c>
      <c r="C294" t="inlineStr">
        <is>
          <t>Avverkning för annat ändamål</t>
        </is>
      </c>
      <c r="D294" s="1" t="n">
        <v>44901</v>
      </c>
      <c r="E294" s="1" t="n">
        <v>46220</v>
      </c>
      <c r="F294" t="inlineStr">
        <is>
          <t>VÄRMLANDS LÄN</t>
        </is>
      </c>
      <c r="G294" t="inlineStr">
        <is>
          <t>ÅRJÄNG</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53332-2023</t>
        </is>
      </c>
      <c r="B295" t="inlineStr">
        <is>
          <t>avverkningsanmälan</t>
        </is>
      </c>
      <c r="C295" t="inlineStr">
        <is>
          <t>Föryngringsavverkning</t>
        </is>
      </c>
      <c r="D295" s="1" t="n">
        <v>45229</v>
      </c>
      <c r="E295" s="1" t="n">
        <v>46220</v>
      </c>
      <c r="F295" t="inlineStr">
        <is>
          <t>VÄRMLANDS LÄN</t>
        </is>
      </c>
      <c r="G295" t="inlineStr">
        <is>
          <t>ÅRJÄNG</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15954-2025</t>
        </is>
      </c>
      <c r="B296" t="inlineStr">
        <is>
          <t>avverkningsanmälan</t>
        </is>
      </c>
      <c r="C296" t="inlineStr">
        <is>
          <t>Föryngringsavverkning</t>
        </is>
      </c>
      <c r="D296" s="1" t="n">
        <v>45749</v>
      </c>
      <c r="E296" s="1" t="n">
        <v>46220</v>
      </c>
      <c r="F296" t="inlineStr">
        <is>
          <t>VÄRMLANDS LÄN</t>
        </is>
      </c>
      <c r="G296" t="inlineStr">
        <is>
          <t>ÅRJÄNG</t>
        </is>
      </c>
      <c r="H296" t="inlineStr">
        <is>
          <t>Bergvik skog väst AB</t>
        </is>
      </c>
      <c r="I296" t="n">
        <v>4.2</v>
      </c>
      <c r="J296" t="n">
        <v>0</v>
      </c>
      <c r="K296" t="n">
        <v>0</v>
      </c>
      <c r="L296" t="n">
        <v>0</v>
      </c>
      <c r="M296" t="n">
        <v>0</v>
      </c>
      <c r="N296" t="n">
        <v>0</v>
      </c>
      <c r="O296" t="n">
        <v>0</v>
      </c>
      <c r="P296" t="n">
        <v>0</v>
      </c>
      <c r="Q296" t="n">
        <v>0</v>
      </c>
      <c r="R296" t="n">
        <v>0</v>
      </c>
      <c r="S296" t="n">
        <v>0</v>
      </c>
      <c r="T296" t="n">
        <v>0</v>
      </c>
      <c r="U296" s="2" t="inlineStr"/>
    </row>
    <row r="297" ht="15" customHeight="1">
      <c r="A297" t="inlineStr">
        <is>
          <t>A 30993-2024</t>
        </is>
      </c>
      <c r="B297" t="inlineStr">
        <is>
          <t>avverkningsanmälan</t>
        </is>
      </c>
      <c r="C297" t="inlineStr">
        <is>
          <t>Föryngringsavverkning</t>
        </is>
      </c>
      <c r="D297" s="1" t="n">
        <v>45499</v>
      </c>
      <c r="E297" s="1" t="n">
        <v>46220</v>
      </c>
      <c r="F297" t="inlineStr">
        <is>
          <t>VÄRMLANDS LÄN</t>
        </is>
      </c>
      <c r="G297" t="inlineStr">
        <is>
          <t>ÅRJÄNG</t>
        </is>
      </c>
      <c r="H297" t="inlineStr">
        <is>
          <t>Kyrkan</t>
        </is>
      </c>
      <c r="I297" t="n">
        <v>4.7</v>
      </c>
      <c r="J297" t="n">
        <v>0</v>
      </c>
      <c r="K297" t="n">
        <v>0</v>
      </c>
      <c r="L297" t="n">
        <v>0</v>
      </c>
      <c r="M297" t="n">
        <v>0</v>
      </c>
      <c r="N297" t="n">
        <v>0</v>
      </c>
      <c r="O297" t="n">
        <v>0</v>
      </c>
      <c r="P297" t="n">
        <v>0</v>
      </c>
      <c r="Q297" t="n">
        <v>0</v>
      </c>
      <c r="R297" t="n">
        <v>0</v>
      </c>
      <c r="S297" t="n">
        <v>0</v>
      </c>
      <c r="T297" t="n">
        <v>0</v>
      </c>
      <c r="U297" s="2" t="inlineStr"/>
    </row>
    <row r="298" ht="15" customHeight="1">
      <c r="A298" t="inlineStr">
        <is>
          <t>A 36195-2023</t>
        </is>
      </c>
      <c r="B298" t="inlineStr">
        <is>
          <t>avverkningsanmälan</t>
        </is>
      </c>
      <c r="C298" t="inlineStr">
        <is>
          <t>Föryngringsavverkning</t>
        </is>
      </c>
      <c r="D298" s="1" t="n">
        <v>45149</v>
      </c>
      <c r="E298" s="1" t="n">
        <v>46220</v>
      </c>
      <c r="F298" t="inlineStr">
        <is>
          <t>VÄRMLANDS LÄN</t>
        </is>
      </c>
      <c r="G298" t="inlineStr">
        <is>
          <t>ÅRJÄNG</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4606-2024</t>
        </is>
      </c>
      <c r="B299" t="inlineStr">
        <is>
          <t>avverkningsanmälan</t>
        </is>
      </c>
      <c r="C299" t="inlineStr">
        <is>
          <t>Föryngringsavverkning</t>
        </is>
      </c>
      <c r="D299" s="1" t="n">
        <v>45328</v>
      </c>
      <c r="E299" s="1" t="n">
        <v>46220</v>
      </c>
      <c r="F299" t="inlineStr">
        <is>
          <t>VÄRMLANDS LÄN</t>
        </is>
      </c>
      <c r="G299" t="inlineStr">
        <is>
          <t>ÅRJÄNG</t>
        </is>
      </c>
      <c r="I299" t="n">
        <v>3.9</v>
      </c>
      <c r="J299" t="n">
        <v>0</v>
      </c>
      <c r="K299" t="n">
        <v>0</v>
      </c>
      <c r="L299" t="n">
        <v>0</v>
      </c>
      <c r="M299" t="n">
        <v>0</v>
      </c>
      <c r="N299" t="n">
        <v>0</v>
      </c>
      <c r="O299" t="n">
        <v>0</v>
      </c>
      <c r="P299" t="n">
        <v>0</v>
      </c>
      <c r="Q299" t="n">
        <v>0</v>
      </c>
      <c r="R299" t="n">
        <v>0</v>
      </c>
      <c r="S299" t="n">
        <v>0</v>
      </c>
      <c r="T299" t="n">
        <v>0</v>
      </c>
      <c r="U299" s="2" t="inlineStr"/>
    </row>
    <row r="300" ht="15" customHeight="1">
      <c r="A300" t="inlineStr">
        <is>
          <t>A 37325-2024</t>
        </is>
      </c>
      <c r="B300" t="inlineStr">
        <is>
          <t>avverkningsanmälan</t>
        </is>
      </c>
      <c r="C300" t="inlineStr">
        <is>
          <t>Föryngringsavverkning</t>
        </is>
      </c>
      <c r="D300" s="1" t="n">
        <v>45540</v>
      </c>
      <c r="E300" s="1" t="n">
        <v>46220</v>
      </c>
      <c r="F300" t="inlineStr">
        <is>
          <t>VÄRMLANDS LÄN</t>
        </is>
      </c>
      <c r="G300" t="inlineStr">
        <is>
          <t>ÅRJÄNG</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37353-2024</t>
        </is>
      </c>
      <c r="B301" t="inlineStr">
        <is>
          <t>avverkningsanmälan</t>
        </is>
      </c>
      <c r="C301" t="inlineStr">
        <is>
          <t>Föryngringsavverkning</t>
        </is>
      </c>
      <c r="D301" s="1" t="n">
        <v>45540</v>
      </c>
      <c r="E301" s="1" t="n">
        <v>46220</v>
      </c>
      <c r="F301" t="inlineStr">
        <is>
          <t>VÄRMLANDS LÄN</t>
        </is>
      </c>
      <c r="G301" t="inlineStr">
        <is>
          <t>ÅRJÄNG</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24342-2024</t>
        </is>
      </c>
      <c r="B302" t="inlineStr">
        <is>
          <t>avverkningsanmälan</t>
        </is>
      </c>
      <c r="C302" t="inlineStr">
        <is>
          <t>Föryngringsavverkning</t>
        </is>
      </c>
      <c r="D302" s="1" t="n">
        <v>45457</v>
      </c>
      <c r="E302" s="1" t="n">
        <v>46220</v>
      </c>
      <c r="F302" t="inlineStr">
        <is>
          <t>VÄRMLANDS LÄN</t>
        </is>
      </c>
      <c r="G302" t="inlineStr">
        <is>
          <t>ÅRJÄNG</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32773-2024</t>
        </is>
      </c>
      <c r="B303" t="inlineStr">
        <is>
          <t>avverkningsanmälan</t>
        </is>
      </c>
      <c r="C303" t="inlineStr">
        <is>
          <t>Föryngringsavverkning</t>
        </is>
      </c>
      <c r="D303" s="1" t="n">
        <v>45516</v>
      </c>
      <c r="E303" s="1" t="n">
        <v>46220</v>
      </c>
      <c r="F303" t="inlineStr">
        <is>
          <t>VÄRMLANDS LÄN</t>
        </is>
      </c>
      <c r="G303" t="inlineStr">
        <is>
          <t>ÅRJÄNG</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32776-2024</t>
        </is>
      </c>
      <c r="B304" t="inlineStr">
        <is>
          <t>avverkningsanmälan</t>
        </is>
      </c>
      <c r="C304" t="inlineStr">
        <is>
          <t>Föryngringsavverkning</t>
        </is>
      </c>
      <c r="D304" s="1" t="n">
        <v>45516</v>
      </c>
      <c r="E304" s="1" t="n">
        <v>46220</v>
      </c>
      <c r="F304" t="inlineStr">
        <is>
          <t>VÄRMLANDS LÄN</t>
        </is>
      </c>
      <c r="G304" t="inlineStr">
        <is>
          <t>ÅRJÄNG</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1289-2025</t>
        </is>
      </c>
      <c r="B305" t="inlineStr">
        <is>
          <t>avverkningsanmälan</t>
        </is>
      </c>
      <c r="C305" t="inlineStr">
        <is>
          <t>Föryngringsavverkning</t>
        </is>
      </c>
      <c r="D305" s="1" t="n">
        <v>45667</v>
      </c>
      <c r="E305" s="1" t="n">
        <v>46220</v>
      </c>
      <c r="F305" t="inlineStr">
        <is>
          <t>VÄRMLANDS LÄN</t>
        </is>
      </c>
      <c r="G305" t="inlineStr">
        <is>
          <t>ÅRJÄNG</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7114-2023</t>
        </is>
      </c>
      <c r="B306" t="inlineStr">
        <is>
          <t>avverkningsanmälan</t>
        </is>
      </c>
      <c r="C306" t="inlineStr">
        <is>
          <t>Föryngringsavverkning</t>
        </is>
      </c>
      <c r="D306" s="1" t="n">
        <v>44970</v>
      </c>
      <c r="E306" s="1" t="n">
        <v>46220</v>
      </c>
      <c r="F306" t="inlineStr">
        <is>
          <t>VÄRMLANDS LÄN</t>
        </is>
      </c>
      <c r="G306" t="inlineStr">
        <is>
          <t>ÅRJÄNG</t>
        </is>
      </c>
      <c r="I306" t="n">
        <v>4.7</v>
      </c>
      <c r="J306" t="n">
        <v>0</v>
      </c>
      <c r="K306" t="n">
        <v>0</v>
      </c>
      <c r="L306" t="n">
        <v>0</v>
      </c>
      <c r="M306" t="n">
        <v>0</v>
      </c>
      <c r="N306" t="n">
        <v>0</v>
      </c>
      <c r="O306" t="n">
        <v>0</v>
      </c>
      <c r="P306" t="n">
        <v>0</v>
      </c>
      <c r="Q306" t="n">
        <v>0</v>
      </c>
      <c r="R306" t="n">
        <v>0</v>
      </c>
      <c r="S306" t="n">
        <v>0</v>
      </c>
      <c r="T306" t="n">
        <v>0</v>
      </c>
      <c r="U306" s="2" t="inlineStr"/>
    </row>
    <row r="307" ht="15" customHeight="1">
      <c r="A307" t="inlineStr">
        <is>
          <t>A 63837-2025</t>
        </is>
      </c>
      <c r="B307" t="inlineStr">
        <is>
          <t>avverkningsanmälan</t>
        </is>
      </c>
      <c r="C307" t="inlineStr">
        <is>
          <t>Föryngringsavverkning</t>
        </is>
      </c>
      <c r="D307" s="1" t="n">
        <v>46020</v>
      </c>
      <c r="E307" s="1" t="n">
        <v>46220</v>
      </c>
      <c r="F307" t="inlineStr">
        <is>
          <t>VÄRMLANDS LÄN</t>
        </is>
      </c>
      <c r="G307" t="inlineStr">
        <is>
          <t>ÅRJÄNG</t>
        </is>
      </c>
      <c r="I307" t="n">
        <v>5.6</v>
      </c>
      <c r="J307" t="n">
        <v>0</v>
      </c>
      <c r="K307" t="n">
        <v>0</v>
      </c>
      <c r="L307" t="n">
        <v>0</v>
      </c>
      <c r="M307" t="n">
        <v>0</v>
      </c>
      <c r="N307" t="n">
        <v>0</v>
      </c>
      <c r="O307" t="n">
        <v>0</v>
      </c>
      <c r="P307" t="n">
        <v>0</v>
      </c>
      <c r="Q307" t="n">
        <v>0</v>
      </c>
      <c r="R307" t="n">
        <v>0</v>
      </c>
      <c r="S307" t="n">
        <v>0</v>
      </c>
      <c r="T307" t="n">
        <v>0</v>
      </c>
      <c r="U307" s="2" t="inlineStr"/>
    </row>
    <row r="308" ht="15" customHeight="1">
      <c r="A308" t="inlineStr">
        <is>
          <t>A 63830-2025</t>
        </is>
      </c>
      <c r="B308" t="inlineStr">
        <is>
          <t>avverkningsanmälan</t>
        </is>
      </c>
      <c r="C308" t="inlineStr">
        <is>
          <t>Föryngringsavverkning</t>
        </is>
      </c>
      <c r="D308" s="1" t="n">
        <v>46020</v>
      </c>
      <c r="E308" s="1" t="n">
        <v>46220</v>
      </c>
      <c r="F308" t="inlineStr">
        <is>
          <t>VÄRMLANDS LÄN</t>
        </is>
      </c>
      <c r="G308" t="inlineStr">
        <is>
          <t>ÅRJÄNG</t>
        </is>
      </c>
      <c r="I308" t="n">
        <v>7.3</v>
      </c>
      <c r="J308" t="n">
        <v>0</v>
      </c>
      <c r="K308" t="n">
        <v>0</v>
      </c>
      <c r="L308" t="n">
        <v>0</v>
      </c>
      <c r="M308" t="n">
        <v>0</v>
      </c>
      <c r="N308" t="n">
        <v>0</v>
      </c>
      <c r="O308" t="n">
        <v>0</v>
      </c>
      <c r="P308" t="n">
        <v>0</v>
      </c>
      <c r="Q308" t="n">
        <v>0</v>
      </c>
      <c r="R308" t="n">
        <v>0</v>
      </c>
      <c r="S308" t="n">
        <v>0</v>
      </c>
      <c r="T308" t="n">
        <v>0</v>
      </c>
      <c r="U308" s="2" t="inlineStr"/>
    </row>
    <row r="309" ht="15" customHeight="1">
      <c r="A309" t="inlineStr">
        <is>
          <t>A 34643-2024</t>
        </is>
      </c>
      <c r="B309" t="inlineStr">
        <is>
          <t>avverkningsanmälan</t>
        </is>
      </c>
      <c r="C309" t="inlineStr">
        <is>
          <t>Föryngringsavverkning</t>
        </is>
      </c>
      <c r="D309" s="1" t="n">
        <v>45526</v>
      </c>
      <c r="E309" s="1" t="n">
        <v>46220</v>
      </c>
      <c r="F309" t="inlineStr">
        <is>
          <t>VÄRMLANDS LÄN</t>
        </is>
      </c>
      <c r="G309" t="inlineStr">
        <is>
          <t>ÅRJÄNG</t>
        </is>
      </c>
      <c r="I309" t="n">
        <v>3.4</v>
      </c>
      <c r="J309" t="n">
        <v>0</v>
      </c>
      <c r="K309" t="n">
        <v>0</v>
      </c>
      <c r="L309" t="n">
        <v>0</v>
      </c>
      <c r="M309" t="n">
        <v>0</v>
      </c>
      <c r="N309" t="n">
        <v>0</v>
      </c>
      <c r="O309" t="n">
        <v>0</v>
      </c>
      <c r="P309" t="n">
        <v>0</v>
      </c>
      <c r="Q309" t="n">
        <v>0</v>
      </c>
      <c r="R309" t="n">
        <v>0</v>
      </c>
      <c r="S309" t="n">
        <v>0</v>
      </c>
      <c r="T309" t="n">
        <v>0</v>
      </c>
      <c r="U309" s="2" t="inlineStr"/>
    </row>
    <row r="310" ht="15" customHeight="1">
      <c r="A310" t="inlineStr">
        <is>
          <t>A 63836-2025</t>
        </is>
      </c>
      <c r="B310" t="inlineStr">
        <is>
          <t>avverkningsanmälan</t>
        </is>
      </c>
      <c r="C310" t="inlineStr">
        <is>
          <t>Föryngringsavverkning</t>
        </is>
      </c>
      <c r="D310" s="1" t="n">
        <v>46020</v>
      </c>
      <c r="E310" s="1" t="n">
        <v>46220</v>
      </c>
      <c r="F310" t="inlineStr">
        <is>
          <t>VÄRMLANDS LÄN</t>
        </is>
      </c>
      <c r="G310" t="inlineStr">
        <is>
          <t>ÅRJÄNG</t>
        </is>
      </c>
      <c r="I310" t="n">
        <v>12.7</v>
      </c>
      <c r="J310" t="n">
        <v>0</v>
      </c>
      <c r="K310" t="n">
        <v>0</v>
      </c>
      <c r="L310" t="n">
        <v>0</v>
      </c>
      <c r="M310" t="n">
        <v>0</v>
      </c>
      <c r="N310" t="n">
        <v>0</v>
      </c>
      <c r="O310" t="n">
        <v>0</v>
      </c>
      <c r="P310" t="n">
        <v>0</v>
      </c>
      <c r="Q310" t="n">
        <v>0</v>
      </c>
      <c r="R310" t="n">
        <v>0</v>
      </c>
      <c r="S310" t="n">
        <v>0</v>
      </c>
      <c r="T310" t="n">
        <v>0</v>
      </c>
      <c r="U310" s="2" t="inlineStr"/>
    </row>
    <row r="311" ht="15" customHeight="1">
      <c r="A311" t="inlineStr">
        <is>
          <t>A 63844-2025</t>
        </is>
      </c>
      <c r="B311" t="inlineStr">
        <is>
          <t>avverkningsanmälan</t>
        </is>
      </c>
      <c r="C311" t="inlineStr">
        <is>
          <t>Föryngringsavverkning</t>
        </is>
      </c>
      <c r="D311" s="1" t="n">
        <v>46020</v>
      </c>
      <c r="E311" s="1" t="n">
        <v>46220</v>
      </c>
      <c r="F311" t="inlineStr">
        <is>
          <t>VÄRMLANDS LÄN</t>
        </is>
      </c>
      <c r="G311" t="inlineStr">
        <is>
          <t>ÅRJÄNG</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65844-2021</t>
        </is>
      </c>
      <c r="B312" t="inlineStr">
        <is>
          <t>avverkningsanmälan</t>
        </is>
      </c>
      <c r="C312" t="inlineStr">
        <is>
          <t>Föryngringsavverkning</t>
        </is>
      </c>
      <c r="D312" s="1" t="n">
        <v>44517</v>
      </c>
      <c r="E312" s="1" t="n">
        <v>46220</v>
      </c>
      <c r="F312" t="inlineStr">
        <is>
          <t>VÄRMLANDS LÄN</t>
        </is>
      </c>
      <c r="G312" t="inlineStr">
        <is>
          <t>ÅRJÄNG</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36282-2024</t>
        </is>
      </c>
      <c r="B313" t="inlineStr">
        <is>
          <t>avverkningsanmälan</t>
        </is>
      </c>
      <c r="C313" t="inlineStr">
        <is>
          <t>Föryngringsavverkning</t>
        </is>
      </c>
      <c r="D313" s="1" t="n">
        <v>45534</v>
      </c>
      <c r="E313" s="1" t="n">
        <v>46220</v>
      </c>
      <c r="F313" t="inlineStr">
        <is>
          <t>VÄRMLANDS LÄN</t>
        </is>
      </c>
      <c r="G313" t="inlineStr">
        <is>
          <t>ÅRJÄNG</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13060-2022</t>
        </is>
      </c>
      <c r="B314" t="inlineStr">
        <is>
          <t>avverkningsanmälan</t>
        </is>
      </c>
      <c r="C314" t="inlineStr">
        <is>
          <t>Föryngringsavverkning</t>
        </is>
      </c>
      <c r="D314" s="1" t="n">
        <v>44643</v>
      </c>
      <c r="E314" s="1" t="n">
        <v>46220</v>
      </c>
      <c r="F314" t="inlineStr">
        <is>
          <t>VÄRMLANDS LÄN</t>
        </is>
      </c>
      <c r="G314" t="inlineStr">
        <is>
          <t>ÅRJÄNG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521-2025</t>
        </is>
      </c>
      <c r="B315" t="inlineStr">
        <is>
          <t>avverkningsanmälan</t>
        </is>
      </c>
      <c r="C315" t="inlineStr">
        <is>
          <t>Föryngringsavverkning</t>
        </is>
      </c>
      <c r="D315" s="1" t="n">
        <v>45664</v>
      </c>
      <c r="E315" s="1" t="n">
        <v>46220</v>
      </c>
      <c r="F315" t="inlineStr">
        <is>
          <t>VÄRMLANDS LÄN</t>
        </is>
      </c>
      <c r="G315" t="inlineStr">
        <is>
          <t>ÅRJÄNG</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63858-2025</t>
        </is>
      </c>
      <c r="B316" t="inlineStr">
        <is>
          <t>avverkningsanmälan</t>
        </is>
      </c>
      <c r="C316" t="inlineStr">
        <is>
          <t>Föryngringsavverkning</t>
        </is>
      </c>
      <c r="D316" s="1" t="n">
        <v>46020</v>
      </c>
      <c r="E316" s="1" t="n">
        <v>46220</v>
      </c>
      <c r="F316" t="inlineStr">
        <is>
          <t>VÄRMLANDS LÄN</t>
        </is>
      </c>
      <c r="G316" t="inlineStr">
        <is>
          <t>ÅRJÄNG</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24252-2025</t>
        </is>
      </c>
      <c r="B317" t="inlineStr">
        <is>
          <t>avverkningsanmälan</t>
        </is>
      </c>
      <c r="C317" t="inlineStr">
        <is>
          <t>Föryngringsavverkning</t>
        </is>
      </c>
      <c r="D317" s="1" t="n">
        <v>45797</v>
      </c>
      <c r="E317" s="1" t="n">
        <v>46220</v>
      </c>
      <c r="F317" t="inlineStr">
        <is>
          <t>VÄRMLANDS LÄN</t>
        </is>
      </c>
      <c r="G317" t="inlineStr">
        <is>
          <t>ÅRJÄNG</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45876-2024</t>
        </is>
      </c>
      <c r="B318" t="inlineStr">
        <is>
          <t>avverkningsanmälan</t>
        </is>
      </c>
      <c r="C318" t="inlineStr">
        <is>
          <t>Föryngringsavverkning</t>
        </is>
      </c>
      <c r="D318" s="1" t="n">
        <v>45580</v>
      </c>
      <c r="E318" s="1" t="n">
        <v>46220</v>
      </c>
      <c r="F318" t="inlineStr">
        <is>
          <t>VÄRMLANDS LÄN</t>
        </is>
      </c>
      <c r="G318" t="inlineStr">
        <is>
          <t>ÅRJÄNG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365-2026</t>
        </is>
      </c>
      <c r="B319" t="inlineStr">
        <is>
          <t>avverkningsanmälan</t>
        </is>
      </c>
      <c r="C319" t="inlineStr">
        <is>
          <t>Föryngringsavverkning</t>
        </is>
      </c>
      <c r="D319" s="1" t="n">
        <v>46027</v>
      </c>
      <c r="E319" s="1" t="n">
        <v>46220</v>
      </c>
      <c r="F319" t="inlineStr">
        <is>
          <t>VÄRMLANDS LÄN</t>
        </is>
      </c>
      <c r="G319" t="inlineStr">
        <is>
          <t>ÅRJÄNG</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32367-2023</t>
        </is>
      </c>
      <c r="B320" t="inlineStr">
        <is>
          <t>avverkningsanmälan</t>
        </is>
      </c>
      <c r="C320" t="inlineStr">
        <is>
          <t>Föryngringsavverkning</t>
        </is>
      </c>
      <c r="D320" s="1" t="n">
        <v>45120</v>
      </c>
      <c r="E320" s="1" t="n">
        <v>46220</v>
      </c>
      <c r="F320" t="inlineStr">
        <is>
          <t>VÄRMLANDS LÄN</t>
        </is>
      </c>
      <c r="G320" t="inlineStr">
        <is>
          <t>ÅRJÄNG</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32373-2023</t>
        </is>
      </c>
      <c r="B321" t="inlineStr">
        <is>
          <t>avverkningsanmälan</t>
        </is>
      </c>
      <c r="C321" t="inlineStr">
        <is>
          <t>Föryngringsavverkning</t>
        </is>
      </c>
      <c r="D321" s="1" t="n">
        <v>45120</v>
      </c>
      <c r="E321" s="1" t="n">
        <v>46220</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11793-2023</t>
        </is>
      </c>
      <c r="B322" t="inlineStr">
        <is>
          <t>avverkningsanmälan</t>
        </is>
      </c>
      <c r="C322" t="inlineStr">
        <is>
          <t>Föryngringsavverkning</t>
        </is>
      </c>
      <c r="D322" s="1" t="n">
        <v>44993</v>
      </c>
      <c r="E322" s="1" t="n">
        <v>46220</v>
      </c>
      <c r="F322" t="inlineStr">
        <is>
          <t>VÄRMLANDS LÄN</t>
        </is>
      </c>
      <c r="G322" t="inlineStr">
        <is>
          <t>ÅRJÄNG</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41201-2024</t>
        </is>
      </c>
      <c r="B323" t="inlineStr">
        <is>
          <t>avverkningsanmälan</t>
        </is>
      </c>
      <c r="C323" t="inlineStr">
        <is>
          <t>Föryngringsavverkning</t>
        </is>
      </c>
      <c r="D323" s="1" t="n">
        <v>45559</v>
      </c>
      <c r="E323" s="1" t="n">
        <v>46220</v>
      </c>
      <c r="F323" t="inlineStr">
        <is>
          <t>VÄRMLANDS LÄN</t>
        </is>
      </c>
      <c r="G323" t="inlineStr">
        <is>
          <t>ÅRJÄNG</t>
        </is>
      </c>
      <c r="I323" t="n">
        <v>4.1</v>
      </c>
      <c r="J323" t="n">
        <v>0</v>
      </c>
      <c r="K323" t="n">
        <v>0</v>
      </c>
      <c r="L323" t="n">
        <v>0</v>
      </c>
      <c r="M323" t="n">
        <v>0</v>
      </c>
      <c r="N323" t="n">
        <v>0</v>
      </c>
      <c r="O323" t="n">
        <v>0</v>
      </c>
      <c r="P323" t="n">
        <v>0</v>
      </c>
      <c r="Q323" t="n">
        <v>0</v>
      </c>
      <c r="R323" t="n">
        <v>0</v>
      </c>
      <c r="S323" t="n">
        <v>0</v>
      </c>
      <c r="T323" t="n">
        <v>0</v>
      </c>
      <c r="U323" s="2" t="inlineStr"/>
    </row>
    <row r="324" ht="15" customHeight="1">
      <c r="A324" t="inlineStr">
        <is>
          <t>A 24983-2025</t>
        </is>
      </c>
      <c r="B324" t="inlineStr">
        <is>
          <t>avverkningsanmälan</t>
        </is>
      </c>
      <c r="C324" t="inlineStr">
        <is>
          <t>Föryngringsavverkning</t>
        </is>
      </c>
      <c r="D324" s="1" t="n">
        <v>45799</v>
      </c>
      <c r="E324" s="1" t="n">
        <v>46220</v>
      </c>
      <c r="F324" t="inlineStr">
        <is>
          <t>VÄRMLANDS LÄN</t>
        </is>
      </c>
      <c r="G324" t="inlineStr">
        <is>
          <t>ÅRJÄNG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397-2026</t>
        </is>
      </c>
      <c r="B325" t="inlineStr">
        <is>
          <t>avverkningsanmälan</t>
        </is>
      </c>
      <c r="C325" t="inlineStr">
        <is>
          <t>Föryngringsavverkning</t>
        </is>
      </c>
      <c r="D325" s="1" t="n">
        <v>46028</v>
      </c>
      <c r="E325" s="1" t="n">
        <v>46220</v>
      </c>
      <c r="F325" t="inlineStr">
        <is>
          <t>VÄRMLANDS LÄN</t>
        </is>
      </c>
      <c r="G325" t="inlineStr">
        <is>
          <t>ÅRJÄNG</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449-2026</t>
        </is>
      </c>
      <c r="B326" t="inlineStr">
        <is>
          <t>avverkningsanmälan</t>
        </is>
      </c>
      <c r="C326" t="inlineStr">
        <is>
          <t>Föryngringsavverkning</t>
        </is>
      </c>
      <c r="D326" s="1" t="n">
        <v>46029</v>
      </c>
      <c r="E326" s="1" t="n">
        <v>46220</v>
      </c>
      <c r="F326" t="inlineStr">
        <is>
          <t>VÄRMLANDS LÄN</t>
        </is>
      </c>
      <c r="G326" t="inlineStr">
        <is>
          <t>ÅRJÄNG</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483-2026</t>
        </is>
      </c>
      <c r="B327" t="inlineStr">
        <is>
          <t>avverkningsanmälan</t>
        </is>
      </c>
      <c r="C327" t="inlineStr">
        <is>
          <t>Föryngringsavverkning</t>
        </is>
      </c>
      <c r="D327" s="1" t="n">
        <v>46029</v>
      </c>
      <c r="E327" s="1" t="n">
        <v>46220</v>
      </c>
      <c r="F327" t="inlineStr">
        <is>
          <t>VÄRMLANDS LÄN</t>
        </is>
      </c>
      <c r="G327" t="inlineStr">
        <is>
          <t>ÅRJÄNG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486-2026</t>
        </is>
      </c>
      <c r="B328" t="inlineStr">
        <is>
          <t>avverkningsanmälan</t>
        </is>
      </c>
      <c r="C328" t="inlineStr">
        <is>
          <t>Föryngringsavverkning</t>
        </is>
      </c>
      <c r="D328" s="1" t="n">
        <v>46029</v>
      </c>
      <c r="E328" s="1" t="n">
        <v>46220</v>
      </c>
      <c r="F328" t="inlineStr">
        <is>
          <t>VÄRMLANDS LÄN</t>
        </is>
      </c>
      <c r="G328" t="inlineStr">
        <is>
          <t>ÅRJÄNG</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947-2026</t>
        </is>
      </c>
      <c r="B329" t="inlineStr">
        <is>
          <t>avverkningsanmälan</t>
        </is>
      </c>
      <c r="C329" t="inlineStr">
        <is>
          <t>Föryngringsavverkning</t>
        </is>
      </c>
      <c r="D329" s="1" t="n">
        <v>46030</v>
      </c>
      <c r="E329" s="1" t="n">
        <v>46220</v>
      </c>
      <c r="F329" t="inlineStr">
        <is>
          <t>VÄRMLANDS LÄN</t>
        </is>
      </c>
      <c r="G329" t="inlineStr">
        <is>
          <t>ÅRJÄNG</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1211-2026</t>
        </is>
      </c>
      <c r="B330" t="inlineStr">
        <is>
          <t>avverkningsanmälan</t>
        </is>
      </c>
      <c r="C330" t="inlineStr">
        <is>
          <t>Föryngringsavverkning</t>
        </is>
      </c>
      <c r="D330" s="1" t="n">
        <v>46030</v>
      </c>
      <c r="E330" s="1" t="n">
        <v>46220</v>
      </c>
      <c r="F330" t="inlineStr">
        <is>
          <t>VÄRMLANDS LÄN</t>
        </is>
      </c>
      <c r="G330" t="inlineStr">
        <is>
          <t>ÅRJÄNG</t>
        </is>
      </c>
      <c r="H330" t="inlineStr">
        <is>
          <t>Övriga Aktiebolag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1760-2026</t>
        </is>
      </c>
      <c r="B331" t="inlineStr">
        <is>
          <t>avverkningsanmälan</t>
        </is>
      </c>
      <c r="C331" t="inlineStr">
        <is>
          <t>Föryngringsavverkning</t>
        </is>
      </c>
      <c r="D331" s="1" t="n">
        <v>46030</v>
      </c>
      <c r="E331" s="1" t="n">
        <v>46220</v>
      </c>
      <c r="F331" t="inlineStr">
        <is>
          <t>VÄRMLANDS LÄN</t>
        </is>
      </c>
      <c r="G331" t="inlineStr">
        <is>
          <t>ÅRJÄNG</t>
        </is>
      </c>
      <c r="H331" t="inlineStr">
        <is>
          <t>Övriga Aktiebolag</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1257-2026</t>
        </is>
      </c>
      <c r="B332" t="inlineStr">
        <is>
          <t>avverkningsanmälan</t>
        </is>
      </c>
      <c r="C332" t="inlineStr">
        <is>
          <t>Föryngringsavverkning</t>
        </is>
      </c>
      <c r="D332" s="1" t="n">
        <v>46031</v>
      </c>
      <c r="E332" s="1" t="n">
        <v>46220</v>
      </c>
      <c r="F332" t="inlineStr">
        <is>
          <t>VÄRMLANDS LÄN</t>
        </is>
      </c>
      <c r="G332" t="inlineStr">
        <is>
          <t>ÅRJÄNG</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15951-2025</t>
        </is>
      </c>
      <c r="B333" t="inlineStr">
        <is>
          <t>avverkningsanmälan</t>
        </is>
      </c>
      <c r="C333" t="inlineStr">
        <is>
          <t>Föryngringsavverkning</t>
        </is>
      </c>
      <c r="D333" s="1" t="n">
        <v>45749</v>
      </c>
      <c r="E333" s="1" t="n">
        <v>46220</v>
      </c>
      <c r="F333" t="inlineStr">
        <is>
          <t>VÄRMLANDS LÄN</t>
        </is>
      </c>
      <c r="G333" t="inlineStr">
        <is>
          <t>ÅRJÄNG</t>
        </is>
      </c>
      <c r="H333" t="inlineStr">
        <is>
          <t>Bergvik skog väst AB</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951-2026</t>
        </is>
      </c>
      <c r="B334" t="inlineStr">
        <is>
          <t>avverkningsanmälan</t>
        </is>
      </c>
      <c r="C334" t="inlineStr">
        <is>
          <t>Föryngringsavverkning</t>
        </is>
      </c>
      <c r="D334" s="1" t="n">
        <v>46030</v>
      </c>
      <c r="E334" s="1" t="n">
        <v>46220</v>
      </c>
      <c r="F334" t="inlineStr">
        <is>
          <t>VÄRMLANDS LÄN</t>
        </is>
      </c>
      <c r="G334" t="inlineStr">
        <is>
          <t>ÅRJÄNG</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1324-2026</t>
        </is>
      </c>
      <c r="B335" t="inlineStr">
        <is>
          <t>avverkningsanmälan</t>
        </is>
      </c>
      <c r="C335" t="inlineStr">
        <is>
          <t>Föryngringsavverkning</t>
        </is>
      </c>
      <c r="D335" s="1" t="n">
        <v>46031</v>
      </c>
      <c r="E335" s="1" t="n">
        <v>46220</v>
      </c>
      <c r="F335" t="inlineStr">
        <is>
          <t>VÄRMLANDS LÄN</t>
        </is>
      </c>
      <c r="G335" t="inlineStr">
        <is>
          <t>ÅRJÄNG</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38742-2025</t>
        </is>
      </c>
      <c r="B336" t="inlineStr">
        <is>
          <t>avverkningsanmälan</t>
        </is>
      </c>
      <c r="C336" t="inlineStr">
        <is>
          <t>Föryngringsavverkning</t>
        </is>
      </c>
      <c r="D336" s="1" t="n">
        <v>45887</v>
      </c>
      <c r="E336" s="1" t="n">
        <v>46220</v>
      </c>
      <c r="F336" t="inlineStr">
        <is>
          <t>VÄRMLANDS LÄN</t>
        </is>
      </c>
      <c r="G336" t="inlineStr">
        <is>
          <t>ÅRJÄNG</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40458-2023</t>
        </is>
      </c>
      <c r="B337" t="inlineStr">
        <is>
          <t>avverkningsanmälan</t>
        </is>
      </c>
      <c r="C337" t="inlineStr">
        <is>
          <t>Föryngringsavverkning</t>
        </is>
      </c>
      <c r="D337" s="1" t="n">
        <v>45170</v>
      </c>
      <c r="E337" s="1" t="n">
        <v>46220</v>
      </c>
      <c r="F337" t="inlineStr">
        <is>
          <t>VÄRMLANDS LÄN</t>
        </is>
      </c>
      <c r="G337" t="inlineStr">
        <is>
          <t>ÅRJÄNG</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5342-2022</t>
        </is>
      </c>
      <c r="B338" t="inlineStr">
        <is>
          <t>avverkningsanmälan</t>
        </is>
      </c>
      <c r="C338" t="inlineStr">
        <is>
          <t>Föryngringsavverkning</t>
        </is>
      </c>
      <c r="D338" s="1" t="n">
        <v>44594</v>
      </c>
      <c r="E338" s="1" t="n">
        <v>46220</v>
      </c>
      <c r="F338" t="inlineStr">
        <is>
          <t>VÄRMLANDS LÄN</t>
        </is>
      </c>
      <c r="G338" t="inlineStr">
        <is>
          <t>ÅRJÄNG</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26781-2025</t>
        </is>
      </c>
      <c r="B339" t="inlineStr">
        <is>
          <t>avverkningsanmälan</t>
        </is>
      </c>
      <c r="C339" t="inlineStr">
        <is>
          <t>Föryngringsavverkning</t>
        </is>
      </c>
      <c r="D339" s="1" t="n">
        <v>45810</v>
      </c>
      <c r="E339" s="1" t="n">
        <v>46220</v>
      </c>
      <c r="F339" t="inlineStr">
        <is>
          <t>VÄRMLANDS LÄN</t>
        </is>
      </c>
      <c r="G339" t="inlineStr">
        <is>
          <t>ÅRJÄNG</t>
        </is>
      </c>
      <c r="I339" t="n">
        <v>4.2</v>
      </c>
      <c r="J339" t="n">
        <v>0</v>
      </c>
      <c r="K339" t="n">
        <v>0</v>
      </c>
      <c r="L339" t="n">
        <v>0</v>
      </c>
      <c r="M339" t="n">
        <v>0</v>
      </c>
      <c r="N339" t="n">
        <v>0</v>
      </c>
      <c r="O339" t="n">
        <v>0</v>
      </c>
      <c r="P339" t="n">
        <v>0</v>
      </c>
      <c r="Q339" t="n">
        <v>0</v>
      </c>
      <c r="R339" t="n">
        <v>0</v>
      </c>
      <c r="S339" t="n">
        <v>0</v>
      </c>
      <c r="T339" t="n">
        <v>0</v>
      </c>
      <c r="U339" s="2" t="inlineStr"/>
    </row>
    <row r="340" ht="15" customHeight="1">
      <c r="A340" t="inlineStr">
        <is>
          <t>A 1636-2026</t>
        </is>
      </c>
      <c r="B340" t="inlineStr">
        <is>
          <t>avverkningsanmälan</t>
        </is>
      </c>
      <c r="C340" t="inlineStr">
        <is>
          <t>Föryngringsavverkning</t>
        </is>
      </c>
      <c r="D340" s="1" t="n">
        <v>46034</v>
      </c>
      <c r="E340" s="1" t="n">
        <v>46220</v>
      </c>
      <c r="F340" t="inlineStr">
        <is>
          <t>VÄRMLANDS LÄN</t>
        </is>
      </c>
      <c r="G340" t="inlineStr">
        <is>
          <t>ÅRJÄNG</t>
        </is>
      </c>
      <c r="I340" t="n">
        <v>4.4</v>
      </c>
      <c r="J340" t="n">
        <v>0</v>
      </c>
      <c r="K340" t="n">
        <v>0</v>
      </c>
      <c r="L340" t="n">
        <v>0</v>
      </c>
      <c r="M340" t="n">
        <v>0</v>
      </c>
      <c r="N340" t="n">
        <v>0</v>
      </c>
      <c r="O340" t="n">
        <v>0</v>
      </c>
      <c r="P340" t="n">
        <v>0</v>
      </c>
      <c r="Q340" t="n">
        <v>0</v>
      </c>
      <c r="R340" t="n">
        <v>0</v>
      </c>
      <c r="S340" t="n">
        <v>0</v>
      </c>
      <c r="T340" t="n">
        <v>0</v>
      </c>
      <c r="U340" s="2" t="inlineStr"/>
    </row>
    <row r="341" ht="15" customHeight="1">
      <c r="A341" t="inlineStr">
        <is>
          <t>A 26258-2025</t>
        </is>
      </c>
      <c r="B341" t="inlineStr">
        <is>
          <t>avverkningsanmälan</t>
        </is>
      </c>
      <c r="C341" t="inlineStr">
        <is>
          <t>Föryngringsavverkning</t>
        </is>
      </c>
      <c r="D341" s="1" t="n">
        <v>45805</v>
      </c>
      <c r="E341" s="1" t="n">
        <v>46220</v>
      </c>
      <c r="F341" t="inlineStr">
        <is>
          <t>VÄRMLANDS LÄN</t>
        </is>
      </c>
      <c r="G341" t="inlineStr">
        <is>
          <t>ÅRJÄNG</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40360-2024</t>
        </is>
      </c>
      <c r="B342" t="inlineStr">
        <is>
          <t>avverkningsanmälan</t>
        </is>
      </c>
      <c r="C342" t="inlineStr">
        <is>
          <t>Föryngringsavverkning</t>
        </is>
      </c>
      <c r="D342" s="1" t="n">
        <v>45555</v>
      </c>
      <c r="E342" s="1" t="n">
        <v>46220</v>
      </c>
      <c r="F342" t="inlineStr">
        <is>
          <t>VÄRMLANDS LÄN</t>
        </is>
      </c>
      <c r="G342" t="inlineStr">
        <is>
          <t>ÅRJÄNG</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9425-2025</t>
        </is>
      </c>
      <c r="B343" t="inlineStr">
        <is>
          <t>avverkningsanmälan</t>
        </is>
      </c>
      <c r="C343" t="inlineStr">
        <is>
          <t>Föryngringsavverkning</t>
        </is>
      </c>
      <c r="D343" s="1" t="n">
        <v>45715</v>
      </c>
      <c r="E343" s="1" t="n">
        <v>46220</v>
      </c>
      <c r="F343" t="inlineStr">
        <is>
          <t>VÄRMLANDS LÄN</t>
        </is>
      </c>
      <c r="G343" t="inlineStr">
        <is>
          <t>ÅRJÄNG</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1936-2026</t>
        </is>
      </c>
      <c r="B344" t="inlineStr">
        <is>
          <t>avverkningsanmälan</t>
        </is>
      </c>
      <c r="C344" t="inlineStr">
        <is>
          <t>Föryngringsavverkning</t>
        </is>
      </c>
      <c r="D344" s="1" t="n">
        <v>46035</v>
      </c>
      <c r="E344" s="1" t="n">
        <v>46220</v>
      </c>
      <c r="F344" t="inlineStr">
        <is>
          <t>VÄRMLANDS LÄN</t>
        </is>
      </c>
      <c r="G344" t="inlineStr">
        <is>
          <t>ÅRJÄNG</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26434-2025</t>
        </is>
      </c>
      <c r="B345" t="inlineStr">
        <is>
          <t>avverkningsanmälan</t>
        </is>
      </c>
      <c r="C345" t="inlineStr">
        <is>
          <t>Föryngringsavverkning</t>
        </is>
      </c>
      <c r="D345" s="1" t="n">
        <v>45807</v>
      </c>
      <c r="E345" s="1" t="n">
        <v>46220</v>
      </c>
      <c r="F345" t="inlineStr">
        <is>
          <t>VÄRMLANDS LÄN</t>
        </is>
      </c>
      <c r="G345" t="inlineStr">
        <is>
          <t>ÅRJÄNG</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4865-2024</t>
        </is>
      </c>
      <c r="B346" t="inlineStr">
        <is>
          <t>avverkningsanmälan</t>
        </is>
      </c>
      <c r="C346" t="inlineStr">
        <is>
          <t>Föryngringsavverkning</t>
        </is>
      </c>
      <c r="D346" s="1" t="n">
        <v>45329</v>
      </c>
      <c r="E346" s="1" t="n">
        <v>46220</v>
      </c>
      <c r="F346" t="inlineStr">
        <is>
          <t>VÄRMLANDS LÄN</t>
        </is>
      </c>
      <c r="G346" t="inlineStr">
        <is>
          <t>ÅRJÄNG</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15323-2025</t>
        </is>
      </c>
      <c r="B347" t="inlineStr">
        <is>
          <t>avverkningsanmälan</t>
        </is>
      </c>
      <c r="C347" t="inlineStr">
        <is>
          <t>Föryngringsavverkning</t>
        </is>
      </c>
      <c r="D347" s="1" t="n">
        <v>45747</v>
      </c>
      <c r="E347" s="1" t="n">
        <v>46220</v>
      </c>
      <c r="F347" t="inlineStr">
        <is>
          <t>VÄRMLANDS LÄN</t>
        </is>
      </c>
      <c r="G347" t="inlineStr">
        <is>
          <t>ÅRJÄNG</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26959-2025</t>
        </is>
      </c>
      <c r="B348" t="inlineStr">
        <is>
          <t>avverkningsanmälan</t>
        </is>
      </c>
      <c r="C348" t="inlineStr">
        <is>
          <t>Föryngringsavverkning</t>
        </is>
      </c>
      <c r="D348" s="1" t="n">
        <v>45811</v>
      </c>
      <c r="E348" s="1" t="n">
        <v>46220</v>
      </c>
      <c r="F348" t="inlineStr">
        <is>
          <t>VÄRMLANDS LÄN</t>
        </is>
      </c>
      <c r="G348" t="inlineStr">
        <is>
          <t>ÅRJÄNG</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55432-2024</t>
        </is>
      </c>
      <c r="B349" t="inlineStr">
        <is>
          <t>avverkningsanmälan</t>
        </is>
      </c>
      <c r="C349" t="inlineStr">
        <is>
          <t>Föryngringsavverkning</t>
        </is>
      </c>
      <c r="D349" s="1" t="n">
        <v>45622</v>
      </c>
      <c r="E349" s="1" t="n">
        <v>46220</v>
      </c>
      <c r="F349" t="inlineStr">
        <is>
          <t>VÄRMLANDS LÄN</t>
        </is>
      </c>
      <c r="G349" t="inlineStr">
        <is>
          <t>ÅRJÄNG</t>
        </is>
      </c>
      <c r="I349" t="n">
        <v>6.9</v>
      </c>
      <c r="J349" t="n">
        <v>0</v>
      </c>
      <c r="K349" t="n">
        <v>0</v>
      </c>
      <c r="L349" t="n">
        <v>0</v>
      </c>
      <c r="M349" t="n">
        <v>0</v>
      </c>
      <c r="N349" t="n">
        <v>0</v>
      </c>
      <c r="O349" t="n">
        <v>0</v>
      </c>
      <c r="P349" t="n">
        <v>0</v>
      </c>
      <c r="Q349" t="n">
        <v>0</v>
      </c>
      <c r="R349" t="n">
        <v>0</v>
      </c>
      <c r="S349" t="n">
        <v>0</v>
      </c>
      <c r="T349" t="n">
        <v>0</v>
      </c>
      <c r="U349" s="2" t="inlineStr"/>
    </row>
    <row r="350" ht="15" customHeight="1">
      <c r="A350" t="inlineStr">
        <is>
          <t>A 39369-2025</t>
        </is>
      </c>
      <c r="B350" t="inlineStr">
        <is>
          <t>avverkningsanmälan</t>
        </is>
      </c>
      <c r="C350" t="inlineStr">
        <is>
          <t>Föryngringsavverkning</t>
        </is>
      </c>
      <c r="D350" s="1" t="n">
        <v>45889</v>
      </c>
      <c r="E350" s="1" t="n">
        <v>46220</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56348-2024</t>
        </is>
      </c>
      <c r="B351" t="inlineStr">
        <is>
          <t>avverkningsanmälan</t>
        </is>
      </c>
      <c r="C351" t="inlineStr">
        <is>
          <t>Föryngringsavverkning</t>
        </is>
      </c>
      <c r="D351" s="1" t="n">
        <v>45624</v>
      </c>
      <c r="E351" s="1" t="n">
        <v>46220</v>
      </c>
      <c r="F351" t="inlineStr">
        <is>
          <t>VÄRMLANDS LÄN</t>
        </is>
      </c>
      <c r="G351" t="inlineStr">
        <is>
          <t>ÅRJÄNG</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5319-2025</t>
        </is>
      </c>
      <c r="B352" t="inlineStr">
        <is>
          <t>avverkningsanmälan</t>
        </is>
      </c>
      <c r="C352" t="inlineStr">
        <is>
          <t>Föryngringsavverkning</t>
        </is>
      </c>
      <c r="D352" s="1" t="n">
        <v>45692</v>
      </c>
      <c r="E352" s="1" t="n">
        <v>46220</v>
      </c>
      <c r="F352" t="inlineStr">
        <is>
          <t>VÄRMLANDS LÄN</t>
        </is>
      </c>
      <c r="G352" t="inlineStr">
        <is>
          <t>ÅRJÄNG</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29570-2023</t>
        </is>
      </c>
      <c r="B353" t="inlineStr">
        <is>
          <t>avverkningsanmälan</t>
        </is>
      </c>
      <c r="C353" t="inlineStr">
        <is>
          <t>Föryngringsavverkning</t>
        </is>
      </c>
      <c r="D353" s="1" t="n">
        <v>45106</v>
      </c>
      <c r="E353" s="1" t="n">
        <v>46220</v>
      </c>
      <c r="F353" t="inlineStr">
        <is>
          <t>VÄRMLANDS LÄN</t>
        </is>
      </c>
      <c r="G353" t="inlineStr">
        <is>
          <t>ÅRJÄNG</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38840-2023</t>
        </is>
      </c>
      <c r="B354" t="inlineStr">
        <is>
          <t>avverkningsanmälan</t>
        </is>
      </c>
      <c r="C354" t="inlineStr">
        <is>
          <t>Föryngringsavverkning</t>
        </is>
      </c>
      <c r="D354" s="1" t="n">
        <v>45163</v>
      </c>
      <c r="E354" s="1" t="n">
        <v>46220</v>
      </c>
      <c r="F354" t="inlineStr">
        <is>
          <t>VÄRMLANDS LÄN</t>
        </is>
      </c>
      <c r="G354" t="inlineStr">
        <is>
          <t>ÅRJÄNG</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10126-2023</t>
        </is>
      </c>
      <c r="B355" t="inlineStr">
        <is>
          <t>avverkningsanmälan</t>
        </is>
      </c>
      <c r="C355" t="inlineStr">
        <is>
          <t>Föryngringsavverkning</t>
        </is>
      </c>
      <c r="D355" s="1" t="n">
        <v>44980</v>
      </c>
      <c r="E355" s="1" t="n">
        <v>46220</v>
      </c>
      <c r="F355" t="inlineStr">
        <is>
          <t>VÄRMLANDS LÄN</t>
        </is>
      </c>
      <c r="G355" t="inlineStr">
        <is>
          <t>ÅRJÄNG</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54437-2021</t>
        </is>
      </c>
      <c r="B356" t="inlineStr">
        <is>
          <t>avverkningsanmälan</t>
        </is>
      </c>
      <c r="C356" t="inlineStr">
        <is>
          <t>Föryngringsavverkning</t>
        </is>
      </c>
      <c r="D356" s="1" t="n">
        <v>44459</v>
      </c>
      <c r="E356" s="1" t="n">
        <v>46220</v>
      </c>
      <c r="F356" t="inlineStr">
        <is>
          <t>VÄRMLANDS LÄN</t>
        </is>
      </c>
      <c r="G356" t="inlineStr">
        <is>
          <t>ÅRJÄNG</t>
        </is>
      </c>
      <c r="I356" t="n">
        <v>3.5</v>
      </c>
      <c r="J356" t="n">
        <v>0</v>
      </c>
      <c r="K356" t="n">
        <v>0</v>
      </c>
      <c r="L356" t="n">
        <v>0</v>
      </c>
      <c r="M356" t="n">
        <v>0</v>
      </c>
      <c r="N356" t="n">
        <v>0</v>
      </c>
      <c r="O356" t="n">
        <v>0</v>
      </c>
      <c r="P356" t="n">
        <v>0</v>
      </c>
      <c r="Q356" t="n">
        <v>0</v>
      </c>
      <c r="R356" t="n">
        <v>0</v>
      </c>
      <c r="S356" t="n">
        <v>0</v>
      </c>
      <c r="T356" t="n">
        <v>0</v>
      </c>
      <c r="U356" s="2" t="inlineStr"/>
    </row>
    <row r="357" ht="15" customHeight="1">
      <c r="A357" t="inlineStr">
        <is>
          <t>A 26783-2024</t>
        </is>
      </c>
      <c r="B357" t="inlineStr">
        <is>
          <t>avverkningsanmälan</t>
        </is>
      </c>
      <c r="C357" t="inlineStr">
        <is>
          <t>Avverkning för annat ändamål</t>
        </is>
      </c>
      <c r="D357" s="1" t="n">
        <v>45470</v>
      </c>
      <c r="E357" s="1" t="n">
        <v>46220</v>
      </c>
      <c r="F357" t="inlineStr">
        <is>
          <t>VÄRMLANDS LÄN</t>
        </is>
      </c>
      <c r="G357" t="inlineStr">
        <is>
          <t>ÅRJÄNG</t>
        </is>
      </c>
      <c r="H357" t="inlineStr">
        <is>
          <t>Övriga Aktiebolag</t>
        </is>
      </c>
      <c r="I357" t="n">
        <v>1.6</v>
      </c>
      <c r="J357" t="n">
        <v>0</v>
      </c>
      <c r="K357" t="n">
        <v>0</v>
      </c>
      <c r="L357" t="n">
        <v>0</v>
      </c>
      <c r="M357" t="n">
        <v>0</v>
      </c>
      <c r="N357" t="n">
        <v>0</v>
      </c>
      <c r="O357" t="n">
        <v>0</v>
      </c>
      <c r="P357" t="n">
        <v>0</v>
      </c>
      <c r="Q357" t="n">
        <v>0</v>
      </c>
      <c r="R357" t="n">
        <v>0</v>
      </c>
      <c r="S357" t="n">
        <v>0</v>
      </c>
      <c r="T357" t="n">
        <v>0</v>
      </c>
      <c r="U357" s="2" t="inlineStr"/>
    </row>
    <row r="358" ht="15" customHeight="1">
      <c r="A358" t="inlineStr">
        <is>
          <t>A 43517-2024</t>
        </is>
      </c>
      <c r="B358" t="inlineStr">
        <is>
          <t>avverkningsanmälan</t>
        </is>
      </c>
      <c r="C358" t="inlineStr">
        <is>
          <t>Föryngringsavverkning</t>
        </is>
      </c>
      <c r="D358" s="1" t="n">
        <v>45569</v>
      </c>
      <c r="E358" s="1" t="n">
        <v>46220</v>
      </c>
      <c r="F358" t="inlineStr">
        <is>
          <t>VÄRMLANDS LÄN</t>
        </is>
      </c>
      <c r="G358" t="inlineStr">
        <is>
          <t>ÅRJÄNG</t>
        </is>
      </c>
      <c r="I358" t="n">
        <v>5.9</v>
      </c>
      <c r="J358" t="n">
        <v>0</v>
      </c>
      <c r="K358" t="n">
        <v>0</v>
      </c>
      <c r="L358" t="n">
        <v>0</v>
      </c>
      <c r="M358" t="n">
        <v>0</v>
      </c>
      <c r="N358" t="n">
        <v>0</v>
      </c>
      <c r="O358" t="n">
        <v>0</v>
      </c>
      <c r="P358" t="n">
        <v>0</v>
      </c>
      <c r="Q358" t="n">
        <v>0</v>
      </c>
      <c r="R358" t="n">
        <v>0</v>
      </c>
      <c r="S358" t="n">
        <v>0</v>
      </c>
      <c r="T358" t="n">
        <v>0</v>
      </c>
      <c r="U358" s="2" t="inlineStr"/>
    </row>
    <row r="359" ht="15" customHeight="1">
      <c r="A359" t="inlineStr">
        <is>
          <t>A 8146-2024</t>
        </is>
      </c>
      <c r="B359" t="inlineStr">
        <is>
          <t>avverkningsanmälan</t>
        </is>
      </c>
      <c r="C359" t="inlineStr">
        <is>
          <t>Föryngringsavverkning</t>
        </is>
      </c>
      <c r="D359" s="1" t="n">
        <v>45351</v>
      </c>
      <c r="E359" s="1" t="n">
        <v>46220</v>
      </c>
      <c r="F359" t="inlineStr">
        <is>
          <t>VÄRMLANDS LÄN</t>
        </is>
      </c>
      <c r="G359" t="inlineStr">
        <is>
          <t>ÅRJÄNG</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18718-2023</t>
        </is>
      </c>
      <c r="B360" t="inlineStr">
        <is>
          <t>avverkningsanmälan</t>
        </is>
      </c>
      <c r="C360" t="inlineStr">
        <is>
          <t>Föryngringsavverkning</t>
        </is>
      </c>
      <c r="D360" s="1" t="n">
        <v>45043</v>
      </c>
      <c r="E360" s="1" t="n">
        <v>46220</v>
      </c>
      <c r="F360" t="inlineStr">
        <is>
          <t>VÄRMLANDS LÄN</t>
        </is>
      </c>
      <c r="G360" t="inlineStr">
        <is>
          <t>ÅRJÄNG</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26728-2025</t>
        </is>
      </c>
      <c r="B361" t="inlineStr">
        <is>
          <t>avverkningsanmälan</t>
        </is>
      </c>
      <c r="C361" t="inlineStr">
        <is>
          <t>Föryngringsavverkning</t>
        </is>
      </c>
      <c r="D361" s="1" t="n">
        <v>45810</v>
      </c>
      <c r="E361" s="1" t="n">
        <v>46220</v>
      </c>
      <c r="F361" t="inlineStr">
        <is>
          <t>VÄRMLANDS LÄN</t>
        </is>
      </c>
      <c r="G361" t="inlineStr">
        <is>
          <t>ÅRJÄNG</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40219-2025</t>
        </is>
      </c>
      <c r="B362" t="inlineStr">
        <is>
          <t>avverkningsanmälan</t>
        </is>
      </c>
      <c r="C362" t="inlineStr">
        <is>
          <t>Föryngringsavverkning</t>
        </is>
      </c>
      <c r="D362" s="1" t="n">
        <v>45894</v>
      </c>
      <c r="E362" s="1" t="n">
        <v>46220</v>
      </c>
      <c r="F362" t="inlineStr">
        <is>
          <t>VÄRMLANDS LÄN</t>
        </is>
      </c>
      <c r="G362" t="inlineStr">
        <is>
          <t>ÅRJÄNG</t>
        </is>
      </c>
      <c r="H362" t="inlineStr">
        <is>
          <t>Bergvik skog väst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26998-2025</t>
        </is>
      </c>
      <c r="B363" t="inlineStr">
        <is>
          <t>avverkningsanmälan</t>
        </is>
      </c>
      <c r="C363" t="inlineStr">
        <is>
          <t>Föryngringsavverkning</t>
        </is>
      </c>
      <c r="D363" s="1" t="n">
        <v>45811</v>
      </c>
      <c r="E363" s="1" t="n">
        <v>46220</v>
      </c>
      <c r="F363" t="inlineStr">
        <is>
          <t>VÄRMLANDS LÄN</t>
        </is>
      </c>
      <c r="G363" t="inlineStr">
        <is>
          <t>ÅRJÄNG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40449-2025</t>
        </is>
      </c>
      <c r="B364" t="inlineStr">
        <is>
          <t>avverkningsanmälan</t>
        </is>
      </c>
      <c r="C364" t="inlineStr">
        <is>
          <t>Föryngringsavverkning</t>
        </is>
      </c>
      <c r="D364" s="1" t="n">
        <v>45895</v>
      </c>
      <c r="E364" s="1" t="n">
        <v>46220</v>
      </c>
      <c r="F364" t="inlineStr">
        <is>
          <t>VÄRMLANDS LÄN</t>
        </is>
      </c>
      <c r="G364" t="inlineStr">
        <is>
          <t>ÅRJÄNG</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4137-2025</t>
        </is>
      </c>
      <c r="B365" t="inlineStr">
        <is>
          <t>avverkningsanmälan</t>
        </is>
      </c>
      <c r="C365" t="inlineStr">
        <is>
          <t>Föryngringsavverkning</t>
        </is>
      </c>
      <c r="D365" s="1" t="n">
        <v>45685</v>
      </c>
      <c r="E365" s="1" t="n">
        <v>46220</v>
      </c>
      <c r="F365" t="inlineStr">
        <is>
          <t>VÄRMLANDS LÄN</t>
        </is>
      </c>
      <c r="G365" t="inlineStr">
        <is>
          <t>ÅRJÄNG</t>
        </is>
      </c>
      <c r="I365" t="n">
        <v>3.3</v>
      </c>
      <c r="J365" t="n">
        <v>0</v>
      </c>
      <c r="K365" t="n">
        <v>0</v>
      </c>
      <c r="L365" t="n">
        <v>0</v>
      </c>
      <c r="M365" t="n">
        <v>0</v>
      </c>
      <c r="N365" t="n">
        <v>0</v>
      </c>
      <c r="O365" t="n">
        <v>0</v>
      </c>
      <c r="P365" t="n">
        <v>0</v>
      </c>
      <c r="Q365" t="n">
        <v>0</v>
      </c>
      <c r="R365" t="n">
        <v>0</v>
      </c>
      <c r="S365" t="n">
        <v>0</v>
      </c>
      <c r="T365" t="n">
        <v>0</v>
      </c>
      <c r="U365" s="2" t="inlineStr"/>
    </row>
    <row r="366" ht="15" customHeight="1">
      <c r="A366" t="inlineStr">
        <is>
          <t>A 12840-2025</t>
        </is>
      </c>
      <c r="B366" t="inlineStr">
        <is>
          <t>avverkningsanmälan</t>
        </is>
      </c>
      <c r="C366" t="inlineStr">
        <is>
          <t>Avverkning för annat ändamål</t>
        </is>
      </c>
      <c r="D366" s="1" t="n">
        <v>45733</v>
      </c>
      <c r="E366" s="1" t="n">
        <v>46220</v>
      </c>
      <c r="F366" t="inlineStr">
        <is>
          <t>VÄRMLANDS LÄN</t>
        </is>
      </c>
      <c r="G366" t="inlineStr">
        <is>
          <t>ÅRJÄNG</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24789-2024</t>
        </is>
      </c>
      <c r="B367" t="inlineStr">
        <is>
          <t>avverkningsanmälan</t>
        </is>
      </c>
      <c r="C367" t="inlineStr">
        <is>
          <t>Föryngringsavverkning</t>
        </is>
      </c>
      <c r="D367" s="1" t="n">
        <v>45460</v>
      </c>
      <c r="E367" s="1" t="n">
        <v>46220</v>
      </c>
      <c r="F367" t="inlineStr">
        <is>
          <t>VÄRMLANDS LÄN</t>
        </is>
      </c>
      <c r="G367" t="inlineStr">
        <is>
          <t>ÅRJÄNG</t>
        </is>
      </c>
      <c r="I367" t="n">
        <v>1.7</v>
      </c>
      <c r="J367" t="n">
        <v>0</v>
      </c>
      <c r="K367" t="n">
        <v>0</v>
      </c>
      <c r="L367" t="n">
        <v>0</v>
      </c>
      <c r="M367" t="n">
        <v>0</v>
      </c>
      <c r="N367" t="n">
        <v>0</v>
      </c>
      <c r="O367" t="n">
        <v>0</v>
      </c>
      <c r="P367" t="n">
        <v>0</v>
      </c>
      <c r="Q367" t="n">
        <v>0</v>
      </c>
      <c r="R367" t="n">
        <v>0</v>
      </c>
      <c r="S367" t="n">
        <v>0</v>
      </c>
      <c r="T367" t="n">
        <v>0</v>
      </c>
      <c r="U367" s="2" t="inlineStr"/>
    </row>
    <row r="368" ht="15" customHeight="1">
      <c r="A368" t="inlineStr">
        <is>
          <t>A 32778-2024</t>
        </is>
      </c>
      <c r="B368" t="inlineStr">
        <is>
          <t>avverkningsanmälan</t>
        </is>
      </c>
      <c r="C368" t="inlineStr">
        <is>
          <t>Föryngringsavverkning</t>
        </is>
      </c>
      <c r="D368" s="1" t="n">
        <v>45516</v>
      </c>
      <c r="E368" s="1" t="n">
        <v>46220</v>
      </c>
      <c r="F368" t="inlineStr">
        <is>
          <t>VÄRMLANDS LÄN</t>
        </is>
      </c>
      <c r="G368" t="inlineStr">
        <is>
          <t>ÅRJÄNG</t>
        </is>
      </c>
      <c r="I368" t="n">
        <v>2.8</v>
      </c>
      <c r="J368" t="n">
        <v>0</v>
      </c>
      <c r="K368" t="n">
        <v>0</v>
      </c>
      <c r="L368" t="n">
        <v>0</v>
      </c>
      <c r="M368" t="n">
        <v>0</v>
      </c>
      <c r="N368" t="n">
        <v>0</v>
      </c>
      <c r="O368" t="n">
        <v>0</v>
      </c>
      <c r="P368" t="n">
        <v>0</v>
      </c>
      <c r="Q368" t="n">
        <v>0</v>
      </c>
      <c r="R368" t="n">
        <v>0</v>
      </c>
      <c r="S368" t="n">
        <v>0</v>
      </c>
      <c r="T368" t="n">
        <v>0</v>
      </c>
      <c r="U368" s="2" t="inlineStr"/>
    </row>
    <row r="369" ht="15" customHeight="1">
      <c r="A369" t="inlineStr">
        <is>
          <t>A 51265-2024</t>
        </is>
      </c>
      <c r="B369" t="inlineStr">
        <is>
          <t>avverkningsanmälan</t>
        </is>
      </c>
      <c r="C369" t="inlineStr">
        <is>
          <t>Föryngringsavverkning</t>
        </is>
      </c>
      <c r="D369" s="1" t="n">
        <v>45602</v>
      </c>
      <c r="E369" s="1" t="n">
        <v>46220</v>
      </c>
      <c r="F369" t="inlineStr">
        <is>
          <t>VÄRMLANDS LÄN</t>
        </is>
      </c>
      <c r="G369" t="inlineStr">
        <is>
          <t>ÅRJÄNG</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40232-2025</t>
        </is>
      </c>
      <c r="B370" t="inlineStr">
        <is>
          <t>avverkningsanmälan</t>
        </is>
      </c>
      <c r="C370" t="inlineStr">
        <is>
          <t>Föryngringsavverkning</t>
        </is>
      </c>
      <c r="D370" s="1" t="n">
        <v>45894</v>
      </c>
      <c r="E370" s="1" t="n">
        <v>46220</v>
      </c>
      <c r="F370" t="inlineStr">
        <is>
          <t>VÄRMLANDS LÄN</t>
        </is>
      </c>
      <c r="G370" t="inlineStr">
        <is>
          <t>ÅRJÄNG</t>
        </is>
      </c>
      <c r="H370" t="inlineStr">
        <is>
          <t>Bergvik skog väst AB</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40699-2025</t>
        </is>
      </c>
      <c r="B371" t="inlineStr">
        <is>
          <t>avverkningsanmälan</t>
        </is>
      </c>
      <c r="C371" t="inlineStr">
        <is>
          <t>Föryngringsavverkning</t>
        </is>
      </c>
      <c r="D371" s="1" t="n">
        <v>45897</v>
      </c>
      <c r="E371" s="1" t="n">
        <v>46220</v>
      </c>
      <c r="F371" t="inlineStr">
        <is>
          <t>VÄRMLANDS LÄN</t>
        </is>
      </c>
      <c r="G371" t="inlineStr">
        <is>
          <t>ÅRJÄNG</t>
        </is>
      </c>
      <c r="H371" t="inlineStr">
        <is>
          <t>Bergvik skog väst AB</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8357-2025</t>
        </is>
      </c>
      <c r="B372" t="inlineStr">
        <is>
          <t>avverkningsanmälan</t>
        </is>
      </c>
      <c r="C372" t="inlineStr">
        <is>
          <t>Föryngringsavverkning</t>
        </is>
      </c>
      <c r="D372" s="1" t="n">
        <v>45708</v>
      </c>
      <c r="E372" s="1" t="n">
        <v>46220</v>
      </c>
      <c r="F372" t="inlineStr">
        <is>
          <t>VÄRMLANDS LÄN</t>
        </is>
      </c>
      <c r="G372" t="inlineStr">
        <is>
          <t>ÅRJÄNG</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10321-2025</t>
        </is>
      </c>
      <c r="B373" t="inlineStr">
        <is>
          <t>avverkningsanmälan</t>
        </is>
      </c>
      <c r="C373" t="inlineStr">
        <is>
          <t>Avverkning för annat ändamål</t>
        </is>
      </c>
      <c r="D373" s="1" t="n">
        <v>45720</v>
      </c>
      <c r="E373" s="1" t="n">
        <v>46220</v>
      </c>
      <c r="F373" t="inlineStr">
        <is>
          <t>VÄRMLANDS LÄN</t>
        </is>
      </c>
      <c r="G373" t="inlineStr">
        <is>
          <t>ÅRJÄNG</t>
        </is>
      </c>
      <c r="I373" t="n">
        <v>3.4</v>
      </c>
      <c r="J373" t="n">
        <v>0</v>
      </c>
      <c r="K373" t="n">
        <v>0</v>
      </c>
      <c r="L373" t="n">
        <v>0</v>
      </c>
      <c r="M373" t="n">
        <v>0</v>
      </c>
      <c r="N373" t="n">
        <v>0</v>
      </c>
      <c r="O373" t="n">
        <v>0</v>
      </c>
      <c r="P373" t="n">
        <v>0</v>
      </c>
      <c r="Q373" t="n">
        <v>0</v>
      </c>
      <c r="R373" t="n">
        <v>0</v>
      </c>
      <c r="S373" t="n">
        <v>0</v>
      </c>
      <c r="T373" t="n">
        <v>0</v>
      </c>
      <c r="U373" s="2" t="inlineStr"/>
    </row>
    <row r="374" ht="15" customHeight="1">
      <c r="A374" t="inlineStr">
        <is>
          <t>A 40602-2025</t>
        </is>
      </c>
      <c r="B374" t="inlineStr">
        <is>
          <t>avverkningsanmälan</t>
        </is>
      </c>
      <c r="C374" t="inlineStr">
        <is>
          <t>Föryngringsavverkning</t>
        </is>
      </c>
      <c r="D374" s="1" t="n">
        <v>45896</v>
      </c>
      <c r="E374" s="1" t="n">
        <v>46220</v>
      </c>
      <c r="F374" t="inlineStr">
        <is>
          <t>VÄRMLANDS LÄN</t>
        </is>
      </c>
      <c r="G374" t="inlineStr">
        <is>
          <t>ÅRJÄNG</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17361-2022</t>
        </is>
      </c>
      <c r="B375" t="inlineStr">
        <is>
          <t>avverkningsanmälan</t>
        </is>
      </c>
      <c r="C375" t="inlineStr">
        <is>
          <t>Föryngringsavverkning</t>
        </is>
      </c>
      <c r="D375" s="1" t="n">
        <v>44678</v>
      </c>
      <c r="E375" s="1" t="n">
        <v>46220</v>
      </c>
      <c r="F375" t="inlineStr">
        <is>
          <t>VÄRMLANDS LÄN</t>
        </is>
      </c>
      <c r="G375" t="inlineStr">
        <is>
          <t>ÅRJÄNG</t>
        </is>
      </c>
      <c r="I375" t="n">
        <v>5.7</v>
      </c>
      <c r="J375" t="n">
        <v>0</v>
      </c>
      <c r="K375" t="n">
        <v>0</v>
      </c>
      <c r="L375" t="n">
        <v>0</v>
      </c>
      <c r="M375" t="n">
        <v>0</v>
      </c>
      <c r="N375" t="n">
        <v>0</v>
      </c>
      <c r="O375" t="n">
        <v>0</v>
      </c>
      <c r="P375" t="n">
        <v>0</v>
      </c>
      <c r="Q375" t="n">
        <v>0</v>
      </c>
      <c r="R375" t="n">
        <v>0</v>
      </c>
      <c r="S375" t="n">
        <v>0</v>
      </c>
      <c r="T375" t="n">
        <v>0</v>
      </c>
      <c r="U375" s="2" t="inlineStr"/>
    </row>
    <row r="376" ht="15" customHeight="1">
      <c r="A376" t="inlineStr">
        <is>
          <t>A 29792-2022</t>
        </is>
      </c>
      <c r="B376" t="inlineStr">
        <is>
          <t>avverkningsanmälan</t>
        </is>
      </c>
      <c r="C376" t="inlineStr">
        <is>
          <t>Föryngringsavverkning</t>
        </is>
      </c>
      <c r="D376" s="1" t="n">
        <v>44755</v>
      </c>
      <c r="E376" s="1" t="n">
        <v>46220</v>
      </c>
      <c r="F376" t="inlineStr">
        <is>
          <t>VÄRMLANDS LÄN</t>
        </is>
      </c>
      <c r="G376" t="inlineStr">
        <is>
          <t>ÅRJÄNG</t>
        </is>
      </c>
      <c r="I376" t="n">
        <v>1.9</v>
      </c>
      <c r="J376" t="n">
        <v>0</v>
      </c>
      <c r="K376" t="n">
        <v>0</v>
      </c>
      <c r="L376" t="n">
        <v>0</v>
      </c>
      <c r="M376" t="n">
        <v>0</v>
      </c>
      <c r="N376" t="n">
        <v>0</v>
      </c>
      <c r="O376" t="n">
        <v>0</v>
      </c>
      <c r="P376" t="n">
        <v>0</v>
      </c>
      <c r="Q376" t="n">
        <v>0</v>
      </c>
      <c r="R376" t="n">
        <v>0</v>
      </c>
      <c r="S376" t="n">
        <v>0</v>
      </c>
      <c r="T376" t="n">
        <v>0</v>
      </c>
      <c r="U376" s="2" t="inlineStr"/>
    </row>
    <row r="377" ht="15" customHeight="1">
      <c r="A377" t="inlineStr">
        <is>
          <t>A 60909-2024</t>
        </is>
      </c>
      <c r="B377" t="inlineStr">
        <is>
          <t>avverkningsanmälan</t>
        </is>
      </c>
      <c r="C377" t="inlineStr">
        <is>
          <t>Föryngringsavverkning</t>
        </is>
      </c>
      <c r="D377" s="1" t="n">
        <v>45645</v>
      </c>
      <c r="E377" s="1" t="n">
        <v>46220</v>
      </c>
      <c r="F377" t="inlineStr">
        <is>
          <t>VÄRMLANDS LÄN</t>
        </is>
      </c>
      <c r="G377" t="inlineStr">
        <is>
          <t>ÅRJÄNG</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24964-2025</t>
        </is>
      </c>
      <c r="B378" t="inlineStr">
        <is>
          <t>avverkningsanmälan</t>
        </is>
      </c>
      <c r="C378" t="inlineStr">
        <is>
          <t>Föryngringsavverkning</t>
        </is>
      </c>
      <c r="D378" s="1" t="n">
        <v>45799</v>
      </c>
      <c r="E378" s="1" t="n">
        <v>46220</v>
      </c>
      <c r="F378" t="inlineStr">
        <is>
          <t>VÄRMLANDS LÄN</t>
        </is>
      </c>
      <c r="G378" t="inlineStr">
        <is>
          <t>ÅRJÄNG</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41488-2025</t>
        </is>
      </c>
      <c r="B379" t="inlineStr">
        <is>
          <t>avverkningsanmälan</t>
        </is>
      </c>
      <c r="C379" t="inlineStr">
        <is>
          <t>Föryngringsavverkning</t>
        </is>
      </c>
      <c r="D379" s="1" t="n">
        <v>45901</v>
      </c>
      <c r="E379" s="1" t="n">
        <v>46220</v>
      </c>
      <c r="F379" t="inlineStr">
        <is>
          <t>VÄRMLANDS LÄN</t>
        </is>
      </c>
      <c r="G379" t="inlineStr">
        <is>
          <t>ÅRJÄNG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41229-2025</t>
        </is>
      </c>
      <c r="B380" t="inlineStr">
        <is>
          <t>avverkningsanmälan</t>
        </is>
      </c>
      <c r="C380" t="inlineStr">
        <is>
          <t>Föryngringsavverkning</t>
        </is>
      </c>
      <c r="D380" s="1" t="n">
        <v>45898</v>
      </c>
      <c r="E380" s="1" t="n">
        <v>46220</v>
      </c>
      <c r="F380" t="inlineStr">
        <is>
          <t>VÄRMLANDS LÄN</t>
        </is>
      </c>
      <c r="G380" t="inlineStr">
        <is>
          <t>ÅRJÄNG</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27247-2025</t>
        </is>
      </c>
      <c r="B381" t="inlineStr">
        <is>
          <t>avverkningsanmälan</t>
        </is>
      </c>
      <c r="C381" t="inlineStr">
        <is>
          <t>Föryngringsavverkning</t>
        </is>
      </c>
      <c r="D381" s="1" t="n">
        <v>45812</v>
      </c>
      <c r="E381" s="1" t="n">
        <v>46220</v>
      </c>
      <c r="F381" t="inlineStr">
        <is>
          <t>VÄRMLANDS LÄN</t>
        </is>
      </c>
      <c r="G381" t="inlineStr">
        <is>
          <t>ÅRJÄNG</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11401-2025</t>
        </is>
      </c>
      <c r="B382" t="inlineStr">
        <is>
          <t>avverkningsanmälan</t>
        </is>
      </c>
      <c r="C382" t="inlineStr">
        <is>
          <t>Föryngringsavverkning</t>
        </is>
      </c>
      <c r="D382" s="1" t="n">
        <v>45726</v>
      </c>
      <c r="E382" s="1" t="n">
        <v>46220</v>
      </c>
      <c r="F382" t="inlineStr">
        <is>
          <t>VÄRMLANDS LÄN</t>
        </is>
      </c>
      <c r="G382" t="inlineStr">
        <is>
          <t>ÅRJÄNG</t>
        </is>
      </c>
      <c r="I382" t="n">
        <v>0.4</v>
      </c>
      <c r="J382" t="n">
        <v>0</v>
      </c>
      <c r="K382" t="n">
        <v>0</v>
      </c>
      <c r="L382" t="n">
        <v>0</v>
      </c>
      <c r="M382" t="n">
        <v>0</v>
      </c>
      <c r="N382" t="n">
        <v>0</v>
      </c>
      <c r="O382" t="n">
        <v>0</v>
      </c>
      <c r="P382" t="n">
        <v>0</v>
      </c>
      <c r="Q382" t="n">
        <v>0</v>
      </c>
      <c r="R382" t="n">
        <v>0</v>
      </c>
      <c r="S382" t="n">
        <v>0</v>
      </c>
      <c r="T382" t="n">
        <v>0</v>
      </c>
      <c r="U382" s="2" t="inlineStr"/>
    </row>
    <row r="383" ht="15" customHeight="1">
      <c r="A383" t="inlineStr">
        <is>
          <t>A 61764-2022</t>
        </is>
      </c>
      <c r="B383" t="inlineStr">
        <is>
          <t>avverkningsanmälan</t>
        </is>
      </c>
      <c r="C383" t="inlineStr">
        <is>
          <t>Föryngringsavverkning</t>
        </is>
      </c>
      <c r="D383" s="1" t="n">
        <v>44911</v>
      </c>
      <c r="E383" s="1" t="n">
        <v>46220</v>
      </c>
      <c r="F383" t="inlineStr">
        <is>
          <t>VÄRMLANDS LÄN</t>
        </is>
      </c>
      <c r="G383" t="inlineStr">
        <is>
          <t>ÅRJÄNG</t>
        </is>
      </c>
      <c r="H383" t="inlineStr">
        <is>
          <t>Övriga Aktiebolag</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4189-2025</t>
        </is>
      </c>
      <c r="B384" t="inlineStr">
        <is>
          <t>avverkningsanmälan</t>
        </is>
      </c>
      <c r="C384" t="inlineStr">
        <is>
          <t>Föryngringsavverkning</t>
        </is>
      </c>
      <c r="D384" s="1" t="n">
        <v>45685</v>
      </c>
      <c r="E384" s="1" t="n">
        <v>46220</v>
      </c>
      <c r="F384" t="inlineStr">
        <is>
          <t>VÄRMLANDS LÄN</t>
        </is>
      </c>
      <c r="G384" t="inlineStr">
        <is>
          <t>ÅRJÄNG</t>
        </is>
      </c>
      <c r="I384" t="n">
        <v>3.1</v>
      </c>
      <c r="J384" t="n">
        <v>0</v>
      </c>
      <c r="K384" t="n">
        <v>0</v>
      </c>
      <c r="L384" t="n">
        <v>0</v>
      </c>
      <c r="M384" t="n">
        <v>0</v>
      </c>
      <c r="N384" t="n">
        <v>0</v>
      </c>
      <c r="O384" t="n">
        <v>0</v>
      </c>
      <c r="P384" t="n">
        <v>0</v>
      </c>
      <c r="Q384" t="n">
        <v>0</v>
      </c>
      <c r="R384" t="n">
        <v>0</v>
      </c>
      <c r="S384" t="n">
        <v>0</v>
      </c>
      <c r="T384" t="n">
        <v>0</v>
      </c>
      <c r="U384" s="2" t="inlineStr"/>
    </row>
    <row r="385" ht="15" customHeight="1">
      <c r="A385" t="inlineStr">
        <is>
          <t>A 41467-2025</t>
        </is>
      </c>
      <c r="B385" t="inlineStr">
        <is>
          <t>avverkningsanmälan</t>
        </is>
      </c>
      <c r="C385" t="inlineStr">
        <is>
          <t>Föryngringsavverkning</t>
        </is>
      </c>
      <c r="D385" s="1" t="n">
        <v>45901</v>
      </c>
      <c r="E385" s="1" t="n">
        <v>46220</v>
      </c>
      <c r="F385" t="inlineStr">
        <is>
          <t>VÄRMLANDS LÄN</t>
        </is>
      </c>
      <c r="G385" t="inlineStr">
        <is>
          <t>ÅRJÄNG</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62720-2023</t>
        </is>
      </c>
      <c r="B386" t="inlineStr">
        <is>
          <t>avverkningsanmälan</t>
        </is>
      </c>
      <c r="C386" t="inlineStr">
        <is>
          <t>Föryngringsavverkning</t>
        </is>
      </c>
      <c r="D386" s="1" t="n">
        <v>45271</v>
      </c>
      <c r="E386" s="1" t="n">
        <v>46220</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4408-2025</t>
        </is>
      </c>
      <c r="B387" t="inlineStr">
        <is>
          <t>avverkningsanmälan</t>
        </is>
      </c>
      <c r="C387" t="inlineStr">
        <is>
          <t>Föryngringsavverkning</t>
        </is>
      </c>
      <c r="D387" s="1" t="n">
        <v>45686</v>
      </c>
      <c r="E387" s="1" t="n">
        <v>46220</v>
      </c>
      <c r="F387" t="inlineStr">
        <is>
          <t>VÄRMLANDS LÄN</t>
        </is>
      </c>
      <c r="G387" t="inlineStr">
        <is>
          <t>ÅRJÄNG</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17426-2025</t>
        </is>
      </c>
      <c r="B388" t="inlineStr">
        <is>
          <t>avverkningsanmälan</t>
        </is>
      </c>
      <c r="C388" t="inlineStr">
        <is>
          <t>Föryngringsavverkning</t>
        </is>
      </c>
      <c r="D388" s="1" t="n">
        <v>45757</v>
      </c>
      <c r="E388" s="1" t="n">
        <v>46220</v>
      </c>
      <c r="F388" t="inlineStr">
        <is>
          <t>VÄRMLANDS LÄN</t>
        </is>
      </c>
      <c r="G388" t="inlineStr">
        <is>
          <t>ÅRJÄNG</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24216-2024</t>
        </is>
      </c>
      <c r="B389" t="inlineStr">
        <is>
          <t>avverkningsanmälan</t>
        </is>
      </c>
      <c r="C389" t="inlineStr">
        <is>
          <t>Föryngringsavverkning</t>
        </is>
      </c>
      <c r="D389" s="1" t="n">
        <v>45457</v>
      </c>
      <c r="E389" s="1" t="n">
        <v>46220</v>
      </c>
      <c r="F389" t="inlineStr">
        <is>
          <t>VÄRMLANDS LÄN</t>
        </is>
      </c>
      <c r="G389" t="inlineStr">
        <is>
          <t>ÅRJÄNG</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28554-2025</t>
        </is>
      </c>
      <c r="B390" t="inlineStr">
        <is>
          <t>avverkningsanmälan</t>
        </is>
      </c>
      <c r="C390" t="inlineStr">
        <is>
          <t>Föryngringsavverkning</t>
        </is>
      </c>
      <c r="D390" s="1" t="n">
        <v>45819</v>
      </c>
      <c r="E390" s="1" t="n">
        <v>46220</v>
      </c>
      <c r="F390" t="inlineStr">
        <is>
          <t>VÄRMLANDS LÄN</t>
        </is>
      </c>
      <c r="G390" t="inlineStr">
        <is>
          <t>ÅRJÄNG</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40366-2022</t>
        </is>
      </c>
      <c r="B391" t="inlineStr">
        <is>
          <t>avverkningsanmälan</t>
        </is>
      </c>
      <c r="C391" t="inlineStr">
        <is>
          <t>Föryngringsavverkning</t>
        </is>
      </c>
      <c r="D391" s="1" t="n">
        <v>44823</v>
      </c>
      <c r="E391" s="1" t="n">
        <v>46220</v>
      </c>
      <c r="F391" t="inlineStr">
        <is>
          <t>VÄRMLANDS LÄN</t>
        </is>
      </c>
      <c r="G391" t="inlineStr">
        <is>
          <t>ÅRJÄNG</t>
        </is>
      </c>
      <c r="I391" t="n">
        <v>3.2</v>
      </c>
      <c r="J391" t="n">
        <v>0</v>
      </c>
      <c r="K391" t="n">
        <v>0</v>
      </c>
      <c r="L391" t="n">
        <v>0</v>
      </c>
      <c r="M391" t="n">
        <v>0</v>
      </c>
      <c r="N391" t="n">
        <v>0</v>
      </c>
      <c r="O391" t="n">
        <v>0</v>
      </c>
      <c r="P391" t="n">
        <v>0</v>
      </c>
      <c r="Q391" t="n">
        <v>0</v>
      </c>
      <c r="R391" t="n">
        <v>0</v>
      </c>
      <c r="S391" t="n">
        <v>0</v>
      </c>
      <c r="T391" t="n">
        <v>0</v>
      </c>
      <c r="U391" s="2" t="inlineStr"/>
    </row>
    <row r="392" ht="15" customHeight="1">
      <c r="A392" t="inlineStr">
        <is>
          <t>A 37347-2024</t>
        </is>
      </c>
      <c r="B392" t="inlineStr">
        <is>
          <t>avverkningsanmälan</t>
        </is>
      </c>
      <c r="C392" t="inlineStr">
        <is>
          <t>Föryngringsavverkning</t>
        </is>
      </c>
      <c r="D392" s="1" t="n">
        <v>45540</v>
      </c>
      <c r="E392" s="1" t="n">
        <v>46220</v>
      </c>
      <c r="F392" t="inlineStr">
        <is>
          <t>VÄRMLANDS LÄN</t>
        </is>
      </c>
      <c r="G392" t="inlineStr">
        <is>
          <t>ÅRJÄNG</t>
        </is>
      </c>
      <c r="I392" t="n">
        <v>1.9</v>
      </c>
      <c r="J392" t="n">
        <v>0</v>
      </c>
      <c r="K392" t="n">
        <v>0</v>
      </c>
      <c r="L392" t="n">
        <v>0</v>
      </c>
      <c r="M392" t="n">
        <v>0</v>
      </c>
      <c r="N392" t="n">
        <v>0</v>
      </c>
      <c r="O392" t="n">
        <v>0</v>
      </c>
      <c r="P392" t="n">
        <v>0</v>
      </c>
      <c r="Q392" t="n">
        <v>0</v>
      </c>
      <c r="R392" t="n">
        <v>0</v>
      </c>
      <c r="S392" t="n">
        <v>0</v>
      </c>
      <c r="T392" t="n">
        <v>0</v>
      </c>
      <c r="U392" s="2" t="inlineStr"/>
    </row>
    <row r="393" ht="15" customHeight="1">
      <c r="A393" t="inlineStr">
        <is>
          <t>A 3848-2025</t>
        </is>
      </c>
      <c r="B393" t="inlineStr">
        <is>
          <t>avverkningsanmälan</t>
        </is>
      </c>
      <c r="C393" t="inlineStr">
        <is>
          <t>Föryngringsavverkning</t>
        </is>
      </c>
      <c r="D393" s="1" t="n">
        <v>45683</v>
      </c>
      <c r="E393" s="1" t="n">
        <v>46220</v>
      </c>
      <c r="F393" t="inlineStr">
        <is>
          <t>VÄRMLANDS LÄN</t>
        </is>
      </c>
      <c r="G393" t="inlineStr">
        <is>
          <t>ÅRJÄNG</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41763-2025</t>
        </is>
      </c>
      <c r="B394" t="inlineStr">
        <is>
          <t>avverkningsanmälan</t>
        </is>
      </c>
      <c r="C394" t="inlineStr">
        <is>
          <t>Föryngringsavverkning</t>
        </is>
      </c>
      <c r="D394" s="1" t="n">
        <v>45902</v>
      </c>
      <c r="E394" s="1" t="n">
        <v>46220</v>
      </c>
      <c r="F394" t="inlineStr">
        <is>
          <t>VÄRMLANDS LÄN</t>
        </is>
      </c>
      <c r="G394" t="inlineStr">
        <is>
          <t>ÅRJÄNG</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27240-2023</t>
        </is>
      </c>
      <c r="B395" t="inlineStr">
        <is>
          <t>avverkningsanmälan</t>
        </is>
      </c>
      <c r="C395" t="inlineStr">
        <is>
          <t>Föryngringsavverkning</t>
        </is>
      </c>
      <c r="D395" s="1" t="n">
        <v>45096</v>
      </c>
      <c r="E395" s="1" t="n">
        <v>46220</v>
      </c>
      <c r="F395" t="inlineStr">
        <is>
          <t>VÄRMLANDS LÄN</t>
        </is>
      </c>
      <c r="G395" t="inlineStr">
        <is>
          <t>ÅRJÄNG</t>
        </is>
      </c>
      <c r="I395" t="n">
        <v>2.1</v>
      </c>
      <c r="J395" t="n">
        <v>0</v>
      </c>
      <c r="K395" t="n">
        <v>0</v>
      </c>
      <c r="L395" t="n">
        <v>0</v>
      </c>
      <c r="M395" t="n">
        <v>0</v>
      </c>
      <c r="N395" t="n">
        <v>0</v>
      </c>
      <c r="O395" t="n">
        <v>0</v>
      </c>
      <c r="P395" t="n">
        <v>0</v>
      </c>
      <c r="Q395" t="n">
        <v>0</v>
      </c>
      <c r="R395" t="n">
        <v>0</v>
      </c>
      <c r="S395" t="n">
        <v>0</v>
      </c>
      <c r="T395" t="n">
        <v>0</v>
      </c>
      <c r="U395" s="2" t="inlineStr"/>
    </row>
    <row r="396" ht="15" customHeight="1">
      <c r="A396" t="inlineStr">
        <is>
          <t>A 42562-2025</t>
        </is>
      </c>
      <c r="B396" t="inlineStr">
        <is>
          <t>avverkningsanmälan</t>
        </is>
      </c>
      <c r="C396" t="inlineStr">
        <is>
          <t>Föryngringsavverkning</t>
        </is>
      </c>
      <c r="D396" s="1" t="n">
        <v>45905</v>
      </c>
      <c r="E396" s="1" t="n">
        <v>46220</v>
      </c>
      <c r="F396" t="inlineStr">
        <is>
          <t>VÄRMLANDS LÄN</t>
        </is>
      </c>
      <c r="G396" t="inlineStr">
        <is>
          <t>ÅRJÄNG</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32541-2023</t>
        </is>
      </c>
      <c r="B397" t="inlineStr">
        <is>
          <t>avverkningsanmälan</t>
        </is>
      </c>
      <c r="C397" t="inlineStr">
        <is>
          <t>Föryngringsavverkning</t>
        </is>
      </c>
      <c r="D397" s="1" t="n">
        <v>45121</v>
      </c>
      <c r="E397" s="1" t="n">
        <v>46220</v>
      </c>
      <c r="F397" t="inlineStr">
        <is>
          <t>VÄRMLANDS LÄN</t>
        </is>
      </c>
      <c r="G397" t="inlineStr">
        <is>
          <t>ÅRJÄNG</t>
        </is>
      </c>
      <c r="I397" t="n">
        <v>0.4</v>
      </c>
      <c r="J397" t="n">
        <v>0</v>
      </c>
      <c r="K397" t="n">
        <v>0</v>
      </c>
      <c r="L397" t="n">
        <v>0</v>
      </c>
      <c r="M397" t="n">
        <v>0</v>
      </c>
      <c r="N397" t="n">
        <v>0</v>
      </c>
      <c r="O397" t="n">
        <v>0</v>
      </c>
      <c r="P397" t="n">
        <v>0</v>
      </c>
      <c r="Q397" t="n">
        <v>0</v>
      </c>
      <c r="R397" t="n">
        <v>0</v>
      </c>
      <c r="S397" t="n">
        <v>0</v>
      </c>
      <c r="T397" t="n">
        <v>0</v>
      </c>
      <c r="U397" s="2" t="inlineStr"/>
    </row>
    <row r="398" ht="15" customHeight="1">
      <c r="A398" t="inlineStr">
        <is>
          <t>A 29166-2025</t>
        </is>
      </c>
      <c r="B398" t="inlineStr">
        <is>
          <t>avverkningsanmälan</t>
        </is>
      </c>
      <c r="C398" t="inlineStr">
        <is>
          <t>Föryngringsavverkning</t>
        </is>
      </c>
      <c r="D398" s="1" t="n">
        <v>45821</v>
      </c>
      <c r="E398" s="1" t="n">
        <v>46220</v>
      </c>
      <c r="F398" t="inlineStr">
        <is>
          <t>VÄRMLANDS LÄN</t>
        </is>
      </c>
      <c r="G398" t="inlineStr">
        <is>
          <t>ÅRJÄNG</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29100-2025</t>
        </is>
      </c>
      <c r="B399" t="inlineStr">
        <is>
          <t>avverkningsanmälan</t>
        </is>
      </c>
      <c r="C399" t="inlineStr">
        <is>
          <t>Föryngringsavverkning</t>
        </is>
      </c>
      <c r="D399" s="1" t="n">
        <v>45821</v>
      </c>
      <c r="E399" s="1" t="n">
        <v>46220</v>
      </c>
      <c r="F399" t="inlineStr">
        <is>
          <t>VÄRMLANDS LÄN</t>
        </is>
      </c>
      <c r="G399" t="inlineStr">
        <is>
          <t>ÅRJÄNG</t>
        </is>
      </c>
      <c r="H399" t="inlineStr">
        <is>
          <t>Bergvik skog väst AB</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29139-2025</t>
        </is>
      </c>
      <c r="B400" t="inlineStr">
        <is>
          <t>avverkningsanmälan</t>
        </is>
      </c>
      <c r="C400" t="inlineStr">
        <is>
          <t>Föryngringsavverkning</t>
        </is>
      </c>
      <c r="D400" s="1" t="n">
        <v>45821</v>
      </c>
      <c r="E400" s="1" t="n">
        <v>46220</v>
      </c>
      <c r="F400" t="inlineStr">
        <is>
          <t>VÄRMLANDS LÄN</t>
        </is>
      </c>
      <c r="G400" t="inlineStr">
        <is>
          <t>ÅRJÄNG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28992-2025</t>
        </is>
      </c>
      <c r="B401" t="inlineStr">
        <is>
          <t>avverkningsanmälan</t>
        </is>
      </c>
      <c r="C401" t="inlineStr">
        <is>
          <t>Föryngringsavverkning</t>
        </is>
      </c>
      <c r="D401" s="1" t="n">
        <v>45821</v>
      </c>
      <c r="E401" s="1" t="n">
        <v>46220</v>
      </c>
      <c r="F401" t="inlineStr">
        <is>
          <t>VÄRMLANDS LÄN</t>
        </is>
      </c>
      <c r="G401" t="inlineStr">
        <is>
          <t>ÅRJÄNG</t>
        </is>
      </c>
      <c r="H401" t="inlineStr">
        <is>
          <t>Bergvik skog väst AB</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28874-2025</t>
        </is>
      </c>
      <c r="B402" t="inlineStr">
        <is>
          <t>avverkningsanmälan</t>
        </is>
      </c>
      <c r="C402" t="inlineStr">
        <is>
          <t>Föryngringsavverkning</t>
        </is>
      </c>
      <c r="D402" s="1" t="n">
        <v>45820</v>
      </c>
      <c r="E402" s="1" t="n">
        <v>46220</v>
      </c>
      <c r="F402" t="inlineStr">
        <is>
          <t>VÄRMLANDS LÄN</t>
        </is>
      </c>
      <c r="G402" t="inlineStr">
        <is>
          <t>ÅRJÄNG</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29007-2025</t>
        </is>
      </c>
      <c r="B403" t="inlineStr">
        <is>
          <t>avverkningsanmälan</t>
        </is>
      </c>
      <c r="C403" t="inlineStr">
        <is>
          <t>Föryngringsavverkning</t>
        </is>
      </c>
      <c r="D403" s="1" t="n">
        <v>45821</v>
      </c>
      <c r="E403" s="1" t="n">
        <v>46220</v>
      </c>
      <c r="F403" t="inlineStr">
        <is>
          <t>VÄRMLANDS LÄN</t>
        </is>
      </c>
      <c r="G403" t="inlineStr">
        <is>
          <t>ÅRJÄNG</t>
        </is>
      </c>
      <c r="H403" t="inlineStr">
        <is>
          <t>Bergvik skog väst AB</t>
        </is>
      </c>
      <c r="I403" t="n">
        <v>6.2</v>
      </c>
      <c r="J403" t="n">
        <v>0</v>
      </c>
      <c r="K403" t="n">
        <v>0</v>
      </c>
      <c r="L403" t="n">
        <v>0</v>
      </c>
      <c r="M403" t="n">
        <v>0</v>
      </c>
      <c r="N403" t="n">
        <v>0</v>
      </c>
      <c r="O403" t="n">
        <v>0</v>
      </c>
      <c r="P403" t="n">
        <v>0</v>
      </c>
      <c r="Q403" t="n">
        <v>0</v>
      </c>
      <c r="R403" t="n">
        <v>0</v>
      </c>
      <c r="S403" t="n">
        <v>0</v>
      </c>
      <c r="T403" t="n">
        <v>0</v>
      </c>
      <c r="U403" s="2" t="inlineStr"/>
    </row>
    <row r="404" ht="15" customHeight="1">
      <c r="A404" t="inlineStr">
        <is>
          <t>A 61814-2024</t>
        </is>
      </c>
      <c r="B404" t="inlineStr">
        <is>
          <t>avverkningsanmälan</t>
        </is>
      </c>
      <c r="C404" t="inlineStr">
        <is>
          <t>Föryngringsavverkning</t>
        </is>
      </c>
      <c r="D404" s="1" t="n">
        <v>45646</v>
      </c>
      <c r="E404" s="1" t="n">
        <v>46220</v>
      </c>
      <c r="F404" t="inlineStr">
        <is>
          <t>VÄRMLANDS LÄN</t>
        </is>
      </c>
      <c r="G404" t="inlineStr">
        <is>
          <t>ÅRJÄNG</t>
        </is>
      </c>
      <c r="I404" t="n">
        <v>5.3</v>
      </c>
      <c r="J404" t="n">
        <v>0</v>
      </c>
      <c r="K404" t="n">
        <v>0</v>
      </c>
      <c r="L404" t="n">
        <v>0</v>
      </c>
      <c r="M404" t="n">
        <v>0</v>
      </c>
      <c r="N404" t="n">
        <v>0</v>
      </c>
      <c r="O404" t="n">
        <v>0</v>
      </c>
      <c r="P404" t="n">
        <v>0</v>
      </c>
      <c r="Q404" t="n">
        <v>0</v>
      </c>
      <c r="R404" t="n">
        <v>0</v>
      </c>
      <c r="S404" t="n">
        <v>0</v>
      </c>
      <c r="T404" t="n">
        <v>0</v>
      </c>
      <c r="U404" s="2" t="inlineStr"/>
    </row>
    <row r="405" ht="15" customHeight="1">
      <c r="A405" t="inlineStr">
        <is>
          <t>A 29169-2025</t>
        </is>
      </c>
      <c r="B405" t="inlineStr">
        <is>
          <t>avverkningsanmälan</t>
        </is>
      </c>
      <c r="C405" t="inlineStr">
        <is>
          <t>Föryngringsavverkning</t>
        </is>
      </c>
      <c r="D405" s="1" t="n">
        <v>45821</v>
      </c>
      <c r="E405" s="1" t="n">
        <v>46220</v>
      </c>
      <c r="F405" t="inlineStr">
        <is>
          <t>VÄRMLANDS LÄN</t>
        </is>
      </c>
      <c r="G405" t="inlineStr">
        <is>
          <t>ÅRJÄNG</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28949-2025</t>
        </is>
      </c>
      <c r="B406" t="inlineStr">
        <is>
          <t>avverkningsanmälan</t>
        </is>
      </c>
      <c r="C406" t="inlineStr">
        <is>
          <t>Föryngringsavverkning</t>
        </is>
      </c>
      <c r="D406" s="1" t="n">
        <v>45820</v>
      </c>
      <c r="E406" s="1" t="n">
        <v>46220</v>
      </c>
      <c r="F406" t="inlineStr">
        <is>
          <t>VÄRMLANDS LÄN</t>
        </is>
      </c>
      <c r="G406" t="inlineStr">
        <is>
          <t>ÅRJÄNG</t>
        </is>
      </c>
      <c r="I406" t="n">
        <v>0.3</v>
      </c>
      <c r="J406" t="n">
        <v>0</v>
      </c>
      <c r="K406" t="n">
        <v>0</v>
      </c>
      <c r="L406" t="n">
        <v>0</v>
      </c>
      <c r="M406" t="n">
        <v>0</v>
      </c>
      <c r="N406" t="n">
        <v>0</v>
      </c>
      <c r="O406" t="n">
        <v>0</v>
      </c>
      <c r="P406" t="n">
        <v>0</v>
      </c>
      <c r="Q406" t="n">
        <v>0</v>
      </c>
      <c r="R406" t="n">
        <v>0</v>
      </c>
      <c r="S406" t="n">
        <v>0</v>
      </c>
      <c r="T406" t="n">
        <v>0</v>
      </c>
      <c r="U406" s="2" t="inlineStr"/>
    </row>
    <row r="407" ht="15" customHeight="1">
      <c r="A407" t="inlineStr">
        <is>
          <t>A 6577-2025</t>
        </is>
      </c>
      <c r="B407" t="inlineStr">
        <is>
          <t>avverkningsanmälan</t>
        </is>
      </c>
      <c r="C407" t="inlineStr">
        <is>
          <t>Föryngringsavverkning</t>
        </is>
      </c>
      <c r="D407" s="1" t="n">
        <v>45699</v>
      </c>
      <c r="E407" s="1" t="n">
        <v>46220</v>
      </c>
      <c r="F407" t="inlineStr">
        <is>
          <t>VÄRMLANDS LÄN</t>
        </is>
      </c>
      <c r="G407" t="inlineStr">
        <is>
          <t>ÅRJÄNG</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38057-2024</t>
        </is>
      </c>
      <c r="B408" t="inlineStr">
        <is>
          <t>avverkningsanmälan</t>
        </is>
      </c>
      <c r="C408" t="inlineStr">
        <is>
          <t>Föryngringsavverkning</t>
        </is>
      </c>
      <c r="D408" s="1" t="n">
        <v>45544</v>
      </c>
      <c r="E408" s="1" t="n">
        <v>46220</v>
      </c>
      <c r="F408" t="inlineStr">
        <is>
          <t>VÄRMLANDS LÄN</t>
        </is>
      </c>
      <c r="G408" t="inlineStr">
        <is>
          <t>ÅRJÄNG</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2583-2026</t>
        </is>
      </c>
      <c r="B409" t="inlineStr">
        <is>
          <t>avverkningsanmälan</t>
        </is>
      </c>
      <c r="C409" t="inlineStr">
        <is>
          <t>Föryngringsavverkning</t>
        </is>
      </c>
      <c r="D409" s="1" t="n">
        <v>46037</v>
      </c>
      <c r="E409" s="1" t="n">
        <v>46220</v>
      </c>
      <c r="F409" t="inlineStr">
        <is>
          <t>VÄRMLANDS LÄN</t>
        </is>
      </c>
      <c r="G409" t="inlineStr">
        <is>
          <t>ÅRJÄNG</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43012-2025</t>
        </is>
      </c>
      <c r="B410" t="inlineStr">
        <is>
          <t>avverkningsanmälan</t>
        </is>
      </c>
      <c r="C410" t="inlineStr">
        <is>
          <t>Föryngringsavverkning</t>
        </is>
      </c>
      <c r="D410" s="1" t="n">
        <v>45909</v>
      </c>
      <c r="E410" s="1" t="n">
        <v>46220</v>
      </c>
      <c r="F410" t="inlineStr">
        <is>
          <t>VÄRMLANDS LÄN</t>
        </is>
      </c>
      <c r="G410" t="inlineStr">
        <is>
          <t>ÅRJÄNG</t>
        </is>
      </c>
      <c r="I410" t="n">
        <v>3.1</v>
      </c>
      <c r="J410" t="n">
        <v>0</v>
      </c>
      <c r="K410" t="n">
        <v>0</v>
      </c>
      <c r="L410" t="n">
        <v>0</v>
      </c>
      <c r="M410" t="n">
        <v>0</v>
      </c>
      <c r="N410" t="n">
        <v>0</v>
      </c>
      <c r="O410" t="n">
        <v>0</v>
      </c>
      <c r="P410" t="n">
        <v>0</v>
      </c>
      <c r="Q410" t="n">
        <v>0</v>
      </c>
      <c r="R410" t="n">
        <v>0</v>
      </c>
      <c r="S410" t="n">
        <v>0</v>
      </c>
      <c r="T410" t="n">
        <v>0</v>
      </c>
      <c r="U410" s="2" t="inlineStr"/>
    </row>
    <row r="411" ht="15" customHeight="1">
      <c r="A411" t="inlineStr">
        <is>
          <t>A 43050-2025</t>
        </is>
      </c>
      <c r="B411" t="inlineStr">
        <is>
          <t>avverkningsanmälan</t>
        </is>
      </c>
      <c r="C411" t="inlineStr">
        <is>
          <t>Föryngringsavverkning</t>
        </is>
      </c>
      <c r="D411" s="1" t="n">
        <v>45909</v>
      </c>
      <c r="E411" s="1" t="n">
        <v>46220</v>
      </c>
      <c r="F411" t="inlineStr">
        <is>
          <t>VÄRMLANDS LÄN</t>
        </is>
      </c>
      <c r="G411" t="inlineStr">
        <is>
          <t>ÅRJÄNG</t>
        </is>
      </c>
      <c r="I411" t="n">
        <v>4.8</v>
      </c>
      <c r="J411" t="n">
        <v>0</v>
      </c>
      <c r="K411" t="n">
        <v>0</v>
      </c>
      <c r="L411" t="n">
        <v>0</v>
      </c>
      <c r="M411" t="n">
        <v>0</v>
      </c>
      <c r="N411" t="n">
        <v>0</v>
      </c>
      <c r="O411" t="n">
        <v>0</v>
      </c>
      <c r="P411" t="n">
        <v>0</v>
      </c>
      <c r="Q411" t="n">
        <v>0</v>
      </c>
      <c r="R411" t="n">
        <v>0</v>
      </c>
      <c r="S411" t="n">
        <v>0</v>
      </c>
      <c r="T411" t="n">
        <v>0</v>
      </c>
      <c r="U411" s="2" t="inlineStr"/>
    </row>
    <row r="412" ht="15" customHeight="1">
      <c r="A412" t="inlineStr">
        <is>
          <t>A 29208-2025</t>
        </is>
      </c>
      <c r="B412" t="inlineStr">
        <is>
          <t>avverkningsanmälan</t>
        </is>
      </c>
      <c r="C412" t="inlineStr">
        <is>
          <t>Föryngringsavverkning</t>
        </is>
      </c>
      <c r="D412" s="1" t="n">
        <v>45823</v>
      </c>
      <c r="E412" s="1" t="n">
        <v>46220</v>
      </c>
      <c r="F412" t="inlineStr">
        <is>
          <t>VÄRMLANDS LÄN</t>
        </is>
      </c>
      <c r="G412" t="inlineStr">
        <is>
          <t>ÅRJÄNG</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43025-2025</t>
        </is>
      </c>
      <c r="B413" t="inlineStr">
        <is>
          <t>avverkningsanmälan</t>
        </is>
      </c>
      <c r="C413" t="inlineStr">
        <is>
          <t>Föryngringsavverkning</t>
        </is>
      </c>
      <c r="D413" s="1" t="n">
        <v>45909</v>
      </c>
      <c r="E413" s="1" t="n">
        <v>46220</v>
      </c>
      <c r="F413" t="inlineStr">
        <is>
          <t>VÄRMLANDS LÄN</t>
        </is>
      </c>
      <c r="G413" t="inlineStr">
        <is>
          <t>ÅRJÄNG</t>
        </is>
      </c>
      <c r="I413" t="n">
        <v>3.8</v>
      </c>
      <c r="J413" t="n">
        <v>0</v>
      </c>
      <c r="K413" t="n">
        <v>0</v>
      </c>
      <c r="L413" t="n">
        <v>0</v>
      </c>
      <c r="M413" t="n">
        <v>0</v>
      </c>
      <c r="N413" t="n">
        <v>0</v>
      </c>
      <c r="O413" t="n">
        <v>0</v>
      </c>
      <c r="P413" t="n">
        <v>0</v>
      </c>
      <c r="Q413" t="n">
        <v>0</v>
      </c>
      <c r="R413" t="n">
        <v>0</v>
      </c>
      <c r="S413" t="n">
        <v>0</v>
      </c>
      <c r="T413" t="n">
        <v>0</v>
      </c>
      <c r="U413" s="2" t="inlineStr"/>
    </row>
    <row r="414" ht="15" customHeight="1">
      <c r="A414" t="inlineStr">
        <is>
          <t>A 43047-2025</t>
        </is>
      </c>
      <c r="B414" t="inlineStr">
        <is>
          <t>avverkningsanmälan</t>
        </is>
      </c>
      <c r="C414" t="inlineStr">
        <is>
          <t>Föryngringsavverkning</t>
        </is>
      </c>
      <c r="D414" s="1" t="n">
        <v>45909</v>
      </c>
      <c r="E414" s="1" t="n">
        <v>46220</v>
      </c>
      <c r="F414" t="inlineStr">
        <is>
          <t>VÄRMLANDS LÄN</t>
        </is>
      </c>
      <c r="G414" t="inlineStr">
        <is>
          <t>ÅRJÄNG</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43484-2025</t>
        </is>
      </c>
      <c r="B415" t="inlineStr">
        <is>
          <t>avverkningsanmälan</t>
        </is>
      </c>
      <c r="C415" t="inlineStr">
        <is>
          <t>Föryngringsavverkning</t>
        </is>
      </c>
      <c r="D415" s="1" t="n">
        <v>45911</v>
      </c>
      <c r="E415" s="1" t="n">
        <v>46220</v>
      </c>
      <c r="F415" t="inlineStr">
        <is>
          <t>VÄRMLANDS LÄN</t>
        </is>
      </c>
      <c r="G415" t="inlineStr">
        <is>
          <t>ÅRJÄNG</t>
        </is>
      </c>
      <c r="I415" t="n">
        <v>1.8</v>
      </c>
      <c r="J415" t="n">
        <v>0</v>
      </c>
      <c r="K415" t="n">
        <v>0</v>
      </c>
      <c r="L415" t="n">
        <v>0</v>
      </c>
      <c r="M415" t="n">
        <v>0</v>
      </c>
      <c r="N415" t="n">
        <v>0</v>
      </c>
      <c r="O415" t="n">
        <v>0</v>
      </c>
      <c r="P415" t="n">
        <v>0</v>
      </c>
      <c r="Q415" t="n">
        <v>0</v>
      </c>
      <c r="R415" t="n">
        <v>0</v>
      </c>
      <c r="S415" t="n">
        <v>0</v>
      </c>
      <c r="T415" t="n">
        <v>0</v>
      </c>
      <c r="U415" s="2" t="inlineStr"/>
    </row>
    <row r="416" ht="15" customHeight="1">
      <c r="A416" t="inlineStr">
        <is>
          <t>A 43162-2025</t>
        </is>
      </c>
      <c r="B416" t="inlineStr">
        <is>
          <t>avverkningsanmälan</t>
        </is>
      </c>
      <c r="C416" t="inlineStr">
        <is>
          <t>Föryngringsavverkning</t>
        </is>
      </c>
      <c r="D416" s="1" t="n">
        <v>45910</v>
      </c>
      <c r="E416" s="1" t="n">
        <v>46220</v>
      </c>
      <c r="F416" t="inlineStr">
        <is>
          <t>VÄRMLANDS LÄN</t>
        </is>
      </c>
      <c r="G416" t="inlineStr">
        <is>
          <t>ÅRJÄNG</t>
        </is>
      </c>
      <c r="H416" t="inlineStr">
        <is>
          <t>Bergvik skog väst AB</t>
        </is>
      </c>
      <c r="I416" t="n">
        <v>12.9</v>
      </c>
      <c r="J416" t="n">
        <v>0</v>
      </c>
      <c r="K416" t="n">
        <v>0</v>
      </c>
      <c r="L416" t="n">
        <v>0</v>
      </c>
      <c r="M416" t="n">
        <v>0</v>
      </c>
      <c r="N416" t="n">
        <v>0</v>
      </c>
      <c r="O416" t="n">
        <v>0</v>
      </c>
      <c r="P416" t="n">
        <v>0</v>
      </c>
      <c r="Q416" t="n">
        <v>0</v>
      </c>
      <c r="R416" t="n">
        <v>0</v>
      </c>
      <c r="S416" t="n">
        <v>0</v>
      </c>
      <c r="T416" t="n">
        <v>0</v>
      </c>
      <c r="U416" s="2" t="inlineStr"/>
    </row>
    <row r="417" ht="15" customHeight="1">
      <c r="A417" t="inlineStr">
        <is>
          <t>A 17015-2023</t>
        </is>
      </c>
      <c r="B417" t="inlineStr">
        <is>
          <t>avverkningsanmälan</t>
        </is>
      </c>
      <c r="C417" t="inlineStr">
        <is>
          <t>Föryngringsavverkning</t>
        </is>
      </c>
      <c r="D417" s="1" t="n">
        <v>45030</v>
      </c>
      <c r="E417" s="1" t="n">
        <v>46220</v>
      </c>
      <c r="F417" t="inlineStr">
        <is>
          <t>VÄRMLANDS LÄN</t>
        </is>
      </c>
      <c r="G417" t="inlineStr">
        <is>
          <t>ÅRJÄNG</t>
        </is>
      </c>
      <c r="H417" t="inlineStr">
        <is>
          <t>Övriga Aktiebolag</t>
        </is>
      </c>
      <c r="I417" t="n">
        <v>13.9</v>
      </c>
      <c r="J417" t="n">
        <v>0</v>
      </c>
      <c r="K417" t="n">
        <v>0</v>
      </c>
      <c r="L417" t="n">
        <v>0</v>
      </c>
      <c r="M417" t="n">
        <v>0</v>
      </c>
      <c r="N417" t="n">
        <v>0</v>
      </c>
      <c r="O417" t="n">
        <v>0</v>
      </c>
      <c r="P417" t="n">
        <v>0</v>
      </c>
      <c r="Q417" t="n">
        <v>0</v>
      </c>
      <c r="R417" t="n">
        <v>0</v>
      </c>
      <c r="S417" t="n">
        <v>0</v>
      </c>
      <c r="T417" t="n">
        <v>0</v>
      </c>
      <c r="U417" s="2" t="inlineStr"/>
    </row>
    <row r="418" ht="15" customHeight="1">
      <c r="A418" t="inlineStr">
        <is>
          <t>A 42667-2023</t>
        </is>
      </c>
      <c r="B418" t="inlineStr">
        <is>
          <t>avverkningsanmälan</t>
        </is>
      </c>
      <c r="C418" t="inlineStr">
        <is>
          <t>Föryngringsavverkning</t>
        </is>
      </c>
      <c r="D418" s="1" t="n">
        <v>45176</v>
      </c>
      <c r="E418" s="1" t="n">
        <v>46220</v>
      </c>
      <c r="F418" t="inlineStr">
        <is>
          <t>VÄRMLANDS LÄN</t>
        </is>
      </c>
      <c r="G418" t="inlineStr">
        <is>
          <t>ÅRJÄNG</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43426-2025</t>
        </is>
      </c>
      <c r="B419" t="inlineStr">
        <is>
          <t>avverkningsanmälan</t>
        </is>
      </c>
      <c r="C419" t="inlineStr">
        <is>
          <t>Föryngringsavverkning</t>
        </is>
      </c>
      <c r="D419" s="1" t="n">
        <v>45911</v>
      </c>
      <c r="E419" s="1" t="n">
        <v>46220</v>
      </c>
      <c r="F419" t="inlineStr">
        <is>
          <t>VÄRMLANDS LÄN</t>
        </is>
      </c>
      <c r="G419" t="inlineStr">
        <is>
          <t>ÅRJÄNG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43434-2025</t>
        </is>
      </c>
      <c r="B420" t="inlineStr">
        <is>
          <t>avverkningsanmälan</t>
        </is>
      </c>
      <c r="C420" t="inlineStr">
        <is>
          <t>Föryngringsavverkning</t>
        </is>
      </c>
      <c r="D420" s="1" t="n">
        <v>45911</v>
      </c>
      <c r="E420" s="1" t="n">
        <v>46220</v>
      </c>
      <c r="F420" t="inlineStr">
        <is>
          <t>VÄRMLANDS LÄN</t>
        </is>
      </c>
      <c r="G420" t="inlineStr">
        <is>
          <t>ÅRJÄNG</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31111-2025</t>
        </is>
      </c>
      <c r="B421" t="inlineStr">
        <is>
          <t>avverkningsanmälan</t>
        </is>
      </c>
      <c r="C421" t="inlineStr">
        <is>
          <t>Föryngringsavverkning</t>
        </is>
      </c>
      <c r="D421" s="1" t="n">
        <v>45831</v>
      </c>
      <c r="E421" s="1" t="n">
        <v>46220</v>
      </c>
      <c r="F421" t="inlineStr">
        <is>
          <t>VÄRMLANDS LÄN</t>
        </is>
      </c>
      <c r="G421" t="inlineStr">
        <is>
          <t>ÅRJÄNG</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A 42241-2024</t>
        </is>
      </c>
      <c r="B422" t="inlineStr">
        <is>
          <t>avverkningsanmälan</t>
        </is>
      </c>
      <c r="C422" t="inlineStr">
        <is>
          <t>Föryngringsavverkning</t>
        </is>
      </c>
      <c r="D422" s="1" t="n">
        <v>45562</v>
      </c>
      <c r="E422" s="1" t="n">
        <v>46220</v>
      </c>
      <c r="F422" t="inlineStr">
        <is>
          <t>VÄRMLANDS LÄN</t>
        </is>
      </c>
      <c r="G422" t="inlineStr">
        <is>
          <t>ÅRJÄNG</t>
        </is>
      </c>
      <c r="I422" t="n">
        <v>4</v>
      </c>
      <c r="J422" t="n">
        <v>0</v>
      </c>
      <c r="K422" t="n">
        <v>0</v>
      </c>
      <c r="L422" t="n">
        <v>0</v>
      </c>
      <c r="M422" t="n">
        <v>0</v>
      </c>
      <c r="N422" t="n">
        <v>0</v>
      </c>
      <c r="O422" t="n">
        <v>0</v>
      </c>
      <c r="P422" t="n">
        <v>0</v>
      </c>
      <c r="Q422" t="n">
        <v>0</v>
      </c>
      <c r="R422" t="n">
        <v>0</v>
      </c>
      <c r="S422" t="n">
        <v>0</v>
      </c>
      <c r="T422" t="n">
        <v>0</v>
      </c>
      <c r="U422" s="2" t="inlineStr"/>
    </row>
    <row r="423" ht="15" customHeight="1">
      <c r="A423" t="inlineStr">
        <is>
          <t>A 46957-2024</t>
        </is>
      </c>
      <c r="B423" t="inlineStr">
        <is>
          <t>avverkningsanmälan</t>
        </is>
      </c>
      <c r="C423" t="inlineStr">
        <is>
          <t>Föryngringsavverkning</t>
        </is>
      </c>
      <c r="D423" s="1" t="n">
        <v>45586</v>
      </c>
      <c r="E423" s="1" t="n">
        <v>46220</v>
      </c>
      <c r="F423" t="inlineStr">
        <is>
          <t>VÄRMLANDS LÄN</t>
        </is>
      </c>
      <c r="G423" t="inlineStr">
        <is>
          <t>ÅRJÄNG</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30658-2025</t>
        </is>
      </c>
      <c r="B424" t="inlineStr">
        <is>
          <t>avverkningsanmälan</t>
        </is>
      </c>
      <c r="C424" t="inlineStr">
        <is>
          <t>Föryngringsavverkning</t>
        </is>
      </c>
      <c r="D424" s="1" t="n">
        <v>45831</v>
      </c>
      <c r="E424" s="1" t="n">
        <v>46220</v>
      </c>
      <c r="F424" t="inlineStr">
        <is>
          <t>VÄRMLANDS LÄN</t>
        </is>
      </c>
      <c r="G424" t="inlineStr">
        <is>
          <t>ÅRJÄNG</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30761-2025</t>
        </is>
      </c>
      <c r="B425" t="inlineStr">
        <is>
          <t>avverkningsanmälan</t>
        </is>
      </c>
      <c r="C425" t="inlineStr">
        <is>
          <t>Föryngringsavverkning</t>
        </is>
      </c>
      <c r="D425" s="1" t="n">
        <v>45831</v>
      </c>
      <c r="E425" s="1" t="n">
        <v>46220</v>
      </c>
      <c r="F425" t="inlineStr">
        <is>
          <t>VÄRMLANDS LÄN</t>
        </is>
      </c>
      <c r="G425" t="inlineStr">
        <is>
          <t>ÅRJÄNG</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31063-2025</t>
        </is>
      </c>
      <c r="B426" t="inlineStr">
        <is>
          <t>avverkningsanmälan</t>
        </is>
      </c>
      <c r="C426" t="inlineStr">
        <is>
          <t>Föryngringsavverkning</t>
        </is>
      </c>
      <c r="D426" s="1" t="n">
        <v>45831</v>
      </c>
      <c r="E426" s="1" t="n">
        <v>46220</v>
      </c>
      <c r="F426" t="inlineStr">
        <is>
          <t>VÄRMLANDS LÄN</t>
        </is>
      </c>
      <c r="G426" t="inlineStr">
        <is>
          <t>ÅRJÄNG</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2572-2026</t>
        </is>
      </c>
      <c r="B427" t="inlineStr">
        <is>
          <t>avverkningsanmälan</t>
        </is>
      </c>
      <c r="C427" t="inlineStr">
        <is>
          <t>Föryngringsavverkning</t>
        </is>
      </c>
      <c r="D427" s="1" t="n">
        <v>46037</v>
      </c>
      <c r="E427" s="1" t="n">
        <v>46220</v>
      </c>
      <c r="F427" t="inlineStr">
        <is>
          <t>VÄRMLANDS LÄN</t>
        </is>
      </c>
      <c r="G427" t="inlineStr">
        <is>
          <t>ÅRJÄNG</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31282-2025</t>
        </is>
      </c>
      <c r="B428" t="inlineStr">
        <is>
          <t>avverkningsanmälan</t>
        </is>
      </c>
      <c r="C428" t="inlineStr">
        <is>
          <t>Föryngringsavverkning</t>
        </is>
      </c>
      <c r="D428" s="1" t="n">
        <v>45833</v>
      </c>
      <c r="E428" s="1" t="n">
        <v>46220</v>
      </c>
      <c r="F428" t="inlineStr">
        <is>
          <t>VÄRMLANDS LÄN</t>
        </is>
      </c>
      <c r="G428" t="inlineStr">
        <is>
          <t>ÅRJÄNG</t>
        </is>
      </c>
      <c r="H428" t="inlineStr">
        <is>
          <t>Bergvik skog väst AB</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44300-2025</t>
        </is>
      </c>
      <c r="B429" t="inlineStr">
        <is>
          <t>avverkningsanmälan</t>
        </is>
      </c>
      <c r="C429" t="inlineStr">
        <is>
          <t>Föryngringsavverkning</t>
        </is>
      </c>
      <c r="D429" s="1" t="n">
        <v>45916</v>
      </c>
      <c r="E429" s="1" t="n">
        <v>46220</v>
      </c>
      <c r="F429" t="inlineStr">
        <is>
          <t>VÄRMLANDS LÄN</t>
        </is>
      </c>
      <c r="G429" t="inlineStr">
        <is>
          <t>ÅRJÄNG</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23871-2023</t>
        </is>
      </c>
      <c r="B430" t="inlineStr">
        <is>
          <t>avverkningsanmälan</t>
        </is>
      </c>
      <c r="C430" t="inlineStr">
        <is>
          <t>Föryngringsavverkning</t>
        </is>
      </c>
      <c r="D430" s="1" t="n">
        <v>45078</v>
      </c>
      <c r="E430" s="1" t="n">
        <v>46220</v>
      </c>
      <c r="F430" t="inlineStr">
        <is>
          <t>VÄRMLANDS LÄN</t>
        </is>
      </c>
      <c r="G430" t="inlineStr">
        <is>
          <t>ÅRJÄNG</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31710-2025</t>
        </is>
      </c>
      <c r="B431" t="inlineStr">
        <is>
          <t>avverkningsanmälan</t>
        </is>
      </c>
      <c r="C431" t="inlineStr">
        <is>
          <t>Föryngringsavverkning</t>
        </is>
      </c>
      <c r="D431" s="1" t="n">
        <v>45834</v>
      </c>
      <c r="E431" s="1" t="n">
        <v>46220</v>
      </c>
      <c r="F431" t="inlineStr">
        <is>
          <t>VÄRMLANDS LÄN</t>
        </is>
      </c>
      <c r="G431" t="inlineStr">
        <is>
          <t>ÅRJÄNG</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7445-2024</t>
        </is>
      </c>
      <c r="B432" t="inlineStr">
        <is>
          <t>avverkningsanmälan</t>
        </is>
      </c>
      <c r="C432" t="inlineStr">
        <is>
          <t>Föryngringsavverkning</t>
        </is>
      </c>
      <c r="D432" s="1" t="n">
        <v>45345</v>
      </c>
      <c r="E432" s="1" t="n">
        <v>46220</v>
      </c>
      <c r="F432" t="inlineStr">
        <is>
          <t>VÄRMLANDS LÄN</t>
        </is>
      </c>
      <c r="G432" t="inlineStr">
        <is>
          <t>ÅRJÄNG</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45192-2025</t>
        </is>
      </c>
      <c r="B433" t="inlineStr">
        <is>
          <t>avverkningsanmälan</t>
        </is>
      </c>
      <c r="C433" t="inlineStr">
        <is>
          <t>Föryngringsavverkning</t>
        </is>
      </c>
      <c r="D433" s="1" t="n">
        <v>45919</v>
      </c>
      <c r="E433" s="1" t="n">
        <v>46220</v>
      </c>
      <c r="F433" t="inlineStr">
        <is>
          <t>VÄRMLANDS LÄN</t>
        </is>
      </c>
      <c r="G433" t="inlineStr">
        <is>
          <t>ÅRJÄNG</t>
        </is>
      </c>
      <c r="H433" t="inlineStr">
        <is>
          <t>Bergvik skog väst AB</t>
        </is>
      </c>
      <c r="I433" t="n">
        <v>3.8</v>
      </c>
      <c r="J433" t="n">
        <v>0</v>
      </c>
      <c r="K433" t="n">
        <v>0</v>
      </c>
      <c r="L433" t="n">
        <v>0</v>
      </c>
      <c r="M433" t="n">
        <v>0</v>
      </c>
      <c r="N433" t="n">
        <v>0</v>
      </c>
      <c r="O433" t="n">
        <v>0</v>
      </c>
      <c r="P433" t="n">
        <v>0</v>
      </c>
      <c r="Q433" t="n">
        <v>0</v>
      </c>
      <c r="R433" t="n">
        <v>0</v>
      </c>
      <c r="S433" t="n">
        <v>0</v>
      </c>
      <c r="T433" t="n">
        <v>0</v>
      </c>
      <c r="U433" s="2" t="inlineStr"/>
    </row>
    <row r="434" ht="15" customHeight="1">
      <c r="A434" t="inlineStr">
        <is>
          <t>A 32730-2025</t>
        </is>
      </c>
      <c r="B434" t="inlineStr">
        <is>
          <t>avverkningsanmälan</t>
        </is>
      </c>
      <c r="C434" t="inlineStr">
        <is>
          <t>Föryngringsavverkning</t>
        </is>
      </c>
      <c r="D434" s="1" t="n">
        <v>45839</v>
      </c>
      <c r="E434" s="1" t="n">
        <v>46220</v>
      </c>
      <c r="F434" t="inlineStr">
        <is>
          <t>VÄRMLANDS LÄN</t>
        </is>
      </c>
      <c r="G434" t="inlineStr">
        <is>
          <t>ÅRJÄNG</t>
        </is>
      </c>
      <c r="H434" t="inlineStr">
        <is>
          <t>Kyrkan</t>
        </is>
      </c>
      <c r="I434" t="n">
        <v>5.9</v>
      </c>
      <c r="J434" t="n">
        <v>0</v>
      </c>
      <c r="K434" t="n">
        <v>0</v>
      </c>
      <c r="L434" t="n">
        <v>0</v>
      </c>
      <c r="M434" t="n">
        <v>0</v>
      </c>
      <c r="N434" t="n">
        <v>0</v>
      </c>
      <c r="O434" t="n">
        <v>0</v>
      </c>
      <c r="P434" t="n">
        <v>0</v>
      </c>
      <c r="Q434" t="n">
        <v>0</v>
      </c>
      <c r="R434" t="n">
        <v>0</v>
      </c>
      <c r="S434" t="n">
        <v>0</v>
      </c>
      <c r="T434" t="n">
        <v>0</v>
      </c>
      <c r="U434" s="2" t="inlineStr"/>
    </row>
    <row r="435" ht="15" customHeight="1">
      <c r="A435" t="inlineStr">
        <is>
          <t>A 45159-2025</t>
        </is>
      </c>
      <c r="B435" t="inlineStr">
        <is>
          <t>avverkningsanmälan</t>
        </is>
      </c>
      <c r="C435" t="inlineStr">
        <is>
          <t>Föryngringsavverkning</t>
        </is>
      </c>
      <c r="D435" s="1" t="n">
        <v>45919</v>
      </c>
      <c r="E435" s="1" t="n">
        <v>46220</v>
      </c>
      <c r="F435" t="inlineStr">
        <is>
          <t>VÄRMLANDS LÄN</t>
        </is>
      </c>
      <c r="G435" t="inlineStr">
        <is>
          <t>ÅRJÄNG</t>
        </is>
      </c>
      <c r="H435" t="inlineStr">
        <is>
          <t>Bergvik skog väst AB</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45130-2025</t>
        </is>
      </c>
      <c r="B436" t="inlineStr">
        <is>
          <t>avverkningsanmälan</t>
        </is>
      </c>
      <c r="C436" t="inlineStr">
        <is>
          <t>Föryngringsavverkning</t>
        </is>
      </c>
      <c r="D436" s="1" t="n">
        <v>45919</v>
      </c>
      <c r="E436" s="1" t="n">
        <v>46220</v>
      </c>
      <c r="F436" t="inlineStr">
        <is>
          <t>VÄRMLANDS LÄN</t>
        </is>
      </c>
      <c r="G436" t="inlineStr">
        <is>
          <t>ÅRJÄNG</t>
        </is>
      </c>
      <c r="H436" t="inlineStr">
        <is>
          <t>Övriga Aktiebolag</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44257-2025</t>
        </is>
      </c>
      <c r="B437" t="inlineStr">
        <is>
          <t>avverkningsanmälan</t>
        </is>
      </c>
      <c r="C437" t="inlineStr">
        <is>
          <t>Föryngringsavverkning</t>
        </is>
      </c>
      <c r="D437" s="1" t="n">
        <v>45915</v>
      </c>
      <c r="E437" s="1" t="n">
        <v>46220</v>
      </c>
      <c r="F437" t="inlineStr">
        <is>
          <t>VÄRMLANDS LÄN</t>
        </is>
      </c>
      <c r="G437" t="inlineStr">
        <is>
          <t>ÅRJÄNG</t>
        </is>
      </c>
      <c r="I437" t="n">
        <v>3.6</v>
      </c>
      <c r="J437" t="n">
        <v>0</v>
      </c>
      <c r="K437" t="n">
        <v>0</v>
      </c>
      <c r="L437" t="n">
        <v>0</v>
      </c>
      <c r="M437" t="n">
        <v>0</v>
      </c>
      <c r="N437" t="n">
        <v>0</v>
      </c>
      <c r="O437" t="n">
        <v>0</v>
      </c>
      <c r="P437" t="n">
        <v>0</v>
      </c>
      <c r="Q437" t="n">
        <v>0</v>
      </c>
      <c r="R437" t="n">
        <v>0</v>
      </c>
      <c r="S437" t="n">
        <v>0</v>
      </c>
      <c r="T437" t="n">
        <v>0</v>
      </c>
      <c r="U437" s="2" t="inlineStr"/>
    </row>
    <row r="438" ht="15" customHeight="1">
      <c r="A438" t="inlineStr">
        <is>
          <t>A 47332-2022</t>
        </is>
      </c>
      <c r="B438" t="inlineStr">
        <is>
          <t>avverkningsanmälan</t>
        </is>
      </c>
      <c r="C438" t="inlineStr">
        <is>
          <t>Föryngringsavverkning</t>
        </is>
      </c>
      <c r="D438" s="1" t="n">
        <v>44853</v>
      </c>
      <c r="E438" s="1" t="n">
        <v>46220</v>
      </c>
      <c r="F438" t="inlineStr">
        <is>
          <t>VÄRMLANDS LÄN</t>
        </is>
      </c>
      <c r="G438" t="inlineStr">
        <is>
          <t>ÅRJÄNG</t>
        </is>
      </c>
      <c r="I438" t="n">
        <v>8.199999999999999</v>
      </c>
      <c r="J438" t="n">
        <v>0</v>
      </c>
      <c r="K438" t="n">
        <v>0</v>
      </c>
      <c r="L438" t="n">
        <v>0</v>
      </c>
      <c r="M438" t="n">
        <v>0</v>
      </c>
      <c r="N438" t="n">
        <v>0</v>
      </c>
      <c r="O438" t="n">
        <v>0</v>
      </c>
      <c r="P438" t="n">
        <v>0</v>
      </c>
      <c r="Q438" t="n">
        <v>0</v>
      </c>
      <c r="R438" t="n">
        <v>0</v>
      </c>
      <c r="S438" t="n">
        <v>0</v>
      </c>
      <c r="T438" t="n">
        <v>0</v>
      </c>
      <c r="U438" s="2" t="inlineStr"/>
    </row>
    <row r="439" ht="15" customHeight="1">
      <c r="A439" t="inlineStr">
        <is>
          <t>A 45037-2025</t>
        </is>
      </c>
      <c r="B439" t="inlineStr">
        <is>
          <t>avverkningsanmälan</t>
        </is>
      </c>
      <c r="C439" t="inlineStr">
        <is>
          <t>Föryngringsavverkning</t>
        </is>
      </c>
      <c r="D439" s="1" t="n">
        <v>45918</v>
      </c>
      <c r="E439" s="1" t="n">
        <v>46220</v>
      </c>
      <c r="F439" t="inlineStr">
        <is>
          <t>VÄRMLANDS LÄN</t>
        </is>
      </c>
      <c r="G439" t="inlineStr">
        <is>
          <t>ÅRJÄNG</t>
        </is>
      </c>
      <c r="I439" t="n">
        <v>8.5</v>
      </c>
      <c r="J439" t="n">
        <v>0</v>
      </c>
      <c r="K439" t="n">
        <v>0</v>
      </c>
      <c r="L439" t="n">
        <v>0</v>
      </c>
      <c r="M439" t="n">
        <v>0</v>
      </c>
      <c r="N439" t="n">
        <v>0</v>
      </c>
      <c r="O439" t="n">
        <v>0</v>
      </c>
      <c r="P439" t="n">
        <v>0</v>
      </c>
      <c r="Q439" t="n">
        <v>0</v>
      </c>
      <c r="R439" t="n">
        <v>0</v>
      </c>
      <c r="S439" t="n">
        <v>0</v>
      </c>
      <c r="T439" t="n">
        <v>0</v>
      </c>
      <c r="U439" s="2" t="inlineStr"/>
    </row>
    <row r="440" ht="15" customHeight="1">
      <c r="A440" t="inlineStr">
        <is>
          <t>A 32321-2025</t>
        </is>
      </c>
      <c r="B440" t="inlineStr">
        <is>
          <t>avverkningsanmälan</t>
        </is>
      </c>
      <c r="C440" t="inlineStr">
        <is>
          <t>Föryngringsavverkning</t>
        </is>
      </c>
      <c r="D440" s="1" t="n">
        <v>45836</v>
      </c>
      <c r="E440" s="1" t="n">
        <v>46220</v>
      </c>
      <c r="F440" t="inlineStr">
        <is>
          <t>VÄRMLANDS LÄN</t>
        </is>
      </c>
      <c r="G440" t="inlineStr">
        <is>
          <t>ÅRJÄNG</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45137-2025</t>
        </is>
      </c>
      <c r="B441" t="inlineStr">
        <is>
          <t>avverkningsanmälan</t>
        </is>
      </c>
      <c r="C441" t="inlineStr">
        <is>
          <t>Föryngringsavverkning</t>
        </is>
      </c>
      <c r="D441" s="1" t="n">
        <v>45919</v>
      </c>
      <c r="E441" s="1" t="n">
        <v>46220</v>
      </c>
      <c r="F441" t="inlineStr">
        <is>
          <t>VÄRMLANDS LÄN</t>
        </is>
      </c>
      <c r="G441" t="inlineStr">
        <is>
          <t>ÅRJÄNG</t>
        </is>
      </c>
      <c r="H441" t="inlineStr">
        <is>
          <t>Övriga Aktiebolag</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45099-2025</t>
        </is>
      </c>
      <c r="B442" t="inlineStr">
        <is>
          <t>avverkningsanmälan</t>
        </is>
      </c>
      <c r="C442" t="inlineStr">
        <is>
          <t>Föryngringsavverkning</t>
        </is>
      </c>
      <c r="D442" s="1" t="n">
        <v>45919</v>
      </c>
      <c r="E442" s="1" t="n">
        <v>46220</v>
      </c>
      <c r="F442" t="inlineStr">
        <is>
          <t>VÄRMLANDS LÄN</t>
        </is>
      </c>
      <c r="G442" t="inlineStr">
        <is>
          <t>ÅRJÄNG</t>
        </is>
      </c>
      <c r="H442" t="inlineStr">
        <is>
          <t>Övriga Aktiebolag</t>
        </is>
      </c>
      <c r="I442" t="n">
        <v>4.7</v>
      </c>
      <c r="J442" t="n">
        <v>0</v>
      </c>
      <c r="K442" t="n">
        <v>0</v>
      </c>
      <c r="L442" t="n">
        <v>0</v>
      </c>
      <c r="M442" t="n">
        <v>0</v>
      </c>
      <c r="N442" t="n">
        <v>0</v>
      </c>
      <c r="O442" t="n">
        <v>0</v>
      </c>
      <c r="P442" t="n">
        <v>0</v>
      </c>
      <c r="Q442" t="n">
        <v>0</v>
      </c>
      <c r="R442" t="n">
        <v>0</v>
      </c>
      <c r="S442" t="n">
        <v>0</v>
      </c>
      <c r="T442" t="n">
        <v>0</v>
      </c>
      <c r="U442" s="2" t="inlineStr"/>
    </row>
    <row r="443" ht="15" customHeight="1">
      <c r="A443" t="inlineStr">
        <is>
          <t>A 12068-2022</t>
        </is>
      </c>
      <c r="B443" t="inlineStr">
        <is>
          <t>avverkningsanmälan</t>
        </is>
      </c>
      <c r="C443" t="inlineStr">
        <is>
          <t>Föryngringsavverkning</t>
        </is>
      </c>
      <c r="D443" s="1" t="n">
        <v>44636</v>
      </c>
      <c r="E443" s="1" t="n">
        <v>46220</v>
      </c>
      <c r="F443" t="inlineStr">
        <is>
          <t>VÄRMLANDS LÄN</t>
        </is>
      </c>
      <c r="G443" t="inlineStr">
        <is>
          <t>ÅRJÄNG</t>
        </is>
      </c>
      <c r="I443" t="n">
        <v>4.3</v>
      </c>
      <c r="J443" t="n">
        <v>0</v>
      </c>
      <c r="K443" t="n">
        <v>0</v>
      </c>
      <c r="L443" t="n">
        <v>0</v>
      </c>
      <c r="M443" t="n">
        <v>0</v>
      </c>
      <c r="N443" t="n">
        <v>0</v>
      </c>
      <c r="O443" t="n">
        <v>0</v>
      </c>
      <c r="P443" t="n">
        <v>0</v>
      </c>
      <c r="Q443" t="n">
        <v>0</v>
      </c>
      <c r="R443" t="n">
        <v>0</v>
      </c>
      <c r="S443" t="n">
        <v>0</v>
      </c>
      <c r="T443" t="n">
        <v>0</v>
      </c>
      <c r="U443" s="2" t="inlineStr"/>
    </row>
    <row r="444" ht="15" customHeight="1">
      <c r="A444" t="inlineStr">
        <is>
          <t>A 45332-2025</t>
        </is>
      </c>
      <c r="B444" t="inlineStr">
        <is>
          <t>avverkningsanmälan</t>
        </is>
      </c>
      <c r="C444" t="inlineStr">
        <is>
          <t>Föryngringsavverkning</t>
        </is>
      </c>
      <c r="D444" s="1" t="n">
        <v>45922</v>
      </c>
      <c r="E444" s="1" t="n">
        <v>46220</v>
      </c>
      <c r="F444" t="inlineStr">
        <is>
          <t>VÄRMLANDS LÄN</t>
        </is>
      </c>
      <c r="G444" t="inlineStr">
        <is>
          <t>ÅRJÄNG</t>
        </is>
      </c>
      <c r="H444" t="inlineStr">
        <is>
          <t>Bergvik skog väst AB</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33412-2025</t>
        </is>
      </c>
      <c r="B445" t="inlineStr">
        <is>
          <t>avverkningsanmälan</t>
        </is>
      </c>
      <c r="C445" t="inlineStr">
        <is>
          <t>Föryngringsavverkning</t>
        </is>
      </c>
      <c r="D445" s="1" t="n">
        <v>45841</v>
      </c>
      <c r="E445" s="1" t="n">
        <v>46220</v>
      </c>
      <c r="F445" t="inlineStr">
        <is>
          <t>VÄRMLANDS LÄN</t>
        </is>
      </c>
      <c r="G445" t="inlineStr">
        <is>
          <t>ÅRJÄNG</t>
        </is>
      </c>
      <c r="I445" t="n">
        <v>4.1</v>
      </c>
      <c r="J445" t="n">
        <v>0</v>
      </c>
      <c r="K445" t="n">
        <v>0</v>
      </c>
      <c r="L445" t="n">
        <v>0</v>
      </c>
      <c r="M445" t="n">
        <v>0</v>
      </c>
      <c r="N445" t="n">
        <v>0</v>
      </c>
      <c r="O445" t="n">
        <v>0</v>
      </c>
      <c r="P445" t="n">
        <v>0</v>
      </c>
      <c r="Q445" t="n">
        <v>0</v>
      </c>
      <c r="R445" t="n">
        <v>0</v>
      </c>
      <c r="S445" t="n">
        <v>0</v>
      </c>
      <c r="T445" t="n">
        <v>0</v>
      </c>
      <c r="U445" s="2" t="inlineStr"/>
    </row>
    <row r="446" ht="15" customHeight="1">
      <c r="A446" t="inlineStr">
        <is>
          <t>A 33526-2025</t>
        </is>
      </c>
      <c r="B446" t="inlineStr">
        <is>
          <t>avverkningsanmälan</t>
        </is>
      </c>
      <c r="C446" t="inlineStr">
        <is>
          <t>Föryngringsavverkning</t>
        </is>
      </c>
      <c r="D446" s="1" t="n">
        <v>45841</v>
      </c>
      <c r="E446" s="1" t="n">
        <v>46220</v>
      </c>
      <c r="F446" t="inlineStr">
        <is>
          <t>VÄRMLANDS LÄN</t>
        </is>
      </c>
      <c r="G446" t="inlineStr">
        <is>
          <t>ÅRJÄNG</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45590-2025</t>
        </is>
      </c>
      <c r="B447" t="inlineStr">
        <is>
          <t>avverkningsanmälan</t>
        </is>
      </c>
      <c r="C447" t="inlineStr">
        <is>
          <t>Föryngringsavverkning</t>
        </is>
      </c>
      <c r="D447" s="1" t="n">
        <v>45922</v>
      </c>
      <c r="E447" s="1" t="n">
        <v>46220</v>
      </c>
      <c r="F447" t="inlineStr">
        <is>
          <t>VÄRMLANDS LÄN</t>
        </is>
      </c>
      <c r="G447" t="inlineStr">
        <is>
          <t>ÅRJÄNG</t>
        </is>
      </c>
      <c r="I447" t="n">
        <v>3.2</v>
      </c>
      <c r="J447" t="n">
        <v>0</v>
      </c>
      <c r="K447" t="n">
        <v>0</v>
      </c>
      <c r="L447" t="n">
        <v>0</v>
      </c>
      <c r="M447" t="n">
        <v>0</v>
      </c>
      <c r="N447" t="n">
        <v>0</v>
      </c>
      <c r="O447" t="n">
        <v>0</v>
      </c>
      <c r="P447" t="n">
        <v>0</v>
      </c>
      <c r="Q447" t="n">
        <v>0</v>
      </c>
      <c r="R447" t="n">
        <v>0</v>
      </c>
      <c r="S447" t="n">
        <v>0</v>
      </c>
      <c r="T447" t="n">
        <v>0</v>
      </c>
      <c r="U447" s="2" t="inlineStr"/>
    </row>
    <row r="448" ht="15" customHeight="1">
      <c r="A448" t="inlineStr">
        <is>
          <t>A 45599-2025</t>
        </is>
      </c>
      <c r="B448" t="inlineStr">
        <is>
          <t>avverkningsanmälan</t>
        </is>
      </c>
      <c r="C448" t="inlineStr">
        <is>
          <t>Föryngringsavverkning</t>
        </is>
      </c>
      <c r="D448" s="1" t="n">
        <v>45922</v>
      </c>
      <c r="E448" s="1" t="n">
        <v>46220</v>
      </c>
      <c r="F448" t="inlineStr">
        <is>
          <t>VÄRMLANDS LÄN</t>
        </is>
      </c>
      <c r="G448" t="inlineStr">
        <is>
          <t>ÅRJÄNG</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37061-2023</t>
        </is>
      </c>
      <c r="B449" t="inlineStr">
        <is>
          <t>avverkningsanmälan</t>
        </is>
      </c>
      <c r="C449" t="inlineStr">
        <is>
          <t>Föryngringsavverkning</t>
        </is>
      </c>
      <c r="D449" s="1" t="n">
        <v>45155</v>
      </c>
      <c r="E449" s="1" t="n">
        <v>46220</v>
      </c>
      <c r="F449" t="inlineStr">
        <is>
          <t>VÄRMLANDS LÄN</t>
        </is>
      </c>
      <c r="G449" t="inlineStr">
        <is>
          <t>ÅRJÄNG</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45581-2025</t>
        </is>
      </c>
      <c r="B450" t="inlineStr">
        <is>
          <t>avverkningsanmälan</t>
        </is>
      </c>
      <c r="C450" t="inlineStr">
        <is>
          <t>Föryngringsavverkning</t>
        </is>
      </c>
      <c r="D450" s="1" t="n">
        <v>45922</v>
      </c>
      <c r="E450" s="1" t="n">
        <v>46220</v>
      </c>
      <c r="F450" t="inlineStr">
        <is>
          <t>VÄRMLANDS LÄN</t>
        </is>
      </c>
      <c r="G450" t="inlineStr">
        <is>
          <t>ÅRJÄNG</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57142-2024</t>
        </is>
      </c>
      <c r="B451" t="inlineStr">
        <is>
          <t>avverkningsanmälan</t>
        </is>
      </c>
      <c r="C451" t="inlineStr">
        <is>
          <t>Föryngringsavverkning</t>
        </is>
      </c>
      <c r="D451" s="1" t="n">
        <v>45628</v>
      </c>
      <c r="E451" s="1" t="n">
        <v>46220</v>
      </c>
      <c r="F451" t="inlineStr">
        <is>
          <t>VÄRMLANDS LÄN</t>
        </is>
      </c>
      <c r="G451" t="inlineStr">
        <is>
          <t>ÅRJÄNG</t>
        </is>
      </c>
      <c r="I451" t="n">
        <v>5.4</v>
      </c>
      <c r="J451" t="n">
        <v>0</v>
      </c>
      <c r="K451" t="n">
        <v>0</v>
      </c>
      <c r="L451" t="n">
        <v>0</v>
      </c>
      <c r="M451" t="n">
        <v>0</v>
      </c>
      <c r="N451" t="n">
        <v>0</v>
      </c>
      <c r="O451" t="n">
        <v>0</v>
      </c>
      <c r="P451" t="n">
        <v>0</v>
      </c>
      <c r="Q451" t="n">
        <v>0</v>
      </c>
      <c r="R451" t="n">
        <v>0</v>
      </c>
      <c r="S451" t="n">
        <v>0</v>
      </c>
      <c r="T451" t="n">
        <v>0</v>
      </c>
      <c r="U451" s="2" t="inlineStr"/>
    </row>
    <row r="452" ht="15" customHeight="1">
      <c r="A452" t="inlineStr">
        <is>
          <t>A 45515-2025</t>
        </is>
      </c>
      <c r="B452" t="inlineStr">
        <is>
          <t>avverkningsanmälan</t>
        </is>
      </c>
      <c r="C452" t="inlineStr">
        <is>
          <t>Föryngringsavverkning</t>
        </is>
      </c>
      <c r="D452" s="1" t="n">
        <v>45922</v>
      </c>
      <c r="E452" s="1" t="n">
        <v>46220</v>
      </c>
      <c r="F452" t="inlineStr">
        <is>
          <t>VÄRMLANDS LÄN</t>
        </is>
      </c>
      <c r="G452" t="inlineStr">
        <is>
          <t>ÅRJÄNG</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23870-2023</t>
        </is>
      </c>
      <c r="B453" t="inlineStr">
        <is>
          <t>avverkningsanmälan</t>
        </is>
      </c>
      <c r="C453" t="inlineStr">
        <is>
          <t>Föryngringsavverkning</t>
        </is>
      </c>
      <c r="D453" s="1" t="n">
        <v>45078</v>
      </c>
      <c r="E453" s="1" t="n">
        <v>46220</v>
      </c>
      <c r="F453" t="inlineStr">
        <is>
          <t>VÄRMLANDS LÄN</t>
        </is>
      </c>
      <c r="G453" t="inlineStr">
        <is>
          <t>ÅRJÄNG</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33998-2025</t>
        </is>
      </c>
      <c r="B454" t="inlineStr">
        <is>
          <t>avverkningsanmälan</t>
        </is>
      </c>
      <c r="C454" t="inlineStr">
        <is>
          <t>Föryngringsavverkning</t>
        </is>
      </c>
      <c r="D454" s="1" t="n">
        <v>45843</v>
      </c>
      <c r="E454" s="1" t="n">
        <v>46220</v>
      </c>
      <c r="F454" t="inlineStr">
        <is>
          <t>VÄRMLANDS LÄN</t>
        </is>
      </c>
      <c r="G454" t="inlineStr">
        <is>
          <t>ÅRJÄNG</t>
        </is>
      </c>
      <c r="H454" t="inlineStr">
        <is>
          <t>Kyrkan</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74448-2021</t>
        </is>
      </c>
      <c r="B455" t="inlineStr">
        <is>
          <t>avverkningsanmälan</t>
        </is>
      </c>
      <c r="C455" t="inlineStr">
        <is>
          <t>Föryngringsavverkning</t>
        </is>
      </c>
      <c r="D455" s="1" t="n">
        <v>44560</v>
      </c>
      <c r="E455" s="1" t="n">
        <v>46220</v>
      </c>
      <c r="F455" t="inlineStr">
        <is>
          <t>VÄRMLANDS LÄN</t>
        </is>
      </c>
      <c r="G455" t="inlineStr">
        <is>
          <t>ÅRJÄNG</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12907-2022</t>
        </is>
      </c>
      <c r="B456" t="inlineStr">
        <is>
          <t>avverkningsanmälan</t>
        </is>
      </c>
      <c r="C456" t="inlineStr">
        <is>
          <t>Föryngringsavverkning</t>
        </is>
      </c>
      <c r="D456" s="1" t="n">
        <v>44642</v>
      </c>
      <c r="E456" s="1" t="n">
        <v>46220</v>
      </c>
      <c r="F456" t="inlineStr">
        <is>
          <t>VÄRMLANDS LÄN</t>
        </is>
      </c>
      <c r="G456" t="inlineStr">
        <is>
          <t>ÅRJÄNG</t>
        </is>
      </c>
      <c r="I456" t="n">
        <v>7.3</v>
      </c>
      <c r="J456" t="n">
        <v>0</v>
      </c>
      <c r="K456" t="n">
        <v>0</v>
      </c>
      <c r="L456" t="n">
        <v>0</v>
      </c>
      <c r="M456" t="n">
        <v>0</v>
      </c>
      <c r="N456" t="n">
        <v>0</v>
      </c>
      <c r="O456" t="n">
        <v>0</v>
      </c>
      <c r="P456" t="n">
        <v>0</v>
      </c>
      <c r="Q456" t="n">
        <v>0</v>
      </c>
      <c r="R456" t="n">
        <v>0</v>
      </c>
      <c r="S456" t="n">
        <v>0</v>
      </c>
      <c r="T456" t="n">
        <v>0</v>
      </c>
      <c r="U456" s="2" t="inlineStr"/>
    </row>
    <row r="457" ht="15" customHeight="1">
      <c r="A457" t="inlineStr">
        <is>
          <t>A 57178-2023</t>
        </is>
      </c>
      <c r="B457" t="inlineStr">
        <is>
          <t>avverkningsanmälan</t>
        </is>
      </c>
      <c r="C457" t="inlineStr">
        <is>
          <t>Avverkning för annat ändamål</t>
        </is>
      </c>
      <c r="D457" s="1" t="n">
        <v>45240</v>
      </c>
      <c r="E457" s="1" t="n">
        <v>46220</v>
      </c>
      <c r="F457" t="inlineStr">
        <is>
          <t>VÄRMLANDS LÄN</t>
        </is>
      </c>
      <c r="G457" t="inlineStr">
        <is>
          <t>ÅRJÄNG</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45907-2025</t>
        </is>
      </c>
      <c r="B458" t="inlineStr">
        <is>
          <t>avverkningsanmälan</t>
        </is>
      </c>
      <c r="C458" t="inlineStr">
        <is>
          <t>Föryngringsavverkning</t>
        </is>
      </c>
      <c r="D458" s="1" t="n">
        <v>45923</v>
      </c>
      <c r="E458" s="1" t="n">
        <v>46220</v>
      </c>
      <c r="F458" t="inlineStr">
        <is>
          <t>VÄRMLANDS LÄN</t>
        </is>
      </c>
      <c r="G458" t="inlineStr">
        <is>
          <t>ÅRJÄNG</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13784-2024</t>
        </is>
      </c>
      <c r="B459" t="inlineStr">
        <is>
          <t>avverkningsanmälan</t>
        </is>
      </c>
      <c r="C459" t="inlineStr">
        <is>
          <t>Föryngringsavverkning</t>
        </is>
      </c>
      <c r="D459" s="1" t="n">
        <v>45391</v>
      </c>
      <c r="E459" s="1" t="n">
        <v>46220</v>
      </c>
      <c r="F459" t="inlineStr">
        <is>
          <t>VÄRMLANDS LÄN</t>
        </is>
      </c>
      <c r="G459" t="inlineStr">
        <is>
          <t>ÅRJÄNG</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2994-2026</t>
        </is>
      </c>
      <c r="B460" t="inlineStr">
        <is>
          <t>avverkningsanmälan</t>
        </is>
      </c>
      <c r="C460" t="inlineStr">
        <is>
          <t>Föryngringsavverkning</t>
        </is>
      </c>
      <c r="D460" s="1" t="n">
        <v>46038</v>
      </c>
      <c r="E460" s="1" t="n">
        <v>46220</v>
      </c>
      <c r="F460" t="inlineStr">
        <is>
          <t>VÄRMLANDS LÄN</t>
        </is>
      </c>
      <c r="G460" t="inlineStr">
        <is>
          <t>ÅRJÄNG</t>
        </is>
      </c>
      <c r="I460" t="n">
        <v>5.6</v>
      </c>
      <c r="J460" t="n">
        <v>0</v>
      </c>
      <c r="K460" t="n">
        <v>0</v>
      </c>
      <c r="L460" t="n">
        <v>0</v>
      </c>
      <c r="M460" t="n">
        <v>0</v>
      </c>
      <c r="N460" t="n">
        <v>0</v>
      </c>
      <c r="O460" t="n">
        <v>0</v>
      </c>
      <c r="P460" t="n">
        <v>0</v>
      </c>
      <c r="Q460" t="n">
        <v>0</v>
      </c>
      <c r="R460" t="n">
        <v>0</v>
      </c>
      <c r="S460" t="n">
        <v>0</v>
      </c>
      <c r="T460" t="n">
        <v>0</v>
      </c>
      <c r="U460" s="2" t="inlineStr"/>
    </row>
    <row r="461" ht="15" customHeight="1">
      <c r="A461" t="inlineStr">
        <is>
          <t>A 34148-2025</t>
        </is>
      </c>
      <c r="B461" t="inlineStr">
        <is>
          <t>avverkningsanmälan</t>
        </is>
      </c>
      <c r="C461" t="inlineStr">
        <is>
          <t>Föryngringsavverkning</t>
        </is>
      </c>
      <c r="D461" s="1" t="n">
        <v>45844</v>
      </c>
      <c r="E461" s="1" t="n">
        <v>46220</v>
      </c>
      <c r="F461" t="inlineStr">
        <is>
          <t>VÄRMLANDS LÄN</t>
        </is>
      </c>
      <c r="G461" t="inlineStr">
        <is>
          <t>ÅRJÄNG</t>
        </is>
      </c>
      <c r="I461" t="n">
        <v>1.2</v>
      </c>
      <c r="J461" t="n">
        <v>0</v>
      </c>
      <c r="K461" t="n">
        <v>0</v>
      </c>
      <c r="L461" t="n">
        <v>0</v>
      </c>
      <c r="M461" t="n">
        <v>0</v>
      </c>
      <c r="N461" t="n">
        <v>0</v>
      </c>
      <c r="O461" t="n">
        <v>0</v>
      </c>
      <c r="P461" t="n">
        <v>0</v>
      </c>
      <c r="Q461" t="n">
        <v>0</v>
      </c>
      <c r="R461" t="n">
        <v>0</v>
      </c>
      <c r="S461" t="n">
        <v>0</v>
      </c>
      <c r="T461" t="n">
        <v>0</v>
      </c>
      <c r="U461" s="2" t="inlineStr"/>
    </row>
    <row r="462" ht="15" customHeight="1">
      <c r="A462" t="inlineStr">
        <is>
          <t>A 46301-2025</t>
        </is>
      </c>
      <c r="B462" t="inlineStr">
        <is>
          <t>avverkningsanmälan</t>
        </is>
      </c>
      <c r="C462" t="inlineStr">
        <is>
          <t>Föryngringsavverkning</t>
        </is>
      </c>
      <c r="D462" s="1" t="n">
        <v>45925</v>
      </c>
      <c r="E462" s="1" t="n">
        <v>46220</v>
      </c>
      <c r="F462" t="inlineStr">
        <is>
          <t>VÄRMLANDS LÄN</t>
        </is>
      </c>
      <c r="G462" t="inlineStr">
        <is>
          <t>ÅRJÄNG</t>
        </is>
      </c>
      <c r="I462" t="n">
        <v>3.8</v>
      </c>
      <c r="J462" t="n">
        <v>0</v>
      </c>
      <c r="K462" t="n">
        <v>0</v>
      </c>
      <c r="L462" t="n">
        <v>0</v>
      </c>
      <c r="M462" t="n">
        <v>0</v>
      </c>
      <c r="N462" t="n">
        <v>0</v>
      </c>
      <c r="O462" t="n">
        <v>0</v>
      </c>
      <c r="P462" t="n">
        <v>0</v>
      </c>
      <c r="Q462" t="n">
        <v>0</v>
      </c>
      <c r="R462" t="n">
        <v>0</v>
      </c>
      <c r="S462" t="n">
        <v>0</v>
      </c>
      <c r="T462" t="n">
        <v>0</v>
      </c>
      <c r="U462" s="2" t="inlineStr"/>
    </row>
    <row r="463" ht="15" customHeight="1">
      <c r="A463" t="inlineStr">
        <is>
          <t>A 34831-2025</t>
        </is>
      </c>
      <c r="B463" t="inlineStr">
        <is>
          <t>avverkningsanmälan</t>
        </is>
      </c>
      <c r="C463" t="inlineStr">
        <is>
          <t>Föryngringsavverkning</t>
        </is>
      </c>
      <c r="D463" s="1" t="n">
        <v>45849</v>
      </c>
      <c r="E463" s="1" t="n">
        <v>46220</v>
      </c>
      <c r="F463" t="inlineStr">
        <is>
          <t>VÄRMLANDS LÄN</t>
        </is>
      </c>
      <c r="G463" t="inlineStr">
        <is>
          <t>ÅRJÄNG</t>
        </is>
      </c>
      <c r="I463" t="n">
        <v>5.4</v>
      </c>
      <c r="J463" t="n">
        <v>0</v>
      </c>
      <c r="K463" t="n">
        <v>0</v>
      </c>
      <c r="L463" t="n">
        <v>0</v>
      </c>
      <c r="M463" t="n">
        <v>0</v>
      </c>
      <c r="N463" t="n">
        <v>0</v>
      </c>
      <c r="O463" t="n">
        <v>0</v>
      </c>
      <c r="P463" t="n">
        <v>0</v>
      </c>
      <c r="Q463" t="n">
        <v>0</v>
      </c>
      <c r="R463" t="n">
        <v>0</v>
      </c>
      <c r="S463" t="n">
        <v>0</v>
      </c>
      <c r="T463" t="n">
        <v>0</v>
      </c>
      <c r="U463" s="2" t="inlineStr"/>
    </row>
    <row r="464" ht="15" customHeight="1">
      <c r="A464" t="inlineStr">
        <is>
          <t>A 47981-2023</t>
        </is>
      </c>
      <c r="B464" t="inlineStr">
        <is>
          <t>avverkningsanmälan</t>
        </is>
      </c>
      <c r="C464" t="inlineStr">
        <is>
          <t>Föryngringsavverkning</t>
        </is>
      </c>
      <c r="D464" s="1" t="n">
        <v>45198</v>
      </c>
      <c r="E464" s="1" t="n">
        <v>46220</v>
      </c>
      <c r="F464" t="inlineStr">
        <is>
          <t>VÄRMLANDS LÄN</t>
        </is>
      </c>
      <c r="G464" t="inlineStr">
        <is>
          <t>ÅRJÄNG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46942-2025</t>
        </is>
      </c>
      <c r="B465" t="inlineStr">
        <is>
          <t>avverkningsanmälan</t>
        </is>
      </c>
      <c r="C465" t="inlineStr">
        <is>
          <t>Föryngringsavverkning</t>
        </is>
      </c>
      <c r="D465" s="1" t="n">
        <v>45929</v>
      </c>
      <c r="E465" s="1" t="n">
        <v>46220</v>
      </c>
      <c r="F465" t="inlineStr">
        <is>
          <t>VÄRMLANDS LÄN</t>
        </is>
      </c>
      <c r="G465" t="inlineStr">
        <is>
          <t>ÅRJÄNG</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34840-2025</t>
        </is>
      </c>
      <c r="B466" t="inlineStr">
        <is>
          <t>avverkningsanmälan</t>
        </is>
      </c>
      <c r="C466" t="inlineStr">
        <is>
          <t>Föryngringsavverkning</t>
        </is>
      </c>
      <c r="D466" s="1" t="n">
        <v>45849</v>
      </c>
      <c r="E466" s="1" t="n">
        <v>46220</v>
      </c>
      <c r="F466" t="inlineStr">
        <is>
          <t>VÄRMLANDS LÄN</t>
        </is>
      </c>
      <c r="G466" t="inlineStr">
        <is>
          <t>ÅRJÄNG</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47007-2025</t>
        </is>
      </c>
      <c r="B467" t="inlineStr">
        <is>
          <t>avverkningsanmälan</t>
        </is>
      </c>
      <c r="C467" t="inlineStr">
        <is>
          <t>Föryngringsavverkning</t>
        </is>
      </c>
      <c r="D467" s="1" t="n">
        <v>45929</v>
      </c>
      <c r="E467" s="1" t="n">
        <v>46220</v>
      </c>
      <c r="F467" t="inlineStr">
        <is>
          <t>VÄRMLANDS LÄN</t>
        </is>
      </c>
      <c r="G467" t="inlineStr">
        <is>
          <t>ÅRJÄNG</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34839-2025</t>
        </is>
      </c>
      <c r="B468" t="inlineStr">
        <is>
          <t>avverkningsanmälan</t>
        </is>
      </c>
      <c r="C468" t="inlineStr">
        <is>
          <t>Föryngringsavverkning</t>
        </is>
      </c>
      <c r="D468" s="1" t="n">
        <v>45849</v>
      </c>
      <c r="E468" s="1" t="n">
        <v>46220</v>
      </c>
      <c r="F468" t="inlineStr">
        <is>
          <t>VÄRMLANDS LÄN</t>
        </is>
      </c>
      <c r="G468" t="inlineStr">
        <is>
          <t>ÅRJÄNG</t>
        </is>
      </c>
      <c r="I468" t="n">
        <v>3.7</v>
      </c>
      <c r="J468" t="n">
        <v>0</v>
      </c>
      <c r="K468" t="n">
        <v>0</v>
      </c>
      <c r="L468" t="n">
        <v>0</v>
      </c>
      <c r="M468" t="n">
        <v>0</v>
      </c>
      <c r="N468" t="n">
        <v>0</v>
      </c>
      <c r="O468" t="n">
        <v>0</v>
      </c>
      <c r="P468" t="n">
        <v>0</v>
      </c>
      <c r="Q468" t="n">
        <v>0</v>
      </c>
      <c r="R468" t="n">
        <v>0</v>
      </c>
      <c r="S468" t="n">
        <v>0</v>
      </c>
      <c r="T468" t="n">
        <v>0</v>
      </c>
      <c r="U468" s="2" t="inlineStr"/>
    </row>
    <row r="469" ht="15" customHeight="1">
      <c r="A469" t="inlineStr">
        <is>
          <t>A 47112-2025</t>
        </is>
      </c>
      <c r="B469" t="inlineStr">
        <is>
          <t>avverkningsanmälan</t>
        </is>
      </c>
      <c r="C469" t="inlineStr">
        <is>
          <t>Föryngringsavverkning</t>
        </is>
      </c>
      <c r="D469" s="1" t="n">
        <v>45929</v>
      </c>
      <c r="E469" s="1" t="n">
        <v>46220</v>
      </c>
      <c r="F469" t="inlineStr">
        <is>
          <t>VÄRMLANDS LÄN</t>
        </is>
      </c>
      <c r="G469" t="inlineStr">
        <is>
          <t>ÅRJÄNG</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34159-2025</t>
        </is>
      </c>
      <c r="B470" t="inlineStr">
        <is>
          <t>avverkningsanmälan</t>
        </is>
      </c>
      <c r="C470" t="inlineStr">
        <is>
          <t>Föryngringsavverkning</t>
        </is>
      </c>
      <c r="D470" s="1" t="n">
        <v>45844</v>
      </c>
      <c r="E470" s="1" t="n">
        <v>46220</v>
      </c>
      <c r="F470" t="inlineStr">
        <is>
          <t>VÄRMLANDS LÄN</t>
        </is>
      </c>
      <c r="G470" t="inlineStr">
        <is>
          <t>ÅRJÄNG</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34163-2025</t>
        </is>
      </c>
      <c r="B471" t="inlineStr">
        <is>
          <t>avverkningsanmälan</t>
        </is>
      </c>
      <c r="C471" t="inlineStr">
        <is>
          <t>Föryngringsavverkning</t>
        </is>
      </c>
      <c r="D471" s="1" t="n">
        <v>45844</v>
      </c>
      <c r="E471" s="1" t="n">
        <v>46220</v>
      </c>
      <c r="F471" t="inlineStr">
        <is>
          <t>VÄRMLANDS LÄN</t>
        </is>
      </c>
      <c r="G471" t="inlineStr">
        <is>
          <t>ÅRJÄNG</t>
        </is>
      </c>
      <c r="I471" t="n">
        <v>4.5</v>
      </c>
      <c r="J471" t="n">
        <v>0</v>
      </c>
      <c r="K471" t="n">
        <v>0</v>
      </c>
      <c r="L471" t="n">
        <v>0</v>
      </c>
      <c r="M471" t="n">
        <v>0</v>
      </c>
      <c r="N471" t="n">
        <v>0</v>
      </c>
      <c r="O471" t="n">
        <v>0</v>
      </c>
      <c r="P471" t="n">
        <v>0</v>
      </c>
      <c r="Q471" t="n">
        <v>0</v>
      </c>
      <c r="R471" t="n">
        <v>0</v>
      </c>
      <c r="S471" t="n">
        <v>0</v>
      </c>
      <c r="T471" t="n">
        <v>0</v>
      </c>
      <c r="U471" s="2" t="inlineStr"/>
    </row>
    <row r="472" ht="15" customHeight="1">
      <c r="A472" t="inlineStr">
        <is>
          <t>A 3861-2025</t>
        </is>
      </c>
      <c r="B472" t="inlineStr">
        <is>
          <t>avverkningsanmälan</t>
        </is>
      </c>
      <c r="C472" t="inlineStr">
        <is>
          <t>Föryngringsavverkning</t>
        </is>
      </c>
      <c r="D472" s="1" t="n">
        <v>45683</v>
      </c>
      <c r="E472" s="1" t="n">
        <v>46220</v>
      </c>
      <c r="F472" t="inlineStr">
        <is>
          <t>VÄRMLANDS LÄN</t>
        </is>
      </c>
      <c r="G472" t="inlineStr">
        <is>
          <t>ÅRJÄNG</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51258-2022</t>
        </is>
      </c>
      <c r="B473" t="inlineStr">
        <is>
          <t>avverkningsanmälan</t>
        </is>
      </c>
      <c r="C473" t="inlineStr">
        <is>
          <t>Föryngringsavverkning</t>
        </is>
      </c>
      <c r="D473" s="1" t="n">
        <v>44868</v>
      </c>
      <c r="E473" s="1" t="n">
        <v>46220</v>
      </c>
      <c r="F473" t="inlineStr">
        <is>
          <t>VÄRMLANDS LÄN</t>
        </is>
      </c>
      <c r="G473" t="inlineStr">
        <is>
          <t>ÅRJÄNG</t>
        </is>
      </c>
      <c r="I473" t="n">
        <v>2.6</v>
      </c>
      <c r="J473" t="n">
        <v>0</v>
      </c>
      <c r="K473" t="n">
        <v>0</v>
      </c>
      <c r="L473" t="n">
        <v>0</v>
      </c>
      <c r="M473" t="n">
        <v>0</v>
      </c>
      <c r="N473" t="n">
        <v>0</v>
      </c>
      <c r="O473" t="n">
        <v>0</v>
      </c>
      <c r="P473" t="n">
        <v>0</v>
      </c>
      <c r="Q473" t="n">
        <v>0</v>
      </c>
      <c r="R473" t="n">
        <v>0</v>
      </c>
      <c r="S473" t="n">
        <v>0</v>
      </c>
      <c r="T473" t="n">
        <v>0</v>
      </c>
      <c r="U473" s="2" t="inlineStr"/>
    </row>
    <row r="474" ht="15" customHeight="1">
      <c r="A474" t="inlineStr">
        <is>
          <t>A 51269-2022</t>
        </is>
      </c>
      <c r="B474" t="inlineStr">
        <is>
          <t>avverkningsanmälan</t>
        </is>
      </c>
      <c r="C474" t="inlineStr">
        <is>
          <t>Föryngringsavverkning</t>
        </is>
      </c>
      <c r="D474" s="1" t="n">
        <v>44868</v>
      </c>
      <c r="E474" s="1" t="n">
        <v>46220</v>
      </c>
      <c r="F474" t="inlineStr">
        <is>
          <t>VÄRMLANDS LÄN</t>
        </is>
      </c>
      <c r="G474" t="inlineStr">
        <is>
          <t>ÅRJÄNG</t>
        </is>
      </c>
      <c r="I474" t="n">
        <v>2.1</v>
      </c>
      <c r="J474" t="n">
        <v>0</v>
      </c>
      <c r="K474" t="n">
        <v>0</v>
      </c>
      <c r="L474" t="n">
        <v>0</v>
      </c>
      <c r="M474" t="n">
        <v>0</v>
      </c>
      <c r="N474" t="n">
        <v>0</v>
      </c>
      <c r="O474" t="n">
        <v>0</v>
      </c>
      <c r="P474" t="n">
        <v>0</v>
      </c>
      <c r="Q474" t="n">
        <v>0</v>
      </c>
      <c r="R474" t="n">
        <v>0</v>
      </c>
      <c r="S474" t="n">
        <v>0</v>
      </c>
      <c r="T474" t="n">
        <v>0</v>
      </c>
      <c r="U474" s="2" t="inlineStr"/>
    </row>
    <row r="475" ht="15" customHeight="1">
      <c r="A475" t="inlineStr">
        <is>
          <t>A 35414-2025</t>
        </is>
      </c>
      <c r="B475" t="inlineStr">
        <is>
          <t>avverkningsanmälan</t>
        </is>
      </c>
      <c r="C475" t="inlineStr">
        <is>
          <t>Föryngringsavverkning</t>
        </is>
      </c>
      <c r="D475" s="1" t="n">
        <v>45855</v>
      </c>
      <c r="E475" s="1" t="n">
        <v>46220</v>
      </c>
      <c r="F475" t="inlineStr">
        <is>
          <t>VÄRMLANDS LÄN</t>
        </is>
      </c>
      <c r="G475" t="inlineStr">
        <is>
          <t>ÅRJÄNG</t>
        </is>
      </c>
      <c r="H475" t="inlineStr">
        <is>
          <t>Bergvik skog väst AB</t>
        </is>
      </c>
      <c r="I475" t="n">
        <v>6.8</v>
      </c>
      <c r="J475" t="n">
        <v>0</v>
      </c>
      <c r="K475" t="n">
        <v>0</v>
      </c>
      <c r="L475" t="n">
        <v>0</v>
      </c>
      <c r="M475" t="n">
        <v>0</v>
      </c>
      <c r="N475" t="n">
        <v>0</v>
      </c>
      <c r="O475" t="n">
        <v>0</v>
      </c>
      <c r="P475" t="n">
        <v>0</v>
      </c>
      <c r="Q475" t="n">
        <v>0</v>
      </c>
      <c r="R475" t="n">
        <v>0</v>
      </c>
      <c r="S475" t="n">
        <v>0</v>
      </c>
      <c r="T475" t="n">
        <v>0</v>
      </c>
      <c r="U475" s="2" t="inlineStr"/>
    </row>
    <row r="476" ht="15" customHeight="1">
      <c r="A476" t="inlineStr">
        <is>
          <t>A 58491-2023</t>
        </is>
      </c>
      <c r="B476" t="inlineStr">
        <is>
          <t>avverkningsanmälan</t>
        </is>
      </c>
      <c r="C476" t="inlineStr">
        <is>
          <t>Föryngringsavverkning</t>
        </is>
      </c>
      <c r="D476" s="1" t="n">
        <v>45246</v>
      </c>
      <c r="E476" s="1" t="n">
        <v>46220</v>
      </c>
      <c r="F476" t="inlineStr">
        <is>
          <t>VÄRMLANDS LÄN</t>
        </is>
      </c>
      <c r="G476" t="inlineStr">
        <is>
          <t>ÅRJÄNG</t>
        </is>
      </c>
      <c r="I476" t="n">
        <v>11.4</v>
      </c>
      <c r="J476" t="n">
        <v>0</v>
      </c>
      <c r="K476" t="n">
        <v>0</v>
      </c>
      <c r="L476" t="n">
        <v>0</v>
      </c>
      <c r="M476" t="n">
        <v>0</v>
      </c>
      <c r="N476" t="n">
        <v>0</v>
      </c>
      <c r="O476" t="n">
        <v>0</v>
      </c>
      <c r="P476" t="n">
        <v>0</v>
      </c>
      <c r="Q476" t="n">
        <v>0</v>
      </c>
      <c r="R476" t="n">
        <v>0</v>
      </c>
      <c r="S476" t="n">
        <v>0</v>
      </c>
      <c r="T476" t="n">
        <v>0</v>
      </c>
      <c r="U476" s="2" t="inlineStr"/>
    </row>
    <row r="477" ht="15" customHeight="1">
      <c r="A477" t="inlineStr">
        <is>
          <t>A 46645-2025</t>
        </is>
      </c>
      <c r="B477" t="inlineStr">
        <is>
          <t>avverkningsanmälan</t>
        </is>
      </c>
      <c r="C477" t="inlineStr">
        <is>
          <t>Föryngringsavverkning</t>
        </is>
      </c>
      <c r="D477" s="1" t="n">
        <v>45926</v>
      </c>
      <c r="E477" s="1" t="n">
        <v>46220</v>
      </c>
      <c r="F477" t="inlineStr">
        <is>
          <t>VÄRMLANDS LÄN</t>
        </is>
      </c>
      <c r="G477" t="inlineStr">
        <is>
          <t>ÅRJÄNG</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47623-2025</t>
        </is>
      </c>
      <c r="B478" t="inlineStr">
        <is>
          <t>avverkningsanmälan</t>
        </is>
      </c>
      <c r="C478" t="inlineStr">
        <is>
          <t>Föryngringsavverkning</t>
        </is>
      </c>
      <c r="D478" s="1" t="n">
        <v>45931</v>
      </c>
      <c r="E478" s="1" t="n">
        <v>46220</v>
      </c>
      <c r="F478" t="inlineStr">
        <is>
          <t>VÄRMLANDS LÄN</t>
        </is>
      </c>
      <c r="G478" t="inlineStr">
        <is>
          <t>ÅRJÄNG</t>
        </is>
      </c>
      <c r="H478" t="inlineStr">
        <is>
          <t>Bergvik skog väst AB</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25495-2024</t>
        </is>
      </c>
      <c r="B479" t="inlineStr">
        <is>
          <t>avverkningsanmälan</t>
        </is>
      </c>
      <c r="C479" t="inlineStr">
        <is>
          <t>Föryngringsavverkning</t>
        </is>
      </c>
      <c r="D479" s="1" t="n">
        <v>45463</v>
      </c>
      <c r="E479" s="1" t="n">
        <v>46220</v>
      </c>
      <c r="F479" t="inlineStr">
        <is>
          <t>VÄRMLANDS LÄN</t>
        </is>
      </c>
      <c r="G479" t="inlineStr">
        <is>
          <t>ÅRJÄNG</t>
        </is>
      </c>
      <c r="H479" t="inlineStr">
        <is>
          <t>Kyrkan</t>
        </is>
      </c>
      <c r="I479" t="n">
        <v>9.800000000000001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47604-2025</t>
        </is>
      </c>
      <c r="B480" t="inlineStr">
        <is>
          <t>avverkningsanmälan</t>
        </is>
      </c>
      <c r="C480" t="inlineStr">
        <is>
          <t>Föryngringsavverkning</t>
        </is>
      </c>
      <c r="D480" s="1" t="n">
        <v>45931</v>
      </c>
      <c r="E480" s="1" t="n">
        <v>46220</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47028-2024</t>
        </is>
      </c>
      <c r="B481" t="inlineStr">
        <is>
          <t>avverkningsanmälan</t>
        </is>
      </c>
      <c r="C481" t="inlineStr">
        <is>
          <t>Föryngringsavverkning</t>
        </is>
      </c>
      <c r="D481" s="1" t="n">
        <v>45586</v>
      </c>
      <c r="E481" s="1" t="n">
        <v>46220</v>
      </c>
      <c r="F481" t="inlineStr">
        <is>
          <t>VÄRMLANDS LÄN</t>
        </is>
      </c>
      <c r="G481" t="inlineStr">
        <is>
          <t>ÅRJÄNG</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45994-2025</t>
        </is>
      </c>
      <c r="B482" t="inlineStr">
        <is>
          <t>avverkningsanmälan</t>
        </is>
      </c>
      <c r="C482" t="inlineStr">
        <is>
          <t>Föryngringsavverkning</t>
        </is>
      </c>
      <c r="D482" s="1" t="n">
        <v>45924</v>
      </c>
      <c r="E482" s="1" t="n">
        <v>46220</v>
      </c>
      <c r="F482" t="inlineStr">
        <is>
          <t>VÄRMLANDS LÄN</t>
        </is>
      </c>
      <c r="G482" t="inlineStr">
        <is>
          <t>ÅRJÄNG</t>
        </is>
      </c>
      <c r="I482" t="n">
        <v>4</v>
      </c>
      <c r="J482" t="n">
        <v>0</v>
      </c>
      <c r="K482" t="n">
        <v>0</v>
      </c>
      <c r="L482" t="n">
        <v>0</v>
      </c>
      <c r="M482" t="n">
        <v>0</v>
      </c>
      <c r="N482" t="n">
        <v>0</v>
      </c>
      <c r="O482" t="n">
        <v>0</v>
      </c>
      <c r="P482" t="n">
        <v>0</v>
      </c>
      <c r="Q482" t="n">
        <v>0</v>
      </c>
      <c r="R482" t="n">
        <v>0</v>
      </c>
      <c r="S482" t="n">
        <v>0</v>
      </c>
      <c r="T482" t="n">
        <v>0</v>
      </c>
      <c r="U482" s="2" t="inlineStr"/>
    </row>
    <row r="483" ht="15" customHeight="1">
      <c r="A483" t="inlineStr">
        <is>
          <t>A 46023-2025</t>
        </is>
      </c>
      <c r="B483" t="inlineStr">
        <is>
          <t>avverkningsanmälan</t>
        </is>
      </c>
      <c r="C483" t="inlineStr">
        <is>
          <t>Föryngringsavverkning</t>
        </is>
      </c>
      <c r="D483" s="1" t="n">
        <v>45924</v>
      </c>
      <c r="E483" s="1" t="n">
        <v>46220</v>
      </c>
      <c r="F483" t="inlineStr">
        <is>
          <t>VÄRMLANDS LÄN</t>
        </is>
      </c>
      <c r="G483" t="inlineStr">
        <is>
          <t>ÅRJÄNG</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47572-2025</t>
        </is>
      </c>
      <c r="B484" t="inlineStr">
        <is>
          <t>avverkningsanmälan</t>
        </is>
      </c>
      <c r="C484" t="inlineStr">
        <is>
          <t>Föryngringsavverkning</t>
        </is>
      </c>
      <c r="D484" s="1" t="n">
        <v>45931</v>
      </c>
      <c r="E484" s="1" t="n">
        <v>46220</v>
      </c>
      <c r="F484" t="inlineStr">
        <is>
          <t>VÄRMLANDS LÄN</t>
        </is>
      </c>
      <c r="G484" t="inlineStr">
        <is>
          <t>ÅRJÄNG</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60903-2023</t>
        </is>
      </c>
      <c r="B485" t="inlineStr">
        <is>
          <t>avverkningsanmälan</t>
        </is>
      </c>
      <c r="C485" t="inlineStr">
        <is>
          <t>Föryngringsavverkning</t>
        </is>
      </c>
      <c r="D485" s="1" t="n">
        <v>45261</v>
      </c>
      <c r="E485" s="1" t="n">
        <v>46220</v>
      </c>
      <c r="F485" t="inlineStr">
        <is>
          <t>VÄRMLANDS LÄN</t>
        </is>
      </c>
      <c r="G485" t="inlineStr">
        <is>
          <t>ÅRJÄNG</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47426-2025</t>
        </is>
      </c>
      <c r="B486" t="inlineStr">
        <is>
          <t>avverkningsanmälan</t>
        </is>
      </c>
      <c r="C486" t="inlineStr">
        <is>
          <t>Föryngringsavverkning</t>
        </is>
      </c>
      <c r="D486" s="1" t="n">
        <v>45930</v>
      </c>
      <c r="E486" s="1" t="n">
        <v>46220</v>
      </c>
      <c r="F486" t="inlineStr">
        <is>
          <t>VÄRMLANDS LÄN</t>
        </is>
      </c>
      <c r="G486" t="inlineStr">
        <is>
          <t>ÅRJÄNG</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47502-2025</t>
        </is>
      </c>
      <c r="B487" t="inlineStr">
        <is>
          <t>avverkningsanmälan</t>
        </is>
      </c>
      <c r="C487" t="inlineStr">
        <is>
          <t>Föryngringsavverkning</t>
        </is>
      </c>
      <c r="D487" s="1" t="n">
        <v>45930</v>
      </c>
      <c r="E487" s="1" t="n">
        <v>46220</v>
      </c>
      <c r="F487" t="inlineStr">
        <is>
          <t>VÄRMLANDS LÄN</t>
        </is>
      </c>
      <c r="G487" t="inlineStr">
        <is>
          <t>ÅRJÄNG</t>
        </is>
      </c>
      <c r="I487" t="n">
        <v>10.5</v>
      </c>
      <c r="J487" t="n">
        <v>0</v>
      </c>
      <c r="K487" t="n">
        <v>0</v>
      </c>
      <c r="L487" t="n">
        <v>0</v>
      </c>
      <c r="M487" t="n">
        <v>0</v>
      </c>
      <c r="N487" t="n">
        <v>0</v>
      </c>
      <c r="O487" t="n">
        <v>0</v>
      </c>
      <c r="P487" t="n">
        <v>0</v>
      </c>
      <c r="Q487" t="n">
        <v>0</v>
      </c>
      <c r="R487" t="n">
        <v>0</v>
      </c>
      <c r="S487" t="n">
        <v>0</v>
      </c>
      <c r="T487" t="n">
        <v>0</v>
      </c>
      <c r="U487" s="2" t="inlineStr"/>
    </row>
    <row r="488" ht="15" customHeight="1">
      <c r="A488" t="inlineStr">
        <is>
          <t>A 49780-2024</t>
        </is>
      </c>
      <c r="B488" t="inlineStr">
        <is>
          <t>avverkningsanmälan</t>
        </is>
      </c>
      <c r="C488" t="inlineStr">
        <is>
          <t>Föryngringsavverkning</t>
        </is>
      </c>
      <c r="D488" s="1" t="n">
        <v>45597</v>
      </c>
      <c r="E488" s="1" t="n">
        <v>46220</v>
      </c>
      <c r="F488" t="inlineStr">
        <is>
          <t>VÄRMLANDS LÄN</t>
        </is>
      </c>
      <c r="G488" t="inlineStr">
        <is>
          <t>ÅRJÄNG</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35726-2022</t>
        </is>
      </c>
      <c r="B489" t="inlineStr">
        <is>
          <t>avverkningsanmälan</t>
        </is>
      </c>
      <c r="C489" t="inlineStr">
        <is>
          <t>Föryngringsavverkning</t>
        </is>
      </c>
      <c r="D489" s="1" t="n">
        <v>44799</v>
      </c>
      <c r="E489" s="1" t="n">
        <v>46220</v>
      </c>
      <c r="F489" t="inlineStr">
        <is>
          <t>VÄRMLANDS LÄN</t>
        </is>
      </c>
      <c r="G489" t="inlineStr">
        <is>
          <t>ÅRJÄNG</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15248-2025</t>
        </is>
      </c>
      <c r="B490" t="inlineStr">
        <is>
          <t>avverkningsanmälan</t>
        </is>
      </c>
      <c r="C490" t="inlineStr">
        <is>
          <t>Föryngringsavverkning</t>
        </is>
      </c>
      <c r="D490" s="1" t="n">
        <v>45744</v>
      </c>
      <c r="E490" s="1" t="n">
        <v>46220</v>
      </c>
      <c r="F490" t="inlineStr">
        <is>
          <t>VÄRMLANDS LÄN</t>
        </is>
      </c>
      <c r="G490" t="inlineStr">
        <is>
          <t>ÅRJÄNG</t>
        </is>
      </c>
      <c r="I490" t="n">
        <v>3.2</v>
      </c>
      <c r="J490" t="n">
        <v>0</v>
      </c>
      <c r="K490" t="n">
        <v>0</v>
      </c>
      <c r="L490" t="n">
        <v>0</v>
      </c>
      <c r="M490" t="n">
        <v>0</v>
      </c>
      <c r="N490" t="n">
        <v>0</v>
      </c>
      <c r="O490" t="n">
        <v>0</v>
      </c>
      <c r="P490" t="n">
        <v>0</v>
      </c>
      <c r="Q490" t="n">
        <v>0</v>
      </c>
      <c r="R490" t="n">
        <v>0</v>
      </c>
      <c r="S490" t="n">
        <v>0</v>
      </c>
      <c r="T490" t="n">
        <v>0</v>
      </c>
      <c r="U490" s="2" t="inlineStr"/>
    </row>
    <row r="491" ht="15" customHeight="1">
      <c r="A491" t="inlineStr">
        <is>
          <t>A 2895-2026</t>
        </is>
      </c>
      <c r="B491" t="inlineStr">
        <is>
          <t>avverkningsanmälan</t>
        </is>
      </c>
      <c r="C491" t="inlineStr">
        <is>
          <t>Föryngringsavverkning</t>
        </is>
      </c>
      <c r="D491" s="1" t="n">
        <v>46038</v>
      </c>
      <c r="E491" s="1" t="n">
        <v>46220</v>
      </c>
      <c r="F491" t="inlineStr">
        <is>
          <t>VÄRMLANDS LÄN</t>
        </is>
      </c>
      <c r="G491" t="inlineStr">
        <is>
          <t>ÅRJÄNG</t>
        </is>
      </c>
      <c r="I491" t="n">
        <v>3.2</v>
      </c>
      <c r="J491" t="n">
        <v>0</v>
      </c>
      <c r="K491" t="n">
        <v>0</v>
      </c>
      <c r="L491" t="n">
        <v>0</v>
      </c>
      <c r="M491" t="n">
        <v>0</v>
      </c>
      <c r="N491" t="n">
        <v>0</v>
      </c>
      <c r="O491" t="n">
        <v>0</v>
      </c>
      <c r="P491" t="n">
        <v>0</v>
      </c>
      <c r="Q491" t="n">
        <v>0</v>
      </c>
      <c r="R491" t="n">
        <v>0</v>
      </c>
      <c r="S491" t="n">
        <v>0</v>
      </c>
      <c r="T491" t="n">
        <v>0</v>
      </c>
      <c r="U491" s="2" t="inlineStr"/>
    </row>
    <row r="492" ht="15" customHeight="1">
      <c r="A492" t="inlineStr">
        <is>
          <t>A 48805-2022</t>
        </is>
      </c>
      <c r="B492" t="inlineStr">
        <is>
          <t>avverkningsanmälan</t>
        </is>
      </c>
      <c r="C492" t="inlineStr">
        <is>
          <t>Föryngringsavverkning</t>
        </is>
      </c>
      <c r="D492" s="1" t="n">
        <v>44854</v>
      </c>
      <c r="E492" s="1" t="n">
        <v>46220</v>
      </c>
      <c r="F492" t="inlineStr">
        <is>
          <t>VÄRMLANDS LÄN</t>
        </is>
      </c>
      <c r="G492" t="inlineStr">
        <is>
          <t>ÅRJÄNG</t>
        </is>
      </c>
      <c r="I492" t="n">
        <v>4</v>
      </c>
      <c r="J492" t="n">
        <v>0</v>
      </c>
      <c r="K492" t="n">
        <v>0</v>
      </c>
      <c r="L492" t="n">
        <v>0</v>
      </c>
      <c r="M492" t="n">
        <v>0</v>
      </c>
      <c r="N492" t="n">
        <v>0</v>
      </c>
      <c r="O492" t="n">
        <v>0</v>
      </c>
      <c r="P492" t="n">
        <v>0</v>
      </c>
      <c r="Q492" t="n">
        <v>0</v>
      </c>
      <c r="R492" t="n">
        <v>0</v>
      </c>
      <c r="S492" t="n">
        <v>0</v>
      </c>
      <c r="T492" t="n">
        <v>0</v>
      </c>
      <c r="U492" s="2" t="inlineStr"/>
    </row>
    <row r="493" ht="15" customHeight="1">
      <c r="A493" t="inlineStr">
        <is>
          <t>A 2866-2026</t>
        </is>
      </c>
      <c r="B493" t="inlineStr">
        <is>
          <t>avverkningsanmälan</t>
        </is>
      </c>
      <c r="C493" t="inlineStr">
        <is>
          <t>Föryngringsavverkning</t>
        </is>
      </c>
      <c r="D493" s="1" t="n">
        <v>46038</v>
      </c>
      <c r="E493" s="1" t="n">
        <v>46220</v>
      </c>
      <c r="F493" t="inlineStr">
        <is>
          <t>VÄRMLANDS LÄN</t>
        </is>
      </c>
      <c r="G493" t="inlineStr">
        <is>
          <t>ÅRJÄNG</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35869-2025</t>
        </is>
      </c>
      <c r="B494" t="inlineStr">
        <is>
          <t>avverkningsanmälan</t>
        </is>
      </c>
      <c r="C494" t="inlineStr">
        <is>
          <t>Föryngringsavverkning</t>
        </is>
      </c>
      <c r="D494" s="1" t="n">
        <v>45862</v>
      </c>
      <c r="E494" s="1" t="n">
        <v>46220</v>
      </c>
      <c r="F494" t="inlineStr">
        <is>
          <t>VÄRMLANDS LÄN</t>
        </is>
      </c>
      <c r="G494" t="inlineStr">
        <is>
          <t>ÅRJÄNG</t>
        </is>
      </c>
      <c r="H494" t="inlineStr">
        <is>
          <t>Bergvik skog väst AB</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19410-2024</t>
        </is>
      </c>
      <c r="B495" t="inlineStr">
        <is>
          <t>avverkningsanmälan</t>
        </is>
      </c>
      <c r="C495" t="inlineStr">
        <is>
          <t>Föryngringsavverkning</t>
        </is>
      </c>
      <c r="D495" s="1" t="n">
        <v>45429</v>
      </c>
      <c r="E495" s="1" t="n">
        <v>46220</v>
      </c>
      <c r="F495" t="inlineStr">
        <is>
          <t>VÄRMLANDS LÄN</t>
        </is>
      </c>
      <c r="G495" t="inlineStr">
        <is>
          <t>ÅRJÄNG</t>
        </is>
      </c>
      <c r="I495" t="n">
        <v>7.9</v>
      </c>
      <c r="J495" t="n">
        <v>0</v>
      </c>
      <c r="K495" t="n">
        <v>0</v>
      </c>
      <c r="L495" t="n">
        <v>0</v>
      </c>
      <c r="M495" t="n">
        <v>0</v>
      </c>
      <c r="N495" t="n">
        <v>0</v>
      </c>
      <c r="O495" t="n">
        <v>0</v>
      </c>
      <c r="P495" t="n">
        <v>0</v>
      </c>
      <c r="Q495" t="n">
        <v>0</v>
      </c>
      <c r="R495" t="n">
        <v>0</v>
      </c>
      <c r="S495" t="n">
        <v>0</v>
      </c>
      <c r="T495" t="n">
        <v>0</v>
      </c>
      <c r="U495" s="2" t="inlineStr"/>
    </row>
    <row r="496" ht="15" customHeight="1">
      <c r="A496" t="inlineStr">
        <is>
          <t>A 48225-2025</t>
        </is>
      </c>
      <c r="B496" t="inlineStr">
        <is>
          <t>avverkningsanmälan</t>
        </is>
      </c>
      <c r="C496" t="inlineStr">
        <is>
          <t>Föryngringsavverkning</t>
        </is>
      </c>
      <c r="D496" s="1" t="n">
        <v>45933</v>
      </c>
      <c r="E496" s="1" t="n">
        <v>46220</v>
      </c>
      <c r="F496" t="inlineStr">
        <is>
          <t>VÄRMLANDS LÄN</t>
        </is>
      </c>
      <c r="G496" t="inlineStr">
        <is>
          <t>ÅRJÄNG</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2889-2026</t>
        </is>
      </c>
      <c r="B497" t="inlineStr">
        <is>
          <t>avverkningsanmälan</t>
        </is>
      </c>
      <c r="C497" t="inlineStr">
        <is>
          <t>Föryngringsavverkning</t>
        </is>
      </c>
      <c r="D497" s="1" t="n">
        <v>46038</v>
      </c>
      <c r="E497" s="1" t="n">
        <v>46220</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36143-2025</t>
        </is>
      </c>
      <c r="B498" t="inlineStr">
        <is>
          <t>avverkningsanmälan</t>
        </is>
      </c>
      <c r="C498" t="inlineStr">
        <is>
          <t>Föryngringsavverkning</t>
        </is>
      </c>
      <c r="D498" s="1" t="n">
        <v>45866</v>
      </c>
      <c r="E498" s="1" t="n">
        <v>46220</v>
      </c>
      <c r="F498" t="inlineStr">
        <is>
          <t>VÄRMLANDS LÄN</t>
        </is>
      </c>
      <c r="G498" t="inlineStr">
        <is>
          <t>ÅRJÄNG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57306-2023</t>
        </is>
      </c>
      <c r="B499" t="inlineStr">
        <is>
          <t>avverkningsanmälan</t>
        </is>
      </c>
      <c r="C499" t="inlineStr">
        <is>
          <t>Föryngringsavverkning</t>
        </is>
      </c>
      <c r="D499" s="1" t="n">
        <v>45245</v>
      </c>
      <c r="E499" s="1" t="n">
        <v>46220</v>
      </c>
      <c r="F499" t="inlineStr">
        <is>
          <t>VÄRMLANDS LÄN</t>
        </is>
      </c>
      <c r="G499" t="inlineStr">
        <is>
          <t>ÅRJÄNG</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59784-2023</t>
        </is>
      </c>
      <c r="B500" t="inlineStr">
        <is>
          <t>avverkningsanmälan</t>
        </is>
      </c>
      <c r="C500" t="inlineStr">
        <is>
          <t>Föryngringsavverkning</t>
        </is>
      </c>
      <c r="D500" s="1" t="n">
        <v>45257</v>
      </c>
      <c r="E500" s="1" t="n">
        <v>46220</v>
      </c>
      <c r="F500" t="inlineStr">
        <is>
          <t>VÄRMLANDS LÄN</t>
        </is>
      </c>
      <c r="G500" t="inlineStr">
        <is>
          <t>ÅRJÄNG</t>
        </is>
      </c>
      <c r="I500" t="n">
        <v>3.1</v>
      </c>
      <c r="J500" t="n">
        <v>0</v>
      </c>
      <c r="K500" t="n">
        <v>0</v>
      </c>
      <c r="L500" t="n">
        <v>0</v>
      </c>
      <c r="M500" t="n">
        <v>0</v>
      </c>
      <c r="N500" t="n">
        <v>0</v>
      </c>
      <c r="O500" t="n">
        <v>0</v>
      </c>
      <c r="P500" t="n">
        <v>0</v>
      </c>
      <c r="Q500" t="n">
        <v>0</v>
      </c>
      <c r="R500" t="n">
        <v>0</v>
      </c>
      <c r="S500" t="n">
        <v>0</v>
      </c>
      <c r="T500" t="n">
        <v>0</v>
      </c>
      <c r="U500" s="2" t="inlineStr"/>
    </row>
    <row r="501" ht="15" customHeight="1">
      <c r="A501" t="inlineStr">
        <is>
          <t>A 48206-2025</t>
        </is>
      </c>
      <c r="B501" t="inlineStr">
        <is>
          <t>avverkningsanmälan</t>
        </is>
      </c>
      <c r="C501" t="inlineStr">
        <is>
          <t>Föryngringsavverkning</t>
        </is>
      </c>
      <c r="D501" s="1" t="n">
        <v>45933</v>
      </c>
      <c r="E501" s="1" t="n">
        <v>46220</v>
      </c>
      <c r="F501" t="inlineStr">
        <is>
          <t>VÄRMLANDS LÄN</t>
        </is>
      </c>
      <c r="G501" t="inlineStr">
        <is>
          <t>ÅRJÄNG</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52574-2024</t>
        </is>
      </c>
      <c r="B502" t="inlineStr">
        <is>
          <t>avverkningsanmälan</t>
        </is>
      </c>
      <c r="C502" t="inlineStr">
        <is>
          <t>Föryngringsavverkning</t>
        </is>
      </c>
      <c r="D502" s="1" t="n">
        <v>45609</v>
      </c>
      <c r="E502" s="1" t="n">
        <v>46220</v>
      </c>
      <c r="F502" t="inlineStr">
        <is>
          <t>VÄRMLANDS LÄN</t>
        </is>
      </c>
      <c r="G502" t="inlineStr">
        <is>
          <t>ÅRJÄNG</t>
        </is>
      </c>
      <c r="I502" t="n">
        <v>0.2</v>
      </c>
      <c r="J502" t="n">
        <v>0</v>
      </c>
      <c r="K502" t="n">
        <v>0</v>
      </c>
      <c r="L502" t="n">
        <v>0</v>
      </c>
      <c r="M502" t="n">
        <v>0</v>
      </c>
      <c r="N502" t="n">
        <v>0</v>
      </c>
      <c r="O502" t="n">
        <v>0</v>
      </c>
      <c r="P502" t="n">
        <v>0</v>
      </c>
      <c r="Q502" t="n">
        <v>0</v>
      </c>
      <c r="R502" t="n">
        <v>0</v>
      </c>
      <c r="S502" t="n">
        <v>0</v>
      </c>
      <c r="T502" t="n">
        <v>0</v>
      </c>
      <c r="U502" s="2" t="inlineStr"/>
    </row>
    <row r="503" ht="15" customHeight="1">
      <c r="A503" t="inlineStr">
        <is>
          <t>A 64151-2023</t>
        </is>
      </c>
      <c r="B503" t="inlineStr">
        <is>
          <t>avverkningsanmälan</t>
        </is>
      </c>
      <c r="C503" t="inlineStr">
        <is>
          <t>Föryngringsavverkning</t>
        </is>
      </c>
      <c r="D503" s="1" t="n">
        <v>45279</v>
      </c>
      <c r="E503" s="1" t="n">
        <v>46220</v>
      </c>
      <c r="F503" t="inlineStr">
        <is>
          <t>VÄRMLANDS LÄN</t>
        </is>
      </c>
      <c r="G503" t="inlineStr">
        <is>
          <t>ÅRJÄNG</t>
        </is>
      </c>
      <c r="I503" t="n">
        <v>24.5</v>
      </c>
      <c r="J503" t="n">
        <v>0</v>
      </c>
      <c r="K503" t="n">
        <v>0</v>
      </c>
      <c r="L503" t="n">
        <v>0</v>
      </c>
      <c r="M503" t="n">
        <v>0</v>
      </c>
      <c r="N503" t="n">
        <v>0</v>
      </c>
      <c r="O503" t="n">
        <v>0</v>
      </c>
      <c r="P503" t="n">
        <v>0</v>
      </c>
      <c r="Q503" t="n">
        <v>0</v>
      </c>
      <c r="R503" t="n">
        <v>0</v>
      </c>
      <c r="S503" t="n">
        <v>0</v>
      </c>
      <c r="T503" t="n">
        <v>0</v>
      </c>
      <c r="U503" s="2" t="inlineStr"/>
    </row>
    <row r="504" ht="15" customHeight="1">
      <c r="A504" t="inlineStr">
        <is>
          <t>A 47688-2023</t>
        </is>
      </c>
      <c r="B504" t="inlineStr">
        <is>
          <t>avverkningsanmälan</t>
        </is>
      </c>
      <c r="C504" t="inlineStr">
        <is>
          <t>Föryngringsavverkning</t>
        </is>
      </c>
      <c r="D504" s="1" t="n">
        <v>45203</v>
      </c>
      <c r="E504" s="1" t="n">
        <v>46220</v>
      </c>
      <c r="F504" t="inlineStr">
        <is>
          <t>VÄRMLANDS LÄN</t>
        </is>
      </c>
      <c r="G504" t="inlineStr">
        <is>
          <t>ÅRJÄNG</t>
        </is>
      </c>
      <c r="H504" t="inlineStr">
        <is>
          <t>Övriga Aktiebolag</t>
        </is>
      </c>
      <c r="I504" t="n">
        <v>20.3</v>
      </c>
      <c r="J504" t="n">
        <v>0</v>
      </c>
      <c r="K504" t="n">
        <v>0</v>
      </c>
      <c r="L504" t="n">
        <v>0</v>
      </c>
      <c r="M504" t="n">
        <v>0</v>
      </c>
      <c r="N504" t="n">
        <v>0</v>
      </c>
      <c r="O504" t="n">
        <v>0</v>
      </c>
      <c r="P504" t="n">
        <v>0</v>
      </c>
      <c r="Q504" t="n">
        <v>0</v>
      </c>
      <c r="R504" t="n">
        <v>0</v>
      </c>
      <c r="S504" t="n">
        <v>0</v>
      </c>
      <c r="T504" t="n">
        <v>0</v>
      </c>
      <c r="U504" s="2" t="inlineStr"/>
    </row>
    <row r="505" ht="15" customHeight="1">
      <c r="A505" t="inlineStr">
        <is>
          <t>A 36461-2025</t>
        </is>
      </c>
      <c r="B505" t="inlineStr">
        <is>
          <t>avverkningsanmälan</t>
        </is>
      </c>
      <c r="C505" t="inlineStr">
        <is>
          <t>Föryngringsavverkning</t>
        </is>
      </c>
      <c r="D505" s="1" t="n">
        <v>45869</v>
      </c>
      <c r="E505" s="1" t="n">
        <v>46220</v>
      </c>
      <c r="F505" t="inlineStr">
        <is>
          <t>VÄRMLANDS LÄN</t>
        </is>
      </c>
      <c r="G505" t="inlineStr">
        <is>
          <t>ÅRJÄNG</t>
        </is>
      </c>
      <c r="I505" t="n">
        <v>3.7</v>
      </c>
      <c r="J505" t="n">
        <v>0</v>
      </c>
      <c r="K505" t="n">
        <v>0</v>
      </c>
      <c r="L505" t="n">
        <v>0</v>
      </c>
      <c r="M505" t="n">
        <v>0</v>
      </c>
      <c r="N505" t="n">
        <v>0</v>
      </c>
      <c r="O505" t="n">
        <v>0</v>
      </c>
      <c r="P505" t="n">
        <v>0</v>
      </c>
      <c r="Q505" t="n">
        <v>0</v>
      </c>
      <c r="R505" t="n">
        <v>0</v>
      </c>
      <c r="S505" t="n">
        <v>0</v>
      </c>
      <c r="T505" t="n">
        <v>0</v>
      </c>
      <c r="U505" s="2" t="inlineStr"/>
    </row>
    <row r="506" ht="15" customHeight="1">
      <c r="A506" t="inlineStr">
        <is>
          <t>A 69839-2021</t>
        </is>
      </c>
      <c r="B506" t="inlineStr">
        <is>
          <t>avverkningsanmälan</t>
        </is>
      </c>
      <c r="C506" t="inlineStr">
        <is>
          <t>Föryngringsavverkning</t>
        </is>
      </c>
      <c r="D506" s="1" t="n">
        <v>44532</v>
      </c>
      <c r="E506" s="1" t="n">
        <v>46220</v>
      </c>
      <c r="F506" t="inlineStr">
        <is>
          <t>VÄRMLANDS LÄN</t>
        </is>
      </c>
      <c r="G506" t="inlineStr">
        <is>
          <t>ÅRJÄNG</t>
        </is>
      </c>
      <c r="I506" t="n">
        <v>3.1</v>
      </c>
      <c r="J506" t="n">
        <v>0</v>
      </c>
      <c r="K506" t="n">
        <v>0</v>
      </c>
      <c r="L506" t="n">
        <v>0</v>
      </c>
      <c r="M506" t="n">
        <v>0</v>
      </c>
      <c r="N506" t="n">
        <v>0</v>
      </c>
      <c r="O506" t="n">
        <v>0</v>
      </c>
      <c r="P506" t="n">
        <v>0</v>
      </c>
      <c r="Q506" t="n">
        <v>0</v>
      </c>
      <c r="R506" t="n">
        <v>0</v>
      </c>
      <c r="S506" t="n">
        <v>0</v>
      </c>
      <c r="T506" t="n">
        <v>0</v>
      </c>
      <c r="U506" s="2" t="inlineStr"/>
    </row>
    <row r="507" ht="15" customHeight="1">
      <c r="A507" t="inlineStr">
        <is>
          <t>A 44007-2023</t>
        </is>
      </c>
      <c r="B507" t="inlineStr">
        <is>
          <t>avverkningsanmälan</t>
        </is>
      </c>
      <c r="C507" t="inlineStr">
        <is>
          <t>Föryngringsavverkning</t>
        </is>
      </c>
      <c r="D507" s="1" t="n">
        <v>45188</v>
      </c>
      <c r="E507" s="1" t="n">
        <v>46220</v>
      </c>
      <c r="F507" t="inlineStr">
        <is>
          <t>VÄRMLANDS LÄN</t>
        </is>
      </c>
      <c r="G507" t="inlineStr">
        <is>
          <t>ÅRJÄNG</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3424-2026</t>
        </is>
      </c>
      <c r="B508" t="inlineStr">
        <is>
          <t>avverkningsanmälan</t>
        </is>
      </c>
      <c r="C508" t="inlineStr">
        <is>
          <t>Föryngringsavverkning</t>
        </is>
      </c>
      <c r="D508" s="1" t="n">
        <v>46042</v>
      </c>
      <c r="E508" s="1" t="n">
        <v>46220</v>
      </c>
      <c r="F508" t="inlineStr">
        <is>
          <t>VÄRMLANDS LÄN</t>
        </is>
      </c>
      <c r="G508" t="inlineStr">
        <is>
          <t>ÅRJÄNG</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36751-2025</t>
        </is>
      </c>
      <c r="B509" t="inlineStr">
        <is>
          <t>avverkningsanmälan</t>
        </is>
      </c>
      <c r="C509" t="inlineStr">
        <is>
          <t>Föryngringsavverkning</t>
        </is>
      </c>
      <c r="D509" s="1" t="n">
        <v>45873</v>
      </c>
      <c r="E509" s="1" t="n">
        <v>46220</v>
      </c>
      <c r="F509" t="inlineStr">
        <is>
          <t>VÄRMLANDS LÄN</t>
        </is>
      </c>
      <c r="G509" t="inlineStr">
        <is>
          <t>ÅRJÄNG</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36780-2025</t>
        </is>
      </c>
      <c r="B510" t="inlineStr">
        <is>
          <t>avverkningsanmälan</t>
        </is>
      </c>
      <c r="C510" t="inlineStr">
        <is>
          <t>Föryngringsavverkning</t>
        </is>
      </c>
      <c r="D510" s="1" t="n">
        <v>45873</v>
      </c>
      <c r="E510" s="1" t="n">
        <v>46220</v>
      </c>
      <c r="F510" t="inlineStr">
        <is>
          <t>VÄRMLANDS LÄN</t>
        </is>
      </c>
      <c r="G510" t="inlineStr">
        <is>
          <t>ÅRJÄNG</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49424-2025</t>
        </is>
      </c>
      <c r="B511" t="inlineStr">
        <is>
          <t>avverkningsanmälan</t>
        </is>
      </c>
      <c r="C511" t="inlineStr">
        <is>
          <t>Föryngringsavverkning</t>
        </is>
      </c>
      <c r="D511" s="1" t="n">
        <v>45938</v>
      </c>
      <c r="E511" s="1" t="n">
        <v>46220</v>
      </c>
      <c r="F511" t="inlineStr">
        <is>
          <t>VÄRMLANDS LÄN</t>
        </is>
      </c>
      <c r="G511" t="inlineStr">
        <is>
          <t>ÅRJÄNG</t>
        </is>
      </c>
      <c r="H511" t="inlineStr">
        <is>
          <t>Bergvik skog väst AB</t>
        </is>
      </c>
      <c r="I511" t="n">
        <v>2</v>
      </c>
      <c r="J511" t="n">
        <v>0</v>
      </c>
      <c r="K511" t="n">
        <v>0</v>
      </c>
      <c r="L511" t="n">
        <v>0</v>
      </c>
      <c r="M511" t="n">
        <v>0</v>
      </c>
      <c r="N511" t="n">
        <v>0</v>
      </c>
      <c r="O511" t="n">
        <v>0</v>
      </c>
      <c r="P511" t="n">
        <v>0</v>
      </c>
      <c r="Q511" t="n">
        <v>0</v>
      </c>
      <c r="R511" t="n">
        <v>0</v>
      </c>
      <c r="S511" t="n">
        <v>0</v>
      </c>
      <c r="T511" t="n">
        <v>0</v>
      </c>
      <c r="U511" s="2" t="inlineStr"/>
    </row>
    <row r="512" ht="15" customHeight="1">
      <c r="A512" t="inlineStr">
        <is>
          <t>A 3298-2025</t>
        </is>
      </c>
      <c r="B512" t="inlineStr">
        <is>
          <t>avverkningsanmälan</t>
        </is>
      </c>
      <c r="C512" t="inlineStr">
        <is>
          <t>Föryngringsavverkning</t>
        </is>
      </c>
      <c r="D512" s="1" t="n">
        <v>45679</v>
      </c>
      <c r="E512" s="1" t="n">
        <v>46220</v>
      </c>
      <c r="F512" t="inlineStr">
        <is>
          <t>VÄRMLANDS LÄN</t>
        </is>
      </c>
      <c r="G512" t="inlineStr">
        <is>
          <t>ÅRJÄNG</t>
        </is>
      </c>
      <c r="I512" t="n">
        <v>9.199999999999999</v>
      </c>
      <c r="J512" t="n">
        <v>0</v>
      </c>
      <c r="K512" t="n">
        <v>0</v>
      </c>
      <c r="L512" t="n">
        <v>0</v>
      </c>
      <c r="M512" t="n">
        <v>0</v>
      </c>
      <c r="N512" t="n">
        <v>0</v>
      </c>
      <c r="O512" t="n">
        <v>0</v>
      </c>
      <c r="P512" t="n">
        <v>0</v>
      </c>
      <c r="Q512" t="n">
        <v>0</v>
      </c>
      <c r="R512" t="n">
        <v>0</v>
      </c>
      <c r="S512" t="n">
        <v>0</v>
      </c>
      <c r="T512" t="n">
        <v>0</v>
      </c>
      <c r="U512" s="2" t="inlineStr"/>
    </row>
    <row r="513" ht="15" customHeight="1">
      <c r="A513" t="inlineStr">
        <is>
          <t>A 40465-2023</t>
        </is>
      </c>
      <c r="B513" t="inlineStr">
        <is>
          <t>avverkningsanmälan</t>
        </is>
      </c>
      <c r="C513" t="inlineStr">
        <is>
          <t>Föryngringsavverkning</t>
        </is>
      </c>
      <c r="D513" s="1" t="n">
        <v>45170</v>
      </c>
      <c r="E513" s="1" t="n">
        <v>46220</v>
      </c>
      <c r="F513" t="inlineStr">
        <is>
          <t>VÄRMLANDS LÄN</t>
        </is>
      </c>
      <c r="G513" t="inlineStr">
        <is>
          <t>ÅRJÄNG</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23216-2023</t>
        </is>
      </c>
      <c r="B514" t="inlineStr">
        <is>
          <t>avverkningsanmälan</t>
        </is>
      </c>
      <c r="C514" t="inlineStr">
        <is>
          <t>Föryngringsavverkning</t>
        </is>
      </c>
      <c r="D514" s="1" t="n">
        <v>45075</v>
      </c>
      <c r="E514" s="1" t="n">
        <v>46220</v>
      </c>
      <c r="F514" t="inlineStr">
        <is>
          <t>VÄRMLANDS LÄN</t>
        </is>
      </c>
      <c r="G514" t="inlineStr">
        <is>
          <t>ÅRJÄNG</t>
        </is>
      </c>
      <c r="I514" t="n">
        <v>3</v>
      </c>
      <c r="J514" t="n">
        <v>0</v>
      </c>
      <c r="K514" t="n">
        <v>0</v>
      </c>
      <c r="L514" t="n">
        <v>0</v>
      </c>
      <c r="M514" t="n">
        <v>0</v>
      </c>
      <c r="N514" t="n">
        <v>0</v>
      </c>
      <c r="O514" t="n">
        <v>0</v>
      </c>
      <c r="P514" t="n">
        <v>0</v>
      </c>
      <c r="Q514" t="n">
        <v>0</v>
      </c>
      <c r="R514" t="n">
        <v>0</v>
      </c>
      <c r="S514" t="n">
        <v>0</v>
      </c>
      <c r="T514" t="n">
        <v>0</v>
      </c>
      <c r="U514" s="2" t="inlineStr"/>
    </row>
    <row r="515" ht="15" customHeight="1">
      <c r="A515" t="inlineStr">
        <is>
          <t>A 49439-2025</t>
        </is>
      </c>
      <c r="B515" t="inlineStr">
        <is>
          <t>avverkningsanmälan</t>
        </is>
      </c>
      <c r="C515" t="inlineStr">
        <is>
          <t>Föryngringsavverkning</t>
        </is>
      </c>
      <c r="D515" s="1" t="n">
        <v>45938</v>
      </c>
      <c r="E515" s="1" t="n">
        <v>46220</v>
      </c>
      <c r="F515" t="inlineStr">
        <is>
          <t>VÄRMLANDS LÄN</t>
        </is>
      </c>
      <c r="G515" t="inlineStr">
        <is>
          <t>ÅRJÄNG</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24339-2024</t>
        </is>
      </c>
      <c r="B516" t="inlineStr">
        <is>
          <t>avverkningsanmälan</t>
        </is>
      </c>
      <c r="C516" t="inlineStr">
        <is>
          <t>Föryngringsavverkning</t>
        </is>
      </c>
      <c r="D516" s="1" t="n">
        <v>45457</v>
      </c>
      <c r="E516" s="1" t="n">
        <v>46220</v>
      </c>
      <c r="F516" t="inlineStr">
        <is>
          <t>VÄRMLANDS LÄN</t>
        </is>
      </c>
      <c r="G516" t="inlineStr">
        <is>
          <t>ÅRJÄNG</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24916-2024</t>
        </is>
      </c>
      <c r="B517" t="inlineStr">
        <is>
          <t>avverkningsanmälan</t>
        </is>
      </c>
      <c r="C517" t="inlineStr">
        <is>
          <t>Föryngringsavverkning</t>
        </is>
      </c>
      <c r="D517" s="1" t="n">
        <v>45461</v>
      </c>
      <c r="E517" s="1" t="n">
        <v>46220</v>
      </c>
      <c r="F517" t="inlineStr">
        <is>
          <t>VÄRMLANDS LÄN</t>
        </is>
      </c>
      <c r="G517" t="inlineStr">
        <is>
          <t>ÅRJÄNG</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36752-2025</t>
        </is>
      </c>
      <c r="B518" t="inlineStr">
        <is>
          <t>avverkningsanmälan</t>
        </is>
      </c>
      <c r="C518" t="inlineStr">
        <is>
          <t>Föryngringsavverkning</t>
        </is>
      </c>
      <c r="D518" s="1" t="n">
        <v>45873</v>
      </c>
      <c r="E518" s="1" t="n">
        <v>46220</v>
      </c>
      <c r="F518" t="inlineStr">
        <is>
          <t>VÄRMLANDS LÄN</t>
        </is>
      </c>
      <c r="G518" t="inlineStr">
        <is>
          <t>ÅRJÄNG</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36450-2025</t>
        </is>
      </c>
      <c r="B519" t="inlineStr">
        <is>
          <t>avverkningsanmälan</t>
        </is>
      </c>
      <c r="C519" t="inlineStr">
        <is>
          <t>Föryngringsavverkning</t>
        </is>
      </c>
      <c r="D519" s="1" t="n">
        <v>45869</v>
      </c>
      <c r="E519" s="1" t="n">
        <v>46220</v>
      </c>
      <c r="F519" t="inlineStr">
        <is>
          <t>VÄRMLANDS LÄN</t>
        </is>
      </c>
      <c r="G519" t="inlineStr">
        <is>
          <t>ÅRJÄNG</t>
        </is>
      </c>
      <c r="I519" t="n">
        <v>4.6</v>
      </c>
      <c r="J519" t="n">
        <v>0</v>
      </c>
      <c r="K519" t="n">
        <v>0</v>
      </c>
      <c r="L519" t="n">
        <v>0</v>
      </c>
      <c r="M519" t="n">
        <v>0</v>
      </c>
      <c r="N519" t="n">
        <v>0</v>
      </c>
      <c r="O519" t="n">
        <v>0</v>
      </c>
      <c r="P519" t="n">
        <v>0</v>
      </c>
      <c r="Q519" t="n">
        <v>0</v>
      </c>
      <c r="R519" t="n">
        <v>0</v>
      </c>
      <c r="S519" t="n">
        <v>0</v>
      </c>
      <c r="T519" t="n">
        <v>0</v>
      </c>
      <c r="U519" s="2" t="inlineStr"/>
    </row>
    <row r="520" ht="15" customHeight="1">
      <c r="A520" t="inlineStr">
        <is>
          <t>A 49540-2025</t>
        </is>
      </c>
      <c r="B520" t="inlineStr">
        <is>
          <t>avverkningsanmälan</t>
        </is>
      </c>
      <c r="C520" t="inlineStr">
        <is>
          <t>Föryngringsavverkning</t>
        </is>
      </c>
      <c r="D520" s="1" t="n">
        <v>45939</v>
      </c>
      <c r="E520" s="1" t="n">
        <v>46220</v>
      </c>
      <c r="F520" t="inlineStr">
        <is>
          <t>VÄRMLANDS LÄN</t>
        </is>
      </c>
      <c r="G520" t="inlineStr">
        <is>
          <t>ÅRJÄNG</t>
        </is>
      </c>
      <c r="I520" t="n">
        <v>3.5</v>
      </c>
      <c r="J520" t="n">
        <v>0</v>
      </c>
      <c r="K520" t="n">
        <v>0</v>
      </c>
      <c r="L520" t="n">
        <v>0</v>
      </c>
      <c r="M520" t="n">
        <v>0</v>
      </c>
      <c r="N520" t="n">
        <v>0</v>
      </c>
      <c r="O520" t="n">
        <v>0</v>
      </c>
      <c r="P520" t="n">
        <v>0</v>
      </c>
      <c r="Q520" t="n">
        <v>0</v>
      </c>
      <c r="R520" t="n">
        <v>0</v>
      </c>
      <c r="S520" t="n">
        <v>0</v>
      </c>
      <c r="T520" t="n">
        <v>0</v>
      </c>
      <c r="U520" s="2" t="inlineStr"/>
    </row>
    <row r="521" ht="15" customHeight="1">
      <c r="A521" t="inlineStr">
        <is>
          <t>A 36827-2025</t>
        </is>
      </c>
      <c r="B521" t="inlineStr">
        <is>
          <t>avverkningsanmälan</t>
        </is>
      </c>
      <c r="C521" t="inlineStr">
        <is>
          <t>Föryngringsavverkning</t>
        </is>
      </c>
      <c r="D521" s="1" t="n">
        <v>45874</v>
      </c>
      <c r="E521" s="1" t="n">
        <v>46220</v>
      </c>
      <c r="F521" t="inlineStr">
        <is>
          <t>VÄRMLANDS LÄN</t>
        </is>
      </c>
      <c r="G521" t="inlineStr">
        <is>
          <t>ÅRJÄNG</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36865-2025</t>
        </is>
      </c>
      <c r="B522" t="inlineStr">
        <is>
          <t>avverkningsanmälan</t>
        </is>
      </c>
      <c r="C522" t="inlineStr">
        <is>
          <t>Föryngringsavverkning</t>
        </is>
      </c>
      <c r="D522" s="1" t="n">
        <v>45874</v>
      </c>
      <c r="E522" s="1" t="n">
        <v>46220</v>
      </c>
      <c r="F522" t="inlineStr">
        <is>
          <t>VÄRMLANDS LÄN</t>
        </is>
      </c>
      <c r="G522" t="inlineStr">
        <is>
          <t>ÅRJÄNG</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3772-2026</t>
        </is>
      </c>
      <c r="B523" t="inlineStr">
        <is>
          <t>avverkningsanmälan</t>
        </is>
      </c>
      <c r="C523" t="inlineStr">
        <is>
          <t>Föryngringsavverkning</t>
        </is>
      </c>
      <c r="D523" s="1" t="n">
        <v>46043</v>
      </c>
      <c r="E523" s="1" t="n">
        <v>46220</v>
      </c>
      <c r="F523" t="inlineStr">
        <is>
          <t>VÄRMLANDS LÄN</t>
        </is>
      </c>
      <c r="G523" t="inlineStr">
        <is>
          <t>ÅRJÄNG</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36831-2025</t>
        </is>
      </c>
      <c r="B524" t="inlineStr">
        <is>
          <t>avverkningsanmälan</t>
        </is>
      </c>
      <c r="C524" t="inlineStr">
        <is>
          <t>Föryngringsavverkning</t>
        </is>
      </c>
      <c r="D524" s="1" t="n">
        <v>45874</v>
      </c>
      <c r="E524" s="1" t="n">
        <v>46220</v>
      </c>
      <c r="F524" t="inlineStr">
        <is>
          <t>VÄRMLANDS LÄN</t>
        </is>
      </c>
      <c r="G524" t="inlineStr">
        <is>
          <t>ÅRJÄNG</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24893-2024</t>
        </is>
      </c>
      <c r="B525" t="inlineStr">
        <is>
          <t>avverkningsanmälan</t>
        </is>
      </c>
      <c r="C525" t="inlineStr">
        <is>
          <t>Föryngringsavverkning</t>
        </is>
      </c>
      <c r="D525" s="1" t="n">
        <v>45461</v>
      </c>
      <c r="E525" s="1" t="n">
        <v>46220</v>
      </c>
      <c r="F525" t="inlineStr">
        <is>
          <t>VÄRMLANDS LÄN</t>
        </is>
      </c>
      <c r="G525" t="inlineStr">
        <is>
          <t>ÅRJÄNG</t>
        </is>
      </c>
      <c r="I525" t="n">
        <v>3.1</v>
      </c>
      <c r="J525" t="n">
        <v>0</v>
      </c>
      <c r="K525" t="n">
        <v>0</v>
      </c>
      <c r="L525" t="n">
        <v>0</v>
      </c>
      <c r="M525" t="n">
        <v>0</v>
      </c>
      <c r="N525" t="n">
        <v>0</v>
      </c>
      <c r="O525" t="n">
        <v>0</v>
      </c>
      <c r="P525" t="n">
        <v>0</v>
      </c>
      <c r="Q525" t="n">
        <v>0</v>
      </c>
      <c r="R525" t="n">
        <v>0</v>
      </c>
      <c r="S525" t="n">
        <v>0</v>
      </c>
      <c r="T525" t="n">
        <v>0</v>
      </c>
      <c r="U525" s="2" t="inlineStr"/>
    </row>
    <row r="526" ht="15" customHeight="1">
      <c r="A526" t="inlineStr">
        <is>
          <t>A 36819-2025</t>
        </is>
      </c>
      <c r="B526" t="inlineStr">
        <is>
          <t>avverkningsanmälan</t>
        </is>
      </c>
      <c r="C526" t="inlineStr">
        <is>
          <t>Föryngringsavverkning</t>
        </is>
      </c>
      <c r="D526" s="1" t="n">
        <v>45873</v>
      </c>
      <c r="E526" s="1" t="n">
        <v>46220</v>
      </c>
      <c r="F526" t="inlineStr">
        <is>
          <t>VÄRMLANDS LÄN</t>
        </is>
      </c>
      <c r="G526" t="inlineStr">
        <is>
          <t>ÅRJÄNG</t>
        </is>
      </c>
      <c r="I526" t="n">
        <v>2.3</v>
      </c>
      <c r="J526" t="n">
        <v>0</v>
      </c>
      <c r="K526" t="n">
        <v>0</v>
      </c>
      <c r="L526" t="n">
        <v>0</v>
      </c>
      <c r="M526" t="n">
        <v>0</v>
      </c>
      <c r="N526" t="n">
        <v>0</v>
      </c>
      <c r="O526" t="n">
        <v>0</v>
      </c>
      <c r="P526" t="n">
        <v>0</v>
      </c>
      <c r="Q526" t="n">
        <v>0</v>
      </c>
      <c r="R526" t="n">
        <v>0</v>
      </c>
      <c r="S526" t="n">
        <v>0</v>
      </c>
      <c r="T526" t="n">
        <v>0</v>
      </c>
      <c r="U526" s="2" t="inlineStr"/>
    </row>
    <row r="527" ht="15" customHeight="1">
      <c r="A527" t="inlineStr">
        <is>
          <t>A 50187-2025</t>
        </is>
      </c>
      <c r="B527" t="inlineStr">
        <is>
          <t>avverkningsanmälan</t>
        </is>
      </c>
      <c r="C527" t="inlineStr">
        <is>
          <t>Föryngringsavverkning</t>
        </is>
      </c>
      <c r="D527" s="1" t="n">
        <v>45943</v>
      </c>
      <c r="E527" s="1" t="n">
        <v>46220</v>
      </c>
      <c r="F527" t="inlineStr">
        <is>
          <t>VÄRMLANDS LÄN</t>
        </is>
      </c>
      <c r="G527" t="inlineStr">
        <is>
          <t>ÅRJÄNG</t>
        </is>
      </c>
      <c r="H527" t="inlineStr">
        <is>
          <t>Bergvik skog väst AB</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50114-2025</t>
        </is>
      </c>
      <c r="B528" t="inlineStr">
        <is>
          <t>avverkningsanmälan</t>
        </is>
      </c>
      <c r="C528" t="inlineStr">
        <is>
          <t>Föryngringsavverkning</t>
        </is>
      </c>
      <c r="D528" s="1" t="n">
        <v>45943</v>
      </c>
      <c r="E528" s="1" t="n">
        <v>46220</v>
      </c>
      <c r="F528" t="inlineStr">
        <is>
          <t>VÄRMLANDS LÄN</t>
        </is>
      </c>
      <c r="G528" t="inlineStr">
        <is>
          <t>ÅRJÄNG</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49959-2025</t>
        </is>
      </c>
      <c r="B529" t="inlineStr">
        <is>
          <t>avverkningsanmälan</t>
        </is>
      </c>
      <c r="C529" t="inlineStr">
        <is>
          <t>Föryngringsavverkning</t>
        </is>
      </c>
      <c r="D529" s="1" t="n">
        <v>45941</v>
      </c>
      <c r="E529" s="1" t="n">
        <v>46220</v>
      </c>
      <c r="F529" t="inlineStr">
        <is>
          <t>VÄRMLANDS LÄN</t>
        </is>
      </c>
      <c r="G529" t="inlineStr">
        <is>
          <t>ÅRJÄNG</t>
        </is>
      </c>
      <c r="H529" t="inlineStr">
        <is>
          <t>Bergvik skog väst AB</t>
        </is>
      </c>
      <c r="I529" t="n">
        <v>3.7</v>
      </c>
      <c r="J529" t="n">
        <v>0</v>
      </c>
      <c r="K529" t="n">
        <v>0</v>
      </c>
      <c r="L529" t="n">
        <v>0</v>
      </c>
      <c r="M529" t="n">
        <v>0</v>
      </c>
      <c r="N529" t="n">
        <v>0</v>
      </c>
      <c r="O529" t="n">
        <v>0</v>
      </c>
      <c r="P529" t="n">
        <v>0</v>
      </c>
      <c r="Q529" t="n">
        <v>0</v>
      </c>
      <c r="R529" t="n">
        <v>0</v>
      </c>
      <c r="S529" t="n">
        <v>0</v>
      </c>
      <c r="T529" t="n">
        <v>0</v>
      </c>
      <c r="U529" s="2" t="inlineStr"/>
    </row>
    <row r="530" ht="15" customHeight="1">
      <c r="A530" t="inlineStr">
        <is>
          <t>A 37484-2025</t>
        </is>
      </c>
      <c r="B530" t="inlineStr">
        <is>
          <t>avverkningsanmälan</t>
        </is>
      </c>
      <c r="C530" t="inlineStr">
        <is>
          <t>Föryngringsavverkning</t>
        </is>
      </c>
      <c r="D530" s="1" t="n">
        <v>45877</v>
      </c>
      <c r="E530" s="1" t="n">
        <v>46220</v>
      </c>
      <c r="F530" t="inlineStr">
        <is>
          <t>VÄRMLANDS LÄN</t>
        </is>
      </c>
      <c r="G530" t="inlineStr">
        <is>
          <t>ÅRJÄNG</t>
        </is>
      </c>
      <c r="I530" t="n">
        <v>2.2</v>
      </c>
      <c r="J530" t="n">
        <v>0</v>
      </c>
      <c r="K530" t="n">
        <v>0</v>
      </c>
      <c r="L530" t="n">
        <v>0</v>
      </c>
      <c r="M530" t="n">
        <v>0</v>
      </c>
      <c r="N530" t="n">
        <v>0</v>
      </c>
      <c r="O530" t="n">
        <v>0</v>
      </c>
      <c r="P530" t="n">
        <v>0</v>
      </c>
      <c r="Q530" t="n">
        <v>0</v>
      </c>
      <c r="R530" t="n">
        <v>0</v>
      </c>
      <c r="S530" t="n">
        <v>0</v>
      </c>
      <c r="T530" t="n">
        <v>0</v>
      </c>
      <c r="U530" s="2" t="inlineStr"/>
    </row>
    <row r="531" ht="15" customHeight="1">
      <c r="A531" t="inlineStr">
        <is>
          <t>A 49914-2025</t>
        </is>
      </c>
      <c r="B531" t="inlineStr">
        <is>
          <t>avverkningsanmälan</t>
        </is>
      </c>
      <c r="C531" t="inlineStr">
        <is>
          <t>Föryngringsavverkning</t>
        </is>
      </c>
      <c r="D531" s="1" t="n">
        <v>45940</v>
      </c>
      <c r="E531" s="1" t="n">
        <v>46220</v>
      </c>
      <c r="F531" t="inlineStr">
        <is>
          <t>VÄRMLANDS LÄN</t>
        </is>
      </c>
      <c r="G531" t="inlineStr">
        <is>
          <t>ÅRJÄNG</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49936-2025</t>
        </is>
      </c>
      <c r="B532" t="inlineStr">
        <is>
          <t>avverkningsanmälan</t>
        </is>
      </c>
      <c r="C532" t="inlineStr">
        <is>
          <t>Föryngringsavverkning</t>
        </is>
      </c>
      <c r="D532" s="1" t="n">
        <v>45940</v>
      </c>
      <c r="E532" s="1" t="n">
        <v>46220</v>
      </c>
      <c r="F532" t="inlineStr">
        <is>
          <t>VÄRMLANDS LÄN</t>
        </is>
      </c>
      <c r="G532" t="inlineStr">
        <is>
          <t>ÅRJÄNG</t>
        </is>
      </c>
      <c r="H532" t="inlineStr">
        <is>
          <t>Kyrkan</t>
        </is>
      </c>
      <c r="I532" t="n">
        <v>5.3</v>
      </c>
      <c r="J532" t="n">
        <v>0</v>
      </c>
      <c r="K532" t="n">
        <v>0</v>
      </c>
      <c r="L532" t="n">
        <v>0</v>
      </c>
      <c r="M532" t="n">
        <v>0</v>
      </c>
      <c r="N532" t="n">
        <v>0</v>
      </c>
      <c r="O532" t="n">
        <v>0</v>
      </c>
      <c r="P532" t="n">
        <v>0</v>
      </c>
      <c r="Q532" t="n">
        <v>0</v>
      </c>
      <c r="R532" t="n">
        <v>0</v>
      </c>
      <c r="S532" t="n">
        <v>0</v>
      </c>
      <c r="T532" t="n">
        <v>0</v>
      </c>
      <c r="U532" s="2" t="inlineStr"/>
    </row>
    <row r="533" ht="15" customHeight="1">
      <c r="A533" t="inlineStr">
        <is>
          <t>A 37507-2025</t>
        </is>
      </c>
      <c r="B533" t="inlineStr">
        <is>
          <t>avverkningsanmälan</t>
        </is>
      </c>
      <c r="C533" t="inlineStr">
        <is>
          <t>Föryngringsavverkning</t>
        </is>
      </c>
      <c r="D533" s="1" t="n">
        <v>45877</v>
      </c>
      <c r="E533" s="1" t="n">
        <v>46220</v>
      </c>
      <c r="F533" t="inlineStr">
        <is>
          <t>VÄRMLANDS LÄN</t>
        </is>
      </c>
      <c r="G533" t="inlineStr">
        <is>
          <t>ÅRJÄNG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49958-2025</t>
        </is>
      </c>
      <c r="B534" t="inlineStr">
        <is>
          <t>avverkningsanmälan</t>
        </is>
      </c>
      <c r="C534" t="inlineStr">
        <is>
          <t>Föryngringsavverkning</t>
        </is>
      </c>
      <c r="D534" s="1" t="n">
        <v>45941</v>
      </c>
      <c r="E534" s="1" t="n">
        <v>46220</v>
      </c>
      <c r="F534" t="inlineStr">
        <is>
          <t>VÄRMLANDS LÄN</t>
        </is>
      </c>
      <c r="G534" t="inlineStr">
        <is>
          <t>ÅRJÄNG</t>
        </is>
      </c>
      <c r="H534" t="inlineStr">
        <is>
          <t>Bergvik skog väst AB</t>
        </is>
      </c>
      <c r="I534" t="n">
        <v>2.4</v>
      </c>
      <c r="J534" t="n">
        <v>0</v>
      </c>
      <c r="K534" t="n">
        <v>0</v>
      </c>
      <c r="L534" t="n">
        <v>0</v>
      </c>
      <c r="M534" t="n">
        <v>0</v>
      </c>
      <c r="N534" t="n">
        <v>0</v>
      </c>
      <c r="O534" t="n">
        <v>0</v>
      </c>
      <c r="P534" t="n">
        <v>0</v>
      </c>
      <c r="Q534" t="n">
        <v>0</v>
      </c>
      <c r="R534" t="n">
        <v>0</v>
      </c>
      <c r="S534" t="n">
        <v>0</v>
      </c>
      <c r="T534" t="n">
        <v>0</v>
      </c>
      <c r="U534" s="2" t="inlineStr"/>
    </row>
    <row r="535" ht="15" customHeight="1">
      <c r="A535" t="inlineStr">
        <is>
          <t>A 50112-2025</t>
        </is>
      </c>
      <c r="B535" t="inlineStr">
        <is>
          <t>avverkningsanmälan</t>
        </is>
      </c>
      <c r="C535" t="inlineStr">
        <is>
          <t>Föryngringsavverkning</t>
        </is>
      </c>
      <c r="D535" s="1" t="n">
        <v>45943</v>
      </c>
      <c r="E535" s="1" t="n">
        <v>46220</v>
      </c>
      <c r="F535" t="inlineStr">
        <is>
          <t>VÄRMLANDS LÄN</t>
        </is>
      </c>
      <c r="G535" t="inlineStr">
        <is>
          <t>ÅRJÄNG</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28314-2025</t>
        </is>
      </c>
      <c r="B536" t="inlineStr">
        <is>
          <t>avverkningsanmälan</t>
        </is>
      </c>
      <c r="C536" t="inlineStr">
        <is>
          <t>Föryngringsavverkning</t>
        </is>
      </c>
      <c r="D536" s="1" t="n">
        <v>45818</v>
      </c>
      <c r="E536" s="1" t="n">
        <v>46220</v>
      </c>
      <c r="F536" t="inlineStr">
        <is>
          <t>VÄRMLANDS LÄN</t>
        </is>
      </c>
      <c r="G536" t="inlineStr">
        <is>
          <t>ÅRJÄNG</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50108-2025</t>
        </is>
      </c>
      <c r="B537" t="inlineStr">
        <is>
          <t>avverkningsanmälan</t>
        </is>
      </c>
      <c r="C537" t="inlineStr">
        <is>
          <t>Föryngringsavverkning</t>
        </is>
      </c>
      <c r="D537" s="1" t="n">
        <v>45943</v>
      </c>
      <c r="E537" s="1" t="n">
        <v>46220</v>
      </c>
      <c r="F537" t="inlineStr">
        <is>
          <t>VÄRMLANDS LÄN</t>
        </is>
      </c>
      <c r="G537" t="inlineStr">
        <is>
          <t>ÅRJÄNG</t>
        </is>
      </c>
      <c r="I537" t="n">
        <v>2.1</v>
      </c>
      <c r="J537" t="n">
        <v>0</v>
      </c>
      <c r="K537" t="n">
        <v>0</v>
      </c>
      <c r="L537" t="n">
        <v>0</v>
      </c>
      <c r="M537" t="n">
        <v>0</v>
      </c>
      <c r="N537" t="n">
        <v>0</v>
      </c>
      <c r="O537" t="n">
        <v>0</v>
      </c>
      <c r="P537" t="n">
        <v>0</v>
      </c>
      <c r="Q537" t="n">
        <v>0</v>
      </c>
      <c r="R537" t="n">
        <v>0</v>
      </c>
      <c r="S537" t="n">
        <v>0</v>
      </c>
      <c r="T537" t="n">
        <v>0</v>
      </c>
      <c r="U537" s="2" t="inlineStr"/>
    </row>
    <row r="538" ht="15" customHeight="1">
      <c r="A538" t="inlineStr">
        <is>
          <t>A 50118-2025</t>
        </is>
      </c>
      <c r="B538" t="inlineStr">
        <is>
          <t>avverkningsanmälan</t>
        </is>
      </c>
      <c r="C538" t="inlineStr">
        <is>
          <t>Föryngringsavverkning</t>
        </is>
      </c>
      <c r="D538" s="1" t="n">
        <v>45943</v>
      </c>
      <c r="E538" s="1" t="n">
        <v>46220</v>
      </c>
      <c r="F538" t="inlineStr">
        <is>
          <t>VÄRMLANDS LÄN</t>
        </is>
      </c>
      <c r="G538" t="inlineStr">
        <is>
          <t>ÅRJÄNG</t>
        </is>
      </c>
      <c r="I538" t="n">
        <v>7.7</v>
      </c>
      <c r="J538" t="n">
        <v>0</v>
      </c>
      <c r="K538" t="n">
        <v>0</v>
      </c>
      <c r="L538" t="n">
        <v>0</v>
      </c>
      <c r="M538" t="n">
        <v>0</v>
      </c>
      <c r="N538" t="n">
        <v>0</v>
      </c>
      <c r="O538" t="n">
        <v>0</v>
      </c>
      <c r="P538" t="n">
        <v>0</v>
      </c>
      <c r="Q538" t="n">
        <v>0</v>
      </c>
      <c r="R538" t="n">
        <v>0</v>
      </c>
      <c r="S538" t="n">
        <v>0</v>
      </c>
      <c r="T538" t="n">
        <v>0</v>
      </c>
      <c r="U538" s="2" t="inlineStr"/>
    </row>
    <row r="539" ht="15" customHeight="1">
      <c r="A539" t="inlineStr">
        <is>
          <t>A 40447-2022</t>
        </is>
      </c>
      <c r="B539" t="inlineStr">
        <is>
          <t>avverkningsanmälan</t>
        </is>
      </c>
      <c r="C539" t="inlineStr">
        <is>
          <t>Föryngringsavverkning</t>
        </is>
      </c>
      <c r="D539" s="1" t="n">
        <v>44823</v>
      </c>
      <c r="E539" s="1" t="n">
        <v>46220</v>
      </c>
      <c r="F539" t="inlineStr">
        <is>
          <t>VÄRMLANDS LÄN</t>
        </is>
      </c>
      <c r="G539" t="inlineStr">
        <is>
          <t>ÅRJÄNG</t>
        </is>
      </c>
      <c r="I539" t="n">
        <v>10.4</v>
      </c>
      <c r="J539" t="n">
        <v>0</v>
      </c>
      <c r="K539" t="n">
        <v>0</v>
      </c>
      <c r="L539" t="n">
        <v>0</v>
      </c>
      <c r="M539" t="n">
        <v>0</v>
      </c>
      <c r="N539" t="n">
        <v>0</v>
      </c>
      <c r="O539" t="n">
        <v>0</v>
      </c>
      <c r="P539" t="n">
        <v>0</v>
      </c>
      <c r="Q539" t="n">
        <v>0</v>
      </c>
      <c r="R539" t="n">
        <v>0</v>
      </c>
      <c r="S539" t="n">
        <v>0</v>
      </c>
      <c r="T539" t="n">
        <v>0</v>
      </c>
      <c r="U539" s="2" t="inlineStr"/>
    </row>
    <row r="540" ht="15" customHeight="1">
      <c r="A540" t="inlineStr">
        <is>
          <t>A 50050-2025</t>
        </is>
      </c>
      <c r="B540" t="inlineStr">
        <is>
          <t>avverkningsanmälan</t>
        </is>
      </c>
      <c r="C540" t="inlineStr">
        <is>
          <t>Föryngringsavverkning</t>
        </is>
      </c>
      <c r="D540" s="1" t="n">
        <v>45942</v>
      </c>
      <c r="E540" s="1" t="n">
        <v>46220</v>
      </c>
      <c r="F540" t="inlineStr">
        <is>
          <t>VÄRMLANDS LÄN</t>
        </is>
      </c>
      <c r="G540" t="inlineStr">
        <is>
          <t>ÅRJÄNG</t>
        </is>
      </c>
      <c r="H540" t="inlineStr">
        <is>
          <t>Övriga Aktiebolag</t>
        </is>
      </c>
      <c r="I540" t="n">
        <v>2.9</v>
      </c>
      <c r="J540" t="n">
        <v>0</v>
      </c>
      <c r="K540" t="n">
        <v>0</v>
      </c>
      <c r="L540" t="n">
        <v>0</v>
      </c>
      <c r="M540" t="n">
        <v>0</v>
      </c>
      <c r="N540" t="n">
        <v>0</v>
      </c>
      <c r="O540" t="n">
        <v>0</v>
      </c>
      <c r="P540" t="n">
        <v>0</v>
      </c>
      <c r="Q540" t="n">
        <v>0</v>
      </c>
      <c r="R540" t="n">
        <v>0</v>
      </c>
      <c r="S540" t="n">
        <v>0</v>
      </c>
      <c r="T540" t="n">
        <v>0</v>
      </c>
      <c r="U540" s="2" t="inlineStr"/>
    </row>
    <row r="541" ht="15" customHeight="1">
      <c r="A541" t="inlineStr">
        <is>
          <t>A 37416-2025</t>
        </is>
      </c>
      <c r="B541" t="inlineStr">
        <is>
          <t>avverkningsanmälan</t>
        </is>
      </c>
      <c r="C541" t="inlineStr">
        <is>
          <t>Föryngringsavverkning</t>
        </is>
      </c>
      <c r="D541" s="1" t="n">
        <v>45877</v>
      </c>
      <c r="E541" s="1" t="n">
        <v>46220</v>
      </c>
      <c r="F541" t="inlineStr">
        <is>
          <t>VÄRMLANDS LÄN</t>
        </is>
      </c>
      <c r="G541" t="inlineStr">
        <is>
          <t>ÅRJÄNG</t>
        </is>
      </c>
      <c r="I541" t="n">
        <v>3.8</v>
      </c>
      <c r="J541" t="n">
        <v>0</v>
      </c>
      <c r="K541" t="n">
        <v>0</v>
      </c>
      <c r="L541" t="n">
        <v>0</v>
      </c>
      <c r="M541" t="n">
        <v>0</v>
      </c>
      <c r="N541" t="n">
        <v>0</v>
      </c>
      <c r="O541" t="n">
        <v>0</v>
      </c>
      <c r="P541" t="n">
        <v>0</v>
      </c>
      <c r="Q541" t="n">
        <v>0</v>
      </c>
      <c r="R541" t="n">
        <v>0</v>
      </c>
      <c r="S541" t="n">
        <v>0</v>
      </c>
      <c r="T541" t="n">
        <v>0</v>
      </c>
      <c r="U541" s="2" t="inlineStr"/>
    </row>
    <row r="542" ht="15" customHeight="1">
      <c r="A542" t="inlineStr">
        <is>
          <t>A 50545-2025</t>
        </is>
      </c>
      <c r="B542" t="inlineStr">
        <is>
          <t>avverkningsanmälan</t>
        </is>
      </c>
      <c r="C542" t="inlineStr">
        <is>
          <t>Föryngringsavverkning</t>
        </is>
      </c>
      <c r="D542" s="1" t="n">
        <v>45945</v>
      </c>
      <c r="E542" s="1" t="n">
        <v>46220</v>
      </c>
      <c r="F542" t="inlineStr">
        <is>
          <t>VÄRMLANDS LÄN</t>
        </is>
      </c>
      <c r="G542" t="inlineStr">
        <is>
          <t>ÅRJÄNG</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50304-2025</t>
        </is>
      </c>
      <c r="B543" t="inlineStr">
        <is>
          <t>avverkningsanmälan</t>
        </is>
      </c>
      <c r="C543" t="inlineStr">
        <is>
          <t>Föryngringsavverkning</t>
        </is>
      </c>
      <c r="D543" s="1" t="n">
        <v>45944</v>
      </c>
      <c r="E543" s="1" t="n">
        <v>46220</v>
      </c>
      <c r="F543" t="inlineStr">
        <is>
          <t>VÄRMLANDS LÄN</t>
        </is>
      </c>
      <c r="G543" t="inlineStr">
        <is>
          <t>ÅRJÄNG</t>
        </is>
      </c>
      <c r="I543" t="n">
        <v>4.7</v>
      </c>
      <c r="J543" t="n">
        <v>0</v>
      </c>
      <c r="K543" t="n">
        <v>0</v>
      </c>
      <c r="L543" t="n">
        <v>0</v>
      </c>
      <c r="M543" t="n">
        <v>0</v>
      </c>
      <c r="N543" t="n">
        <v>0</v>
      </c>
      <c r="O543" t="n">
        <v>0</v>
      </c>
      <c r="P543" t="n">
        <v>0</v>
      </c>
      <c r="Q543" t="n">
        <v>0</v>
      </c>
      <c r="R543" t="n">
        <v>0</v>
      </c>
      <c r="S543" t="n">
        <v>0</v>
      </c>
      <c r="T543" t="n">
        <v>0</v>
      </c>
      <c r="U543" s="2" t="inlineStr"/>
    </row>
    <row r="544" ht="15" customHeight="1">
      <c r="A544" t="inlineStr">
        <is>
          <t>A 50624-2025</t>
        </is>
      </c>
      <c r="B544" t="inlineStr">
        <is>
          <t>avverkningsanmälan</t>
        </is>
      </c>
      <c r="C544" t="inlineStr">
        <is>
          <t>Föryngringsavverkning</t>
        </is>
      </c>
      <c r="D544" s="1" t="n">
        <v>45945</v>
      </c>
      <c r="E544" s="1" t="n">
        <v>46220</v>
      </c>
      <c r="F544" t="inlineStr">
        <is>
          <t>VÄRMLANDS LÄN</t>
        </is>
      </c>
      <c r="G544" t="inlineStr">
        <is>
          <t>ÅRJÄNG</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37662-2025</t>
        </is>
      </c>
      <c r="B545" t="inlineStr">
        <is>
          <t>avverkningsanmälan</t>
        </is>
      </c>
      <c r="C545" t="inlineStr">
        <is>
          <t>Föryngringsavverkning</t>
        </is>
      </c>
      <c r="D545" s="1" t="n">
        <v>45880</v>
      </c>
      <c r="E545" s="1" t="n">
        <v>46220</v>
      </c>
      <c r="F545" t="inlineStr">
        <is>
          <t>VÄRMLANDS LÄN</t>
        </is>
      </c>
      <c r="G545" t="inlineStr">
        <is>
          <t>ÅRJÄNG</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50551-2025</t>
        </is>
      </c>
      <c r="B546" t="inlineStr">
        <is>
          <t>avverkningsanmälan</t>
        </is>
      </c>
      <c r="C546" t="inlineStr">
        <is>
          <t>Föryngringsavverkning</t>
        </is>
      </c>
      <c r="D546" s="1" t="n">
        <v>45945</v>
      </c>
      <c r="E546" s="1" t="n">
        <v>46220</v>
      </c>
      <c r="F546" t="inlineStr">
        <is>
          <t>VÄRMLANDS LÄN</t>
        </is>
      </c>
      <c r="G546" t="inlineStr">
        <is>
          <t>ÅRJÄNG</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37555-2025</t>
        </is>
      </c>
      <c r="B547" t="inlineStr">
        <is>
          <t>avverkningsanmälan</t>
        </is>
      </c>
      <c r="C547" t="inlineStr">
        <is>
          <t>Föryngringsavverkning</t>
        </is>
      </c>
      <c r="D547" s="1" t="n">
        <v>45880</v>
      </c>
      <c r="E547" s="1" t="n">
        <v>46220</v>
      </c>
      <c r="F547" t="inlineStr">
        <is>
          <t>VÄRMLANDS LÄN</t>
        </is>
      </c>
      <c r="G547" t="inlineStr">
        <is>
          <t>ÅRJÄNG</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37681-2025</t>
        </is>
      </c>
      <c r="B548" t="inlineStr">
        <is>
          <t>avverkningsanmälan</t>
        </is>
      </c>
      <c r="C548" t="inlineStr">
        <is>
          <t>Föryngringsavverkning</t>
        </is>
      </c>
      <c r="D548" s="1" t="n">
        <v>45880</v>
      </c>
      <c r="E548" s="1" t="n">
        <v>46220</v>
      </c>
      <c r="F548" t="inlineStr">
        <is>
          <t>VÄRMLANDS LÄN</t>
        </is>
      </c>
      <c r="G548" t="inlineStr">
        <is>
          <t>ÅRJÄNG</t>
        </is>
      </c>
      <c r="I548" t="n">
        <v>1.9</v>
      </c>
      <c r="J548" t="n">
        <v>0</v>
      </c>
      <c r="K548" t="n">
        <v>0</v>
      </c>
      <c r="L548" t="n">
        <v>0</v>
      </c>
      <c r="M548" t="n">
        <v>0</v>
      </c>
      <c r="N548" t="n">
        <v>0</v>
      </c>
      <c r="O548" t="n">
        <v>0</v>
      </c>
      <c r="P548" t="n">
        <v>0</v>
      </c>
      <c r="Q548" t="n">
        <v>0</v>
      </c>
      <c r="R548" t="n">
        <v>0</v>
      </c>
      <c r="S548" t="n">
        <v>0</v>
      </c>
      <c r="T548" t="n">
        <v>0</v>
      </c>
      <c r="U548" s="2" t="inlineStr"/>
    </row>
    <row r="549" ht="15" customHeight="1">
      <c r="A549" t="inlineStr">
        <is>
          <t>A 4748-2023</t>
        </is>
      </c>
      <c r="B549" t="inlineStr">
        <is>
          <t>avverkningsanmälan</t>
        </is>
      </c>
      <c r="C549" t="inlineStr">
        <is>
          <t>Föryngringsavverkning</t>
        </is>
      </c>
      <c r="D549" s="1" t="n">
        <v>44957</v>
      </c>
      <c r="E549" s="1" t="n">
        <v>46220</v>
      </c>
      <c r="F549" t="inlineStr">
        <is>
          <t>VÄRMLANDS LÄN</t>
        </is>
      </c>
      <c r="G549" t="inlineStr">
        <is>
          <t>ÅRJÄNG</t>
        </is>
      </c>
      <c r="I549" t="n">
        <v>2.6</v>
      </c>
      <c r="J549" t="n">
        <v>0</v>
      </c>
      <c r="K549" t="n">
        <v>0</v>
      </c>
      <c r="L549" t="n">
        <v>0</v>
      </c>
      <c r="M549" t="n">
        <v>0</v>
      </c>
      <c r="N549" t="n">
        <v>0</v>
      </c>
      <c r="O549" t="n">
        <v>0</v>
      </c>
      <c r="P549" t="n">
        <v>0</v>
      </c>
      <c r="Q549" t="n">
        <v>0</v>
      </c>
      <c r="R549" t="n">
        <v>0</v>
      </c>
      <c r="S549" t="n">
        <v>0</v>
      </c>
      <c r="T549" t="n">
        <v>0</v>
      </c>
      <c r="U549" s="2" t="inlineStr"/>
    </row>
    <row r="550" ht="15" customHeight="1">
      <c r="A550" t="inlineStr">
        <is>
          <t>A 37680-2025</t>
        </is>
      </c>
      <c r="B550" t="inlineStr">
        <is>
          <t>avverkningsanmälan</t>
        </is>
      </c>
      <c r="C550" t="inlineStr">
        <is>
          <t>Föryngringsavverkning</t>
        </is>
      </c>
      <c r="D550" s="1" t="n">
        <v>45880</v>
      </c>
      <c r="E550" s="1" t="n">
        <v>46220</v>
      </c>
      <c r="F550" t="inlineStr">
        <is>
          <t>VÄRMLANDS LÄN</t>
        </is>
      </c>
      <c r="G550" t="inlineStr">
        <is>
          <t>ÅRJÄNG</t>
        </is>
      </c>
      <c r="I550" t="n">
        <v>2</v>
      </c>
      <c r="J550" t="n">
        <v>0</v>
      </c>
      <c r="K550" t="n">
        <v>0</v>
      </c>
      <c r="L550" t="n">
        <v>0</v>
      </c>
      <c r="M550" t="n">
        <v>0</v>
      </c>
      <c r="N550" t="n">
        <v>0</v>
      </c>
      <c r="O550" t="n">
        <v>0</v>
      </c>
      <c r="P550" t="n">
        <v>0</v>
      </c>
      <c r="Q550" t="n">
        <v>0</v>
      </c>
      <c r="R550" t="n">
        <v>0</v>
      </c>
      <c r="S550" t="n">
        <v>0</v>
      </c>
      <c r="T550" t="n">
        <v>0</v>
      </c>
      <c r="U550" s="2" t="inlineStr"/>
    </row>
    <row r="551" ht="15" customHeight="1">
      <c r="A551" t="inlineStr">
        <is>
          <t>A 50498-2025</t>
        </is>
      </c>
      <c r="B551" t="inlineStr">
        <is>
          <t>avverkningsanmälan</t>
        </is>
      </c>
      <c r="C551" t="inlineStr">
        <is>
          <t>Föryngringsavverkning</t>
        </is>
      </c>
      <c r="D551" s="1" t="n">
        <v>45945</v>
      </c>
      <c r="E551" s="1" t="n">
        <v>46220</v>
      </c>
      <c r="F551" t="inlineStr">
        <is>
          <t>VÄRMLANDS LÄN</t>
        </is>
      </c>
      <c r="G551" t="inlineStr">
        <is>
          <t>ÅRJÄNG</t>
        </is>
      </c>
      <c r="I551" t="n">
        <v>4.5</v>
      </c>
      <c r="J551" t="n">
        <v>0</v>
      </c>
      <c r="K551" t="n">
        <v>0</v>
      </c>
      <c r="L551" t="n">
        <v>0</v>
      </c>
      <c r="M551" t="n">
        <v>0</v>
      </c>
      <c r="N551" t="n">
        <v>0</v>
      </c>
      <c r="O551" t="n">
        <v>0</v>
      </c>
      <c r="P551" t="n">
        <v>0</v>
      </c>
      <c r="Q551" t="n">
        <v>0</v>
      </c>
      <c r="R551" t="n">
        <v>0</v>
      </c>
      <c r="S551" t="n">
        <v>0</v>
      </c>
      <c r="T551" t="n">
        <v>0</v>
      </c>
      <c r="U551" s="2" t="inlineStr"/>
    </row>
    <row r="552" ht="15" customHeight="1">
      <c r="A552" t="inlineStr">
        <is>
          <t>A 4088-2025</t>
        </is>
      </c>
      <c r="B552" t="inlineStr">
        <is>
          <t>avverkningsanmälan</t>
        </is>
      </c>
      <c r="C552" t="inlineStr">
        <is>
          <t>Föryngringsavverkning</t>
        </is>
      </c>
      <c r="D552" s="1" t="n">
        <v>45684</v>
      </c>
      <c r="E552" s="1" t="n">
        <v>46220</v>
      </c>
      <c r="F552" t="inlineStr">
        <is>
          <t>VÄRMLANDS LÄN</t>
        </is>
      </c>
      <c r="G552" t="inlineStr">
        <is>
          <t>ÅRJÄNG</t>
        </is>
      </c>
      <c r="I552" t="n">
        <v>4.1</v>
      </c>
      <c r="J552" t="n">
        <v>0</v>
      </c>
      <c r="K552" t="n">
        <v>0</v>
      </c>
      <c r="L552" t="n">
        <v>0</v>
      </c>
      <c r="M552" t="n">
        <v>0</v>
      </c>
      <c r="N552" t="n">
        <v>0</v>
      </c>
      <c r="O552" t="n">
        <v>0</v>
      </c>
      <c r="P552" t="n">
        <v>0</v>
      </c>
      <c r="Q552" t="n">
        <v>0</v>
      </c>
      <c r="R552" t="n">
        <v>0</v>
      </c>
      <c r="S552" t="n">
        <v>0</v>
      </c>
      <c r="T552" t="n">
        <v>0</v>
      </c>
      <c r="U552" s="2" t="inlineStr"/>
    </row>
    <row r="553" ht="15" customHeight="1">
      <c r="A553" t="inlineStr">
        <is>
          <t>A 50295-2025</t>
        </is>
      </c>
      <c r="B553" t="inlineStr">
        <is>
          <t>avverkningsanmälan</t>
        </is>
      </c>
      <c r="C553" t="inlineStr">
        <is>
          <t>Föryngringsavverkning</t>
        </is>
      </c>
      <c r="D553" s="1" t="n">
        <v>45944</v>
      </c>
      <c r="E553" s="1" t="n">
        <v>46220</v>
      </c>
      <c r="F553" t="inlineStr">
        <is>
          <t>VÄRMLANDS LÄN</t>
        </is>
      </c>
      <c r="G553" t="inlineStr">
        <is>
          <t>ÅRJÄNG</t>
        </is>
      </c>
      <c r="I553" t="n">
        <v>6</v>
      </c>
      <c r="J553" t="n">
        <v>0</v>
      </c>
      <c r="K553" t="n">
        <v>0</v>
      </c>
      <c r="L553" t="n">
        <v>0</v>
      </c>
      <c r="M553" t="n">
        <v>0</v>
      </c>
      <c r="N553" t="n">
        <v>0</v>
      </c>
      <c r="O553" t="n">
        <v>0</v>
      </c>
      <c r="P553" t="n">
        <v>0</v>
      </c>
      <c r="Q553" t="n">
        <v>0</v>
      </c>
      <c r="R553" t="n">
        <v>0</v>
      </c>
      <c r="S553" t="n">
        <v>0</v>
      </c>
      <c r="T553" t="n">
        <v>0</v>
      </c>
      <c r="U553" s="2" t="inlineStr"/>
    </row>
    <row r="554" ht="15" customHeight="1">
      <c r="A554" t="inlineStr">
        <is>
          <t>A 19877-2025</t>
        </is>
      </c>
      <c r="B554" t="inlineStr">
        <is>
          <t>avverkningsanmälan</t>
        </is>
      </c>
      <c r="C554" t="inlineStr">
        <is>
          <t>Föryngringsavverkning</t>
        </is>
      </c>
      <c r="D554" s="1" t="n">
        <v>45771</v>
      </c>
      <c r="E554" s="1" t="n">
        <v>46220</v>
      </c>
      <c r="F554" t="inlineStr">
        <is>
          <t>VÄRMLANDS LÄN</t>
        </is>
      </c>
      <c r="G554" t="inlineStr">
        <is>
          <t>ÅRJÄNG</t>
        </is>
      </c>
      <c r="I554" t="n">
        <v>6.3</v>
      </c>
      <c r="J554" t="n">
        <v>0</v>
      </c>
      <c r="K554" t="n">
        <v>0</v>
      </c>
      <c r="L554" t="n">
        <v>0</v>
      </c>
      <c r="M554" t="n">
        <v>0</v>
      </c>
      <c r="N554" t="n">
        <v>0</v>
      </c>
      <c r="O554" t="n">
        <v>0</v>
      </c>
      <c r="P554" t="n">
        <v>0</v>
      </c>
      <c r="Q554" t="n">
        <v>0</v>
      </c>
      <c r="R554" t="n">
        <v>0</v>
      </c>
      <c r="S554" t="n">
        <v>0</v>
      </c>
      <c r="T554" t="n">
        <v>0</v>
      </c>
      <c r="U554" s="2" t="inlineStr"/>
    </row>
    <row r="555" ht="15" customHeight="1">
      <c r="A555" t="inlineStr">
        <is>
          <t>A 4404-2025</t>
        </is>
      </c>
      <c r="B555" t="inlineStr">
        <is>
          <t>avverkningsanmälan</t>
        </is>
      </c>
      <c r="C555" t="inlineStr">
        <is>
          <t>Föryngringsavverkning</t>
        </is>
      </c>
      <c r="D555" s="1" t="n">
        <v>45686</v>
      </c>
      <c r="E555" s="1" t="n">
        <v>46220</v>
      </c>
      <c r="F555" t="inlineStr">
        <is>
          <t>VÄRMLANDS LÄN</t>
        </is>
      </c>
      <c r="G555" t="inlineStr">
        <is>
          <t>ÅRJÄNG</t>
        </is>
      </c>
      <c r="H555" t="inlineStr">
        <is>
          <t>Kyrkan</t>
        </is>
      </c>
      <c r="I555" t="n">
        <v>4.8</v>
      </c>
      <c r="J555" t="n">
        <v>0</v>
      </c>
      <c r="K555" t="n">
        <v>0</v>
      </c>
      <c r="L555" t="n">
        <v>0</v>
      </c>
      <c r="M555" t="n">
        <v>0</v>
      </c>
      <c r="N555" t="n">
        <v>0</v>
      </c>
      <c r="O555" t="n">
        <v>0</v>
      </c>
      <c r="P555" t="n">
        <v>0</v>
      </c>
      <c r="Q555" t="n">
        <v>0</v>
      </c>
      <c r="R555" t="n">
        <v>0</v>
      </c>
      <c r="S555" t="n">
        <v>0</v>
      </c>
      <c r="T555" t="n">
        <v>0</v>
      </c>
      <c r="U555" s="2" t="inlineStr"/>
    </row>
    <row r="556" ht="15" customHeight="1">
      <c r="A556" t="inlineStr">
        <is>
          <t>A 24444-2025</t>
        </is>
      </c>
      <c r="B556" t="inlineStr">
        <is>
          <t>avverkningsanmälan</t>
        </is>
      </c>
      <c r="C556" t="inlineStr">
        <is>
          <t>Föryngringsavverkning</t>
        </is>
      </c>
      <c r="D556" s="1" t="n">
        <v>45798</v>
      </c>
      <c r="E556" s="1" t="n">
        <v>46220</v>
      </c>
      <c r="F556" t="inlineStr">
        <is>
          <t>VÄRMLANDS LÄN</t>
        </is>
      </c>
      <c r="G556" t="inlineStr">
        <is>
          <t>ÅRJÄNG</t>
        </is>
      </c>
      <c r="I556" t="n">
        <v>5.1</v>
      </c>
      <c r="J556" t="n">
        <v>0</v>
      </c>
      <c r="K556" t="n">
        <v>0</v>
      </c>
      <c r="L556" t="n">
        <v>0</v>
      </c>
      <c r="M556" t="n">
        <v>0</v>
      </c>
      <c r="N556" t="n">
        <v>0</v>
      </c>
      <c r="O556" t="n">
        <v>0</v>
      </c>
      <c r="P556" t="n">
        <v>0</v>
      </c>
      <c r="Q556" t="n">
        <v>0</v>
      </c>
      <c r="R556" t="n">
        <v>0</v>
      </c>
      <c r="S556" t="n">
        <v>0</v>
      </c>
      <c r="T556" t="n">
        <v>0</v>
      </c>
      <c r="U556" s="2" t="inlineStr"/>
    </row>
    <row r="557" ht="15" customHeight="1">
      <c r="A557" t="inlineStr">
        <is>
          <t>A 59801-2023</t>
        </is>
      </c>
      <c r="B557" t="inlineStr">
        <is>
          <t>avverkningsanmälan</t>
        </is>
      </c>
      <c r="C557" t="inlineStr">
        <is>
          <t>Föryngringsavverkning</t>
        </is>
      </c>
      <c r="D557" s="1" t="n">
        <v>45254</v>
      </c>
      <c r="E557" s="1" t="n">
        <v>46220</v>
      </c>
      <c r="F557" t="inlineStr">
        <is>
          <t>VÄRMLANDS LÄN</t>
        </is>
      </c>
      <c r="G557" t="inlineStr">
        <is>
          <t>ÅRJÄNG</t>
        </is>
      </c>
      <c r="I557" t="n">
        <v>13.8</v>
      </c>
      <c r="J557" t="n">
        <v>0</v>
      </c>
      <c r="K557" t="n">
        <v>0</v>
      </c>
      <c r="L557" t="n">
        <v>0</v>
      </c>
      <c r="M557" t="n">
        <v>0</v>
      </c>
      <c r="N557" t="n">
        <v>0</v>
      </c>
      <c r="O557" t="n">
        <v>0</v>
      </c>
      <c r="P557" t="n">
        <v>0</v>
      </c>
      <c r="Q557" t="n">
        <v>0</v>
      </c>
      <c r="R557" t="n">
        <v>0</v>
      </c>
      <c r="S557" t="n">
        <v>0</v>
      </c>
      <c r="T557" t="n">
        <v>0</v>
      </c>
      <c r="U557" s="2" t="inlineStr"/>
    </row>
    <row r="558" ht="15" customHeight="1">
      <c r="A558" t="inlineStr">
        <is>
          <t>A 59811-2023</t>
        </is>
      </c>
      <c r="B558" t="inlineStr">
        <is>
          <t>avverkningsanmälan</t>
        </is>
      </c>
      <c r="C558" t="inlineStr">
        <is>
          <t>Föryngringsavverkning</t>
        </is>
      </c>
      <c r="D558" s="1" t="n">
        <v>45254</v>
      </c>
      <c r="E558" s="1" t="n">
        <v>46220</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24445-2025</t>
        </is>
      </c>
      <c r="B559" t="inlineStr">
        <is>
          <t>avverkningsanmälan</t>
        </is>
      </c>
      <c r="C559" t="inlineStr">
        <is>
          <t>Föryngringsavverkning</t>
        </is>
      </c>
      <c r="D559" s="1" t="n">
        <v>45798</v>
      </c>
      <c r="E559" s="1" t="n">
        <v>46220</v>
      </c>
      <c r="F559" t="inlineStr">
        <is>
          <t>VÄRMLANDS LÄN</t>
        </is>
      </c>
      <c r="G559" t="inlineStr">
        <is>
          <t>ÅRJÄNG</t>
        </is>
      </c>
      <c r="I559" t="n">
        <v>6.4</v>
      </c>
      <c r="J559" t="n">
        <v>0</v>
      </c>
      <c r="K559" t="n">
        <v>0</v>
      </c>
      <c r="L559" t="n">
        <v>0</v>
      </c>
      <c r="M559" t="n">
        <v>0</v>
      </c>
      <c r="N559" t="n">
        <v>0</v>
      </c>
      <c r="O559" t="n">
        <v>0</v>
      </c>
      <c r="P559" t="n">
        <v>0</v>
      </c>
      <c r="Q559" t="n">
        <v>0</v>
      </c>
      <c r="R559" t="n">
        <v>0</v>
      </c>
      <c r="S559" t="n">
        <v>0</v>
      </c>
      <c r="T559" t="n">
        <v>0</v>
      </c>
      <c r="U559" s="2" t="inlineStr"/>
    </row>
    <row r="560" ht="15" customHeight="1">
      <c r="A560" t="inlineStr">
        <is>
          <t>A 50554-2025</t>
        </is>
      </c>
      <c r="B560" t="inlineStr">
        <is>
          <t>avverkningsanmälan</t>
        </is>
      </c>
      <c r="C560" t="inlineStr">
        <is>
          <t>Föryngringsavverkning</t>
        </is>
      </c>
      <c r="D560" s="1" t="n">
        <v>45945</v>
      </c>
      <c r="E560" s="1" t="n">
        <v>46220</v>
      </c>
      <c r="F560" t="inlineStr">
        <is>
          <t>VÄRMLANDS LÄN</t>
        </is>
      </c>
      <c r="G560" t="inlineStr">
        <is>
          <t>ÅRJÄNG</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57158-2024</t>
        </is>
      </c>
      <c r="B561" t="inlineStr">
        <is>
          <t>avverkningsanmälan</t>
        </is>
      </c>
      <c r="C561" t="inlineStr">
        <is>
          <t>Föryngringsavverkning</t>
        </is>
      </c>
      <c r="D561" s="1" t="n">
        <v>45628</v>
      </c>
      <c r="E561" s="1" t="n">
        <v>46220</v>
      </c>
      <c r="F561" t="inlineStr">
        <is>
          <t>VÄRMLANDS LÄN</t>
        </is>
      </c>
      <c r="G561" t="inlineStr">
        <is>
          <t>ÅRJÄNG</t>
        </is>
      </c>
      <c r="I561" t="n">
        <v>6.3</v>
      </c>
      <c r="J561" t="n">
        <v>0</v>
      </c>
      <c r="K561" t="n">
        <v>0</v>
      </c>
      <c r="L561" t="n">
        <v>0</v>
      </c>
      <c r="M561" t="n">
        <v>0</v>
      </c>
      <c r="N561" t="n">
        <v>0</v>
      </c>
      <c r="O561" t="n">
        <v>0</v>
      </c>
      <c r="P561" t="n">
        <v>0</v>
      </c>
      <c r="Q561" t="n">
        <v>0</v>
      </c>
      <c r="R561" t="n">
        <v>0</v>
      </c>
      <c r="S561" t="n">
        <v>0</v>
      </c>
      <c r="T561" t="n">
        <v>0</v>
      </c>
      <c r="U561" s="2" t="inlineStr"/>
    </row>
    <row r="562" ht="15" customHeight="1">
      <c r="A562" t="inlineStr">
        <is>
          <t>A 19850-2025</t>
        </is>
      </c>
      <c r="B562" t="inlineStr">
        <is>
          <t>avverkningsanmälan</t>
        </is>
      </c>
      <c r="C562" t="inlineStr">
        <is>
          <t>Föryngringsavverkning</t>
        </is>
      </c>
      <c r="D562" s="1" t="n">
        <v>45771</v>
      </c>
      <c r="E562" s="1" t="n">
        <v>46220</v>
      </c>
      <c r="F562" t="inlineStr">
        <is>
          <t>VÄRMLANDS LÄN</t>
        </is>
      </c>
      <c r="G562" t="inlineStr">
        <is>
          <t>ÅRJÄNG</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50620-2025</t>
        </is>
      </c>
      <c r="B563" t="inlineStr">
        <is>
          <t>avverkningsanmälan</t>
        </is>
      </c>
      <c r="C563" t="inlineStr">
        <is>
          <t>Föryngringsavverkning</t>
        </is>
      </c>
      <c r="D563" s="1" t="n">
        <v>45945</v>
      </c>
      <c r="E563" s="1" t="n">
        <v>46220</v>
      </c>
      <c r="F563" t="inlineStr">
        <is>
          <t>VÄRMLANDS LÄN</t>
        </is>
      </c>
      <c r="G563" t="inlineStr">
        <is>
          <t>ÅRJÄNG</t>
        </is>
      </c>
      <c r="I563" t="n">
        <v>7.7</v>
      </c>
      <c r="J563" t="n">
        <v>0</v>
      </c>
      <c r="K563" t="n">
        <v>0</v>
      </c>
      <c r="L563" t="n">
        <v>0</v>
      </c>
      <c r="M563" t="n">
        <v>0</v>
      </c>
      <c r="N563" t="n">
        <v>0</v>
      </c>
      <c r="O563" t="n">
        <v>0</v>
      </c>
      <c r="P563" t="n">
        <v>0</v>
      </c>
      <c r="Q563" t="n">
        <v>0</v>
      </c>
      <c r="R563" t="n">
        <v>0</v>
      </c>
      <c r="S563" t="n">
        <v>0</v>
      </c>
      <c r="T563" t="n">
        <v>0</v>
      </c>
      <c r="U563" s="2" t="inlineStr"/>
    </row>
    <row r="564" ht="15" customHeight="1">
      <c r="A564" t="inlineStr">
        <is>
          <t>A 50841-2025</t>
        </is>
      </c>
      <c r="B564" t="inlineStr">
        <is>
          <t>avverkningsanmälan</t>
        </is>
      </c>
      <c r="C564" t="inlineStr">
        <is>
          <t>Föryngringsavverkning</t>
        </is>
      </c>
      <c r="D564" s="1" t="n">
        <v>45946</v>
      </c>
      <c r="E564" s="1" t="n">
        <v>46220</v>
      </c>
      <c r="F564" t="inlineStr">
        <is>
          <t>VÄRMLANDS LÄN</t>
        </is>
      </c>
      <c r="G564" t="inlineStr">
        <is>
          <t>ÅRJÄNG</t>
        </is>
      </c>
      <c r="H564" t="inlineStr">
        <is>
          <t>Kyrkan</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50847-2025</t>
        </is>
      </c>
      <c r="B565" t="inlineStr">
        <is>
          <t>avverkningsanmälan</t>
        </is>
      </c>
      <c r="C565" t="inlineStr">
        <is>
          <t>Föryngringsavverkning</t>
        </is>
      </c>
      <c r="D565" s="1" t="n">
        <v>45946</v>
      </c>
      <c r="E565" s="1" t="n">
        <v>46220</v>
      </c>
      <c r="F565" t="inlineStr">
        <is>
          <t>VÄRMLANDS LÄN</t>
        </is>
      </c>
      <c r="G565" t="inlineStr">
        <is>
          <t>ÅRJÄNG</t>
        </is>
      </c>
      <c r="H565" t="inlineStr">
        <is>
          <t>Kyrkan</t>
        </is>
      </c>
      <c r="I565" t="n">
        <v>4.3</v>
      </c>
      <c r="J565" t="n">
        <v>0</v>
      </c>
      <c r="K565" t="n">
        <v>0</v>
      </c>
      <c r="L565" t="n">
        <v>0</v>
      </c>
      <c r="M565" t="n">
        <v>0</v>
      </c>
      <c r="N565" t="n">
        <v>0</v>
      </c>
      <c r="O565" t="n">
        <v>0</v>
      </c>
      <c r="P565" t="n">
        <v>0</v>
      </c>
      <c r="Q565" t="n">
        <v>0</v>
      </c>
      <c r="R565" t="n">
        <v>0</v>
      </c>
      <c r="S565" t="n">
        <v>0</v>
      </c>
      <c r="T565" t="n">
        <v>0</v>
      </c>
      <c r="U565" s="2" t="inlineStr"/>
    </row>
    <row r="566" ht="15" customHeight="1">
      <c r="A566" t="inlineStr">
        <is>
          <t>A 65854-2021</t>
        </is>
      </c>
      <c r="B566" t="inlineStr">
        <is>
          <t>avverkningsanmälan</t>
        </is>
      </c>
      <c r="C566" t="inlineStr">
        <is>
          <t>Föryngringsavverkning</t>
        </is>
      </c>
      <c r="D566" s="1" t="n">
        <v>44517</v>
      </c>
      <c r="E566" s="1" t="n">
        <v>46220</v>
      </c>
      <c r="F566" t="inlineStr">
        <is>
          <t>VÄRMLANDS LÄN</t>
        </is>
      </c>
      <c r="G566" t="inlineStr">
        <is>
          <t>ÅRJÄNG</t>
        </is>
      </c>
      <c r="I566" t="n">
        <v>11.1</v>
      </c>
      <c r="J566" t="n">
        <v>0</v>
      </c>
      <c r="K566" t="n">
        <v>0</v>
      </c>
      <c r="L566" t="n">
        <v>0</v>
      </c>
      <c r="M566" t="n">
        <v>0</v>
      </c>
      <c r="N566" t="n">
        <v>0</v>
      </c>
      <c r="O566" t="n">
        <v>0</v>
      </c>
      <c r="P566" t="n">
        <v>0</v>
      </c>
      <c r="Q566" t="n">
        <v>0</v>
      </c>
      <c r="R566" t="n">
        <v>0</v>
      </c>
      <c r="S566" t="n">
        <v>0</v>
      </c>
      <c r="T566" t="n">
        <v>0</v>
      </c>
      <c r="U566" s="2" t="inlineStr"/>
    </row>
    <row r="567" ht="15" customHeight="1">
      <c r="A567" t="inlineStr">
        <is>
          <t>A 3986-2026</t>
        </is>
      </c>
      <c r="B567" t="inlineStr">
        <is>
          <t>avverkningsanmälan</t>
        </is>
      </c>
      <c r="C567" t="inlineStr">
        <is>
          <t>Föryngringsavverkning</t>
        </is>
      </c>
      <c r="D567" s="1" t="n">
        <v>46044</v>
      </c>
      <c r="E567" s="1" t="n">
        <v>46220</v>
      </c>
      <c r="F567" t="inlineStr">
        <is>
          <t>VÄRMLANDS LÄN</t>
        </is>
      </c>
      <c r="G567" t="inlineStr">
        <is>
          <t>ÅRJÄNG</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53793-2024</t>
        </is>
      </c>
      <c r="B568" t="inlineStr">
        <is>
          <t>avverkningsanmälan</t>
        </is>
      </c>
      <c r="C568" t="inlineStr">
        <is>
          <t>Föryngringsavverkning</t>
        </is>
      </c>
      <c r="D568" s="1" t="n">
        <v>45615</v>
      </c>
      <c r="E568" s="1" t="n">
        <v>46220</v>
      </c>
      <c r="F568" t="inlineStr">
        <is>
          <t>VÄRMLANDS LÄN</t>
        </is>
      </c>
      <c r="G568" t="inlineStr">
        <is>
          <t>ÅRJÄNG</t>
        </is>
      </c>
      <c r="I568" t="n">
        <v>4.9</v>
      </c>
      <c r="J568" t="n">
        <v>0</v>
      </c>
      <c r="K568" t="n">
        <v>0</v>
      </c>
      <c r="L568" t="n">
        <v>0</v>
      </c>
      <c r="M568" t="n">
        <v>0</v>
      </c>
      <c r="N568" t="n">
        <v>0</v>
      </c>
      <c r="O568" t="n">
        <v>0</v>
      </c>
      <c r="P568" t="n">
        <v>0</v>
      </c>
      <c r="Q568" t="n">
        <v>0</v>
      </c>
      <c r="R568" t="n">
        <v>0</v>
      </c>
      <c r="S568" t="n">
        <v>0</v>
      </c>
      <c r="T568" t="n">
        <v>0</v>
      </c>
      <c r="U568" s="2" t="inlineStr"/>
    </row>
    <row r="569" ht="15" customHeight="1">
      <c r="A569" t="inlineStr">
        <is>
          <t>A 50931-2025</t>
        </is>
      </c>
      <c r="B569" t="inlineStr">
        <is>
          <t>avverkningsanmälan</t>
        </is>
      </c>
      <c r="C569" t="inlineStr">
        <is>
          <t>Föryngringsavverkning</t>
        </is>
      </c>
      <c r="D569" s="1" t="n">
        <v>45946</v>
      </c>
      <c r="E569" s="1" t="n">
        <v>46220</v>
      </c>
      <c r="F569" t="inlineStr">
        <is>
          <t>VÄRMLANDS LÄN</t>
        </is>
      </c>
      <c r="G569" t="inlineStr">
        <is>
          <t>ÅRJÄNG</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51282-2025</t>
        </is>
      </c>
      <c r="B570" t="inlineStr">
        <is>
          <t>avverkningsanmälan</t>
        </is>
      </c>
      <c r="C570" t="inlineStr">
        <is>
          <t>Föryngringsavverkning</t>
        </is>
      </c>
      <c r="D570" s="1" t="n">
        <v>45950</v>
      </c>
      <c r="E570" s="1" t="n">
        <v>46220</v>
      </c>
      <c r="F570" t="inlineStr">
        <is>
          <t>VÄRMLANDS LÄN</t>
        </is>
      </c>
      <c r="G570" t="inlineStr">
        <is>
          <t>ÅRJÄNG</t>
        </is>
      </c>
      <c r="H570" t="inlineStr">
        <is>
          <t>Bergvik skog väst AB</t>
        </is>
      </c>
      <c r="I570" t="n">
        <v>2.4</v>
      </c>
      <c r="J570" t="n">
        <v>0</v>
      </c>
      <c r="K570" t="n">
        <v>0</v>
      </c>
      <c r="L570" t="n">
        <v>0</v>
      </c>
      <c r="M570" t="n">
        <v>0</v>
      </c>
      <c r="N570" t="n">
        <v>0</v>
      </c>
      <c r="O570" t="n">
        <v>0</v>
      </c>
      <c r="P570" t="n">
        <v>0</v>
      </c>
      <c r="Q570" t="n">
        <v>0</v>
      </c>
      <c r="R570" t="n">
        <v>0</v>
      </c>
      <c r="S570" t="n">
        <v>0</v>
      </c>
      <c r="T570" t="n">
        <v>0</v>
      </c>
      <c r="U570" s="2" t="inlineStr"/>
    </row>
    <row r="571" ht="15" customHeight="1">
      <c r="A571" t="inlineStr">
        <is>
          <t>A 49641-2021</t>
        </is>
      </c>
      <c r="B571" t="inlineStr">
        <is>
          <t>avverkningsanmälan</t>
        </is>
      </c>
      <c r="C571" t="inlineStr">
        <is>
          <t>Föryngringsavverkning</t>
        </is>
      </c>
      <c r="D571" s="1" t="n">
        <v>44455</v>
      </c>
      <c r="E571" s="1" t="n">
        <v>46220</v>
      </c>
      <c r="F571" t="inlineStr">
        <is>
          <t>VÄRMLANDS LÄN</t>
        </is>
      </c>
      <c r="G571" t="inlineStr">
        <is>
          <t>ÅRJÄNG</t>
        </is>
      </c>
      <c r="I571" t="n">
        <v>3.2</v>
      </c>
      <c r="J571" t="n">
        <v>0</v>
      </c>
      <c r="K571" t="n">
        <v>0</v>
      </c>
      <c r="L571" t="n">
        <v>0</v>
      </c>
      <c r="M571" t="n">
        <v>0</v>
      </c>
      <c r="N571" t="n">
        <v>0</v>
      </c>
      <c r="O571" t="n">
        <v>0</v>
      </c>
      <c r="P571" t="n">
        <v>0</v>
      </c>
      <c r="Q571" t="n">
        <v>0</v>
      </c>
      <c r="R571" t="n">
        <v>0</v>
      </c>
      <c r="S571" t="n">
        <v>0</v>
      </c>
      <c r="T571" t="n">
        <v>0</v>
      </c>
      <c r="U571" s="2" t="inlineStr"/>
    </row>
    <row r="572" ht="15" customHeight="1">
      <c r="A572" t="inlineStr">
        <is>
          <t>A 51435-2025</t>
        </is>
      </c>
      <c r="B572" t="inlineStr">
        <is>
          <t>avverkningsanmälan</t>
        </is>
      </c>
      <c r="C572" t="inlineStr">
        <is>
          <t>Föryngringsavverkning</t>
        </is>
      </c>
      <c r="D572" s="1" t="n">
        <v>45950</v>
      </c>
      <c r="E572" s="1" t="n">
        <v>46220</v>
      </c>
      <c r="F572" t="inlineStr">
        <is>
          <t>VÄRMLANDS LÄN</t>
        </is>
      </c>
      <c r="G572" t="inlineStr">
        <is>
          <t>ÅRJÄNG</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4923-2026</t>
        </is>
      </c>
      <c r="B573" t="inlineStr">
        <is>
          <t>avverkningsanmälan</t>
        </is>
      </c>
      <c r="C573" t="inlineStr">
        <is>
          <t>Föryngringsavverkning</t>
        </is>
      </c>
      <c r="D573" s="1" t="n">
        <v>46045</v>
      </c>
      <c r="E573" s="1" t="n">
        <v>46220</v>
      </c>
      <c r="F573" t="inlineStr">
        <is>
          <t>VÄRMLANDS LÄN</t>
        </is>
      </c>
      <c r="G573" t="inlineStr">
        <is>
          <t>ÅRJÄNG</t>
        </is>
      </c>
      <c r="H573" t="inlineStr">
        <is>
          <t>Övriga Aktiebolag</t>
        </is>
      </c>
      <c r="I573" t="n">
        <v>11.4</v>
      </c>
      <c r="J573" t="n">
        <v>0</v>
      </c>
      <c r="K573" t="n">
        <v>0</v>
      </c>
      <c r="L573" t="n">
        <v>0</v>
      </c>
      <c r="M573" t="n">
        <v>0</v>
      </c>
      <c r="N573" t="n">
        <v>0</v>
      </c>
      <c r="O573" t="n">
        <v>0</v>
      </c>
      <c r="P573" t="n">
        <v>0</v>
      </c>
      <c r="Q573" t="n">
        <v>0</v>
      </c>
      <c r="R573" t="n">
        <v>0</v>
      </c>
      <c r="S573" t="n">
        <v>0</v>
      </c>
      <c r="T573" t="n">
        <v>0</v>
      </c>
      <c r="U573" s="2" t="inlineStr"/>
    </row>
    <row r="574" ht="15" customHeight="1">
      <c r="A574" t="inlineStr">
        <is>
          <t>A 55574-2023</t>
        </is>
      </c>
      <c r="B574" t="inlineStr">
        <is>
          <t>avverkningsanmälan</t>
        </is>
      </c>
      <c r="C574" t="inlineStr">
        <is>
          <t>Föryngringsavverkning</t>
        </is>
      </c>
      <c r="D574" s="1" t="n">
        <v>45232</v>
      </c>
      <c r="E574" s="1" t="n">
        <v>46220</v>
      </c>
      <c r="F574" t="inlineStr">
        <is>
          <t>VÄRMLANDS LÄN</t>
        </is>
      </c>
      <c r="G574" t="inlineStr">
        <is>
          <t>ÅRJÄNG</t>
        </is>
      </c>
      <c r="I574" t="n">
        <v>9.1</v>
      </c>
      <c r="J574" t="n">
        <v>0</v>
      </c>
      <c r="K574" t="n">
        <v>0</v>
      </c>
      <c r="L574" t="n">
        <v>0</v>
      </c>
      <c r="M574" t="n">
        <v>0</v>
      </c>
      <c r="N574" t="n">
        <v>0</v>
      </c>
      <c r="O574" t="n">
        <v>0</v>
      </c>
      <c r="P574" t="n">
        <v>0</v>
      </c>
      <c r="Q574" t="n">
        <v>0</v>
      </c>
      <c r="R574" t="n">
        <v>0</v>
      </c>
      <c r="S574" t="n">
        <v>0</v>
      </c>
      <c r="T574" t="n">
        <v>0</v>
      </c>
      <c r="U574" s="2" t="inlineStr"/>
    </row>
    <row r="575" ht="15" customHeight="1">
      <c r="A575" t="inlineStr">
        <is>
          <t>A 51430-2025</t>
        </is>
      </c>
      <c r="B575" t="inlineStr">
        <is>
          <t>avverkningsanmälan</t>
        </is>
      </c>
      <c r="C575" t="inlineStr">
        <is>
          <t>Föryngringsavverkning</t>
        </is>
      </c>
      <c r="D575" s="1" t="n">
        <v>45950</v>
      </c>
      <c r="E575" s="1" t="n">
        <v>46220</v>
      </c>
      <c r="F575" t="inlineStr">
        <is>
          <t>VÄRMLANDS LÄN</t>
        </is>
      </c>
      <c r="G575" t="inlineStr">
        <is>
          <t>ÅRJÄNG</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46249-2023</t>
        </is>
      </c>
      <c r="B576" t="inlineStr">
        <is>
          <t>avverkningsanmälan</t>
        </is>
      </c>
      <c r="C576" t="inlineStr">
        <is>
          <t>Föryngringsavverkning</t>
        </is>
      </c>
      <c r="D576" s="1" t="n">
        <v>45196</v>
      </c>
      <c r="E576" s="1" t="n">
        <v>46220</v>
      </c>
      <c r="F576" t="inlineStr">
        <is>
          <t>VÄRMLANDS LÄN</t>
        </is>
      </c>
      <c r="G576" t="inlineStr">
        <is>
          <t>ÅRJÄNG</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64690-2023</t>
        </is>
      </c>
      <c r="B577" t="inlineStr">
        <is>
          <t>avverkningsanmälan</t>
        </is>
      </c>
      <c r="C577" t="inlineStr">
        <is>
          <t>Föryngringsavverkning</t>
        </is>
      </c>
      <c r="D577" s="1" t="n">
        <v>45281</v>
      </c>
      <c r="E577" s="1" t="n">
        <v>46220</v>
      </c>
      <c r="F577" t="inlineStr">
        <is>
          <t>VÄRMLANDS LÄN</t>
        </is>
      </c>
      <c r="G577" t="inlineStr">
        <is>
          <t>ÅRJÄNG</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60202-2023</t>
        </is>
      </c>
      <c r="B578" t="inlineStr">
        <is>
          <t>avverkningsanmälan</t>
        </is>
      </c>
      <c r="C578" t="inlineStr">
        <is>
          <t>Föryngringsavverkning</t>
        </is>
      </c>
      <c r="D578" s="1" t="n">
        <v>45257</v>
      </c>
      <c r="E578" s="1" t="n">
        <v>46220</v>
      </c>
      <c r="F578" t="inlineStr">
        <is>
          <t>VÄRMLANDS LÄN</t>
        </is>
      </c>
      <c r="G578" t="inlineStr">
        <is>
          <t>ÅRJÄNG</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41986-2022</t>
        </is>
      </c>
      <c r="B579" t="inlineStr">
        <is>
          <t>avverkningsanmälan</t>
        </is>
      </c>
      <c r="C579" t="inlineStr">
        <is>
          <t>Föryngringsavverkning</t>
        </is>
      </c>
      <c r="D579" s="1" t="n">
        <v>44830</v>
      </c>
      <c r="E579" s="1" t="n">
        <v>46220</v>
      </c>
      <c r="F579" t="inlineStr">
        <is>
          <t>VÄRMLANDS LÄN</t>
        </is>
      </c>
      <c r="G579" t="inlineStr">
        <is>
          <t>ÅRJÄNG</t>
        </is>
      </c>
      <c r="I579" t="n">
        <v>4.3</v>
      </c>
      <c r="J579" t="n">
        <v>0</v>
      </c>
      <c r="K579" t="n">
        <v>0</v>
      </c>
      <c r="L579" t="n">
        <v>0</v>
      </c>
      <c r="M579" t="n">
        <v>0</v>
      </c>
      <c r="N579" t="n">
        <v>0</v>
      </c>
      <c r="O579" t="n">
        <v>0</v>
      </c>
      <c r="P579" t="n">
        <v>0</v>
      </c>
      <c r="Q579" t="n">
        <v>0</v>
      </c>
      <c r="R579" t="n">
        <v>0</v>
      </c>
      <c r="S579" t="n">
        <v>0</v>
      </c>
      <c r="T579" t="n">
        <v>0</v>
      </c>
      <c r="U579" s="2" t="inlineStr"/>
    </row>
    <row r="580" ht="15" customHeight="1">
      <c r="A580" t="inlineStr">
        <is>
          <t>A 37765-2023</t>
        </is>
      </c>
      <c r="B580" t="inlineStr">
        <is>
          <t>avverkningsanmälan</t>
        </is>
      </c>
      <c r="C580" t="inlineStr">
        <is>
          <t>Föryngringsavverkning</t>
        </is>
      </c>
      <c r="D580" s="1" t="n">
        <v>45159</v>
      </c>
      <c r="E580" s="1" t="n">
        <v>46220</v>
      </c>
      <c r="F580" t="inlineStr">
        <is>
          <t>VÄRMLANDS LÄN</t>
        </is>
      </c>
      <c r="G580" t="inlineStr">
        <is>
          <t>ÅRJÄNG</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301-2025</t>
        </is>
      </c>
      <c r="B581" t="inlineStr">
        <is>
          <t>avverkningsanmälan</t>
        </is>
      </c>
      <c r="C581" t="inlineStr">
        <is>
          <t>Föryngringsavverkning</t>
        </is>
      </c>
      <c r="D581" s="1" t="n">
        <v>45660</v>
      </c>
      <c r="E581" s="1" t="n">
        <v>46220</v>
      </c>
      <c r="F581" t="inlineStr">
        <is>
          <t>VÄRMLANDS LÄN</t>
        </is>
      </c>
      <c r="G581" t="inlineStr">
        <is>
          <t>ÅRJÄNG</t>
        </is>
      </c>
      <c r="I581" t="n">
        <v>2.5</v>
      </c>
      <c r="J581" t="n">
        <v>0</v>
      </c>
      <c r="K581" t="n">
        <v>0</v>
      </c>
      <c r="L581" t="n">
        <v>0</v>
      </c>
      <c r="M581" t="n">
        <v>0</v>
      </c>
      <c r="N581" t="n">
        <v>0</v>
      </c>
      <c r="O581" t="n">
        <v>0</v>
      </c>
      <c r="P581" t="n">
        <v>0</v>
      </c>
      <c r="Q581" t="n">
        <v>0</v>
      </c>
      <c r="R581" t="n">
        <v>0</v>
      </c>
      <c r="S581" t="n">
        <v>0</v>
      </c>
      <c r="T581" t="n">
        <v>0</v>
      </c>
      <c r="U581" s="2" t="inlineStr"/>
    </row>
    <row r="582" ht="15" customHeight="1">
      <c r="A582" t="inlineStr">
        <is>
          <t>A 52855-2025</t>
        </is>
      </c>
      <c r="B582" t="inlineStr">
        <is>
          <t>avverkningsanmälan</t>
        </is>
      </c>
      <c r="C582" t="inlineStr">
        <is>
          <t>Föryngringsavverkning</t>
        </is>
      </c>
      <c r="D582" s="1" t="n">
        <v>45957</v>
      </c>
      <c r="E582" s="1" t="n">
        <v>46220</v>
      </c>
      <c r="F582" t="inlineStr">
        <is>
          <t>VÄRMLANDS LÄN</t>
        </is>
      </c>
      <c r="G582" t="inlineStr">
        <is>
          <t>ÅRJÄNG</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5214-2026</t>
        </is>
      </c>
      <c r="B583" t="inlineStr">
        <is>
          <t>avverkningsanmälan</t>
        </is>
      </c>
      <c r="C583" t="inlineStr">
        <is>
          <t>Föryngringsavverkning</t>
        </is>
      </c>
      <c r="D583" s="1" t="n">
        <v>46049</v>
      </c>
      <c r="E583" s="1" t="n">
        <v>46220</v>
      </c>
      <c r="F583" t="inlineStr">
        <is>
          <t>VÄRMLANDS LÄN</t>
        </is>
      </c>
      <c r="G583" t="inlineStr">
        <is>
          <t>ÅRJÄNG</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5216-2026</t>
        </is>
      </c>
      <c r="B584" t="inlineStr">
        <is>
          <t>avverkningsanmälan</t>
        </is>
      </c>
      <c r="C584" t="inlineStr">
        <is>
          <t>Föryngringsavverkning</t>
        </is>
      </c>
      <c r="D584" s="1" t="n">
        <v>46049</v>
      </c>
      <c r="E584" s="1" t="n">
        <v>46220</v>
      </c>
      <c r="F584" t="inlineStr">
        <is>
          <t>VÄRMLANDS LÄN</t>
        </is>
      </c>
      <c r="G584" t="inlineStr">
        <is>
          <t>ÅRJÄNG</t>
        </is>
      </c>
      <c r="I584" t="n">
        <v>0.9</v>
      </c>
      <c r="J584" t="n">
        <v>0</v>
      </c>
      <c r="K584" t="n">
        <v>0</v>
      </c>
      <c r="L584" t="n">
        <v>0</v>
      </c>
      <c r="M584" t="n">
        <v>0</v>
      </c>
      <c r="N584" t="n">
        <v>0</v>
      </c>
      <c r="O584" t="n">
        <v>0</v>
      </c>
      <c r="P584" t="n">
        <v>0</v>
      </c>
      <c r="Q584" t="n">
        <v>0</v>
      </c>
      <c r="R584" t="n">
        <v>0</v>
      </c>
      <c r="S584" t="n">
        <v>0</v>
      </c>
      <c r="T584" t="n">
        <v>0</v>
      </c>
      <c r="U584" s="2" t="inlineStr"/>
    </row>
    <row r="585" ht="15" customHeight="1">
      <c r="A585" t="inlineStr">
        <is>
          <t>A 5217-2026</t>
        </is>
      </c>
      <c r="B585" t="inlineStr">
        <is>
          <t>avverkningsanmälan</t>
        </is>
      </c>
      <c r="C585" t="inlineStr">
        <is>
          <t>Föryngringsavverkning</t>
        </is>
      </c>
      <c r="D585" s="1" t="n">
        <v>46049</v>
      </c>
      <c r="E585" s="1" t="n">
        <v>46220</v>
      </c>
      <c r="F585" t="inlineStr">
        <is>
          <t>VÄRMLANDS LÄN</t>
        </is>
      </c>
      <c r="G585" t="inlineStr">
        <is>
          <t>ÅRJÄNG</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5169-2026</t>
        </is>
      </c>
      <c r="B586" t="inlineStr">
        <is>
          <t>avverkningsanmälan</t>
        </is>
      </c>
      <c r="C586" t="inlineStr">
        <is>
          <t>Föryngringsavverkning</t>
        </is>
      </c>
      <c r="D586" s="1" t="n">
        <v>46049</v>
      </c>
      <c r="E586" s="1" t="n">
        <v>46220</v>
      </c>
      <c r="F586" t="inlineStr">
        <is>
          <t>VÄRMLANDS LÄN</t>
        </is>
      </c>
      <c r="G586" t="inlineStr">
        <is>
          <t>ÅRJÄNG</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5146-2026</t>
        </is>
      </c>
      <c r="B587" t="inlineStr">
        <is>
          <t>avverkningsanmälan</t>
        </is>
      </c>
      <c r="C587" t="inlineStr">
        <is>
          <t>Föryngringsavverkning</t>
        </is>
      </c>
      <c r="D587" s="1" t="n">
        <v>46049</v>
      </c>
      <c r="E587" s="1" t="n">
        <v>46220</v>
      </c>
      <c r="F587" t="inlineStr">
        <is>
          <t>VÄRMLANDS LÄN</t>
        </is>
      </c>
      <c r="G587" t="inlineStr">
        <is>
          <t>ÅRJÄNG</t>
        </is>
      </c>
      <c r="I587" t="n">
        <v>4.8</v>
      </c>
      <c r="J587" t="n">
        <v>0</v>
      </c>
      <c r="K587" t="n">
        <v>0</v>
      </c>
      <c r="L587" t="n">
        <v>0</v>
      </c>
      <c r="M587" t="n">
        <v>0</v>
      </c>
      <c r="N587" t="n">
        <v>0</v>
      </c>
      <c r="O587" t="n">
        <v>0</v>
      </c>
      <c r="P587" t="n">
        <v>0</v>
      </c>
      <c r="Q587" t="n">
        <v>0</v>
      </c>
      <c r="R587" t="n">
        <v>0</v>
      </c>
      <c r="S587" t="n">
        <v>0</v>
      </c>
      <c r="T587" t="n">
        <v>0</v>
      </c>
      <c r="U587" s="2" t="inlineStr"/>
    </row>
    <row r="588" ht="15" customHeight="1">
      <c r="A588" t="inlineStr">
        <is>
          <t>A 19246-2024</t>
        </is>
      </c>
      <c r="B588" t="inlineStr">
        <is>
          <t>avverkningsanmälan</t>
        </is>
      </c>
      <c r="C588" t="inlineStr">
        <is>
          <t>Föryngringsavverkning</t>
        </is>
      </c>
      <c r="D588" s="1" t="n">
        <v>45428</v>
      </c>
      <c r="E588" s="1" t="n">
        <v>46220</v>
      </c>
      <c r="F588" t="inlineStr">
        <is>
          <t>VÄRMLANDS LÄN</t>
        </is>
      </c>
      <c r="G588" t="inlineStr">
        <is>
          <t>ÅRJÄNG</t>
        </is>
      </c>
      <c r="H588" t="inlineStr">
        <is>
          <t>Bergvik skog väst AB</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53158-2025</t>
        </is>
      </c>
      <c r="B589" t="inlineStr">
        <is>
          <t>avverkningsanmälan</t>
        </is>
      </c>
      <c r="C589" t="inlineStr">
        <is>
          <t>Föryngringsavverkning</t>
        </is>
      </c>
      <c r="D589" s="1" t="n">
        <v>45958</v>
      </c>
      <c r="E589" s="1" t="n">
        <v>46220</v>
      </c>
      <c r="F589" t="inlineStr">
        <is>
          <t>VÄRMLANDS LÄN</t>
        </is>
      </c>
      <c r="G589" t="inlineStr">
        <is>
          <t>ÅRJÄNG</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53103-2025</t>
        </is>
      </c>
      <c r="B590" t="inlineStr">
        <is>
          <t>avverkningsanmälan</t>
        </is>
      </c>
      <c r="C590" t="inlineStr">
        <is>
          <t>Föryngringsavverkning</t>
        </is>
      </c>
      <c r="D590" s="1" t="n">
        <v>45958</v>
      </c>
      <c r="E590" s="1" t="n">
        <v>46220</v>
      </c>
      <c r="F590" t="inlineStr">
        <is>
          <t>VÄRMLANDS LÄN</t>
        </is>
      </c>
      <c r="G590" t="inlineStr">
        <is>
          <t>ÅRJÄNG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53160-2025</t>
        </is>
      </c>
      <c r="B591" t="inlineStr">
        <is>
          <t>avverkningsanmälan</t>
        </is>
      </c>
      <c r="C591" t="inlineStr">
        <is>
          <t>Föryngringsavverkning</t>
        </is>
      </c>
      <c r="D591" s="1" t="n">
        <v>45958</v>
      </c>
      <c r="E591" s="1" t="n">
        <v>46220</v>
      </c>
      <c r="F591" t="inlineStr">
        <is>
          <t>VÄRMLANDS LÄN</t>
        </is>
      </c>
      <c r="G591" t="inlineStr">
        <is>
          <t>ÅRJÄNG</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11874-2025</t>
        </is>
      </c>
      <c r="B592" t="inlineStr">
        <is>
          <t>avverkningsanmälan</t>
        </is>
      </c>
      <c r="C592" t="inlineStr">
        <is>
          <t>Föryngringsavverkning</t>
        </is>
      </c>
      <c r="D592" s="1" t="n">
        <v>45728</v>
      </c>
      <c r="E592" s="1" t="n">
        <v>46220</v>
      </c>
      <c r="F592" t="inlineStr">
        <is>
          <t>VÄRMLANDS LÄN</t>
        </is>
      </c>
      <c r="G592" t="inlineStr">
        <is>
          <t>ÅRJÄNG</t>
        </is>
      </c>
      <c r="H592" t="inlineStr">
        <is>
          <t>Övriga Aktiebolag</t>
        </is>
      </c>
      <c r="I592" t="n">
        <v>3.5</v>
      </c>
      <c r="J592" t="n">
        <v>0</v>
      </c>
      <c r="K592" t="n">
        <v>0</v>
      </c>
      <c r="L592" t="n">
        <v>0</v>
      </c>
      <c r="M592" t="n">
        <v>0</v>
      </c>
      <c r="N592" t="n">
        <v>0</v>
      </c>
      <c r="O592" t="n">
        <v>0</v>
      </c>
      <c r="P592" t="n">
        <v>0</v>
      </c>
      <c r="Q592" t="n">
        <v>0</v>
      </c>
      <c r="R592" t="n">
        <v>0</v>
      </c>
      <c r="S592" t="n">
        <v>0</v>
      </c>
      <c r="T592" t="n">
        <v>0</v>
      </c>
      <c r="U592" s="2" t="inlineStr"/>
    </row>
    <row r="593" ht="15" customHeight="1">
      <c r="A593" t="inlineStr">
        <is>
          <t>A 53073-2025</t>
        </is>
      </c>
      <c r="B593" t="inlineStr">
        <is>
          <t>avverkningsanmälan</t>
        </is>
      </c>
      <c r="C593" t="inlineStr">
        <is>
          <t>Föryngringsavverkning</t>
        </is>
      </c>
      <c r="D593" s="1" t="n">
        <v>45958</v>
      </c>
      <c r="E593" s="1" t="n">
        <v>46220</v>
      </c>
      <c r="F593" t="inlineStr">
        <is>
          <t>VÄRMLANDS LÄN</t>
        </is>
      </c>
      <c r="G593" t="inlineStr">
        <is>
          <t>ÅRJÄNG</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53024-2025</t>
        </is>
      </c>
      <c r="B594" t="inlineStr">
        <is>
          <t>avverkningsanmälan</t>
        </is>
      </c>
      <c r="C594" t="inlineStr">
        <is>
          <t>Föryngringsavverkning</t>
        </is>
      </c>
      <c r="D594" s="1" t="n">
        <v>45958</v>
      </c>
      <c r="E594" s="1" t="n">
        <v>46220</v>
      </c>
      <c r="F594" t="inlineStr">
        <is>
          <t>VÄRMLANDS LÄN</t>
        </is>
      </c>
      <c r="G594" t="inlineStr">
        <is>
          <t>ÅRJÄNG</t>
        </is>
      </c>
      <c r="I594" t="n">
        <v>2.1</v>
      </c>
      <c r="J594" t="n">
        <v>0</v>
      </c>
      <c r="K594" t="n">
        <v>0</v>
      </c>
      <c r="L594" t="n">
        <v>0</v>
      </c>
      <c r="M594" t="n">
        <v>0</v>
      </c>
      <c r="N594" t="n">
        <v>0</v>
      </c>
      <c r="O594" t="n">
        <v>0</v>
      </c>
      <c r="P594" t="n">
        <v>0</v>
      </c>
      <c r="Q594" t="n">
        <v>0</v>
      </c>
      <c r="R594" t="n">
        <v>0</v>
      </c>
      <c r="S594" t="n">
        <v>0</v>
      </c>
      <c r="T594" t="n">
        <v>0</v>
      </c>
      <c r="U594" s="2" t="inlineStr"/>
    </row>
    <row r="595" ht="15" customHeight="1">
      <c r="A595" t="inlineStr">
        <is>
          <t>A 5593-2026</t>
        </is>
      </c>
      <c r="B595" t="inlineStr">
        <is>
          <t>avverkningsanmälan</t>
        </is>
      </c>
      <c r="C595" t="inlineStr">
        <is>
          <t>Föryngringsavverkning</t>
        </is>
      </c>
      <c r="D595" s="1" t="n">
        <v>46051</v>
      </c>
      <c r="E595" s="1" t="n">
        <v>46220</v>
      </c>
      <c r="F595" t="inlineStr">
        <is>
          <t>VÄRMLANDS LÄN</t>
        </is>
      </c>
      <c r="G595" t="inlineStr">
        <is>
          <t>ÅRJÄNG</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53929-2025</t>
        </is>
      </c>
      <c r="B596" t="inlineStr">
        <is>
          <t>avverkningsanmälan</t>
        </is>
      </c>
      <c r="C596" t="inlineStr">
        <is>
          <t>Föryngringsavverkning</t>
        </is>
      </c>
      <c r="D596" s="1" t="n">
        <v>45961</v>
      </c>
      <c r="E596" s="1" t="n">
        <v>46220</v>
      </c>
      <c r="F596" t="inlineStr">
        <is>
          <t>VÄRMLANDS LÄN</t>
        </is>
      </c>
      <c r="G596" t="inlineStr">
        <is>
          <t>ÅRJÄNG</t>
        </is>
      </c>
      <c r="H596" t="inlineStr">
        <is>
          <t>Bergvik skog väst AB</t>
        </is>
      </c>
      <c r="I596" t="n">
        <v>34.3</v>
      </c>
      <c r="J596" t="n">
        <v>0</v>
      </c>
      <c r="K596" t="n">
        <v>0</v>
      </c>
      <c r="L596" t="n">
        <v>0</v>
      </c>
      <c r="M596" t="n">
        <v>0</v>
      </c>
      <c r="N596" t="n">
        <v>0</v>
      </c>
      <c r="O596" t="n">
        <v>0</v>
      </c>
      <c r="P596" t="n">
        <v>0</v>
      </c>
      <c r="Q596" t="n">
        <v>0</v>
      </c>
      <c r="R596" t="n">
        <v>0</v>
      </c>
      <c r="S596" t="n">
        <v>0</v>
      </c>
      <c r="T596" t="n">
        <v>0</v>
      </c>
      <c r="U596" s="2" t="inlineStr"/>
    </row>
    <row r="597" ht="15" customHeight="1">
      <c r="A597" t="inlineStr">
        <is>
          <t>A 53752-2025</t>
        </is>
      </c>
      <c r="B597" t="inlineStr">
        <is>
          <t>avverkningsanmälan</t>
        </is>
      </c>
      <c r="C597" t="inlineStr">
        <is>
          <t>Föryngringsavverkning</t>
        </is>
      </c>
      <c r="D597" s="1" t="n">
        <v>45960</v>
      </c>
      <c r="E597" s="1" t="n">
        <v>46220</v>
      </c>
      <c r="F597" t="inlineStr">
        <is>
          <t>VÄRMLANDS LÄN</t>
        </is>
      </c>
      <c r="G597" t="inlineStr">
        <is>
          <t>ÅRJÄNG</t>
        </is>
      </c>
      <c r="I597" t="n">
        <v>1.8</v>
      </c>
      <c r="J597" t="n">
        <v>0</v>
      </c>
      <c r="K597" t="n">
        <v>0</v>
      </c>
      <c r="L597" t="n">
        <v>0</v>
      </c>
      <c r="M597" t="n">
        <v>0</v>
      </c>
      <c r="N597" t="n">
        <v>0</v>
      </c>
      <c r="O597" t="n">
        <v>0</v>
      </c>
      <c r="P597" t="n">
        <v>0</v>
      </c>
      <c r="Q597" t="n">
        <v>0</v>
      </c>
      <c r="R597" t="n">
        <v>0</v>
      </c>
      <c r="S597" t="n">
        <v>0</v>
      </c>
      <c r="T597" t="n">
        <v>0</v>
      </c>
      <c r="U597" s="2" t="inlineStr"/>
    </row>
    <row r="598" ht="15" customHeight="1">
      <c r="A598" t="inlineStr">
        <is>
          <t>A 53751-2025</t>
        </is>
      </c>
      <c r="B598" t="inlineStr">
        <is>
          <t>avverkningsanmälan</t>
        </is>
      </c>
      <c r="C598" t="inlineStr">
        <is>
          <t>Föryngringsavverkning</t>
        </is>
      </c>
      <c r="D598" s="1" t="n">
        <v>45960</v>
      </c>
      <c r="E598" s="1" t="n">
        <v>46220</v>
      </c>
      <c r="F598" t="inlineStr">
        <is>
          <t>VÄRMLANDS LÄN</t>
        </is>
      </c>
      <c r="G598" t="inlineStr">
        <is>
          <t>ÅRJÄNG</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54159-2025</t>
        </is>
      </c>
      <c r="B599" t="inlineStr">
        <is>
          <t>avverkningsanmälan</t>
        </is>
      </c>
      <c r="C599" t="inlineStr">
        <is>
          <t>Föryngringsavverkning</t>
        </is>
      </c>
      <c r="D599" s="1" t="n">
        <v>45964</v>
      </c>
      <c r="E599" s="1" t="n">
        <v>46220</v>
      </c>
      <c r="F599" t="inlineStr">
        <is>
          <t>VÄRMLANDS LÄN</t>
        </is>
      </c>
      <c r="G599" t="inlineStr">
        <is>
          <t>ÅRJÄNG</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54111-2025</t>
        </is>
      </c>
      <c r="B600" t="inlineStr">
        <is>
          <t>avverkningsanmälan</t>
        </is>
      </c>
      <c r="C600" t="inlineStr">
        <is>
          <t>Föryngringsavverkning</t>
        </is>
      </c>
      <c r="D600" s="1" t="n">
        <v>45964</v>
      </c>
      <c r="E600" s="1" t="n">
        <v>46220</v>
      </c>
      <c r="F600" t="inlineStr">
        <is>
          <t>VÄRMLANDS LÄN</t>
        </is>
      </c>
      <c r="G600" t="inlineStr">
        <is>
          <t>ÅRJÄNG</t>
        </is>
      </c>
      <c r="I600" t="n">
        <v>3.2</v>
      </c>
      <c r="J600" t="n">
        <v>0</v>
      </c>
      <c r="K600" t="n">
        <v>0</v>
      </c>
      <c r="L600" t="n">
        <v>0</v>
      </c>
      <c r="M600" t="n">
        <v>0</v>
      </c>
      <c r="N600" t="n">
        <v>0</v>
      </c>
      <c r="O600" t="n">
        <v>0</v>
      </c>
      <c r="P600" t="n">
        <v>0</v>
      </c>
      <c r="Q600" t="n">
        <v>0</v>
      </c>
      <c r="R600" t="n">
        <v>0</v>
      </c>
      <c r="S600" t="n">
        <v>0</v>
      </c>
      <c r="T600" t="n">
        <v>0</v>
      </c>
      <c r="U600" s="2" t="inlineStr"/>
    </row>
    <row r="601" ht="15" customHeight="1">
      <c r="A601" t="inlineStr">
        <is>
          <t>A 54418-2025</t>
        </is>
      </c>
      <c r="B601" t="inlineStr">
        <is>
          <t>avverkningsanmälan</t>
        </is>
      </c>
      <c r="C601" t="inlineStr">
        <is>
          <t>Föryngringsavverkning</t>
        </is>
      </c>
      <c r="D601" s="1" t="n">
        <v>45965</v>
      </c>
      <c r="E601" s="1" t="n">
        <v>46220</v>
      </c>
      <c r="F601" t="inlineStr">
        <is>
          <t>VÄRMLANDS LÄN</t>
        </is>
      </c>
      <c r="G601" t="inlineStr">
        <is>
          <t>ÅRJÄNG</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54420-2025</t>
        </is>
      </c>
      <c r="B602" t="inlineStr">
        <is>
          <t>avverkningsanmälan</t>
        </is>
      </c>
      <c r="C602" t="inlineStr">
        <is>
          <t>Föryngringsavverkning</t>
        </is>
      </c>
      <c r="D602" s="1" t="n">
        <v>45965</v>
      </c>
      <c r="E602" s="1" t="n">
        <v>46220</v>
      </c>
      <c r="F602" t="inlineStr">
        <is>
          <t>VÄRMLANDS LÄN</t>
        </is>
      </c>
      <c r="G602" t="inlineStr">
        <is>
          <t>ÅRJÄNG</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53468-2021</t>
        </is>
      </c>
      <c r="B603" t="inlineStr">
        <is>
          <t>avverkningsanmälan</t>
        </is>
      </c>
      <c r="C603" t="inlineStr">
        <is>
          <t>Föryngringsavverkning</t>
        </is>
      </c>
      <c r="D603" s="1" t="n">
        <v>44468</v>
      </c>
      <c r="E603" s="1" t="n">
        <v>46220</v>
      </c>
      <c r="F603" t="inlineStr">
        <is>
          <t>VÄRMLANDS LÄN</t>
        </is>
      </c>
      <c r="G603" t="inlineStr">
        <is>
          <t>ÅRJÄNG</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54990-2025</t>
        </is>
      </c>
      <c r="B604" t="inlineStr">
        <is>
          <t>avverkningsanmälan</t>
        </is>
      </c>
      <c r="C604" t="inlineStr">
        <is>
          <t>Föryngringsavverkning</t>
        </is>
      </c>
      <c r="D604" s="1" t="n">
        <v>45967</v>
      </c>
      <c r="E604" s="1" t="n">
        <v>46220</v>
      </c>
      <c r="F604" t="inlineStr">
        <is>
          <t>VÄRMLANDS LÄN</t>
        </is>
      </c>
      <c r="G604" t="inlineStr">
        <is>
          <t>ÅRJÄNG</t>
        </is>
      </c>
      <c r="I604" t="n">
        <v>2.9</v>
      </c>
      <c r="J604" t="n">
        <v>0</v>
      </c>
      <c r="K604" t="n">
        <v>0</v>
      </c>
      <c r="L604" t="n">
        <v>0</v>
      </c>
      <c r="M604" t="n">
        <v>0</v>
      </c>
      <c r="N604" t="n">
        <v>0</v>
      </c>
      <c r="O604" t="n">
        <v>0</v>
      </c>
      <c r="P604" t="n">
        <v>0</v>
      </c>
      <c r="Q604" t="n">
        <v>0</v>
      </c>
      <c r="R604" t="n">
        <v>0</v>
      </c>
      <c r="S604" t="n">
        <v>0</v>
      </c>
      <c r="T604" t="n">
        <v>0</v>
      </c>
      <c r="U604" s="2" t="inlineStr"/>
    </row>
    <row r="605" ht="15" customHeight="1">
      <c r="A605" t="inlineStr">
        <is>
          <t>A 54962-2025</t>
        </is>
      </c>
      <c r="B605" t="inlineStr">
        <is>
          <t>avverkningsanmälan</t>
        </is>
      </c>
      <c r="C605" t="inlineStr">
        <is>
          <t>Föryngringsavverkning</t>
        </is>
      </c>
      <c r="D605" s="1" t="n">
        <v>45967</v>
      </c>
      <c r="E605" s="1" t="n">
        <v>46220</v>
      </c>
      <c r="F605" t="inlineStr">
        <is>
          <t>VÄRMLANDS LÄN</t>
        </is>
      </c>
      <c r="G605" t="inlineStr">
        <is>
          <t>ÅRJÄNG</t>
        </is>
      </c>
      <c r="H605" t="inlineStr">
        <is>
          <t>Kyrkan</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27311-2022</t>
        </is>
      </c>
      <c r="B606" t="inlineStr">
        <is>
          <t>avverkningsanmälan</t>
        </is>
      </c>
      <c r="C606" t="inlineStr">
        <is>
          <t>Föryngringsavverkning</t>
        </is>
      </c>
      <c r="D606" s="1" t="n">
        <v>44728</v>
      </c>
      <c r="E606" s="1" t="n">
        <v>46220</v>
      </c>
      <c r="F606" t="inlineStr">
        <is>
          <t>VÄRMLANDS LÄN</t>
        </is>
      </c>
      <c r="G606" t="inlineStr">
        <is>
          <t>ÅRJÄNG</t>
        </is>
      </c>
      <c r="I606" t="n">
        <v>3.5</v>
      </c>
      <c r="J606" t="n">
        <v>0</v>
      </c>
      <c r="K606" t="n">
        <v>0</v>
      </c>
      <c r="L606" t="n">
        <v>0</v>
      </c>
      <c r="M606" t="n">
        <v>0</v>
      </c>
      <c r="N606" t="n">
        <v>0</v>
      </c>
      <c r="O606" t="n">
        <v>0</v>
      </c>
      <c r="P606" t="n">
        <v>0</v>
      </c>
      <c r="Q606" t="n">
        <v>0</v>
      </c>
      <c r="R606" t="n">
        <v>0</v>
      </c>
      <c r="S606" t="n">
        <v>0</v>
      </c>
      <c r="T606" t="n">
        <v>0</v>
      </c>
      <c r="U606" s="2" t="inlineStr"/>
    </row>
    <row r="607" ht="15" customHeight="1">
      <c r="A607" t="inlineStr">
        <is>
          <t>A 55017-2025</t>
        </is>
      </c>
      <c r="B607" t="inlineStr">
        <is>
          <t>avverkningsanmälan</t>
        </is>
      </c>
      <c r="C607" t="inlineStr">
        <is>
          <t>Föryngringsavverkning</t>
        </is>
      </c>
      <c r="D607" s="1" t="n">
        <v>45967</v>
      </c>
      <c r="E607" s="1" t="n">
        <v>46220</v>
      </c>
      <c r="F607" t="inlineStr">
        <is>
          <t>VÄRMLANDS LÄN</t>
        </is>
      </c>
      <c r="G607" t="inlineStr">
        <is>
          <t>ÅRJÄNG</t>
        </is>
      </c>
      <c r="I607" t="n">
        <v>10.2</v>
      </c>
      <c r="J607" t="n">
        <v>0</v>
      </c>
      <c r="K607" t="n">
        <v>0</v>
      </c>
      <c r="L607" t="n">
        <v>0</v>
      </c>
      <c r="M607" t="n">
        <v>0</v>
      </c>
      <c r="N607" t="n">
        <v>0</v>
      </c>
      <c r="O607" t="n">
        <v>0</v>
      </c>
      <c r="P607" t="n">
        <v>0</v>
      </c>
      <c r="Q607" t="n">
        <v>0</v>
      </c>
      <c r="R607" t="n">
        <v>0</v>
      </c>
      <c r="S607" t="n">
        <v>0</v>
      </c>
      <c r="T607" t="n">
        <v>0</v>
      </c>
      <c r="U607" s="2" t="inlineStr"/>
    </row>
    <row r="608" ht="15" customHeight="1">
      <c r="A608" t="inlineStr">
        <is>
          <t>A 55592-2025</t>
        </is>
      </c>
      <c r="B608" t="inlineStr">
        <is>
          <t>avverkningsanmälan</t>
        </is>
      </c>
      <c r="C608" t="inlineStr">
        <is>
          <t>Föryngringsavverkning</t>
        </is>
      </c>
      <c r="D608" s="1" t="n">
        <v>45971</v>
      </c>
      <c r="E608" s="1" t="n">
        <v>46220</v>
      </c>
      <c r="F608" t="inlineStr">
        <is>
          <t>VÄRMLANDS LÄN</t>
        </is>
      </c>
      <c r="G608" t="inlineStr">
        <is>
          <t>ÅRJÄNG</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55540-2025</t>
        </is>
      </c>
      <c r="B609" t="inlineStr">
        <is>
          <t>avverkningsanmälan</t>
        </is>
      </c>
      <c r="C609" t="inlineStr">
        <is>
          <t>Föryngringsavverkning</t>
        </is>
      </c>
      <c r="D609" s="1" t="n">
        <v>45971</v>
      </c>
      <c r="E609" s="1" t="n">
        <v>46220</v>
      </c>
      <c r="F609" t="inlineStr">
        <is>
          <t>VÄRMLANDS LÄN</t>
        </is>
      </c>
      <c r="G609" t="inlineStr">
        <is>
          <t>ÅRJÄNG</t>
        </is>
      </c>
      <c r="I609" t="n">
        <v>4.7</v>
      </c>
      <c r="J609" t="n">
        <v>0</v>
      </c>
      <c r="K609" t="n">
        <v>0</v>
      </c>
      <c r="L609" t="n">
        <v>0</v>
      </c>
      <c r="M609" t="n">
        <v>0</v>
      </c>
      <c r="N609" t="n">
        <v>0</v>
      </c>
      <c r="O609" t="n">
        <v>0</v>
      </c>
      <c r="P609" t="n">
        <v>0</v>
      </c>
      <c r="Q609" t="n">
        <v>0</v>
      </c>
      <c r="R609" t="n">
        <v>0</v>
      </c>
      <c r="S609" t="n">
        <v>0</v>
      </c>
      <c r="T609" t="n">
        <v>0</v>
      </c>
      <c r="U609" s="2" t="inlineStr"/>
    </row>
    <row r="610" ht="15" customHeight="1">
      <c r="A610" t="inlineStr">
        <is>
          <t>A 55534-2025</t>
        </is>
      </c>
      <c r="B610" t="inlineStr">
        <is>
          <t>avverkningsanmälan</t>
        </is>
      </c>
      <c r="C610" t="inlineStr">
        <is>
          <t>Föryngringsavverkning</t>
        </is>
      </c>
      <c r="D610" s="1" t="n">
        <v>45971</v>
      </c>
      <c r="E610" s="1" t="n">
        <v>46220</v>
      </c>
      <c r="F610" t="inlineStr">
        <is>
          <t>VÄRMLANDS LÄN</t>
        </is>
      </c>
      <c r="G610" t="inlineStr">
        <is>
          <t>ÅRJÄNG</t>
        </is>
      </c>
      <c r="I610" t="n">
        <v>4.7</v>
      </c>
      <c r="J610" t="n">
        <v>0</v>
      </c>
      <c r="K610" t="n">
        <v>0</v>
      </c>
      <c r="L610" t="n">
        <v>0</v>
      </c>
      <c r="M610" t="n">
        <v>0</v>
      </c>
      <c r="N610" t="n">
        <v>0</v>
      </c>
      <c r="O610" t="n">
        <v>0</v>
      </c>
      <c r="P610" t="n">
        <v>0</v>
      </c>
      <c r="Q610" t="n">
        <v>0</v>
      </c>
      <c r="R610" t="n">
        <v>0</v>
      </c>
      <c r="S610" t="n">
        <v>0</v>
      </c>
      <c r="T610" t="n">
        <v>0</v>
      </c>
      <c r="U610" s="2" t="inlineStr"/>
    </row>
    <row r="611" ht="15" customHeight="1">
      <c r="A611" t="inlineStr">
        <is>
          <t>A 72476-2021</t>
        </is>
      </c>
      <c r="B611" t="inlineStr">
        <is>
          <t>avverkningsanmälan</t>
        </is>
      </c>
      <c r="C611" t="inlineStr">
        <is>
          <t>Föryngringsavverkning</t>
        </is>
      </c>
      <c r="D611" s="1" t="n">
        <v>44545</v>
      </c>
      <c r="E611" s="1" t="n">
        <v>46220</v>
      </c>
      <c r="F611" t="inlineStr">
        <is>
          <t>VÄRMLANDS LÄN</t>
        </is>
      </c>
      <c r="G611" t="inlineStr">
        <is>
          <t>ÅRJÄNG</t>
        </is>
      </c>
      <c r="I611" t="n">
        <v>1.9</v>
      </c>
      <c r="J611" t="n">
        <v>0</v>
      </c>
      <c r="K611" t="n">
        <v>0</v>
      </c>
      <c r="L611" t="n">
        <v>0</v>
      </c>
      <c r="M611" t="n">
        <v>0</v>
      </c>
      <c r="N611" t="n">
        <v>0</v>
      </c>
      <c r="O611" t="n">
        <v>0</v>
      </c>
      <c r="P611" t="n">
        <v>0</v>
      </c>
      <c r="Q611" t="n">
        <v>0</v>
      </c>
      <c r="R611" t="n">
        <v>0</v>
      </c>
      <c r="S611" t="n">
        <v>0</v>
      </c>
      <c r="T611" t="n">
        <v>0</v>
      </c>
      <c r="U611" s="2" t="inlineStr"/>
    </row>
    <row r="612" ht="15" customHeight="1">
      <c r="A612" t="inlineStr">
        <is>
          <t>A 39178-2023</t>
        </is>
      </c>
      <c r="B612" t="inlineStr">
        <is>
          <t>avverkningsanmälan</t>
        </is>
      </c>
      <c r="C612" t="inlineStr">
        <is>
          <t>Föryngringsavverkning</t>
        </is>
      </c>
      <c r="D612" s="1" t="n">
        <v>45166</v>
      </c>
      <c r="E612" s="1" t="n">
        <v>46220</v>
      </c>
      <c r="F612" t="inlineStr">
        <is>
          <t>VÄRMLANDS LÄN</t>
        </is>
      </c>
      <c r="G612" t="inlineStr">
        <is>
          <t>ÅRJÄNG</t>
        </is>
      </c>
      <c r="I612" t="n">
        <v>2.1</v>
      </c>
      <c r="J612" t="n">
        <v>0</v>
      </c>
      <c r="K612" t="n">
        <v>0</v>
      </c>
      <c r="L612" t="n">
        <v>0</v>
      </c>
      <c r="M612" t="n">
        <v>0</v>
      </c>
      <c r="N612" t="n">
        <v>0</v>
      </c>
      <c r="O612" t="n">
        <v>0</v>
      </c>
      <c r="P612" t="n">
        <v>0</v>
      </c>
      <c r="Q612" t="n">
        <v>0</v>
      </c>
      <c r="R612" t="n">
        <v>0</v>
      </c>
      <c r="S612" t="n">
        <v>0</v>
      </c>
      <c r="T612" t="n">
        <v>0</v>
      </c>
      <c r="U612" s="2" t="inlineStr"/>
    </row>
    <row r="613" ht="15" customHeight="1">
      <c r="A613" t="inlineStr">
        <is>
          <t>A 59484-2024</t>
        </is>
      </c>
      <c r="B613" t="inlineStr">
        <is>
          <t>avverkningsanmälan</t>
        </is>
      </c>
      <c r="C613" t="inlineStr">
        <is>
          <t>Föryngringsavverkning</t>
        </is>
      </c>
      <c r="D613" s="1" t="n">
        <v>45638</v>
      </c>
      <c r="E613" s="1" t="n">
        <v>46220</v>
      </c>
      <c r="F613" t="inlineStr">
        <is>
          <t>VÄRMLANDS LÄN</t>
        </is>
      </c>
      <c r="G613" t="inlineStr">
        <is>
          <t>ÅRJÄNG</t>
        </is>
      </c>
      <c r="I613" t="n">
        <v>2.9</v>
      </c>
      <c r="J613" t="n">
        <v>0</v>
      </c>
      <c r="K613" t="n">
        <v>0</v>
      </c>
      <c r="L613" t="n">
        <v>0</v>
      </c>
      <c r="M613" t="n">
        <v>0</v>
      </c>
      <c r="N613" t="n">
        <v>0</v>
      </c>
      <c r="O613" t="n">
        <v>0</v>
      </c>
      <c r="P613" t="n">
        <v>0</v>
      </c>
      <c r="Q613" t="n">
        <v>0</v>
      </c>
      <c r="R613" t="n">
        <v>0</v>
      </c>
      <c r="S613" t="n">
        <v>0</v>
      </c>
      <c r="T613" t="n">
        <v>0</v>
      </c>
      <c r="U613" s="2" t="inlineStr"/>
    </row>
    <row r="614" ht="15" customHeight="1">
      <c r="A614" t="inlineStr">
        <is>
          <t>A 56027-2025</t>
        </is>
      </c>
      <c r="B614" t="inlineStr">
        <is>
          <t>avverkningsanmälan</t>
        </is>
      </c>
      <c r="C614" t="inlineStr">
        <is>
          <t>Föryngringsavverkning</t>
        </is>
      </c>
      <c r="D614" s="1" t="n">
        <v>45973</v>
      </c>
      <c r="E614" s="1" t="n">
        <v>46220</v>
      </c>
      <c r="F614" t="inlineStr">
        <is>
          <t>VÄRMLANDS LÄN</t>
        </is>
      </c>
      <c r="G614" t="inlineStr">
        <is>
          <t>ÅRJÄNG</t>
        </is>
      </c>
      <c r="I614" t="n">
        <v>2.7</v>
      </c>
      <c r="J614" t="n">
        <v>0</v>
      </c>
      <c r="K614" t="n">
        <v>0</v>
      </c>
      <c r="L614" t="n">
        <v>0</v>
      </c>
      <c r="M614" t="n">
        <v>0</v>
      </c>
      <c r="N614" t="n">
        <v>0</v>
      </c>
      <c r="O614" t="n">
        <v>0</v>
      </c>
      <c r="P614" t="n">
        <v>0</v>
      </c>
      <c r="Q614" t="n">
        <v>0</v>
      </c>
      <c r="R614" t="n">
        <v>0</v>
      </c>
      <c r="S614" t="n">
        <v>0</v>
      </c>
      <c r="T614" t="n">
        <v>0</v>
      </c>
      <c r="U614" s="2" t="inlineStr"/>
    </row>
    <row r="615" ht="15" customHeight="1">
      <c r="A615" t="inlineStr">
        <is>
          <t>A 7160-2026</t>
        </is>
      </c>
      <c r="B615" t="inlineStr">
        <is>
          <t>avverkningsanmälan</t>
        </is>
      </c>
      <c r="C615" t="inlineStr">
        <is>
          <t>Föryngringsavverkning</t>
        </is>
      </c>
      <c r="D615" s="1" t="n">
        <v>46058</v>
      </c>
      <c r="E615" s="1" t="n">
        <v>46220</v>
      </c>
      <c r="F615" t="inlineStr">
        <is>
          <t>VÄRMLANDS LÄN</t>
        </is>
      </c>
      <c r="G615" t="inlineStr">
        <is>
          <t>ÅRJÄNG</t>
        </is>
      </c>
      <c r="I615" t="n">
        <v>4.8</v>
      </c>
      <c r="J615" t="n">
        <v>0</v>
      </c>
      <c r="K615" t="n">
        <v>0</v>
      </c>
      <c r="L615" t="n">
        <v>0</v>
      </c>
      <c r="M615" t="n">
        <v>0</v>
      </c>
      <c r="N615" t="n">
        <v>0</v>
      </c>
      <c r="O615" t="n">
        <v>0</v>
      </c>
      <c r="P615" t="n">
        <v>0</v>
      </c>
      <c r="Q615" t="n">
        <v>0</v>
      </c>
      <c r="R615" t="n">
        <v>0</v>
      </c>
      <c r="S615" t="n">
        <v>0</v>
      </c>
      <c r="T615" t="n">
        <v>0</v>
      </c>
      <c r="U615" s="2" t="inlineStr"/>
    </row>
    <row r="616" ht="15" customHeight="1">
      <c r="A616" t="inlineStr">
        <is>
          <t>A 56096-2025</t>
        </is>
      </c>
      <c r="B616" t="inlineStr">
        <is>
          <t>avverkningsanmälan</t>
        </is>
      </c>
      <c r="C616" t="inlineStr">
        <is>
          <t>Föryngringsavverkning</t>
        </is>
      </c>
      <c r="D616" s="1" t="n">
        <v>45973</v>
      </c>
      <c r="E616" s="1" t="n">
        <v>46220</v>
      </c>
      <c r="F616" t="inlineStr">
        <is>
          <t>VÄRMLANDS LÄN</t>
        </is>
      </c>
      <c r="G616" t="inlineStr">
        <is>
          <t>ÅRJÄNG</t>
        </is>
      </c>
      <c r="H616" t="inlineStr">
        <is>
          <t>Kyrkan</t>
        </is>
      </c>
      <c r="I616" t="n">
        <v>10.5</v>
      </c>
      <c r="J616" t="n">
        <v>0</v>
      </c>
      <c r="K616" t="n">
        <v>0</v>
      </c>
      <c r="L616" t="n">
        <v>0</v>
      </c>
      <c r="M616" t="n">
        <v>0</v>
      </c>
      <c r="N616" t="n">
        <v>0</v>
      </c>
      <c r="O616" t="n">
        <v>0</v>
      </c>
      <c r="P616" t="n">
        <v>0</v>
      </c>
      <c r="Q616" t="n">
        <v>0</v>
      </c>
      <c r="R616" t="n">
        <v>0</v>
      </c>
      <c r="S616" t="n">
        <v>0</v>
      </c>
      <c r="T616" t="n">
        <v>0</v>
      </c>
      <c r="U616" s="2" t="inlineStr"/>
    </row>
    <row r="617" ht="15" customHeight="1">
      <c r="A617" t="inlineStr">
        <is>
          <t>A 55662-2025</t>
        </is>
      </c>
      <c r="B617" t="inlineStr">
        <is>
          <t>avverkningsanmälan</t>
        </is>
      </c>
      <c r="C617" t="inlineStr">
        <is>
          <t>Föryngringsavverkning</t>
        </is>
      </c>
      <c r="D617" s="1" t="n">
        <v>45972</v>
      </c>
      <c r="E617" s="1" t="n">
        <v>46220</v>
      </c>
      <c r="F617" t="inlineStr">
        <is>
          <t>VÄRMLANDS LÄN</t>
        </is>
      </c>
      <c r="G617" t="inlineStr">
        <is>
          <t>ÅRJÄNG</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7518-2026</t>
        </is>
      </c>
      <c r="B618" t="inlineStr">
        <is>
          <t>avverkningsanmälan</t>
        </is>
      </c>
      <c r="C618" t="inlineStr">
        <is>
          <t>Föryngringsavverkning</t>
        </is>
      </c>
      <c r="D618" s="1" t="n">
        <v>46059</v>
      </c>
      <c r="E618" s="1" t="n">
        <v>46220</v>
      </c>
      <c r="F618" t="inlineStr">
        <is>
          <t>VÄRMLANDS LÄN</t>
        </is>
      </c>
      <c r="G618" t="inlineStr">
        <is>
          <t>ÅRJÄNG</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58874-2023</t>
        </is>
      </c>
      <c r="B619" t="inlineStr">
        <is>
          <t>avverkningsanmälan</t>
        </is>
      </c>
      <c r="C619" t="inlineStr">
        <is>
          <t>Föryngringsavverkning</t>
        </is>
      </c>
      <c r="D619" s="1" t="n">
        <v>45252</v>
      </c>
      <c r="E619" s="1" t="n">
        <v>46220</v>
      </c>
      <c r="F619" t="inlineStr">
        <is>
          <t>VÄRMLANDS LÄN</t>
        </is>
      </c>
      <c r="G619" t="inlineStr">
        <is>
          <t>ÅRJÄNG</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56629-2025</t>
        </is>
      </c>
      <c r="B620" t="inlineStr">
        <is>
          <t>avverkningsanmälan</t>
        </is>
      </c>
      <c r="C620" t="inlineStr">
        <is>
          <t>Föryngringsavverkning</t>
        </is>
      </c>
      <c r="D620" s="1" t="n">
        <v>45975</v>
      </c>
      <c r="E620" s="1" t="n">
        <v>46220</v>
      </c>
      <c r="F620" t="inlineStr">
        <is>
          <t>VÄRMLANDS LÄN</t>
        </is>
      </c>
      <c r="G620" t="inlineStr">
        <is>
          <t>ÅRJÄNG</t>
        </is>
      </c>
      <c r="H620" t="inlineStr">
        <is>
          <t>Övriga Aktiebolag</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1717-2025</t>
        </is>
      </c>
      <c r="B621" t="inlineStr">
        <is>
          <t>avverkningsanmälan</t>
        </is>
      </c>
      <c r="C621" t="inlineStr">
        <is>
          <t>Föryngringsavverkning</t>
        </is>
      </c>
      <c r="D621" s="1" t="n">
        <v>45671</v>
      </c>
      <c r="E621" s="1" t="n">
        <v>46220</v>
      </c>
      <c r="F621" t="inlineStr">
        <is>
          <t>VÄRMLANDS LÄN</t>
        </is>
      </c>
      <c r="G621" t="inlineStr">
        <is>
          <t>ÅRJÄNG</t>
        </is>
      </c>
      <c r="I621" t="n">
        <v>8.800000000000001</v>
      </c>
      <c r="J621" t="n">
        <v>0</v>
      </c>
      <c r="K621" t="n">
        <v>0</v>
      </c>
      <c r="L621" t="n">
        <v>0</v>
      </c>
      <c r="M621" t="n">
        <v>0</v>
      </c>
      <c r="N621" t="n">
        <v>0</v>
      </c>
      <c r="O621" t="n">
        <v>0</v>
      </c>
      <c r="P621" t="n">
        <v>0</v>
      </c>
      <c r="Q621" t="n">
        <v>0</v>
      </c>
      <c r="R621" t="n">
        <v>0</v>
      </c>
      <c r="S621" t="n">
        <v>0</v>
      </c>
      <c r="T621" t="n">
        <v>0</v>
      </c>
      <c r="U621" s="2" t="inlineStr"/>
    </row>
    <row r="622" ht="15" customHeight="1">
      <c r="A622" t="inlineStr">
        <is>
          <t>A 58434-2023</t>
        </is>
      </c>
      <c r="B622" t="inlineStr">
        <is>
          <t>avverkningsanmälan</t>
        </is>
      </c>
      <c r="C622" t="inlineStr">
        <is>
          <t>Föryngringsavverkning</t>
        </is>
      </c>
      <c r="D622" s="1" t="n">
        <v>45250</v>
      </c>
      <c r="E622" s="1" t="n">
        <v>46220</v>
      </c>
      <c r="F622" t="inlineStr">
        <is>
          <t>VÄRMLANDS LÄN</t>
        </is>
      </c>
      <c r="G622" t="inlineStr">
        <is>
          <t>ÅRJÄNG</t>
        </is>
      </c>
      <c r="H622" t="inlineStr">
        <is>
          <t>Naturvårdsverket</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57004-2025</t>
        </is>
      </c>
      <c r="B623" t="inlineStr">
        <is>
          <t>avverkningsanmälan</t>
        </is>
      </c>
      <c r="C623" t="inlineStr">
        <is>
          <t>Föryngringsavverkning</t>
        </is>
      </c>
      <c r="D623" s="1" t="n">
        <v>45978</v>
      </c>
      <c r="E623" s="1" t="n">
        <v>46220</v>
      </c>
      <c r="F623" t="inlineStr">
        <is>
          <t>VÄRMLANDS LÄN</t>
        </is>
      </c>
      <c r="G623" t="inlineStr">
        <is>
          <t>ÅRJÄNG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57078-2025</t>
        </is>
      </c>
      <c r="B624" t="inlineStr">
        <is>
          <t>avverkningsanmälan</t>
        </is>
      </c>
      <c r="C624" t="inlineStr">
        <is>
          <t>Föryngringsavverkning</t>
        </is>
      </c>
      <c r="D624" s="1" t="n">
        <v>45979</v>
      </c>
      <c r="E624" s="1" t="n">
        <v>46220</v>
      </c>
      <c r="F624" t="inlineStr">
        <is>
          <t>VÄRMLANDS LÄN</t>
        </is>
      </c>
      <c r="G624" t="inlineStr">
        <is>
          <t>ÅRJÄNG</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30548-2023</t>
        </is>
      </c>
      <c r="B625" t="inlineStr">
        <is>
          <t>avverkningsanmälan</t>
        </is>
      </c>
      <c r="C625" t="inlineStr">
        <is>
          <t>Föryngringsavverkning</t>
        </is>
      </c>
      <c r="D625" s="1" t="n">
        <v>45111</v>
      </c>
      <c r="E625" s="1" t="n">
        <v>46220</v>
      </c>
      <c r="F625" t="inlineStr">
        <is>
          <t>VÄRMLANDS LÄN</t>
        </is>
      </c>
      <c r="G625" t="inlineStr">
        <is>
          <t>ÅRJÄNG</t>
        </is>
      </c>
      <c r="I625" t="n">
        <v>4.7</v>
      </c>
      <c r="J625" t="n">
        <v>0</v>
      </c>
      <c r="K625" t="n">
        <v>0</v>
      </c>
      <c r="L625" t="n">
        <v>0</v>
      </c>
      <c r="M625" t="n">
        <v>0</v>
      </c>
      <c r="N625" t="n">
        <v>0</v>
      </c>
      <c r="O625" t="n">
        <v>0</v>
      </c>
      <c r="P625" t="n">
        <v>0</v>
      </c>
      <c r="Q625" t="n">
        <v>0</v>
      </c>
      <c r="R625" t="n">
        <v>0</v>
      </c>
      <c r="S625" t="n">
        <v>0</v>
      </c>
      <c r="T625" t="n">
        <v>0</v>
      </c>
      <c r="U625" s="2" t="inlineStr"/>
    </row>
    <row r="626" ht="15" customHeight="1">
      <c r="A626" t="inlineStr">
        <is>
          <t>A 8614-2023</t>
        </is>
      </c>
      <c r="B626" t="inlineStr">
        <is>
          <t>avverkningsanmälan</t>
        </is>
      </c>
      <c r="C626" t="inlineStr">
        <is>
          <t>Föryngringsavverkning</t>
        </is>
      </c>
      <c r="D626" s="1" t="n">
        <v>44977</v>
      </c>
      <c r="E626" s="1" t="n">
        <v>46220</v>
      </c>
      <c r="F626" t="inlineStr">
        <is>
          <t>VÄRMLANDS LÄN</t>
        </is>
      </c>
      <c r="G626" t="inlineStr">
        <is>
          <t>ÅRJÄNG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57240-2025</t>
        </is>
      </c>
      <c r="B627" t="inlineStr">
        <is>
          <t>avverkningsanmälan</t>
        </is>
      </c>
      <c r="C627" t="inlineStr">
        <is>
          <t>Föryngringsavverkning</t>
        </is>
      </c>
      <c r="D627" s="1" t="n">
        <v>45979</v>
      </c>
      <c r="E627" s="1" t="n">
        <v>46220</v>
      </c>
      <c r="F627" t="inlineStr">
        <is>
          <t>VÄRMLANDS LÄN</t>
        </is>
      </c>
      <c r="G627" t="inlineStr">
        <is>
          <t>ÅRJÄNG</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52803-2024</t>
        </is>
      </c>
      <c r="B628" t="inlineStr">
        <is>
          <t>avverkningsanmälan</t>
        </is>
      </c>
      <c r="C628" t="inlineStr">
        <is>
          <t>Föryngringsavverkning</t>
        </is>
      </c>
      <c r="D628" s="1" t="n">
        <v>45610</v>
      </c>
      <c r="E628" s="1" t="n">
        <v>46220</v>
      </c>
      <c r="F628" t="inlineStr">
        <is>
          <t>VÄRMLANDS LÄN</t>
        </is>
      </c>
      <c r="G628" t="inlineStr">
        <is>
          <t>ÅRJÄNG</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57301-2025</t>
        </is>
      </c>
      <c r="B629" t="inlineStr">
        <is>
          <t>avverkningsanmälan</t>
        </is>
      </c>
      <c r="C629" t="inlineStr">
        <is>
          <t>Föryngringsavverkning</t>
        </is>
      </c>
      <c r="D629" s="1" t="n">
        <v>45979</v>
      </c>
      <c r="E629" s="1" t="n">
        <v>46220</v>
      </c>
      <c r="F629" t="inlineStr">
        <is>
          <t>VÄRMLANDS LÄN</t>
        </is>
      </c>
      <c r="G629" t="inlineStr">
        <is>
          <t>ÅRJÄNG</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57003-2025</t>
        </is>
      </c>
      <c r="B630" t="inlineStr">
        <is>
          <t>avverkningsanmälan</t>
        </is>
      </c>
      <c r="C630" t="inlineStr">
        <is>
          <t>Föryngringsavverkning</t>
        </is>
      </c>
      <c r="D630" s="1" t="n">
        <v>45978</v>
      </c>
      <c r="E630" s="1" t="n">
        <v>46220</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57005-2025</t>
        </is>
      </c>
      <c r="B631" t="inlineStr">
        <is>
          <t>avverkningsanmälan</t>
        </is>
      </c>
      <c r="C631" t="inlineStr">
        <is>
          <t>Föryngringsavverkning</t>
        </is>
      </c>
      <c r="D631" s="1" t="n">
        <v>45978</v>
      </c>
      <c r="E631" s="1" t="n">
        <v>46220</v>
      </c>
      <c r="F631" t="inlineStr">
        <is>
          <t>VÄRMLANDS LÄN</t>
        </is>
      </c>
      <c r="G631" t="inlineStr">
        <is>
          <t>ÅRJÄNG</t>
        </is>
      </c>
      <c r="I631" t="n">
        <v>1.8</v>
      </c>
      <c r="J631" t="n">
        <v>0</v>
      </c>
      <c r="K631" t="n">
        <v>0</v>
      </c>
      <c r="L631" t="n">
        <v>0</v>
      </c>
      <c r="M631" t="n">
        <v>0</v>
      </c>
      <c r="N631" t="n">
        <v>0</v>
      </c>
      <c r="O631" t="n">
        <v>0</v>
      </c>
      <c r="P631" t="n">
        <v>0</v>
      </c>
      <c r="Q631" t="n">
        <v>0</v>
      </c>
      <c r="R631" t="n">
        <v>0</v>
      </c>
      <c r="S631" t="n">
        <v>0</v>
      </c>
      <c r="T631" t="n">
        <v>0</v>
      </c>
      <c r="U631" s="2" t="inlineStr"/>
    </row>
    <row r="632" ht="15" customHeight="1">
      <c r="A632" t="inlineStr">
        <is>
          <t>A 7803-2026</t>
        </is>
      </c>
      <c r="B632" t="inlineStr">
        <is>
          <t>avverkningsanmälan</t>
        </is>
      </c>
      <c r="C632" t="inlineStr">
        <is>
          <t>Föryngringsavverkning</t>
        </is>
      </c>
      <c r="D632" s="1" t="n">
        <v>46059</v>
      </c>
      <c r="E632" s="1" t="n">
        <v>46220</v>
      </c>
      <c r="F632" t="inlineStr">
        <is>
          <t>VÄRMLANDS LÄN</t>
        </is>
      </c>
      <c r="G632" t="inlineStr">
        <is>
          <t>ÅRJÄNG</t>
        </is>
      </c>
      <c r="I632" t="n">
        <v>5.6</v>
      </c>
      <c r="J632" t="n">
        <v>0</v>
      </c>
      <c r="K632" t="n">
        <v>0</v>
      </c>
      <c r="L632" t="n">
        <v>0</v>
      </c>
      <c r="M632" t="n">
        <v>0</v>
      </c>
      <c r="N632" t="n">
        <v>0</v>
      </c>
      <c r="O632" t="n">
        <v>0</v>
      </c>
      <c r="P632" t="n">
        <v>0</v>
      </c>
      <c r="Q632" t="n">
        <v>0</v>
      </c>
      <c r="R632" t="n">
        <v>0</v>
      </c>
      <c r="S632" t="n">
        <v>0</v>
      </c>
      <c r="T632" t="n">
        <v>0</v>
      </c>
      <c r="U632" s="2" t="inlineStr"/>
    </row>
    <row r="633" ht="15" customHeight="1">
      <c r="A633" t="inlineStr">
        <is>
          <t>A 57439-2025</t>
        </is>
      </c>
      <c r="B633" t="inlineStr">
        <is>
          <t>avverkningsanmälan</t>
        </is>
      </c>
      <c r="C633" t="inlineStr">
        <is>
          <t>Föryngringsavverkning</t>
        </is>
      </c>
      <c r="D633" s="1" t="n">
        <v>45980</v>
      </c>
      <c r="E633" s="1" t="n">
        <v>46220</v>
      </c>
      <c r="F633" t="inlineStr">
        <is>
          <t>VÄRMLANDS LÄN</t>
        </is>
      </c>
      <c r="G633" t="inlineStr">
        <is>
          <t>ÅRJÄNG</t>
        </is>
      </c>
      <c r="I633" t="n">
        <v>4.4</v>
      </c>
      <c r="J633" t="n">
        <v>0</v>
      </c>
      <c r="K633" t="n">
        <v>0</v>
      </c>
      <c r="L633" t="n">
        <v>0</v>
      </c>
      <c r="M633" t="n">
        <v>0</v>
      </c>
      <c r="N633" t="n">
        <v>0</v>
      </c>
      <c r="O633" t="n">
        <v>0</v>
      </c>
      <c r="P633" t="n">
        <v>0</v>
      </c>
      <c r="Q633" t="n">
        <v>0</v>
      </c>
      <c r="R633" t="n">
        <v>0</v>
      </c>
      <c r="S633" t="n">
        <v>0</v>
      </c>
      <c r="T633" t="n">
        <v>0</v>
      </c>
      <c r="U633" s="2" t="inlineStr"/>
    </row>
    <row r="634" ht="15" customHeight="1">
      <c r="A634" t="inlineStr">
        <is>
          <t>A 57752-2025</t>
        </is>
      </c>
      <c r="B634" t="inlineStr">
        <is>
          <t>avverkningsanmälan</t>
        </is>
      </c>
      <c r="C634" t="inlineStr">
        <is>
          <t>Föryngringsavverkning</t>
        </is>
      </c>
      <c r="D634" s="1" t="n">
        <v>45981</v>
      </c>
      <c r="E634" s="1" t="n">
        <v>46220</v>
      </c>
      <c r="F634" t="inlineStr">
        <is>
          <t>VÄRMLANDS LÄN</t>
        </is>
      </c>
      <c r="G634" t="inlineStr">
        <is>
          <t>ÅRJÄNG</t>
        </is>
      </c>
      <c r="I634" t="n">
        <v>4.3</v>
      </c>
      <c r="J634" t="n">
        <v>0</v>
      </c>
      <c r="K634" t="n">
        <v>0</v>
      </c>
      <c r="L634" t="n">
        <v>0</v>
      </c>
      <c r="M634" t="n">
        <v>0</v>
      </c>
      <c r="N634" t="n">
        <v>0</v>
      </c>
      <c r="O634" t="n">
        <v>0</v>
      </c>
      <c r="P634" t="n">
        <v>0</v>
      </c>
      <c r="Q634" t="n">
        <v>0</v>
      </c>
      <c r="R634" t="n">
        <v>0</v>
      </c>
      <c r="S634" t="n">
        <v>0</v>
      </c>
      <c r="T634" t="n">
        <v>0</v>
      </c>
      <c r="U634" s="2" t="inlineStr"/>
    </row>
    <row r="635" ht="15" customHeight="1">
      <c r="A635" t="inlineStr">
        <is>
          <t>A 687-2024</t>
        </is>
      </c>
      <c r="B635" t="inlineStr">
        <is>
          <t>avverkningsanmälan</t>
        </is>
      </c>
      <c r="C635" t="inlineStr">
        <is>
          <t>Föryngringsavverkning</t>
        </is>
      </c>
      <c r="D635" s="1" t="n">
        <v>45300</v>
      </c>
      <c r="E635" s="1" t="n">
        <v>46220</v>
      </c>
      <c r="F635" t="inlineStr">
        <is>
          <t>VÄRMLANDS LÄN</t>
        </is>
      </c>
      <c r="G635" t="inlineStr">
        <is>
          <t>ÅRJÄNG</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713-2024</t>
        </is>
      </c>
      <c r="B636" t="inlineStr">
        <is>
          <t>avverkningsanmälan</t>
        </is>
      </c>
      <c r="C636" t="inlineStr">
        <is>
          <t>Föryngringsavverkning</t>
        </is>
      </c>
      <c r="D636" s="1" t="n">
        <v>45300</v>
      </c>
      <c r="E636" s="1" t="n">
        <v>46220</v>
      </c>
      <c r="F636" t="inlineStr">
        <is>
          <t>VÄRMLANDS LÄN</t>
        </is>
      </c>
      <c r="G636" t="inlineStr">
        <is>
          <t>ÅRJÄNG</t>
        </is>
      </c>
      <c r="H636" t="inlineStr">
        <is>
          <t>Kyrkan</t>
        </is>
      </c>
      <c r="I636" t="n">
        <v>4.4</v>
      </c>
      <c r="J636" t="n">
        <v>0</v>
      </c>
      <c r="K636" t="n">
        <v>0</v>
      </c>
      <c r="L636" t="n">
        <v>0</v>
      </c>
      <c r="M636" t="n">
        <v>0</v>
      </c>
      <c r="N636" t="n">
        <v>0</v>
      </c>
      <c r="O636" t="n">
        <v>0</v>
      </c>
      <c r="P636" t="n">
        <v>0</v>
      </c>
      <c r="Q636" t="n">
        <v>0</v>
      </c>
      <c r="R636" t="n">
        <v>0</v>
      </c>
      <c r="S636" t="n">
        <v>0</v>
      </c>
      <c r="T636" t="n">
        <v>0</v>
      </c>
      <c r="U636" s="2" t="inlineStr"/>
    </row>
    <row r="637" ht="15" customHeight="1">
      <c r="A637" t="inlineStr">
        <is>
          <t>A 10180-2023</t>
        </is>
      </c>
      <c r="B637" t="inlineStr">
        <is>
          <t>avverkningsanmälan</t>
        </is>
      </c>
      <c r="C637" t="inlineStr">
        <is>
          <t>Föryngringsavverkning</t>
        </is>
      </c>
      <c r="D637" s="1" t="n">
        <v>44986</v>
      </c>
      <c r="E637" s="1" t="n">
        <v>46220</v>
      </c>
      <c r="F637" t="inlineStr">
        <is>
          <t>VÄRMLANDS LÄN</t>
        </is>
      </c>
      <c r="G637" t="inlineStr">
        <is>
          <t>ÅRJÄNG</t>
        </is>
      </c>
      <c r="I637" t="n">
        <v>4.6</v>
      </c>
      <c r="J637" t="n">
        <v>0</v>
      </c>
      <c r="K637" t="n">
        <v>0</v>
      </c>
      <c r="L637" t="n">
        <v>0</v>
      </c>
      <c r="M637" t="n">
        <v>0</v>
      </c>
      <c r="N637" t="n">
        <v>0</v>
      </c>
      <c r="O637" t="n">
        <v>0</v>
      </c>
      <c r="P637" t="n">
        <v>0</v>
      </c>
      <c r="Q637" t="n">
        <v>0</v>
      </c>
      <c r="R637" t="n">
        <v>0</v>
      </c>
      <c r="S637" t="n">
        <v>0</v>
      </c>
      <c r="T637" t="n">
        <v>0</v>
      </c>
      <c r="U637" s="2" t="inlineStr"/>
    </row>
    <row r="638" ht="15" customHeight="1">
      <c r="A638" t="inlineStr">
        <is>
          <t>A 44556-2023</t>
        </is>
      </c>
      <c r="B638" t="inlineStr">
        <is>
          <t>avverkningsanmälan</t>
        </is>
      </c>
      <c r="C638" t="inlineStr">
        <is>
          <t>Föryngringsavverkning</t>
        </is>
      </c>
      <c r="D638" s="1" t="n">
        <v>45189</v>
      </c>
      <c r="E638" s="1" t="n">
        <v>46220</v>
      </c>
      <c r="F638" t="inlineStr">
        <is>
          <t>VÄRMLANDS LÄN</t>
        </is>
      </c>
      <c r="G638" t="inlineStr">
        <is>
          <t>ÅRJÄNG</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58518-2025</t>
        </is>
      </c>
      <c r="B639" t="inlineStr">
        <is>
          <t>avverkningsanmälan</t>
        </is>
      </c>
      <c r="C639" t="inlineStr">
        <is>
          <t>Föryngringsavverkning</t>
        </is>
      </c>
      <c r="D639" s="1" t="n">
        <v>45985</v>
      </c>
      <c r="E639" s="1" t="n">
        <v>46220</v>
      </c>
      <c r="F639" t="inlineStr">
        <is>
          <t>VÄRMLANDS LÄN</t>
        </is>
      </c>
      <c r="G639" t="inlineStr">
        <is>
          <t>ÅRJÄNG</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24273-2023</t>
        </is>
      </c>
      <c r="B640" t="inlineStr">
        <is>
          <t>avverkningsanmälan</t>
        </is>
      </c>
      <c r="C640" t="inlineStr">
        <is>
          <t>Föryngringsavverkning</t>
        </is>
      </c>
      <c r="D640" s="1" t="n">
        <v>45079</v>
      </c>
      <c r="E640" s="1" t="n">
        <v>46220</v>
      </c>
      <c r="F640" t="inlineStr">
        <is>
          <t>VÄRMLANDS LÄN</t>
        </is>
      </c>
      <c r="G640" t="inlineStr">
        <is>
          <t>ÅRJÄNG</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48781-2024</t>
        </is>
      </c>
      <c r="B641" t="inlineStr">
        <is>
          <t>avverkningsanmälan</t>
        </is>
      </c>
      <c r="C641" t="inlineStr">
        <is>
          <t>Föryngringsavverkning</t>
        </is>
      </c>
      <c r="D641" s="1" t="n">
        <v>45593</v>
      </c>
      <c r="E641" s="1" t="n">
        <v>46220</v>
      </c>
      <c r="F641" t="inlineStr">
        <is>
          <t>VÄRMLANDS LÄN</t>
        </is>
      </c>
      <c r="G641" t="inlineStr">
        <is>
          <t>ÅRJÄNG</t>
        </is>
      </c>
      <c r="I641" t="n">
        <v>8.800000000000001</v>
      </c>
      <c r="J641" t="n">
        <v>0</v>
      </c>
      <c r="K641" t="n">
        <v>0</v>
      </c>
      <c r="L641" t="n">
        <v>0</v>
      </c>
      <c r="M641" t="n">
        <v>0</v>
      </c>
      <c r="N641" t="n">
        <v>0</v>
      </c>
      <c r="O641" t="n">
        <v>0</v>
      </c>
      <c r="P641" t="n">
        <v>0</v>
      </c>
      <c r="Q641" t="n">
        <v>0</v>
      </c>
      <c r="R641" t="n">
        <v>0</v>
      </c>
      <c r="S641" t="n">
        <v>0</v>
      </c>
      <c r="T641" t="n">
        <v>0</v>
      </c>
      <c r="U641" s="2" t="inlineStr"/>
    </row>
    <row r="642" ht="15" customHeight="1">
      <c r="A642" t="inlineStr">
        <is>
          <t>A 9749-2024</t>
        </is>
      </c>
      <c r="B642" t="inlineStr">
        <is>
          <t>avverkningsanmälan</t>
        </is>
      </c>
      <c r="C642" t="inlineStr">
        <is>
          <t>Föryngringsavverkning</t>
        </is>
      </c>
      <c r="D642" s="1" t="n">
        <v>45362</v>
      </c>
      <c r="E642" s="1" t="n">
        <v>46220</v>
      </c>
      <c r="F642" t="inlineStr">
        <is>
          <t>VÄRMLANDS LÄN</t>
        </is>
      </c>
      <c r="G642" t="inlineStr">
        <is>
          <t>ÅRJÄNG</t>
        </is>
      </c>
      <c r="H642" t="inlineStr">
        <is>
          <t>Kyrkan</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6354-2024</t>
        </is>
      </c>
      <c r="B643" t="inlineStr">
        <is>
          <t>avverkningsanmälan</t>
        </is>
      </c>
      <c r="C643" t="inlineStr">
        <is>
          <t>Föryngringsavverkning</t>
        </is>
      </c>
      <c r="D643" s="1" t="n">
        <v>45338</v>
      </c>
      <c r="E643" s="1" t="n">
        <v>46220</v>
      </c>
      <c r="F643" t="inlineStr">
        <is>
          <t>VÄRMLANDS LÄN</t>
        </is>
      </c>
      <c r="G643" t="inlineStr">
        <is>
          <t>ÅRJÄNG</t>
        </is>
      </c>
      <c r="H643" t="inlineStr">
        <is>
          <t>Bergvik skog väst AB</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48293-2022</t>
        </is>
      </c>
      <c r="B644" t="inlineStr">
        <is>
          <t>avverkningsanmälan</t>
        </is>
      </c>
      <c r="C644" t="inlineStr">
        <is>
          <t>Föryngringsavverkning</t>
        </is>
      </c>
      <c r="D644" s="1" t="n">
        <v>44858</v>
      </c>
      <c r="E644" s="1" t="n">
        <v>46220</v>
      </c>
      <c r="F644" t="inlineStr">
        <is>
          <t>VÄRMLANDS LÄN</t>
        </is>
      </c>
      <c r="G644" t="inlineStr">
        <is>
          <t>ÅRJÄNG</t>
        </is>
      </c>
      <c r="I644" t="n">
        <v>3.2</v>
      </c>
      <c r="J644" t="n">
        <v>0</v>
      </c>
      <c r="K644" t="n">
        <v>0</v>
      </c>
      <c r="L644" t="n">
        <v>0</v>
      </c>
      <c r="M644" t="n">
        <v>0</v>
      </c>
      <c r="N644" t="n">
        <v>0</v>
      </c>
      <c r="O644" t="n">
        <v>0</v>
      </c>
      <c r="P644" t="n">
        <v>0</v>
      </c>
      <c r="Q644" t="n">
        <v>0</v>
      </c>
      <c r="R644" t="n">
        <v>0</v>
      </c>
      <c r="S644" t="n">
        <v>0</v>
      </c>
      <c r="T644" t="n">
        <v>0</v>
      </c>
      <c r="U644" s="2" t="inlineStr"/>
    </row>
    <row r="645" ht="15" customHeight="1">
      <c r="A645" t="inlineStr">
        <is>
          <t>A 7794-2024</t>
        </is>
      </c>
      <c r="B645" t="inlineStr">
        <is>
          <t>avverkningsanmälan</t>
        </is>
      </c>
      <c r="C645" t="inlineStr">
        <is>
          <t>Föryngringsavverkning</t>
        </is>
      </c>
      <c r="D645" s="1" t="n">
        <v>45349</v>
      </c>
      <c r="E645" s="1" t="n">
        <v>46220</v>
      </c>
      <c r="F645" t="inlineStr">
        <is>
          <t>VÄRMLANDS LÄN</t>
        </is>
      </c>
      <c r="G645" t="inlineStr">
        <is>
          <t>ÅRJÄNG</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60126-2024</t>
        </is>
      </c>
      <c r="B646" t="inlineStr">
        <is>
          <t>avverkningsanmälan</t>
        </is>
      </c>
      <c r="C646" t="inlineStr">
        <is>
          <t>Föryngringsavverkning</t>
        </is>
      </c>
      <c r="D646" s="1" t="n">
        <v>45642</v>
      </c>
      <c r="E646" s="1" t="n">
        <v>46220</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58270-2024</t>
        </is>
      </c>
      <c r="B647" t="inlineStr">
        <is>
          <t>avverkningsanmälan</t>
        </is>
      </c>
      <c r="C647" t="inlineStr">
        <is>
          <t>Föryngringsavverkning</t>
        </is>
      </c>
      <c r="D647" s="1" t="n">
        <v>45632</v>
      </c>
      <c r="E647" s="1" t="n">
        <v>46220</v>
      </c>
      <c r="F647" t="inlineStr">
        <is>
          <t>VÄRMLANDS LÄN</t>
        </is>
      </c>
      <c r="G647" t="inlineStr">
        <is>
          <t>ÅRJÄNG</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58392-2025</t>
        </is>
      </c>
      <c r="B648" t="inlineStr">
        <is>
          <t>avverkningsanmälan</t>
        </is>
      </c>
      <c r="C648" t="inlineStr">
        <is>
          <t>Föryngringsavverkning</t>
        </is>
      </c>
      <c r="D648" s="1" t="n">
        <v>45985</v>
      </c>
      <c r="E648" s="1" t="n">
        <v>46220</v>
      </c>
      <c r="F648" t="inlineStr">
        <is>
          <t>VÄRMLANDS LÄN</t>
        </is>
      </c>
      <c r="G648" t="inlineStr">
        <is>
          <t>ÅRJÄNG</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54425-2021</t>
        </is>
      </c>
      <c r="B649" t="inlineStr">
        <is>
          <t>avverkningsanmälan</t>
        </is>
      </c>
      <c r="C649" t="inlineStr">
        <is>
          <t>Föryngringsavverkning</t>
        </is>
      </c>
      <c r="D649" s="1" t="n">
        <v>44459</v>
      </c>
      <c r="E649" s="1" t="n">
        <v>46220</v>
      </c>
      <c r="F649" t="inlineStr">
        <is>
          <t>VÄRMLANDS LÄN</t>
        </is>
      </c>
      <c r="G649" t="inlineStr">
        <is>
          <t>ÅRJÄNG</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58571-2025</t>
        </is>
      </c>
      <c r="B650" t="inlineStr">
        <is>
          <t>avverkningsanmälan</t>
        </is>
      </c>
      <c r="C650" t="inlineStr">
        <is>
          <t>Föryngringsavverkning</t>
        </is>
      </c>
      <c r="D650" s="1" t="n">
        <v>45986</v>
      </c>
      <c r="E650" s="1" t="n">
        <v>46220</v>
      </c>
      <c r="F650" t="inlineStr">
        <is>
          <t>VÄRMLANDS LÄN</t>
        </is>
      </c>
      <c r="G650" t="inlineStr">
        <is>
          <t>ÅRJÄNG</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58573-2025</t>
        </is>
      </c>
      <c r="B651" t="inlineStr">
        <is>
          <t>avverkningsanmälan</t>
        </is>
      </c>
      <c r="C651" t="inlineStr">
        <is>
          <t>Föryngringsavverkning</t>
        </is>
      </c>
      <c r="D651" s="1" t="n">
        <v>45986</v>
      </c>
      <c r="E651" s="1" t="n">
        <v>46220</v>
      </c>
      <c r="F651" t="inlineStr">
        <is>
          <t>VÄRMLANDS LÄN</t>
        </is>
      </c>
      <c r="G651" t="inlineStr">
        <is>
          <t>ÅRJÄNG</t>
        </is>
      </c>
      <c r="I651" t="n">
        <v>1.6</v>
      </c>
      <c r="J651" t="n">
        <v>0</v>
      </c>
      <c r="K651" t="n">
        <v>0</v>
      </c>
      <c r="L651" t="n">
        <v>0</v>
      </c>
      <c r="M651" t="n">
        <v>0</v>
      </c>
      <c r="N651" t="n">
        <v>0</v>
      </c>
      <c r="O651" t="n">
        <v>0</v>
      </c>
      <c r="P651" t="n">
        <v>0</v>
      </c>
      <c r="Q651" t="n">
        <v>0</v>
      </c>
      <c r="R651" t="n">
        <v>0</v>
      </c>
      <c r="S651" t="n">
        <v>0</v>
      </c>
      <c r="T651" t="n">
        <v>0</v>
      </c>
      <c r="U651" s="2" t="inlineStr"/>
    </row>
    <row r="652" ht="15" customHeight="1">
      <c r="A652" t="inlineStr">
        <is>
          <t>A 19920-2024</t>
        </is>
      </c>
      <c r="B652" t="inlineStr">
        <is>
          <t>avverkningsanmälan</t>
        </is>
      </c>
      <c r="C652" t="inlineStr">
        <is>
          <t>Föryngringsavverkning</t>
        </is>
      </c>
      <c r="D652" s="1" t="n">
        <v>45433</v>
      </c>
      <c r="E652" s="1" t="n">
        <v>46220</v>
      </c>
      <c r="F652" t="inlineStr">
        <is>
          <t>VÄRMLANDS LÄN</t>
        </is>
      </c>
      <c r="G652" t="inlineStr">
        <is>
          <t>ÅRJÄNG</t>
        </is>
      </c>
      <c r="H652" t="inlineStr">
        <is>
          <t>Bergvik skog väst AB</t>
        </is>
      </c>
      <c r="I652" t="n">
        <v>3.6</v>
      </c>
      <c r="J652" t="n">
        <v>0</v>
      </c>
      <c r="K652" t="n">
        <v>0</v>
      </c>
      <c r="L652" t="n">
        <v>0</v>
      </c>
      <c r="M652" t="n">
        <v>0</v>
      </c>
      <c r="N652" t="n">
        <v>0</v>
      </c>
      <c r="O652" t="n">
        <v>0</v>
      </c>
      <c r="P652" t="n">
        <v>0</v>
      </c>
      <c r="Q652" t="n">
        <v>0</v>
      </c>
      <c r="R652" t="n">
        <v>0</v>
      </c>
      <c r="S652" t="n">
        <v>0</v>
      </c>
      <c r="T652" t="n">
        <v>0</v>
      </c>
      <c r="U652" s="2" t="inlineStr"/>
    </row>
    <row r="653" ht="15" customHeight="1">
      <c r="A653" t="inlineStr">
        <is>
          <t>A 13734-2024</t>
        </is>
      </c>
      <c r="B653" t="inlineStr">
        <is>
          <t>avverkningsanmälan</t>
        </is>
      </c>
      <c r="C653" t="inlineStr">
        <is>
          <t>Föryngringsavverkning</t>
        </is>
      </c>
      <c r="D653" s="1" t="n">
        <v>45387</v>
      </c>
      <c r="E653" s="1" t="n">
        <v>46220</v>
      </c>
      <c r="F653" t="inlineStr">
        <is>
          <t>VÄRMLANDS LÄN</t>
        </is>
      </c>
      <c r="G653" t="inlineStr">
        <is>
          <t>ÅRJÄNG</t>
        </is>
      </c>
      <c r="H653" t="inlineStr">
        <is>
          <t>Övriga Aktiebolag</t>
        </is>
      </c>
      <c r="I653" t="n">
        <v>0.8</v>
      </c>
      <c r="J653" t="n">
        <v>0</v>
      </c>
      <c r="K653" t="n">
        <v>0</v>
      </c>
      <c r="L653" t="n">
        <v>0</v>
      </c>
      <c r="M653" t="n">
        <v>0</v>
      </c>
      <c r="N653" t="n">
        <v>0</v>
      </c>
      <c r="O653" t="n">
        <v>0</v>
      </c>
      <c r="P653" t="n">
        <v>0</v>
      </c>
      <c r="Q653" t="n">
        <v>0</v>
      </c>
      <c r="R653" t="n">
        <v>0</v>
      </c>
      <c r="S653" t="n">
        <v>0</v>
      </c>
      <c r="T653" t="n">
        <v>0</v>
      </c>
      <c r="U653" s="2" t="inlineStr"/>
    </row>
    <row r="654" ht="15" customHeight="1">
      <c r="A654" t="inlineStr">
        <is>
          <t>A 13814-2024</t>
        </is>
      </c>
      <c r="B654" t="inlineStr">
        <is>
          <t>avverkningsanmälan</t>
        </is>
      </c>
      <c r="C654" t="inlineStr">
        <is>
          <t>Föryngringsavverkning</t>
        </is>
      </c>
      <c r="D654" s="1" t="n">
        <v>45391</v>
      </c>
      <c r="E654" s="1" t="n">
        <v>46220</v>
      </c>
      <c r="F654" t="inlineStr">
        <is>
          <t>VÄRMLANDS LÄN</t>
        </is>
      </c>
      <c r="G654" t="inlineStr">
        <is>
          <t>ÅRJÄNG</t>
        </is>
      </c>
      <c r="I654" t="n">
        <v>2.4</v>
      </c>
      <c r="J654" t="n">
        <v>0</v>
      </c>
      <c r="K654" t="n">
        <v>0</v>
      </c>
      <c r="L654" t="n">
        <v>0</v>
      </c>
      <c r="M654" t="n">
        <v>0</v>
      </c>
      <c r="N654" t="n">
        <v>0</v>
      </c>
      <c r="O654" t="n">
        <v>0</v>
      </c>
      <c r="P654" t="n">
        <v>0</v>
      </c>
      <c r="Q654" t="n">
        <v>0</v>
      </c>
      <c r="R654" t="n">
        <v>0</v>
      </c>
      <c r="S654" t="n">
        <v>0</v>
      </c>
      <c r="T654" t="n">
        <v>0</v>
      </c>
      <c r="U654" s="2" t="inlineStr"/>
    </row>
    <row r="655" ht="15" customHeight="1">
      <c r="A655" t="inlineStr">
        <is>
          <t>A 13819-2024</t>
        </is>
      </c>
      <c r="B655" t="inlineStr">
        <is>
          <t>avverkningsanmälan</t>
        </is>
      </c>
      <c r="C655" t="inlineStr">
        <is>
          <t>Föryngringsavverkning</t>
        </is>
      </c>
      <c r="D655" s="1" t="n">
        <v>45391</v>
      </c>
      <c r="E655" s="1" t="n">
        <v>46220</v>
      </c>
      <c r="F655" t="inlineStr">
        <is>
          <t>VÄRMLANDS LÄN</t>
        </is>
      </c>
      <c r="G655" t="inlineStr">
        <is>
          <t>ÅRJÄNG</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16383-2022</t>
        </is>
      </c>
      <c r="B656" t="inlineStr">
        <is>
          <t>avverkningsanmälan</t>
        </is>
      </c>
      <c r="C656" t="inlineStr">
        <is>
          <t>Föryngringsavverkning</t>
        </is>
      </c>
      <c r="D656" s="1" t="n">
        <v>44671</v>
      </c>
      <c r="E656" s="1" t="n">
        <v>46220</v>
      </c>
      <c r="F656" t="inlineStr">
        <is>
          <t>VÄRMLANDS LÄN</t>
        </is>
      </c>
      <c r="G656" t="inlineStr">
        <is>
          <t>ÅRJÄNG</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6109-2025</t>
        </is>
      </c>
      <c r="B657" t="inlineStr">
        <is>
          <t>avverkningsanmälan</t>
        </is>
      </c>
      <c r="C657" t="inlineStr">
        <is>
          <t>Föryngringsavverkning</t>
        </is>
      </c>
      <c r="D657" s="1" t="n">
        <v>45698</v>
      </c>
      <c r="E657" s="1" t="n">
        <v>46220</v>
      </c>
      <c r="F657" t="inlineStr">
        <is>
          <t>VÄRMLANDS LÄN</t>
        </is>
      </c>
      <c r="G657" t="inlineStr">
        <is>
          <t>ÅRJÄNG</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28260-2024</t>
        </is>
      </c>
      <c r="B658" t="inlineStr">
        <is>
          <t>avverkningsanmälan</t>
        </is>
      </c>
      <c r="C658" t="inlineStr">
        <is>
          <t>Föryngringsavverkning</t>
        </is>
      </c>
      <c r="D658" s="1" t="n">
        <v>45477</v>
      </c>
      <c r="E658" s="1" t="n">
        <v>46220</v>
      </c>
      <c r="F658" t="inlineStr">
        <is>
          <t>VÄRMLANDS LÄN</t>
        </is>
      </c>
      <c r="G658" t="inlineStr">
        <is>
          <t>ÅRJÄNG</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8509-2026</t>
        </is>
      </c>
      <c r="B659" t="inlineStr">
        <is>
          <t>avverkningsanmälan</t>
        </is>
      </c>
      <c r="C659" t="inlineStr">
        <is>
          <t>Föryngringsavverkning</t>
        </is>
      </c>
      <c r="D659" s="1" t="n">
        <v>46065</v>
      </c>
      <c r="E659" s="1" t="n">
        <v>46220</v>
      </c>
      <c r="F659" t="inlineStr">
        <is>
          <t>VÄRMLANDS LÄN</t>
        </is>
      </c>
      <c r="G659" t="inlineStr">
        <is>
          <t>ÅRJÄNG</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58789-2024</t>
        </is>
      </c>
      <c r="B660" t="inlineStr">
        <is>
          <t>avverkningsanmälan</t>
        </is>
      </c>
      <c r="C660" t="inlineStr">
        <is>
          <t>Föryngringsavverkning</t>
        </is>
      </c>
      <c r="D660" s="1" t="n">
        <v>45635</v>
      </c>
      <c r="E660" s="1" t="n">
        <v>46220</v>
      </c>
      <c r="F660" t="inlineStr">
        <is>
          <t>VÄRMLANDS LÄN</t>
        </is>
      </c>
      <c r="G660" t="inlineStr">
        <is>
          <t>ÅRJÄNG</t>
        </is>
      </c>
      <c r="I660" t="n">
        <v>7.8</v>
      </c>
      <c r="J660" t="n">
        <v>0</v>
      </c>
      <c r="K660" t="n">
        <v>0</v>
      </c>
      <c r="L660" t="n">
        <v>0</v>
      </c>
      <c r="M660" t="n">
        <v>0</v>
      </c>
      <c r="N660" t="n">
        <v>0</v>
      </c>
      <c r="O660" t="n">
        <v>0</v>
      </c>
      <c r="P660" t="n">
        <v>0</v>
      </c>
      <c r="Q660" t="n">
        <v>0</v>
      </c>
      <c r="R660" t="n">
        <v>0</v>
      </c>
      <c r="S660" t="n">
        <v>0</v>
      </c>
      <c r="T660" t="n">
        <v>0</v>
      </c>
      <c r="U660" s="2" t="inlineStr"/>
    </row>
    <row r="661" ht="15" customHeight="1">
      <c r="A661" t="inlineStr">
        <is>
          <t>A 48389-2021</t>
        </is>
      </c>
      <c r="B661" t="inlineStr">
        <is>
          <t>avverkningsanmälan</t>
        </is>
      </c>
      <c r="C661" t="inlineStr">
        <is>
          <t>Föryngringsavverkning</t>
        </is>
      </c>
      <c r="D661" s="1" t="n">
        <v>44452</v>
      </c>
      <c r="E661" s="1" t="n">
        <v>46220</v>
      </c>
      <c r="F661" t="inlineStr">
        <is>
          <t>VÄRMLANDS LÄN</t>
        </is>
      </c>
      <c r="G661" t="inlineStr">
        <is>
          <t>ÅRJÄNG</t>
        </is>
      </c>
      <c r="I661" t="n">
        <v>2.4</v>
      </c>
      <c r="J661" t="n">
        <v>0</v>
      </c>
      <c r="K661" t="n">
        <v>0</v>
      </c>
      <c r="L661" t="n">
        <v>0</v>
      </c>
      <c r="M661" t="n">
        <v>0</v>
      </c>
      <c r="N661" t="n">
        <v>0</v>
      </c>
      <c r="O661" t="n">
        <v>0</v>
      </c>
      <c r="P661" t="n">
        <v>0</v>
      </c>
      <c r="Q661" t="n">
        <v>0</v>
      </c>
      <c r="R661" t="n">
        <v>0</v>
      </c>
      <c r="S661" t="n">
        <v>0</v>
      </c>
      <c r="T661" t="n">
        <v>0</v>
      </c>
      <c r="U661" s="2" t="inlineStr"/>
    </row>
    <row r="662" ht="15" customHeight="1">
      <c r="A662" t="inlineStr">
        <is>
          <t>A 55071-2024</t>
        </is>
      </c>
      <c r="B662" t="inlineStr">
        <is>
          <t>avverkningsanmälan</t>
        </is>
      </c>
      <c r="C662" t="inlineStr">
        <is>
          <t>Föryngringsavverkning</t>
        </is>
      </c>
      <c r="D662" s="1" t="n">
        <v>45621</v>
      </c>
      <c r="E662" s="1" t="n">
        <v>46220</v>
      </c>
      <c r="F662" t="inlineStr">
        <is>
          <t>VÄRMLANDS LÄN</t>
        </is>
      </c>
      <c r="G662" t="inlineStr">
        <is>
          <t>ÅRJÄNG</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5863-2023</t>
        </is>
      </c>
      <c r="B663" t="inlineStr">
        <is>
          <t>avverkningsanmälan</t>
        </is>
      </c>
      <c r="C663" t="inlineStr">
        <is>
          <t>Föryngringsavverkning</t>
        </is>
      </c>
      <c r="D663" s="1" t="n">
        <v>44963</v>
      </c>
      <c r="E663" s="1" t="n">
        <v>46220</v>
      </c>
      <c r="F663" t="inlineStr">
        <is>
          <t>VÄRMLANDS LÄN</t>
        </is>
      </c>
      <c r="G663" t="inlineStr">
        <is>
          <t>ÅRJÄNG</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23940-2023</t>
        </is>
      </c>
      <c r="B664" t="inlineStr">
        <is>
          <t>avverkningsanmälan</t>
        </is>
      </c>
      <c r="C664" t="inlineStr">
        <is>
          <t>Föryngringsavverkning</t>
        </is>
      </c>
      <c r="D664" s="1" t="n">
        <v>45075</v>
      </c>
      <c r="E664" s="1" t="n">
        <v>46220</v>
      </c>
      <c r="F664" t="inlineStr">
        <is>
          <t>VÄRMLANDS LÄN</t>
        </is>
      </c>
      <c r="G664" t="inlineStr">
        <is>
          <t>ÅRJÄNG</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8507-2026</t>
        </is>
      </c>
      <c r="B665" t="inlineStr">
        <is>
          <t>avverkningsanmälan</t>
        </is>
      </c>
      <c r="C665" t="inlineStr">
        <is>
          <t>Föryngringsavverkning</t>
        </is>
      </c>
      <c r="D665" s="1" t="n">
        <v>46065</v>
      </c>
      <c r="E665" s="1" t="n">
        <v>46220</v>
      </c>
      <c r="F665" t="inlineStr">
        <is>
          <t>VÄRMLANDS LÄN</t>
        </is>
      </c>
      <c r="G665" t="inlineStr">
        <is>
          <t>ÅRJÄNG</t>
        </is>
      </c>
      <c r="I665" t="n">
        <v>5</v>
      </c>
      <c r="J665" t="n">
        <v>0</v>
      </c>
      <c r="K665" t="n">
        <v>0</v>
      </c>
      <c r="L665" t="n">
        <v>0</v>
      </c>
      <c r="M665" t="n">
        <v>0</v>
      </c>
      <c r="N665" t="n">
        <v>0</v>
      </c>
      <c r="O665" t="n">
        <v>0</v>
      </c>
      <c r="P665" t="n">
        <v>0</v>
      </c>
      <c r="Q665" t="n">
        <v>0</v>
      </c>
      <c r="R665" t="n">
        <v>0</v>
      </c>
      <c r="S665" t="n">
        <v>0</v>
      </c>
      <c r="T665" t="n">
        <v>0</v>
      </c>
      <c r="U665" s="2" t="inlineStr"/>
    </row>
    <row r="666" ht="15" customHeight="1">
      <c r="A666" t="inlineStr">
        <is>
          <t>A 8510-2026</t>
        </is>
      </c>
      <c r="B666" t="inlineStr">
        <is>
          <t>avverkningsanmälan</t>
        </is>
      </c>
      <c r="C666" t="inlineStr">
        <is>
          <t>Föryngringsavverkning</t>
        </is>
      </c>
      <c r="D666" s="1" t="n">
        <v>46065</v>
      </c>
      <c r="E666" s="1" t="n">
        <v>46220</v>
      </c>
      <c r="F666" t="inlineStr">
        <is>
          <t>VÄRMLANDS LÄN</t>
        </is>
      </c>
      <c r="G666" t="inlineStr">
        <is>
          <t>ÅRJÄNG</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60265-2025</t>
        </is>
      </c>
      <c r="B667" t="inlineStr">
        <is>
          <t>avverkningsanmälan</t>
        </is>
      </c>
      <c r="C667" t="inlineStr">
        <is>
          <t>Föryngringsavverkning</t>
        </is>
      </c>
      <c r="D667" s="1" t="n">
        <v>45994</v>
      </c>
      <c r="E667" s="1" t="n">
        <v>46220</v>
      </c>
      <c r="F667" t="inlineStr">
        <is>
          <t>VÄRMLANDS LÄN</t>
        </is>
      </c>
      <c r="G667" t="inlineStr">
        <is>
          <t>ÅRJÄNG</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60289-2025</t>
        </is>
      </c>
      <c r="B668" t="inlineStr">
        <is>
          <t>avverkningsanmälan</t>
        </is>
      </c>
      <c r="C668" t="inlineStr">
        <is>
          <t>Föryngringsavverkning</t>
        </is>
      </c>
      <c r="D668" s="1" t="n">
        <v>45994</v>
      </c>
      <c r="E668" s="1" t="n">
        <v>46220</v>
      </c>
      <c r="F668" t="inlineStr">
        <is>
          <t>VÄRMLANDS LÄN</t>
        </is>
      </c>
      <c r="G668" t="inlineStr">
        <is>
          <t>ÅRJÄNG</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60279-2025</t>
        </is>
      </c>
      <c r="B669" t="inlineStr">
        <is>
          <t>avverkningsanmälan</t>
        </is>
      </c>
      <c r="C669" t="inlineStr">
        <is>
          <t>Föryngringsavverkning</t>
        </is>
      </c>
      <c r="D669" s="1" t="n">
        <v>45994</v>
      </c>
      <c r="E669" s="1" t="n">
        <v>46220</v>
      </c>
      <c r="F669" t="inlineStr">
        <is>
          <t>VÄRMLANDS LÄN</t>
        </is>
      </c>
      <c r="G669" t="inlineStr">
        <is>
          <t>ÅRJÄNG</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60283-2025</t>
        </is>
      </c>
      <c r="B670" t="inlineStr">
        <is>
          <t>avverkningsanmälan</t>
        </is>
      </c>
      <c r="C670" t="inlineStr">
        <is>
          <t>Föryngringsavverkning</t>
        </is>
      </c>
      <c r="D670" s="1" t="n">
        <v>45994</v>
      </c>
      <c r="E670" s="1" t="n">
        <v>46220</v>
      </c>
      <c r="F670" t="inlineStr">
        <is>
          <t>VÄRMLANDS LÄN</t>
        </is>
      </c>
      <c r="G670" t="inlineStr">
        <is>
          <t>ÅRJÄNG</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20354-2023</t>
        </is>
      </c>
      <c r="B671" t="inlineStr">
        <is>
          <t>avverkningsanmälan</t>
        </is>
      </c>
      <c r="C671" t="inlineStr">
        <is>
          <t>Föryngringsavverkning</t>
        </is>
      </c>
      <c r="D671" s="1" t="n">
        <v>45056</v>
      </c>
      <c r="E671" s="1" t="n">
        <v>46220</v>
      </c>
      <c r="F671" t="inlineStr">
        <is>
          <t>VÄRMLANDS LÄN</t>
        </is>
      </c>
      <c r="G671" t="inlineStr">
        <is>
          <t>ÅRJÄNG</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5168-2026</t>
        </is>
      </c>
      <c r="B672" t="inlineStr">
        <is>
          <t>avverkningsanmälan</t>
        </is>
      </c>
      <c r="C672" t="inlineStr">
        <is>
          <t>Avverkning för annat ändamål</t>
        </is>
      </c>
      <c r="D672" s="1" t="n">
        <v>46049</v>
      </c>
      <c r="E672" s="1" t="n">
        <v>46220</v>
      </c>
      <c r="F672" t="inlineStr">
        <is>
          <t>VÄRMLANDS LÄN</t>
        </is>
      </c>
      <c r="G672" t="inlineStr">
        <is>
          <t>ÅRJÄNG</t>
        </is>
      </c>
      <c r="I672" t="n">
        <v>0.3</v>
      </c>
      <c r="J672" t="n">
        <v>0</v>
      </c>
      <c r="K672" t="n">
        <v>0</v>
      </c>
      <c r="L672" t="n">
        <v>0</v>
      </c>
      <c r="M672" t="n">
        <v>0</v>
      </c>
      <c r="N672" t="n">
        <v>0</v>
      </c>
      <c r="O672" t="n">
        <v>0</v>
      </c>
      <c r="P672" t="n">
        <v>0</v>
      </c>
      <c r="Q672" t="n">
        <v>0</v>
      </c>
      <c r="R672" t="n">
        <v>0</v>
      </c>
      <c r="S672" t="n">
        <v>0</v>
      </c>
      <c r="T672" t="n">
        <v>0</v>
      </c>
      <c r="U672" s="2" t="inlineStr"/>
    </row>
    <row r="673" ht="15" customHeight="1">
      <c r="A673" t="inlineStr">
        <is>
          <t>A 60194-2025</t>
        </is>
      </c>
      <c r="B673" t="inlineStr">
        <is>
          <t>avverkningsanmälan</t>
        </is>
      </c>
      <c r="C673" t="inlineStr">
        <is>
          <t>Föryngringsavverkning</t>
        </is>
      </c>
      <c r="D673" s="1" t="n">
        <v>45994</v>
      </c>
      <c r="E673" s="1" t="n">
        <v>46220</v>
      </c>
      <c r="F673" t="inlineStr">
        <is>
          <t>VÄRMLANDS LÄN</t>
        </is>
      </c>
      <c r="G673" t="inlineStr">
        <is>
          <t>ÅRJÄNG</t>
        </is>
      </c>
      <c r="I673" t="n">
        <v>7.3</v>
      </c>
      <c r="J673" t="n">
        <v>0</v>
      </c>
      <c r="K673" t="n">
        <v>0</v>
      </c>
      <c r="L673" t="n">
        <v>0</v>
      </c>
      <c r="M673" t="n">
        <v>0</v>
      </c>
      <c r="N673" t="n">
        <v>0</v>
      </c>
      <c r="O673" t="n">
        <v>0</v>
      </c>
      <c r="P673" t="n">
        <v>0</v>
      </c>
      <c r="Q673" t="n">
        <v>0</v>
      </c>
      <c r="R673" t="n">
        <v>0</v>
      </c>
      <c r="S673" t="n">
        <v>0</v>
      </c>
      <c r="T673" t="n">
        <v>0</v>
      </c>
      <c r="U673" s="2" t="inlineStr"/>
    </row>
    <row r="674" ht="15" customHeight="1">
      <c r="A674" t="inlineStr">
        <is>
          <t>A 58924-2025</t>
        </is>
      </c>
      <c r="B674" t="inlineStr">
        <is>
          <t>avverkningsanmälan</t>
        </is>
      </c>
      <c r="C674" t="inlineStr">
        <is>
          <t>Föryngringsavverkning</t>
        </is>
      </c>
      <c r="D674" s="1" t="n">
        <v>45986</v>
      </c>
      <c r="E674" s="1" t="n">
        <v>46220</v>
      </c>
      <c r="F674" t="inlineStr">
        <is>
          <t>VÄRMLANDS LÄN</t>
        </is>
      </c>
      <c r="G674" t="inlineStr">
        <is>
          <t>ÅRJÄNG</t>
        </is>
      </c>
      <c r="I674" t="n">
        <v>8.199999999999999</v>
      </c>
      <c r="J674" t="n">
        <v>0</v>
      </c>
      <c r="K674" t="n">
        <v>0</v>
      </c>
      <c r="L674" t="n">
        <v>0</v>
      </c>
      <c r="M674" t="n">
        <v>0</v>
      </c>
      <c r="N674" t="n">
        <v>0</v>
      </c>
      <c r="O674" t="n">
        <v>0</v>
      </c>
      <c r="P674" t="n">
        <v>0</v>
      </c>
      <c r="Q674" t="n">
        <v>0</v>
      </c>
      <c r="R674" t="n">
        <v>0</v>
      </c>
      <c r="S674" t="n">
        <v>0</v>
      </c>
      <c r="T674" t="n">
        <v>0</v>
      </c>
      <c r="U674" s="2" t="inlineStr"/>
    </row>
    <row r="675" ht="15" customHeight="1">
      <c r="A675" t="inlineStr">
        <is>
          <t>A 60826-2025</t>
        </is>
      </c>
      <c r="B675" t="inlineStr">
        <is>
          <t>avverkningsanmälan</t>
        </is>
      </c>
      <c r="C675" t="inlineStr">
        <is>
          <t>Föryngringsavverkning</t>
        </is>
      </c>
      <c r="D675" s="1" t="n">
        <v>45999</v>
      </c>
      <c r="E675" s="1" t="n">
        <v>46220</v>
      </c>
      <c r="F675" t="inlineStr">
        <is>
          <t>VÄRMLANDS LÄN</t>
        </is>
      </c>
      <c r="G675" t="inlineStr">
        <is>
          <t>ÅRJÄNG</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61116-2025</t>
        </is>
      </c>
      <c r="B676" t="inlineStr">
        <is>
          <t>avverkningsanmälan</t>
        </is>
      </c>
      <c r="C676" t="inlineStr">
        <is>
          <t>Föryngringsavverkning</t>
        </is>
      </c>
      <c r="D676" s="1" t="n">
        <v>45999</v>
      </c>
      <c r="E676" s="1" t="n">
        <v>46220</v>
      </c>
      <c r="F676" t="inlineStr">
        <is>
          <t>VÄRMLANDS LÄN</t>
        </is>
      </c>
      <c r="G676" t="inlineStr">
        <is>
          <t>ÅRJÄNG</t>
        </is>
      </c>
      <c r="I676" t="n">
        <v>4.4</v>
      </c>
      <c r="J676" t="n">
        <v>0</v>
      </c>
      <c r="K676" t="n">
        <v>0</v>
      </c>
      <c r="L676" t="n">
        <v>0</v>
      </c>
      <c r="M676" t="n">
        <v>0</v>
      </c>
      <c r="N676" t="n">
        <v>0</v>
      </c>
      <c r="O676" t="n">
        <v>0</v>
      </c>
      <c r="P676" t="n">
        <v>0</v>
      </c>
      <c r="Q676" t="n">
        <v>0</v>
      </c>
      <c r="R676" t="n">
        <v>0</v>
      </c>
      <c r="S676" t="n">
        <v>0</v>
      </c>
      <c r="T676" t="n">
        <v>0</v>
      </c>
      <c r="U676" s="2" t="inlineStr"/>
    </row>
    <row r="677" ht="15" customHeight="1">
      <c r="A677" t="inlineStr">
        <is>
          <t>A 60801-2025</t>
        </is>
      </c>
      <c r="B677" t="inlineStr">
        <is>
          <t>avverkningsanmälan</t>
        </is>
      </c>
      <c r="C677" t="inlineStr">
        <is>
          <t>Föryngringsavverkning</t>
        </is>
      </c>
      <c r="D677" s="1" t="n">
        <v>45999</v>
      </c>
      <c r="E677" s="1" t="n">
        <v>46220</v>
      </c>
      <c r="F677" t="inlineStr">
        <is>
          <t>VÄRMLANDS LÄN</t>
        </is>
      </c>
      <c r="G677" t="inlineStr">
        <is>
          <t>ÅRJÄNG</t>
        </is>
      </c>
      <c r="I677" t="n">
        <v>3.8</v>
      </c>
      <c r="J677" t="n">
        <v>0</v>
      </c>
      <c r="K677" t="n">
        <v>0</v>
      </c>
      <c r="L677" t="n">
        <v>0</v>
      </c>
      <c r="M677" t="n">
        <v>0</v>
      </c>
      <c r="N677" t="n">
        <v>0</v>
      </c>
      <c r="O677" t="n">
        <v>0</v>
      </c>
      <c r="P677" t="n">
        <v>0</v>
      </c>
      <c r="Q677" t="n">
        <v>0</v>
      </c>
      <c r="R677" t="n">
        <v>0</v>
      </c>
      <c r="S677" t="n">
        <v>0</v>
      </c>
      <c r="T677" t="n">
        <v>0</v>
      </c>
      <c r="U677" s="2" t="inlineStr"/>
    </row>
    <row r="678" ht="15" customHeight="1">
      <c r="A678" t="inlineStr">
        <is>
          <t>A 61113-2025</t>
        </is>
      </c>
      <c r="B678" t="inlineStr">
        <is>
          <t>avverkningsanmälan</t>
        </is>
      </c>
      <c r="C678" t="inlineStr">
        <is>
          <t>Föryngringsavverkning</t>
        </is>
      </c>
      <c r="D678" s="1" t="n">
        <v>45999</v>
      </c>
      <c r="E678" s="1" t="n">
        <v>46220</v>
      </c>
      <c r="F678" t="inlineStr">
        <is>
          <t>VÄRMLANDS LÄN</t>
        </is>
      </c>
      <c r="G678" t="inlineStr">
        <is>
          <t>ÅRJÄNG</t>
        </is>
      </c>
      <c r="I678" t="n">
        <v>7.6</v>
      </c>
      <c r="J678" t="n">
        <v>0</v>
      </c>
      <c r="K678" t="n">
        <v>0</v>
      </c>
      <c r="L678" t="n">
        <v>0</v>
      </c>
      <c r="M678" t="n">
        <v>0</v>
      </c>
      <c r="N678" t="n">
        <v>0</v>
      </c>
      <c r="O678" t="n">
        <v>0</v>
      </c>
      <c r="P678" t="n">
        <v>0</v>
      </c>
      <c r="Q678" t="n">
        <v>0</v>
      </c>
      <c r="R678" t="n">
        <v>0</v>
      </c>
      <c r="S678" t="n">
        <v>0</v>
      </c>
      <c r="T678" t="n">
        <v>0</v>
      </c>
      <c r="U678" s="2" t="inlineStr"/>
    </row>
    <row r="679" ht="15" customHeight="1">
      <c r="A679" t="inlineStr">
        <is>
          <t>A 28864-2023</t>
        </is>
      </c>
      <c r="B679" t="inlineStr">
        <is>
          <t>avverkningsanmälan</t>
        </is>
      </c>
      <c r="C679" t="inlineStr">
        <is>
          <t>Föryngringsavverkning</t>
        </is>
      </c>
      <c r="D679" s="1" t="n">
        <v>45104</v>
      </c>
      <c r="E679" s="1" t="n">
        <v>46220</v>
      </c>
      <c r="F679" t="inlineStr">
        <is>
          <t>VÄRMLANDS LÄN</t>
        </is>
      </c>
      <c r="G679" t="inlineStr">
        <is>
          <t>ÅRJÄNG</t>
        </is>
      </c>
      <c r="I679" t="n">
        <v>2.9</v>
      </c>
      <c r="J679" t="n">
        <v>0</v>
      </c>
      <c r="K679" t="n">
        <v>0</v>
      </c>
      <c r="L679" t="n">
        <v>0</v>
      </c>
      <c r="M679" t="n">
        <v>0</v>
      </c>
      <c r="N679" t="n">
        <v>0</v>
      </c>
      <c r="O679" t="n">
        <v>0</v>
      </c>
      <c r="P679" t="n">
        <v>0</v>
      </c>
      <c r="Q679" t="n">
        <v>0</v>
      </c>
      <c r="R679" t="n">
        <v>0</v>
      </c>
      <c r="S679" t="n">
        <v>0</v>
      </c>
      <c r="T679" t="n">
        <v>0</v>
      </c>
      <c r="U679" s="2" t="inlineStr"/>
    </row>
    <row r="680" ht="15" customHeight="1">
      <c r="A680" t="inlineStr">
        <is>
          <t>A 15300-2025</t>
        </is>
      </c>
      <c r="B680" t="inlineStr">
        <is>
          <t>avverkningsanmälan</t>
        </is>
      </c>
      <c r="C680" t="inlineStr">
        <is>
          <t>Föryngringsavverkning</t>
        </is>
      </c>
      <c r="D680" s="1" t="n">
        <v>45746</v>
      </c>
      <c r="E680" s="1" t="n">
        <v>46220</v>
      </c>
      <c r="F680" t="inlineStr">
        <is>
          <t>VÄRMLANDS LÄN</t>
        </is>
      </c>
      <c r="G680" t="inlineStr">
        <is>
          <t>ÅRJÄNG</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60659-2025</t>
        </is>
      </c>
      <c r="B681" t="inlineStr">
        <is>
          <t>avverkningsanmälan</t>
        </is>
      </c>
      <c r="C681" t="inlineStr">
        <is>
          <t>Föryngringsavverkning</t>
        </is>
      </c>
      <c r="D681" s="1" t="n">
        <v>45996</v>
      </c>
      <c r="E681" s="1" t="n">
        <v>46220</v>
      </c>
      <c r="F681" t="inlineStr">
        <is>
          <t>VÄRMLANDS LÄN</t>
        </is>
      </c>
      <c r="G681" t="inlineStr">
        <is>
          <t>ÅRJÄNG</t>
        </is>
      </c>
      <c r="I681" t="n">
        <v>10.2</v>
      </c>
      <c r="J681" t="n">
        <v>0</v>
      </c>
      <c r="K681" t="n">
        <v>0</v>
      </c>
      <c r="L681" t="n">
        <v>0</v>
      </c>
      <c r="M681" t="n">
        <v>0</v>
      </c>
      <c r="N681" t="n">
        <v>0</v>
      </c>
      <c r="O681" t="n">
        <v>0</v>
      </c>
      <c r="P681" t="n">
        <v>0</v>
      </c>
      <c r="Q681" t="n">
        <v>0</v>
      </c>
      <c r="R681" t="n">
        <v>0</v>
      </c>
      <c r="S681" t="n">
        <v>0</v>
      </c>
      <c r="T681" t="n">
        <v>0</v>
      </c>
      <c r="U681" s="2" t="inlineStr"/>
    </row>
    <row r="682" ht="15" customHeight="1">
      <c r="A682" t="inlineStr">
        <is>
          <t>A 68328-2021</t>
        </is>
      </c>
      <c r="B682" t="inlineStr">
        <is>
          <t>avverkningsanmälan</t>
        </is>
      </c>
      <c r="C682" t="inlineStr">
        <is>
          <t>Föryngringsavverkning</t>
        </is>
      </c>
      <c r="D682" s="1" t="n">
        <v>44527</v>
      </c>
      <c r="E682" s="1" t="n">
        <v>46220</v>
      </c>
      <c r="F682" t="inlineStr">
        <is>
          <t>VÄRMLANDS LÄN</t>
        </is>
      </c>
      <c r="G682" t="inlineStr">
        <is>
          <t>ÅRJÄNG</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23334-2023</t>
        </is>
      </c>
      <c r="B683" t="inlineStr">
        <is>
          <t>avverkningsanmälan</t>
        </is>
      </c>
      <c r="C683" t="inlineStr">
        <is>
          <t>Föryngringsavverkning</t>
        </is>
      </c>
      <c r="D683" s="1" t="n">
        <v>45076</v>
      </c>
      <c r="E683" s="1" t="n">
        <v>46220</v>
      </c>
      <c r="F683" t="inlineStr">
        <is>
          <t>VÄRMLANDS LÄN</t>
        </is>
      </c>
      <c r="G683" t="inlineStr">
        <is>
          <t>ÅRJÄNG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61006-2025</t>
        </is>
      </c>
      <c r="B684" t="inlineStr">
        <is>
          <t>avverkningsanmälan</t>
        </is>
      </c>
      <c r="C684" t="inlineStr">
        <is>
          <t>Föryngringsavverkning</t>
        </is>
      </c>
      <c r="D684" s="1" t="n">
        <v>45997</v>
      </c>
      <c r="E684" s="1" t="n">
        <v>46220</v>
      </c>
      <c r="F684" t="inlineStr">
        <is>
          <t>VÄRMLANDS LÄN</t>
        </is>
      </c>
      <c r="G684" t="inlineStr">
        <is>
          <t>ÅRJÄNG</t>
        </is>
      </c>
      <c r="H684" t="inlineStr">
        <is>
          <t>Övriga Aktiebolag</t>
        </is>
      </c>
      <c r="I684" t="n">
        <v>3.7</v>
      </c>
      <c r="J684" t="n">
        <v>0</v>
      </c>
      <c r="K684" t="n">
        <v>0</v>
      </c>
      <c r="L684" t="n">
        <v>0</v>
      </c>
      <c r="M684" t="n">
        <v>0</v>
      </c>
      <c r="N684" t="n">
        <v>0</v>
      </c>
      <c r="O684" t="n">
        <v>0</v>
      </c>
      <c r="P684" t="n">
        <v>0</v>
      </c>
      <c r="Q684" t="n">
        <v>0</v>
      </c>
      <c r="R684" t="n">
        <v>0</v>
      </c>
      <c r="S684" t="n">
        <v>0</v>
      </c>
      <c r="T684" t="n">
        <v>0</v>
      </c>
      <c r="U684" s="2" t="inlineStr"/>
    </row>
    <row r="685" ht="15" customHeight="1">
      <c r="A685" t="inlineStr">
        <is>
          <t>A 61097-2025</t>
        </is>
      </c>
      <c r="B685" t="inlineStr">
        <is>
          <t>avverkningsanmälan</t>
        </is>
      </c>
      <c r="C685" t="inlineStr">
        <is>
          <t>Föryngringsavverkning</t>
        </is>
      </c>
      <c r="D685" s="1" t="n">
        <v>46000</v>
      </c>
      <c r="E685" s="1" t="n">
        <v>46220</v>
      </c>
      <c r="F685" t="inlineStr">
        <is>
          <t>VÄRMLANDS LÄN</t>
        </is>
      </c>
      <c r="G685" t="inlineStr">
        <is>
          <t>ÅRJÄNG</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61126-2025</t>
        </is>
      </c>
      <c r="B686" t="inlineStr">
        <is>
          <t>avverkningsanmälan</t>
        </is>
      </c>
      <c r="C686" t="inlineStr">
        <is>
          <t>Föryngringsavverkning</t>
        </is>
      </c>
      <c r="D686" s="1" t="n">
        <v>46000</v>
      </c>
      <c r="E686" s="1" t="n">
        <v>46220</v>
      </c>
      <c r="F686" t="inlineStr">
        <is>
          <t>VÄRMLANDS LÄN</t>
        </is>
      </c>
      <c r="G686" t="inlineStr">
        <is>
          <t>ÅRJÄNG</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48444-2023</t>
        </is>
      </c>
      <c r="B687" t="inlineStr">
        <is>
          <t>avverkningsanmälan</t>
        </is>
      </c>
      <c r="C687" t="inlineStr">
        <is>
          <t>Föryngringsavverkning</t>
        </is>
      </c>
      <c r="D687" s="1" t="n">
        <v>45206</v>
      </c>
      <c r="E687" s="1" t="n">
        <v>46220</v>
      </c>
      <c r="F687" t="inlineStr">
        <is>
          <t>VÄRMLANDS LÄN</t>
        </is>
      </c>
      <c r="G687" t="inlineStr">
        <is>
          <t>ÅRJÄNG</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61263-2025</t>
        </is>
      </c>
      <c r="B688" t="inlineStr">
        <is>
          <t>avverkningsanmälan</t>
        </is>
      </c>
      <c r="C688" t="inlineStr">
        <is>
          <t>Föryngringsavverkning</t>
        </is>
      </c>
      <c r="D688" s="1" t="n">
        <v>46000</v>
      </c>
      <c r="E688" s="1" t="n">
        <v>46220</v>
      </c>
      <c r="F688" t="inlineStr">
        <is>
          <t>VÄRMLANDS LÄN</t>
        </is>
      </c>
      <c r="G688" t="inlineStr">
        <is>
          <t>ÅRJÄNG</t>
        </is>
      </c>
      <c r="I688" t="n">
        <v>3.7</v>
      </c>
      <c r="J688" t="n">
        <v>0</v>
      </c>
      <c r="K688" t="n">
        <v>0</v>
      </c>
      <c r="L688" t="n">
        <v>0</v>
      </c>
      <c r="M688" t="n">
        <v>0</v>
      </c>
      <c r="N688" t="n">
        <v>0</v>
      </c>
      <c r="O688" t="n">
        <v>0</v>
      </c>
      <c r="P688" t="n">
        <v>0</v>
      </c>
      <c r="Q688" t="n">
        <v>0</v>
      </c>
      <c r="R688" t="n">
        <v>0</v>
      </c>
      <c r="S688" t="n">
        <v>0</v>
      </c>
      <c r="T688" t="n">
        <v>0</v>
      </c>
      <c r="U688" s="2" t="inlineStr"/>
    </row>
    <row r="689" ht="15" customHeight="1">
      <c r="A689" t="inlineStr">
        <is>
          <t>A 61547-2025</t>
        </is>
      </c>
      <c r="B689" t="inlineStr">
        <is>
          <t>avverkningsanmälan</t>
        </is>
      </c>
      <c r="C689" t="inlineStr">
        <is>
          <t>Föryngringsavverkning</t>
        </is>
      </c>
      <c r="D689" s="1" t="n">
        <v>46001</v>
      </c>
      <c r="E689" s="1" t="n">
        <v>46220</v>
      </c>
      <c r="F689" t="inlineStr">
        <is>
          <t>VÄRMLANDS LÄN</t>
        </is>
      </c>
      <c r="G689" t="inlineStr">
        <is>
          <t>ÅRJÄNG</t>
        </is>
      </c>
      <c r="I689" t="n">
        <v>5.2</v>
      </c>
      <c r="J689" t="n">
        <v>0</v>
      </c>
      <c r="K689" t="n">
        <v>0</v>
      </c>
      <c r="L689" t="n">
        <v>0</v>
      </c>
      <c r="M689" t="n">
        <v>0</v>
      </c>
      <c r="N689" t="n">
        <v>0</v>
      </c>
      <c r="O689" t="n">
        <v>0</v>
      </c>
      <c r="P689" t="n">
        <v>0</v>
      </c>
      <c r="Q689" t="n">
        <v>0</v>
      </c>
      <c r="R689" t="n">
        <v>0</v>
      </c>
      <c r="S689" t="n">
        <v>0</v>
      </c>
      <c r="T689" t="n">
        <v>0</v>
      </c>
      <c r="U689" s="2" t="inlineStr"/>
    </row>
    <row r="690" ht="15" customHeight="1">
      <c r="A690" t="inlineStr">
        <is>
          <t>A 10873-2023</t>
        </is>
      </c>
      <c r="B690" t="inlineStr">
        <is>
          <t>avverkningsanmälan</t>
        </is>
      </c>
      <c r="C690" t="inlineStr">
        <is>
          <t>Föryngringsavverkning</t>
        </is>
      </c>
      <c r="D690" s="1" t="n">
        <v>44991</v>
      </c>
      <c r="E690" s="1" t="n">
        <v>46220</v>
      </c>
      <c r="F690" t="inlineStr">
        <is>
          <t>VÄRMLANDS LÄN</t>
        </is>
      </c>
      <c r="G690" t="inlineStr">
        <is>
          <t>ÅRJÄNG</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56757-2023</t>
        </is>
      </c>
      <c r="B691" t="inlineStr">
        <is>
          <t>avverkningsanmälan</t>
        </is>
      </c>
      <c r="C691" t="inlineStr">
        <is>
          <t>Föryngringsavverkning</t>
        </is>
      </c>
      <c r="D691" s="1" t="n">
        <v>45244</v>
      </c>
      <c r="E691" s="1" t="n">
        <v>46220</v>
      </c>
      <c r="F691" t="inlineStr">
        <is>
          <t>VÄRMLANDS LÄN</t>
        </is>
      </c>
      <c r="G691" t="inlineStr">
        <is>
          <t>ÅRJÄNG</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54013-2023</t>
        </is>
      </c>
      <c r="B692" t="inlineStr">
        <is>
          <t>avverkningsanmälan</t>
        </is>
      </c>
      <c r="C692" t="inlineStr">
        <is>
          <t>Föryngringsavverkning</t>
        </is>
      </c>
      <c r="D692" s="1" t="n">
        <v>45231</v>
      </c>
      <c r="E692" s="1" t="n">
        <v>46220</v>
      </c>
      <c r="F692" t="inlineStr">
        <is>
          <t>VÄRMLANDS LÄN</t>
        </is>
      </c>
      <c r="G692" t="inlineStr">
        <is>
          <t>ÅRJÄNG</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61548-2025</t>
        </is>
      </c>
      <c r="B693" t="inlineStr">
        <is>
          <t>avverkningsanmälan</t>
        </is>
      </c>
      <c r="C693" t="inlineStr">
        <is>
          <t>Föryngringsavverkning</t>
        </is>
      </c>
      <c r="D693" s="1" t="n">
        <v>46001</v>
      </c>
      <c r="E693" s="1" t="n">
        <v>46220</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s="2" t="inlineStr"/>
    </row>
    <row r="694" ht="15" customHeight="1">
      <c r="A694" t="inlineStr">
        <is>
          <t>A 51493-2023</t>
        </is>
      </c>
      <c r="B694" t="inlineStr">
        <is>
          <t>avverkningsanmälan</t>
        </is>
      </c>
      <c r="C694" t="inlineStr">
        <is>
          <t>Föryngringsavverkning</t>
        </is>
      </c>
      <c r="D694" s="1" t="n">
        <v>45215</v>
      </c>
      <c r="E694" s="1" t="n">
        <v>46220</v>
      </c>
      <c r="F694" t="inlineStr">
        <is>
          <t>VÄRMLANDS LÄN</t>
        </is>
      </c>
      <c r="G694" t="inlineStr">
        <is>
          <t>ÅRJÄNG</t>
        </is>
      </c>
      <c r="H694" t="inlineStr">
        <is>
          <t>Övriga Aktiebolag</t>
        </is>
      </c>
      <c r="I694" t="n">
        <v>9.1</v>
      </c>
      <c r="J694" t="n">
        <v>0</v>
      </c>
      <c r="K694" t="n">
        <v>0</v>
      </c>
      <c r="L694" t="n">
        <v>0</v>
      </c>
      <c r="M694" t="n">
        <v>0</v>
      </c>
      <c r="N694" t="n">
        <v>0</v>
      </c>
      <c r="O694" t="n">
        <v>0</v>
      </c>
      <c r="P694" t="n">
        <v>0</v>
      </c>
      <c r="Q694" t="n">
        <v>0</v>
      </c>
      <c r="R694" t="n">
        <v>0</v>
      </c>
      <c r="S694" t="n">
        <v>0</v>
      </c>
      <c r="T694" t="n">
        <v>0</v>
      </c>
      <c r="U694" s="2" t="inlineStr"/>
    </row>
    <row r="695" ht="15" customHeight="1">
      <c r="A695" t="inlineStr">
        <is>
          <t>A 9662-2024</t>
        </is>
      </c>
      <c r="B695" t="inlineStr">
        <is>
          <t>avverkningsanmälan</t>
        </is>
      </c>
      <c r="C695" t="inlineStr">
        <is>
          <t>Föryngringsavverkning</t>
        </is>
      </c>
      <c r="D695" s="1" t="n">
        <v>45362</v>
      </c>
      <c r="E695" s="1" t="n">
        <v>46220</v>
      </c>
      <c r="F695" t="inlineStr">
        <is>
          <t>VÄRMLANDS LÄN</t>
        </is>
      </c>
      <c r="G695" t="inlineStr">
        <is>
          <t>ÅRJÄNG</t>
        </is>
      </c>
      <c r="I695" t="n">
        <v>5.7</v>
      </c>
      <c r="J695" t="n">
        <v>0</v>
      </c>
      <c r="K695" t="n">
        <v>0</v>
      </c>
      <c r="L695" t="n">
        <v>0</v>
      </c>
      <c r="M695" t="n">
        <v>0</v>
      </c>
      <c r="N695" t="n">
        <v>0</v>
      </c>
      <c r="O695" t="n">
        <v>0</v>
      </c>
      <c r="P695" t="n">
        <v>0</v>
      </c>
      <c r="Q695" t="n">
        <v>0</v>
      </c>
      <c r="R695" t="n">
        <v>0</v>
      </c>
      <c r="S695" t="n">
        <v>0</v>
      </c>
      <c r="T695" t="n">
        <v>0</v>
      </c>
      <c r="U695" s="2" t="inlineStr"/>
    </row>
    <row r="696" ht="15" customHeight="1">
      <c r="A696" t="inlineStr">
        <is>
          <t>A 61050-2025</t>
        </is>
      </c>
      <c r="B696" t="inlineStr">
        <is>
          <t>avverkningsanmälan</t>
        </is>
      </c>
      <c r="C696" t="inlineStr">
        <is>
          <t>Föryngringsavverkning</t>
        </is>
      </c>
      <c r="D696" s="1" t="n">
        <v>46000</v>
      </c>
      <c r="E696" s="1" t="n">
        <v>46220</v>
      </c>
      <c r="F696" t="inlineStr">
        <is>
          <t>VÄRMLANDS LÄN</t>
        </is>
      </c>
      <c r="G696" t="inlineStr">
        <is>
          <t>ÅRJÄNG</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16977-2025</t>
        </is>
      </c>
      <c r="B697" t="inlineStr">
        <is>
          <t>avverkningsanmälan</t>
        </is>
      </c>
      <c r="C697" t="inlineStr">
        <is>
          <t>Föryngringsavverkning</t>
        </is>
      </c>
      <c r="D697" s="1" t="n">
        <v>45755</v>
      </c>
      <c r="E697" s="1" t="n">
        <v>46220</v>
      </c>
      <c r="F697" t="inlineStr">
        <is>
          <t>VÄRMLANDS LÄN</t>
        </is>
      </c>
      <c r="G697" t="inlineStr">
        <is>
          <t>ÅRJÄNG</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6107-2024</t>
        </is>
      </c>
      <c r="B698" t="inlineStr">
        <is>
          <t>avverkningsanmälan</t>
        </is>
      </c>
      <c r="C698" t="inlineStr">
        <is>
          <t>Föryngringsavverkning</t>
        </is>
      </c>
      <c r="D698" s="1" t="n">
        <v>45337</v>
      </c>
      <c r="E698" s="1" t="n">
        <v>46220</v>
      </c>
      <c r="F698" t="inlineStr">
        <is>
          <t>VÄRMLANDS LÄN</t>
        </is>
      </c>
      <c r="G698" t="inlineStr">
        <is>
          <t>ÅRJÄNG</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61631-2025</t>
        </is>
      </c>
      <c r="B699" t="inlineStr">
        <is>
          <t>avverkningsanmälan</t>
        </is>
      </c>
      <c r="C699" t="inlineStr">
        <is>
          <t>Föryngringsavverkning</t>
        </is>
      </c>
      <c r="D699" s="1" t="n">
        <v>46002</v>
      </c>
      <c r="E699" s="1" t="n">
        <v>46220</v>
      </c>
      <c r="F699" t="inlineStr">
        <is>
          <t>VÄRMLANDS LÄN</t>
        </is>
      </c>
      <c r="G699" t="inlineStr">
        <is>
          <t>ÅRJÄNG</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34205-2025</t>
        </is>
      </c>
      <c r="B700" t="inlineStr">
        <is>
          <t>avverkningsanmälan</t>
        </is>
      </c>
      <c r="C700" t="inlineStr">
        <is>
          <t>Föryngringsavverkning</t>
        </is>
      </c>
      <c r="D700" s="1" t="n">
        <v>45845</v>
      </c>
      <c r="E700" s="1" t="n">
        <v>46220</v>
      </c>
      <c r="F700" t="inlineStr">
        <is>
          <t>VÄRMLANDS LÄN</t>
        </is>
      </c>
      <c r="G700" t="inlineStr">
        <is>
          <t>ÅRJÄNG</t>
        </is>
      </c>
      <c r="I700" t="n">
        <v>4.4</v>
      </c>
      <c r="J700" t="n">
        <v>0</v>
      </c>
      <c r="K700" t="n">
        <v>0</v>
      </c>
      <c r="L700" t="n">
        <v>0</v>
      </c>
      <c r="M700" t="n">
        <v>0</v>
      </c>
      <c r="N700" t="n">
        <v>0</v>
      </c>
      <c r="O700" t="n">
        <v>0</v>
      </c>
      <c r="P700" t="n">
        <v>0</v>
      </c>
      <c r="Q700" t="n">
        <v>0</v>
      </c>
      <c r="R700" t="n">
        <v>0</v>
      </c>
      <c r="S700" t="n">
        <v>0</v>
      </c>
      <c r="T700" t="n">
        <v>0</v>
      </c>
      <c r="U700" s="2" t="inlineStr"/>
    </row>
    <row r="701" ht="15" customHeight="1">
      <c r="A701" t="inlineStr">
        <is>
          <t>A 62086-2025</t>
        </is>
      </c>
      <c r="B701" t="inlineStr">
        <is>
          <t>avverkningsanmälan</t>
        </is>
      </c>
      <c r="C701" t="inlineStr">
        <is>
          <t>Föryngringsavverkning</t>
        </is>
      </c>
      <c r="D701" s="1" t="n">
        <v>46006</v>
      </c>
      <c r="E701" s="1" t="n">
        <v>46220</v>
      </c>
      <c r="F701" t="inlineStr">
        <is>
          <t>VÄRMLANDS LÄN</t>
        </is>
      </c>
      <c r="G701" t="inlineStr">
        <is>
          <t>ÅRJÄNG</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15230-2025</t>
        </is>
      </c>
      <c r="B702" t="inlineStr">
        <is>
          <t>avverkningsanmälan</t>
        </is>
      </c>
      <c r="C702" t="inlineStr">
        <is>
          <t>Föryngringsavverkning</t>
        </is>
      </c>
      <c r="D702" s="1" t="n">
        <v>45744</v>
      </c>
      <c r="E702" s="1" t="n">
        <v>46220</v>
      </c>
      <c r="F702" t="inlineStr">
        <is>
          <t>VÄRMLANDS LÄN</t>
        </is>
      </c>
      <c r="G702" t="inlineStr">
        <is>
          <t>ÅRJÄNG</t>
        </is>
      </c>
      <c r="I702" t="n">
        <v>17.1</v>
      </c>
      <c r="J702" t="n">
        <v>0</v>
      </c>
      <c r="K702" t="n">
        <v>0</v>
      </c>
      <c r="L702" t="n">
        <v>0</v>
      </c>
      <c r="M702" t="n">
        <v>0</v>
      </c>
      <c r="N702" t="n">
        <v>0</v>
      </c>
      <c r="O702" t="n">
        <v>0</v>
      </c>
      <c r="P702" t="n">
        <v>0</v>
      </c>
      <c r="Q702" t="n">
        <v>0</v>
      </c>
      <c r="R702" t="n">
        <v>0</v>
      </c>
      <c r="S702" t="n">
        <v>0</v>
      </c>
      <c r="T702" t="n">
        <v>0</v>
      </c>
      <c r="U702" s="2" t="inlineStr"/>
    </row>
    <row r="703" ht="15" customHeight="1">
      <c r="A703" t="inlineStr">
        <is>
          <t>A 62804-2025</t>
        </is>
      </c>
      <c r="B703" t="inlineStr">
        <is>
          <t>avverkningsanmälan</t>
        </is>
      </c>
      <c r="C703" t="inlineStr">
        <is>
          <t>Föryngringsavverkning</t>
        </is>
      </c>
      <c r="D703" s="1" t="n">
        <v>46008</v>
      </c>
      <c r="E703" s="1" t="n">
        <v>46220</v>
      </c>
      <c r="F703" t="inlineStr">
        <is>
          <t>VÄRMLANDS LÄN</t>
        </is>
      </c>
      <c r="G703" t="inlineStr">
        <is>
          <t>ÅRJÄNG</t>
        </is>
      </c>
      <c r="H703" t="inlineStr">
        <is>
          <t>Kyrkan</t>
        </is>
      </c>
      <c r="I703" t="n">
        <v>10.4</v>
      </c>
      <c r="J703" t="n">
        <v>0</v>
      </c>
      <c r="K703" t="n">
        <v>0</v>
      </c>
      <c r="L703" t="n">
        <v>0</v>
      </c>
      <c r="M703" t="n">
        <v>0</v>
      </c>
      <c r="N703" t="n">
        <v>0</v>
      </c>
      <c r="O703" t="n">
        <v>0</v>
      </c>
      <c r="P703" t="n">
        <v>0</v>
      </c>
      <c r="Q703" t="n">
        <v>0</v>
      </c>
      <c r="R703" t="n">
        <v>0</v>
      </c>
      <c r="S703" t="n">
        <v>0</v>
      </c>
      <c r="T703" t="n">
        <v>0</v>
      </c>
      <c r="U703" s="2" t="inlineStr"/>
    </row>
    <row r="704" ht="15" customHeight="1">
      <c r="A704" t="inlineStr">
        <is>
          <t>A 11718-2024</t>
        </is>
      </c>
      <c r="B704" t="inlineStr">
        <is>
          <t>avverkningsanmälan</t>
        </is>
      </c>
      <c r="C704" t="inlineStr">
        <is>
          <t>Föryngringsavverkning</t>
        </is>
      </c>
      <c r="D704" s="1" t="n">
        <v>45373</v>
      </c>
      <c r="E704" s="1" t="n">
        <v>46220</v>
      </c>
      <c r="F704" t="inlineStr">
        <is>
          <t>VÄRMLANDS LÄN</t>
        </is>
      </c>
      <c r="G704" t="inlineStr">
        <is>
          <t>ÅRJÄNG</t>
        </is>
      </c>
      <c r="I704" t="n">
        <v>2.3</v>
      </c>
      <c r="J704" t="n">
        <v>0</v>
      </c>
      <c r="K704" t="n">
        <v>0</v>
      </c>
      <c r="L704" t="n">
        <v>0</v>
      </c>
      <c r="M704" t="n">
        <v>0</v>
      </c>
      <c r="N704" t="n">
        <v>0</v>
      </c>
      <c r="O704" t="n">
        <v>0</v>
      </c>
      <c r="P704" t="n">
        <v>0</v>
      </c>
      <c r="Q704" t="n">
        <v>0</v>
      </c>
      <c r="R704" t="n">
        <v>0</v>
      </c>
      <c r="S704" t="n">
        <v>0</v>
      </c>
      <c r="T704" t="n">
        <v>0</v>
      </c>
      <c r="U704" s="2" t="inlineStr"/>
    </row>
    <row r="705" ht="15" customHeight="1">
      <c r="A705" t="inlineStr">
        <is>
          <t>A 17878-2024</t>
        </is>
      </c>
      <c r="B705" t="inlineStr">
        <is>
          <t>avverkningsanmälan</t>
        </is>
      </c>
      <c r="C705" t="inlineStr">
        <is>
          <t>Avverkning för annat ändamål</t>
        </is>
      </c>
      <c r="D705" s="1" t="n">
        <v>45419</v>
      </c>
      <c r="E705" s="1" t="n">
        <v>46220</v>
      </c>
      <c r="F705" t="inlineStr">
        <is>
          <t>VÄRMLANDS LÄN</t>
        </is>
      </c>
      <c r="G705" t="inlineStr">
        <is>
          <t>ÅRJÄNG</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69417-2021</t>
        </is>
      </c>
      <c r="B706" t="inlineStr">
        <is>
          <t>avverkningsanmälan</t>
        </is>
      </c>
      <c r="C706" t="inlineStr">
        <is>
          <t>Föryngringsavverkning</t>
        </is>
      </c>
      <c r="D706" s="1" t="n">
        <v>44531</v>
      </c>
      <c r="E706" s="1" t="n">
        <v>46220</v>
      </c>
      <c r="F706" t="inlineStr">
        <is>
          <t>VÄRMLANDS LÄN</t>
        </is>
      </c>
      <c r="G706" t="inlineStr">
        <is>
          <t>ÅRJÄNG</t>
        </is>
      </c>
      <c r="I706" t="n">
        <v>3.8</v>
      </c>
      <c r="J706" t="n">
        <v>0</v>
      </c>
      <c r="K706" t="n">
        <v>0</v>
      </c>
      <c r="L706" t="n">
        <v>0</v>
      </c>
      <c r="M706" t="n">
        <v>0</v>
      </c>
      <c r="N706" t="n">
        <v>0</v>
      </c>
      <c r="O706" t="n">
        <v>0</v>
      </c>
      <c r="P706" t="n">
        <v>0</v>
      </c>
      <c r="Q706" t="n">
        <v>0</v>
      </c>
      <c r="R706" t="n">
        <v>0</v>
      </c>
      <c r="S706" t="n">
        <v>0</v>
      </c>
      <c r="T706" t="n">
        <v>0</v>
      </c>
      <c r="U706" s="2" t="inlineStr"/>
    </row>
    <row r="707" ht="15" customHeight="1">
      <c r="A707" t="inlineStr">
        <is>
          <t>A 21362-2022</t>
        </is>
      </c>
      <c r="B707" t="inlineStr">
        <is>
          <t>avverkningsanmälan</t>
        </is>
      </c>
      <c r="C707" t="inlineStr">
        <is>
          <t>Föryngringsavverkning</t>
        </is>
      </c>
      <c r="D707" s="1" t="n">
        <v>44705</v>
      </c>
      <c r="E707" s="1" t="n">
        <v>46220</v>
      </c>
      <c r="F707" t="inlineStr">
        <is>
          <t>VÄRMLANDS LÄN</t>
        </is>
      </c>
      <c r="G707" t="inlineStr">
        <is>
          <t>ÅRJÄNG</t>
        </is>
      </c>
      <c r="I707" t="n">
        <v>1.6</v>
      </c>
      <c r="J707" t="n">
        <v>0</v>
      </c>
      <c r="K707" t="n">
        <v>0</v>
      </c>
      <c r="L707" t="n">
        <v>0</v>
      </c>
      <c r="M707" t="n">
        <v>0</v>
      </c>
      <c r="N707" t="n">
        <v>0</v>
      </c>
      <c r="O707" t="n">
        <v>0</v>
      </c>
      <c r="P707" t="n">
        <v>0</v>
      </c>
      <c r="Q707" t="n">
        <v>0</v>
      </c>
      <c r="R707" t="n">
        <v>0</v>
      </c>
      <c r="S707" t="n">
        <v>0</v>
      </c>
      <c r="T707" t="n">
        <v>0</v>
      </c>
      <c r="U707" s="2" t="inlineStr"/>
    </row>
    <row r="708" ht="15" customHeight="1">
      <c r="A708" t="inlineStr">
        <is>
          <t>A 52382-2024</t>
        </is>
      </c>
      <c r="B708" t="inlineStr">
        <is>
          <t>avverkningsanmälan</t>
        </is>
      </c>
      <c r="C708" t="inlineStr">
        <is>
          <t>Föryngringsavverkning</t>
        </is>
      </c>
      <c r="D708" s="1" t="n">
        <v>45608</v>
      </c>
      <c r="E708" s="1" t="n">
        <v>46220</v>
      </c>
      <c r="F708" t="inlineStr">
        <is>
          <t>VÄRMLANDS LÄN</t>
        </is>
      </c>
      <c r="G708" t="inlineStr">
        <is>
          <t>ÅRJÄNG</t>
        </is>
      </c>
      <c r="I708" t="n">
        <v>8.9</v>
      </c>
      <c r="J708" t="n">
        <v>0</v>
      </c>
      <c r="K708" t="n">
        <v>0</v>
      </c>
      <c r="L708" t="n">
        <v>0</v>
      </c>
      <c r="M708" t="n">
        <v>0</v>
      </c>
      <c r="N708" t="n">
        <v>0</v>
      </c>
      <c r="O708" t="n">
        <v>0</v>
      </c>
      <c r="P708" t="n">
        <v>0</v>
      </c>
      <c r="Q708" t="n">
        <v>0</v>
      </c>
      <c r="R708" t="n">
        <v>0</v>
      </c>
      <c r="S708" t="n">
        <v>0</v>
      </c>
      <c r="T708" t="n">
        <v>0</v>
      </c>
      <c r="U708" s="2" t="inlineStr"/>
    </row>
    <row r="709" ht="15" customHeight="1">
      <c r="A709" t="inlineStr">
        <is>
          <t>A 18796-2023</t>
        </is>
      </c>
      <c r="B709" t="inlineStr">
        <is>
          <t>avverkningsanmälan</t>
        </is>
      </c>
      <c r="C709" t="inlineStr">
        <is>
          <t>Föryngringsavverkning</t>
        </is>
      </c>
      <c r="D709" s="1" t="n">
        <v>45044</v>
      </c>
      <c r="E709" s="1" t="n">
        <v>46220</v>
      </c>
      <c r="F709" t="inlineStr">
        <is>
          <t>VÄRMLANDS LÄN</t>
        </is>
      </c>
      <c r="G709" t="inlineStr">
        <is>
          <t>ÅRJÄNG</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39156-2024</t>
        </is>
      </c>
      <c r="B710" t="inlineStr">
        <is>
          <t>avverkningsanmälan</t>
        </is>
      </c>
      <c r="C710" t="inlineStr">
        <is>
          <t>Föryngringsavverkning</t>
        </is>
      </c>
      <c r="D710" s="1" t="n">
        <v>45548</v>
      </c>
      <c r="E710" s="1" t="n">
        <v>46220</v>
      </c>
      <c r="F710" t="inlineStr">
        <is>
          <t>VÄRMLANDS LÄN</t>
        </is>
      </c>
      <c r="G710" t="inlineStr">
        <is>
          <t>ÅRJÄNG</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1200-2023</t>
        </is>
      </c>
      <c r="B711" t="inlineStr">
        <is>
          <t>avverkningsanmälan</t>
        </is>
      </c>
      <c r="C711" t="inlineStr">
        <is>
          <t>Föryngringsavverkning</t>
        </is>
      </c>
      <c r="D711" s="1" t="n">
        <v>44935</v>
      </c>
      <c r="E711" s="1" t="n">
        <v>46220</v>
      </c>
      <c r="F711" t="inlineStr">
        <is>
          <t>VÄRMLANDS LÄN</t>
        </is>
      </c>
      <c r="G711" t="inlineStr">
        <is>
          <t>ÅRJÄNG</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10220-2026</t>
        </is>
      </c>
      <c r="B712" t="inlineStr">
        <is>
          <t>avverkningsanmälan</t>
        </is>
      </c>
      <c r="C712" t="inlineStr">
        <is>
          <t>Föryngringsavverkning</t>
        </is>
      </c>
      <c r="D712" s="1" t="n">
        <v>46076</v>
      </c>
      <c r="E712" s="1" t="n">
        <v>46220</v>
      </c>
      <c r="F712" t="inlineStr">
        <is>
          <t>VÄRMLANDS LÄN</t>
        </is>
      </c>
      <c r="G712" t="inlineStr">
        <is>
          <t>ÅRJÄNG</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10884-2026</t>
        </is>
      </c>
      <c r="B713" t="inlineStr">
        <is>
          <t>avverkningsanmälan</t>
        </is>
      </c>
      <c r="C713" t="inlineStr">
        <is>
          <t>Föryngringsavverkning</t>
        </is>
      </c>
      <c r="D713" s="1" t="n">
        <v>46078</v>
      </c>
      <c r="E713" s="1" t="n">
        <v>46220</v>
      </c>
      <c r="F713" t="inlineStr">
        <is>
          <t>VÄRMLANDS LÄN</t>
        </is>
      </c>
      <c r="G713" t="inlineStr">
        <is>
          <t>ÅRJÄNG</t>
        </is>
      </c>
      <c r="I713" t="n">
        <v>5</v>
      </c>
      <c r="J713" t="n">
        <v>0</v>
      </c>
      <c r="K713" t="n">
        <v>0</v>
      </c>
      <c r="L713" t="n">
        <v>0</v>
      </c>
      <c r="M713" t="n">
        <v>0</v>
      </c>
      <c r="N713" t="n">
        <v>0</v>
      </c>
      <c r="O713" t="n">
        <v>0</v>
      </c>
      <c r="P713" t="n">
        <v>0</v>
      </c>
      <c r="Q713" t="n">
        <v>0</v>
      </c>
      <c r="R713" t="n">
        <v>0</v>
      </c>
      <c r="S713" t="n">
        <v>0</v>
      </c>
      <c r="T713" t="n">
        <v>0</v>
      </c>
      <c r="U713" s="2" t="inlineStr"/>
    </row>
    <row r="714" ht="15" customHeight="1">
      <c r="A714" t="inlineStr">
        <is>
          <t>A 10885-2026</t>
        </is>
      </c>
      <c r="B714" t="inlineStr">
        <is>
          <t>avverkningsanmälan</t>
        </is>
      </c>
      <c r="C714" t="inlineStr">
        <is>
          <t>Föryngringsavverkning</t>
        </is>
      </c>
      <c r="D714" s="1" t="n">
        <v>46078</v>
      </c>
      <c r="E714" s="1" t="n">
        <v>46220</v>
      </c>
      <c r="F714" t="inlineStr">
        <is>
          <t>VÄRMLANDS LÄN</t>
        </is>
      </c>
      <c r="G714" t="inlineStr">
        <is>
          <t>ÅRJÄNG</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10215-2026</t>
        </is>
      </c>
      <c r="B715" t="inlineStr">
        <is>
          <t>avverkningsanmälan</t>
        </is>
      </c>
      <c r="C715" t="inlineStr">
        <is>
          <t>Föryngringsavverkning</t>
        </is>
      </c>
      <c r="D715" s="1" t="n">
        <v>46076</v>
      </c>
      <c r="E715" s="1" t="n">
        <v>46220</v>
      </c>
      <c r="F715" t="inlineStr">
        <is>
          <t>VÄRMLANDS LÄN</t>
        </is>
      </c>
      <c r="G715" t="inlineStr">
        <is>
          <t>ÅRJÄNG</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10168-2026</t>
        </is>
      </c>
      <c r="B716" t="inlineStr">
        <is>
          <t>avverkningsanmälan</t>
        </is>
      </c>
      <c r="C716" t="inlineStr">
        <is>
          <t>Föryngringsavverkning</t>
        </is>
      </c>
      <c r="D716" s="1" t="n">
        <v>46076</v>
      </c>
      <c r="E716" s="1" t="n">
        <v>46220</v>
      </c>
      <c r="F716" t="inlineStr">
        <is>
          <t>VÄRMLANDS LÄN</t>
        </is>
      </c>
      <c r="G716" t="inlineStr">
        <is>
          <t>ÅRJÄNG</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9630-2025</t>
        </is>
      </c>
      <c r="B717" t="inlineStr">
        <is>
          <t>avverkningsanmälan</t>
        </is>
      </c>
      <c r="C717" t="inlineStr">
        <is>
          <t>Föryngringsavverkning</t>
        </is>
      </c>
      <c r="D717" s="1" t="n">
        <v>45715</v>
      </c>
      <c r="E717" s="1" t="n">
        <v>46220</v>
      </c>
      <c r="F717" t="inlineStr">
        <is>
          <t>VÄRMLANDS LÄN</t>
        </is>
      </c>
      <c r="G717" t="inlineStr">
        <is>
          <t>ÅRJÄNG</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8246-2025</t>
        </is>
      </c>
      <c r="B718" t="inlineStr">
        <is>
          <t>avverkningsanmälan</t>
        </is>
      </c>
      <c r="C718" t="inlineStr">
        <is>
          <t>Föryngringsavverkning</t>
        </is>
      </c>
      <c r="D718" s="1" t="n">
        <v>45708</v>
      </c>
      <c r="E718" s="1" t="n">
        <v>46220</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11052-2026</t>
        </is>
      </c>
      <c r="B719" t="inlineStr">
        <is>
          <t>avverkningsanmälan</t>
        </is>
      </c>
      <c r="C719" t="inlineStr">
        <is>
          <t>Föryngringsavverkning</t>
        </is>
      </c>
      <c r="D719" s="1" t="n">
        <v>46079</v>
      </c>
      <c r="E719" s="1" t="n">
        <v>46220</v>
      </c>
      <c r="F719" t="inlineStr">
        <is>
          <t>VÄRMLANDS LÄN</t>
        </is>
      </c>
      <c r="G719" t="inlineStr">
        <is>
          <t>ÅRJÄNG</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10919-2026</t>
        </is>
      </c>
      <c r="B720" t="inlineStr">
        <is>
          <t>avverkningsanmälan</t>
        </is>
      </c>
      <c r="C720" t="inlineStr">
        <is>
          <t>Föryngringsavverkning</t>
        </is>
      </c>
      <c r="D720" s="1" t="n">
        <v>46079</v>
      </c>
      <c r="E720" s="1" t="n">
        <v>46220</v>
      </c>
      <c r="F720" t="inlineStr">
        <is>
          <t>VÄRMLANDS LÄN</t>
        </is>
      </c>
      <c r="G720" t="inlineStr">
        <is>
          <t>ÅRJÄNG</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15308-2022</t>
        </is>
      </c>
      <c r="B721" t="inlineStr">
        <is>
          <t>avverkningsanmälan</t>
        </is>
      </c>
      <c r="C721" t="inlineStr">
        <is>
          <t>Föryngringsavverkning</t>
        </is>
      </c>
      <c r="D721" s="1" t="n">
        <v>44659</v>
      </c>
      <c r="E721" s="1" t="n">
        <v>46220</v>
      </c>
      <c r="F721" t="inlineStr">
        <is>
          <t>VÄRMLANDS LÄN</t>
        </is>
      </c>
      <c r="G721" t="inlineStr">
        <is>
          <t>ÅRJÄNG</t>
        </is>
      </c>
      <c r="I721" t="n">
        <v>10.7</v>
      </c>
      <c r="J721" t="n">
        <v>0</v>
      </c>
      <c r="K721" t="n">
        <v>0</v>
      </c>
      <c r="L721" t="n">
        <v>0</v>
      </c>
      <c r="M721" t="n">
        <v>0</v>
      </c>
      <c r="N721" t="n">
        <v>0</v>
      </c>
      <c r="O721" t="n">
        <v>0</v>
      </c>
      <c r="P721" t="n">
        <v>0</v>
      </c>
      <c r="Q721" t="n">
        <v>0</v>
      </c>
      <c r="R721" t="n">
        <v>0</v>
      </c>
      <c r="S721" t="n">
        <v>0</v>
      </c>
      <c r="T721" t="n">
        <v>0</v>
      </c>
      <c r="U721" s="2" t="inlineStr"/>
    </row>
    <row r="722" ht="15" customHeight="1">
      <c r="A722" t="inlineStr">
        <is>
          <t>A 11376-2026</t>
        </is>
      </c>
      <c r="B722" t="inlineStr">
        <is>
          <t>avverkningsanmälan</t>
        </is>
      </c>
      <c r="C722" t="inlineStr">
        <is>
          <t>Föryngringsavverkning</t>
        </is>
      </c>
      <c r="D722" s="1" t="n">
        <v>46083</v>
      </c>
      <c r="E722" s="1" t="n">
        <v>46220</v>
      </c>
      <c r="F722" t="inlineStr">
        <is>
          <t>VÄRMLANDS LÄN</t>
        </is>
      </c>
      <c r="G722" t="inlineStr">
        <is>
          <t>ÅRJÄNG</t>
        </is>
      </c>
      <c r="I722" t="n">
        <v>7.4</v>
      </c>
      <c r="J722" t="n">
        <v>0</v>
      </c>
      <c r="K722" t="n">
        <v>0</v>
      </c>
      <c r="L722" t="n">
        <v>0</v>
      </c>
      <c r="M722" t="n">
        <v>0</v>
      </c>
      <c r="N722" t="n">
        <v>0</v>
      </c>
      <c r="O722" t="n">
        <v>0</v>
      </c>
      <c r="P722" t="n">
        <v>0</v>
      </c>
      <c r="Q722" t="n">
        <v>0</v>
      </c>
      <c r="R722" t="n">
        <v>0</v>
      </c>
      <c r="S722" t="n">
        <v>0</v>
      </c>
      <c r="T722" t="n">
        <v>0</v>
      </c>
      <c r="U722" s="2" t="inlineStr"/>
    </row>
    <row r="723" ht="15" customHeight="1">
      <c r="A723" t="inlineStr">
        <is>
          <t>A 23847-2023</t>
        </is>
      </c>
      <c r="B723" t="inlineStr">
        <is>
          <t>avverkningsanmälan</t>
        </is>
      </c>
      <c r="C723" t="inlineStr">
        <is>
          <t>Föryngringsavverkning</t>
        </is>
      </c>
      <c r="D723" s="1" t="n">
        <v>45078</v>
      </c>
      <c r="E723" s="1" t="n">
        <v>46220</v>
      </c>
      <c r="F723" t="inlineStr">
        <is>
          <t>VÄRMLANDS LÄN</t>
        </is>
      </c>
      <c r="G723" t="inlineStr">
        <is>
          <t>ÅRJÄNG</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11623-2026</t>
        </is>
      </c>
      <c r="B724" t="inlineStr">
        <is>
          <t>avverkningsanmälan</t>
        </is>
      </c>
      <c r="C724" t="inlineStr">
        <is>
          <t>Föryngringsavverkning</t>
        </is>
      </c>
      <c r="D724" s="1" t="n">
        <v>46084</v>
      </c>
      <c r="E724" s="1" t="n">
        <v>46220</v>
      </c>
      <c r="F724" t="inlineStr">
        <is>
          <t>VÄRMLANDS LÄN</t>
        </is>
      </c>
      <c r="G724" t="inlineStr">
        <is>
          <t>ÅRJÄNG</t>
        </is>
      </c>
      <c r="I724" t="n">
        <v>2.7</v>
      </c>
      <c r="J724" t="n">
        <v>0</v>
      </c>
      <c r="K724" t="n">
        <v>0</v>
      </c>
      <c r="L724" t="n">
        <v>0</v>
      </c>
      <c r="M724" t="n">
        <v>0</v>
      </c>
      <c r="N724" t="n">
        <v>0</v>
      </c>
      <c r="O724" t="n">
        <v>0</v>
      </c>
      <c r="P724" t="n">
        <v>0</v>
      </c>
      <c r="Q724" t="n">
        <v>0</v>
      </c>
      <c r="R724" t="n">
        <v>0</v>
      </c>
      <c r="S724" t="n">
        <v>0</v>
      </c>
      <c r="T724" t="n">
        <v>0</v>
      </c>
      <c r="U724" s="2" t="inlineStr"/>
    </row>
    <row r="725" ht="15" customHeight="1">
      <c r="A725" t="inlineStr">
        <is>
          <t>A 74430-2021</t>
        </is>
      </c>
      <c r="B725" t="inlineStr">
        <is>
          <t>avverkningsanmälan</t>
        </is>
      </c>
      <c r="C725" t="inlineStr">
        <is>
          <t>Föryngringsavverkning</t>
        </is>
      </c>
      <c r="D725" s="1" t="n">
        <v>44560</v>
      </c>
      <c r="E725" s="1" t="n">
        <v>46220</v>
      </c>
      <c r="F725" t="inlineStr">
        <is>
          <t>VÄRMLANDS LÄN</t>
        </is>
      </c>
      <c r="G725" t="inlineStr">
        <is>
          <t>ÅRJÄNG</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11536-2026</t>
        </is>
      </c>
      <c r="B726" t="inlineStr">
        <is>
          <t>avverkningsanmälan</t>
        </is>
      </c>
      <c r="C726" t="inlineStr">
        <is>
          <t>Föryngringsavverkning</t>
        </is>
      </c>
      <c r="D726" s="1" t="n">
        <v>46083</v>
      </c>
      <c r="E726" s="1" t="n">
        <v>46220</v>
      </c>
      <c r="F726" t="inlineStr">
        <is>
          <t>VÄRMLANDS LÄN</t>
        </is>
      </c>
      <c r="G726" t="inlineStr">
        <is>
          <t>ÅRJÄNG</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10681-2024</t>
        </is>
      </c>
      <c r="B727" t="inlineStr">
        <is>
          <t>avverkningsanmälan</t>
        </is>
      </c>
      <c r="C727" t="inlineStr">
        <is>
          <t>Föryngringsavverkning</t>
        </is>
      </c>
      <c r="D727" s="1" t="n">
        <v>45369</v>
      </c>
      <c r="E727" s="1" t="n">
        <v>46220</v>
      </c>
      <c r="F727" t="inlineStr">
        <is>
          <t>VÄRMLANDS LÄN</t>
        </is>
      </c>
      <c r="G727" t="inlineStr">
        <is>
          <t>ÅRJÄNG</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11625-2026</t>
        </is>
      </c>
      <c r="B728" t="inlineStr">
        <is>
          <t>avverkningsanmälan</t>
        </is>
      </c>
      <c r="C728" t="inlineStr">
        <is>
          <t>Föryngringsavverkning</t>
        </is>
      </c>
      <c r="D728" s="1" t="n">
        <v>46084</v>
      </c>
      <c r="E728" s="1" t="n">
        <v>46220</v>
      </c>
      <c r="F728" t="inlineStr">
        <is>
          <t>VÄRMLANDS LÄN</t>
        </is>
      </c>
      <c r="G728" t="inlineStr">
        <is>
          <t>ÅRJÄNG</t>
        </is>
      </c>
      <c r="I728" t="n">
        <v>3.9</v>
      </c>
      <c r="J728" t="n">
        <v>0</v>
      </c>
      <c r="K728" t="n">
        <v>0</v>
      </c>
      <c r="L728" t="n">
        <v>0</v>
      </c>
      <c r="M728" t="n">
        <v>0</v>
      </c>
      <c r="N728" t="n">
        <v>0</v>
      </c>
      <c r="O728" t="n">
        <v>0</v>
      </c>
      <c r="P728" t="n">
        <v>0</v>
      </c>
      <c r="Q728" t="n">
        <v>0</v>
      </c>
      <c r="R728" t="n">
        <v>0</v>
      </c>
      <c r="S728" t="n">
        <v>0</v>
      </c>
      <c r="T728" t="n">
        <v>0</v>
      </c>
      <c r="U728" s="2" t="inlineStr"/>
    </row>
    <row r="729" ht="15" customHeight="1">
      <c r="A729" t="inlineStr">
        <is>
          <t>A 11962-2026</t>
        </is>
      </c>
      <c r="B729" t="inlineStr">
        <is>
          <t>avverkningsanmälan</t>
        </is>
      </c>
      <c r="C729" t="inlineStr">
        <is>
          <t>Föryngringsavverkning</t>
        </is>
      </c>
      <c r="D729" s="1" t="n">
        <v>46085</v>
      </c>
      <c r="E729" s="1" t="n">
        <v>46220</v>
      </c>
      <c r="F729" t="inlineStr">
        <is>
          <t>VÄRMLANDS LÄN</t>
        </is>
      </c>
      <c r="G729" t="inlineStr">
        <is>
          <t>ÅRJÄNG</t>
        </is>
      </c>
      <c r="I729" t="n">
        <v>6</v>
      </c>
      <c r="J729" t="n">
        <v>0</v>
      </c>
      <c r="K729" t="n">
        <v>0</v>
      </c>
      <c r="L729" t="n">
        <v>0</v>
      </c>
      <c r="M729" t="n">
        <v>0</v>
      </c>
      <c r="N729" t="n">
        <v>0</v>
      </c>
      <c r="O729" t="n">
        <v>0</v>
      </c>
      <c r="P729" t="n">
        <v>0</v>
      </c>
      <c r="Q729" t="n">
        <v>0</v>
      </c>
      <c r="R729" t="n">
        <v>0</v>
      </c>
      <c r="S729" t="n">
        <v>0</v>
      </c>
      <c r="T729" t="n">
        <v>0</v>
      </c>
      <c r="U729" s="2" t="inlineStr"/>
    </row>
    <row r="730" ht="15" customHeight="1">
      <c r="A730" t="inlineStr">
        <is>
          <t>A 11921-2026</t>
        </is>
      </c>
      <c r="B730" t="inlineStr">
        <is>
          <t>avverkningsanmälan</t>
        </is>
      </c>
      <c r="C730" t="inlineStr">
        <is>
          <t>Föryngringsavverkning</t>
        </is>
      </c>
      <c r="D730" s="1" t="n">
        <v>46085</v>
      </c>
      <c r="E730" s="1" t="n">
        <v>46220</v>
      </c>
      <c r="F730" t="inlineStr">
        <is>
          <t>VÄRMLANDS LÄN</t>
        </is>
      </c>
      <c r="G730" t="inlineStr">
        <is>
          <t>ÅRJÄNG</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11953-2026</t>
        </is>
      </c>
      <c r="B731" t="inlineStr">
        <is>
          <t>avverkningsanmälan</t>
        </is>
      </c>
      <c r="C731" t="inlineStr">
        <is>
          <t>Föryngringsavverkning</t>
        </is>
      </c>
      <c r="D731" s="1" t="n">
        <v>46085</v>
      </c>
      <c r="E731" s="1" t="n">
        <v>46220</v>
      </c>
      <c r="F731" t="inlineStr">
        <is>
          <t>VÄRMLANDS LÄN</t>
        </is>
      </c>
      <c r="G731" t="inlineStr">
        <is>
          <t>ÅRJÄNG</t>
        </is>
      </c>
      <c r="I731" t="n">
        <v>3.8</v>
      </c>
      <c r="J731" t="n">
        <v>0</v>
      </c>
      <c r="K731" t="n">
        <v>0</v>
      </c>
      <c r="L731" t="n">
        <v>0</v>
      </c>
      <c r="M731" t="n">
        <v>0</v>
      </c>
      <c r="N731" t="n">
        <v>0</v>
      </c>
      <c r="O731" t="n">
        <v>0</v>
      </c>
      <c r="P731" t="n">
        <v>0</v>
      </c>
      <c r="Q731" t="n">
        <v>0</v>
      </c>
      <c r="R731" t="n">
        <v>0</v>
      </c>
      <c r="S731" t="n">
        <v>0</v>
      </c>
      <c r="T731" t="n">
        <v>0</v>
      </c>
      <c r="U731" s="2" t="inlineStr"/>
    </row>
    <row r="732" ht="15" customHeight="1">
      <c r="A732" t="inlineStr">
        <is>
          <t>A 11958-2026</t>
        </is>
      </c>
      <c r="B732" t="inlineStr">
        <is>
          <t>avverkningsanmälan</t>
        </is>
      </c>
      <c r="C732" t="inlineStr">
        <is>
          <t>Föryngringsavverkning</t>
        </is>
      </c>
      <c r="D732" s="1" t="n">
        <v>46085</v>
      </c>
      <c r="E732" s="1" t="n">
        <v>46220</v>
      </c>
      <c r="F732" t="inlineStr">
        <is>
          <t>VÄRMLANDS LÄN</t>
        </is>
      </c>
      <c r="G732" t="inlineStr">
        <is>
          <t>ÅRJÄNG</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A 59617-2022</t>
        </is>
      </c>
      <c r="B733" t="inlineStr">
        <is>
          <t>avverkningsanmälan</t>
        </is>
      </c>
      <c r="C733" t="inlineStr">
        <is>
          <t>Föryngringsavverkning</t>
        </is>
      </c>
      <c r="D733" s="1" t="n">
        <v>44907</v>
      </c>
      <c r="E733" s="1" t="n">
        <v>46220</v>
      </c>
      <c r="F733" t="inlineStr">
        <is>
          <t>VÄRMLANDS LÄN</t>
        </is>
      </c>
      <c r="G733" t="inlineStr">
        <is>
          <t>ÅRJÄNG</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73363-2021</t>
        </is>
      </c>
      <c r="B734" t="inlineStr">
        <is>
          <t>avverkningsanmälan</t>
        </is>
      </c>
      <c r="C734" t="inlineStr">
        <is>
          <t>Föryngringsavverkning</t>
        </is>
      </c>
      <c r="D734" s="1" t="n">
        <v>44550</v>
      </c>
      <c r="E734" s="1" t="n">
        <v>46220</v>
      </c>
      <c r="F734" t="inlineStr">
        <is>
          <t>VÄRMLANDS LÄN</t>
        </is>
      </c>
      <c r="G734" t="inlineStr">
        <is>
          <t>ÅRJÄNG</t>
        </is>
      </c>
      <c r="I734" t="n">
        <v>11.5</v>
      </c>
      <c r="J734" t="n">
        <v>0</v>
      </c>
      <c r="K734" t="n">
        <v>0</v>
      </c>
      <c r="L734" t="n">
        <v>0</v>
      </c>
      <c r="M734" t="n">
        <v>0</v>
      </c>
      <c r="N734" t="n">
        <v>0</v>
      </c>
      <c r="O734" t="n">
        <v>0</v>
      </c>
      <c r="P734" t="n">
        <v>0</v>
      </c>
      <c r="Q734" t="n">
        <v>0</v>
      </c>
      <c r="R734" t="n">
        <v>0</v>
      </c>
      <c r="S734" t="n">
        <v>0</v>
      </c>
      <c r="T734" t="n">
        <v>0</v>
      </c>
      <c r="U734" s="2" t="inlineStr"/>
    </row>
    <row r="735" ht="15" customHeight="1">
      <c r="A735" t="inlineStr">
        <is>
          <t>A 8831-2025</t>
        </is>
      </c>
      <c r="B735" t="inlineStr">
        <is>
          <t>avverkningsanmälan</t>
        </is>
      </c>
      <c r="C735" t="inlineStr">
        <is>
          <t>Föryngringsavverkning</t>
        </is>
      </c>
      <c r="D735" s="1" t="n">
        <v>45712</v>
      </c>
      <c r="E735" s="1" t="n">
        <v>46220</v>
      </c>
      <c r="F735" t="inlineStr">
        <is>
          <t>VÄRMLANDS LÄN</t>
        </is>
      </c>
      <c r="G735" t="inlineStr">
        <is>
          <t>ÅRJÄNG</t>
        </is>
      </c>
      <c r="I735" t="n">
        <v>32.9</v>
      </c>
      <c r="J735" t="n">
        <v>0</v>
      </c>
      <c r="K735" t="n">
        <v>0</v>
      </c>
      <c r="L735" t="n">
        <v>0</v>
      </c>
      <c r="M735" t="n">
        <v>0</v>
      </c>
      <c r="N735" t="n">
        <v>0</v>
      </c>
      <c r="O735" t="n">
        <v>0</v>
      </c>
      <c r="P735" t="n">
        <v>0</v>
      </c>
      <c r="Q735" t="n">
        <v>0</v>
      </c>
      <c r="R735" t="n">
        <v>0</v>
      </c>
      <c r="S735" t="n">
        <v>0</v>
      </c>
      <c r="T735" t="n">
        <v>0</v>
      </c>
      <c r="U735" s="2" t="inlineStr"/>
    </row>
    <row r="736" ht="15" customHeight="1">
      <c r="A736" t="inlineStr">
        <is>
          <t>A 8834-2025</t>
        </is>
      </c>
      <c r="B736" t="inlineStr">
        <is>
          <t>avverkningsanmälan</t>
        </is>
      </c>
      <c r="C736" t="inlineStr">
        <is>
          <t>Föryngringsavverkning</t>
        </is>
      </c>
      <c r="D736" s="1" t="n">
        <v>45712</v>
      </c>
      <c r="E736" s="1" t="n">
        <v>46220</v>
      </c>
      <c r="F736" t="inlineStr">
        <is>
          <t>VÄRMLANDS LÄN</t>
        </is>
      </c>
      <c r="G736" t="inlineStr">
        <is>
          <t>ÅRJÄNG</t>
        </is>
      </c>
      <c r="I736" t="n">
        <v>2.2</v>
      </c>
      <c r="J736" t="n">
        <v>0</v>
      </c>
      <c r="K736" t="n">
        <v>0</v>
      </c>
      <c r="L736" t="n">
        <v>0</v>
      </c>
      <c r="M736" t="n">
        <v>0</v>
      </c>
      <c r="N736" t="n">
        <v>0</v>
      </c>
      <c r="O736" t="n">
        <v>0</v>
      </c>
      <c r="P736" t="n">
        <v>0</v>
      </c>
      <c r="Q736" t="n">
        <v>0</v>
      </c>
      <c r="R736" t="n">
        <v>0</v>
      </c>
      <c r="S736" t="n">
        <v>0</v>
      </c>
      <c r="T736" t="n">
        <v>0</v>
      </c>
      <c r="U736" s="2" t="inlineStr"/>
    </row>
    <row r="737" ht="15" customHeight="1">
      <c r="A737" t="inlineStr">
        <is>
          <t>A 12603-2026</t>
        </is>
      </c>
      <c r="B737" t="inlineStr">
        <is>
          <t>avverkningsanmälan</t>
        </is>
      </c>
      <c r="C737" t="inlineStr">
        <is>
          <t>Föryngringsavverkning</t>
        </is>
      </c>
      <c r="D737" s="1" t="n">
        <v>46091</v>
      </c>
      <c r="E737" s="1" t="n">
        <v>46220</v>
      </c>
      <c r="F737" t="inlineStr">
        <is>
          <t>VÄRMLANDS LÄN</t>
        </is>
      </c>
      <c r="G737" t="inlineStr">
        <is>
          <t>ÅRJÄNG</t>
        </is>
      </c>
      <c r="I737" t="n">
        <v>1.8</v>
      </c>
      <c r="J737" t="n">
        <v>0</v>
      </c>
      <c r="K737" t="n">
        <v>0</v>
      </c>
      <c r="L737" t="n">
        <v>0</v>
      </c>
      <c r="M737" t="n">
        <v>0</v>
      </c>
      <c r="N737" t="n">
        <v>0</v>
      </c>
      <c r="O737" t="n">
        <v>0</v>
      </c>
      <c r="P737" t="n">
        <v>0</v>
      </c>
      <c r="Q737" t="n">
        <v>0</v>
      </c>
      <c r="R737" t="n">
        <v>0</v>
      </c>
      <c r="S737" t="n">
        <v>0</v>
      </c>
      <c r="T737" t="n">
        <v>0</v>
      </c>
      <c r="U737" s="2" t="inlineStr"/>
    </row>
    <row r="738" ht="15" customHeight="1">
      <c r="A738" t="inlineStr">
        <is>
          <t>A 60886-2023</t>
        </is>
      </c>
      <c r="B738" t="inlineStr">
        <is>
          <t>avverkningsanmälan</t>
        </is>
      </c>
      <c r="C738" t="inlineStr">
        <is>
          <t>Föryngringsavverkning</t>
        </is>
      </c>
      <c r="D738" s="1" t="n">
        <v>45261</v>
      </c>
      <c r="E738" s="1" t="n">
        <v>46220</v>
      </c>
      <c r="F738" t="inlineStr">
        <is>
          <t>VÄRMLANDS LÄN</t>
        </is>
      </c>
      <c r="G738" t="inlineStr">
        <is>
          <t>ÅRJÄNG</t>
        </is>
      </c>
      <c r="I738" t="n">
        <v>2.9</v>
      </c>
      <c r="J738" t="n">
        <v>0</v>
      </c>
      <c r="K738" t="n">
        <v>0</v>
      </c>
      <c r="L738" t="n">
        <v>0</v>
      </c>
      <c r="M738" t="n">
        <v>0</v>
      </c>
      <c r="N738" t="n">
        <v>0</v>
      </c>
      <c r="O738" t="n">
        <v>0</v>
      </c>
      <c r="P738" t="n">
        <v>0</v>
      </c>
      <c r="Q738" t="n">
        <v>0</v>
      </c>
      <c r="R738" t="n">
        <v>0</v>
      </c>
      <c r="S738" t="n">
        <v>0</v>
      </c>
      <c r="T738" t="n">
        <v>0</v>
      </c>
      <c r="U738" s="2" t="inlineStr"/>
    </row>
    <row r="739" ht="15" customHeight="1">
      <c r="A739" t="inlineStr">
        <is>
          <t>A 12737-2026</t>
        </is>
      </c>
      <c r="B739" t="inlineStr">
        <is>
          <t>avverkningsanmälan</t>
        </is>
      </c>
      <c r="C739" t="inlineStr">
        <is>
          <t>Föryngringsavverkning</t>
        </is>
      </c>
      <c r="D739" s="1" t="n">
        <v>46091</v>
      </c>
      <c r="E739" s="1" t="n">
        <v>46220</v>
      </c>
      <c r="F739" t="inlineStr">
        <is>
          <t>VÄRMLANDS LÄN</t>
        </is>
      </c>
      <c r="G739" t="inlineStr">
        <is>
          <t>ÅRJÄNG</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12600-2026</t>
        </is>
      </c>
      <c r="B740" t="inlineStr">
        <is>
          <t>avverkningsanmälan</t>
        </is>
      </c>
      <c r="C740" t="inlineStr">
        <is>
          <t>Föryngringsavverkning</t>
        </is>
      </c>
      <c r="D740" s="1" t="n">
        <v>46091</v>
      </c>
      <c r="E740" s="1" t="n">
        <v>46220</v>
      </c>
      <c r="F740" t="inlineStr">
        <is>
          <t>VÄRMLANDS LÄN</t>
        </is>
      </c>
      <c r="G740" t="inlineStr">
        <is>
          <t>ÅRJÄNG</t>
        </is>
      </c>
      <c r="I740" t="n">
        <v>2.9</v>
      </c>
      <c r="J740" t="n">
        <v>0</v>
      </c>
      <c r="K740" t="n">
        <v>0</v>
      </c>
      <c r="L740" t="n">
        <v>0</v>
      </c>
      <c r="M740" t="n">
        <v>0</v>
      </c>
      <c r="N740" t="n">
        <v>0</v>
      </c>
      <c r="O740" t="n">
        <v>0</v>
      </c>
      <c r="P740" t="n">
        <v>0</v>
      </c>
      <c r="Q740" t="n">
        <v>0</v>
      </c>
      <c r="R740" t="n">
        <v>0</v>
      </c>
      <c r="S740" t="n">
        <v>0</v>
      </c>
      <c r="T740" t="n">
        <v>0</v>
      </c>
      <c r="U740" s="2" t="inlineStr"/>
    </row>
    <row r="741" ht="15" customHeight="1">
      <c r="A741" t="inlineStr">
        <is>
          <t>A 12898-2026</t>
        </is>
      </c>
      <c r="B741" t="inlineStr">
        <is>
          <t>avverkningsanmälan</t>
        </is>
      </c>
      <c r="C741" t="inlineStr">
        <is>
          <t>Föryngringsavverkning</t>
        </is>
      </c>
      <c r="D741" s="1" t="n">
        <v>46092</v>
      </c>
      <c r="E741" s="1" t="n">
        <v>46220</v>
      </c>
      <c r="F741" t="inlineStr">
        <is>
          <t>VÄRMLANDS LÄN</t>
        </is>
      </c>
      <c r="G741" t="inlineStr">
        <is>
          <t>ÅRJÄNG</t>
        </is>
      </c>
      <c r="I741" t="n">
        <v>0.9</v>
      </c>
      <c r="J741" t="n">
        <v>0</v>
      </c>
      <c r="K741" t="n">
        <v>0</v>
      </c>
      <c r="L741" t="n">
        <v>0</v>
      </c>
      <c r="M741" t="n">
        <v>0</v>
      </c>
      <c r="N741" t="n">
        <v>0</v>
      </c>
      <c r="O741" t="n">
        <v>0</v>
      </c>
      <c r="P741" t="n">
        <v>0</v>
      </c>
      <c r="Q741" t="n">
        <v>0</v>
      </c>
      <c r="R741" t="n">
        <v>0</v>
      </c>
      <c r="S741" t="n">
        <v>0</v>
      </c>
      <c r="T741" t="n">
        <v>0</v>
      </c>
      <c r="U741" s="2" t="inlineStr"/>
    </row>
    <row r="742" ht="15" customHeight="1">
      <c r="A742" t="inlineStr">
        <is>
          <t>A 65849-2021</t>
        </is>
      </c>
      <c r="B742" t="inlineStr">
        <is>
          <t>avverkningsanmälan</t>
        </is>
      </c>
      <c r="C742" t="inlineStr">
        <is>
          <t>Föryngringsavverkning</t>
        </is>
      </c>
      <c r="D742" s="1" t="n">
        <v>44517</v>
      </c>
      <c r="E742" s="1" t="n">
        <v>46220</v>
      </c>
      <c r="F742" t="inlineStr">
        <is>
          <t>VÄRMLANDS LÄN</t>
        </is>
      </c>
      <c r="G742" t="inlineStr">
        <is>
          <t>ÅRJÄNG</t>
        </is>
      </c>
      <c r="I742" t="n">
        <v>3.3</v>
      </c>
      <c r="J742" t="n">
        <v>0</v>
      </c>
      <c r="K742" t="n">
        <v>0</v>
      </c>
      <c r="L742" t="n">
        <v>0</v>
      </c>
      <c r="M742" t="n">
        <v>0</v>
      </c>
      <c r="N742" t="n">
        <v>0</v>
      </c>
      <c r="O742" t="n">
        <v>0</v>
      </c>
      <c r="P742" t="n">
        <v>0</v>
      </c>
      <c r="Q742" t="n">
        <v>0</v>
      </c>
      <c r="R742" t="n">
        <v>0</v>
      </c>
      <c r="S742" t="n">
        <v>0</v>
      </c>
      <c r="T742" t="n">
        <v>0</v>
      </c>
      <c r="U742" s="2" t="inlineStr"/>
    </row>
    <row r="743" ht="15" customHeight="1">
      <c r="A743" t="inlineStr">
        <is>
          <t>A 12667-2026</t>
        </is>
      </c>
      <c r="B743" t="inlineStr">
        <is>
          <t>avverkningsanmälan</t>
        </is>
      </c>
      <c r="C743" t="inlineStr">
        <is>
          <t>Föryngringsavverkning</t>
        </is>
      </c>
      <c r="D743" s="1" t="n">
        <v>46091</v>
      </c>
      <c r="E743" s="1" t="n">
        <v>46220</v>
      </c>
      <c r="F743" t="inlineStr">
        <is>
          <t>VÄRMLANDS LÄN</t>
        </is>
      </c>
      <c r="G743" t="inlineStr">
        <is>
          <t>ÅRJÄNG</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2551-2025</t>
        </is>
      </c>
      <c r="B744" t="inlineStr">
        <is>
          <t>avverkningsanmälan</t>
        </is>
      </c>
      <c r="C744" t="inlineStr">
        <is>
          <t>Föryngringsavverkning</t>
        </is>
      </c>
      <c r="D744" s="1" t="n">
        <v>45674</v>
      </c>
      <c r="E744" s="1" t="n">
        <v>46220</v>
      </c>
      <c r="F744" t="inlineStr">
        <is>
          <t>VÄRMLANDS LÄN</t>
        </is>
      </c>
      <c r="G744" t="inlineStr">
        <is>
          <t>ÅRJÄNG</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15949-2025</t>
        </is>
      </c>
      <c r="B745" t="inlineStr">
        <is>
          <t>avverkningsanmälan</t>
        </is>
      </c>
      <c r="C745" t="inlineStr">
        <is>
          <t>Föryngringsavverkning</t>
        </is>
      </c>
      <c r="D745" s="1" t="n">
        <v>45749</v>
      </c>
      <c r="E745" s="1" t="n">
        <v>46220</v>
      </c>
      <c r="F745" t="inlineStr">
        <is>
          <t>VÄRMLANDS LÄN</t>
        </is>
      </c>
      <c r="G745" t="inlineStr">
        <is>
          <t>ÅRJÄNG</t>
        </is>
      </c>
      <c r="H745" t="inlineStr">
        <is>
          <t>Bergvik skog väst AB</t>
        </is>
      </c>
      <c r="I745" t="n">
        <v>3.1</v>
      </c>
      <c r="J745" t="n">
        <v>0</v>
      </c>
      <c r="K745" t="n">
        <v>0</v>
      </c>
      <c r="L745" t="n">
        <v>0</v>
      </c>
      <c r="M745" t="n">
        <v>0</v>
      </c>
      <c r="N745" t="n">
        <v>0</v>
      </c>
      <c r="O745" t="n">
        <v>0</v>
      </c>
      <c r="P745" t="n">
        <v>0</v>
      </c>
      <c r="Q745" t="n">
        <v>0</v>
      </c>
      <c r="R745" t="n">
        <v>0</v>
      </c>
      <c r="S745" t="n">
        <v>0</v>
      </c>
      <c r="T745" t="n">
        <v>0</v>
      </c>
      <c r="U745" s="2" t="inlineStr"/>
    </row>
    <row r="746" ht="15" customHeight="1">
      <c r="A746" t="inlineStr">
        <is>
          <t>A 13155-2024</t>
        </is>
      </c>
      <c r="B746" t="inlineStr">
        <is>
          <t>avverkningsanmälan</t>
        </is>
      </c>
      <c r="C746" t="inlineStr">
        <is>
          <t>Föryngringsavverkning</t>
        </is>
      </c>
      <c r="D746" s="1" t="n">
        <v>45386</v>
      </c>
      <c r="E746" s="1" t="n">
        <v>46220</v>
      </c>
      <c r="F746" t="inlineStr">
        <is>
          <t>VÄRMLANDS LÄN</t>
        </is>
      </c>
      <c r="G746" t="inlineStr">
        <is>
          <t>ÅRJÄNG</t>
        </is>
      </c>
      <c r="I746" t="n">
        <v>2.2</v>
      </c>
      <c r="J746" t="n">
        <v>0</v>
      </c>
      <c r="K746" t="n">
        <v>0</v>
      </c>
      <c r="L746" t="n">
        <v>0</v>
      </c>
      <c r="M746" t="n">
        <v>0</v>
      </c>
      <c r="N746" t="n">
        <v>0</v>
      </c>
      <c r="O746" t="n">
        <v>0</v>
      </c>
      <c r="P746" t="n">
        <v>0</v>
      </c>
      <c r="Q746" t="n">
        <v>0</v>
      </c>
      <c r="R746" t="n">
        <v>0</v>
      </c>
      <c r="S746" t="n">
        <v>0</v>
      </c>
      <c r="T746" t="n">
        <v>0</v>
      </c>
      <c r="U746" s="2" t="inlineStr"/>
    </row>
    <row r="747" ht="15" customHeight="1">
      <c r="A747" t="inlineStr">
        <is>
          <t>A 15575-2025</t>
        </is>
      </c>
      <c r="B747" t="inlineStr">
        <is>
          <t>avverkningsanmälan</t>
        </is>
      </c>
      <c r="C747" t="inlineStr">
        <is>
          <t>Föryngringsavverkning</t>
        </is>
      </c>
      <c r="D747" s="1" t="n">
        <v>45747</v>
      </c>
      <c r="E747" s="1" t="n">
        <v>46220</v>
      </c>
      <c r="F747" t="inlineStr">
        <is>
          <t>VÄRMLANDS LÄN</t>
        </is>
      </c>
      <c r="G747" t="inlineStr">
        <is>
          <t>ÅRJÄNG</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15577-2025</t>
        </is>
      </c>
      <c r="B748" t="inlineStr">
        <is>
          <t>avverkningsanmälan</t>
        </is>
      </c>
      <c r="C748" t="inlineStr">
        <is>
          <t>Föryngringsavverkning</t>
        </is>
      </c>
      <c r="D748" s="1" t="n">
        <v>45747</v>
      </c>
      <c r="E748" s="1" t="n">
        <v>46220</v>
      </c>
      <c r="F748" t="inlineStr">
        <is>
          <t>VÄRMLANDS LÄN</t>
        </is>
      </c>
      <c r="G748" t="inlineStr">
        <is>
          <t>ÅRJÄNG</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42230-2024</t>
        </is>
      </c>
      <c r="B749" t="inlineStr">
        <is>
          <t>avverkningsanmälan</t>
        </is>
      </c>
      <c r="C749" t="inlineStr">
        <is>
          <t>Föryngringsavverkning</t>
        </is>
      </c>
      <c r="D749" s="1" t="n">
        <v>45562</v>
      </c>
      <c r="E749" s="1" t="n">
        <v>46220</v>
      </c>
      <c r="F749" t="inlineStr">
        <is>
          <t>VÄRMLANDS LÄN</t>
        </is>
      </c>
      <c r="G749" t="inlineStr">
        <is>
          <t>ÅRJÄNG</t>
        </is>
      </c>
      <c r="I749" t="n">
        <v>8.6</v>
      </c>
      <c r="J749" t="n">
        <v>0</v>
      </c>
      <c r="K749" t="n">
        <v>0</v>
      </c>
      <c r="L749" t="n">
        <v>0</v>
      </c>
      <c r="M749" t="n">
        <v>0</v>
      </c>
      <c r="N749" t="n">
        <v>0</v>
      </c>
      <c r="O749" t="n">
        <v>0</v>
      </c>
      <c r="P749" t="n">
        <v>0</v>
      </c>
      <c r="Q749" t="n">
        <v>0</v>
      </c>
      <c r="R749" t="n">
        <v>0</v>
      </c>
      <c r="S749" t="n">
        <v>0</v>
      </c>
      <c r="T749" t="n">
        <v>0</v>
      </c>
      <c r="U749" s="2" t="inlineStr"/>
    </row>
    <row r="750" ht="15" customHeight="1">
      <c r="A750" t="inlineStr">
        <is>
          <t>A 15327-2022</t>
        </is>
      </c>
      <c r="B750" t="inlineStr">
        <is>
          <t>avverkningsanmälan</t>
        </is>
      </c>
      <c r="C750" t="inlineStr">
        <is>
          <t>Föryngringsavverkning</t>
        </is>
      </c>
      <c r="D750" s="1" t="n">
        <v>44659</v>
      </c>
      <c r="E750" s="1" t="n">
        <v>46220</v>
      </c>
      <c r="F750" t="inlineStr">
        <is>
          <t>VÄRMLANDS LÄN</t>
        </is>
      </c>
      <c r="G750" t="inlineStr">
        <is>
          <t>ÅRJÄNG</t>
        </is>
      </c>
      <c r="I750" t="n">
        <v>4</v>
      </c>
      <c r="J750" t="n">
        <v>0</v>
      </c>
      <c r="K750" t="n">
        <v>0</v>
      </c>
      <c r="L750" t="n">
        <v>0</v>
      </c>
      <c r="M750" t="n">
        <v>0</v>
      </c>
      <c r="N750" t="n">
        <v>0</v>
      </c>
      <c r="O750" t="n">
        <v>0</v>
      </c>
      <c r="P750" t="n">
        <v>0</v>
      </c>
      <c r="Q750" t="n">
        <v>0</v>
      </c>
      <c r="R750" t="n">
        <v>0</v>
      </c>
      <c r="S750" t="n">
        <v>0</v>
      </c>
      <c r="T750" t="n">
        <v>0</v>
      </c>
      <c r="U750" s="2" t="inlineStr"/>
    </row>
    <row r="751" ht="15" customHeight="1">
      <c r="A751" t="inlineStr">
        <is>
          <t>A 49673-2022</t>
        </is>
      </c>
      <c r="B751" t="inlineStr">
        <is>
          <t>avverkningsanmälan</t>
        </is>
      </c>
      <c r="C751" t="inlineStr">
        <is>
          <t>Föryngringsavverkning</t>
        </is>
      </c>
      <c r="D751" s="1" t="n">
        <v>44862</v>
      </c>
      <c r="E751" s="1" t="n">
        <v>46220</v>
      </c>
      <c r="F751" t="inlineStr">
        <is>
          <t>VÄRMLANDS LÄN</t>
        </is>
      </c>
      <c r="G751" t="inlineStr">
        <is>
          <t>ÅRJÄNG</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44417-2021</t>
        </is>
      </c>
      <c r="B752" t="inlineStr">
        <is>
          <t>avverkningsanmälan</t>
        </is>
      </c>
      <c r="C752" t="inlineStr">
        <is>
          <t>Föryngringsavverkning</t>
        </is>
      </c>
      <c r="D752" s="1" t="n">
        <v>44435</v>
      </c>
      <c r="E752" s="1" t="n">
        <v>46220</v>
      </c>
      <c r="F752" t="inlineStr">
        <is>
          <t>VÄRMLANDS LÄN</t>
        </is>
      </c>
      <c r="G752" t="inlineStr">
        <is>
          <t>ÅRJÄNG</t>
        </is>
      </c>
      <c r="I752" t="n">
        <v>32.2</v>
      </c>
      <c r="J752" t="n">
        <v>0</v>
      </c>
      <c r="K752" t="n">
        <v>0</v>
      </c>
      <c r="L752" t="n">
        <v>0</v>
      </c>
      <c r="M752" t="n">
        <v>0</v>
      </c>
      <c r="N752" t="n">
        <v>0</v>
      </c>
      <c r="O752" t="n">
        <v>0</v>
      </c>
      <c r="P752" t="n">
        <v>0</v>
      </c>
      <c r="Q752" t="n">
        <v>0</v>
      </c>
      <c r="R752" t="n">
        <v>0</v>
      </c>
      <c r="S752" t="n">
        <v>0</v>
      </c>
      <c r="T752" t="n">
        <v>0</v>
      </c>
      <c r="U752" s="2" t="inlineStr"/>
    </row>
    <row r="753" ht="15" customHeight="1">
      <c r="A753" t="inlineStr">
        <is>
          <t>A 37122-2022</t>
        </is>
      </c>
      <c r="B753" t="inlineStr">
        <is>
          <t>avverkningsanmälan</t>
        </is>
      </c>
      <c r="C753" t="inlineStr">
        <is>
          <t>Föryngringsavverkning</t>
        </is>
      </c>
      <c r="D753" s="1" t="n">
        <v>44806</v>
      </c>
      <c r="E753" s="1" t="n">
        <v>46220</v>
      </c>
      <c r="F753" t="inlineStr">
        <is>
          <t>VÄRMLANDS LÄN</t>
        </is>
      </c>
      <c r="G753" t="inlineStr">
        <is>
          <t>ÅRJÄNG</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13979-2026</t>
        </is>
      </c>
      <c r="B754" t="inlineStr">
        <is>
          <t>avverkningsanmälan</t>
        </is>
      </c>
      <c r="C754" t="inlineStr">
        <is>
          <t>Föryngringsavverkning</t>
        </is>
      </c>
      <c r="D754" s="1" t="n">
        <v>46098</v>
      </c>
      <c r="E754" s="1" t="n">
        <v>46220</v>
      </c>
      <c r="F754" t="inlineStr">
        <is>
          <t>VÄRMLANDS LÄN</t>
        </is>
      </c>
      <c r="G754" t="inlineStr">
        <is>
          <t>ÅRJÄNG</t>
        </is>
      </c>
      <c r="I754" t="n">
        <v>2.9</v>
      </c>
      <c r="J754" t="n">
        <v>0</v>
      </c>
      <c r="K754" t="n">
        <v>0</v>
      </c>
      <c r="L754" t="n">
        <v>0</v>
      </c>
      <c r="M754" t="n">
        <v>0</v>
      </c>
      <c r="N754" t="n">
        <v>0</v>
      </c>
      <c r="O754" t="n">
        <v>0</v>
      </c>
      <c r="P754" t="n">
        <v>0</v>
      </c>
      <c r="Q754" t="n">
        <v>0</v>
      </c>
      <c r="R754" t="n">
        <v>0</v>
      </c>
      <c r="S754" t="n">
        <v>0</v>
      </c>
      <c r="T754" t="n">
        <v>0</v>
      </c>
      <c r="U754" s="2" t="inlineStr"/>
    </row>
    <row r="755" ht="15" customHeight="1">
      <c r="A755" t="inlineStr">
        <is>
          <t>A 56329-2024</t>
        </is>
      </c>
      <c r="B755" t="inlineStr">
        <is>
          <t>avverkningsanmälan</t>
        </is>
      </c>
      <c r="C755" t="inlineStr">
        <is>
          <t>Föryngringsavverkning</t>
        </is>
      </c>
      <c r="D755" s="1" t="n">
        <v>45624</v>
      </c>
      <c r="E755" s="1" t="n">
        <v>46220</v>
      </c>
      <c r="F755" t="inlineStr">
        <is>
          <t>VÄRMLANDS LÄN</t>
        </is>
      </c>
      <c r="G755" t="inlineStr">
        <is>
          <t>ÅRJÄNG</t>
        </is>
      </c>
      <c r="I755" t="n">
        <v>4.6</v>
      </c>
      <c r="J755" t="n">
        <v>0</v>
      </c>
      <c r="K755" t="n">
        <v>0</v>
      </c>
      <c r="L755" t="n">
        <v>0</v>
      </c>
      <c r="M755" t="n">
        <v>0</v>
      </c>
      <c r="N755" t="n">
        <v>0</v>
      </c>
      <c r="O755" t="n">
        <v>0</v>
      </c>
      <c r="P755" t="n">
        <v>0</v>
      </c>
      <c r="Q755" t="n">
        <v>0</v>
      </c>
      <c r="R755" t="n">
        <v>0</v>
      </c>
      <c r="S755" t="n">
        <v>0</v>
      </c>
      <c r="T755" t="n">
        <v>0</v>
      </c>
      <c r="U755" s="2" t="inlineStr"/>
    </row>
    <row r="756" ht="15" customHeight="1">
      <c r="A756" t="inlineStr">
        <is>
          <t>A 33831-2023</t>
        </is>
      </c>
      <c r="B756" t="inlineStr">
        <is>
          <t>avverkningsanmälan</t>
        </is>
      </c>
      <c r="C756" t="inlineStr">
        <is>
          <t>Föryngringsavverkning</t>
        </is>
      </c>
      <c r="D756" s="1" t="n">
        <v>45121</v>
      </c>
      <c r="E756" s="1" t="n">
        <v>46220</v>
      </c>
      <c r="F756" t="inlineStr">
        <is>
          <t>VÄRMLANDS LÄN</t>
        </is>
      </c>
      <c r="G756" t="inlineStr">
        <is>
          <t>ÅRJÄNG</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30346-2022</t>
        </is>
      </c>
      <c r="B757" t="inlineStr">
        <is>
          <t>avverkningsanmälan</t>
        </is>
      </c>
      <c r="C757" t="inlineStr">
        <is>
          <t>Föryngringsavverkning</t>
        </is>
      </c>
      <c r="D757" s="1" t="n">
        <v>44760</v>
      </c>
      <c r="E757" s="1" t="n">
        <v>46220</v>
      </c>
      <c r="F757" t="inlineStr">
        <is>
          <t>VÄRMLANDS LÄN</t>
        </is>
      </c>
      <c r="G757" t="inlineStr">
        <is>
          <t>ÅRJÄNG</t>
        </is>
      </c>
      <c r="I757" t="n">
        <v>6</v>
      </c>
      <c r="J757" t="n">
        <v>0</v>
      </c>
      <c r="K757" t="n">
        <v>0</v>
      </c>
      <c r="L757" t="n">
        <v>0</v>
      </c>
      <c r="M757" t="n">
        <v>0</v>
      </c>
      <c r="N757" t="n">
        <v>0</v>
      </c>
      <c r="O757" t="n">
        <v>0</v>
      </c>
      <c r="P757" t="n">
        <v>0</v>
      </c>
      <c r="Q757" t="n">
        <v>0</v>
      </c>
      <c r="R757" t="n">
        <v>0</v>
      </c>
      <c r="S757" t="n">
        <v>0</v>
      </c>
      <c r="T757" t="n">
        <v>0</v>
      </c>
      <c r="U757" s="2" t="inlineStr"/>
    </row>
    <row r="758" ht="15" customHeight="1">
      <c r="A758" t="inlineStr">
        <is>
          <t>A 12740-2025</t>
        </is>
      </c>
      <c r="B758" t="inlineStr">
        <is>
          <t>avverkningsanmälan</t>
        </is>
      </c>
      <c r="C758" t="inlineStr">
        <is>
          <t>Föryngringsavverkning</t>
        </is>
      </c>
      <c r="D758" s="1" t="n">
        <v>45733</v>
      </c>
      <c r="E758" s="1" t="n">
        <v>46220</v>
      </c>
      <c r="F758" t="inlineStr">
        <is>
          <t>VÄRMLANDS LÄN</t>
        </is>
      </c>
      <c r="G758" t="inlineStr">
        <is>
          <t>ÅRJÄNG</t>
        </is>
      </c>
      <c r="I758" t="n">
        <v>2.9</v>
      </c>
      <c r="J758" t="n">
        <v>0</v>
      </c>
      <c r="K758" t="n">
        <v>0</v>
      </c>
      <c r="L758" t="n">
        <v>0</v>
      </c>
      <c r="M758" t="n">
        <v>0</v>
      </c>
      <c r="N758" t="n">
        <v>0</v>
      </c>
      <c r="O758" t="n">
        <v>0</v>
      </c>
      <c r="P758" t="n">
        <v>0</v>
      </c>
      <c r="Q758" t="n">
        <v>0</v>
      </c>
      <c r="R758" t="n">
        <v>0</v>
      </c>
      <c r="S758" t="n">
        <v>0</v>
      </c>
      <c r="T758" t="n">
        <v>0</v>
      </c>
      <c r="U758" s="2" t="inlineStr"/>
    </row>
    <row r="759" ht="15" customHeight="1">
      <c r="A759" t="inlineStr">
        <is>
          <t>A 61913-2024</t>
        </is>
      </c>
      <c r="B759" t="inlineStr">
        <is>
          <t>avverkningsanmälan</t>
        </is>
      </c>
      <c r="C759" t="inlineStr">
        <is>
          <t>Föryngringsavverkning</t>
        </is>
      </c>
      <c r="D759" s="1" t="n">
        <v>45653</v>
      </c>
      <c r="E759" s="1" t="n">
        <v>46220</v>
      </c>
      <c r="F759" t="inlineStr">
        <is>
          <t>VÄRMLANDS LÄN</t>
        </is>
      </c>
      <c r="G759" t="inlineStr">
        <is>
          <t>ÅRJÄNG</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15576-2026</t>
        </is>
      </c>
      <c r="B760" t="inlineStr">
        <is>
          <t>avverkningsanmälan</t>
        </is>
      </c>
      <c r="C760" t="inlineStr">
        <is>
          <t>Föryngringsavverkning</t>
        </is>
      </c>
      <c r="D760" s="1" t="n">
        <v>46106</v>
      </c>
      <c r="E760" s="1" t="n">
        <v>46220</v>
      </c>
      <c r="F760" t="inlineStr">
        <is>
          <t>VÄRMLANDS LÄN</t>
        </is>
      </c>
      <c r="G760" t="inlineStr">
        <is>
          <t>ÅRJÄNG</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6962-2025</t>
        </is>
      </c>
      <c r="B761" t="inlineStr">
        <is>
          <t>avverkningsanmälan</t>
        </is>
      </c>
      <c r="C761" t="inlineStr">
        <is>
          <t>Föryngringsavverkning</t>
        </is>
      </c>
      <c r="D761" s="1" t="n">
        <v>45701</v>
      </c>
      <c r="E761" s="1" t="n">
        <v>46220</v>
      </c>
      <c r="F761" t="inlineStr">
        <is>
          <t>VÄRMLANDS LÄN</t>
        </is>
      </c>
      <c r="G761" t="inlineStr">
        <is>
          <t>ÅRJÄNG</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15212-2026</t>
        </is>
      </c>
      <c r="B762" t="inlineStr">
        <is>
          <t>avverkningsanmälan</t>
        </is>
      </c>
      <c r="C762" t="inlineStr">
        <is>
          <t>Föryngringsavverkning</t>
        </is>
      </c>
      <c r="D762" s="1" t="n">
        <v>46105</v>
      </c>
      <c r="E762" s="1" t="n">
        <v>46220</v>
      </c>
      <c r="F762" t="inlineStr">
        <is>
          <t>VÄRMLANDS LÄN</t>
        </is>
      </c>
      <c r="G762" t="inlineStr">
        <is>
          <t>ÅRJÄNG</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54335-2021</t>
        </is>
      </c>
      <c r="B763" t="inlineStr">
        <is>
          <t>avverkningsanmälan</t>
        </is>
      </c>
      <c r="C763" t="inlineStr">
        <is>
          <t>Föryngringsavverkning</t>
        </is>
      </c>
      <c r="D763" s="1" t="n">
        <v>44472</v>
      </c>
      <c r="E763" s="1" t="n">
        <v>46220</v>
      </c>
      <c r="F763" t="inlineStr">
        <is>
          <t>VÄRMLANDS LÄN</t>
        </is>
      </c>
      <c r="G763" t="inlineStr">
        <is>
          <t>ÅRJÄNG</t>
        </is>
      </c>
      <c r="I763" t="n">
        <v>5.5</v>
      </c>
      <c r="J763" t="n">
        <v>0</v>
      </c>
      <c r="K763" t="n">
        <v>0</v>
      </c>
      <c r="L763" t="n">
        <v>0</v>
      </c>
      <c r="M763" t="n">
        <v>0</v>
      </c>
      <c r="N763" t="n">
        <v>0</v>
      </c>
      <c r="O763" t="n">
        <v>0</v>
      </c>
      <c r="P763" t="n">
        <v>0</v>
      </c>
      <c r="Q763" t="n">
        <v>0</v>
      </c>
      <c r="R763" t="n">
        <v>0</v>
      </c>
      <c r="S763" t="n">
        <v>0</v>
      </c>
      <c r="T763" t="n">
        <v>0</v>
      </c>
      <c r="U763" s="2" t="inlineStr"/>
    </row>
    <row r="764" ht="15" customHeight="1">
      <c r="A764" t="inlineStr">
        <is>
          <t>A 38433-2024</t>
        </is>
      </c>
      <c r="B764" t="inlineStr">
        <is>
          <t>avverkningsanmälan</t>
        </is>
      </c>
      <c r="C764" t="inlineStr">
        <is>
          <t>Föryngringsavverkning</t>
        </is>
      </c>
      <c r="D764" s="1" t="n">
        <v>45546</v>
      </c>
      <c r="E764" s="1" t="n">
        <v>46220</v>
      </c>
      <c r="F764" t="inlineStr">
        <is>
          <t>VÄRMLANDS LÄN</t>
        </is>
      </c>
      <c r="G764" t="inlineStr">
        <is>
          <t>ÅRJÄNG</t>
        </is>
      </c>
      <c r="I764" t="n">
        <v>0.3</v>
      </c>
      <c r="J764" t="n">
        <v>0</v>
      </c>
      <c r="K764" t="n">
        <v>0</v>
      </c>
      <c r="L764" t="n">
        <v>0</v>
      </c>
      <c r="M764" t="n">
        <v>0</v>
      </c>
      <c r="N764" t="n">
        <v>0</v>
      </c>
      <c r="O764" t="n">
        <v>0</v>
      </c>
      <c r="P764" t="n">
        <v>0</v>
      </c>
      <c r="Q764" t="n">
        <v>0</v>
      </c>
      <c r="R764" t="n">
        <v>0</v>
      </c>
      <c r="S764" t="n">
        <v>0</v>
      </c>
      <c r="T764" t="n">
        <v>0</v>
      </c>
      <c r="U764" s="2" t="inlineStr"/>
    </row>
    <row r="765" ht="15" customHeight="1">
      <c r="A765" t="inlineStr">
        <is>
          <t>A 60930-2021</t>
        </is>
      </c>
      <c r="B765" t="inlineStr">
        <is>
          <t>avverkningsanmälan</t>
        </is>
      </c>
      <c r="C765" t="inlineStr">
        <is>
          <t>Föryngringsavverkning</t>
        </is>
      </c>
      <c r="D765" s="1" t="n">
        <v>44497</v>
      </c>
      <c r="E765" s="1" t="n">
        <v>46220</v>
      </c>
      <c r="F765" t="inlineStr">
        <is>
          <t>VÄRMLANDS LÄN</t>
        </is>
      </c>
      <c r="G765" t="inlineStr">
        <is>
          <t>ÅRJÄNG</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15616-2023</t>
        </is>
      </c>
      <c r="B766" t="inlineStr">
        <is>
          <t>avverkningsanmälan</t>
        </is>
      </c>
      <c r="C766" t="inlineStr">
        <is>
          <t>Föryngringsavverkning</t>
        </is>
      </c>
      <c r="D766" s="1" t="n">
        <v>45020</v>
      </c>
      <c r="E766" s="1" t="n">
        <v>46220</v>
      </c>
      <c r="F766" t="inlineStr">
        <is>
          <t>VÄRMLANDS LÄN</t>
        </is>
      </c>
      <c r="G766" t="inlineStr">
        <is>
          <t>ÅRJÄNG</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18309-2025</t>
        </is>
      </c>
      <c r="B767" t="inlineStr">
        <is>
          <t>avverkningsanmälan</t>
        </is>
      </c>
      <c r="C767" t="inlineStr">
        <is>
          <t>Föryngringsavverkning</t>
        </is>
      </c>
      <c r="D767" s="1" t="n">
        <v>45762</v>
      </c>
      <c r="E767" s="1" t="n">
        <v>46220</v>
      </c>
      <c r="F767" t="inlineStr">
        <is>
          <t>VÄRMLANDS LÄN</t>
        </is>
      </c>
      <c r="G767" t="inlineStr">
        <is>
          <t>ÅRJÄNG</t>
        </is>
      </c>
      <c r="I767" t="n">
        <v>6.2</v>
      </c>
      <c r="J767" t="n">
        <v>0</v>
      </c>
      <c r="K767" t="n">
        <v>0</v>
      </c>
      <c r="L767" t="n">
        <v>0</v>
      </c>
      <c r="M767" t="n">
        <v>0</v>
      </c>
      <c r="N767" t="n">
        <v>0</v>
      </c>
      <c r="O767" t="n">
        <v>0</v>
      </c>
      <c r="P767" t="n">
        <v>0</v>
      </c>
      <c r="Q767" t="n">
        <v>0</v>
      </c>
      <c r="R767" t="n">
        <v>0</v>
      </c>
      <c r="S767" t="n">
        <v>0</v>
      </c>
      <c r="T767" t="n">
        <v>0</v>
      </c>
      <c r="U767" s="2" t="inlineStr"/>
    </row>
    <row r="768" ht="15" customHeight="1">
      <c r="A768" t="inlineStr">
        <is>
          <t>A 38158-2023</t>
        </is>
      </c>
      <c r="B768" t="inlineStr">
        <is>
          <t>avverkningsanmälan</t>
        </is>
      </c>
      <c r="C768" t="inlineStr">
        <is>
          <t>Föryngringsavverkning</t>
        </is>
      </c>
      <c r="D768" s="1" t="n">
        <v>45161</v>
      </c>
      <c r="E768" s="1" t="n">
        <v>46220</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s="2" t="inlineStr"/>
    </row>
    <row r="769" ht="15" customHeight="1">
      <c r="A769" t="inlineStr">
        <is>
          <t>A 65837-2021</t>
        </is>
      </c>
      <c r="B769" t="inlineStr">
        <is>
          <t>avverkningsanmälan</t>
        </is>
      </c>
      <c r="C769" t="inlineStr">
        <is>
          <t>Föryngringsavverkning</t>
        </is>
      </c>
      <c r="D769" s="1" t="n">
        <v>44517</v>
      </c>
      <c r="E769" s="1" t="n">
        <v>46220</v>
      </c>
      <c r="F769" t="inlineStr">
        <is>
          <t>VÄRMLANDS LÄN</t>
        </is>
      </c>
      <c r="G769" t="inlineStr">
        <is>
          <t>ÅRJÄNG</t>
        </is>
      </c>
      <c r="I769" t="n">
        <v>6.8</v>
      </c>
      <c r="J769" t="n">
        <v>0</v>
      </c>
      <c r="K769" t="n">
        <v>0</v>
      </c>
      <c r="L769" t="n">
        <v>0</v>
      </c>
      <c r="M769" t="n">
        <v>0</v>
      </c>
      <c r="N769" t="n">
        <v>0</v>
      </c>
      <c r="O769" t="n">
        <v>0</v>
      </c>
      <c r="P769" t="n">
        <v>0</v>
      </c>
      <c r="Q769" t="n">
        <v>0</v>
      </c>
      <c r="R769" t="n">
        <v>0</v>
      </c>
      <c r="S769" t="n">
        <v>0</v>
      </c>
      <c r="T769" t="n">
        <v>0</v>
      </c>
      <c r="U769" s="2" t="inlineStr"/>
    </row>
    <row r="770" ht="15" customHeight="1">
      <c r="A770" t="inlineStr">
        <is>
          <t>A 73623-2021</t>
        </is>
      </c>
      <c r="B770" t="inlineStr">
        <is>
          <t>avverkningsanmälan</t>
        </is>
      </c>
      <c r="C770" t="inlineStr">
        <is>
          <t>Föryngringsavverkning</t>
        </is>
      </c>
      <c r="D770" s="1" t="n">
        <v>44552</v>
      </c>
      <c r="E770" s="1" t="n">
        <v>46220</v>
      </c>
      <c r="F770" t="inlineStr">
        <is>
          <t>VÄRMLANDS LÄN</t>
        </is>
      </c>
      <c r="G770" t="inlineStr">
        <is>
          <t>ÅRJÄNG</t>
        </is>
      </c>
      <c r="I770" t="n">
        <v>7.4</v>
      </c>
      <c r="J770" t="n">
        <v>0</v>
      </c>
      <c r="K770" t="n">
        <v>0</v>
      </c>
      <c r="L770" t="n">
        <v>0</v>
      </c>
      <c r="M770" t="n">
        <v>0</v>
      </c>
      <c r="N770" t="n">
        <v>0</v>
      </c>
      <c r="O770" t="n">
        <v>0</v>
      </c>
      <c r="P770" t="n">
        <v>0</v>
      </c>
      <c r="Q770" t="n">
        <v>0</v>
      </c>
      <c r="R770" t="n">
        <v>0</v>
      </c>
      <c r="S770" t="n">
        <v>0</v>
      </c>
      <c r="T770" t="n">
        <v>0</v>
      </c>
      <c r="U770" s="2" t="inlineStr"/>
    </row>
    <row r="771" ht="15" customHeight="1">
      <c r="A771" t="inlineStr">
        <is>
          <t>A 34580-2023</t>
        </is>
      </c>
      <c r="B771" t="inlineStr">
        <is>
          <t>avverkningsanmälan</t>
        </is>
      </c>
      <c r="C771" t="inlineStr">
        <is>
          <t>Föryngringsavverkning</t>
        </is>
      </c>
      <c r="D771" s="1" t="n">
        <v>45135</v>
      </c>
      <c r="E771" s="1" t="n">
        <v>46220</v>
      </c>
      <c r="F771" t="inlineStr">
        <is>
          <t>VÄRMLANDS LÄN</t>
        </is>
      </c>
      <c r="G771" t="inlineStr">
        <is>
          <t>ÅRJÄNG</t>
        </is>
      </c>
      <c r="H771" t="inlineStr">
        <is>
          <t>Övriga Aktiebolag</t>
        </is>
      </c>
      <c r="I771" t="n">
        <v>4</v>
      </c>
      <c r="J771" t="n">
        <v>0</v>
      </c>
      <c r="K771" t="n">
        <v>0</v>
      </c>
      <c r="L771" t="n">
        <v>0</v>
      </c>
      <c r="M771" t="n">
        <v>0</v>
      </c>
      <c r="N771" t="n">
        <v>0</v>
      </c>
      <c r="O771" t="n">
        <v>0</v>
      </c>
      <c r="P771" t="n">
        <v>0</v>
      </c>
      <c r="Q771" t="n">
        <v>0</v>
      </c>
      <c r="R771" t="n">
        <v>0</v>
      </c>
      <c r="S771" t="n">
        <v>0</v>
      </c>
      <c r="T771" t="n">
        <v>0</v>
      </c>
      <c r="U771" s="2" t="inlineStr"/>
    </row>
    <row r="772" ht="15" customHeight="1">
      <c r="A772" t="inlineStr">
        <is>
          <t>A 11704-2025</t>
        </is>
      </c>
      <c r="B772" t="inlineStr">
        <is>
          <t>avverkningsanmälan</t>
        </is>
      </c>
      <c r="C772" t="inlineStr">
        <is>
          <t>Föryngringsavverkning</t>
        </is>
      </c>
      <c r="D772" s="1" t="n">
        <v>45727</v>
      </c>
      <c r="E772" s="1" t="n">
        <v>46220</v>
      </c>
      <c r="F772" t="inlineStr">
        <is>
          <t>VÄRMLANDS LÄN</t>
        </is>
      </c>
      <c r="G772" t="inlineStr">
        <is>
          <t>ÅRJÄNG</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17109-2026</t>
        </is>
      </c>
      <c r="B773" t="inlineStr">
        <is>
          <t>avverkningsanmälan</t>
        </is>
      </c>
      <c r="C773" t="inlineStr">
        <is>
          <t>Föryngringsavverkning</t>
        </is>
      </c>
      <c r="D773" s="1" t="n">
        <v>46114</v>
      </c>
      <c r="E773" s="1" t="n">
        <v>46220</v>
      </c>
      <c r="F773" t="inlineStr">
        <is>
          <t>VÄRMLANDS LÄN</t>
        </is>
      </c>
      <c r="G773" t="inlineStr">
        <is>
          <t>ÅRJÄNG</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21443-2022</t>
        </is>
      </c>
      <c r="B774" t="inlineStr">
        <is>
          <t>avverkningsanmälan</t>
        </is>
      </c>
      <c r="C774" t="inlineStr">
        <is>
          <t>Föryngringsavverkning</t>
        </is>
      </c>
      <c r="D774" s="1" t="n">
        <v>44706</v>
      </c>
      <c r="E774" s="1" t="n">
        <v>46220</v>
      </c>
      <c r="F774" t="inlineStr">
        <is>
          <t>VÄRMLANDS LÄN</t>
        </is>
      </c>
      <c r="G774" t="inlineStr">
        <is>
          <t>ÅRJÄNG</t>
        </is>
      </c>
      <c r="I774" t="n">
        <v>3.5</v>
      </c>
      <c r="J774" t="n">
        <v>0</v>
      </c>
      <c r="K774" t="n">
        <v>0</v>
      </c>
      <c r="L774" t="n">
        <v>0</v>
      </c>
      <c r="M774" t="n">
        <v>0</v>
      </c>
      <c r="N774" t="n">
        <v>0</v>
      </c>
      <c r="O774" t="n">
        <v>0</v>
      </c>
      <c r="P774" t="n">
        <v>0</v>
      </c>
      <c r="Q774" t="n">
        <v>0</v>
      </c>
      <c r="R774" t="n">
        <v>0</v>
      </c>
      <c r="S774" t="n">
        <v>0</v>
      </c>
      <c r="T774" t="n">
        <v>0</v>
      </c>
      <c r="U774" s="2" t="inlineStr"/>
    </row>
    <row r="775" ht="15" customHeight="1">
      <c r="A775" t="inlineStr">
        <is>
          <t>A 43027-2021</t>
        </is>
      </c>
      <c r="B775" t="inlineStr">
        <is>
          <t>avverkningsanmälan</t>
        </is>
      </c>
      <c r="C775" t="inlineStr">
        <is>
          <t>Föryngringsavverkning</t>
        </is>
      </c>
      <c r="D775" s="1" t="n">
        <v>44431</v>
      </c>
      <c r="E775" s="1" t="n">
        <v>46220</v>
      </c>
      <c r="F775" t="inlineStr">
        <is>
          <t>VÄRMLANDS LÄN</t>
        </is>
      </c>
      <c r="G775" t="inlineStr">
        <is>
          <t>ÅRJÄNG</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43029-2021</t>
        </is>
      </c>
      <c r="B776" t="inlineStr">
        <is>
          <t>avverkningsanmälan</t>
        </is>
      </c>
      <c r="C776" t="inlineStr">
        <is>
          <t>Föryngringsavverkning</t>
        </is>
      </c>
      <c r="D776" s="1" t="n">
        <v>44431</v>
      </c>
      <c r="E776" s="1" t="n">
        <v>46220</v>
      </c>
      <c r="F776" t="inlineStr">
        <is>
          <t>VÄRMLANDS LÄN</t>
        </is>
      </c>
      <c r="G776" t="inlineStr">
        <is>
          <t>ÅRJÄNG</t>
        </is>
      </c>
      <c r="I776" t="n">
        <v>5.5</v>
      </c>
      <c r="J776" t="n">
        <v>0</v>
      </c>
      <c r="K776" t="n">
        <v>0</v>
      </c>
      <c r="L776" t="n">
        <v>0</v>
      </c>
      <c r="M776" t="n">
        <v>0</v>
      </c>
      <c r="N776" t="n">
        <v>0</v>
      </c>
      <c r="O776" t="n">
        <v>0</v>
      </c>
      <c r="P776" t="n">
        <v>0</v>
      </c>
      <c r="Q776" t="n">
        <v>0</v>
      </c>
      <c r="R776" t="n">
        <v>0</v>
      </c>
      <c r="S776" t="n">
        <v>0</v>
      </c>
      <c r="T776" t="n">
        <v>0</v>
      </c>
      <c r="U776" s="2" t="inlineStr"/>
    </row>
    <row r="777" ht="15" customHeight="1">
      <c r="A777" t="inlineStr">
        <is>
          <t>A 1912-2024</t>
        </is>
      </c>
      <c r="B777" t="inlineStr">
        <is>
          <t>avverkningsanmälan</t>
        </is>
      </c>
      <c r="C777" t="inlineStr">
        <is>
          <t>Föryngringsavverkning</t>
        </is>
      </c>
      <c r="D777" s="1" t="n">
        <v>45308</v>
      </c>
      <c r="E777" s="1" t="n">
        <v>46220</v>
      </c>
      <c r="F777" t="inlineStr">
        <is>
          <t>VÄRMLANDS LÄN</t>
        </is>
      </c>
      <c r="G777" t="inlineStr">
        <is>
          <t>ÅRJÄNG</t>
        </is>
      </c>
      <c r="I777" t="n">
        <v>0.9</v>
      </c>
      <c r="J777" t="n">
        <v>0</v>
      </c>
      <c r="K777" t="n">
        <v>0</v>
      </c>
      <c r="L777" t="n">
        <v>0</v>
      </c>
      <c r="M777" t="n">
        <v>0</v>
      </c>
      <c r="N777" t="n">
        <v>0</v>
      </c>
      <c r="O777" t="n">
        <v>0</v>
      </c>
      <c r="P777" t="n">
        <v>0</v>
      </c>
      <c r="Q777" t="n">
        <v>0</v>
      </c>
      <c r="R777" t="n">
        <v>0</v>
      </c>
      <c r="S777" t="n">
        <v>0</v>
      </c>
      <c r="T777" t="n">
        <v>0</v>
      </c>
      <c r="U777" s="2" t="inlineStr"/>
    </row>
    <row r="778" ht="15" customHeight="1">
      <c r="A778" t="inlineStr">
        <is>
          <t>A 53554-2023</t>
        </is>
      </c>
      <c r="B778" t="inlineStr">
        <is>
          <t>avverkningsanmälan</t>
        </is>
      </c>
      <c r="C778" t="inlineStr">
        <is>
          <t>Föryngringsavverkning</t>
        </is>
      </c>
      <c r="D778" s="1" t="n">
        <v>45230</v>
      </c>
      <c r="E778" s="1" t="n">
        <v>46220</v>
      </c>
      <c r="F778" t="inlineStr">
        <is>
          <t>VÄRMLANDS LÄN</t>
        </is>
      </c>
      <c r="G778" t="inlineStr">
        <is>
          <t>ÅRJÄNG</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8255-2025</t>
        </is>
      </c>
      <c r="B779" t="inlineStr">
        <is>
          <t>avverkningsanmälan</t>
        </is>
      </c>
      <c r="C779" t="inlineStr">
        <is>
          <t>Föryngringsavverkning</t>
        </is>
      </c>
      <c r="D779" s="1" t="n">
        <v>45708</v>
      </c>
      <c r="E779" s="1" t="n">
        <v>46220</v>
      </c>
      <c r="F779" t="inlineStr">
        <is>
          <t>VÄRMLANDS LÄN</t>
        </is>
      </c>
      <c r="G779" t="inlineStr">
        <is>
          <t>ÅRJÄNG</t>
        </is>
      </c>
      <c r="I779" t="n">
        <v>4</v>
      </c>
      <c r="J779" t="n">
        <v>0</v>
      </c>
      <c r="K779" t="n">
        <v>0</v>
      </c>
      <c r="L779" t="n">
        <v>0</v>
      </c>
      <c r="M779" t="n">
        <v>0</v>
      </c>
      <c r="N779" t="n">
        <v>0</v>
      </c>
      <c r="O779" t="n">
        <v>0</v>
      </c>
      <c r="P779" t="n">
        <v>0</v>
      </c>
      <c r="Q779" t="n">
        <v>0</v>
      </c>
      <c r="R779" t="n">
        <v>0</v>
      </c>
      <c r="S779" t="n">
        <v>0</v>
      </c>
      <c r="T779" t="n">
        <v>0</v>
      </c>
      <c r="U779" s="2" t="inlineStr"/>
    </row>
    <row r="780" ht="15" customHeight="1">
      <c r="A780" t="inlineStr">
        <is>
          <t>A 18256-2024</t>
        </is>
      </c>
      <c r="B780" t="inlineStr">
        <is>
          <t>avverkningsanmälan</t>
        </is>
      </c>
      <c r="C780" t="inlineStr">
        <is>
          <t>Föryngringsavverkning</t>
        </is>
      </c>
      <c r="D780" s="1" t="n">
        <v>45421</v>
      </c>
      <c r="E780" s="1" t="n">
        <v>46220</v>
      </c>
      <c r="F780" t="inlineStr">
        <is>
          <t>VÄRMLANDS LÄN</t>
        </is>
      </c>
      <c r="G780" t="inlineStr">
        <is>
          <t>ÅRJÄNG</t>
        </is>
      </c>
      <c r="H780" t="inlineStr">
        <is>
          <t>Bergvik skog väst AB</t>
        </is>
      </c>
      <c r="I780" t="n">
        <v>1.1</v>
      </c>
      <c r="J780" t="n">
        <v>0</v>
      </c>
      <c r="K780" t="n">
        <v>0</v>
      </c>
      <c r="L780" t="n">
        <v>0</v>
      </c>
      <c r="M780" t="n">
        <v>0</v>
      </c>
      <c r="N780" t="n">
        <v>0</v>
      </c>
      <c r="O780" t="n">
        <v>0</v>
      </c>
      <c r="P780" t="n">
        <v>0</v>
      </c>
      <c r="Q780" t="n">
        <v>0</v>
      </c>
      <c r="R780" t="n">
        <v>0</v>
      </c>
      <c r="S780" t="n">
        <v>0</v>
      </c>
      <c r="T780" t="n">
        <v>0</v>
      </c>
      <c r="U780" s="2" t="inlineStr"/>
    </row>
    <row r="781" ht="15" customHeight="1">
      <c r="A781" t="inlineStr">
        <is>
          <t>A 9489-2023</t>
        </is>
      </c>
      <c r="B781" t="inlineStr">
        <is>
          <t>avverkningsanmälan</t>
        </is>
      </c>
      <c r="C781" t="inlineStr">
        <is>
          <t>Föryngringsavverkning</t>
        </is>
      </c>
      <c r="D781" s="1" t="n">
        <v>44981</v>
      </c>
      <c r="E781" s="1" t="n">
        <v>46220</v>
      </c>
      <c r="F781" t="inlineStr">
        <is>
          <t>VÄRMLANDS LÄN</t>
        </is>
      </c>
      <c r="G781" t="inlineStr">
        <is>
          <t>ÅRJÄNG</t>
        </is>
      </c>
      <c r="I781" t="n">
        <v>0.8</v>
      </c>
      <c r="J781" t="n">
        <v>0</v>
      </c>
      <c r="K781" t="n">
        <v>0</v>
      </c>
      <c r="L781" t="n">
        <v>0</v>
      </c>
      <c r="M781" t="n">
        <v>0</v>
      </c>
      <c r="N781" t="n">
        <v>0</v>
      </c>
      <c r="O781" t="n">
        <v>0</v>
      </c>
      <c r="P781" t="n">
        <v>0</v>
      </c>
      <c r="Q781" t="n">
        <v>0</v>
      </c>
      <c r="R781" t="n">
        <v>0</v>
      </c>
      <c r="S781" t="n">
        <v>0</v>
      </c>
      <c r="T781" t="n">
        <v>0</v>
      </c>
      <c r="U781" s="2" t="inlineStr"/>
    </row>
    <row r="782" ht="15" customHeight="1">
      <c r="A782" t="inlineStr">
        <is>
          <t>A 56644-2024</t>
        </is>
      </c>
      <c r="B782" t="inlineStr">
        <is>
          <t>avverkningsanmälan</t>
        </is>
      </c>
      <c r="C782" t="inlineStr">
        <is>
          <t>Föryngringsavverkning</t>
        </is>
      </c>
      <c r="D782" s="1" t="n">
        <v>45625</v>
      </c>
      <c r="E782" s="1" t="n">
        <v>46220</v>
      </c>
      <c r="F782" t="inlineStr">
        <is>
          <t>VÄRMLANDS LÄN</t>
        </is>
      </c>
      <c r="G782" t="inlineStr">
        <is>
          <t>ÅRJÄNG</t>
        </is>
      </c>
      <c r="I782" t="n">
        <v>12.6</v>
      </c>
      <c r="J782" t="n">
        <v>0</v>
      </c>
      <c r="K782" t="n">
        <v>0</v>
      </c>
      <c r="L782" t="n">
        <v>0</v>
      </c>
      <c r="M782" t="n">
        <v>0</v>
      </c>
      <c r="N782" t="n">
        <v>0</v>
      </c>
      <c r="O782" t="n">
        <v>0</v>
      </c>
      <c r="P782" t="n">
        <v>0</v>
      </c>
      <c r="Q782" t="n">
        <v>0</v>
      </c>
      <c r="R782" t="n">
        <v>0</v>
      </c>
      <c r="S782" t="n">
        <v>0</v>
      </c>
      <c r="T782" t="n">
        <v>0</v>
      </c>
      <c r="U782" s="2" t="inlineStr"/>
    </row>
    <row r="783" ht="15" customHeight="1">
      <c r="A783" t="inlineStr">
        <is>
          <t>A 51895-2022</t>
        </is>
      </c>
      <c r="B783" t="inlineStr">
        <is>
          <t>avverkningsanmälan</t>
        </is>
      </c>
      <c r="C783" t="inlineStr">
        <is>
          <t>Föryngringsavverkning</t>
        </is>
      </c>
      <c r="D783" s="1" t="n">
        <v>44872</v>
      </c>
      <c r="E783" s="1" t="n">
        <v>46220</v>
      </c>
      <c r="F783" t="inlineStr">
        <is>
          <t>VÄRMLANDS LÄN</t>
        </is>
      </c>
      <c r="G783" t="inlineStr">
        <is>
          <t>ÅRJÄNG</t>
        </is>
      </c>
      <c r="H783" t="inlineStr">
        <is>
          <t>Kyrkan</t>
        </is>
      </c>
      <c r="I783" t="n">
        <v>3.1</v>
      </c>
      <c r="J783" t="n">
        <v>0</v>
      </c>
      <c r="K783" t="n">
        <v>0</v>
      </c>
      <c r="L783" t="n">
        <v>0</v>
      </c>
      <c r="M783" t="n">
        <v>0</v>
      </c>
      <c r="N783" t="n">
        <v>0</v>
      </c>
      <c r="O783" t="n">
        <v>0</v>
      </c>
      <c r="P783" t="n">
        <v>0</v>
      </c>
      <c r="Q783" t="n">
        <v>0</v>
      </c>
      <c r="R783" t="n">
        <v>0</v>
      </c>
      <c r="S783" t="n">
        <v>0</v>
      </c>
      <c r="T783" t="n">
        <v>0</v>
      </c>
      <c r="U783" s="2" t="inlineStr"/>
    </row>
    <row r="784" ht="15" customHeight="1">
      <c r="A784" t="inlineStr">
        <is>
          <t>A 56342-2024</t>
        </is>
      </c>
      <c r="B784" t="inlineStr">
        <is>
          <t>avverkningsanmälan</t>
        </is>
      </c>
      <c r="C784" t="inlineStr">
        <is>
          <t>Föryngringsavverkning</t>
        </is>
      </c>
      <c r="D784" s="1" t="n">
        <v>45624</v>
      </c>
      <c r="E784" s="1" t="n">
        <v>46220</v>
      </c>
      <c r="F784" t="inlineStr">
        <is>
          <t>VÄRMLANDS LÄN</t>
        </is>
      </c>
      <c r="G784" t="inlineStr">
        <is>
          <t>ÅRJÄNG</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56347-2024</t>
        </is>
      </c>
      <c r="B785" t="inlineStr">
        <is>
          <t>avverkningsanmälan</t>
        </is>
      </c>
      <c r="C785" t="inlineStr">
        <is>
          <t>Föryngringsavverkning</t>
        </is>
      </c>
      <c r="D785" s="1" t="n">
        <v>45624</v>
      </c>
      <c r="E785" s="1" t="n">
        <v>46220</v>
      </c>
      <c r="F785" t="inlineStr">
        <is>
          <t>VÄRMLANDS LÄN</t>
        </is>
      </c>
      <c r="G785" t="inlineStr">
        <is>
          <t>ÅRJÄNG</t>
        </is>
      </c>
      <c r="I785" t="n">
        <v>4.7</v>
      </c>
      <c r="J785" t="n">
        <v>0</v>
      </c>
      <c r="K785" t="n">
        <v>0</v>
      </c>
      <c r="L785" t="n">
        <v>0</v>
      </c>
      <c r="M785" t="n">
        <v>0</v>
      </c>
      <c r="N785" t="n">
        <v>0</v>
      </c>
      <c r="O785" t="n">
        <v>0</v>
      </c>
      <c r="P785" t="n">
        <v>0</v>
      </c>
      <c r="Q785" t="n">
        <v>0</v>
      </c>
      <c r="R785" t="n">
        <v>0</v>
      </c>
      <c r="S785" t="n">
        <v>0</v>
      </c>
      <c r="T785" t="n">
        <v>0</v>
      </c>
      <c r="U785" s="2" t="inlineStr"/>
    </row>
    <row r="786" ht="15" customHeight="1">
      <c r="A786" t="inlineStr">
        <is>
          <t>A 18201-2026</t>
        </is>
      </c>
      <c r="B786" t="inlineStr">
        <is>
          <t>avverkningsanmälan</t>
        </is>
      </c>
      <c r="C786" t="inlineStr">
        <is>
          <t>Föryngringsavverkning</t>
        </is>
      </c>
      <c r="D786" s="1" t="n">
        <v>46125</v>
      </c>
      <c r="E786" s="1" t="n">
        <v>46220</v>
      </c>
      <c r="F786" t="inlineStr">
        <is>
          <t>VÄRMLANDS LÄN</t>
        </is>
      </c>
      <c r="G786" t="inlineStr">
        <is>
          <t>ÅRJÄNG</t>
        </is>
      </c>
      <c r="I786" t="n">
        <v>3.7</v>
      </c>
      <c r="J786" t="n">
        <v>0</v>
      </c>
      <c r="K786" t="n">
        <v>0</v>
      </c>
      <c r="L786" t="n">
        <v>0</v>
      </c>
      <c r="M786" t="n">
        <v>0</v>
      </c>
      <c r="N786" t="n">
        <v>0</v>
      </c>
      <c r="O786" t="n">
        <v>0</v>
      </c>
      <c r="P786" t="n">
        <v>0</v>
      </c>
      <c r="Q786" t="n">
        <v>0</v>
      </c>
      <c r="R786" t="n">
        <v>0</v>
      </c>
      <c r="S786" t="n">
        <v>0</v>
      </c>
      <c r="T786" t="n">
        <v>0</v>
      </c>
      <c r="U786" s="2" t="inlineStr"/>
    </row>
    <row r="787" ht="15" customHeight="1">
      <c r="A787" t="inlineStr">
        <is>
          <t>A 18204-2026</t>
        </is>
      </c>
      <c r="B787" t="inlineStr">
        <is>
          <t>avverkningsanmälan</t>
        </is>
      </c>
      <c r="C787" t="inlineStr">
        <is>
          <t>Föryngringsavverkning</t>
        </is>
      </c>
      <c r="D787" s="1" t="n">
        <v>46125</v>
      </c>
      <c r="E787" s="1" t="n">
        <v>46220</v>
      </c>
      <c r="F787" t="inlineStr">
        <is>
          <t>VÄRMLANDS LÄN</t>
        </is>
      </c>
      <c r="G787" t="inlineStr">
        <is>
          <t>ÅRJÄNG</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43040-2023</t>
        </is>
      </c>
      <c r="B788" t="inlineStr">
        <is>
          <t>avverkningsanmälan</t>
        </is>
      </c>
      <c r="C788" t="inlineStr">
        <is>
          <t>Föryngringsavverkning</t>
        </is>
      </c>
      <c r="D788" s="1" t="n">
        <v>45182</v>
      </c>
      <c r="E788" s="1" t="n">
        <v>46220</v>
      </c>
      <c r="F788" t="inlineStr">
        <is>
          <t>VÄRMLANDS LÄN</t>
        </is>
      </c>
      <c r="G788" t="inlineStr">
        <is>
          <t>ÅRJÄNG</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13160-2022</t>
        </is>
      </c>
      <c r="B789" t="inlineStr">
        <is>
          <t>avverkningsanmälan</t>
        </is>
      </c>
      <c r="C789" t="inlineStr">
        <is>
          <t>Föryngringsavverkning</t>
        </is>
      </c>
      <c r="D789" s="1" t="n">
        <v>44644</v>
      </c>
      <c r="E789" s="1" t="n">
        <v>46220</v>
      </c>
      <c r="F789" t="inlineStr">
        <is>
          <t>VÄRMLANDS LÄN</t>
        </is>
      </c>
      <c r="G789" t="inlineStr">
        <is>
          <t>ÅRJÄNG</t>
        </is>
      </c>
      <c r="I789" t="n">
        <v>1.2</v>
      </c>
      <c r="J789" t="n">
        <v>0</v>
      </c>
      <c r="K789" t="n">
        <v>0</v>
      </c>
      <c r="L789" t="n">
        <v>0</v>
      </c>
      <c r="M789" t="n">
        <v>0</v>
      </c>
      <c r="N789" t="n">
        <v>0</v>
      </c>
      <c r="O789" t="n">
        <v>0</v>
      </c>
      <c r="P789" t="n">
        <v>0</v>
      </c>
      <c r="Q789" t="n">
        <v>0</v>
      </c>
      <c r="R789" t="n">
        <v>0</v>
      </c>
      <c r="S789" t="n">
        <v>0</v>
      </c>
      <c r="T789" t="n">
        <v>0</v>
      </c>
      <c r="U789" s="2" t="inlineStr"/>
    </row>
    <row r="790" ht="15" customHeight="1">
      <c r="A790" t="inlineStr">
        <is>
          <t>A 18200-2026</t>
        </is>
      </c>
      <c r="B790" t="inlineStr">
        <is>
          <t>avverkningsanmälan</t>
        </is>
      </c>
      <c r="C790" t="inlineStr">
        <is>
          <t>Föryngringsavverkning</t>
        </is>
      </c>
      <c r="D790" s="1" t="n">
        <v>46125</v>
      </c>
      <c r="E790" s="1" t="n">
        <v>46220</v>
      </c>
      <c r="F790" t="inlineStr">
        <is>
          <t>VÄRMLANDS LÄN</t>
        </is>
      </c>
      <c r="G790" t="inlineStr">
        <is>
          <t>ÅRJÄNG</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18199-2026</t>
        </is>
      </c>
      <c r="B791" t="inlineStr">
        <is>
          <t>avverkningsanmälan</t>
        </is>
      </c>
      <c r="C791" t="inlineStr">
        <is>
          <t>Föryngringsavverkning</t>
        </is>
      </c>
      <c r="D791" s="1" t="n">
        <v>46125</v>
      </c>
      <c r="E791" s="1" t="n">
        <v>46220</v>
      </c>
      <c r="F791" t="inlineStr">
        <is>
          <t>VÄRMLANDS LÄN</t>
        </is>
      </c>
      <c r="G791" t="inlineStr">
        <is>
          <t>ÅRJÄNG</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18202-2026</t>
        </is>
      </c>
      <c r="B792" t="inlineStr">
        <is>
          <t>avverkningsanmälan</t>
        </is>
      </c>
      <c r="C792" t="inlineStr">
        <is>
          <t>Föryngringsavverkning</t>
        </is>
      </c>
      <c r="D792" s="1" t="n">
        <v>46125</v>
      </c>
      <c r="E792" s="1" t="n">
        <v>46220</v>
      </c>
      <c r="F792" t="inlineStr">
        <is>
          <t>VÄRMLANDS LÄN</t>
        </is>
      </c>
      <c r="G792" t="inlineStr">
        <is>
          <t>ÅRJÄNG</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8601-2022</t>
        </is>
      </c>
      <c r="B793" t="inlineStr">
        <is>
          <t>avverkningsanmälan</t>
        </is>
      </c>
      <c r="C793" t="inlineStr">
        <is>
          <t>Föryngringsavverkning</t>
        </is>
      </c>
      <c r="D793" s="1" t="n">
        <v>44613</v>
      </c>
      <c r="E793" s="1" t="n">
        <v>46220</v>
      </c>
      <c r="F793" t="inlineStr">
        <is>
          <t>VÄRMLANDS LÄN</t>
        </is>
      </c>
      <c r="G793" t="inlineStr">
        <is>
          <t>ÅRJÄNG</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18873-2026</t>
        </is>
      </c>
      <c r="B794" t="inlineStr">
        <is>
          <t>avverkningsanmälan</t>
        </is>
      </c>
      <c r="C794" t="inlineStr">
        <is>
          <t>Föryngringsavverkning</t>
        </is>
      </c>
      <c r="D794" s="1" t="n">
        <v>46127</v>
      </c>
      <c r="E794" s="1" t="n">
        <v>46220</v>
      </c>
      <c r="F794" t="inlineStr">
        <is>
          <t>VÄRMLANDS LÄN</t>
        </is>
      </c>
      <c r="G794" t="inlineStr">
        <is>
          <t>ÅRJÄNG</t>
        </is>
      </c>
      <c r="I794" t="n">
        <v>4.4</v>
      </c>
      <c r="J794" t="n">
        <v>0</v>
      </c>
      <c r="K794" t="n">
        <v>0</v>
      </c>
      <c r="L794" t="n">
        <v>0</v>
      </c>
      <c r="M794" t="n">
        <v>0</v>
      </c>
      <c r="N794" t="n">
        <v>0</v>
      </c>
      <c r="O794" t="n">
        <v>0</v>
      </c>
      <c r="P794" t="n">
        <v>0</v>
      </c>
      <c r="Q794" t="n">
        <v>0</v>
      </c>
      <c r="R794" t="n">
        <v>0</v>
      </c>
      <c r="S794" t="n">
        <v>0</v>
      </c>
      <c r="T794" t="n">
        <v>0</v>
      </c>
      <c r="U794" s="2" t="inlineStr"/>
    </row>
    <row r="795" ht="15" customHeight="1">
      <c r="A795" t="inlineStr">
        <is>
          <t>A 15546-2025</t>
        </is>
      </c>
      <c r="B795" t="inlineStr">
        <is>
          <t>avverkningsanmälan</t>
        </is>
      </c>
      <c r="C795" t="inlineStr">
        <is>
          <t>Föryngringsavverkning</t>
        </is>
      </c>
      <c r="D795" s="1" t="n">
        <v>45747</v>
      </c>
      <c r="E795" s="1" t="n">
        <v>46220</v>
      </c>
      <c r="F795" t="inlineStr">
        <is>
          <t>VÄRMLANDS LÄN</t>
        </is>
      </c>
      <c r="G795" t="inlineStr">
        <is>
          <t>ÅRJÄNG</t>
        </is>
      </c>
      <c r="I795" t="n">
        <v>2.2</v>
      </c>
      <c r="J795" t="n">
        <v>0</v>
      </c>
      <c r="K795" t="n">
        <v>0</v>
      </c>
      <c r="L795" t="n">
        <v>0</v>
      </c>
      <c r="M795" t="n">
        <v>0</v>
      </c>
      <c r="N795" t="n">
        <v>0</v>
      </c>
      <c r="O795" t="n">
        <v>0</v>
      </c>
      <c r="P795" t="n">
        <v>0</v>
      </c>
      <c r="Q795" t="n">
        <v>0</v>
      </c>
      <c r="R795" t="n">
        <v>0</v>
      </c>
      <c r="S795" t="n">
        <v>0</v>
      </c>
      <c r="T795" t="n">
        <v>0</v>
      </c>
      <c r="U795" s="2" t="inlineStr"/>
    </row>
    <row r="796" ht="15" customHeight="1">
      <c r="A796" t="inlineStr">
        <is>
          <t>A 19368-2026</t>
        </is>
      </c>
      <c r="B796" t="inlineStr">
        <is>
          <t>avverkningsanmälan</t>
        </is>
      </c>
      <c r="C796" t="inlineStr">
        <is>
          <t>Föryngringsavverkning</t>
        </is>
      </c>
      <c r="D796" s="1" t="n">
        <v>46129</v>
      </c>
      <c r="E796" s="1" t="n">
        <v>46220</v>
      </c>
      <c r="F796" t="inlineStr">
        <is>
          <t>VÄRMLANDS LÄN</t>
        </is>
      </c>
      <c r="G796" t="inlineStr">
        <is>
          <t>ÅRJÄNG</t>
        </is>
      </c>
      <c r="I796" t="n">
        <v>3.6</v>
      </c>
      <c r="J796" t="n">
        <v>0</v>
      </c>
      <c r="K796" t="n">
        <v>0</v>
      </c>
      <c r="L796" t="n">
        <v>0</v>
      </c>
      <c r="M796" t="n">
        <v>0</v>
      </c>
      <c r="N796" t="n">
        <v>0</v>
      </c>
      <c r="O796" t="n">
        <v>0</v>
      </c>
      <c r="P796" t="n">
        <v>0</v>
      </c>
      <c r="Q796" t="n">
        <v>0</v>
      </c>
      <c r="R796" t="n">
        <v>0</v>
      </c>
      <c r="S796" t="n">
        <v>0</v>
      </c>
      <c r="T796" t="n">
        <v>0</v>
      </c>
      <c r="U796" s="2" t="inlineStr"/>
    </row>
    <row r="797" ht="15" customHeight="1">
      <c r="A797" t="inlineStr">
        <is>
          <t>A 18868-2026</t>
        </is>
      </c>
      <c r="B797" t="inlineStr">
        <is>
          <t>avverkningsanmälan</t>
        </is>
      </c>
      <c r="C797" t="inlineStr">
        <is>
          <t>Föryngringsavverkning</t>
        </is>
      </c>
      <c r="D797" s="1" t="n">
        <v>46127</v>
      </c>
      <c r="E797" s="1" t="n">
        <v>46220</v>
      </c>
      <c r="F797" t="inlineStr">
        <is>
          <t>VÄRMLANDS LÄN</t>
        </is>
      </c>
      <c r="G797" t="inlineStr">
        <is>
          <t>ÅRJÄNG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18740-2026</t>
        </is>
      </c>
      <c r="B798" t="inlineStr">
        <is>
          <t>avverkningsanmälan</t>
        </is>
      </c>
      <c r="C798" t="inlineStr">
        <is>
          <t>Föryngringsavverkning</t>
        </is>
      </c>
      <c r="D798" s="1" t="n">
        <v>46128</v>
      </c>
      <c r="E798" s="1" t="n">
        <v>46220</v>
      </c>
      <c r="F798" t="inlineStr">
        <is>
          <t>VÄRMLANDS LÄN</t>
        </is>
      </c>
      <c r="G798" t="inlineStr">
        <is>
          <t>ÅRJÄNG</t>
        </is>
      </c>
      <c r="I798" t="n">
        <v>0.8</v>
      </c>
      <c r="J798" t="n">
        <v>0</v>
      </c>
      <c r="K798" t="n">
        <v>0</v>
      </c>
      <c r="L798" t="n">
        <v>0</v>
      </c>
      <c r="M798" t="n">
        <v>0</v>
      </c>
      <c r="N798" t="n">
        <v>0</v>
      </c>
      <c r="O798" t="n">
        <v>0</v>
      </c>
      <c r="P798" t="n">
        <v>0</v>
      </c>
      <c r="Q798" t="n">
        <v>0</v>
      </c>
      <c r="R798" t="n">
        <v>0</v>
      </c>
      <c r="S798" t="n">
        <v>0</v>
      </c>
      <c r="T798" t="n">
        <v>0</v>
      </c>
      <c r="U798" s="2" t="inlineStr"/>
    </row>
    <row r="799" ht="15" customHeight="1">
      <c r="A799" t="inlineStr">
        <is>
          <t>A 19364-2026</t>
        </is>
      </c>
      <c r="B799" t="inlineStr">
        <is>
          <t>avverkningsanmälan</t>
        </is>
      </c>
      <c r="C799" t="inlineStr">
        <is>
          <t>Föryngringsavverkning</t>
        </is>
      </c>
      <c r="D799" s="1" t="n">
        <v>46129</v>
      </c>
      <c r="E799" s="1" t="n">
        <v>46220</v>
      </c>
      <c r="F799" t="inlineStr">
        <is>
          <t>VÄRMLANDS LÄN</t>
        </is>
      </c>
      <c r="G799" t="inlineStr">
        <is>
          <t>ÅRJÄNG</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19742-2026</t>
        </is>
      </c>
      <c r="B800" t="inlineStr">
        <is>
          <t>avverkningsanmälan</t>
        </is>
      </c>
      <c r="C800" t="inlineStr">
        <is>
          <t>Avverkning för annat ändamål</t>
        </is>
      </c>
      <c r="D800" s="1" t="n">
        <v>46133</v>
      </c>
      <c r="E800" s="1" t="n">
        <v>46220</v>
      </c>
      <c r="F800" t="inlineStr">
        <is>
          <t>VÄRMLANDS LÄN</t>
        </is>
      </c>
      <c r="G800" t="inlineStr">
        <is>
          <t>ÅRJÄNG</t>
        </is>
      </c>
      <c r="I800" t="n">
        <v>1.9</v>
      </c>
      <c r="J800" t="n">
        <v>0</v>
      </c>
      <c r="K800" t="n">
        <v>0</v>
      </c>
      <c r="L800" t="n">
        <v>0</v>
      </c>
      <c r="M800" t="n">
        <v>0</v>
      </c>
      <c r="N800" t="n">
        <v>0</v>
      </c>
      <c r="O800" t="n">
        <v>0</v>
      </c>
      <c r="P800" t="n">
        <v>0</v>
      </c>
      <c r="Q800" t="n">
        <v>0</v>
      </c>
      <c r="R800" t="n">
        <v>0</v>
      </c>
      <c r="S800" t="n">
        <v>0</v>
      </c>
      <c r="T800" t="n">
        <v>0</v>
      </c>
      <c r="U800" s="2" t="inlineStr"/>
    </row>
    <row r="801" ht="15" customHeight="1">
      <c r="A801" t="inlineStr">
        <is>
          <t>A 56940-2024</t>
        </is>
      </c>
      <c r="B801" t="inlineStr">
        <is>
          <t>avverkningsanmälan</t>
        </is>
      </c>
      <c r="C801" t="inlineStr">
        <is>
          <t>Föryngringsavverkning</t>
        </is>
      </c>
      <c r="D801" s="1" t="n">
        <v>45628</v>
      </c>
      <c r="E801" s="1" t="n">
        <v>46220</v>
      </c>
      <c r="F801" t="inlineStr">
        <is>
          <t>VÄRMLANDS LÄN</t>
        </is>
      </c>
      <c r="G801" t="inlineStr">
        <is>
          <t>ÅRJÄNG</t>
        </is>
      </c>
      <c r="I801" t="n">
        <v>3.1</v>
      </c>
      <c r="J801" t="n">
        <v>0</v>
      </c>
      <c r="K801" t="n">
        <v>0</v>
      </c>
      <c r="L801" t="n">
        <v>0</v>
      </c>
      <c r="M801" t="n">
        <v>0</v>
      </c>
      <c r="N801" t="n">
        <v>0</v>
      </c>
      <c r="O801" t="n">
        <v>0</v>
      </c>
      <c r="P801" t="n">
        <v>0</v>
      </c>
      <c r="Q801" t="n">
        <v>0</v>
      </c>
      <c r="R801" t="n">
        <v>0</v>
      </c>
      <c r="S801" t="n">
        <v>0</v>
      </c>
      <c r="T801" t="n">
        <v>0</v>
      </c>
      <c r="U801" s="2" t="inlineStr"/>
    </row>
    <row r="802" ht="15" customHeight="1">
      <c r="A802" t="inlineStr">
        <is>
          <t>A 50301-2024</t>
        </is>
      </c>
      <c r="B802" t="inlineStr">
        <is>
          <t>avverkningsanmälan</t>
        </is>
      </c>
      <c r="C802" t="inlineStr">
        <is>
          <t>Föryngringsavverkning</t>
        </is>
      </c>
      <c r="D802" s="1" t="n">
        <v>45600</v>
      </c>
      <c r="E802" s="1" t="n">
        <v>46220</v>
      </c>
      <c r="F802" t="inlineStr">
        <is>
          <t>VÄRMLANDS LÄN</t>
        </is>
      </c>
      <c r="G802" t="inlineStr">
        <is>
          <t>ÅRJÄNG</t>
        </is>
      </c>
      <c r="I802" t="n">
        <v>0.5</v>
      </c>
      <c r="J802" t="n">
        <v>0</v>
      </c>
      <c r="K802" t="n">
        <v>0</v>
      </c>
      <c r="L802" t="n">
        <v>0</v>
      </c>
      <c r="M802" t="n">
        <v>0</v>
      </c>
      <c r="N802" t="n">
        <v>0</v>
      </c>
      <c r="O802" t="n">
        <v>0</v>
      </c>
      <c r="P802" t="n">
        <v>0</v>
      </c>
      <c r="Q802" t="n">
        <v>0</v>
      </c>
      <c r="R802" t="n">
        <v>0</v>
      </c>
      <c r="S802" t="n">
        <v>0</v>
      </c>
      <c r="T802" t="n">
        <v>0</v>
      </c>
      <c r="U802" s="2" t="inlineStr"/>
    </row>
    <row r="803" ht="15" customHeight="1">
      <c r="A803" t="inlineStr">
        <is>
          <t>A 12006-2023</t>
        </is>
      </c>
      <c r="B803" t="inlineStr">
        <is>
          <t>avverkningsanmälan</t>
        </is>
      </c>
      <c r="C803" t="inlineStr">
        <is>
          <t>Föryngringsavverkning</t>
        </is>
      </c>
      <c r="D803" s="1" t="n">
        <v>44995</v>
      </c>
      <c r="E803" s="1" t="n">
        <v>46220</v>
      </c>
      <c r="F803" t="inlineStr">
        <is>
          <t>VÄRMLANDS LÄN</t>
        </is>
      </c>
      <c r="G803" t="inlineStr">
        <is>
          <t>ÅRJÄNG</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19242-2026</t>
        </is>
      </c>
      <c r="B804" t="inlineStr">
        <is>
          <t>avverkningsanmälan</t>
        </is>
      </c>
      <c r="C804" t="inlineStr">
        <is>
          <t>Föryngringsavverkning</t>
        </is>
      </c>
      <c r="D804" s="1" t="n">
        <v>46132</v>
      </c>
      <c r="E804" s="1" t="n">
        <v>46220</v>
      </c>
      <c r="F804" t="inlineStr">
        <is>
          <t>VÄRMLANDS LÄN</t>
        </is>
      </c>
      <c r="G804" t="inlineStr">
        <is>
          <t>ÅRJÄNG</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A 16519-2025</t>
        </is>
      </c>
      <c r="B805" t="inlineStr">
        <is>
          <t>avverkningsanmälan</t>
        </is>
      </c>
      <c r="C805" t="inlineStr">
        <is>
          <t>Föryngringsavverkning</t>
        </is>
      </c>
      <c r="D805" s="1" t="n">
        <v>45751</v>
      </c>
      <c r="E805" s="1" t="n">
        <v>46220</v>
      </c>
      <c r="F805" t="inlineStr">
        <is>
          <t>VÄRMLANDS LÄN</t>
        </is>
      </c>
      <c r="G805" t="inlineStr">
        <is>
          <t>ÅRJÄNG</t>
        </is>
      </c>
      <c r="I805" t="n">
        <v>6.3</v>
      </c>
      <c r="J805" t="n">
        <v>0</v>
      </c>
      <c r="K805" t="n">
        <v>0</v>
      </c>
      <c r="L805" t="n">
        <v>0</v>
      </c>
      <c r="M805" t="n">
        <v>0</v>
      </c>
      <c r="N805" t="n">
        <v>0</v>
      </c>
      <c r="O805" t="n">
        <v>0</v>
      </c>
      <c r="P805" t="n">
        <v>0</v>
      </c>
      <c r="Q805" t="n">
        <v>0</v>
      </c>
      <c r="R805" t="n">
        <v>0</v>
      </c>
      <c r="S805" t="n">
        <v>0</v>
      </c>
      <c r="T805" t="n">
        <v>0</v>
      </c>
      <c r="U805" s="2" t="inlineStr"/>
    </row>
    <row r="806" ht="15" customHeight="1">
      <c r="A806" t="inlineStr">
        <is>
          <t>A 10648-2023</t>
        </is>
      </c>
      <c r="B806" t="inlineStr">
        <is>
          <t>avverkningsanmälan</t>
        </is>
      </c>
      <c r="C806" t="inlineStr">
        <is>
          <t>Föryngringsavverkning</t>
        </is>
      </c>
      <c r="D806" s="1" t="n">
        <v>44984</v>
      </c>
      <c r="E806" s="1" t="n">
        <v>46220</v>
      </c>
      <c r="F806" t="inlineStr">
        <is>
          <t>VÄRMLANDS LÄN</t>
        </is>
      </c>
      <c r="G806" t="inlineStr">
        <is>
          <t>ÅRJÄNG</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60191-2023</t>
        </is>
      </c>
      <c r="B807" t="inlineStr">
        <is>
          <t>avverkningsanmälan</t>
        </is>
      </c>
      <c r="C807" t="inlineStr">
        <is>
          <t>Föryngringsavverkning</t>
        </is>
      </c>
      <c r="D807" s="1" t="n">
        <v>45257</v>
      </c>
      <c r="E807" s="1" t="n">
        <v>46220</v>
      </c>
      <c r="F807" t="inlineStr">
        <is>
          <t>VÄRMLANDS LÄN</t>
        </is>
      </c>
      <c r="G807" t="inlineStr">
        <is>
          <t>ÅRJÄNG</t>
        </is>
      </c>
      <c r="I807" t="n">
        <v>7.6</v>
      </c>
      <c r="J807" t="n">
        <v>0</v>
      </c>
      <c r="K807" t="n">
        <v>0</v>
      </c>
      <c r="L807" t="n">
        <v>0</v>
      </c>
      <c r="M807" t="n">
        <v>0</v>
      </c>
      <c r="N807" t="n">
        <v>0</v>
      </c>
      <c r="O807" t="n">
        <v>0</v>
      </c>
      <c r="P807" t="n">
        <v>0</v>
      </c>
      <c r="Q807" t="n">
        <v>0</v>
      </c>
      <c r="R807" t="n">
        <v>0</v>
      </c>
      <c r="S807" t="n">
        <v>0</v>
      </c>
      <c r="T807" t="n">
        <v>0</v>
      </c>
      <c r="U807" s="2" t="inlineStr"/>
    </row>
    <row r="808" ht="15" customHeight="1">
      <c r="A808" t="inlineStr">
        <is>
          <t>A 1602-2025</t>
        </is>
      </c>
      <c r="B808" t="inlineStr">
        <is>
          <t>avverkningsanmälan</t>
        </is>
      </c>
      <c r="C808" t="inlineStr">
        <is>
          <t>Föryngringsavverkning</t>
        </is>
      </c>
      <c r="D808" s="1" t="n">
        <v>45670</v>
      </c>
      <c r="E808" s="1" t="n">
        <v>46220</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18389-2022</t>
        </is>
      </c>
      <c r="B809" t="inlineStr">
        <is>
          <t>avverkningsanmälan</t>
        </is>
      </c>
      <c r="C809" t="inlineStr">
        <is>
          <t>Föryngringsavverkning</t>
        </is>
      </c>
      <c r="D809" s="1" t="n">
        <v>44685</v>
      </c>
      <c r="E809" s="1" t="n">
        <v>46220</v>
      </c>
      <c r="F809" t="inlineStr">
        <is>
          <t>VÄRMLANDS LÄN</t>
        </is>
      </c>
      <c r="G809" t="inlineStr">
        <is>
          <t>ÅRJÄNG</t>
        </is>
      </c>
      <c r="I809" t="n">
        <v>11.1</v>
      </c>
      <c r="J809" t="n">
        <v>0</v>
      </c>
      <c r="K809" t="n">
        <v>0</v>
      </c>
      <c r="L809" t="n">
        <v>0</v>
      </c>
      <c r="M809" t="n">
        <v>0</v>
      </c>
      <c r="N809" t="n">
        <v>0</v>
      </c>
      <c r="O809" t="n">
        <v>0</v>
      </c>
      <c r="P809" t="n">
        <v>0</v>
      </c>
      <c r="Q809" t="n">
        <v>0</v>
      </c>
      <c r="R809" t="n">
        <v>0</v>
      </c>
      <c r="S809" t="n">
        <v>0</v>
      </c>
      <c r="T809" t="n">
        <v>0</v>
      </c>
      <c r="U809" s="2" t="inlineStr"/>
    </row>
    <row r="810" ht="15" customHeight="1">
      <c r="A810" t="inlineStr">
        <is>
          <t>A 46096-2021</t>
        </is>
      </c>
      <c r="B810" t="inlineStr">
        <is>
          <t>avverkningsanmälan</t>
        </is>
      </c>
      <c r="C810" t="inlineStr">
        <is>
          <t>Föryngringsavverkning</t>
        </is>
      </c>
      <c r="D810" s="1" t="n">
        <v>44442</v>
      </c>
      <c r="E810" s="1" t="n">
        <v>46220</v>
      </c>
      <c r="F810" t="inlineStr">
        <is>
          <t>VÄRMLANDS LÄN</t>
        </is>
      </c>
      <c r="G810" t="inlineStr">
        <is>
          <t>ÅRJÄNG</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39434-2023</t>
        </is>
      </c>
      <c r="B811" t="inlineStr">
        <is>
          <t>avverkningsanmälan</t>
        </is>
      </c>
      <c r="C811" t="inlineStr">
        <is>
          <t>Föryngringsavverkning</t>
        </is>
      </c>
      <c r="D811" s="1" t="n">
        <v>45166</v>
      </c>
      <c r="E811" s="1" t="n">
        <v>46220</v>
      </c>
      <c r="F811" t="inlineStr">
        <is>
          <t>VÄRMLANDS LÄN</t>
        </is>
      </c>
      <c r="G811" t="inlineStr">
        <is>
          <t>ÅRJÄNG</t>
        </is>
      </c>
      <c r="I811" t="n">
        <v>0.3</v>
      </c>
      <c r="J811" t="n">
        <v>0</v>
      </c>
      <c r="K811" t="n">
        <v>0</v>
      </c>
      <c r="L811" t="n">
        <v>0</v>
      </c>
      <c r="M811" t="n">
        <v>0</v>
      </c>
      <c r="N811" t="n">
        <v>0</v>
      </c>
      <c r="O811" t="n">
        <v>0</v>
      </c>
      <c r="P811" t="n">
        <v>0</v>
      </c>
      <c r="Q811" t="n">
        <v>0</v>
      </c>
      <c r="R811" t="n">
        <v>0</v>
      </c>
      <c r="S811" t="n">
        <v>0</v>
      </c>
      <c r="T811" t="n">
        <v>0</v>
      </c>
      <c r="U811" s="2" t="inlineStr"/>
    </row>
    <row r="812" ht="15" customHeight="1">
      <c r="A812" t="inlineStr">
        <is>
          <t>A 37409-2025</t>
        </is>
      </c>
      <c r="B812" t="inlineStr">
        <is>
          <t>avverkningsanmälan</t>
        </is>
      </c>
      <c r="C812" t="inlineStr">
        <is>
          <t>Föryngringsavverkning</t>
        </is>
      </c>
      <c r="D812" s="1" t="n">
        <v>45877</v>
      </c>
      <c r="E812" s="1" t="n">
        <v>46220</v>
      </c>
      <c r="F812" t="inlineStr">
        <is>
          <t>VÄRMLANDS LÄN</t>
        </is>
      </c>
      <c r="G812" t="inlineStr">
        <is>
          <t>ÅRJÄNG</t>
        </is>
      </c>
      <c r="I812" t="n">
        <v>4.8</v>
      </c>
      <c r="J812" t="n">
        <v>0</v>
      </c>
      <c r="K812" t="n">
        <v>0</v>
      </c>
      <c r="L812" t="n">
        <v>0</v>
      </c>
      <c r="M812" t="n">
        <v>0</v>
      </c>
      <c r="N812" t="n">
        <v>0</v>
      </c>
      <c r="O812" t="n">
        <v>0</v>
      </c>
      <c r="P812" t="n">
        <v>0</v>
      </c>
      <c r="Q812" t="n">
        <v>0</v>
      </c>
      <c r="R812" t="n">
        <v>0</v>
      </c>
      <c r="S812" t="n">
        <v>0</v>
      </c>
      <c r="T812" t="n">
        <v>0</v>
      </c>
      <c r="U812" s="2" t="inlineStr"/>
    </row>
    <row r="813" ht="15" customHeight="1">
      <c r="A813" t="inlineStr">
        <is>
          <t>A 64095-2025</t>
        </is>
      </c>
      <c r="B813" t="inlineStr">
        <is>
          <t>avverkningsanmälan</t>
        </is>
      </c>
      <c r="C813" t="inlineStr">
        <is>
          <t>Föryngringsavverkning</t>
        </is>
      </c>
      <c r="D813" s="1" t="n">
        <v>46021</v>
      </c>
      <c r="E813" s="1" t="n">
        <v>46220</v>
      </c>
      <c r="F813" t="inlineStr">
        <is>
          <t>VÄRMLANDS LÄN</t>
        </is>
      </c>
      <c r="G813" t="inlineStr">
        <is>
          <t>ÅRJÄNG</t>
        </is>
      </c>
      <c r="I813" t="n">
        <v>3.2</v>
      </c>
      <c r="J813" t="n">
        <v>0</v>
      </c>
      <c r="K813" t="n">
        <v>0</v>
      </c>
      <c r="L813" t="n">
        <v>0</v>
      </c>
      <c r="M813" t="n">
        <v>0</v>
      </c>
      <c r="N813" t="n">
        <v>0</v>
      </c>
      <c r="O813" t="n">
        <v>0</v>
      </c>
      <c r="P813" t="n">
        <v>0</v>
      </c>
      <c r="Q813" t="n">
        <v>0</v>
      </c>
      <c r="R813" t="n">
        <v>0</v>
      </c>
      <c r="S813" t="n">
        <v>0</v>
      </c>
      <c r="T813" t="n">
        <v>0</v>
      </c>
      <c r="U813" s="2" t="inlineStr"/>
    </row>
    <row r="814" ht="15" customHeight="1">
      <c r="A814" t="inlineStr">
        <is>
          <t>A 55091-2023</t>
        </is>
      </c>
      <c r="B814" t="inlineStr">
        <is>
          <t>avverkningsanmälan</t>
        </is>
      </c>
      <c r="C814" t="inlineStr">
        <is>
          <t>Föryngringsavverkning</t>
        </is>
      </c>
      <c r="D814" s="1" t="n">
        <v>45237</v>
      </c>
      <c r="E814" s="1" t="n">
        <v>46220</v>
      </c>
      <c r="F814" t="inlineStr">
        <is>
          <t>VÄRMLANDS LÄN</t>
        </is>
      </c>
      <c r="G814" t="inlineStr">
        <is>
          <t>ÅRJÄNG</t>
        </is>
      </c>
      <c r="I814" t="n">
        <v>3.8</v>
      </c>
      <c r="J814" t="n">
        <v>0</v>
      </c>
      <c r="K814" t="n">
        <v>0</v>
      </c>
      <c r="L814" t="n">
        <v>0</v>
      </c>
      <c r="M814" t="n">
        <v>0</v>
      </c>
      <c r="N814" t="n">
        <v>0</v>
      </c>
      <c r="O814" t="n">
        <v>0</v>
      </c>
      <c r="P814" t="n">
        <v>0</v>
      </c>
      <c r="Q814" t="n">
        <v>0</v>
      </c>
      <c r="R814" t="n">
        <v>0</v>
      </c>
      <c r="S814" t="n">
        <v>0</v>
      </c>
      <c r="T814" t="n">
        <v>0</v>
      </c>
      <c r="U814" s="2" t="inlineStr"/>
    </row>
    <row r="815" ht="15" customHeight="1">
      <c r="A815" t="inlineStr">
        <is>
          <t>A 47623-2024</t>
        </is>
      </c>
      <c r="B815" t="inlineStr">
        <is>
          <t>avverkningsanmälan</t>
        </is>
      </c>
      <c r="C815" t="inlineStr">
        <is>
          <t>Föryngringsavverkning</t>
        </is>
      </c>
      <c r="D815" s="1" t="n">
        <v>45588</v>
      </c>
      <c r="E815" s="1" t="n">
        <v>46220</v>
      </c>
      <c r="F815" t="inlineStr">
        <is>
          <t>VÄRMLANDS LÄN</t>
        </is>
      </c>
      <c r="G815" t="inlineStr">
        <is>
          <t>ÅRJÄNG</t>
        </is>
      </c>
      <c r="H815" t="inlineStr">
        <is>
          <t>Kommuner</t>
        </is>
      </c>
      <c r="I815" t="n">
        <v>2.7</v>
      </c>
      <c r="J815" t="n">
        <v>0</v>
      </c>
      <c r="K815" t="n">
        <v>0</v>
      </c>
      <c r="L815" t="n">
        <v>0</v>
      </c>
      <c r="M815" t="n">
        <v>0</v>
      </c>
      <c r="N815" t="n">
        <v>0</v>
      </c>
      <c r="O815" t="n">
        <v>0</v>
      </c>
      <c r="P815" t="n">
        <v>0</v>
      </c>
      <c r="Q815" t="n">
        <v>0</v>
      </c>
      <c r="R815" t="n">
        <v>0</v>
      </c>
      <c r="S815" t="n">
        <v>0</v>
      </c>
      <c r="T815" t="n">
        <v>0</v>
      </c>
      <c r="U815" s="2" t="inlineStr"/>
    </row>
    <row r="816" ht="15" customHeight="1">
      <c r="A816" t="inlineStr">
        <is>
          <t>A 29082-2025</t>
        </is>
      </c>
      <c r="B816" t="inlineStr">
        <is>
          <t>avverkningsanmälan</t>
        </is>
      </c>
      <c r="C816" t="inlineStr">
        <is>
          <t>Föryngringsavverkning</t>
        </is>
      </c>
      <c r="D816" s="1" t="n">
        <v>45821</v>
      </c>
      <c r="E816" s="1" t="n">
        <v>46220</v>
      </c>
      <c r="F816" t="inlineStr">
        <is>
          <t>VÄRMLANDS LÄN</t>
        </is>
      </c>
      <c r="G816" t="inlineStr">
        <is>
          <t>ÅRJÄNG</t>
        </is>
      </c>
      <c r="I816" t="n">
        <v>1.8</v>
      </c>
      <c r="J816" t="n">
        <v>0</v>
      </c>
      <c r="K816" t="n">
        <v>0</v>
      </c>
      <c r="L816" t="n">
        <v>0</v>
      </c>
      <c r="M816" t="n">
        <v>0</v>
      </c>
      <c r="N816" t="n">
        <v>0</v>
      </c>
      <c r="O816" t="n">
        <v>0</v>
      </c>
      <c r="P816" t="n">
        <v>0</v>
      </c>
      <c r="Q816" t="n">
        <v>0</v>
      </c>
      <c r="R816" t="n">
        <v>0</v>
      </c>
      <c r="S816" t="n">
        <v>0</v>
      </c>
      <c r="T816" t="n">
        <v>0</v>
      </c>
      <c r="U816" s="2" t="inlineStr"/>
    </row>
    <row r="817" ht="15" customHeight="1">
      <c r="A817" t="inlineStr">
        <is>
          <t>A 14768-2024</t>
        </is>
      </c>
      <c r="B817" t="inlineStr">
        <is>
          <t>avverkningsanmälan</t>
        </is>
      </c>
      <c r="C817" t="inlineStr">
        <is>
          <t>Föryngringsavverkning</t>
        </is>
      </c>
      <c r="D817" s="1" t="n">
        <v>45397</v>
      </c>
      <c r="E817" s="1" t="n">
        <v>46220</v>
      </c>
      <c r="F817" t="inlineStr">
        <is>
          <t>VÄRMLANDS LÄN</t>
        </is>
      </c>
      <c r="G817" t="inlineStr">
        <is>
          <t>ÅRJÄNG</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56314-2024</t>
        </is>
      </c>
      <c r="B818" t="inlineStr">
        <is>
          <t>avverkningsanmälan</t>
        </is>
      </c>
      <c r="C818" t="inlineStr">
        <is>
          <t>Föryngringsavverkning</t>
        </is>
      </c>
      <c r="D818" s="1" t="n">
        <v>45624</v>
      </c>
      <c r="E818" s="1" t="n">
        <v>46220</v>
      </c>
      <c r="F818" t="inlineStr">
        <is>
          <t>VÄRMLANDS LÄN</t>
        </is>
      </c>
      <c r="G818" t="inlineStr">
        <is>
          <t>ÅRJÄNG</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56333-2024</t>
        </is>
      </c>
      <c r="B819" t="inlineStr">
        <is>
          <t>avverkningsanmälan</t>
        </is>
      </c>
      <c r="C819" t="inlineStr">
        <is>
          <t>Föryngringsavverkning</t>
        </is>
      </c>
      <c r="D819" s="1" t="n">
        <v>45624</v>
      </c>
      <c r="E819" s="1" t="n">
        <v>46220</v>
      </c>
      <c r="F819" t="inlineStr">
        <is>
          <t>VÄRMLANDS LÄN</t>
        </is>
      </c>
      <c r="G819" t="inlineStr">
        <is>
          <t>ÅRJÄNG</t>
        </is>
      </c>
      <c r="I819" t="n">
        <v>3.2</v>
      </c>
      <c r="J819" t="n">
        <v>0</v>
      </c>
      <c r="K819" t="n">
        <v>0</v>
      </c>
      <c r="L819" t="n">
        <v>0</v>
      </c>
      <c r="M819" t="n">
        <v>0</v>
      </c>
      <c r="N819" t="n">
        <v>0</v>
      </c>
      <c r="O819" t="n">
        <v>0</v>
      </c>
      <c r="P819" t="n">
        <v>0</v>
      </c>
      <c r="Q819" t="n">
        <v>0</v>
      </c>
      <c r="R819" t="n">
        <v>0</v>
      </c>
      <c r="S819" t="n">
        <v>0</v>
      </c>
      <c r="T819" t="n">
        <v>0</v>
      </c>
      <c r="U819" s="2" t="inlineStr"/>
    </row>
    <row r="820" ht="15" customHeight="1">
      <c r="A820" t="inlineStr">
        <is>
          <t>A 99-2025</t>
        </is>
      </c>
      <c r="B820" t="inlineStr">
        <is>
          <t>avverkningsanmälan</t>
        </is>
      </c>
      <c r="C820" t="inlineStr">
        <is>
          <t>Föryngringsavverkning</t>
        </is>
      </c>
      <c r="D820" s="1" t="n">
        <v>45649</v>
      </c>
      <c r="E820" s="1" t="n">
        <v>46220</v>
      </c>
      <c r="F820" t="inlineStr">
        <is>
          <t>VÄRMLANDS LÄN</t>
        </is>
      </c>
      <c r="G820" t="inlineStr">
        <is>
          <t>ÅRJÄNG</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59887-2023</t>
        </is>
      </c>
      <c r="B821" t="inlineStr">
        <is>
          <t>avverkningsanmälan</t>
        </is>
      </c>
      <c r="C821" t="inlineStr">
        <is>
          <t>Föryngringsavverkning</t>
        </is>
      </c>
      <c r="D821" s="1" t="n">
        <v>45257</v>
      </c>
      <c r="E821" s="1" t="n">
        <v>46220</v>
      </c>
      <c r="F821" t="inlineStr">
        <is>
          <t>VÄRMLANDS LÄN</t>
        </is>
      </c>
      <c r="G821" t="inlineStr">
        <is>
          <t>ÅRJÄNG</t>
        </is>
      </c>
      <c r="I821" t="n">
        <v>3.9</v>
      </c>
      <c r="J821" t="n">
        <v>0</v>
      </c>
      <c r="K821" t="n">
        <v>0</v>
      </c>
      <c r="L821" t="n">
        <v>0</v>
      </c>
      <c r="M821" t="n">
        <v>0</v>
      </c>
      <c r="N821" t="n">
        <v>0</v>
      </c>
      <c r="O821" t="n">
        <v>0</v>
      </c>
      <c r="P821" t="n">
        <v>0</v>
      </c>
      <c r="Q821" t="n">
        <v>0</v>
      </c>
      <c r="R821" t="n">
        <v>0</v>
      </c>
      <c r="S821" t="n">
        <v>0</v>
      </c>
      <c r="T821" t="n">
        <v>0</v>
      </c>
      <c r="U821" s="2" t="inlineStr"/>
    </row>
    <row r="822" ht="15" customHeight="1">
      <c r="A822" t="inlineStr">
        <is>
          <t>A 58014-2022</t>
        </is>
      </c>
      <c r="B822" t="inlineStr">
        <is>
          <t>avverkningsanmälan</t>
        </is>
      </c>
      <c r="C822" t="inlineStr">
        <is>
          <t>Föryngringsavverkning</t>
        </is>
      </c>
      <c r="D822" s="1" t="n">
        <v>44893</v>
      </c>
      <c r="E822" s="1" t="n">
        <v>46220</v>
      </c>
      <c r="F822" t="inlineStr">
        <is>
          <t>VÄRMLANDS LÄN</t>
        </is>
      </c>
      <c r="G822" t="inlineStr">
        <is>
          <t>ÅRJÄNG</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2222-2023</t>
        </is>
      </c>
      <c r="B823" t="inlineStr">
        <is>
          <t>avverkningsanmälan</t>
        </is>
      </c>
      <c r="C823" t="inlineStr">
        <is>
          <t>Föryngringsavverkning</t>
        </is>
      </c>
      <c r="D823" s="1" t="n">
        <v>44942</v>
      </c>
      <c r="E823" s="1" t="n">
        <v>46220</v>
      </c>
      <c r="F823" t="inlineStr">
        <is>
          <t>VÄRMLANDS LÄN</t>
        </is>
      </c>
      <c r="G823" t="inlineStr">
        <is>
          <t>ÅRJÄNG</t>
        </is>
      </c>
      <c r="I823" t="n">
        <v>5.7</v>
      </c>
      <c r="J823" t="n">
        <v>0</v>
      </c>
      <c r="K823" t="n">
        <v>0</v>
      </c>
      <c r="L823" t="n">
        <v>0</v>
      </c>
      <c r="M823" t="n">
        <v>0</v>
      </c>
      <c r="N823" t="n">
        <v>0</v>
      </c>
      <c r="O823" t="n">
        <v>0</v>
      </c>
      <c r="P823" t="n">
        <v>0</v>
      </c>
      <c r="Q823" t="n">
        <v>0</v>
      </c>
      <c r="R823" t="n">
        <v>0</v>
      </c>
      <c r="S823" t="n">
        <v>0</v>
      </c>
      <c r="T823" t="n">
        <v>0</v>
      </c>
      <c r="U823" s="2" t="inlineStr"/>
    </row>
    <row r="824" ht="15" customHeight="1">
      <c r="A824" t="inlineStr">
        <is>
          <t>A 48622-2022</t>
        </is>
      </c>
      <c r="B824" t="inlineStr">
        <is>
          <t>avverkningsanmälan</t>
        </is>
      </c>
      <c r="C824" t="inlineStr">
        <is>
          <t>Avverkning för att bevara och utveckla /försöksver</t>
        </is>
      </c>
      <c r="D824" s="1" t="n">
        <v>44859</v>
      </c>
      <c r="E824" s="1" t="n">
        <v>46220</v>
      </c>
      <c r="F824" t="inlineStr">
        <is>
          <t>VÄRMLANDS LÄN</t>
        </is>
      </c>
      <c r="G824" t="inlineStr">
        <is>
          <t>ÅRJÄNG</t>
        </is>
      </c>
      <c r="I824" t="n">
        <v>2.6</v>
      </c>
      <c r="J824" t="n">
        <v>0</v>
      </c>
      <c r="K824" t="n">
        <v>0</v>
      </c>
      <c r="L824" t="n">
        <v>0</v>
      </c>
      <c r="M824" t="n">
        <v>0</v>
      </c>
      <c r="N824" t="n">
        <v>0</v>
      </c>
      <c r="O824" t="n">
        <v>0</v>
      </c>
      <c r="P824" t="n">
        <v>0</v>
      </c>
      <c r="Q824" t="n">
        <v>0</v>
      </c>
      <c r="R824" t="n">
        <v>0</v>
      </c>
      <c r="S824" t="n">
        <v>0</v>
      </c>
      <c r="T824" t="n">
        <v>0</v>
      </c>
      <c r="U824" s="2" t="inlineStr"/>
    </row>
    <row r="825" ht="15" customHeight="1">
      <c r="A825" t="inlineStr">
        <is>
          <t>A 49728-2025</t>
        </is>
      </c>
      <c r="B825" t="inlineStr">
        <is>
          <t>avverkningsanmälan</t>
        </is>
      </c>
      <c r="C825" t="inlineStr">
        <is>
          <t>Föryngringsavverkning</t>
        </is>
      </c>
      <c r="D825" s="1" t="n">
        <v>45939</v>
      </c>
      <c r="E825" s="1" t="n">
        <v>46220</v>
      </c>
      <c r="F825" t="inlineStr">
        <is>
          <t>VÄRMLANDS LÄN</t>
        </is>
      </c>
      <c r="G825" t="inlineStr">
        <is>
          <t>ÅRJÄNG</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15718-2023</t>
        </is>
      </c>
      <c r="B826" t="inlineStr">
        <is>
          <t>avverkningsanmälan</t>
        </is>
      </c>
      <c r="C826" t="inlineStr">
        <is>
          <t>Föryngringsavverkning</t>
        </is>
      </c>
      <c r="D826" s="1" t="n">
        <v>45021</v>
      </c>
      <c r="E826" s="1" t="n">
        <v>46220</v>
      </c>
      <c r="F826" t="inlineStr">
        <is>
          <t>VÄRMLANDS LÄN</t>
        </is>
      </c>
      <c r="G826" t="inlineStr">
        <is>
          <t>ÅRJÄNG</t>
        </is>
      </c>
      <c r="I826" t="n">
        <v>2.9</v>
      </c>
      <c r="J826" t="n">
        <v>0</v>
      </c>
      <c r="K826" t="n">
        <v>0</v>
      </c>
      <c r="L826" t="n">
        <v>0</v>
      </c>
      <c r="M826" t="n">
        <v>0</v>
      </c>
      <c r="N826" t="n">
        <v>0</v>
      </c>
      <c r="O826" t="n">
        <v>0</v>
      </c>
      <c r="P826" t="n">
        <v>0</v>
      </c>
      <c r="Q826" t="n">
        <v>0</v>
      </c>
      <c r="R826" t="n">
        <v>0</v>
      </c>
      <c r="S826" t="n">
        <v>0</v>
      </c>
      <c r="T826" t="n">
        <v>0</v>
      </c>
      <c r="U826" s="2" t="inlineStr"/>
    </row>
    <row r="827" ht="15" customHeight="1">
      <c r="A827" t="inlineStr">
        <is>
          <t>A 34243-2025</t>
        </is>
      </c>
      <c r="B827" t="inlineStr">
        <is>
          <t>avverkningsanmälan</t>
        </is>
      </c>
      <c r="C827" t="inlineStr">
        <is>
          <t>Föryngringsavverkning</t>
        </is>
      </c>
      <c r="D827" s="1" t="n">
        <v>45845</v>
      </c>
      <c r="E827" s="1" t="n">
        <v>46220</v>
      </c>
      <c r="F827" t="inlineStr">
        <is>
          <t>VÄRMLANDS LÄN</t>
        </is>
      </c>
      <c r="G827" t="inlineStr">
        <is>
          <t>ÅRJÄNG</t>
        </is>
      </c>
      <c r="I827" t="n">
        <v>2.6</v>
      </c>
      <c r="J827" t="n">
        <v>0</v>
      </c>
      <c r="K827" t="n">
        <v>0</v>
      </c>
      <c r="L827" t="n">
        <v>0</v>
      </c>
      <c r="M827" t="n">
        <v>0</v>
      </c>
      <c r="N827" t="n">
        <v>0</v>
      </c>
      <c r="O827" t="n">
        <v>0</v>
      </c>
      <c r="P827" t="n">
        <v>0</v>
      </c>
      <c r="Q827" t="n">
        <v>0</v>
      </c>
      <c r="R827" t="n">
        <v>0</v>
      </c>
      <c r="S827" t="n">
        <v>0</v>
      </c>
      <c r="T827" t="n">
        <v>0</v>
      </c>
      <c r="U827" s="2" t="inlineStr"/>
    </row>
    <row r="828" ht="15" customHeight="1">
      <c r="A828" t="inlineStr">
        <is>
          <t>A 4668-2025</t>
        </is>
      </c>
      <c r="B828" t="inlineStr">
        <is>
          <t>avverkningsanmälan</t>
        </is>
      </c>
      <c r="C828" t="inlineStr">
        <is>
          <t>Föryngringsavverkning</t>
        </is>
      </c>
      <c r="D828" s="1" t="n">
        <v>45687</v>
      </c>
      <c r="E828" s="1" t="n">
        <v>46220</v>
      </c>
      <c r="F828" t="inlineStr">
        <is>
          <t>VÄRMLANDS LÄN</t>
        </is>
      </c>
      <c r="G828" t="inlineStr">
        <is>
          <t>ÅRJÄNG</t>
        </is>
      </c>
      <c r="I828" t="n">
        <v>8.5</v>
      </c>
      <c r="J828" t="n">
        <v>0</v>
      </c>
      <c r="K828" t="n">
        <v>0</v>
      </c>
      <c r="L828" t="n">
        <v>0</v>
      </c>
      <c r="M828" t="n">
        <v>0</v>
      </c>
      <c r="N828" t="n">
        <v>0</v>
      </c>
      <c r="O828" t="n">
        <v>0</v>
      </c>
      <c r="P828" t="n">
        <v>0</v>
      </c>
      <c r="Q828" t="n">
        <v>0</v>
      </c>
      <c r="R828" t="n">
        <v>0</v>
      </c>
      <c r="S828" t="n">
        <v>0</v>
      </c>
      <c r="T828" t="n">
        <v>0</v>
      </c>
      <c r="U828" s="2" t="inlineStr"/>
    </row>
    <row r="829" ht="15" customHeight="1">
      <c r="A829" t="inlineStr">
        <is>
          <t>A 434-2026</t>
        </is>
      </c>
      <c r="B829" t="inlineStr">
        <is>
          <t>avverkningsanmälan</t>
        </is>
      </c>
      <c r="C829" t="inlineStr">
        <is>
          <t>Föryngringsavverkning</t>
        </is>
      </c>
      <c r="D829" s="1" t="n">
        <v>46029</v>
      </c>
      <c r="E829" s="1" t="n">
        <v>46220</v>
      </c>
      <c r="F829" t="inlineStr">
        <is>
          <t>VÄRMLANDS LÄN</t>
        </is>
      </c>
      <c r="G829" t="inlineStr">
        <is>
          <t>ÅRJÄNG</t>
        </is>
      </c>
      <c r="I829" t="n">
        <v>6.2</v>
      </c>
      <c r="J829" t="n">
        <v>0</v>
      </c>
      <c r="K829" t="n">
        <v>0</v>
      </c>
      <c r="L829" t="n">
        <v>0</v>
      </c>
      <c r="M829" t="n">
        <v>0</v>
      </c>
      <c r="N829" t="n">
        <v>0</v>
      </c>
      <c r="O829" t="n">
        <v>0</v>
      </c>
      <c r="P829" t="n">
        <v>0</v>
      </c>
      <c r="Q829" t="n">
        <v>0</v>
      </c>
      <c r="R829" t="n">
        <v>0</v>
      </c>
      <c r="S829" t="n">
        <v>0</v>
      </c>
      <c r="T829" t="n">
        <v>0</v>
      </c>
      <c r="U829" s="2" t="inlineStr"/>
    </row>
    <row r="830" ht="15" customHeight="1">
      <c r="A830" t="inlineStr">
        <is>
          <t>A 37510-2025</t>
        </is>
      </c>
      <c r="B830" t="inlineStr">
        <is>
          <t>avverkningsanmälan</t>
        </is>
      </c>
      <c r="C830" t="inlineStr">
        <is>
          <t>Föryngringsavverkning</t>
        </is>
      </c>
      <c r="D830" s="1" t="n">
        <v>45877</v>
      </c>
      <c r="E830" s="1" t="n">
        <v>46220</v>
      </c>
      <c r="F830" t="inlineStr">
        <is>
          <t>VÄRMLANDS LÄN</t>
        </is>
      </c>
      <c r="G830" t="inlineStr">
        <is>
          <t>ÅRJÄNG</t>
        </is>
      </c>
      <c r="I830" t="n">
        <v>10.4</v>
      </c>
      <c r="J830" t="n">
        <v>0</v>
      </c>
      <c r="K830" t="n">
        <v>0</v>
      </c>
      <c r="L830" t="n">
        <v>0</v>
      </c>
      <c r="M830" t="n">
        <v>0</v>
      </c>
      <c r="N830" t="n">
        <v>0</v>
      </c>
      <c r="O830" t="n">
        <v>0</v>
      </c>
      <c r="P830" t="n">
        <v>0</v>
      </c>
      <c r="Q830" t="n">
        <v>0</v>
      </c>
      <c r="R830" t="n">
        <v>0</v>
      </c>
      <c r="S830" t="n">
        <v>0</v>
      </c>
      <c r="T830" t="n">
        <v>0</v>
      </c>
      <c r="U830" s="2" t="inlineStr"/>
    </row>
    <row r="831" ht="15" customHeight="1">
      <c r="A831" t="inlineStr">
        <is>
          <t>A 34526-2023</t>
        </is>
      </c>
      <c r="B831" t="inlineStr">
        <is>
          <t>avverkningsanmälan</t>
        </is>
      </c>
      <c r="C831" t="inlineStr">
        <is>
          <t>Avverkning för att bevara och utveckla /försöksver</t>
        </is>
      </c>
      <c r="D831" s="1" t="n">
        <v>45140</v>
      </c>
      <c r="E831" s="1" t="n">
        <v>46220</v>
      </c>
      <c r="F831" t="inlineStr">
        <is>
          <t>VÄRMLANDS LÄN</t>
        </is>
      </c>
      <c r="G831" t="inlineStr">
        <is>
          <t>ÅRJÄNG</t>
        </is>
      </c>
      <c r="H831" t="inlineStr">
        <is>
          <t>Kyrkan</t>
        </is>
      </c>
      <c r="I831" t="n">
        <v>1</v>
      </c>
      <c r="J831" t="n">
        <v>0</v>
      </c>
      <c r="K831" t="n">
        <v>0</v>
      </c>
      <c r="L831" t="n">
        <v>0</v>
      </c>
      <c r="M831" t="n">
        <v>0</v>
      </c>
      <c r="N831" t="n">
        <v>0</v>
      </c>
      <c r="O831" t="n">
        <v>0</v>
      </c>
      <c r="P831" t="n">
        <v>0</v>
      </c>
      <c r="Q831" t="n">
        <v>0</v>
      </c>
      <c r="R831" t="n">
        <v>0</v>
      </c>
      <c r="S831" t="n">
        <v>0</v>
      </c>
      <c r="T831" t="n">
        <v>0</v>
      </c>
      <c r="U831" s="2" t="inlineStr"/>
    </row>
    <row r="832" ht="15" customHeight="1">
      <c r="A832" t="inlineStr">
        <is>
          <t>A 19843-2025</t>
        </is>
      </c>
      <c r="B832" t="inlineStr">
        <is>
          <t>avverkningsanmälan</t>
        </is>
      </c>
      <c r="C832" t="inlineStr">
        <is>
          <t>Föryngringsavverkning</t>
        </is>
      </c>
      <c r="D832" s="1" t="n">
        <v>45771</v>
      </c>
      <c r="E832" s="1" t="n">
        <v>46220</v>
      </c>
      <c r="F832" t="inlineStr">
        <is>
          <t>VÄRMLANDS LÄN</t>
        </is>
      </c>
      <c r="G832" t="inlineStr">
        <is>
          <t>ÅRJÄNG</t>
        </is>
      </c>
      <c r="I832" t="n">
        <v>1.4</v>
      </c>
      <c r="J832" t="n">
        <v>0</v>
      </c>
      <c r="K832" t="n">
        <v>0</v>
      </c>
      <c r="L832" t="n">
        <v>0</v>
      </c>
      <c r="M832" t="n">
        <v>0</v>
      </c>
      <c r="N832" t="n">
        <v>0</v>
      </c>
      <c r="O832" t="n">
        <v>0</v>
      </c>
      <c r="P832" t="n">
        <v>0</v>
      </c>
      <c r="Q832" t="n">
        <v>0</v>
      </c>
      <c r="R832" t="n">
        <v>0</v>
      </c>
      <c r="S832" t="n">
        <v>0</v>
      </c>
      <c r="T832" t="n">
        <v>0</v>
      </c>
      <c r="U832" s="2" t="inlineStr"/>
    </row>
    <row r="833" ht="15" customHeight="1">
      <c r="A833" t="inlineStr">
        <is>
          <t>A 20674-2023</t>
        </is>
      </c>
      <c r="B833" t="inlineStr">
        <is>
          <t>avverkningsanmälan</t>
        </is>
      </c>
      <c r="C833" t="inlineStr">
        <is>
          <t>Föryngringsavverkning</t>
        </is>
      </c>
      <c r="D833" s="1" t="n">
        <v>45058</v>
      </c>
      <c r="E833" s="1" t="n">
        <v>46220</v>
      </c>
      <c r="F833" t="inlineStr">
        <is>
          <t>VÄRMLANDS LÄN</t>
        </is>
      </c>
      <c r="G833" t="inlineStr">
        <is>
          <t>ÅRJÄNG</t>
        </is>
      </c>
      <c r="I833" t="n">
        <v>11.1</v>
      </c>
      <c r="J833" t="n">
        <v>0</v>
      </c>
      <c r="K833" t="n">
        <v>0</v>
      </c>
      <c r="L833" t="n">
        <v>0</v>
      </c>
      <c r="M833" t="n">
        <v>0</v>
      </c>
      <c r="N833" t="n">
        <v>0</v>
      </c>
      <c r="O833" t="n">
        <v>0</v>
      </c>
      <c r="P833" t="n">
        <v>0</v>
      </c>
      <c r="Q833" t="n">
        <v>0</v>
      </c>
      <c r="R833" t="n">
        <v>0</v>
      </c>
      <c r="S833" t="n">
        <v>0</v>
      </c>
      <c r="T833" t="n">
        <v>0</v>
      </c>
      <c r="U833" s="2" t="inlineStr"/>
    </row>
    <row r="834" ht="15" customHeight="1">
      <c r="A834" t="inlineStr">
        <is>
          <t>A 46441-2023</t>
        </is>
      </c>
      <c r="B834" t="inlineStr">
        <is>
          <t>avverkningsanmälan</t>
        </is>
      </c>
      <c r="C834" t="inlineStr">
        <is>
          <t>Föryngringsavverkning</t>
        </is>
      </c>
      <c r="D834" s="1" t="n">
        <v>45197</v>
      </c>
      <c r="E834" s="1" t="n">
        <v>46220</v>
      </c>
      <c r="F834" t="inlineStr">
        <is>
          <t>VÄRMLANDS LÄN</t>
        </is>
      </c>
      <c r="G834" t="inlineStr">
        <is>
          <t>ÅRJÄNG</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65844-2021</t>
        </is>
      </c>
      <c r="B835" t="inlineStr">
        <is>
          <t>avverkningsanmälan</t>
        </is>
      </c>
      <c r="C835" t="inlineStr">
        <is>
          <t>Föryngringsavverkning</t>
        </is>
      </c>
      <c r="D835" s="1" t="n">
        <v>44517</v>
      </c>
      <c r="E835" s="1" t="n">
        <v>46220</v>
      </c>
      <c r="F835" t="inlineStr">
        <is>
          <t>VÄRMLANDS LÄN</t>
        </is>
      </c>
      <c r="G835" t="inlineStr">
        <is>
          <t>ÅRJÄNG</t>
        </is>
      </c>
      <c r="I835" t="n">
        <v>4.6</v>
      </c>
      <c r="J835" t="n">
        <v>0</v>
      </c>
      <c r="K835" t="n">
        <v>0</v>
      </c>
      <c r="L835" t="n">
        <v>0</v>
      </c>
      <c r="M835" t="n">
        <v>0</v>
      </c>
      <c r="N835" t="n">
        <v>0</v>
      </c>
      <c r="O835" t="n">
        <v>0</v>
      </c>
      <c r="P835" t="n">
        <v>0</v>
      </c>
      <c r="Q835" t="n">
        <v>0</v>
      </c>
      <c r="R835" t="n">
        <v>0</v>
      </c>
      <c r="S835" t="n">
        <v>0</v>
      </c>
      <c r="T835" t="n">
        <v>0</v>
      </c>
      <c r="U835" s="2" t="inlineStr"/>
    </row>
    <row r="836" ht="15" customHeight="1">
      <c r="A836" t="inlineStr">
        <is>
          <t>A 3968-2025</t>
        </is>
      </c>
      <c r="B836" t="inlineStr">
        <is>
          <t>avverkningsanmälan</t>
        </is>
      </c>
      <c r="C836" t="inlineStr">
        <is>
          <t>Föryngringsavverkning</t>
        </is>
      </c>
      <c r="D836" s="1" t="n">
        <v>45684</v>
      </c>
      <c r="E836" s="1" t="n">
        <v>46220</v>
      </c>
      <c r="F836" t="inlineStr">
        <is>
          <t>VÄRMLANDS LÄN</t>
        </is>
      </c>
      <c r="G836" t="inlineStr">
        <is>
          <t>ÅRJÄNG</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37419-2025</t>
        </is>
      </c>
      <c r="B837" t="inlineStr">
        <is>
          <t>avverkningsanmälan</t>
        </is>
      </c>
      <c r="C837" t="inlineStr">
        <is>
          <t>Föryngringsavverkning</t>
        </is>
      </c>
      <c r="D837" s="1" t="n">
        <v>45877</v>
      </c>
      <c r="E837" s="1" t="n">
        <v>46220</v>
      </c>
      <c r="F837" t="inlineStr">
        <is>
          <t>VÄRMLANDS LÄN</t>
        </is>
      </c>
      <c r="G837" t="inlineStr">
        <is>
          <t>ÅRJÄNG</t>
        </is>
      </c>
      <c r="I837" t="n">
        <v>4.9</v>
      </c>
      <c r="J837" t="n">
        <v>0</v>
      </c>
      <c r="K837" t="n">
        <v>0</v>
      </c>
      <c r="L837" t="n">
        <v>0</v>
      </c>
      <c r="M837" t="n">
        <v>0</v>
      </c>
      <c r="N837" t="n">
        <v>0</v>
      </c>
      <c r="O837" t="n">
        <v>0</v>
      </c>
      <c r="P837" t="n">
        <v>0</v>
      </c>
      <c r="Q837" t="n">
        <v>0</v>
      </c>
      <c r="R837" t="n">
        <v>0</v>
      </c>
      <c r="S837" t="n">
        <v>0</v>
      </c>
      <c r="T837" t="n">
        <v>0</v>
      </c>
      <c r="U837" s="2" t="inlineStr"/>
    </row>
    <row r="838" ht="15" customHeight="1">
      <c r="A838" t="inlineStr">
        <is>
          <t>A 37420-2025</t>
        </is>
      </c>
      <c r="B838" t="inlineStr">
        <is>
          <t>avverkningsanmälan</t>
        </is>
      </c>
      <c r="C838" t="inlineStr">
        <is>
          <t>Föryngringsavverkning</t>
        </is>
      </c>
      <c r="D838" s="1" t="n">
        <v>45877</v>
      </c>
      <c r="E838" s="1" t="n">
        <v>46220</v>
      </c>
      <c r="F838" t="inlineStr">
        <is>
          <t>VÄRMLANDS LÄN</t>
        </is>
      </c>
      <c r="G838" t="inlineStr">
        <is>
          <t>ÅRJÄNG</t>
        </is>
      </c>
      <c r="I838" t="n">
        <v>0.9</v>
      </c>
      <c r="J838" t="n">
        <v>0</v>
      </c>
      <c r="K838" t="n">
        <v>0</v>
      </c>
      <c r="L838" t="n">
        <v>0</v>
      </c>
      <c r="M838" t="n">
        <v>0</v>
      </c>
      <c r="N838" t="n">
        <v>0</v>
      </c>
      <c r="O838" t="n">
        <v>0</v>
      </c>
      <c r="P838" t="n">
        <v>0</v>
      </c>
      <c r="Q838" t="n">
        <v>0</v>
      </c>
      <c r="R838" t="n">
        <v>0</v>
      </c>
      <c r="S838" t="n">
        <v>0</v>
      </c>
      <c r="T838" t="n">
        <v>0</v>
      </c>
      <c r="U838" s="2" t="inlineStr"/>
    </row>
    <row r="839" ht="15" customHeight="1">
      <c r="A839" t="inlineStr">
        <is>
          <t>A 8835-2025</t>
        </is>
      </c>
      <c r="B839" t="inlineStr">
        <is>
          <t>avverkningsanmälan</t>
        </is>
      </c>
      <c r="C839" t="inlineStr">
        <is>
          <t>Föryngringsavverkning</t>
        </is>
      </c>
      <c r="D839" s="1" t="n">
        <v>45712</v>
      </c>
      <c r="E839" s="1" t="n">
        <v>46220</v>
      </c>
      <c r="F839" t="inlineStr">
        <is>
          <t>VÄRMLANDS LÄN</t>
        </is>
      </c>
      <c r="G839" t="inlineStr">
        <is>
          <t>ÅRJÄNG</t>
        </is>
      </c>
      <c r="I839" t="n">
        <v>7.3</v>
      </c>
      <c r="J839" t="n">
        <v>0</v>
      </c>
      <c r="K839" t="n">
        <v>0</v>
      </c>
      <c r="L839" t="n">
        <v>0</v>
      </c>
      <c r="M839" t="n">
        <v>0</v>
      </c>
      <c r="N839" t="n">
        <v>0</v>
      </c>
      <c r="O839" t="n">
        <v>0</v>
      </c>
      <c r="P839" t="n">
        <v>0</v>
      </c>
      <c r="Q839" t="n">
        <v>0</v>
      </c>
      <c r="R839" t="n">
        <v>0</v>
      </c>
      <c r="S839" t="n">
        <v>0</v>
      </c>
      <c r="T839" t="n">
        <v>0</v>
      </c>
      <c r="U839" s="2" t="inlineStr"/>
    </row>
    <row r="840" ht="15" customHeight="1">
      <c r="A840" t="inlineStr">
        <is>
          <t>A 30134-2025</t>
        </is>
      </c>
      <c r="B840" t="inlineStr">
        <is>
          <t>avverkningsanmälan</t>
        </is>
      </c>
      <c r="C840" t="inlineStr">
        <is>
          <t>Föryngringsavverkning</t>
        </is>
      </c>
      <c r="D840" s="1" t="n">
        <v>45826</v>
      </c>
      <c r="E840" s="1" t="n">
        <v>46220</v>
      </c>
      <c r="F840" t="inlineStr">
        <is>
          <t>VÄRMLANDS LÄN</t>
        </is>
      </c>
      <c r="G840" t="inlineStr">
        <is>
          <t>ÅRJÄNG</t>
        </is>
      </c>
      <c r="I840" t="n">
        <v>1.7</v>
      </c>
      <c r="J840" t="n">
        <v>0</v>
      </c>
      <c r="K840" t="n">
        <v>0</v>
      </c>
      <c r="L840" t="n">
        <v>0</v>
      </c>
      <c r="M840" t="n">
        <v>0</v>
      </c>
      <c r="N840" t="n">
        <v>0</v>
      </c>
      <c r="O840" t="n">
        <v>0</v>
      </c>
      <c r="P840" t="n">
        <v>0</v>
      </c>
      <c r="Q840" t="n">
        <v>0</v>
      </c>
      <c r="R840" t="n">
        <v>0</v>
      </c>
      <c r="S840" t="n">
        <v>0</v>
      </c>
      <c r="T840" t="n">
        <v>0</v>
      </c>
      <c r="U840" s="2" t="inlineStr"/>
    </row>
    <row r="841" ht="15" customHeight="1">
      <c r="A841" t="inlineStr">
        <is>
          <t>A 52730-2021</t>
        </is>
      </c>
      <c r="B841" t="inlineStr">
        <is>
          <t>avverkningsanmälan</t>
        </is>
      </c>
      <c r="C841" t="inlineStr">
        <is>
          <t>Föryngringsavverkning</t>
        </is>
      </c>
      <c r="D841" s="1" t="n">
        <v>44467</v>
      </c>
      <c r="E841" s="1" t="n">
        <v>46220</v>
      </c>
      <c r="F841" t="inlineStr">
        <is>
          <t>VÄRMLANDS LÄN</t>
        </is>
      </c>
      <c r="G841" t="inlineStr">
        <is>
          <t>ÅRJÄNG</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62966-2023</t>
        </is>
      </c>
      <c r="B842" t="inlineStr">
        <is>
          <t>avverkningsanmälan</t>
        </is>
      </c>
      <c r="C842" t="inlineStr">
        <is>
          <t>Föryngringsavverkning</t>
        </is>
      </c>
      <c r="D842" s="1" t="n">
        <v>45272</v>
      </c>
      <c r="E842" s="1" t="n">
        <v>46220</v>
      </c>
      <c r="F842" t="inlineStr">
        <is>
          <t>VÄRMLANDS LÄN</t>
        </is>
      </c>
      <c r="G842" t="inlineStr">
        <is>
          <t>ÅRJÄNG</t>
        </is>
      </c>
      <c r="I842" t="n">
        <v>4.5</v>
      </c>
      <c r="J842" t="n">
        <v>0</v>
      </c>
      <c r="K842" t="n">
        <v>0</v>
      </c>
      <c r="L842" t="n">
        <v>0</v>
      </c>
      <c r="M842" t="n">
        <v>0</v>
      </c>
      <c r="N842" t="n">
        <v>0</v>
      </c>
      <c r="O842" t="n">
        <v>0</v>
      </c>
      <c r="P842" t="n">
        <v>0</v>
      </c>
      <c r="Q842" t="n">
        <v>0</v>
      </c>
      <c r="R842" t="n">
        <v>0</v>
      </c>
      <c r="S842" t="n">
        <v>0</v>
      </c>
      <c r="T842" t="n">
        <v>0</v>
      </c>
      <c r="U842" s="2" t="inlineStr"/>
    </row>
    <row r="843" ht="15" customHeight="1">
      <c r="A843" t="inlineStr">
        <is>
          <t>A 30459-2022</t>
        </is>
      </c>
      <c r="B843" t="inlineStr">
        <is>
          <t>avverkningsanmälan</t>
        </is>
      </c>
      <c r="C843" t="inlineStr">
        <is>
          <t>Föryngringsavverkning</t>
        </is>
      </c>
      <c r="D843" s="1" t="n">
        <v>44761</v>
      </c>
      <c r="E843" s="1" t="n">
        <v>46220</v>
      </c>
      <c r="F843" t="inlineStr">
        <is>
          <t>VÄRMLANDS LÄN</t>
        </is>
      </c>
      <c r="G843" t="inlineStr">
        <is>
          <t>ÅRJÄNG</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15210-2025</t>
        </is>
      </c>
      <c r="B844" t="inlineStr">
        <is>
          <t>avverkningsanmälan</t>
        </is>
      </c>
      <c r="C844" t="inlineStr">
        <is>
          <t>Föryngringsavverkning</t>
        </is>
      </c>
      <c r="D844" s="1" t="n">
        <v>45744</v>
      </c>
      <c r="E844" s="1" t="n">
        <v>46220</v>
      </c>
      <c r="F844" t="inlineStr">
        <is>
          <t>VÄRMLANDS LÄN</t>
        </is>
      </c>
      <c r="G844" t="inlineStr">
        <is>
          <t>ÅRJÄNG</t>
        </is>
      </c>
      <c r="I844" t="n">
        <v>2.7</v>
      </c>
      <c r="J844" t="n">
        <v>0</v>
      </c>
      <c r="K844" t="n">
        <v>0</v>
      </c>
      <c r="L844" t="n">
        <v>0</v>
      </c>
      <c r="M844" t="n">
        <v>0</v>
      </c>
      <c r="N844" t="n">
        <v>0</v>
      </c>
      <c r="O844" t="n">
        <v>0</v>
      </c>
      <c r="P844" t="n">
        <v>0</v>
      </c>
      <c r="Q844" t="n">
        <v>0</v>
      </c>
      <c r="R844" t="n">
        <v>0</v>
      </c>
      <c r="S844" t="n">
        <v>0</v>
      </c>
      <c r="T844" t="n">
        <v>0</v>
      </c>
      <c r="U844" s="2" t="inlineStr"/>
    </row>
    <row r="845" ht="15" customHeight="1">
      <c r="A845" t="inlineStr">
        <is>
          <t>A 48203-2023</t>
        </is>
      </c>
      <c r="B845" t="inlineStr">
        <is>
          <t>avverkningsanmälan</t>
        </is>
      </c>
      <c r="C845" t="inlineStr">
        <is>
          <t>Föryngringsavverkning</t>
        </is>
      </c>
      <c r="D845" s="1" t="n">
        <v>45200</v>
      </c>
      <c r="E845" s="1" t="n">
        <v>46220</v>
      </c>
      <c r="F845" t="inlineStr">
        <is>
          <t>VÄRMLANDS LÄN</t>
        </is>
      </c>
      <c r="G845" t="inlineStr">
        <is>
          <t>ÅRJÄNG</t>
        </is>
      </c>
      <c r="H845" t="inlineStr">
        <is>
          <t>Övriga Aktiebolag</t>
        </is>
      </c>
      <c r="I845" t="n">
        <v>3.1</v>
      </c>
      <c r="J845" t="n">
        <v>0</v>
      </c>
      <c r="K845" t="n">
        <v>0</v>
      </c>
      <c r="L845" t="n">
        <v>0</v>
      </c>
      <c r="M845" t="n">
        <v>0</v>
      </c>
      <c r="N845" t="n">
        <v>0</v>
      </c>
      <c r="O845" t="n">
        <v>0</v>
      </c>
      <c r="P845" t="n">
        <v>0</v>
      </c>
      <c r="Q845" t="n">
        <v>0</v>
      </c>
      <c r="R845" t="n">
        <v>0</v>
      </c>
      <c r="S845" t="n">
        <v>0</v>
      </c>
      <c r="T845" t="n">
        <v>0</v>
      </c>
      <c r="U845" s="2" t="inlineStr"/>
    </row>
    <row r="846" ht="15" customHeight="1">
      <c r="A846" t="inlineStr">
        <is>
          <t>A 59068-2024</t>
        </is>
      </c>
      <c r="B846" t="inlineStr">
        <is>
          <t>avverkningsanmälan</t>
        </is>
      </c>
      <c r="C846" t="inlineStr">
        <is>
          <t>Föryngringsavverkning</t>
        </is>
      </c>
      <c r="D846" s="1" t="n">
        <v>45636</v>
      </c>
      <c r="E846" s="1" t="n">
        <v>46220</v>
      </c>
      <c r="F846" t="inlineStr">
        <is>
          <t>VÄRMLANDS LÄN</t>
        </is>
      </c>
      <c r="G846" t="inlineStr">
        <is>
          <t>ÅRJÄNG</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53742-2024</t>
        </is>
      </c>
      <c r="B847" t="inlineStr">
        <is>
          <t>avverkningsanmälan</t>
        </is>
      </c>
      <c r="C847" t="inlineStr">
        <is>
          <t>Föryngringsavverkning</t>
        </is>
      </c>
      <c r="D847" s="1" t="n">
        <v>45615</v>
      </c>
      <c r="E847" s="1" t="n">
        <v>46220</v>
      </c>
      <c r="F847" t="inlineStr">
        <is>
          <t>VÄRMLANDS LÄN</t>
        </is>
      </c>
      <c r="G847" t="inlineStr">
        <is>
          <t>ÅRJÄNG</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38536-2024</t>
        </is>
      </c>
      <c r="B848" t="inlineStr">
        <is>
          <t>avverkningsanmälan</t>
        </is>
      </c>
      <c r="C848" t="inlineStr">
        <is>
          <t>Föryngringsavverkning</t>
        </is>
      </c>
      <c r="D848" s="1" t="n">
        <v>45546</v>
      </c>
      <c r="E848" s="1" t="n">
        <v>46220</v>
      </c>
      <c r="F848" t="inlineStr">
        <is>
          <t>VÄRMLANDS LÄN</t>
        </is>
      </c>
      <c r="G848" t="inlineStr">
        <is>
          <t>ÅRJÄNG</t>
        </is>
      </c>
      <c r="H848" t="inlineStr">
        <is>
          <t>Bergvik skog väst AB</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44768-2025</t>
        </is>
      </c>
      <c r="B849" t="inlineStr">
        <is>
          <t>avverkningsanmälan</t>
        </is>
      </c>
      <c r="C849" t="inlineStr">
        <is>
          <t>Föryngringsavverkning</t>
        </is>
      </c>
      <c r="D849" s="1" t="n">
        <v>45917</v>
      </c>
      <c r="E849" s="1" t="n">
        <v>46220</v>
      </c>
      <c r="F849" t="inlineStr">
        <is>
          <t>VÄRMLANDS LÄN</t>
        </is>
      </c>
      <c r="G849" t="inlineStr">
        <is>
          <t>ÅRJÄNG</t>
        </is>
      </c>
      <c r="I849" t="n">
        <v>8.699999999999999</v>
      </c>
      <c r="J849" t="n">
        <v>0</v>
      </c>
      <c r="K849" t="n">
        <v>0</v>
      </c>
      <c r="L849" t="n">
        <v>0</v>
      </c>
      <c r="M849" t="n">
        <v>0</v>
      </c>
      <c r="N849" t="n">
        <v>0</v>
      </c>
      <c r="O849" t="n">
        <v>0</v>
      </c>
      <c r="P849" t="n">
        <v>0</v>
      </c>
      <c r="Q849" t="n">
        <v>0</v>
      </c>
      <c r="R849" t="n">
        <v>0</v>
      </c>
      <c r="S849" t="n">
        <v>0</v>
      </c>
      <c r="T849" t="n">
        <v>0</v>
      </c>
      <c r="U849" s="2" t="inlineStr"/>
    </row>
    <row r="850" ht="15" customHeight="1">
      <c r="A850" t="inlineStr">
        <is>
          <t>A 31393-2025</t>
        </is>
      </c>
      <c r="B850" t="inlineStr">
        <is>
          <t>avverkningsanmälan</t>
        </is>
      </c>
      <c r="C850" t="inlineStr">
        <is>
          <t>Föryngringsavverkning</t>
        </is>
      </c>
      <c r="D850" s="1" t="n">
        <v>45833</v>
      </c>
      <c r="E850" s="1" t="n">
        <v>46220</v>
      </c>
      <c r="F850" t="inlineStr">
        <is>
          <t>VÄRMLANDS LÄN</t>
        </is>
      </c>
      <c r="G850" t="inlineStr">
        <is>
          <t>ÅRJÄNG</t>
        </is>
      </c>
      <c r="I850" t="n">
        <v>1.8</v>
      </c>
      <c r="J850" t="n">
        <v>0</v>
      </c>
      <c r="K850" t="n">
        <v>0</v>
      </c>
      <c r="L850" t="n">
        <v>0</v>
      </c>
      <c r="M850" t="n">
        <v>0</v>
      </c>
      <c r="N850" t="n">
        <v>0</v>
      </c>
      <c r="O850" t="n">
        <v>0</v>
      </c>
      <c r="P850" t="n">
        <v>0</v>
      </c>
      <c r="Q850" t="n">
        <v>0</v>
      </c>
      <c r="R850" t="n">
        <v>0</v>
      </c>
      <c r="S850" t="n">
        <v>0</v>
      </c>
      <c r="T850" t="n">
        <v>0</v>
      </c>
      <c r="U850" s="2" t="inlineStr"/>
    </row>
    <row r="851" ht="15" customHeight="1">
      <c r="A851" t="inlineStr">
        <is>
          <t>A 7184-2024</t>
        </is>
      </c>
      <c r="B851" t="inlineStr">
        <is>
          <t>avverkningsanmälan</t>
        </is>
      </c>
      <c r="C851" t="inlineStr">
        <is>
          <t>Föryngringsavverkning</t>
        </is>
      </c>
      <c r="D851" s="1" t="n">
        <v>45344</v>
      </c>
      <c r="E851" s="1" t="n">
        <v>46220</v>
      </c>
      <c r="F851" t="inlineStr">
        <is>
          <t>VÄRMLANDS LÄN</t>
        </is>
      </c>
      <c r="G851" t="inlineStr">
        <is>
          <t>ÅRJÄNG</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36587-2024</t>
        </is>
      </c>
      <c r="B852" t="inlineStr">
        <is>
          <t>avverkningsanmälan</t>
        </is>
      </c>
      <c r="C852" t="inlineStr">
        <is>
          <t>Föryngringsavverkning</t>
        </is>
      </c>
      <c r="D852" s="1" t="n">
        <v>45537</v>
      </c>
      <c r="E852" s="1" t="n">
        <v>46220</v>
      </c>
      <c r="F852" t="inlineStr">
        <is>
          <t>VÄRMLANDS LÄN</t>
        </is>
      </c>
      <c r="G852" t="inlineStr">
        <is>
          <t>ÅRJÄNG</t>
        </is>
      </c>
      <c r="I852" t="n">
        <v>2.6</v>
      </c>
      <c r="J852" t="n">
        <v>0</v>
      </c>
      <c r="K852" t="n">
        <v>0</v>
      </c>
      <c r="L852" t="n">
        <v>0</v>
      </c>
      <c r="M852" t="n">
        <v>0</v>
      </c>
      <c r="N852" t="n">
        <v>0</v>
      </c>
      <c r="O852" t="n">
        <v>0</v>
      </c>
      <c r="P852" t="n">
        <v>0</v>
      </c>
      <c r="Q852" t="n">
        <v>0</v>
      </c>
      <c r="R852" t="n">
        <v>0</v>
      </c>
      <c r="S852" t="n">
        <v>0</v>
      </c>
      <c r="T852" t="n">
        <v>0</v>
      </c>
      <c r="U852" s="2" t="inlineStr"/>
    </row>
    <row r="853" ht="15" customHeight="1">
      <c r="A853" t="inlineStr">
        <is>
          <t>A 13824-2024</t>
        </is>
      </c>
      <c r="B853" t="inlineStr">
        <is>
          <t>avverkningsanmälan</t>
        </is>
      </c>
      <c r="C853" t="inlineStr">
        <is>
          <t>Föryngringsavverkning</t>
        </is>
      </c>
      <c r="D853" s="1" t="n">
        <v>45391</v>
      </c>
      <c r="E853" s="1" t="n">
        <v>46220</v>
      </c>
      <c r="F853" t="inlineStr">
        <is>
          <t>VÄRMLANDS LÄN</t>
        </is>
      </c>
      <c r="G853" t="inlineStr">
        <is>
          <t>ÅRJÄNG</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24281-2024</t>
        </is>
      </c>
      <c r="B854" t="inlineStr">
        <is>
          <t>avverkningsanmälan</t>
        </is>
      </c>
      <c r="C854" t="inlineStr">
        <is>
          <t>Föryngringsavverkning</t>
        </is>
      </c>
      <c r="D854" s="1" t="n">
        <v>45457</v>
      </c>
      <c r="E854" s="1" t="n">
        <v>46220</v>
      </c>
      <c r="F854" t="inlineStr">
        <is>
          <t>VÄRMLANDS LÄN</t>
        </is>
      </c>
      <c r="G854" t="inlineStr">
        <is>
          <t>ÅRJÄNG</t>
        </is>
      </c>
      <c r="I854" t="n">
        <v>8.300000000000001</v>
      </c>
      <c r="J854" t="n">
        <v>0</v>
      </c>
      <c r="K854" t="n">
        <v>0</v>
      </c>
      <c r="L854" t="n">
        <v>0</v>
      </c>
      <c r="M854" t="n">
        <v>0</v>
      </c>
      <c r="N854" t="n">
        <v>0</v>
      </c>
      <c r="O854" t="n">
        <v>0</v>
      </c>
      <c r="P854" t="n">
        <v>0</v>
      </c>
      <c r="Q854" t="n">
        <v>0</v>
      </c>
      <c r="R854" t="n">
        <v>0</v>
      </c>
      <c r="S854" t="n">
        <v>0</v>
      </c>
      <c r="T854" t="n">
        <v>0</v>
      </c>
      <c r="U854" s="2" t="inlineStr"/>
    </row>
    <row r="855" ht="15" customHeight="1">
      <c r="A855" t="inlineStr">
        <is>
          <t>A 4798-2022</t>
        </is>
      </c>
      <c r="B855" t="inlineStr">
        <is>
          <t>avverkningsanmälan</t>
        </is>
      </c>
      <c r="C855" t="inlineStr">
        <is>
          <t>Föryngringsavverkning</t>
        </is>
      </c>
      <c r="D855" s="1" t="n">
        <v>44592</v>
      </c>
      <c r="E855" s="1" t="n">
        <v>46220</v>
      </c>
      <c r="F855" t="inlineStr">
        <is>
          <t>VÄRMLANDS LÄN</t>
        </is>
      </c>
      <c r="G855" t="inlineStr">
        <is>
          <t>ÅRJÄNG</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14310-2022</t>
        </is>
      </c>
      <c r="B856" t="inlineStr">
        <is>
          <t>avverkningsanmälan</t>
        </is>
      </c>
      <c r="C856" t="inlineStr">
        <is>
          <t>Föryngringsavverkning</t>
        </is>
      </c>
      <c r="D856" s="1" t="n">
        <v>44652</v>
      </c>
      <c r="E856" s="1" t="n">
        <v>46220</v>
      </c>
      <c r="F856" t="inlineStr">
        <is>
          <t>VÄRMLANDS LÄN</t>
        </is>
      </c>
      <c r="G856" t="inlineStr">
        <is>
          <t>ÅRJÄNG</t>
        </is>
      </c>
      <c r="I856" t="n">
        <v>2.5</v>
      </c>
      <c r="J856" t="n">
        <v>0</v>
      </c>
      <c r="K856" t="n">
        <v>0</v>
      </c>
      <c r="L856" t="n">
        <v>0</v>
      </c>
      <c r="M856" t="n">
        <v>0</v>
      </c>
      <c r="N856" t="n">
        <v>0</v>
      </c>
      <c r="O856" t="n">
        <v>0</v>
      </c>
      <c r="P856" t="n">
        <v>0</v>
      </c>
      <c r="Q856" t="n">
        <v>0</v>
      </c>
      <c r="R856" t="n">
        <v>0</v>
      </c>
      <c r="S856" t="n">
        <v>0</v>
      </c>
      <c r="T856" t="n">
        <v>0</v>
      </c>
      <c r="U856" s="2" t="inlineStr"/>
    </row>
    <row r="857" ht="15" customHeight="1">
      <c r="A857" t="inlineStr">
        <is>
          <t>A 13871-2025</t>
        </is>
      </c>
      <c r="B857" t="inlineStr">
        <is>
          <t>avverkningsanmälan</t>
        </is>
      </c>
      <c r="C857" t="inlineStr">
        <is>
          <t>Föryngringsavverkning</t>
        </is>
      </c>
      <c r="D857" s="1" t="n">
        <v>45737</v>
      </c>
      <c r="E857" s="1" t="n">
        <v>46220</v>
      </c>
      <c r="F857" t="inlineStr">
        <is>
          <t>VÄRMLANDS LÄN</t>
        </is>
      </c>
      <c r="G857" t="inlineStr">
        <is>
          <t>ÅRJÄNG</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34172-2024</t>
        </is>
      </c>
      <c r="B858" t="inlineStr">
        <is>
          <t>avverkningsanmälan</t>
        </is>
      </c>
      <c r="C858" t="inlineStr">
        <is>
          <t>Föryngringsavverkning</t>
        </is>
      </c>
      <c r="D858" s="1" t="n">
        <v>45524</v>
      </c>
      <c r="E858" s="1" t="n">
        <v>46220</v>
      </c>
      <c r="F858" t="inlineStr">
        <is>
          <t>VÄRMLANDS LÄN</t>
        </is>
      </c>
      <c r="G858" t="inlineStr">
        <is>
          <t>ÅRJÄNG</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26866-2024</t>
        </is>
      </c>
      <c r="B859" t="inlineStr">
        <is>
          <t>avverkningsanmälan</t>
        </is>
      </c>
      <c r="C859" t="inlineStr">
        <is>
          <t>Föryngringsavverkning</t>
        </is>
      </c>
      <c r="D859" s="1" t="n">
        <v>45470</v>
      </c>
      <c r="E859" s="1" t="n">
        <v>46220</v>
      </c>
      <c r="F859" t="inlineStr">
        <is>
          <t>VÄRMLANDS LÄN</t>
        </is>
      </c>
      <c r="G859" t="inlineStr">
        <is>
          <t>ÅRJÄNG</t>
        </is>
      </c>
      <c r="H859" t="inlineStr">
        <is>
          <t>Kyrkan</t>
        </is>
      </c>
      <c r="I859" t="n">
        <v>3.3</v>
      </c>
      <c r="J859" t="n">
        <v>0</v>
      </c>
      <c r="K859" t="n">
        <v>0</v>
      </c>
      <c r="L859" t="n">
        <v>0</v>
      </c>
      <c r="M859" t="n">
        <v>0</v>
      </c>
      <c r="N859" t="n">
        <v>0</v>
      </c>
      <c r="O859" t="n">
        <v>0</v>
      </c>
      <c r="P859" t="n">
        <v>0</v>
      </c>
      <c r="Q859" t="n">
        <v>0</v>
      </c>
      <c r="R859" t="n">
        <v>0</v>
      </c>
      <c r="S859" t="n">
        <v>0</v>
      </c>
      <c r="T859" t="n">
        <v>0</v>
      </c>
      <c r="U859" s="2" t="inlineStr"/>
    </row>
    <row r="860" ht="15" customHeight="1">
      <c r="A860" t="inlineStr">
        <is>
          <t>A 5256-2023</t>
        </is>
      </c>
      <c r="B860" t="inlineStr">
        <is>
          <t>avverkningsanmälan</t>
        </is>
      </c>
      <c r="C860" t="inlineStr">
        <is>
          <t>Föryngringsavverkning</t>
        </is>
      </c>
      <c r="D860" s="1" t="n">
        <v>44959</v>
      </c>
      <c r="E860" s="1" t="n">
        <v>46220</v>
      </c>
      <c r="F860" t="inlineStr">
        <is>
          <t>VÄRMLANDS LÄN</t>
        </is>
      </c>
      <c r="G860" t="inlineStr">
        <is>
          <t>ÅRJÄNG</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14446-2025</t>
        </is>
      </c>
      <c r="B861" t="inlineStr">
        <is>
          <t>avverkningsanmälan</t>
        </is>
      </c>
      <c r="C861" t="inlineStr">
        <is>
          <t>Föryngringsavverkning</t>
        </is>
      </c>
      <c r="D861" s="1" t="n">
        <v>45741</v>
      </c>
      <c r="E861" s="1" t="n">
        <v>46220</v>
      </c>
      <c r="F861" t="inlineStr">
        <is>
          <t>VÄRMLANDS LÄN</t>
        </is>
      </c>
      <c r="G861" t="inlineStr">
        <is>
          <t>ÅRJÄNG</t>
        </is>
      </c>
      <c r="I861" t="n">
        <v>4.3</v>
      </c>
      <c r="J861" t="n">
        <v>0</v>
      </c>
      <c r="K861" t="n">
        <v>0</v>
      </c>
      <c r="L861" t="n">
        <v>0</v>
      </c>
      <c r="M861" t="n">
        <v>0</v>
      </c>
      <c r="N861" t="n">
        <v>0</v>
      </c>
      <c r="O861" t="n">
        <v>0</v>
      </c>
      <c r="P861" t="n">
        <v>0</v>
      </c>
      <c r="Q861" t="n">
        <v>0</v>
      </c>
      <c r="R861" t="n">
        <v>0</v>
      </c>
      <c r="S861" t="n">
        <v>0</v>
      </c>
      <c r="T861" t="n">
        <v>0</v>
      </c>
      <c r="U861" s="2" t="inlineStr"/>
    </row>
    <row r="862" ht="15" customHeight="1">
      <c r="A862" t="inlineStr">
        <is>
          <t>A 29136-2025</t>
        </is>
      </c>
      <c r="B862" t="inlineStr">
        <is>
          <t>avverkningsanmälan</t>
        </is>
      </c>
      <c r="C862" t="inlineStr">
        <is>
          <t>Föryngringsavverkning</t>
        </is>
      </c>
      <c r="D862" s="1" t="n">
        <v>45821</v>
      </c>
      <c r="E862" s="1" t="n">
        <v>46220</v>
      </c>
      <c r="F862" t="inlineStr">
        <is>
          <t>VÄRMLANDS LÄN</t>
        </is>
      </c>
      <c r="G862" t="inlineStr">
        <is>
          <t>ÅRJÄNG</t>
        </is>
      </c>
      <c r="I862" t="n">
        <v>0.9</v>
      </c>
      <c r="J862" t="n">
        <v>0</v>
      </c>
      <c r="K862" t="n">
        <v>0</v>
      </c>
      <c r="L862" t="n">
        <v>0</v>
      </c>
      <c r="M862" t="n">
        <v>0</v>
      </c>
      <c r="N862" t="n">
        <v>0</v>
      </c>
      <c r="O862" t="n">
        <v>0</v>
      </c>
      <c r="P862" t="n">
        <v>0</v>
      </c>
      <c r="Q862" t="n">
        <v>0</v>
      </c>
      <c r="R862" t="n">
        <v>0</v>
      </c>
      <c r="S862" t="n">
        <v>0</v>
      </c>
      <c r="T862" t="n">
        <v>0</v>
      </c>
      <c r="U862" s="2" t="inlineStr"/>
    </row>
    <row r="863" ht="15" customHeight="1">
      <c r="A863" t="inlineStr">
        <is>
          <t>A 22667-2025</t>
        </is>
      </c>
      <c r="B863" t="inlineStr">
        <is>
          <t>avverkningsanmälan</t>
        </is>
      </c>
      <c r="C863" t="inlineStr">
        <is>
          <t>Föryngringsavverkning</t>
        </is>
      </c>
      <c r="D863" s="1" t="n">
        <v>45789</v>
      </c>
      <c r="E863" s="1" t="n">
        <v>46220</v>
      </c>
      <c r="F863" t="inlineStr">
        <is>
          <t>VÄRMLANDS LÄN</t>
        </is>
      </c>
      <c r="G863" t="inlineStr">
        <is>
          <t>ÅRJÄNG</t>
        </is>
      </c>
      <c r="I863" t="n">
        <v>4.4</v>
      </c>
      <c r="J863" t="n">
        <v>0</v>
      </c>
      <c r="K863" t="n">
        <v>0</v>
      </c>
      <c r="L863" t="n">
        <v>0</v>
      </c>
      <c r="M863" t="n">
        <v>0</v>
      </c>
      <c r="N863" t="n">
        <v>0</v>
      </c>
      <c r="O863" t="n">
        <v>0</v>
      </c>
      <c r="P863" t="n">
        <v>0</v>
      </c>
      <c r="Q863" t="n">
        <v>0</v>
      </c>
      <c r="R863" t="n">
        <v>0</v>
      </c>
      <c r="S863" t="n">
        <v>0</v>
      </c>
      <c r="T863" t="n">
        <v>0</v>
      </c>
      <c r="U863" s="2" t="inlineStr"/>
    </row>
    <row r="864" ht="15" customHeight="1">
      <c r="A864" t="inlineStr">
        <is>
          <t>A 19511-2024</t>
        </is>
      </c>
      <c r="B864" t="inlineStr">
        <is>
          <t>avverkningsanmälan</t>
        </is>
      </c>
      <c r="C864" t="inlineStr">
        <is>
          <t>Föryngringsavverkning</t>
        </is>
      </c>
      <c r="D864" s="1" t="n">
        <v>45429</v>
      </c>
      <c r="E864" s="1" t="n">
        <v>46220</v>
      </c>
      <c r="F864" t="inlineStr">
        <is>
          <t>VÄRMLANDS LÄN</t>
        </is>
      </c>
      <c r="G864" t="inlineStr">
        <is>
          <t>ÅRJÄNG</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19516-2024</t>
        </is>
      </c>
      <c r="B865" t="inlineStr">
        <is>
          <t>avverkningsanmälan</t>
        </is>
      </c>
      <c r="C865" t="inlineStr">
        <is>
          <t>Föryngringsavverkning</t>
        </is>
      </c>
      <c r="D865" s="1" t="n">
        <v>45429</v>
      </c>
      <c r="E865" s="1" t="n">
        <v>46220</v>
      </c>
      <c r="F865" t="inlineStr">
        <is>
          <t>VÄRMLANDS LÄN</t>
        </is>
      </c>
      <c r="G865" t="inlineStr">
        <is>
          <t>ÅRJÄNG</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44385-2022</t>
        </is>
      </c>
      <c r="B866" t="inlineStr">
        <is>
          <t>avverkningsanmälan</t>
        </is>
      </c>
      <c r="C866" t="inlineStr">
        <is>
          <t>Avverkning för annat ändamål</t>
        </is>
      </c>
      <c r="D866" s="1" t="n">
        <v>44839</v>
      </c>
      <c r="E866" s="1" t="n">
        <v>46220</v>
      </c>
      <c r="F866" t="inlineStr">
        <is>
          <t>VÄRMLANDS LÄN</t>
        </is>
      </c>
      <c r="G866" t="inlineStr">
        <is>
          <t>ÅRJÄNG</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39905-2025</t>
        </is>
      </c>
      <c r="B867" t="inlineStr">
        <is>
          <t>avverkningsanmälan</t>
        </is>
      </c>
      <c r="C867" t="inlineStr">
        <is>
          <t>Föryngringsavverkning</t>
        </is>
      </c>
      <c r="D867" s="1" t="n">
        <v>45891</v>
      </c>
      <c r="E867" s="1" t="n">
        <v>46220</v>
      </c>
      <c r="F867" t="inlineStr">
        <is>
          <t>VÄRMLANDS LÄN</t>
        </is>
      </c>
      <c r="G867" t="inlineStr">
        <is>
          <t>ÅRJÄNG</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28711-2025</t>
        </is>
      </c>
      <c r="B868" t="inlineStr">
        <is>
          <t>avverkningsanmälan</t>
        </is>
      </c>
      <c r="C868" t="inlineStr">
        <is>
          <t>Föryngringsavverkning</t>
        </is>
      </c>
      <c r="D868" s="1" t="n">
        <v>45820</v>
      </c>
      <c r="E868" s="1" t="n">
        <v>46220</v>
      </c>
      <c r="F868" t="inlineStr">
        <is>
          <t>VÄRMLANDS LÄN</t>
        </is>
      </c>
      <c r="G868" t="inlineStr">
        <is>
          <t>ÅRJÄNG</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51109-2022</t>
        </is>
      </c>
      <c r="B869" t="inlineStr">
        <is>
          <t>avverkningsanmälan</t>
        </is>
      </c>
      <c r="C869" t="inlineStr">
        <is>
          <t>Föryngringsavverkning</t>
        </is>
      </c>
      <c r="D869" s="1" t="n">
        <v>44868</v>
      </c>
      <c r="E869" s="1" t="n">
        <v>46220</v>
      </c>
      <c r="F869" t="inlineStr">
        <is>
          <t>VÄRMLANDS LÄN</t>
        </is>
      </c>
      <c r="G869" t="inlineStr">
        <is>
          <t>ÅRJÄNG</t>
        </is>
      </c>
      <c r="I869" t="n">
        <v>4.3</v>
      </c>
      <c r="J869" t="n">
        <v>0</v>
      </c>
      <c r="K869" t="n">
        <v>0</v>
      </c>
      <c r="L869" t="n">
        <v>0</v>
      </c>
      <c r="M869" t="n">
        <v>0</v>
      </c>
      <c r="N869" t="n">
        <v>0</v>
      </c>
      <c r="O869" t="n">
        <v>0</v>
      </c>
      <c r="P869" t="n">
        <v>0</v>
      </c>
      <c r="Q869" t="n">
        <v>0</v>
      </c>
      <c r="R869" t="n">
        <v>0</v>
      </c>
      <c r="S869" t="n">
        <v>0</v>
      </c>
      <c r="T869" t="n">
        <v>0</v>
      </c>
      <c r="U869" s="2" t="inlineStr"/>
    </row>
    <row r="870" ht="15" customHeight="1">
      <c r="A870" t="inlineStr">
        <is>
          <t>A 69862-2021</t>
        </is>
      </c>
      <c r="B870" t="inlineStr">
        <is>
          <t>avverkningsanmälan</t>
        </is>
      </c>
      <c r="C870" t="inlineStr">
        <is>
          <t>Föryngringsavverkning</t>
        </is>
      </c>
      <c r="D870" s="1" t="n">
        <v>44532</v>
      </c>
      <c r="E870" s="1" t="n">
        <v>46220</v>
      </c>
      <c r="F870" t="inlineStr">
        <is>
          <t>VÄRMLANDS LÄN</t>
        </is>
      </c>
      <c r="G870" t="inlineStr">
        <is>
          <t>ÅRJÄNG</t>
        </is>
      </c>
      <c r="I870" t="n">
        <v>1.6</v>
      </c>
      <c r="J870" t="n">
        <v>0</v>
      </c>
      <c r="K870" t="n">
        <v>0</v>
      </c>
      <c r="L870" t="n">
        <v>0</v>
      </c>
      <c r="M870" t="n">
        <v>0</v>
      </c>
      <c r="N870" t="n">
        <v>0</v>
      </c>
      <c r="O870" t="n">
        <v>0</v>
      </c>
      <c r="P870" t="n">
        <v>0</v>
      </c>
      <c r="Q870" t="n">
        <v>0</v>
      </c>
      <c r="R870" t="n">
        <v>0</v>
      </c>
      <c r="S870" t="n">
        <v>0</v>
      </c>
      <c r="T870" t="n">
        <v>0</v>
      </c>
      <c r="U870" s="2" t="inlineStr"/>
    </row>
    <row r="871" ht="15" customHeight="1">
      <c r="A871" t="inlineStr">
        <is>
          <t>A 29783-2025</t>
        </is>
      </c>
      <c r="B871" t="inlineStr">
        <is>
          <t>avverkningsanmälan</t>
        </is>
      </c>
      <c r="C871" t="inlineStr">
        <is>
          <t>Föryngringsavverkning</t>
        </is>
      </c>
      <c r="D871" s="1" t="n">
        <v>45825</v>
      </c>
      <c r="E871" s="1" t="n">
        <v>46220</v>
      </c>
      <c r="F871" t="inlineStr">
        <is>
          <t>VÄRMLANDS LÄN</t>
        </is>
      </c>
      <c r="G871" t="inlineStr">
        <is>
          <t>ÅRJÄNG</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236-2025</t>
        </is>
      </c>
      <c r="B872" t="inlineStr">
        <is>
          <t>avverkningsanmälan</t>
        </is>
      </c>
      <c r="C872" t="inlineStr">
        <is>
          <t>Föryngringsavverkning</t>
        </is>
      </c>
      <c r="D872" s="1" t="n">
        <v>45653</v>
      </c>
      <c r="E872" s="1" t="n">
        <v>46220</v>
      </c>
      <c r="F872" t="inlineStr">
        <is>
          <t>VÄRMLANDS LÄN</t>
        </is>
      </c>
      <c r="G872" t="inlineStr">
        <is>
          <t>ÅRJÄNG</t>
        </is>
      </c>
      <c r="H872" t="inlineStr">
        <is>
          <t>Övriga Aktiebolag</t>
        </is>
      </c>
      <c r="I872" t="n">
        <v>3</v>
      </c>
      <c r="J872" t="n">
        <v>0</v>
      </c>
      <c r="K872" t="n">
        <v>0</v>
      </c>
      <c r="L872" t="n">
        <v>0</v>
      </c>
      <c r="M872" t="n">
        <v>0</v>
      </c>
      <c r="N872" t="n">
        <v>0</v>
      </c>
      <c r="O872" t="n">
        <v>0</v>
      </c>
      <c r="P872" t="n">
        <v>0</v>
      </c>
      <c r="Q872" t="n">
        <v>0</v>
      </c>
      <c r="R872" t="n">
        <v>0</v>
      </c>
      <c r="S872" t="n">
        <v>0</v>
      </c>
      <c r="T872" t="n">
        <v>0</v>
      </c>
      <c r="U872" s="2" t="inlineStr"/>
    </row>
    <row r="873" ht="15" customHeight="1">
      <c r="A873" t="inlineStr">
        <is>
          <t>A 16613-2022</t>
        </is>
      </c>
      <c r="B873" t="inlineStr">
        <is>
          <t>avverkningsanmälan</t>
        </is>
      </c>
      <c r="C873" t="inlineStr">
        <is>
          <t>Föryngringsavverkning</t>
        </is>
      </c>
      <c r="D873" s="1" t="n">
        <v>44672</v>
      </c>
      <c r="E873" s="1" t="n">
        <v>46220</v>
      </c>
      <c r="F873" t="inlineStr">
        <is>
          <t>VÄRMLANDS LÄN</t>
        </is>
      </c>
      <c r="G873" t="inlineStr">
        <is>
          <t>ÅRJÄNG</t>
        </is>
      </c>
      <c r="I873" t="n">
        <v>2.3</v>
      </c>
      <c r="J873" t="n">
        <v>0</v>
      </c>
      <c r="K873" t="n">
        <v>0</v>
      </c>
      <c r="L873" t="n">
        <v>0</v>
      </c>
      <c r="M873" t="n">
        <v>0</v>
      </c>
      <c r="N873" t="n">
        <v>0</v>
      </c>
      <c r="O873" t="n">
        <v>0</v>
      </c>
      <c r="P873" t="n">
        <v>0</v>
      </c>
      <c r="Q873" t="n">
        <v>0</v>
      </c>
      <c r="R873" t="n">
        <v>0</v>
      </c>
      <c r="S873" t="n">
        <v>0</v>
      </c>
      <c r="T873" t="n">
        <v>0</v>
      </c>
      <c r="U873" s="2" t="inlineStr"/>
    </row>
    <row r="874" ht="15" customHeight="1">
      <c r="A874" t="inlineStr">
        <is>
          <t>A 36834-2025</t>
        </is>
      </c>
      <c r="B874" t="inlineStr">
        <is>
          <t>avverkningsanmälan</t>
        </is>
      </c>
      <c r="C874" t="inlineStr">
        <is>
          <t>Föryngringsavverkning</t>
        </is>
      </c>
      <c r="D874" s="1" t="n">
        <v>45874</v>
      </c>
      <c r="E874" s="1" t="n">
        <v>46220</v>
      </c>
      <c r="F874" t="inlineStr">
        <is>
          <t>VÄRMLANDS LÄN</t>
        </is>
      </c>
      <c r="G874" t="inlineStr">
        <is>
          <t>ÅRJÄNG</t>
        </is>
      </c>
      <c r="I874" t="n">
        <v>2.9</v>
      </c>
      <c r="J874" t="n">
        <v>0</v>
      </c>
      <c r="K874" t="n">
        <v>0</v>
      </c>
      <c r="L874" t="n">
        <v>0</v>
      </c>
      <c r="M874" t="n">
        <v>0</v>
      </c>
      <c r="N874" t="n">
        <v>0</v>
      </c>
      <c r="O874" t="n">
        <v>0</v>
      </c>
      <c r="P874" t="n">
        <v>0</v>
      </c>
      <c r="Q874" t="n">
        <v>0</v>
      </c>
      <c r="R874" t="n">
        <v>0</v>
      </c>
      <c r="S874" t="n">
        <v>0</v>
      </c>
      <c r="T874" t="n">
        <v>0</v>
      </c>
      <c r="U874" s="2" t="inlineStr"/>
    </row>
    <row r="875" ht="15" customHeight="1">
      <c r="A875" t="inlineStr">
        <is>
          <t>A 28793-2025</t>
        </is>
      </c>
      <c r="B875" t="inlineStr">
        <is>
          <t>avverkningsanmälan</t>
        </is>
      </c>
      <c r="C875" t="inlineStr">
        <is>
          <t>Föryngringsavverkning</t>
        </is>
      </c>
      <c r="D875" s="1" t="n">
        <v>45820</v>
      </c>
      <c r="E875" s="1" t="n">
        <v>46220</v>
      </c>
      <c r="F875" t="inlineStr">
        <is>
          <t>VÄRMLANDS LÄN</t>
        </is>
      </c>
      <c r="G875" t="inlineStr">
        <is>
          <t>ÅRJÄNG</t>
        </is>
      </c>
      <c r="I875" t="n">
        <v>2.6</v>
      </c>
      <c r="J875" t="n">
        <v>0</v>
      </c>
      <c r="K875" t="n">
        <v>0</v>
      </c>
      <c r="L875" t="n">
        <v>0</v>
      </c>
      <c r="M875" t="n">
        <v>0</v>
      </c>
      <c r="N875" t="n">
        <v>0</v>
      </c>
      <c r="O875" t="n">
        <v>0</v>
      </c>
      <c r="P875" t="n">
        <v>0</v>
      </c>
      <c r="Q875" t="n">
        <v>0</v>
      </c>
      <c r="R875" t="n">
        <v>0</v>
      </c>
      <c r="S875" t="n">
        <v>0</v>
      </c>
      <c r="T875" t="n">
        <v>0</v>
      </c>
      <c r="U875" s="2" t="inlineStr"/>
    </row>
    <row r="876" ht="15" customHeight="1">
      <c r="A876" t="inlineStr">
        <is>
          <t>A 40601-2025</t>
        </is>
      </c>
      <c r="B876" t="inlineStr">
        <is>
          <t>avverkningsanmälan</t>
        </is>
      </c>
      <c r="C876" t="inlineStr">
        <is>
          <t>Föryngringsavverkning</t>
        </is>
      </c>
      <c r="D876" s="1" t="n">
        <v>45896</v>
      </c>
      <c r="E876" s="1" t="n">
        <v>46220</v>
      </c>
      <c r="F876" t="inlineStr">
        <is>
          <t>VÄRMLANDS LÄN</t>
        </is>
      </c>
      <c r="G876" t="inlineStr">
        <is>
          <t>ÅRJÄNG</t>
        </is>
      </c>
      <c r="I876" t="n">
        <v>2.1</v>
      </c>
      <c r="J876" t="n">
        <v>0</v>
      </c>
      <c r="K876" t="n">
        <v>0</v>
      </c>
      <c r="L876" t="n">
        <v>0</v>
      </c>
      <c r="M876" t="n">
        <v>0</v>
      </c>
      <c r="N876" t="n">
        <v>0</v>
      </c>
      <c r="O876" t="n">
        <v>0</v>
      </c>
      <c r="P876" t="n">
        <v>0</v>
      </c>
      <c r="Q876" t="n">
        <v>0</v>
      </c>
      <c r="R876" t="n">
        <v>0</v>
      </c>
      <c r="S876" t="n">
        <v>0</v>
      </c>
      <c r="T876" t="n">
        <v>0</v>
      </c>
      <c r="U876" s="2" t="inlineStr"/>
    </row>
    <row r="877" ht="15" customHeight="1">
      <c r="A877" t="inlineStr">
        <is>
          <t>A 1377-2023</t>
        </is>
      </c>
      <c r="B877" t="inlineStr">
        <is>
          <t>avverkningsanmälan</t>
        </is>
      </c>
      <c r="C877" t="inlineStr">
        <is>
          <t>Föryngringsavverkning</t>
        </is>
      </c>
      <c r="D877" s="1" t="n">
        <v>44936</v>
      </c>
      <c r="E877" s="1" t="n">
        <v>46220</v>
      </c>
      <c r="F877" t="inlineStr">
        <is>
          <t>VÄRMLANDS LÄN</t>
        </is>
      </c>
      <c r="G877" t="inlineStr">
        <is>
          <t>ÅRJÄNG</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21081-2023</t>
        </is>
      </c>
      <c r="B878" t="inlineStr">
        <is>
          <t>avverkningsanmälan</t>
        </is>
      </c>
      <c r="C878" t="inlineStr">
        <is>
          <t>Föryngringsavverkning</t>
        </is>
      </c>
      <c r="D878" s="1" t="n">
        <v>45057</v>
      </c>
      <c r="E878" s="1" t="n">
        <v>46220</v>
      </c>
      <c r="F878" t="inlineStr">
        <is>
          <t>VÄRMLANDS LÄN</t>
        </is>
      </c>
      <c r="G878" t="inlineStr">
        <is>
          <t>ÅRJÄNG</t>
        </is>
      </c>
      <c r="I878" t="n">
        <v>5.1</v>
      </c>
      <c r="J878" t="n">
        <v>0</v>
      </c>
      <c r="K878" t="n">
        <v>0</v>
      </c>
      <c r="L878" t="n">
        <v>0</v>
      </c>
      <c r="M878" t="n">
        <v>0</v>
      </c>
      <c r="N878" t="n">
        <v>0</v>
      </c>
      <c r="O878" t="n">
        <v>0</v>
      </c>
      <c r="P878" t="n">
        <v>0</v>
      </c>
      <c r="Q878" t="n">
        <v>0</v>
      </c>
      <c r="R878" t="n">
        <v>0</v>
      </c>
      <c r="S878" t="n">
        <v>0</v>
      </c>
      <c r="T878" t="n">
        <v>0</v>
      </c>
      <c r="U878" s="2" t="inlineStr"/>
    </row>
    <row r="879" ht="15" customHeight="1">
      <c r="A879" t="inlineStr">
        <is>
          <t>A 3729-2025</t>
        </is>
      </c>
      <c r="B879" t="inlineStr">
        <is>
          <t>avverkningsanmälan</t>
        </is>
      </c>
      <c r="C879" t="inlineStr">
        <is>
          <t>Föryngringsavverkning</t>
        </is>
      </c>
      <c r="D879" s="1" t="n">
        <v>45681</v>
      </c>
      <c r="E879" s="1" t="n">
        <v>46220</v>
      </c>
      <c r="F879" t="inlineStr">
        <is>
          <t>VÄRMLANDS LÄN</t>
        </is>
      </c>
      <c r="G879" t="inlineStr">
        <is>
          <t>ÅRJÄNG</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62357-2021</t>
        </is>
      </c>
      <c r="B880" t="inlineStr">
        <is>
          <t>avverkningsanmälan</t>
        </is>
      </c>
      <c r="C880" t="inlineStr">
        <is>
          <t>Föryngringsavverkning</t>
        </is>
      </c>
      <c r="D880" s="1" t="n">
        <v>44503</v>
      </c>
      <c r="E880" s="1" t="n">
        <v>46220</v>
      </c>
      <c r="F880" t="inlineStr">
        <is>
          <t>VÄRMLANDS LÄN</t>
        </is>
      </c>
      <c r="G880" t="inlineStr">
        <is>
          <t>ÅRJÄNG</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11899-2025</t>
        </is>
      </c>
      <c r="B881" t="inlineStr">
        <is>
          <t>avverkningsanmälan</t>
        </is>
      </c>
      <c r="C881" t="inlineStr">
        <is>
          <t>Föryngringsavverkning</t>
        </is>
      </c>
      <c r="D881" s="1" t="n">
        <v>45728</v>
      </c>
      <c r="E881" s="1" t="n">
        <v>46220</v>
      </c>
      <c r="F881" t="inlineStr">
        <is>
          <t>VÄRMLANDS LÄN</t>
        </is>
      </c>
      <c r="G881" t="inlineStr">
        <is>
          <t>ÅRJÄNG</t>
        </is>
      </c>
      <c r="I881" t="n">
        <v>3.9</v>
      </c>
      <c r="J881" t="n">
        <v>0</v>
      </c>
      <c r="K881" t="n">
        <v>0</v>
      </c>
      <c r="L881" t="n">
        <v>0</v>
      </c>
      <c r="M881" t="n">
        <v>0</v>
      </c>
      <c r="N881" t="n">
        <v>0</v>
      </c>
      <c r="O881" t="n">
        <v>0</v>
      </c>
      <c r="P881" t="n">
        <v>0</v>
      </c>
      <c r="Q881" t="n">
        <v>0</v>
      </c>
      <c r="R881" t="n">
        <v>0</v>
      </c>
      <c r="S881" t="n">
        <v>0</v>
      </c>
      <c r="T881" t="n">
        <v>0</v>
      </c>
      <c r="U881" s="2" t="inlineStr"/>
    </row>
    <row r="882" ht="15" customHeight="1">
      <c r="A882" t="inlineStr">
        <is>
          <t>A 33993-2025</t>
        </is>
      </c>
      <c r="B882" t="inlineStr">
        <is>
          <t>avverkningsanmälan</t>
        </is>
      </c>
      <c r="C882" t="inlineStr">
        <is>
          <t>Föryngringsavverkning</t>
        </is>
      </c>
      <c r="D882" s="1" t="n">
        <v>45843</v>
      </c>
      <c r="E882" s="1" t="n">
        <v>46220</v>
      </c>
      <c r="F882" t="inlineStr">
        <is>
          <t>VÄRMLANDS LÄN</t>
        </is>
      </c>
      <c r="G882" t="inlineStr">
        <is>
          <t>ÅRJÄNG</t>
        </is>
      </c>
      <c r="I882" t="n">
        <v>2.4</v>
      </c>
      <c r="J882" t="n">
        <v>0</v>
      </c>
      <c r="K882" t="n">
        <v>0</v>
      </c>
      <c r="L882" t="n">
        <v>0</v>
      </c>
      <c r="M882" t="n">
        <v>0</v>
      </c>
      <c r="N882" t="n">
        <v>0</v>
      </c>
      <c r="O882" t="n">
        <v>0</v>
      </c>
      <c r="P882" t="n">
        <v>0</v>
      </c>
      <c r="Q882" t="n">
        <v>0</v>
      </c>
      <c r="R882" t="n">
        <v>0</v>
      </c>
      <c r="S882" t="n">
        <v>0</v>
      </c>
      <c r="T882" t="n">
        <v>0</v>
      </c>
      <c r="U882" s="2" t="inlineStr"/>
    </row>
    <row r="883" ht="15" customHeight="1">
      <c r="A883" t="inlineStr">
        <is>
          <t>A 28382-2022</t>
        </is>
      </c>
      <c r="B883" t="inlineStr">
        <is>
          <t>avverkningsanmälan</t>
        </is>
      </c>
      <c r="C883" t="inlineStr">
        <is>
          <t>Föryngringsavverkning</t>
        </is>
      </c>
      <c r="D883" s="1" t="n">
        <v>44747</v>
      </c>
      <c r="E883" s="1" t="n">
        <v>46220</v>
      </c>
      <c r="F883" t="inlineStr">
        <is>
          <t>VÄRMLANDS LÄN</t>
        </is>
      </c>
      <c r="G883" t="inlineStr">
        <is>
          <t>ÅRJÄNG</t>
        </is>
      </c>
      <c r="H883" t="inlineStr">
        <is>
          <t>Naturvårdsverket</t>
        </is>
      </c>
      <c r="I883" t="n">
        <v>1</v>
      </c>
      <c r="J883" t="n">
        <v>0</v>
      </c>
      <c r="K883" t="n">
        <v>0</v>
      </c>
      <c r="L883" t="n">
        <v>0</v>
      </c>
      <c r="M883" t="n">
        <v>0</v>
      </c>
      <c r="N883" t="n">
        <v>0</v>
      </c>
      <c r="O883" t="n">
        <v>0</v>
      </c>
      <c r="P883" t="n">
        <v>0</v>
      </c>
      <c r="Q883" t="n">
        <v>0</v>
      </c>
      <c r="R883" t="n">
        <v>0</v>
      </c>
      <c r="S883" t="n">
        <v>0</v>
      </c>
      <c r="T883" t="n">
        <v>0</v>
      </c>
      <c r="U883" s="2" t="inlineStr"/>
    </row>
    <row r="884" ht="15" customHeight="1">
      <c r="A884" t="inlineStr">
        <is>
          <t>A 28439-2022</t>
        </is>
      </c>
      <c r="B884" t="inlineStr">
        <is>
          <t>avverkningsanmälan</t>
        </is>
      </c>
      <c r="C884" t="inlineStr">
        <is>
          <t>Föryngringsavverkning</t>
        </is>
      </c>
      <c r="D884" s="1" t="n">
        <v>44747</v>
      </c>
      <c r="E884" s="1" t="n">
        <v>46220</v>
      </c>
      <c r="F884" t="inlineStr">
        <is>
          <t>VÄRMLANDS LÄN</t>
        </is>
      </c>
      <c r="G884" t="inlineStr">
        <is>
          <t>ÅRJÄNG</t>
        </is>
      </c>
      <c r="I884" t="n">
        <v>8.699999999999999</v>
      </c>
      <c r="J884" t="n">
        <v>0</v>
      </c>
      <c r="K884" t="n">
        <v>0</v>
      </c>
      <c r="L884" t="n">
        <v>0</v>
      </c>
      <c r="M884" t="n">
        <v>0</v>
      </c>
      <c r="N884" t="n">
        <v>0</v>
      </c>
      <c r="O884" t="n">
        <v>0</v>
      </c>
      <c r="P884" t="n">
        <v>0</v>
      </c>
      <c r="Q884" t="n">
        <v>0</v>
      </c>
      <c r="R884" t="n">
        <v>0</v>
      </c>
      <c r="S884" t="n">
        <v>0</v>
      </c>
      <c r="T884" t="n">
        <v>0</v>
      </c>
      <c r="U884" s="2" t="inlineStr"/>
    </row>
    <row r="885" ht="15" customHeight="1">
      <c r="A885" t="inlineStr">
        <is>
          <t>A 19245-2024</t>
        </is>
      </c>
      <c r="B885" t="inlineStr">
        <is>
          <t>avverkningsanmälan</t>
        </is>
      </c>
      <c r="C885" t="inlineStr">
        <is>
          <t>Föryngringsavverkning</t>
        </is>
      </c>
      <c r="D885" s="1" t="n">
        <v>45428</v>
      </c>
      <c r="E885" s="1" t="n">
        <v>46220</v>
      </c>
      <c r="F885" t="inlineStr">
        <is>
          <t>VÄRMLANDS LÄN</t>
        </is>
      </c>
      <c r="G885" t="inlineStr">
        <is>
          <t>ÅRJÄNG</t>
        </is>
      </c>
      <c r="H885" t="inlineStr">
        <is>
          <t>Bergvik skog väst AB</t>
        </is>
      </c>
      <c r="I885" t="n">
        <v>3</v>
      </c>
      <c r="J885" t="n">
        <v>0</v>
      </c>
      <c r="K885" t="n">
        <v>0</v>
      </c>
      <c r="L885" t="n">
        <v>0</v>
      </c>
      <c r="M885" t="n">
        <v>0</v>
      </c>
      <c r="N885" t="n">
        <v>0</v>
      </c>
      <c r="O885" t="n">
        <v>0</v>
      </c>
      <c r="P885" t="n">
        <v>0</v>
      </c>
      <c r="Q885" t="n">
        <v>0</v>
      </c>
      <c r="R885" t="n">
        <v>0</v>
      </c>
      <c r="S885" t="n">
        <v>0</v>
      </c>
      <c r="T885" t="n">
        <v>0</v>
      </c>
      <c r="U885" s="2" t="inlineStr"/>
    </row>
    <row r="886" ht="15" customHeight="1">
      <c r="A886" t="inlineStr">
        <is>
          <t>A 38707-2023</t>
        </is>
      </c>
      <c r="B886" t="inlineStr">
        <is>
          <t>avverkningsanmälan</t>
        </is>
      </c>
      <c r="C886" t="inlineStr">
        <is>
          <t>Föryngringsavverkning</t>
        </is>
      </c>
      <c r="D886" s="1" t="n">
        <v>45163</v>
      </c>
      <c r="E886" s="1" t="n">
        <v>46220</v>
      </c>
      <c r="F886" t="inlineStr">
        <is>
          <t>VÄRMLANDS LÄN</t>
        </is>
      </c>
      <c r="G886" t="inlineStr">
        <is>
          <t>ÅRJÄNG</t>
        </is>
      </c>
      <c r="I886" t="n">
        <v>2.8</v>
      </c>
      <c r="J886" t="n">
        <v>0</v>
      </c>
      <c r="K886" t="n">
        <v>0</v>
      </c>
      <c r="L886" t="n">
        <v>0</v>
      </c>
      <c r="M886" t="n">
        <v>0</v>
      </c>
      <c r="N886" t="n">
        <v>0</v>
      </c>
      <c r="O886" t="n">
        <v>0</v>
      </c>
      <c r="P886" t="n">
        <v>0</v>
      </c>
      <c r="Q886" t="n">
        <v>0</v>
      </c>
      <c r="R886" t="n">
        <v>0</v>
      </c>
      <c r="S886" t="n">
        <v>0</v>
      </c>
      <c r="T886" t="n">
        <v>0</v>
      </c>
      <c r="U886" s="2" t="inlineStr"/>
    </row>
    <row r="887" ht="15" customHeight="1">
      <c r="A887" t="inlineStr">
        <is>
          <t>A 47225-2025</t>
        </is>
      </c>
      <c r="B887" t="inlineStr">
        <is>
          <t>avverkningsanmälan</t>
        </is>
      </c>
      <c r="C887" t="inlineStr">
        <is>
          <t>Föryngringsavverkning</t>
        </is>
      </c>
      <c r="D887" s="1" t="n">
        <v>45930</v>
      </c>
      <c r="E887" s="1" t="n">
        <v>46220</v>
      </c>
      <c r="F887" t="inlineStr">
        <is>
          <t>VÄRMLANDS LÄN</t>
        </is>
      </c>
      <c r="G887" t="inlineStr">
        <is>
          <t>ÅRJÄNG</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26758-2025</t>
        </is>
      </c>
      <c r="B888" t="inlineStr">
        <is>
          <t>avverkningsanmälan</t>
        </is>
      </c>
      <c r="C888" t="inlineStr">
        <is>
          <t>Föryngringsavverkning</t>
        </is>
      </c>
      <c r="D888" s="1" t="n">
        <v>45807</v>
      </c>
      <c r="E888" s="1" t="n">
        <v>46220</v>
      </c>
      <c r="F888" t="inlineStr">
        <is>
          <t>VÄRMLANDS LÄN</t>
        </is>
      </c>
      <c r="G888" t="inlineStr">
        <is>
          <t>ÅRJÄNG</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57062-2022</t>
        </is>
      </c>
      <c r="B889" t="inlineStr">
        <is>
          <t>avverkningsanmälan</t>
        </is>
      </c>
      <c r="C889" t="inlineStr">
        <is>
          <t>Föryngringsavverkning</t>
        </is>
      </c>
      <c r="D889" s="1" t="n">
        <v>44895</v>
      </c>
      <c r="E889" s="1" t="n">
        <v>46220</v>
      </c>
      <c r="F889" t="inlineStr">
        <is>
          <t>VÄRMLANDS LÄN</t>
        </is>
      </c>
      <c r="G889" t="inlineStr">
        <is>
          <t>ÅRJÄNG</t>
        </is>
      </c>
      <c r="I889" t="n">
        <v>2.2</v>
      </c>
      <c r="J889" t="n">
        <v>0</v>
      </c>
      <c r="K889" t="n">
        <v>0</v>
      </c>
      <c r="L889" t="n">
        <v>0</v>
      </c>
      <c r="M889" t="n">
        <v>0</v>
      </c>
      <c r="N889" t="n">
        <v>0</v>
      </c>
      <c r="O889" t="n">
        <v>0</v>
      </c>
      <c r="P889" t="n">
        <v>0</v>
      </c>
      <c r="Q889" t="n">
        <v>0</v>
      </c>
      <c r="R889" t="n">
        <v>0</v>
      </c>
      <c r="S889" t="n">
        <v>0</v>
      </c>
      <c r="T889" t="n">
        <v>0</v>
      </c>
      <c r="U889" s="2" t="inlineStr"/>
    </row>
    <row r="890" ht="15" customHeight="1">
      <c r="A890" t="inlineStr">
        <is>
          <t>A 8678-2022</t>
        </is>
      </c>
      <c r="B890" t="inlineStr">
        <is>
          <t>avverkningsanmälan</t>
        </is>
      </c>
      <c r="C890" t="inlineStr">
        <is>
          <t>Föryngringsavverkning</t>
        </is>
      </c>
      <c r="D890" s="1" t="n">
        <v>44613</v>
      </c>
      <c r="E890" s="1" t="n">
        <v>46220</v>
      </c>
      <c r="F890" t="inlineStr">
        <is>
          <t>VÄRMLANDS LÄN</t>
        </is>
      </c>
      <c r="G890" t="inlineStr">
        <is>
          <t>ÅRJÄNG</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56168-2024</t>
        </is>
      </c>
      <c r="B891" t="inlineStr">
        <is>
          <t>avverkningsanmälan</t>
        </is>
      </c>
      <c r="C891" t="inlineStr">
        <is>
          <t>Föryngringsavverkning</t>
        </is>
      </c>
      <c r="D891" s="1" t="n">
        <v>45623</v>
      </c>
      <c r="E891" s="1" t="n">
        <v>46220</v>
      </c>
      <c r="F891" t="inlineStr">
        <is>
          <t>VÄRMLANDS LÄN</t>
        </is>
      </c>
      <c r="G891" t="inlineStr">
        <is>
          <t>ÅRJÄNG</t>
        </is>
      </c>
      <c r="I891" t="n">
        <v>2.3</v>
      </c>
      <c r="J891" t="n">
        <v>0</v>
      </c>
      <c r="K891" t="n">
        <v>0</v>
      </c>
      <c r="L891" t="n">
        <v>0</v>
      </c>
      <c r="M891" t="n">
        <v>0</v>
      </c>
      <c r="N891" t="n">
        <v>0</v>
      </c>
      <c r="O891" t="n">
        <v>0</v>
      </c>
      <c r="P891" t="n">
        <v>0</v>
      </c>
      <c r="Q891" t="n">
        <v>0</v>
      </c>
      <c r="R891" t="n">
        <v>0</v>
      </c>
      <c r="S891" t="n">
        <v>0</v>
      </c>
      <c r="T891" t="n">
        <v>0</v>
      </c>
      <c r="U891" s="2" t="inlineStr"/>
    </row>
    <row r="892" ht="15" customHeight="1">
      <c r="A892" t="inlineStr">
        <is>
          <t>A 4784-2023</t>
        </is>
      </c>
      <c r="B892" t="inlineStr">
        <is>
          <t>avverkningsanmälan</t>
        </is>
      </c>
      <c r="C892" t="inlineStr">
        <is>
          <t>Föryngringsavverkning</t>
        </is>
      </c>
      <c r="D892" s="1" t="n">
        <v>44957</v>
      </c>
      <c r="E892" s="1" t="n">
        <v>46220</v>
      </c>
      <c r="F892" t="inlineStr">
        <is>
          <t>VÄRMLANDS LÄN</t>
        </is>
      </c>
      <c r="G892" t="inlineStr">
        <is>
          <t>ÅRJÄNG</t>
        </is>
      </c>
      <c r="I892" t="n">
        <v>0.9</v>
      </c>
      <c r="J892" t="n">
        <v>0</v>
      </c>
      <c r="K892" t="n">
        <v>0</v>
      </c>
      <c r="L892" t="n">
        <v>0</v>
      </c>
      <c r="M892" t="n">
        <v>0</v>
      </c>
      <c r="N892" t="n">
        <v>0</v>
      </c>
      <c r="O892" t="n">
        <v>0</v>
      </c>
      <c r="P892" t="n">
        <v>0</v>
      </c>
      <c r="Q892" t="n">
        <v>0</v>
      </c>
      <c r="R892" t="n">
        <v>0</v>
      </c>
      <c r="S892" t="n">
        <v>0</v>
      </c>
      <c r="T892" t="n">
        <v>0</v>
      </c>
      <c r="U892" s="2" t="inlineStr"/>
    </row>
    <row r="893" ht="15" customHeight="1">
      <c r="A893" t="inlineStr">
        <is>
          <t>A 28710-2025</t>
        </is>
      </c>
      <c r="B893" t="inlineStr">
        <is>
          <t>avverkningsanmälan</t>
        </is>
      </c>
      <c r="C893" t="inlineStr">
        <is>
          <t>Föryngringsavverkning</t>
        </is>
      </c>
      <c r="D893" s="1" t="n">
        <v>45820</v>
      </c>
      <c r="E893" s="1" t="n">
        <v>46220</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21177-2023</t>
        </is>
      </c>
      <c r="B894" t="inlineStr">
        <is>
          <t>avverkningsanmälan</t>
        </is>
      </c>
      <c r="C894" t="inlineStr">
        <is>
          <t>Föryngringsavverkning</t>
        </is>
      </c>
      <c r="D894" s="1" t="n">
        <v>45062</v>
      </c>
      <c r="E894" s="1" t="n">
        <v>46220</v>
      </c>
      <c r="F894" t="inlineStr">
        <is>
          <t>VÄRMLANDS LÄN</t>
        </is>
      </c>
      <c r="G894" t="inlineStr">
        <is>
          <t>ÅRJÄNG</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29138-2025</t>
        </is>
      </c>
      <c r="B895" t="inlineStr">
        <is>
          <t>avverkningsanmälan</t>
        </is>
      </c>
      <c r="C895" t="inlineStr">
        <is>
          <t>Föryngringsavverkning</t>
        </is>
      </c>
      <c r="D895" s="1" t="n">
        <v>45821</v>
      </c>
      <c r="E895" s="1" t="n">
        <v>46220</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s="2" t="inlineStr"/>
    </row>
    <row r="896" ht="15" customHeight="1">
      <c r="A896" t="inlineStr">
        <is>
          <t>A 28797-2025</t>
        </is>
      </c>
      <c r="B896" t="inlineStr">
        <is>
          <t>avverkningsanmälan</t>
        </is>
      </c>
      <c r="C896" t="inlineStr">
        <is>
          <t>Föryngringsavverkning</t>
        </is>
      </c>
      <c r="D896" s="1" t="n">
        <v>45820</v>
      </c>
      <c r="E896" s="1" t="n">
        <v>46220</v>
      </c>
      <c r="F896" t="inlineStr">
        <is>
          <t>VÄRMLANDS LÄN</t>
        </is>
      </c>
      <c r="G896" t="inlineStr">
        <is>
          <t>ÅRJÄNG</t>
        </is>
      </c>
      <c r="I896" t="n">
        <v>3</v>
      </c>
      <c r="J896" t="n">
        <v>0</v>
      </c>
      <c r="K896" t="n">
        <v>0</v>
      </c>
      <c r="L896" t="n">
        <v>0</v>
      </c>
      <c r="M896" t="n">
        <v>0</v>
      </c>
      <c r="N896" t="n">
        <v>0</v>
      </c>
      <c r="O896" t="n">
        <v>0</v>
      </c>
      <c r="P896" t="n">
        <v>0</v>
      </c>
      <c r="Q896" t="n">
        <v>0</v>
      </c>
      <c r="R896" t="n">
        <v>0</v>
      </c>
      <c r="S896" t="n">
        <v>0</v>
      </c>
      <c r="T896" t="n">
        <v>0</v>
      </c>
      <c r="U896" s="2" t="inlineStr"/>
    </row>
    <row r="897" ht="15" customHeight="1">
      <c r="A897" t="inlineStr">
        <is>
          <t>A 10519-2022</t>
        </is>
      </c>
      <c r="B897" t="inlineStr">
        <is>
          <t>avverkningsanmälan</t>
        </is>
      </c>
      <c r="C897" t="inlineStr">
        <is>
          <t>Föryngringsavverkning</t>
        </is>
      </c>
      <c r="D897" s="1" t="n">
        <v>44623</v>
      </c>
      <c r="E897" s="1" t="n">
        <v>46220</v>
      </c>
      <c r="F897" t="inlineStr">
        <is>
          <t>VÄRMLANDS LÄN</t>
        </is>
      </c>
      <c r="G897" t="inlineStr">
        <is>
          <t>ÅRJÄNG</t>
        </is>
      </c>
      <c r="I897" t="n">
        <v>3.4</v>
      </c>
      <c r="J897" t="n">
        <v>0</v>
      </c>
      <c r="K897" t="n">
        <v>0</v>
      </c>
      <c r="L897" t="n">
        <v>0</v>
      </c>
      <c r="M897" t="n">
        <v>0</v>
      </c>
      <c r="N897" t="n">
        <v>0</v>
      </c>
      <c r="O897" t="n">
        <v>0</v>
      </c>
      <c r="P897" t="n">
        <v>0</v>
      </c>
      <c r="Q897" t="n">
        <v>0</v>
      </c>
      <c r="R897" t="n">
        <v>0</v>
      </c>
      <c r="S897" t="n">
        <v>0</v>
      </c>
      <c r="T897" t="n">
        <v>0</v>
      </c>
      <c r="U897" s="2" t="inlineStr"/>
    </row>
    <row r="898" ht="15" customHeight="1">
      <c r="A898" t="inlineStr">
        <is>
          <t>A 3492-2024</t>
        </is>
      </c>
      <c r="B898" t="inlineStr">
        <is>
          <t>avverkningsanmälan</t>
        </is>
      </c>
      <c r="C898" t="inlineStr">
        <is>
          <t>Föryngringsavverkning</t>
        </is>
      </c>
      <c r="D898" s="1" t="n">
        <v>45317</v>
      </c>
      <c r="E898" s="1" t="n">
        <v>46220</v>
      </c>
      <c r="F898" t="inlineStr">
        <is>
          <t>VÄRMLANDS LÄN</t>
        </is>
      </c>
      <c r="G898" t="inlineStr">
        <is>
          <t>ÅRJÄNG</t>
        </is>
      </c>
      <c r="I898" t="n">
        <v>8.699999999999999</v>
      </c>
      <c r="J898" t="n">
        <v>0</v>
      </c>
      <c r="K898" t="n">
        <v>0</v>
      </c>
      <c r="L898" t="n">
        <v>0</v>
      </c>
      <c r="M898" t="n">
        <v>0</v>
      </c>
      <c r="N898" t="n">
        <v>0</v>
      </c>
      <c r="O898" t="n">
        <v>0</v>
      </c>
      <c r="P898" t="n">
        <v>0</v>
      </c>
      <c r="Q898" t="n">
        <v>0</v>
      </c>
      <c r="R898" t="n">
        <v>0</v>
      </c>
      <c r="S898" t="n">
        <v>0</v>
      </c>
      <c r="T898" t="n">
        <v>0</v>
      </c>
      <c r="U898" s="2" t="inlineStr"/>
    </row>
    <row r="899" ht="15" customHeight="1">
      <c r="A899" t="inlineStr">
        <is>
          <t>A 5931-2023</t>
        </is>
      </c>
      <c r="B899" t="inlineStr">
        <is>
          <t>avverkningsanmälan</t>
        </is>
      </c>
      <c r="C899" t="inlineStr">
        <is>
          <t>Föryngringsavverkning</t>
        </is>
      </c>
      <c r="D899" s="1" t="n">
        <v>44963</v>
      </c>
      <c r="E899" s="1" t="n">
        <v>46220</v>
      </c>
      <c r="F899" t="inlineStr">
        <is>
          <t>VÄRMLANDS LÄN</t>
        </is>
      </c>
      <c r="G899" t="inlineStr">
        <is>
          <t>ÅRJÄNG</t>
        </is>
      </c>
      <c r="I899" t="n">
        <v>0.8</v>
      </c>
      <c r="J899" t="n">
        <v>0</v>
      </c>
      <c r="K899" t="n">
        <v>0</v>
      </c>
      <c r="L899" t="n">
        <v>0</v>
      </c>
      <c r="M899" t="n">
        <v>0</v>
      </c>
      <c r="N899" t="n">
        <v>0</v>
      </c>
      <c r="O899" t="n">
        <v>0</v>
      </c>
      <c r="P899" t="n">
        <v>0</v>
      </c>
      <c r="Q899" t="n">
        <v>0</v>
      </c>
      <c r="R899" t="n">
        <v>0</v>
      </c>
      <c r="S899" t="n">
        <v>0</v>
      </c>
      <c r="T899" t="n">
        <v>0</v>
      </c>
      <c r="U899" s="2" t="inlineStr"/>
    </row>
    <row r="900" ht="15" customHeight="1">
      <c r="A900" t="inlineStr">
        <is>
          <t>A 38482-2024</t>
        </is>
      </c>
      <c r="B900" t="inlineStr">
        <is>
          <t>avverkningsanmälan</t>
        </is>
      </c>
      <c r="C900" t="inlineStr">
        <is>
          <t>Föryngringsavverkning</t>
        </is>
      </c>
      <c r="D900" s="1" t="n">
        <v>45546</v>
      </c>
      <c r="E900" s="1" t="n">
        <v>46220</v>
      </c>
      <c r="F900" t="inlineStr">
        <is>
          <t>VÄRMLANDS LÄN</t>
        </is>
      </c>
      <c r="G900" t="inlineStr">
        <is>
          <t>ÅRJÄNG</t>
        </is>
      </c>
      <c r="I900" t="n">
        <v>2.8</v>
      </c>
      <c r="J900" t="n">
        <v>0</v>
      </c>
      <c r="K900" t="n">
        <v>0</v>
      </c>
      <c r="L900" t="n">
        <v>0</v>
      </c>
      <c r="M900" t="n">
        <v>0</v>
      </c>
      <c r="N900" t="n">
        <v>0</v>
      </c>
      <c r="O900" t="n">
        <v>0</v>
      </c>
      <c r="P900" t="n">
        <v>0</v>
      </c>
      <c r="Q900" t="n">
        <v>0</v>
      </c>
      <c r="R900" t="n">
        <v>0</v>
      </c>
      <c r="S900" t="n">
        <v>0</v>
      </c>
      <c r="T900" t="n">
        <v>0</v>
      </c>
      <c r="U900" s="2" t="inlineStr"/>
    </row>
    <row r="901" ht="15" customHeight="1">
      <c r="A901" t="inlineStr">
        <is>
          <t>A 58769-2024</t>
        </is>
      </c>
      <c r="B901" t="inlineStr">
        <is>
          <t>avverkningsanmälan</t>
        </is>
      </c>
      <c r="C901" t="inlineStr">
        <is>
          <t>Föryngringsavverkning</t>
        </is>
      </c>
      <c r="D901" s="1" t="n">
        <v>45635</v>
      </c>
      <c r="E901" s="1" t="n">
        <v>46220</v>
      </c>
      <c r="F901" t="inlineStr">
        <is>
          <t>VÄRMLANDS LÄN</t>
        </is>
      </c>
      <c r="G901" t="inlineStr">
        <is>
          <t>ÅRJÄNG</t>
        </is>
      </c>
      <c r="I901" t="n">
        <v>1.3</v>
      </c>
      <c r="J901" t="n">
        <v>0</v>
      </c>
      <c r="K901" t="n">
        <v>0</v>
      </c>
      <c r="L901" t="n">
        <v>0</v>
      </c>
      <c r="M901" t="n">
        <v>0</v>
      </c>
      <c r="N901" t="n">
        <v>0</v>
      </c>
      <c r="O901" t="n">
        <v>0</v>
      </c>
      <c r="P901" t="n">
        <v>0</v>
      </c>
      <c r="Q901" t="n">
        <v>0</v>
      </c>
      <c r="R901" t="n">
        <v>0</v>
      </c>
      <c r="S901" t="n">
        <v>0</v>
      </c>
      <c r="T901" t="n">
        <v>0</v>
      </c>
      <c r="U901" s="2" t="inlineStr"/>
    </row>
    <row r="902" ht="15" customHeight="1">
      <c r="A902" t="inlineStr">
        <is>
          <t>A 33832-2025</t>
        </is>
      </c>
      <c r="B902" t="inlineStr">
        <is>
          <t>avverkningsanmälan</t>
        </is>
      </c>
      <c r="C902" t="inlineStr">
        <is>
          <t>Föryngringsavverkning</t>
        </is>
      </c>
      <c r="D902" s="1" t="n">
        <v>45842</v>
      </c>
      <c r="E902" s="1" t="n">
        <v>46220</v>
      </c>
      <c r="F902" t="inlineStr">
        <is>
          <t>VÄRMLANDS LÄN</t>
        </is>
      </c>
      <c r="G902" t="inlineStr">
        <is>
          <t>ÅRJÄNG</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45634-2023</t>
        </is>
      </c>
      <c r="B903" t="inlineStr">
        <is>
          <t>avverkningsanmälan</t>
        </is>
      </c>
      <c r="C903" t="inlineStr">
        <is>
          <t>Föryngringsavverkning</t>
        </is>
      </c>
      <c r="D903" s="1" t="n">
        <v>45194</v>
      </c>
      <c r="E903" s="1" t="n">
        <v>46220</v>
      </c>
      <c r="F903" t="inlineStr">
        <is>
          <t>VÄRMLANDS LÄN</t>
        </is>
      </c>
      <c r="G903" t="inlineStr">
        <is>
          <t>ÅRJÄNG</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A 45643-2023</t>
        </is>
      </c>
      <c r="B904" t="inlineStr">
        <is>
          <t>avverkningsanmälan</t>
        </is>
      </c>
      <c r="C904" t="inlineStr">
        <is>
          <t>Föryngringsavverkning</t>
        </is>
      </c>
      <c r="D904" s="1" t="n">
        <v>45194</v>
      </c>
      <c r="E904" s="1" t="n">
        <v>46220</v>
      </c>
      <c r="F904" t="inlineStr">
        <is>
          <t>VÄRMLANDS LÄN</t>
        </is>
      </c>
      <c r="G904" t="inlineStr">
        <is>
          <t>ÅRJÄNG</t>
        </is>
      </c>
      <c r="I904" t="n">
        <v>1.2</v>
      </c>
      <c r="J904" t="n">
        <v>0</v>
      </c>
      <c r="K904" t="n">
        <v>0</v>
      </c>
      <c r="L904" t="n">
        <v>0</v>
      </c>
      <c r="M904" t="n">
        <v>0</v>
      </c>
      <c r="N904" t="n">
        <v>0</v>
      </c>
      <c r="O904" t="n">
        <v>0</v>
      </c>
      <c r="P904" t="n">
        <v>0</v>
      </c>
      <c r="Q904" t="n">
        <v>0</v>
      </c>
      <c r="R904" t="n">
        <v>0</v>
      </c>
      <c r="S904" t="n">
        <v>0</v>
      </c>
      <c r="T904" t="n">
        <v>0</v>
      </c>
      <c r="U904" s="2" t="inlineStr"/>
    </row>
    <row r="905" ht="15" customHeight="1">
      <c r="A905" t="inlineStr">
        <is>
          <t>A 5332-2025</t>
        </is>
      </c>
      <c r="B905" t="inlineStr">
        <is>
          <t>avverkningsanmälan</t>
        </is>
      </c>
      <c r="C905" t="inlineStr">
        <is>
          <t>Föryngringsavverkning</t>
        </is>
      </c>
      <c r="D905" s="1" t="n">
        <v>45692</v>
      </c>
      <c r="E905" s="1" t="n">
        <v>46220</v>
      </c>
      <c r="F905" t="inlineStr">
        <is>
          <t>VÄRMLANDS LÄN</t>
        </is>
      </c>
      <c r="G905" t="inlineStr">
        <is>
          <t>ÅRJÄNG</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34387-2023</t>
        </is>
      </c>
      <c r="B906" t="inlineStr">
        <is>
          <t>avverkningsanmälan</t>
        </is>
      </c>
      <c r="C906" t="inlineStr">
        <is>
          <t>Föryngringsavverkning</t>
        </is>
      </c>
      <c r="D906" s="1" t="n">
        <v>45139</v>
      </c>
      <c r="E906" s="1" t="n">
        <v>46220</v>
      </c>
      <c r="F906" t="inlineStr">
        <is>
          <t>VÄRMLANDS LÄN</t>
        </is>
      </c>
      <c r="G906" t="inlineStr">
        <is>
          <t>ÅRJÄNG</t>
        </is>
      </c>
      <c r="I906" t="n">
        <v>2.6</v>
      </c>
      <c r="J906" t="n">
        <v>0</v>
      </c>
      <c r="K906" t="n">
        <v>0</v>
      </c>
      <c r="L906" t="n">
        <v>0</v>
      </c>
      <c r="M906" t="n">
        <v>0</v>
      </c>
      <c r="N906" t="n">
        <v>0</v>
      </c>
      <c r="O906" t="n">
        <v>0</v>
      </c>
      <c r="P906" t="n">
        <v>0</v>
      </c>
      <c r="Q906" t="n">
        <v>0</v>
      </c>
      <c r="R906" t="n">
        <v>0</v>
      </c>
      <c r="S906" t="n">
        <v>0</v>
      </c>
      <c r="T906" t="n">
        <v>0</v>
      </c>
      <c r="U906" s="2" t="inlineStr"/>
    </row>
    <row r="907" ht="15" customHeight="1">
      <c r="A907" t="inlineStr">
        <is>
          <t>A 34410-2023</t>
        </is>
      </c>
      <c r="B907" t="inlineStr">
        <is>
          <t>avverkningsanmälan</t>
        </is>
      </c>
      <c r="C907" t="inlineStr">
        <is>
          <t>Föryngringsavverkning</t>
        </is>
      </c>
      <c r="D907" s="1" t="n">
        <v>45139</v>
      </c>
      <c r="E907" s="1" t="n">
        <v>46220</v>
      </c>
      <c r="F907" t="inlineStr">
        <is>
          <t>VÄRMLANDS LÄN</t>
        </is>
      </c>
      <c r="G907" t="inlineStr">
        <is>
          <t>ÅRJÄNG</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34889-2022</t>
        </is>
      </c>
      <c r="B908" t="inlineStr">
        <is>
          <t>avverkningsanmälan</t>
        </is>
      </c>
      <c r="C908" t="inlineStr">
        <is>
          <t>Föryngringsavverkning</t>
        </is>
      </c>
      <c r="D908" s="1" t="n">
        <v>44796</v>
      </c>
      <c r="E908" s="1" t="n">
        <v>46220</v>
      </c>
      <c r="F908" t="inlineStr">
        <is>
          <t>VÄRMLANDS LÄN</t>
        </is>
      </c>
      <c r="G908" t="inlineStr">
        <is>
          <t>ÅRJÄNG</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34574-2023</t>
        </is>
      </c>
      <c r="B909" t="inlineStr">
        <is>
          <t>avverkningsanmälan</t>
        </is>
      </c>
      <c r="C909" t="inlineStr">
        <is>
          <t>Föryngringsavverkning</t>
        </is>
      </c>
      <c r="D909" s="1" t="n">
        <v>45135</v>
      </c>
      <c r="E909" s="1" t="n">
        <v>46220</v>
      </c>
      <c r="F909" t="inlineStr">
        <is>
          <t>VÄRMLANDS LÄN</t>
        </is>
      </c>
      <c r="G909" t="inlineStr">
        <is>
          <t>ÅRJÄNG</t>
        </is>
      </c>
      <c r="H909" t="inlineStr">
        <is>
          <t>Övriga Aktiebolag</t>
        </is>
      </c>
      <c r="I909" t="n">
        <v>5.9</v>
      </c>
      <c r="J909" t="n">
        <v>0</v>
      </c>
      <c r="K909" t="n">
        <v>0</v>
      </c>
      <c r="L909" t="n">
        <v>0</v>
      </c>
      <c r="M909" t="n">
        <v>0</v>
      </c>
      <c r="N909" t="n">
        <v>0</v>
      </c>
      <c r="O909" t="n">
        <v>0</v>
      </c>
      <c r="P909" t="n">
        <v>0</v>
      </c>
      <c r="Q909" t="n">
        <v>0</v>
      </c>
      <c r="R909" t="n">
        <v>0</v>
      </c>
      <c r="S909" t="n">
        <v>0</v>
      </c>
      <c r="T909" t="n">
        <v>0</v>
      </c>
      <c r="U909" s="2" t="inlineStr"/>
    </row>
    <row r="910" ht="15" customHeight="1">
      <c r="A910" t="inlineStr">
        <is>
          <t>A 61009-2022</t>
        </is>
      </c>
      <c r="B910" t="inlineStr">
        <is>
          <t>avverkningsanmälan</t>
        </is>
      </c>
      <c r="C910" t="inlineStr">
        <is>
          <t>Föryngringsavverkning</t>
        </is>
      </c>
      <c r="D910" s="1" t="n">
        <v>44914</v>
      </c>
      <c r="E910" s="1" t="n">
        <v>46220</v>
      </c>
      <c r="F910" t="inlineStr">
        <is>
          <t>VÄRMLANDS LÄN</t>
        </is>
      </c>
      <c r="G910" t="inlineStr">
        <is>
          <t>ÅRJÄNG</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34230-2025</t>
        </is>
      </c>
      <c r="B911" t="inlineStr">
        <is>
          <t>avverkningsanmälan</t>
        </is>
      </c>
      <c r="C911" t="inlineStr">
        <is>
          <t>Föryngringsavverkning</t>
        </is>
      </c>
      <c r="D911" s="1" t="n">
        <v>45845</v>
      </c>
      <c r="E911" s="1" t="n">
        <v>46220</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61053-2025</t>
        </is>
      </c>
      <c r="B912" t="inlineStr">
        <is>
          <t>avverkningsanmälan</t>
        </is>
      </c>
      <c r="C912" t="inlineStr">
        <is>
          <t>Föryngringsavverkning</t>
        </is>
      </c>
      <c r="D912" s="1" t="n">
        <v>46000</v>
      </c>
      <c r="E912" s="1" t="n">
        <v>46220</v>
      </c>
      <c r="F912" t="inlineStr">
        <is>
          <t>VÄRMLANDS LÄN</t>
        </is>
      </c>
      <c r="G912" t="inlineStr">
        <is>
          <t>ÅRJÄNG</t>
        </is>
      </c>
      <c r="I912" t="n">
        <v>4.4</v>
      </c>
      <c r="J912" t="n">
        <v>0</v>
      </c>
      <c r="K912" t="n">
        <v>0</v>
      </c>
      <c r="L912" t="n">
        <v>0</v>
      </c>
      <c r="M912" t="n">
        <v>0</v>
      </c>
      <c r="N912" t="n">
        <v>0</v>
      </c>
      <c r="O912" t="n">
        <v>0</v>
      </c>
      <c r="P912" t="n">
        <v>0</v>
      </c>
      <c r="Q912" t="n">
        <v>0</v>
      </c>
      <c r="R912" t="n">
        <v>0</v>
      </c>
      <c r="S912" t="n">
        <v>0</v>
      </c>
      <c r="T912" t="n">
        <v>0</v>
      </c>
      <c r="U912" s="2" t="inlineStr"/>
    </row>
    <row r="913" ht="15" customHeight="1">
      <c r="A913" t="inlineStr">
        <is>
          <t>A 57126-2024</t>
        </is>
      </c>
      <c r="B913" t="inlineStr">
        <is>
          <t>avverkningsanmälan</t>
        </is>
      </c>
      <c r="C913" t="inlineStr">
        <is>
          <t>Föryngringsavverkning</t>
        </is>
      </c>
      <c r="D913" s="1" t="n">
        <v>45629</v>
      </c>
      <c r="E913" s="1" t="n">
        <v>46220</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20553-2026</t>
        </is>
      </c>
      <c r="B914" t="inlineStr">
        <is>
          <t>avverkningsanmälan</t>
        </is>
      </c>
      <c r="C914" t="inlineStr">
        <is>
          <t>Föryngringsavverkning</t>
        </is>
      </c>
      <c r="D914" s="1" t="n">
        <v>46140</v>
      </c>
      <c r="E914" s="1" t="n">
        <v>46220</v>
      </c>
      <c r="F914" t="inlineStr">
        <is>
          <t>VÄRMLANDS LÄN</t>
        </is>
      </c>
      <c r="G914" t="inlineStr">
        <is>
          <t>ÅRJÄNG</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61873-2023</t>
        </is>
      </c>
      <c r="B915" t="inlineStr">
        <is>
          <t>avverkningsanmälan</t>
        </is>
      </c>
      <c r="C915" t="inlineStr">
        <is>
          <t>Föryngringsavverkning</t>
        </is>
      </c>
      <c r="D915" s="1" t="n">
        <v>45266</v>
      </c>
      <c r="E915" s="1" t="n">
        <v>46220</v>
      </c>
      <c r="F915" t="inlineStr">
        <is>
          <t>VÄRMLANDS LÄN</t>
        </is>
      </c>
      <c r="G915" t="inlineStr">
        <is>
          <t>ÅRJÄNG</t>
        </is>
      </c>
      <c r="I915" t="n">
        <v>8.199999999999999</v>
      </c>
      <c r="J915" t="n">
        <v>0</v>
      </c>
      <c r="K915" t="n">
        <v>0</v>
      </c>
      <c r="L915" t="n">
        <v>0</v>
      </c>
      <c r="M915" t="n">
        <v>0</v>
      </c>
      <c r="N915" t="n">
        <v>0</v>
      </c>
      <c r="O915" t="n">
        <v>0</v>
      </c>
      <c r="P915" t="n">
        <v>0</v>
      </c>
      <c r="Q915" t="n">
        <v>0</v>
      </c>
      <c r="R915" t="n">
        <v>0</v>
      </c>
      <c r="S915" t="n">
        <v>0</v>
      </c>
      <c r="T915" t="n">
        <v>0</v>
      </c>
      <c r="U915" s="2" t="inlineStr"/>
    </row>
    <row r="916" ht="15" customHeight="1">
      <c r="A916" t="inlineStr">
        <is>
          <t>A 1115-2024</t>
        </is>
      </c>
      <c r="B916" t="inlineStr">
        <is>
          <t>avverkningsanmälan</t>
        </is>
      </c>
      <c r="C916" t="inlineStr">
        <is>
          <t>Föryngringsavverkning</t>
        </is>
      </c>
      <c r="D916" s="1" t="n">
        <v>45302</v>
      </c>
      <c r="E916" s="1" t="n">
        <v>46220</v>
      </c>
      <c r="F916" t="inlineStr">
        <is>
          <t>VÄRMLANDS LÄN</t>
        </is>
      </c>
      <c r="G916" t="inlineStr">
        <is>
          <t>ÅRJÄNG</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19248-2025</t>
        </is>
      </c>
      <c r="B917" t="inlineStr">
        <is>
          <t>avverkningsanmälan</t>
        </is>
      </c>
      <c r="C917" t="inlineStr">
        <is>
          <t>Föryngringsavverkning</t>
        </is>
      </c>
      <c r="D917" s="1" t="n">
        <v>45769</v>
      </c>
      <c r="E917" s="1" t="n">
        <v>46220</v>
      </c>
      <c r="F917" t="inlineStr">
        <is>
          <t>VÄRMLANDS LÄN</t>
        </is>
      </c>
      <c r="G917" t="inlineStr">
        <is>
          <t>ÅRJÄNG</t>
        </is>
      </c>
      <c r="I917" t="n">
        <v>5.3</v>
      </c>
      <c r="J917" t="n">
        <v>0</v>
      </c>
      <c r="K917" t="n">
        <v>0</v>
      </c>
      <c r="L917" t="n">
        <v>0</v>
      </c>
      <c r="M917" t="n">
        <v>0</v>
      </c>
      <c r="N917" t="n">
        <v>0</v>
      </c>
      <c r="O917" t="n">
        <v>0</v>
      </c>
      <c r="P917" t="n">
        <v>0</v>
      </c>
      <c r="Q917" t="n">
        <v>0</v>
      </c>
      <c r="R917" t="n">
        <v>0</v>
      </c>
      <c r="S917" t="n">
        <v>0</v>
      </c>
      <c r="T917" t="n">
        <v>0</v>
      </c>
      <c r="U917" s="2" t="inlineStr"/>
    </row>
    <row r="918" ht="15" customHeight="1">
      <c r="A918" t="inlineStr">
        <is>
          <t>A 38167-2022</t>
        </is>
      </c>
      <c r="B918" t="inlineStr">
        <is>
          <t>avverkningsanmälan</t>
        </is>
      </c>
      <c r="C918" t="inlineStr">
        <is>
          <t>Föryngringsavverkning</t>
        </is>
      </c>
      <c r="D918" s="1" t="n">
        <v>44812</v>
      </c>
      <c r="E918" s="1" t="n">
        <v>46220</v>
      </c>
      <c r="F918" t="inlineStr">
        <is>
          <t>VÄRMLANDS LÄN</t>
        </is>
      </c>
      <c r="G918" t="inlineStr">
        <is>
          <t>ÅRJÄNG</t>
        </is>
      </c>
      <c r="I918" t="n">
        <v>10.5</v>
      </c>
      <c r="J918" t="n">
        <v>0</v>
      </c>
      <c r="K918" t="n">
        <v>0</v>
      </c>
      <c r="L918" t="n">
        <v>0</v>
      </c>
      <c r="M918" t="n">
        <v>0</v>
      </c>
      <c r="N918" t="n">
        <v>0</v>
      </c>
      <c r="O918" t="n">
        <v>0</v>
      </c>
      <c r="P918" t="n">
        <v>0</v>
      </c>
      <c r="Q918" t="n">
        <v>0</v>
      </c>
      <c r="R918" t="n">
        <v>0</v>
      </c>
      <c r="S918" t="n">
        <v>0</v>
      </c>
      <c r="T918" t="n">
        <v>0</v>
      </c>
      <c r="U918" s="2" t="inlineStr"/>
    </row>
    <row r="919" ht="15" customHeight="1">
      <c r="A919" t="inlineStr">
        <is>
          <t>A 61154-2021</t>
        </is>
      </c>
      <c r="B919" t="inlineStr">
        <is>
          <t>avverkningsanmälan</t>
        </is>
      </c>
      <c r="C919" t="inlineStr">
        <is>
          <t>Föryngringsavverkning</t>
        </is>
      </c>
      <c r="D919" s="1" t="n">
        <v>44497</v>
      </c>
      <c r="E919" s="1" t="n">
        <v>46220</v>
      </c>
      <c r="F919" t="inlineStr">
        <is>
          <t>VÄRMLANDS LÄN</t>
        </is>
      </c>
      <c r="G919" t="inlineStr">
        <is>
          <t>ÅRJÄNG</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54155-2025</t>
        </is>
      </c>
      <c r="B920" t="inlineStr">
        <is>
          <t>avverkningsanmälan</t>
        </is>
      </c>
      <c r="C920" t="inlineStr">
        <is>
          <t>Föryngringsavverkning</t>
        </is>
      </c>
      <c r="D920" s="1" t="n">
        <v>45964</v>
      </c>
      <c r="E920" s="1" t="n">
        <v>46220</v>
      </c>
      <c r="F920" t="inlineStr">
        <is>
          <t>VÄRMLANDS LÄN</t>
        </is>
      </c>
      <c r="G920" t="inlineStr">
        <is>
          <t>ÅRJÄNG</t>
        </is>
      </c>
      <c r="I920" t="n">
        <v>7.2</v>
      </c>
      <c r="J920" t="n">
        <v>0</v>
      </c>
      <c r="K920" t="n">
        <v>0</v>
      </c>
      <c r="L920" t="n">
        <v>0</v>
      </c>
      <c r="M920" t="n">
        <v>0</v>
      </c>
      <c r="N920" t="n">
        <v>0</v>
      </c>
      <c r="O920" t="n">
        <v>0</v>
      </c>
      <c r="P920" t="n">
        <v>0</v>
      </c>
      <c r="Q920" t="n">
        <v>0</v>
      </c>
      <c r="R920" t="n">
        <v>0</v>
      </c>
      <c r="S920" t="n">
        <v>0</v>
      </c>
      <c r="T920" t="n">
        <v>0</v>
      </c>
      <c r="U920" s="2" t="inlineStr"/>
    </row>
    <row r="921" ht="15" customHeight="1">
      <c r="A921" t="inlineStr">
        <is>
          <t>A 283-2025</t>
        </is>
      </c>
      <c r="B921" t="inlineStr">
        <is>
          <t>avverkningsanmälan</t>
        </is>
      </c>
      <c r="C921" t="inlineStr">
        <is>
          <t>Föryngringsavverkning</t>
        </is>
      </c>
      <c r="D921" s="1" t="n">
        <v>45656</v>
      </c>
      <c r="E921" s="1" t="n">
        <v>46220</v>
      </c>
      <c r="F921" t="inlineStr">
        <is>
          <t>VÄRMLANDS LÄN</t>
        </is>
      </c>
      <c r="G921" t="inlineStr">
        <is>
          <t>ÅRJÄNG</t>
        </is>
      </c>
      <c r="H921" t="inlineStr">
        <is>
          <t>Övriga Aktiebolag</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9909-2024</t>
        </is>
      </c>
      <c r="B922" t="inlineStr">
        <is>
          <t>avverkningsanmälan</t>
        </is>
      </c>
      <c r="C922" t="inlineStr">
        <is>
          <t>Föryngringsavverkning</t>
        </is>
      </c>
      <c r="D922" s="1" t="n">
        <v>45363</v>
      </c>
      <c r="E922" s="1" t="n">
        <v>46220</v>
      </c>
      <c r="F922" t="inlineStr">
        <is>
          <t>VÄRMLANDS LÄN</t>
        </is>
      </c>
      <c r="G922" t="inlineStr">
        <is>
          <t>ÅRJÄNG</t>
        </is>
      </c>
      <c r="I922" t="n">
        <v>3</v>
      </c>
      <c r="J922" t="n">
        <v>0</v>
      </c>
      <c r="K922" t="n">
        <v>0</v>
      </c>
      <c r="L922" t="n">
        <v>0</v>
      </c>
      <c r="M922" t="n">
        <v>0</v>
      </c>
      <c r="N922" t="n">
        <v>0</v>
      </c>
      <c r="O922" t="n">
        <v>0</v>
      </c>
      <c r="P922" t="n">
        <v>0</v>
      </c>
      <c r="Q922" t="n">
        <v>0</v>
      </c>
      <c r="R922" t="n">
        <v>0</v>
      </c>
      <c r="S922" t="n">
        <v>0</v>
      </c>
      <c r="T922" t="n">
        <v>0</v>
      </c>
      <c r="U922" s="2" t="inlineStr"/>
    </row>
    <row r="923" ht="15" customHeight="1">
      <c r="A923" t="inlineStr">
        <is>
          <t>A 42045-2024</t>
        </is>
      </c>
      <c r="B923" t="inlineStr">
        <is>
          <t>avverkningsanmälan</t>
        </is>
      </c>
      <c r="C923" t="inlineStr">
        <is>
          <t>Föryngringsavverkning</t>
        </is>
      </c>
      <c r="D923" s="1" t="n">
        <v>45561</v>
      </c>
      <c r="E923" s="1" t="n">
        <v>46220</v>
      </c>
      <c r="F923" t="inlineStr">
        <is>
          <t>VÄRMLANDS LÄN</t>
        </is>
      </c>
      <c r="G923" t="inlineStr">
        <is>
          <t>ÅRJÄNG</t>
        </is>
      </c>
      <c r="I923" t="n">
        <v>1.9</v>
      </c>
      <c r="J923" t="n">
        <v>0</v>
      </c>
      <c r="K923" t="n">
        <v>0</v>
      </c>
      <c r="L923" t="n">
        <v>0</v>
      </c>
      <c r="M923" t="n">
        <v>0</v>
      </c>
      <c r="N923" t="n">
        <v>0</v>
      </c>
      <c r="O923" t="n">
        <v>0</v>
      </c>
      <c r="P923" t="n">
        <v>0</v>
      </c>
      <c r="Q923" t="n">
        <v>0</v>
      </c>
      <c r="R923" t="n">
        <v>0</v>
      </c>
      <c r="S923" t="n">
        <v>0</v>
      </c>
      <c r="T923" t="n">
        <v>0</v>
      </c>
      <c r="U923" s="2" t="inlineStr"/>
    </row>
    <row r="924" ht="15" customHeight="1">
      <c r="A924" t="inlineStr">
        <is>
          <t>A 5095-2023</t>
        </is>
      </c>
      <c r="B924" t="inlineStr">
        <is>
          <t>avverkningsanmälan</t>
        </is>
      </c>
      <c r="C924" t="inlineStr">
        <is>
          <t>Föryngringsavverkning</t>
        </is>
      </c>
      <c r="D924" s="1" t="n">
        <v>44953</v>
      </c>
      <c r="E924" s="1" t="n">
        <v>46220</v>
      </c>
      <c r="F924" t="inlineStr">
        <is>
          <t>VÄRMLANDS LÄN</t>
        </is>
      </c>
      <c r="G924" t="inlineStr">
        <is>
          <t>ÅRJÄNG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36857-2025</t>
        </is>
      </c>
      <c r="B925" t="inlineStr">
        <is>
          <t>avverkningsanmälan</t>
        </is>
      </c>
      <c r="C925" t="inlineStr">
        <is>
          <t>Föryngringsavverkning</t>
        </is>
      </c>
      <c r="D925" s="1" t="n">
        <v>45874</v>
      </c>
      <c r="E925" s="1" t="n">
        <v>46220</v>
      </c>
      <c r="F925" t="inlineStr">
        <is>
          <t>VÄRMLANDS LÄN</t>
        </is>
      </c>
      <c r="G925" t="inlineStr">
        <is>
          <t>ÅRJÄNG</t>
        </is>
      </c>
      <c r="I925" t="n">
        <v>5.2</v>
      </c>
      <c r="J925" t="n">
        <v>0</v>
      </c>
      <c r="K925" t="n">
        <v>0</v>
      </c>
      <c r="L925" t="n">
        <v>0</v>
      </c>
      <c r="M925" t="n">
        <v>0</v>
      </c>
      <c r="N925" t="n">
        <v>0</v>
      </c>
      <c r="O925" t="n">
        <v>0</v>
      </c>
      <c r="P925" t="n">
        <v>0</v>
      </c>
      <c r="Q925" t="n">
        <v>0</v>
      </c>
      <c r="R925" t="n">
        <v>0</v>
      </c>
      <c r="S925" t="n">
        <v>0</v>
      </c>
      <c r="T925" t="n">
        <v>0</v>
      </c>
      <c r="U925" s="2" t="inlineStr"/>
    </row>
    <row r="926" ht="15" customHeight="1">
      <c r="A926" t="inlineStr">
        <is>
          <t>A 12614-2026</t>
        </is>
      </c>
      <c r="B926" t="inlineStr">
        <is>
          <t>avverkningsanmälan</t>
        </is>
      </c>
      <c r="C926" t="inlineStr">
        <is>
          <t>Föryngringsavverkning</t>
        </is>
      </c>
      <c r="D926" s="1" t="n">
        <v>46091</v>
      </c>
      <c r="E926" s="1" t="n">
        <v>46220</v>
      </c>
      <c r="F926" t="inlineStr">
        <is>
          <t>VÄRMLANDS LÄN</t>
        </is>
      </c>
      <c r="G926" t="inlineStr">
        <is>
          <t>ÅRJÄNG</t>
        </is>
      </c>
      <c r="I926" t="n">
        <v>4.3</v>
      </c>
      <c r="J926" t="n">
        <v>0</v>
      </c>
      <c r="K926" t="n">
        <v>0</v>
      </c>
      <c r="L926" t="n">
        <v>0</v>
      </c>
      <c r="M926" t="n">
        <v>0</v>
      </c>
      <c r="N926" t="n">
        <v>0</v>
      </c>
      <c r="O926" t="n">
        <v>0</v>
      </c>
      <c r="P926" t="n">
        <v>0</v>
      </c>
      <c r="Q926" t="n">
        <v>0</v>
      </c>
      <c r="R926" t="n">
        <v>0</v>
      </c>
      <c r="S926" t="n">
        <v>0</v>
      </c>
      <c r="T926" t="n">
        <v>0</v>
      </c>
      <c r="U926" s="2" t="inlineStr"/>
    </row>
    <row r="927" ht="15" customHeight="1">
      <c r="A927" t="inlineStr">
        <is>
          <t>A 13002-2025</t>
        </is>
      </c>
      <c r="B927" t="inlineStr">
        <is>
          <t>avverkningsanmälan</t>
        </is>
      </c>
      <c r="C927" t="inlineStr">
        <is>
          <t>Föryngringsavverkning</t>
        </is>
      </c>
      <c r="D927" s="1" t="n">
        <v>45734</v>
      </c>
      <c r="E927" s="1" t="n">
        <v>46220</v>
      </c>
      <c r="F927" t="inlineStr">
        <is>
          <t>VÄRMLANDS LÄN</t>
        </is>
      </c>
      <c r="G927" t="inlineStr">
        <is>
          <t>ÅRJÄNG</t>
        </is>
      </c>
      <c r="I927" t="n">
        <v>2.4</v>
      </c>
      <c r="J927" t="n">
        <v>0</v>
      </c>
      <c r="K927" t="n">
        <v>0</v>
      </c>
      <c r="L927" t="n">
        <v>0</v>
      </c>
      <c r="M927" t="n">
        <v>0</v>
      </c>
      <c r="N927" t="n">
        <v>0</v>
      </c>
      <c r="O927" t="n">
        <v>0</v>
      </c>
      <c r="P927" t="n">
        <v>0</v>
      </c>
      <c r="Q927" t="n">
        <v>0</v>
      </c>
      <c r="R927" t="n">
        <v>0</v>
      </c>
      <c r="S927" t="n">
        <v>0</v>
      </c>
      <c r="T927" t="n">
        <v>0</v>
      </c>
      <c r="U927" s="2" t="inlineStr"/>
    </row>
    <row r="928" ht="15" customHeight="1">
      <c r="A928" t="inlineStr">
        <is>
          <t>A 47228-2023</t>
        </is>
      </c>
      <c r="B928" t="inlineStr">
        <is>
          <t>avverkningsanmälan</t>
        </is>
      </c>
      <c r="C928" t="inlineStr">
        <is>
          <t>Föryngringsavverkning</t>
        </is>
      </c>
      <c r="D928" s="1" t="n">
        <v>45202</v>
      </c>
      <c r="E928" s="1" t="n">
        <v>46220</v>
      </c>
      <c r="F928" t="inlineStr">
        <is>
          <t>VÄRMLANDS LÄN</t>
        </is>
      </c>
      <c r="G928" t="inlineStr">
        <is>
          <t>ÅRJÄNG</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60377-2022</t>
        </is>
      </c>
      <c r="B929" t="inlineStr">
        <is>
          <t>avverkningsanmälan</t>
        </is>
      </c>
      <c r="C929" t="inlineStr">
        <is>
          <t>Föryngringsavverkning</t>
        </is>
      </c>
      <c r="D929" s="1" t="n">
        <v>44904</v>
      </c>
      <c r="E929" s="1" t="n">
        <v>46220</v>
      </c>
      <c r="F929" t="inlineStr">
        <is>
          <t>VÄRMLANDS LÄN</t>
        </is>
      </c>
      <c r="G929" t="inlineStr">
        <is>
          <t>ÅRJÄNG</t>
        </is>
      </c>
      <c r="I929" t="n">
        <v>1</v>
      </c>
      <c r="J929" t="n">
        <v>0</v>
      </c>
      <c r="K929" t="n">
        <v>0</v>
      </c>
      <c r="L929" t="n">
        <v>0</v>
      </c>
      <c r="M929" t="n">
        <v>0</v>
      </c>
      <c r="N929" t="n">
        <v>0</v>
      </c>
      <c r="O929" t="n">
        <v>0</v>
      </c>
      <c r="P929" t="n">
        <v>0</v>
      </c>
      <c r="Q929" t="n">
        <v>0</v>
      </c>
      <c r="R929" t="n">
        <v>0</v>
      </c>
      <c r="S929" t="n">
        <v>0</v>
      </c>
      <c r="T929" t="n">
        <v>0</v>
      </c>
      <c r="U929" s="2" t="inlineStr"/>
    </row>
    <row r="930" ht="15" customHeight="1">
      <c r="A930" t="inlineStr">
        <is>
          <t>A 8685-2024</t>
        </is>
      </c>
      <c r="B930" t="inlineStr">
        <is>
          <t>avverkningsanmälan</t>
        </is>
      </c>
      <c r="C930" t="inlineStr">
        <is>
          <t>Föryngringsavverkning</t>
        </is>
      </c>
      <c r="D930" s="1" t="n">
        <v>45356</v>
      </c>
      <c r="E930" s="1" t="n">
        <v>46220</v>
      </c>
      <c r="F930" t="inlineStr">
        <is>
          <t>VÄRMLANDS LÄN</t>
        </is>
      </c>
      <c r="G930" t="inlineStr">
        <is>
          <t>ÅRJÄNG</t>
        </is>
      </c>
      <c r="I930" t="n">
        <v>2.5</v>
      </c>
      <c r="J930" t="n">
        <v>0</v>
      </c>
      <c r="K930" t="n">
        <v>0</v>
      </c>
      <c r="L930" t="n">
        <v>0</v>
      </c>
      <c r="M930" t="n">
        <v>0</v>
      </c>
      <c r="N930" t="n">
        <v>0</v>
      </c>
      <c r="O930" t="n">
        <v>0</v>
      </c>
      <c r="P930" t="n">
        <v>0</v>
      </c>
      <c r="Q930" t="n">
        <v>0</v>
      </c>
      <c r="R930" t="n">
        <v>0</v>
      </c>
      <c r="S930" t="n">
        <v>0</v>
      </c>
      <c r="T930" t="n">
        <v>0</v>
      </c>
      <c r="U930" s="2" t="inlineStr"/>
    </row>
    <row r="931" ht="15" customHeight="1">
      <c r="A931" t="inlineStr">
        <is>
          <t>A 8838-2023</t>
        </is>
      </c>
      <c r="B931" t="inlineStr">
        <is>
          <t>avverkningsanmälan</t>
        </is>
      </c>
      <c r="C931" t="inlineStr">
        <is>
          <t>Föryngringsavverkning</t>
        </is>
      </c>
      <c r="D931" s="1" t="n">
        <v>44978</v>
      </c>
      <c r="E931" s="1" t="n">
        <v>46220</v>
      </c>
      <c r="F931" t="inlineStr">
        <is>
          <t>VÄRMLANDS LÄN</t>
        </is>
      </c>
      <c r="G931" t="inlineStr">
        <is>
          <t>ÅRJÄNG</t>
        </is>
      </c>
      <c r="I931" t="n">
        <v>7</v>
      </c>
      <c r="J931" t="n">
        <v>0</v>
      </c>
      <c r="K931" t="n">
        <v>0</v>
      </c>
      <c r="L931" t="n">
        <v>0</v>
      </c>
      <c r="M931" t="n">
        <v>0</v>
      </c>
      <c r="N931" t="n">
        <v>0</v>
      </c>
      <c r="O931" t="n">
        <v>0</v>
      </c>
      <c r="P931" t="n">
        <v>0</v>
      </c>
      <c r="Q931" t="n">
        <v>0</v>
      </c>
      <c r="R931" t="n">
        <v>0</v>
      </c>
      <c r="S931" t="n">
        <v>0</v>
      </c>
      <c r="T931" t="n">
        <v>0</v>
      </c>
      <c r="U931" s="2" t="inlineStr"/>
    </row>
    <row r="932" ht="15" customHeight="1">
      <c r="A932" t="inlineStr">
        <is>
          <t>A 26259-2024</t>
        </is>
      </c>
      <c r="B932" t="inlineStr">
        <is>
          <t>avverkningsanmälan</t>
        </is>
      </c>
      <c r="C932" t="inlineStr">
        <is>
          <t>Föryngringsavverkning</t>
        </is>
      </c>
      <c r="D932" s="1" t="n">
        <v>45468</v>
      </c>
      <c r="E932" s="1" t="n">
        <v>46220</v>
      </c>
      <c r="F932" t="inlineStr">
        <is>
          <t>VÄRMLANDS LÄN</t>
        </is>
      </c>
      <c r="G932" t="inlineStr">
        <is>
          <t>ÅRJÄNG</t>
        </is>
      </c>
      <c r="I932" t="n">
        <v>4.3</v>
      </c>
      <c r="J932" t="n">
        <v>0</v>
      </c>
      <c r="K932" t="n">
        <v>0</v>
      </c>
      <c r="L932" t="n">
        <v>0</v>
      </c>
      <c r="M932" t="n">
        <v>0</v>
      </c>
      <c r="N932" t="n">
        <v>0</v>
      </c>
      <c r="O932" t="n">
        <v>0</v>
      </c>
      <c r="P932" t="n">
        <v>0</v>
      </c>
      <c r="Q932" t="n">
        <v>0</v>
      </c>
      <c r="R932" t="n">
        <v>0</v>
      </c>
      <c r="S932" t="n">
        <v>0</v>
      </c>
      <c r="T932" t="n">
        <v>0</v>
      </c>
      <c r="U932" s="2" t="inlineStr"/>
    </row>
    <row r="933" ht="15" customHeight="1">
      <c r="A933" t="inlineStr">
        <is>
          <t>A 60207-2023</t>
        </is>
      </c>
      <c r="B933" t="inlineStr">
        <is>
          <t>avverkningsanmälan</t>
        </is>
      </c>
      <c r="C933" t="inlineStr">
        <is>
          <t>Föryngringsavverkning</t>
        </is>
      </c>
      <c r="D933" s="1" t="n">
        <v>45257</v>
      </c>
      <c r="E933" s="1" t="n">
        <v>46220</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10239-2023</t>
        </is>
      </c>
      <c r="B934" t="inlineStr">
        <is>
          <t>avverkningsanmälan</t>
        </is>
      </c>
      <c r="C934" t="inlineStr">
        <is>
          <t>Föryngringsavverkning</t>
        </is>
      </c>
      <c r="D934" s="1" t="n">
        <v>44986</v>
      </c>
      <c r="E934" s="1" t="n">
        <v>46220</v>
      </c>
      <c r="F934" t="inlineStr">
        <is>
          <t>VÄRMLANDS LÄN</t>
        </is>
      </c>
      <c r="G934" t="inlineStr">
        <is>
          <t>ÅRJÄNG</t>
        </is>
      </c>
      <c r="I934" t="n">
        <v>5.4</v>
      </c>
      <c r="J934" t="n">
        <v>0</v>
      </c>
      <c r="K934" t="n">
        <v>0</v>
      </c>
      <c r="L934" t="n">
        <v>0</v>
      </c>
      <c r="M934" t="n">
        <v>0</v>
      </c>
      <c r="N934" t="n">
        <v>0</v>
      </c>
      <c r="O934" t="n">
        <v>0</v>
      </c>
      <c r="P934" t="n">
        <v>0</v>
      </c>
      <c r="Q934" t="n">
        <v>0</v>
      </c>
      <c r="R934" t="n">
        <v>0</v>
      </c>
      <c r="S934" t="n">
        <v>0</v>
      </c>
      <c r="T934" t="n">
        <v>0</v>
      </c>
      <c r="U934" s="2" t="inlineStr"/>
    </row>
    <row r="935" ht="15" customHeight="1">
      <c r="A935" t="inlineStr">
        <is>
          <t>A 58486-2023</t>
        </is>
      </c>
      <c r="B935" t="inlineStr">
        <is>
          <t>avverkningsanmälan</t>
        </is>
      </c>
      <c r="C935" t="inlineStr">
        <is>
          <t>Föryngringsavverkning</t>
        </is>
      </c>
      <c r="D935" s="1" t="n">
        <v>45246</v>
      </c>
      <c r="E935" s="1" t="n">
        <v>46220</v>
      </c>
      <c r="F935" t="inlineStr">
        <is>
          <t>VÄRMLANDS LÄN</t>
        </is>
      </c>
      <c r="G935" t="inlineStr">
        <is>
          <t>ÅRJÄNG</t>
        </is>
      </c>
      <c r="I935" t="n">
        <v>8.5</v>
      </c>
      <c r="J935" t="n">
        <v>0</v>
      </c>
      <c r="K935" t="n">
        <v>0</v>
      </c>
      <c r="L935" t="n">
        <v>0</v>
      </c>
      <c r="M935" t="n">
        <v>0</v>
      </c>
      <c r="N935" t="n">
        <v>0</v>
      </c>
      <c r="O935" t="n">
        <v>0</v>
      </c>
      <c r="P935" t="n">
        <v>0</v>
      </c>
      <c r="Q935" t="n">
        <v>0</v>
      </c>
      <c r="R935" t="n">
        <v>0</v>
      </c>
      <c r="S935" t="n">
        <v>0</v>
      </c>
      <c r="T935" t="n">
        <v>0</v>
      </c>
      <c r="U935" s="2" t="inlineStr"/>
    </row>
    <row r="936" ht="15" customHeight="1">
      <c r="A936" t="inlineStr">
        <is>
          <t>A 12082-2023</t>
        </is>
      </c>
      <c r="B936" t="inlineStr">
        <is>
          <t>avverkningsanmälan</t>
        </is>
      </c>
      <c r="C936" t="inlineStr">
        <is>
          <t>Föryngringsavverkning</t>
        </is>
      </c>
      <c r="D936" s="1" t="n">
        <v>44997</v>
      </c>
      <c r="E936" s="1" t="n">
        <v>46220</v>
      </c>
      <c r="F936" t="inlineStr">
        <is>
          <t>VÄRMLANDS LÄN</t>
        </is>
      </c>
      <c r="G936" t="inlineStr">
        <is>
          <t>ÅRJÄNG</t>
        </is>
      </c>
      <c r="I936" t="n">
        <v>1.3</v>
      </c>
      <c r="J936" t="n">
        <v>0</v>
      </c>
      <c r="K936" t="n">
        <v>0</v>
      </c>
      <c r="L936" t="n">
        <v>0</v>
      </c>
      <c r="M936" t="n">
        <v>0</v>
      </c>
      <c r="N936" t="n">
        <v>0</v>
      </c>
      <c r="O936" t="n">
        <v>0</v>
      </c>
      <c r="P936" t="n">
        <v>0</v>
      </c>
      <c r="Q936" t="n">
        <v>0</v>
      </c>
      <c r="R936" t="n">
        <v>0</v>
      </c>
      <c r="S936" t="n">
        <v>0</v>
      </c>
      <c r="T936" t="n">
        <v>0</v>
      </c>
      <c r="U936" s="2" t="inlineStr"/>
    </row>
    <row r="937" ht="15" customHeight="1">
      <c r="A937" t="inlineStr">
        <is>
          <t>A 13481-2025</t>
        </is>
      </c>
      <c r="B937" t="inlineStr">
        <is>
          <t>avverkningsanmälan</t>
        </is>
      </c>
      <c r="C937" t="inlineStr">
        <is>
          <t>Föryngringsavverkning</t>
        </is>
      </c>
      <c r="D937" s="1" t="n">
        <v>45736</v>
      </c>
      <c r="E937" s="1" t="n">
        <v>46220</v>
      </c>
      <c r="F937" t="inlineStr">
        <is>
          <t>VÄRMLANDS LÄN</t>
        </is>
      </c>
      <c r="G937" t="inlineStr">
        <is>
          <t>ÅRJÄNG</t>
        </is>
      </c>
      <c r="I937" t="n">
        <v>5.2</v>
      </c>
      <c r="J937" t="n">
        <v>0</v>
      </c>
      <c r="K937" t="n">
        <v>0</v>
      </c>
      <c r="L937" t="n">
        <v>0</v>
      </c>
      <c r="M937" t="n">
        <v>0</v>
      </c>
      <c r="N937" t="n">
        <v>0</v>
      </c>
      <c r="O937" t="n">
        <v>0</v>
      </c>
      <c r="P937" t="n">
        <v>0</v>
      </c>
      <c r="Q937" t="n">
        <v>0</v>
      </c>
      <c r="R937" t="n">
        <v>0</v>
      </c>
      <c r="S937" t="n">
        <v>0</v>
      </c>
      <c r="T937" t="n">
        <v>0</v>
      </c>
      <c r="U937" s="2" t="inlineStr"/>
    </row>
    <row r="938" ht="15" customHeight="1">
      <c r="A938" t="inlineStr">
        <is>
          <t>A 15953-2025</t>
        </is>
      </c>
      <c r="B938" t="inlineStr">
        <is>
          <t>avverkningsanmälan</t>
        </is>
      </c>
      <c r="C938" t="inlineStr">
        <is>
          <t>Föryngringsavverkning</t>
        </is>
      </c>
      <c r="D938" s="1" t="n">
        <v>45749</v>
      </c>
      <c r="E938" s="1" t="n">
        <v>46220</v>
      </c>
      <c r="F938" t="inlineStr">
        <is>
          <t>VÄRMLANDS LÄN</t>
        </is>
      </c>
      <c r="G938" t="inlineStr">
        <is>
          <t>ÅRJÄNG</t>
        </is>
      </c>
      <c r="H938" t="inlineStr">
        <is>
          <t>Bergvik skog väst AB</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42677-2025</t>
        </is>
      </c>
      <c r="B939" t="inlineStr">
        <is>
          <t>avverkningsanmälan</t>
        </is>
      </c>
      <c r="C939" t="inlineStr">
        <is>
          <t>Föryngringsavverkning</t>
        </is>
      </c>
      <c r="D939" s="1" t="n">
        <v>45908</v>
      </c>
      <c r="E939" s="1" t="n">
        <v>46220</v>
      </c>
      <c r="F939" t="inlineStr">
        <is>
          <t>VÄRMLANDS LÄN</t>
        </is>
      </c>
      <c r="G939" t="inlineStr">
        <is>
          <t>ÅRJÄNG</t>
        </is>
      </c>
      <c r="I939" t="n">
        <v>2.7</v>
      </c>
      <c r="J939" t="n">
        <v>0</v>
      </c>
      <c r="K939" t="n">
        <v>0</v>
      </c>
      <c r="L939" t="n">
        <v>0</v>
      </c>
      <c r="M939" t="n">
        <v>0</v>
      </c>
      <c r="N939" t="n">
        <v>0</v>
      </c>
      <c r="O939" t="n">
        <v>0</v>
      </c>
      <c r="P939" t="n">
        <v>0</v>
      </c>
      <c r="Q939" t="n">
        <v>0</v>
      </c>
      <c r="R939" t="n">
        <v>0</v>
      </c>
      <c r="S939" t="n">
        <v>0</v>
      </c>
      <c r="T939" t="n">
        <v>0</v>
      </c>
      <c r="U939" s="2" t="inlineStr"/>
    </row>
    <row r="940" ht="15" customHeight="1">
      <c r="A940" t="inlineStr">
        <is>
          <t>A 29146-2025</t>
        </is>
      </c>
      <c r="B940" t="inlineStr">
        <is>
          <t>avverkningsanmälan</t>
        </is>
      </c>
      <c r="C940" t="inlineStr">
        <is>
          <t>Föryngringsavverkning</t>
        </is>
      </c>
      <c r="D940" s="1" t="n">
        <v>45821</v>
      </c>
      <c r="E940" s="1" t="n">
        <v>46220</v>
      </c>
      <c r="F940" t="inlineStr">
        <is>
          <t>VÄRMLANDS LÄN</t>
        </is>
      </c>
      <c r="G940" t="inlineStr">
        <is>
          <t>ÅRJÄNG</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60663-2025</t>
        </is>
      </c>
      <c r="B941" t="inlineStr">
        <is>
          <t>avverkningsanmälan</t>
        </is>
      </c>
      <c r="C941" t="inlineStr">
        <is>
          <t>Föryngringsavverkning</t>
        </is>
      </c>
      <c r="D941" s="1" t="n">
        <v>45996</v>
      </c>
      <c r="E941" s="1" t="n">
        <v>46220</v>
      </c>
      <c r="F941" t="inlineStr">
        <is>
          <t>VÄRMLANDS LÄN</t>
        </is>
      </c>
      <c r="G941" t="inlineStr">
        <is>
          <t>ÅRJÄNG</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62261-2023</t>
        </is>
      </c>
      <c r="B942" t="inlineStr">
        <is>
          <t>avverkningsanmälan</t>
        </is>
      </c>
      <c r="C942" t="inlineStr">
        <is>
          <t>Föryngringsavverkning</t>
        </is>
      </c>
      <c r="D942" s="1" t="n">
        <v>45266</v>
      </c>
      <c r="E942" s="1" t="n">
        <v>46220</v>
      </c>
      <c r="F942" t="inlineStr">
        <is>
          <t>VÄRMLANDS LÄN</t>
        </is>
      </c>
      <c r="G942" t="inlineStr">
        <is>
          <t>ÅRJÄNG</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19052-2023</t>
        </is>
      </c>
      <c r="B943" t="inlineStr">
        <is>
          <t>avverkningsanmälan</t>
        </is>
      </c>
      <c r="C943" t="inlineStr">
        <is>
          <t>Föryngringsavverkning</t>
        </is>
      </c>
      <c r="D943" s="1" t="n">
        <v>45047</v>
      </c>
      <c r="E943" s="1" t="n">
        <v>46220</v>
      </c>
      <c r="F943" t="inlineStr">
        <is>
          <t>VÄRMLANDS LÄN</t>
        </is>
      </c>
      <c r="G943" t="inlineStr">
        <is>
          <t>ÅRJÄNG</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21706-2024</t>
        </is>
      </c>
      <c r="B944" t="inlineStr">
        <is>
          <t>avverkningsanmälan</t>
        </is>
      </c>
      <c r="C944" t="inlineStr">
        <is>
          <t>Föryngringsavverkning</t>
        </is>
      </c>
      <c r="D944" s="1" t="n">
        <v>45442</v>
      </c>
      <c r="E944" s="1" t="n">
        <v>46220</v>
      </c>
      <c r="F944" t="inlineStr">
        <is>
          <t>VÄRMLANDS LÄN</t>
        </is>
      </c>
      <c r="G944" t="inlineStr">
        <is>
          <t>ÅRJÄNG</t>
        </is>
      </c>
      <c r="I944" t="n">
        <v>10.4</v>
      </c>
      <c r="J944" t="n">
        <v>0</v>
      </c>
      <c r="K944" t="n">
        <v>0</v>
      </c>
      <c r="L944" t="n">
        <v>0</v>
      </c>
      <c r="M944" t="n">
        <v>0</v>
      </c>
      <c r="N944" t="n">
        <v>0</v>
      </c>
      <c r="O944" t="n">
        <v>0</v>
      </c>
      <c r="P944" t="n">
        <v>0</v>
      </c>
      <c r="Q944" t="n">
        <v>0</v>
      </c>
      <c r="R944" t="n">
        <v>0</v>
      </c>
      <c r="S944" t="n">
        <v>0</v>
      </c>
      <c r="T944" t="n">
        <v>0</v>
      </c>
      <c r="U944" s="2" t="inlineStr"/>
    </row>
    <row r="945" ht="15" customHeight="1">
      <c r="A945" t="inlineStr">
        <is>
          <t>A 26937-2026</t>
        </is>
      </c>
      <c r="B945" t="inlineStr">
        <is>
          <t>avverkningsanmälan</t>
        </is>
      </c>
      <c r="C945" t="inlineStr">
        <is>
          <t>Föryngringsavverkning</t>
        </is>
      </c>
      <c r="D945" s="1" t="n">
        <v>46185</v>
      </c>
      <c r="E945" s="1" t="n">
        <v>46220</v>
      </c>
      <c r="F945" t="inlineStr">
        <is>
          <t>VÄRMLANDS LÄN</t>
        </is>
      </c>
      <c r="G945" t="inlineStr">
        <is>
          <t>ÅRJÄNG</t>
        </is>
      </c>
      <c r="I945" t="n">
        <v>2.9</v>
      </c>
      <c r="J945" t="n">
        <v>0</v>
      </c>
      <c r="K945" t="n">
        <v>0</v>
      </c>
      <c r="L945" t="n">
        <v>0</v>
      </c>
      <c r="M945" t="n">
        <v>0</v>
      </c>
      <c r="N945" t="n">
        <v>0</v>
      </c>
      <c r="O945" t="n">
        <v>0</v>
      </c>
      <c r="P945" t="n">
        <v>0</v>
      </c>
      <c r="Q945" t="n">
        <v>0</v>
      </c>
      <c r="R945" t="n">
        <v>0</v>
      </c>
      <c r="S945" t="n">
        <v>0</v>
      </c>
      <c r="T945" t="n">
        <v>0</v>
      </c>
      <c r="U945" s="2" t="inlineStr"/>
    </row>
    <row r="946" ht="15" customHeight="1">
      <c r="A946" t="inlineStr">
        <is>
          <t>A 26957-2026</t>
        </is>
      </c>
      <c r="B946" t="inlineStr">
        <is>
          <t>avverkningsanmälan</t>
        </is>
      </c>
      <c r="C946" t="inlineStr">
        <is>
          <t>Föryngringsavverkning</t>
        </is>
      </c>
      <c r="D946" s="1" t="n">
        <v>46185</v>
      </c>
      <c r="E946" s="1" t="n">
        <v>46220</v>
      </c>
      <c r="F946" t="inlineStr">
        <is>
          <t>VÄRMLANDS LÄN</t>
        </is>
      </c>
      <c r="G946" t="inlineStr">
        <is>
          <t>ÅRJÄNG</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60000-2024</t>
        </is>
      </c>
      <c r="B947" t="inlineStr">
        <is>
          <t>avverkningsanmälan</t>
        </is>
      </c>
      <c r="C947" t="inlineStr">
        <is>
          <t>Föryngringsavverkning</t>
        </is>
      </c>
      <c r="D947" s="1" t="n">
        <v>45642</v>
      </c>
      <c r="E947" s="1" t="n">
        <v>46220</v>
      </c>
      <c r="F947" t="inlineStr">
        <is>
          <t>VÄRMLANDS LÄN</t>
        </is>
      </c>
      <c r="G947" t="inlineStr">
        <is>
          <t>ÅRJÄNG</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42236-2024</t>
        </is>
      </c>
      <c r="B948" t="inlineStr">
        <is>
          <t>avverkningsanmälan</t>
        </is>
      </c>
      <c r="C948" t="inlineStr">
        <is>
          <t>Föryngringsavverkning</t>
        </is>
      </c>
      <c r="D948" s="1" t="n">
        <v>45562</v>
      </c>
      <c r="E948" s="1" t="n">
        <v>46220</v>
      </c>
      <c r="F948" t="inlineStr">
        <is>
          <t>VÄRMLANDS LÄN</t>
        </is>
      </c>
      <c r="G948" t="inlineStr">
        <is>
          <t>ÅRJÄNG</t>
        </is>
      </c>
      <c r="I948" t="n">
        <v>3</v>
      </c>
      <c r="J948" t="n">
        <v>0</v>
      </c>
      <c r="K948" t="n">
        <v>0</v>
      </c>
      <c r="L948" t="n">
        <v>0</v>
      </c>
      <c r="M948" t="n">
        <v>0</v>
      </c>
      <c r="N948" t="n">
        <v>0</v>
      </c>
      <c r="O948" t="n">
        <v>0</v>
      </c>
      <c r="P948" t="n">
        <v>0</v>
      </c>
      <c r="Q948" t="n">
        <v>0</v>
      </c>
      <c r="R948" t="n">
        <v>0</v>
      </c>
      <c r="S948" t="n">
        <v>0</v>
      </c>
      <c r="T948" t="n">
        <v>0</v>
      </c>
      <c r="U948" s="2" t="inlineStr"/>
    </row>
    <row r="949" ht="15" customHeight="1">
      <c r="A949" t="inlineStr">
        <is>
          <t>A 59622-2022</t>
        </is>
      </c>
      <c r="B949" t="inlineStr">
        <is>
          <t>avverkningsanmälan</t>
        </is>
      </c>
      <c r="C949" t="inlineStr">
        <is>
          <t>Föryngringsavverkning</t>
        </is>
      </c>
      <c r="D949" s="1" t="n">
        <v>44907</v>
      </c>
      <c r="E949" s="1" t="n">
        <v>46220</v>
      </c>
      <c r="F949" t="inlineStr">
        <is>
          <t>VÄRMLANDS LÄN</t>
        </is>
      </c>
      <c r="G949" t="inlineStr">
        <is>
          <t>ÅRJÄNG</t>
        </is>
      </c>
      <c r="I949" t="n">
        <v>1.5</v>
      </c>
      <c r="J949" t="n">
        <v>0</v>
      </c>
      <c r="K949" t="n">
        <v>0</v>
      </c>
      <c r="L949" t="n">
        <v>0</v>
      </c>
      <c r="M949" t="n">
        <v>0</v>
      </c>
      <c r="N949" t="n">
        <v>0</v>
      </c>
      <c r="O949" t="n">
        <v>0</v>
      </c>
      <c r="P949" t="n">
        <v>0</v>
      </c>
      <c r="Q949" t="n">
        <v>0</v>
      </c>
      <c r="R949" t="n">
        <v>0</v>
      </c>
      <c r="S949" t="n">
        <v>0</v>
      </c>
      <c r="T949" t="n">
        <v>0</v>
      </c>
      <c r="U949" s="2" t="inlineStr"/>
    </row>
    <row r="950" ht="15" customHeight="1">
      <c r="A950" t="inlineStr">
        <is>
          <t>A 50112-2024</t>
        </is>
      </c>
      <c r="B950" t="inlineStr">
        <is>
          <t>avverkningsanmälan</t>
        </is>
      </c>
      <c r="C950" t="inlineStr">
        <is>
          <t>Föryngringsavverkning</t>
        </is>
      </c>
      <c r="D950" s="1" t="n">
        <v>45600</v>
      </c>
      <c r="E950" s="1" t="n">
        <v>46220</v>
      </c>
      <c r="F950" t="inlineStr">
        <is>
          <t>VÄRMLANDS LÄN</t>
        </is>
      </c>
      <c r="G950" t="inlineStr">
        <is>
          <t>ÅRJÄNG</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43650-2024</t>
        </is>
      </c>
      <c r="B951" t="inlineStr">
        <is>
          <t>avverkningsanmälan</t>
        </is>
      </c>
      <c r="C951" t="inlineStr">
        <is>
          <t>Föryngringsavverkning</t>
        </is>
      </c>
      <c r="D951" s="1" t="n">
        <v>45569</v>
      </c>
      <c r="E951" s="1" t="n">
        <v>46220</v>
      </c>
      <c r="F951" t="inlineStr">
        <is>
          <t>VÄRMLANDS LÄN</t>
        </is>
      </c>
      <c r="G951" t="inlineStr">
        <is>
          <t>ÅRJÄNG</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26694-2026</t>
        </is>
      </c>
      <c r="B952" t="inlineStr">
        <is>
          <t>avverkningsanmälan</t>
        </is>
      </c>
      <c r="C952" t="inlineStr">
        <is>
          <t>Föryngringsavverkning</t>
        </is>
      </c>
      <c r="D952" s="1" t="n">
        <v>46184</v>
      </c>
      <c r="E952" s="1" t="n">
        <v>46220</v>
      </c>
      <c r="F952" t="inlineStr">
        <is>
          <t>VÄRMLANDS LÄN</t>
        </is>
      </c>
      <c r="G952" t="inlineStr">
        <is>
          <t>ÅRJÄNG</t>
        </is>
      </c>
      <c r="I952" t="n">
        <v>3</v>
      </c>
      <c r="J952" t="n">
        <v>0</v>
      </c>
      <c r="K952" t="n">
        <v>0</v>
      </c>
      <c r="L952" t="n">
        <v>0</v>
      </c>
      <c r="M952" t="n">
        <v>0</v>
      </c>
      <c r="N952" t="n">
        <v>0</v>
      </c>
      <c r="O952" t="n">
        <v>0</v>
      </c>
      <c r="P952" t="n">
        <v>0</v>
      </c>
      <c r="Q952" t="n">
        <v>0</v>
      </c>
      <c r="R952" t="n">
        <v>0</v>
      </c>
      <c r="S952" t="n">
        <v>0</v>
      </c>
      <c r="T952" t="n">
        <v>0</v>
      </c>
      <c r="U952" s="2" t="inlineStr"/>
    </row>
    <row r="953" ht="15" customHeight="1">
      <c r="A953" t="inlineStr">
        <is>
          <t>A 12993-2025</t>
        </is>
      </c>
      <c r="B953" t="inlineStr">
        <is>
          <t>avverkningsanmälan</t>
        </is>
      </c>
      <c r="C953" t="inlineStr">
        <is>
          <t>Föryngringsavverkning</t>
        </is>
      </c>
      <c r="D953" s="1" t="n">
        <v>45734</v>
      </c>
      <c r="E953" s="1" t="n">
        <v>46220</v>
      </c>
      <c r="F953" t="inlineStr">
        <is>
          <t>VÄRMLANDS LÄN</t>
        </is>
      </c>
      <c r="G953" t="inlineStr">
        <is>
          <t>ÅRJÄNG</t>
        </is>
      </c>
      <c r="I953" t="n">
        <v>1.1</v>
      </c>
      <c r="J953" t="n">
        <v>0</v>
      </c>
      <c r="K953" t="n">
        <v>0</v>
      </c>
      <c r="L953" t="n">
        <v>0</v>
      </c>
      <c r="M953" t="n">
        <v>0</v>
      </c>
      <c r="N953" t="n">
        <v>0</v>
      </c>
      <c r="O953" t="n">
        <v>0</v>
      </c>
      <c r="P953" t="n">
        <v>0</v>
      </c>
      <c r="Q953" t="n">
        <v>0</v>
      </c>
      <c r="R953" t="n">
        <v>0</v>
      </c>
      <c r="S953" t="n">
        <v>0</v>
      </c>
      <c r="T953" t="n">
        <v>0</v>
      </c>
      <c r="U953" s="2" t="inlineStr"/>
    </row>
    <row r="954" ht="15" customHeight="1">
      <c r="A954" t="inlineStr">
        <is>
          <t>A 34409-2023</t>
        </is>
      </c>
      <c r="B954" t="inlineStr">
        <is>
          <t>avverkningsanmälan</t>
        </is>
      </c>
      <c r="C954" t="inlineStr">
        <is>
          <t>Föryngringsavverkning</t>
        </is>
      </c>
      <c r="D954" s="1" t="n">
        <v>45139</v>
      </c>
      <c r="E954" s="1" t="n">
        <v>46220</v>
      </c>
      <c r="F954" t="inlineStr">
        <is>
          <t>VÄRMLANDS LÄN</t>
        </is>
      </c>
      <c r="G954" t="inlineStr">
        <is>
          <t>ÅRJÄNG</t>
        </is>
      </c>
      <c r="I954" t="n">
        <v>4.6</v>
      </c>
      <c r="J954" t="n">
        <v>0</v>
      </c>
      <c r="K954" t="n">
        <v>0</v>
      </c>
      <c r="L954" t="n">
        <v>0</v>
      </c>
      <c r="M954" t="n">
        <v>0</v>
      </c>
      <c r="N954" t="n">
        <v>0</v>
      </c>
      <c r="O954" t="n">
        <v>0</v>
      </c>
      <c r="P954" t="n">
        <v>0</v>
      </c>
      <c r="Q954" t="n">
        <v>0</v>
      </c>
      <c r="R954" t="n">
        <v>0</v>
      </c>
      <c r="S954" t="n">
        <v>0</v>
      </c>
      <c r="T954" t="n">
        <v>0</v>
      </c>
      <c r="U954" s="2" t="inlineStr"/>
    </row>
    <row r="955" ht="15" customHeight="1">
      <c r="A955" t="inlineStr">
        <is>
          <t>A 56655-2024</t>
        </is>
      </c>
      <c r="B955" t="inlineStr">
        <is>
          <t>avverkningsanmälan</t>
        </is>
      </c>
      <c r="C955" t="inlineStr">
        <is>
          <t>Föryngringsavverkning</t>
        </is>
      </c>
      <c r="D955" s="1" t="n">
        <v>45625</v>
      </c>
      <c r="E955" s="1" t="n">
        <v>46220</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58436-2023</t>
        </is>
      </c>
      <c r="B956" t="inlineStr">
        <is>
          <t>avverkningsanmälan</t>
        </is>
      </c>
      <c r="C956" t="inlineStr">
        <is>
          <t>Föryngringsavverkning</t>
        </is>
      </c>
      <c r="D956" s="1" t="n">
        <v>45250</v>
      </c>
      <c r="E956" s="1" t="n">
        <v>46220</v>
      </c>
      <c r="F956" t="inlineStr">
        <is>
          <t>VÄRMLANDS LÄN</t>
        </is>
      </c>
      <c r="G956" t="inlineStr">
        <is>
          <t>ÅRJÄNG</t>
        </is>
      </c>
      <c r="I956" t="n">
        <v>0.9</v>
      </c>
      <c r="J956" t="n">
        <v>0</v>
      </c>
      <c r="K956" t="n">
        <v>0</v>
      </c>
      <c r="L956" t="n">
        <v>0</v>
      </c>
      <c r="M956" t="n">
        <v>0</v>
      </c>
      <c r="N956" t="n">
        <v>0</v>
      </c>
      <c r="O956" t="n">
        <v>0</v>
      </c>
      <c r="P956" t="n">
        <v>0</v>
      </c>
      <c r="Q956" t="n">
        <v>0</v>
      </c>
      <c r="R956" t="n">
        <v>0</v>
      </c>
      <c r="S956" t="n">
        <v>0</v>
      </c>
      <c r="T956" t="n">
        <v>0</v>
      </c>
      <c r="U956" s="2" t="inlineStr"/>
    </row>
    <row r="957" ht="15" customHeight="1">
      <c r="A957" t="inlineStr">
        <is>
          <t>A 39008-2023</t>
        </is>
      </c>
      <c r="B957" t="inlineStr">
        <is>
          <t>avverkningsanmälan</t>
        </is>
      </c>
      <c r="C957" t="inlineStr">
        <is>
          <t>Föryngringsavverkning</t>
        </is>
      </c>
      <c r="D957" s="1" t="n">
        <v>45162</v>
      </c>
      <c r="E957" s="1" t="n">
        <v>46220</v>
      </c>
      <c r="F957" t="inlineStr">
        <is>
          <t>VÄRMLANDS LÄN</t>
        </is>
      </c>
      <c r="G957" t="inlineStr">
        <is>
          <t>ÅRJÄNG</t>
        </is>
      </c>
      <c r="I957" t="n">
        <v>5.1</v>
      </c>
      <c r="J957" t="n">
        <v>0</v>
      </c>
      <c r="K957" t="n">
        <v>0</v>
      </c>
      <c r="L957" t="n">
        <v>0</v>
      </c>
      <c r="M957" t="n">
        <v>0</v>
      </c>
      <c r="N957" t="n">
        <v>0</v>
      </c>
      <c r="O957" t="n">
        <v>0</v>
      </c>
      <c r="P957" t="n">
        <v>0</v>
      </c>
      <c r="Q957" t="n">
        <v>0</v>
      </c>
      <c r="R957" t="n">
        <v>0</v>
      </c>
      <c r="S957" t="n">
        <v>0</v>
      </c>
      <c r="T957" t="n">
        <v>0</v>
      </c>
      <c r="U957" s="2" t="inlineStr"/>
    </row>
    <row r="958" ht="15" customHeight="1">
      <c r="A958" t="inlineStr">
        <is>
          <t>A 540-2024</t>
        </is>
      </c>
      <c r="B958" t="inlineStr">
        <is>
          <t>avverkningsanmälan</t>
        </is>
      </c>
      <c r="C958" t="inlineStr">
        <is>
          <t>Föryngringsavverkning</t>
        </is>
      </c>
      <c r="D958" s="1" t="n">
        <v>45299</v>
      </c>
      <c r="E958" s="1" t="n">
        <v>46220</v>
      </c>
      <c r="F958" t="inlineStr">
        <is>
          <t>VÄRMLANDS LÄN</t>
        </is>
      </c>
      <c r="G958" t="inlineStr">
        <is>
          <t>ÅRJÄNG</t>
        </is>
      </c>
      <c r="H958" t="inlineStr">
        <is>
          <t>Kyrkan</t>
        </is>
      </c>
      <c r="I958" t="n">
        <v>7</v>
      </c>
      <c r="J958" t="n">
        <v>0</v>
      </c>
      <c r="K958" t="n">
        <v>0</v>
      </c>
      <c r="L958" t="n">
        <v>0</v>
      </c>
      <c r="M958" t="n">
        <v>0</v>
      </c>
      <c r="N958" t="n">
        <v>0</v>
      </c>
      <c r="O958" t="n">
        <v>0</v>
      </c>
      <c r="P958" t="n">
        <v>0</v>
      </c>
      <c r="Q958" t="n">
        <v>0</v>
      </c>
      <c r="R958" t="n">
        <v>0</v>
      </c>
      <c r="S958" t="n">
        <v>0</v>
      </c>
      <c r="T958" t="n">
        <v>0</v>
      </c>
      <c r="U958" s="2" t="inlineStr"/>
    </row>
    <row r="959" ht="15" customHeight="1">
      <c r="A959" t="inlineStr">
        <is>
          <t>A 46351-2023</t>
        </is>
      </c>
      <c r="B959" t="inlineStr">
        <is>
          <t>avverkningsanmälan</t>
        </is>
      </c>
      <c r="C959" t="inlineStr">
        <is>
          <t>Föryngringsavverkning</t>
        </is>
      </c>
      <c r="D959" s="1" t="n">
        <v>45197</v>
      </c>
      <c r="E959" s="1" t="n">
        <v>46220</v>
      </c>
      <c r="F959" t="inlineStr">
        <is>
          <t>VÄRMLANDS LÄN</t>
        </is>
      </c>
      <c r="G959" t="inlineStr">
        <is>
          <t>ÅRJÄNG</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29204-2023</t>
        </is>
      </c>
      <c r="B960" t="inlineStr">
        <is>
          <t>avverkningsanmälan</t>
        </is>
      </c>
      <c r="C960" t="inlineStr">
        <is>
          <t>Föryngringsavverkning</t>
        </is>
      </c>
      <c r="D960" s="1" t="n">
        <v>45105</v>
      </c>
      <c r="E960" s="1" t="n">
        <v>46220</v>
      </c>
      <c r="F960" t="inlineStr">
        <is>
          <t>VÄRMLANDS LÄN</t>
        </is>
      </c>
      <c r="G960" t="inlineStr">
        <is>
          <t>ÅRJÄNG</t>
        </is>
      </c>
      <c r="I960" t="n">
        <v>1.5</v>
      </c>
      <c r="J960" t="n">
        <v>0</v>
      </c>
      <c r="K960" t="n">
        <v>0</v>
      </c>
      <c r="L960" t="n">
        <v>0</v>
      </c>
      <c r="M960" t="n">
        <v>0</v>
      </c>
      <c r="N960" t="n">
        <v>0</v>
      </c>
      <c r="O960" t="n">
        <v>0</v>
      </c>
      <c r="P960" t="n">
        <v>0</v>
      </c>
      <c r="Q960" t="n">
        <v>0</v>
      </c>
      <c r="R960" t="n">
        <v>0</v>
      </c>
      <c r="S960" t="n">
        <v>0</v>
      </c>
      <c r="T960" t="n">
        <v>0</v>
      </c>
      <c r="U960" s="2" t="inlineStr"/>
    </row>
    <row r="961" ht="15" customHeight="1">
      <c r="A961" t="inlineStr">
        <is>
          <t>A 74463-2021</t>
        </is>
      </c>
      <c r="B961" t="inlineStr">
        <is>
          <t>avverkningsanmälan</t>
        </is>
      </c>
      <c r="C961" t="inlineStr">
        <is>
          <t>Föryngringsavverkning</t>
        </is>
      </c>
      <c r="D961" s="1" t="n">
        <v>44560</v>
      </c>
      <c r="E961" s="1" t="n">
        <v>46220</v>
      </c>
      <c r="F961" t="inlineStr">
        <is>
          <t>VÄRMLANDS LÄN</t>
        </is>
      </c>
      <c r="G961" t="inlineStr">
        <is>
          <t>ÅRJÄNG</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27363-2026</t>
        </is>
      </c>
      <c r="B962" t="inlineStr">
        <is>
          <t>avverkningsanmälan</t>
        </is>
      </c>
      <c r="C962" t="inlineStr">
        <is>
          <t>Föryngringsavverkning</t>
        </is>
      </c>
      <c r="D962" s="1" t="n">
        <v>46184</v>
      </c>
      <c r="E962" s="1" t="n">
        <v>46220</v>
      </c>
      <c r="F962" t="inlineStr">
        <is>
          <t>VÄRMLANDS LÄN</t>
        </is>
      </c>
      <c r="G962" t="inlineStr">
        <is>
          <t>ÅRJÄNG</t>
        </is>
      </c>
      <c r="I962" t="n">
        <v>5.2</v>
      </c>
      <c r="J962" t="n">
        <v>0</v>
      </c>
      <c r="K962" t="n">
        <v>0</v>
      </c>
      <c r="L962" t="n">
        <v>0</v>
      </c>
      <c r="M962" t="n">
        <v>0</v>
      </c>
      <c r="N962" t="n">
        <v>0</v>
      </c>
      <c r="O962" t="n">
        <v>0</v>
      </c>
      <c r="P962" t="n">
        <v>0</v>
      </c>
      <c r="Q962" t="n">
        <v>0</v>
      </c>
      <c r="R962" t="n">
        <v>0</v>
      </c>
      <c r="S962" t="n">
        <v>0</v>
      </c>
      <c r="T962" t="n">
        <v>0</v>
      </c>
      <c r="U962" s="2" t="inlineStr"/>
    </row>
    <row r="963" ht="15" customHeight="1">
      <c r="A963" t="inlineStr">
        <is>
          <t>A 27692-2024</t>
        </is>
      </c>
      <c r="B963" t="inlineStr">
        <is>
          <t>avverkningsanmälan</t>
        </is>
      </c>
      <c r="C963" t="inlineStr">
        <is>
          <t>Föryngringsavverkning</t>
        </is>
      </c>
      <c r="D963" s="1" t="n">
        <v>45474</v>
      </c>
      <c r="E963" s="1" t="n">
        <v>46220</v>
      </c>
      <c r="F963" t="inlineStr">
        <is>
          <t>VÄRMLANDS LÄN</t>
        </is>
      </c>
      <c r="G963" t="inlineStr">
        <is>
          <t>ÅRJÄNG</t>
        </is>
      </c>
      <c r="H963" t="inlineStr">
        <is>
          <t>Övriga Aktiebolag</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60172-2023</t>
        </is>
      </c>
      <c r="B964" t="inlineStr">
        <is>
          <t>avverkningsanmälan</t>
        </is>
      </c>
      <c r="C964" t="inlineStr">
        <is>
          <t>Föryngringsavverkning</t>
        </is>
      </c>
      <c r="D964" s="1" t="n">
        <v>45257</v>
      </c>
      <c r="E964" s="1" t="n">
        <v>46220</v>
      </c>
      <c r="F964" t="inlineStr">
        <is>
          <t>VÄRMLANDS LÄN</t>
        </is>
      </c>
      <c r="G964" t="inlineStr">
        <is>
          <t>ÅRJÄNG</t>
        </is>
      </c>
      <c r="I964" t="n">
        <v>2.1</v>
      </c>
      <c r="J964" t="n">
        <v>0</v>
      </c>
      <c r="K964" t="n">
        <v>0</v>
      </c>
      <c r="L964" t="n">
        <v>0</v>
      </c>
      <c r="M964" t="n">
        <v>0</v>
      </c>
      <c r="N964" t="n">
        <v>0</v>
      </c>
      <c r="O964" t="n">
        <v>0</v>
      </c>
      <c r="P964" t="n">
        <v>0</v>
      </c>
      <c r="Q964" t="n">
        <v>0</v>
      </c>
      <c r="R964" t="n">
        <v>0</v>
      </c>
      <c r="S964" t="n">
        <v>0</v>
      </c>
      <c r="T964" t="n">
        <v>0</v>
      </c>
      <c r="U964" s="2" t="inlineStr"/>
    </row>
    <row r="965" ht="15" customHeight="1">
      <c r="A965" t="inlineStr">
        <is>
          <t>A 27520-2026</t>
        </is>
      </c>
      <c r="B965" t="inlineStr">
        <is>
          <t>avverkningsanmälan</t>
        </is>
      </c>
      <c r="C965" t="inlineStr">
        <is>
          <t>Föryngringsavverkning</t>
        </is>
      </c>
      <c r="D965" s="1" t="n">
        <v>46189</v>
      </c>
      <c r="E965" s="1" t="n">
        <v>46220</v>
      </c>
      <c r="F965" t="inlineStr">
        <is>
          <t>VÄRMLANDS LÄN</t>
        </is>
      </c>
      <c r="G965" t="inlineStr">
        <is>
          <t>ÅRJÄNG</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50941-2023</t>
        </is>
      </c>
      <c r="B966" t="inlineStr">
        <is>
          <t>avverkningsanmälan</t>
        </is>
      </c>
      <c r="C966" t="inlineStr">
        <is>
          <t>Föryngringsavverkning</t>
        </is>
      </c>
      <c r="D966" s="1" t="n">
        <v>45218</v>
      </c>
      <c r="E966" s="1" t="n">
        <v>46220</v>
      </c>
      <c r="F966" t="inlineStr">
        <is>
          <t>VÄRMLANDS LÄN</t>
        </is>
      </c>
      <c r="G966" t="inlineStr">
        <is>
          <t>ÅRJÄNG</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24505-2023</t>
        </is>
      </c>
      <c r="B967" t="inlineStr">
        <is>
          <t>avverkningsanmälan</t>
        </is>
      </c>
      <c r="C967" t="inlineStr">
        <is>
          <t>Föryngringsavverkning</t>
        </is>
      </c>
      <c r="D967" s="1" t="n">
        <v>45082</v>
      </c>
      <c r="E967" s="1" t="n">
        <v>46220</v>
      </c>
      <c r="F967" t="inlineStr">
        <is>
          <t>VÄRMLANDS LÄN</t>
        </is>
      </c>
      <c r="G967" t="inlineStr">
        <is>
          <t>ÅRJÄNG</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61226-2024</t>
        </is>
      </c>
      <c r="B968" t="inlineStr">
        <is>
          <t>avverkningsanmälan</t>
        </is>
      </c>
      <c r="C968" t="inlineStr">
        <is>
          <t>Föryngringsavverkning</t>
        </is>
      </c>
      <c r="D968" s="1" t="n">
        <v>45645</v>
      </c>
      <c r="E968" s="1" t="n">
        <v>46220</v>
      </c>
      <c r="F968" t="inlineStr">
        <is>
          <t>VÄRMLANDS LÄN</t>
        </is>
      </c>
      <c r="G968" t="inlineStr">
        <is>
          <t>ÅRJÄNG</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71472-2021</t>
        </is>
      </c>
      <c r="B969" t="inlineStr">
        <is>
          <t>avverkningsanmälan</t>
        </is>
      </c>
      <c r="C969" t="inlineStr">
        <is>
          <t>Föryngringsavverkning</t>
        </is>
      </c>
      <c r="D969" s="1" t="n">
        <v>44540</v>
      </c>
      <c r="E969" s="1" t="n">
        <v>46220</v>
      </c>
      <c r="F969" t="inlineStr">
        <is>
          <t>VÄRMLANDS LÄN</t>
        </is>
      </c>
      <c r="G969" t="inlineStr">
        <is>
          <t>ÅRJÄNG</t>
        </is>
      </c>
      <c r="I969" t="n">
        <v>1.9</v>
      </c>
      <c r="J969" t="n">
        <v>0</v>
      </c>
      <c r="K969" t="n">
        <v>0</v>
      </c>
      <c r="L969" t="n">
        <v>0</v>
      </c>
      <c r="M969" t="n">
        <v>0</v>
      </c>
      <c r="N969" t="n">
        <v>0</v>
      </c>
      <c r="O969" t="n">
        <v>0</v>
      </c>
      <c r="P969" t="n">
        <v>0</v>
      </c>
      <c r="Q969" t="n">
        <v>0</v>
      </c>
      <c r="R969" t="n">
        <v>0</v>
      </c>
      <c r="S969" t="n">
        <v>0</v>
      </c>
      <c r="T969" t="n">
        <v>0</v>
      </c>
      <c r="U969" s="2" t="inlineStr"/>
    </row>
    <row r="970" ht="15" customHeight="1">
      <c r="A970" t="inlineStr">
        <is>
          <t>A 23690-2024</t>
        </is>
      </c>
      <c r="B970" t="inlineStr">
        <is>
          <t>avverkningsanmälan</t>
        </is>
      </c>
      <c r="C970" t="inlineStr">
        <is>
          <t>Föryngringsavverkning</t>
        </is>
      </c>
      <c r="D970" s="1" t="n">
        <v>45454</v>
      </c>
      <c r="E970" s="1" t="n">
        <v>46220</v>
      </c>
      <c r="F970" t="inlineStr">
        <is>
          <t>VÄRMLANDS LÄN</t>
        </is>
      </c>
      <c r="G970" t="inlineStr">
        <is>
          <t>ÅRJÄNG</t>
        </is>
      </c>
      <c r="I970" t="n">
        <v>2.4</v>
      </c>
      <c r="J970" t="n">
        <v>0</v>
      </c>
      <c r="K970" t="n">
        <v>0</v>
      </c>
      <c r="L970" t="n">
        <v>0</v>
      </c>
      <c r="M970" t="n">
        <v>0</v>
      </c>
      <c r="N970" t="n">
        <v>0</v>
      </c>
      <c r="O970" t="n">
        <v>0</v>
      </c>
      <c r="P970" t="n">
        <v>0</v>
      </c>
      <c r="Q970" t="n">
        <v>0</v>
      </c>
      <c r="R970" t="n">
        <v>0</v>
      </c>
      <c r="S970" t="n">
        <v>0</v>
      </c>
      <c r="T970" t="n">
        <v>0</v>
      </c>
      <c r="U970" s="2" t="inlineStr"/>
    </row>
    <row r="971" ht="15" customHeight="1">
      <c r="A971" t="inlineStr">
        <is>
          <t>A 64381-2023</t>
        </is>
      </c>
      <c r="B971" t="inlineStr">
        <is>
          <t>avverkningsanmälan</t>
        </is>
      </c>
      <c r="C971" t="inlineStr">
        <is>
          <t>Avverkning för annat ändamål</t>
        </is>
      </c>
      <c r="D971" s="1" t="n">
        <v>45280</v>
      </c>
      <c r="E971" s="1" t="n">
        <v>46220</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21392-2023</t>
        </is>
      </c>
      <c r="B972" t="inlineStr">
        <is>
          <t>avverkningsanmälan</t>
        </is>
      </c>
      <c r="C972" t="inlineStr">
        <is>
          <t>Föryngringsavverkning</t>
        </is>
      </c>
      <c r="D972" s="1" t="n">
        <v>45061</v>
      </c>
      <c r="E972" s="1" t="n">
        <v>46220</v>
      </c>
      <c r="F972" t="inlineStr">
        <is>
          <t>VÄRMLANDS LÄN</t>
        </is>
      </c>
      <c r="G972" t="inlineStr">
        <is>
          <t>ÅRJÄNG</t>
        </is>
      </c>
      <c r="I972" t="n">
        <v>11.7</v>
      </c>
      <c r="J972" t="n">
        <v>0</v>
      </c>
      <c r="K972" t="n">
        <v>0</v>
      </c>
      <c r="L972" t="n">
        <v>0</v>
      </c>
      <c r="M972" t="n">
        <v>0</v>
      </c>
      <c r="N972" t="n">
        <v>0</v>
      </c>
      <c r="O972" t="n">
        <v>0</v>
      </c>
      <c r="P972" t="n">
        <v>0</v>
      </c>
      <c r="Q972" t="n">
        <v>0</v>
      </c>
      <c r="R972" t="n">
        <v>0</v>
      </c>
      <c r="S972" t="n">
        <v>0</v>
      </c>
      <c r="T972" t="n">
        <v>0</v>
      </c>
      <c r="U972" s="2" t="inlineStr"/>
    </row>
    <row r="973" ht="15" customHeight="1">
      <c r="A973" t="inlineStr">
        <is>
          <t>A 16791-2025</t>
        </is>
      </c>
      <c r="B973" t="inlineStr">
        <is>
          <t>avverkningsanmälan</t>
        </is>
      </c>
      <c r="C973" t="inlineStr">
        <is>
          <t>Föryngringsavverkning</t>
        </is>
      </c>
      <c r="D973" s="1" t="n">
        <v>45754</v>
      </c>
      <c r="E973" s="1" t="n">
        <v>46220</v>
      </c>
      <c r="F973" t="inlineStr">
        <is>
          <t>VÄRMLANDS LÄN</t>
        </is>
      </c>
      <c r="G973" t="inlineStr">
        <is>
          <t>ÅRJÄNG</t>
        </is>
      </c>
      <c r="I973" t="n">
        <v>1.5</v>
      </c>
      <c r="J973" t="n">
        <v>0</v>
      </c>
      <c r="K973" t="n">
        <v>0</v>
      </c>
      <c r="L973" t="n">
        <v>0</v>
      </c>
      <c r="M973" t="n">
        <v>0</v>
      </c>
      <c r="N973" t="n">
        <v>0</v>
      </c>
      <c r="O973" t="n">
        <v>0</v>
      </c>
      <c r="P973" t="n">
        <v>0</v>
      </c>
      <c r="Q973" t="n">
        <v>0</v>
      </c>
      <c r="R973" t="n">
        <v>0</v>
      </c>
      <c r="S973" t="n">
        <v>0</v>
      </c>
      <c r="T973" t="n">
        <v>0</v>
      </c>
      <c r="U973" s="2" t="inlineStr"/>
    </row>
    <row r="974" ht="15" customHeight="1">
      <c r="A974" t="inlineStr">
        <is>
          <t>A 59071-2024</t>
        </is>
      </c>
      <c r="B974" t="inlineStr">
        <is>
          <t>avverkningsanmälan</t>
        </is>
      </c>
      <c r="C974" t="inlineStr">
        <is>
          <t>Föryngringsavverkning</t>
        </is>
      </c>
      <c r="D974" s="1" t="n">
        <v>45636</v>
      </c>
      <c r="E974" s="1" t="n">
        <v>46220</v>
      </c>
      <c r="F974" t="inlineStr">
        <is>
          <t>VÄRMLANDS LÄN</t>
        </is>
      </c>
      <c r="G974" t="inlineStr">
        <is>
          <t>ÅRJÄNG</t>
        </is>
      </c>
      <c r="I974" t="n">
        <v>4.2</v>
      </c>
      <c r="J974" t="n">
        <v>0</v>
      </c>
      <c r="K974" t="n">
        <v>0</v>
      </c>
      <c r="L974" t="n">
        <v>0</v>
      </c>
      <c r="M974" t="n">
        <v>0</v>
      </c>
      <c r="N974" t="n">
        <v>0</v>
      </c>
      <c r="O974" t="n">
        <v>0</v>
      </c>
      <c r="P974" t="n">
        <v>0</v>
      </c>
      <c r="Q974" t="n">
        <v>0</v>
      </c>
      <c r="R974" t="n">
        <v>0</v>
      </c>
      <c r="S974" t="n">
        <v>0</v>
      </c>
      <c r="T974" t="n">
        <v>0</v>
      </c>
      <c r="U974" s="2" t="inlineStr"/>
    </row>
    <row r="975" ht="15" customHeight="1">
      <c r="A975" t="inlineStr">
        <is>
          <t>A 59073-2024</t>
        </is>
      </c>
      <c r="B975" t="inlineStr">
        <is>
          <t>avverkningsanmälan</t>
        </is>
      </c>
      <c r="C975" t="inlineStr">
        <is>
          <t>Föryngringsavverkning</t>
        </is>
      </c>
      <c r="D975" s="1" t="n">
        <v>45636</v>
      </c>
      <c r="E975" s="1" t="n">
        <v>46220</v>
      </c>
      <c r="F975" t="inlineStr">
        <is>
          <t>VÄRMLANDS LÄN</t>
        </is>
      </c>
      <c r="G975" t="inlineStr">
        <is>
          <t>ÅRJÄNG</t>
        </is>
      </c>
      <c r="I975" t="n">
        <v>3</v>
      </c>
      <c r="J975" t="n">
        <v>0</v>
      </c>
      <c r="K975" t="n">
        <v>0</v>
      </c>
      <c r="L975" t="n">
        <v>0</v>
      </c>
      <c r="M975" t="n">
        <v>0</v>
      </c>
      <c r="N975" t="n">
        <v>0</v>
      </c>
      <c r="O975" t="n">
        <v>0</v>
      </c>
      <c r="P975" t="n">
        <v>0</v>
      </c>
      <c r="Q975" t="n">
        <v>0</v>
      </c>
      <c r="R975" t="n">
        <v>0</v>
      </c>
      <c r="S975" t="n">
        <v>0</v>
      </c>
      <c r="T975" t="n">
        <v>0</v>
      </c>
      <c r="U975" s="2" t="inlineStr"/>
    </row>
    <row r="976" ht="15" customHeight="1">
      <c r="A976" t="inlineStr">
        <is>
          <t>A 39536-2022</t>
        </is>
      </c>
      <c r="B976" t="inlineStr">
        <is>
          <t>avverkningsanmälan</t>
        </is>
      </c>
      <c r="C976" t="inlineStr">
        <is>
          <t>Föryngringsavverkning</t>
        </is>
      </c>
      <c r="D976" s="1" t="n">
        <v>44818</v>
      </c>
      <c r="E976" s="1" t="n">
        <v>46220</v>
      </c>
      <c r="F976" t="inlineStr">
        <is>
          <t>VÄRMLANDS LÄN</t>
        </is>
      </c>
      <c r="G976" t="inlineStr">
        <is>
          <t>ÅRJÄNG</t>
        </is>
      </c>
      <c r="I976" t="n">
        <v>0.9</v>
      </c>
      <c r="J976" t="n">
        <v>0</v>
      </c>
      <c r="K976" t="n">
        <v>0</v>
      </c>
      <c r="L976" t="n">
        <v>0</v>
      </c>
      <c r="M976" t="n">
        <v>0</v>
      </c>
      <c r="N976" t="n">
        <v>0</v>
      </c>
      <c r="O976" t="n">
        <v>0</v>
      </c>
      <c r="P976" t="n">
        <v>0</v>
      </c>
      <c r="Q976" t="n">
        <v>0</v>
      </c>
      <c r="R976" t="n">
        <v>0</v>
      </c>
      <c r="S976" t="n">
        <v>0</v>
      </c>
      <c r="T976" t="n">
        <v>0</v>
      </c>
      <c r="U976" s="2" t="inlineStr"/>
    </row>
    <row r="977" ht="15" customHeight="1">
      <c r="A977" t="inlineStr">
        <is>
          <t>A 34144-2022</t>
        </is>
      </c>
      <c r="B977" t="inlineStr">
        <is>
          <t>avverkningsanmälan</t>
        </is>
      </c>
      <c r="C977" t="inlineStr">
        <is>
          <t>Föryngringsavverkning</t>
        </is>
      </c>
      <c r="D977" s="1" t="n">
        <v>44791</v>
      </c>
      <c r="E977" s="1" t="n">
        <v>46220</v>
      </c>
      <c r="F977" t="inlineStr">
        <is>
          <t>VÄRMLANDS LÄN</t>
        </is>
      </c>
      <c r="G977" t="inlineStr">
        <is>
          <t>ÅRJÄNG</t>
        </is>
      </c>
      <c r="I977" t="n">
        <v>1.6</v>
      </c>
      <c r="J977" t="n">
        <v>0</v>
      </c>
      <c r="K977" t="n">
        <v>0</v>
      </c>
      <c r="L977" t="n">
        <v>0</v>
      </c>
      <c r="M977" t="n">
        <v>0</v>
      </c>
      <c r="N977" t="n">
        <v>0</v>
      </c>
      <c r="O977" t="n">
        <v>0</v>
      </c>
      <c r="P977" t="n">
        <v>0</v>
      </c>
      <c r="Q977" t="n">
        <v>0</v>
      </c>
      <c r="R977" t="n">
        <v>0</v>
      </c>
      <c r="S977" t="n">
        <v>0</v>
      </c>
      <c r="T977" t="n">
        <v>0</v>
      </c>
      <c r="U977" s="2" t="inlineStr"/>
    </row>
    <row r="978" ht="15" customHeight="1">
      <c r="A978" t="inlineStr">
        <is>
          <t>A 58141-2023</t>
        </is>
      </c>
      <c r="B978" t="inlineStr">
        <is>
          <t>avverkningsanmälan</t>
        </is>
      </c>
      <c r="C978" t="inlineStr">
        <is>
          <t>Föryngringsavverkning</t>
        </is>
      </c>
      <c r="D978" s="1" t="n">
        <v>45245</v>
      </c>
      <c r="E978" s="1" t="n">
        <v>46220</v>
      </c>
      <c r="F978" t="inlineStr">
        <is>
          <t>VÄRMLANDS LÄN</t>
        </is>
      </c>
      <c r="G978" t="inlineStr">
        <is>
          <t>ÅRJÄNG</t>
        </is>
      </c>
      <c r="I978" t="n">
        <v>6.2</v>
      </c>
      <c r="J978" t="n">
        <v>0</v>
      </c>
      <c r="K978" t="n">
        <v>0</v>
      </c>
      <c r="L978" t="n">
        <v>0</v>
      </c>
      <c r="M978" t="n">
        <v>0</v>
      </c>
      <c r="N978" t="n">
        <v>0</v>
      </c>
      <c r="O978" t="n">
        <v>0</v>
      </c>
      <c r="P978" t="n">
        <v>0</v>
      </c>
      <c r="Q978" t="n">
        <v>0</v>
      </c>
      <c r="R978" t="n">
        <v>0</v>
      </c>
      <c r="S978" t="n">
        <v>0</v>
      </c>
      <c r="T978" t="n">
        <v>0</v>
      </c>
      <c r="U978" s="2" t="inlineStr"/>
    </row>
    <row r="979" ht="15" customHeight="1">
      <c r="A979" t="inlineStr">
        <is>
          <t>A 27560-2026</t>
        </is>
      </c>
      <c r="B979" t="inlineStr">
        <is>
          <t>avverkningsanmälan</t>
        </is>
      </c>
      <c r="C979" t="inlineStr">
        <is>
          <t>Föryngringsavverkning</t>
        </is>
      </c>
      <c r="D979" s="1" t="n">
        <v>46190</v>
      </c>
      <c r="E979" s="1" t="n">
        <v>46220</v>
      </c>
      <c r="F979" t="inlineStr">
        <is>
          <t>VÄRMLANDS LÄN</t>
        </is>
      </c>
      <c r="G979" t="inlineStr">
        <is>
          <t>ÅRJÄNG</t>
        </is>
      </c>
      <c r="H979" t="inlineStr">
        <is>
          <t>Kyrkan</t>
        </is>
      </c>
      <c r="I979" t="n">
        <v>3.3</v>
      </c>
      <c r="J979" t="n">
        <v>0</v>
      </c>
      <c r="K979" t="n">
        <v>0</v>
      </c>
      <c r="L979" t="n">
        <v>0</v>
      </c>
      <c r="M979" t="n">
        <v>0</v>
      </c>
      <c r="N979" t="n">
        <v>0</v>
      </c>
      <c r="O979" t="n">
        <v>0</v>
      </c>
      <c r="P979" t="n">
        <v>0</v>
      </c>
      <c r="Q979" t="n">
        <v>0</v>
      </c>
      <c r="R979" t="n">
        <v>0</v>
      </c>
      <c r="S979" t="n">
        <v>0</v>
      </c>
      <c r="T979" t="n">
        <v>0</v>
      </c>
      <c r="U979" s="2" t="inlineStr"/>
    </row>
    <row r="980" ht="15" customHeight="1">
      <c r="A980" t="inlineStr">
        <is>
          <t>A 14340-2023</t>
        </is>
      </c>
      <c r="B980" t="inlineStr">
        <is>
          <t>avverkningsanmälan</t>
        </is>
      </c>
      <c r="C980" t="inlineStr">
        <is>
          <t>Föryngringsavverkning</t>
        </is>
      </c>
      <c r="D980" s="1" t="n">
        <v>45012</v>
      </c>
      <c r="E980" s="1" t="n">
        <v>46220</v>
      </c>
      <c r="F980" t="inlineStr">
        <is>
          <t>VÄRMLANDS LÄN</t>
        </is>
      </c>
      <c r="G980" t="inlineStr">
        <is>
          <t>ÅRJÄNG</t>
        </is>
      </c>
      <c r="I980" t="n">
        <v>3.1</v>
      </c>
      <c r="J980" t="n">
        <v>0</v>
      </c>
      <c r="K980" t="n">
        <v>0</v>
      </c>
      <c r="L980" t="n">
        <v>0</v>
      </c>
      <c r="M980" t="n">
        <v>0</v>
      </c>
      <c r="N980" t="n">
        <v>0</v>
      </c>
      <c r="O980" t="n">
        <v>0</v>
      </c>
      <c r="P980" t="n">
        <v>0</v>
      </c>
      <c r="Q980" t="n">
        <v>0</v>
      </c>
      <c r="R980" t="n">
        <v>0</v>
      </c>
      <c r="S980" t="n">
        <v>0</v>
      </c>
      <c r="T980" t="n">
        <v>0</v>
      </c>
      <c r="U980" s="2" t="inlineStr"/>
    </row>
    <row r="981" ht="15" customHeight="1">
      <c r="A981" t="inlineStr">
        <is>
          <t>A 22032-2023</t>
        </is>
      </c>
      <c r="B981" t="inlineStr">
        <is>
          <t>avverkningsanmälan</t>
        </is>
      </c>
      <c r="C981" t="inlineStr">
        <is>
          <t>Föryngringsavverkning</t>
        </is>
      </c>
      <c r="D981" s="1" t="n">
        <v>45069</v>
      </c>
      <c r="E981" s="1" t="n">
        <v>46220</v>
      </c>
      <c r="F981" t="inlineStr">
        <is>
          <t>VÄRMLANDS LÄN</t>
        </is>
      </c>
      <c r="G981" t="inlineStr">
        <is>
          <t>ÅRJÄNG</t>
        </is>
      </c>
      <c r="I981" t="n">
        <v>2.4</v>
      </c>
      <c r="J981" t="n">
        <v>0</v>
      </c>
      <c r="K981" t="n">
        <v>0</v>
      </c>
      <c r="L981" t="n">
        <v>0</v>
      </c>
      <c r="M981" t="n">
        <v>0</v>
      </c>
      <c r="N981" t="n">
        <v>0</v>
      </c>
      <c r="O981" t="n">
        <v>0</v>
      </c>
      <c r="P981" t="n">
        <v>0</v>
      </c>
      <c r="Q981" t="n">
        <v>0</v>
      </c>
      <c r="R981" t="n">
        <v>0</v>
      </c>
      <c r="S981" t="n">
        <v>0</v>
      </c>
      <c r="T981" t="n">
        <v>0</v>
      </c>
      <c r="U981" s="2" t="inlineStr"/>
    </row>
    <row r="982" ht="15" customHeight="1">
      <c r="A982" t="inlineStr">
        <is>
          <t>A 55422-2023</t>
        </is>
      </c>
      <c r="B982" t="inlineStr">
        <is>
          <t>avverkningsanmälan</t>
        </is>
      </c>
      <c r="C982" t="inlineStr">
        <is>
          <t>Föryngringsavverkning</t>
        </is>
      </c>
      <c r="D982" s="1" t="n">
        <v>45238</v>
      </c>
      <c r="E982" s="1" t="n">
        <v>46220</v>
      </c>
      <c r="F982" t="inlineStr">
        <is>
          <t>VÄRMLANDS LÄN</t>
        </is>
      </c>
      <c r="G982" t="inlineStr">
        <is>
          <t>ÅRJÄNG</t>
        </is>
      </c>
      <c r="H982" t="inlineStr">
        <is>
          <t>Kyrkan</t>
        </is>
      </c>
      <c r="I982" t="n">
        <v>2.3</v>
      </c>
      <c r="J982" t="n">
        <v>0</v>
      </c>
      <c r="K982" t="n">
        <v>0</v>
      </c>
      <c r="L982" t="n">
        <v>0</v>
      </c>
      <c r="M982" t="n">
        <v>0</v>
      </c>
      <c r="N982" t="n">
        <v>0</v>
      </c>
      <c r="O982" t="n">
        <v>0</v>
      </c>
      <c r="P982" t="n">
        <v>0</v>
      </c>
      <c r="Q982" t="n">
        <v>0</v>
      </c>
      <c r="R982" t="n">
        <v>0</v>
      </c>
      <c r="S982" t="n">
        <v>0</v>
      </c>
      <c r="T982" t="n">
        <v>0</v>
      </c>
      <c r="U982" s="2" t="inlineStr"/>
    </row>
    <row r="983" ht="15" customHeight="1">
      <c r="A983" t="inlineStr">
        <is>
          <t>A 54961-2024</t>
        </is>
      </c>
      <c r="B983" t="inlineStr">
        <is>
          <t>avverkningsanmälan</t>
        </is>
      </c>
      <c r="C983" t="inlineStr">
        <is>
          <t>Föryngringsavverkning</t>
        </is>
      </c>
      <c r="D983" s="1" t="n">
        <v>45619</v>
      </c>
      <c r="E983" s="1" t="n">
        <v>46220</v>
      </c>
      <c r="F983" t="inlineStr">
        <is>
          <t>VÄRMLANDS LÄN</t>
        </is>
      </c>
      <c r="G983" t="inlineStr">
        <is>
          <t>ÅRJÄNG</t>
        </is>
      </c>
      <c r="I983" t="n">
        <v>0.9</v>
      </c>
      <c r="J983" t="n">
        <v>0</v>
      </c>
      <c r="K983" t="n">
        <v>0</v>
      </c>
      <c r="L983" t="n">
        <v>0</v>
      </c>
      <c r="M983" t="n">
        <v>0</v>
      </c>
      <c r="N983" t="n">
        <v>0</v>
      </c>
      <c r="O983" t="n">
        <v>0</v>
      </c>
      <c r="P983" t="n">
        <v>0</v>
      </c>
      <c r="Q983" t="n">
        <v>0</v>
      </c>
      <c r="R983" t="n">
        <v>0</v>
      </c>
      <c r="S983" t="n">
        <v>0</v>
      </c>
      <c r="T983" t="n">
        <v>0</v>
      </c>
      <c r="U983" s="2" t="inlineStr"/>
    </row>
    <row r="984" ht="15" customHeight="1">
      <c r="A984" t="inlineStr">
        <is>
          <t>A 37356-2024</t>
        </is>
      </c>
      <c r="B984" t="inlineStr">
        <is>
          <t>avverkningsanmälan</t>
        </is>
      </c>
      <c r="C984" t="inlineStr">
        <is>
          <t>Föryngringsavverkning</t>
        </is>
      </c>
      <c r="D984" s="1" t="n">
        <v>45540</v>
      </c>
      <c r="E984" s="1" t="n">
        <v>46220</v>
      </c>
      <c r="F984" t="inlineStr">
        <is>
          <t>VÄRMLANDS LÄN</t>
        </is>
      </c>
      <c r="G984" t="inlineStr">
        <is>
          <t>ÅRJÄNG</t>
        </is>
      </c>
      <c r="I984" t="n">
        <v>3.4</v>
      </c>
      <c r="J984" t="n">
        <v>0</v>
      </c>
      <c r="K984" t="n">
        <v>0</v>
      </c>
      <c r="L984" t="n">
        <v>0</v>
      </c>
      <c r="M984" t="n">
        <v>0</v>
      </c>
      <c r="N984" t="n">
        <v>0</v>
      </c>
      <c r="O984" t="n">
        <v>0</v>
      </c>
      <c r="P984" t="n">
        <v>0</v>
      </c>
      <c r="Q984" t="n">
        <v>0</v>
      </c>
      <c r="R984" t="n">
        <v>0</v>
      </c>
      <c r="S984" t="n">
        <v>0</v>
      </c>
      <c r="T984" t="n">
        <v>0</v>
      </c>
      <c r="U984" s="2" t="inlineStr"/>
    </row>
    <row r="985" ht="15" customHeight="1">
      <c r="A985" t="inlineStr">
        <is>
          <t>A 49891-2022</t>
        </is>
      </c>
      <c r="B985" t="inlineStr">
        <is>
          <t>avverkningsanmälan</t>
        </is>
      </c>
      <c r="C985" t="inlineStr">
        <is>
          <t>Föryngringsavverkning</t>
        </is>
      </c>
      <c r="D985" s="1" t="n">
        <v>44864</v>
      </c>
      <c r="E985" s="1" t="n">
        <v>46220</v>
      </c>
      <c r="F985" t="inlineStr">
        <is>
          <t>VÄRMLANDS LÄN</t>
        </is>
      </c>
      <c r="G985" t="inlineStr">
        <is>
          <t>ÅRJÄNG</t>
        </is>
      </c>
      <c r="I985" t="n">
        <v>5.6</v>
      </c>
      <c r="J985" t="n">
        <v>0</v>
      </c>
      <c r="K985" t="n">
        <v>0</v>
      </c>
      <c r="L985" t="n">
        <v>0</v>
      </c>
      <c r="M985" t="n">
        <v>0</v>
      </c>
      <c r="N985" t="n">
        <v>0</v>
      </c>
      <c r="O985" t="n">
        <v>0</v>
      </c>
      <c r="P985" t="n">
        <v>0</v>
      </c>
      <c r="Q985" t="n">
        <v>0</v>
      </c>
      <c r="R985" t="n">
        <v>0</v>
      </c>
      <c r="S985" t="n">
        <v>0</v>
      </c>
      <c r="T985" t="n">
        <v>0</v>
      </c>
      <c r="U985" s="2" t="inlineStr"/>
    </row>
    <row r="986" ht="15" customHeight="1">
      <c r="A986" t="inlineStr">
        <is>
          <t>A 59746-2023</t>
        </is>
      </c>
      <c r="B986" t="inlineStr">
        <is>
          <t>avverkningsanmälan</t>
        </is>
      </c>
      <c r="C986" t="inlineStr">
        <is>
          <t>Föryngringsavverkning</t>
        </is>
      </c>
      <c r="D986" s="1" t="n">
        <v>45254</v>
      </c>
      <c r="E986" s="1" t="n">
        <v>46220</v>
      </c>
      <c r="F986" t="inlineStr">
        <is>
          <t>VÄRMLANDS LÄN</t>
        </is>
      </c>
      <c r="G986" t="inlineStr">
        <is>
          <t>ÅRJÄNG</t>
        </is>
      </c>
      <c r="I986" t="n">
        <v>4.4</v>
      </c>
      <c r="J986" t="n">
        <v>0</v>
      </c>
      <c r="K986" t="n">
        <v>0</v>
      </c>
      <c r="L986" t="n">
        <v>0</v>
      </c>
      <c r="M986" t="n">
        <v>0</v>
      </c>
      <c r="N986" t="n">
        <v>0</v>
      </c>
      <c r="O986" t="n">
        <v>0</v>
      </c>
      <c r="P986" t="n">
        <v>0</v>
      </c>
      <c r="Q986" t="n">
        <v>0</v>
      </c>
      <c r="R986" t="n">
        <v>0</v>
      </c>
      <c r="S986" t="n">
        <v>0</v>
      </c>
      <c r="T986" t="n">
        <v>0</v>
      </c>
      <c r="U986" s="2" t="inlineStr"/>
    </row>
    <row r="987" ht="15" customHeight="1">
      <c r="A987" t="inlineStr">
        <is>
          <t>A 21797-2026</t>
        </is>
      </c>
      <c r="B987" t="inlineStr">
        <is>
          <t>avverkningsanmälan</t>
        </is>
      </c>
      <c r="C987" t="inlineStr">
        <is>
          <t>Föryngringsavverkning</t>
        </is>
      </c>
      <c r="D987" s="1" t="n">
        <v>46150</v>
      </c>
      <c r="E987" s="1" t="n">
        <v>46220</v>
      </c>
      <c r="F987" t="inlineStr">
        <is>
          <t>VÄRMLANDS LÄN</t>
        </is>
      </c>
      <c r="G987" t="inlineStr">
        <is>
          <t>ÅRJÄNG</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62288-2023</t>
        </is>
      </c>
      <c r="B988" t="inlineStr">
        <is>
          <t>avverkningsanmälan</t>
        </is>
      </c>
      <c r="C988" t="inlineStr">
        <is>
          <t>Föryngringsavverkning</t>
        </is>
      </c>
      <c r="D988" s="1" t="n">
        <v>45267</v>
      </c>
      <c r="E988" s="1" t="n">
        <v>46220</v>
      </c>
      <c r="F988" t="inlineStr">
        <is>
          <t>VÄRMLANDS LÄN</t>
        </is>
      </c>
      <c r="G988" t="inlineStr">
        <is>
          <t>ÅRJÄNG</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21836-2026</t>
        </is>
      </c>
      <c r="B989" t="inlineStr">
        <is>
          <t>avverkningsanmälan</t>
        </is>
      </c>
      <c r="C989" t="inlineStr">
        <is>
          <t>Föryngringsavverkning</t>
        </is>
      </c>
      <c r="D989" s="1" t="n">
        <v>46150</v>
      </c>
      <c r="E989" s="1" t="n">
        <v>46220</v>
      </c>
      <c r="F989" t="inlineStr">
        <is>
          <t>VÄRMLANDS LÄN</t>
        </is>
      </c>
      <c r="G989" t="inlineStr">
        <is>
          <t>ÅRJÄNG</t>
        </is>
      </c>
      <c r="I989" t="n">
        <v>2.3</v>
      </c>
      <c r="J989" t="n">
        <v>0</v>
      </c>
      <c r="K989" t="n">
        <v>0</v>
      </c>
      <c r="L989" t="n">
        <v>0</v>
      </c>
      <c r="M989" t="n">
        <v>0</v>
      </c>
      <c r="N989" t="n">
        <v>0</v>
      </c>
      <c r="O989" t="n">
        <v>0</v>
      </c>
      <c r="P989" t="n">
        <v>0</v>
      </c>
      <c r="Q989" t="n">
        <v>0</v>
      </c>
      <c r="R989" t="n">
        <v>0</v>
      </c>
      <c r="S989" t="n">
        <v>0</v>
      </c>
      <c r="T989" t="n">
        <v>0</v>
      </c>
      <c r="U989" s="2" t="inlineStr"/>
    </row>
    <row r="990" ht="15" customHeight="1">
      <c r="A990" t="inlineStr">
        <is>
          <t>A 13998-2024</t>
        </is>
      </c>
      <c r="B990" t="inlineStr">
        <is>
          <t>avverkningsanmälan</t>
        </is>
      </c>
      <c r="C990" t="inlineStr">
        <is>
          <t>Föryngringsavverkning</t>
        </is>
      </c>
      <c r="D990" s="1" t="n">
        <v>45392</v>
      </c>
      <c r="E990" s="1" t="n">
        <v>46220</v>
      </c>
      <c r="F990" t="inlineStr">
        <is>
          <t>VÄRMLANDS LÄN</t>
        </is>
      </c>
      <c r="G990" t="inlineStr">
        <is>
          <t>ÅRJÄNG</t>
        </is>
      </c>
      <c r="I990" t="n">
        <v>1.8</v>
      </c>
      <c r="J990" t="n">
        <v>0</v>
      </c>
      <c r="K990" t="n">
        <v>0</v>
      </c>
      <c r="L990" t="n">
        <v>0</v>
      </c>
      <c r="M990" t="n">
        <v>0</v>
      </c>
      <c r="N990" t="n">
        <v>0</v>
      </c>
      <c r="O990" t="n">
        <v>0</v>
      </c>
      <c r="P990" t="n">
        <v>0</v>
      </c>
      <c r="Q990" t="n">
        <v>0</v>
      </c>
      <c r="R990" t="n">
        <v>0</v>
      </c>
      <c r="S990" t="n">
        <v>0</v>
      </c>
      <c r="T990" t="n">
        <v>0</v>
      </c>
      <c r="U990" s="2" t="inlineStr"/>
    </row>
    <row r="991" ht="15" customHeight="1">
      <c r="A991" t="inlineStr">
        <is>
          <t>A 1153-2023</t>
        </is>
      </c>
      <c r="B991" t="inlineStr">
        <is>
          <t>avverkningsanmälan</t>
        </is>
      </c>
      <c r="C991" t="inlineStr">
        <is>
          <t>Föryngringsavverkning</t>
        </is>
      </c>
      <c r="D991" s="1" t="n">
        <v>44935</v>
      </c>
      <c r="E991" s="1" t="n">
        <v>46220</v>
      </c>
      <c r="F991" t="inlineStr">
        <is>
          <t>VÄRMLANDS LÄN</t>
        </is>
      </c>
      <c r="G991" t="inlineStr">
        <is>
          <t>ÅRJÄNG</t>
        </is>
      </c>
      <c r="I991" t="n">
        <v>3.2</v>
      </c>
      <c r="J991" t="n">
        <v>0</v>
      </c>
      <c r="K991" t="n">
        <v>0</v>
      </c>
      <c r="L991" t="n">
        <v>0</v>
      </c>
      <c r="M991" t="n">
        <v>0</v>
      </c>
      <c r="N991" t="n">
        <v>0</v>
      </c>
      <c r="O991" t="n">
        <v>0</v>
      </c>
      <c r="P991" t="n">
        <v>0</v>
      </c>
      <c r="Q991" t="n">
        <v>0</v>
      </c>
      <c r="R991" t="n">
        <v>0</v>
      </c>
      <c r="S991" t="n">
        <v>0</v>
      </c>
      <c r="T991" t="n">
        <v>0</v>
      </c>
      <c r="U991" s="2" t="inlineStr"/>
    </row>
    <row r="992" ht="15" customHeight="1">
      <c r="A992" t="inlineStr">
        <is>
          <t>A 62240-2022</t>
        </is>
      </c>
      <c r="B992" t="inlineStr">
        <is>
          <t>avverkningsanmälan</t>
        </is>
      </c>
      <c r="C992" t="inlineStr">
        <is>
          <t>Föryngringsavverkning</t>
        </is>
      </c>
      <c r="D992" s="1" t="n">
        <v>44922</v>
      </c>
      <c r="E992" s="1" t="n">
        <v>46220</v>
      </c>
      <c r="F992" t="inlineStr">
        <is>
          <t>VÄRMLANDS LÄN</t>
        </is>
      </c>
      <c r="G992" t="inlineStr">
        <is>
          <t>ÅRJÄNG</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48014-2023</t>
        </is>
      </c>
      <c r="B993" t="inlineStr">
        <is>
          <t>avverkningsanmälan</t>
        </is>
      </c>
      <c r="C993" t="inlineStr">
        <is>
          <t>Föryngringsavverkning</t>
        </is>
      </c>
      <c r="D993" s="1" t="n">
        <v>45198</v>
      </c>
      <c r="E993" s="1" t="n">
        <v>46220</v>
      </c>
      <c r="F993" t="inlineStr">
        <is>
          <t>VÄRMLANDS LÄN</t>
        </is>
      </c>
      <c r="G993" t="inlineStr">
        <is>
          <t>ÅRJÄNG</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6562-2023</t>
        </is>
      </c>
      <c r="B994" t="inlineStr">
        <is>
          <t>avverkningsanmälan</t>
        </is>
      </c>
      <c r="C994" t="inlineStr">
        <is>
          <t>Föryngringsavverkning</t>
        </is>
      </c>
      <c r="D994" s="1" t="n">
        <v>44966</v>
      </c>
      <c r="E994" s="1" t="n">
        <v>46220</v>
      </c>
      <c r="F994" t="inlineStr">
        <is>
          <t>VÄRMLANDS LÄN</t>
        </is>
      </c>
      <c r="G994" t="inlineStr">
        <is>
          <t>ÅRJÄNG</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31794-2023</t>
        </is>
      </c>
      <c r="B995" t="inlineStr">
        <is>
          <t>avverkningsanmälan</t>
        </is>
      </c>
      <c r="C995" t="inlineStr">
        <is>
          <t>Föryngringsavverkning</t>
        </is>
      </c>
      <c r="D995" s="1" t="n">
        <v>45118</v>
      </c>
      <c r="E995" s="1" t="n">
        <v>46220</v>
      </c>
      <c r="F995" t="inlineStr">
        <is>
          <t>VÄRMLANDS LÄN</t>
        </is>
      </c>
      <c r="G995" t="inlineStr">
        <is>
          <t>ÅRJÄNG</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7619-2023</t>
        </is>
      </c>
      <c r="B996" t="inlineStr">
        <is>
          <t>avverkningsanmälan</t>
        </is>
      </c>
      <c r="C996" t="inlineStr">
        <is>
          <t>Föryngringsavverkning</t>
        </is>
      </c>
      <c r="D996" s="1" t="n">
        <v>44967</v>
      </c>
      <c r="E996" s="1" t="n">
        <v>46220</v>
      </c>
      <c r="F996" t="inlineStr">
        <is>
          <t>VÄRMLANDS LÄN</t>
        </is>
      </c>
      <c r="G996" t="inlineStr">
        <is>
          <t>ÅRJÄNG</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61545-2024</t>
        </is>
      </c>
      <c r="B997" t="inlineStr">
        <is>
          <t>avverkningsanmälan</t>
        </is>
      </c>
      <c r="C997" t="inlineStr">
        <is>
          <t>Föryngringsavverkning</t>
        </is>
      </c>
      <c r="D997" s="1" t="n">
        <v>45646</v>
      </c>
      <c r="E997" s="1" t="n">
        <v>46220</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53298-2025</t>
        </is>
      </c>
      <c r="B998" t="inlineStr">
        <is>
          <t>avverkningsanmälan</t>
        </is>
      </c>
      <c r="C998" t="inlineStr">
        <is>
          <t>Föryngringsavverkning</t>
        </is>
      </c>
      <c r="D998" s="1" t="n">
        <v>45959</v>
      </c>
      <c r="E998" s="1" t="n">
        <v>46220</v>
      </c>
      <c r="F998" t="inlineStr">
        <is>
          <t>VÄRMLANDS LÄN</t>
        </is>
      </c>
      <c r="G998" t="inlineStr">
        <is>
          <t>ÅRJÄNG</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38065-2024</t>
        </is>
      </c>
      <c r="B999" t="inlineStr">
        <is>
          <t>avverkningsanmälan</t>
        </is>
      </c>
      <c r="C999" t="inlineStr">
        <is>
          <t>Föryngringsavverkning</t>
        </is>
      </c>
      <c r="D999" s="1" t="n">
        <v>45544</v>
      </c>
      <c r="E999" s="1" t="n">
        <v>46220</v>
      </c>
      <c r="F999" t="inlineStr">
        <is>
          <t>VÄRMLANDS LÄN</t>
        </is>
      </c>
      <c r="G999" t="inlineStr">
        <is>
          <t>ÅRJÄNG</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10117-2023</t>
        </is>
      </c>
      <c r="B1000" t="inlineStr">
        <is>
          <t>avverkningsanmälan</t>
        </is>
      </c>
      <c r="C1000" t="inlineStr">
        <is>
          <t>Föryngringsavverkning</t>
        </is>
      </c>
      <c r="D1000" s="1" t="n">
        <v>44986</v>
      </c>
      <c r="E1000" s="1" t="n">
        <v>46220</v>
      </c>
      <c r="F1000" t="inlineStr">
        <is>
          <t>VÄRMLANDS LÄN</t>
        </is>
      </c>
      <c r="G1000" t="inlineStr">
        <is>
          <t>ÅRJÄNG</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7098-2024</t>
        </is>
      </c>
      <c r="B1001" t="inlineStr">
        <is>
          <t>avverkningsanmälan</t>
        </is>
      </c>
      <c r="C1001" t="inlineStr">
        <is>
          <t>Föryngringsavverkning</t>
        </is>
      </c>
      <c r="D1001" s="1" t="n">
        <v>45343</v>
      </c>
      <c r="E1001" s="1" t="n">
        <v>46220</v>
      </c>
      <c r="F1001" t="inlineStr">
        <is>
          <t>VÄRMLANDS LÄN</t>
        </is>
      </c>
      <c r="G1001" t="inlineStr">
        <is>
          <t>ÅRJÄNG</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7100-2024</t>
        </is>
      </c>
      <c r="B1002" t="inlineStr">
        <is>
          <t>avverkningsanmälan</t>
        </is>
      </c>
      <c r="C1002" t="inlineStr">
        <is>
          <t>Föryngringsavverkning</t>
        </is>
      </c>
      <c r="D1002" s="1" t="n">
        <v>45343</v>
      </c>
      <c r="E1002" s="1" t="n">
        <v>46220</v>
      </c>
      <c r="F1002" t="inlineStr">
        <is>
          <t>VÄRMLANDS LÄN</t>
        </is>
      </c>
      <c r="G1002" t="inlineStr">
        <is>
          <t>ÅRJÄNG</t>
        </is>
      </c>
      <c r="I1002" t="n">
        <v>6.5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28228-2026</t>
        </is>
      </c>
      <c r="B1003" t="inlineStr">
        <is>
          <t>avverkningsanmälan</t>
        </is>
      </c>
      <c r="C1003" t="inlineStr">
        <is>
          <t>Föryngringsavverkning</t>
        </is>
      </c>
      <c r="D1003" s="1" t="n">
        <v>46196</v>
      </c>
      <c r="E1003" s="1" t="n">
        <v>46220</v>
      </c>
      <c r="F1003" t="inlineStr">
        <is>
          <t>VÄRMLANDS LÄN</t>
        </is>
      </c>
      <c r="G1003" t="inlineStr">
        <is>
          <t>ÅRJÄNG</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28234-2026</t>
        </is>
      </c>
      <c r="B1004" t="inlineStr">
        <is>
          <t>avverkningsanmälan</t>
        </is>
      </c>
      <c r="C1004" t="inlineStr">
        <is>
          <t>Föryngringsavverkning</t>
        </is>
      </c>
      <c r="D1004" s="1" t="n">
        <v>46196</v>
      </c>
      <c r="E1004" s="1" t="n">
        <v>46220</v>
      </c>
      <c r="F1004" t="inlineStr">
        <is>
          <t>VÄRMLANDS LÄN</t>
        </is>
      </c>
      <c r="G1004" t="inlineStr">
        <is>
          <t>ÅRJÄNG</t>
        </is>
      </c>
      <c r="I1004" t="n">
        <v>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4545-2024</t>
        </is>
      </c>
      <c r="B1005" t="inlineStr">
        <is>
          <t>avverkningsanmälan</t>
        </is>
      </c>
      <c r="C1005" t="inlineStr">
        <is>
          <t>Föryngringsavverkning</t>
        </is>
      </c>
      <c r="D1005" s="1" t="n">
        <v>45327</v>
      </c>
      <c r="E1005" s="1" t="n">
        <v>46220</v>
      </c>
      <c r="F1005" t="inlineStr">
        <is>
          <t>VÄRMLANDS LÄN</t>
        </is>
      </c>
      <c r="G1005" t="inlineStr">
        <is>
          <t>ÅRJÄNG</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22435-2026</t>
        </is>
      </c>
      <c r="B1006" t="inlineStr">
        <is>
          <t>avverkningsanmälan</t>
        </is>
      </c>
      <c r="C1006" t="inlineStr">
        <is>
          <t>Föryngringsavverkning</t>
        </is>
      </c>
      <c r="D1006" s="1" t="n">
        <v>46155</v>
      </c>
      <c r="E1006" s="1" t="n">
        <v>46220</v>
      </c>
      <c r="F1006" t="inlineStr">
        <is>
          <t>VÄRMLANDS LÄN</t>
        </is>
      </c>
      <c r="G1006" t="inlineStr">
        <is>
          <t>ÅRJÄNG</t>
        </is>
      </c>
      <c r="I1006" t="n">
        <v>4.6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64229-2023</t>
        </is>
      </c>
      <c r="B1007" t="inlineStr">
        <is>
          <t>avverkningsanmälan</t>
        </is>
      </c>
      <c r="C1007" t="inlineStr">
        <is>
          <t>Föryngringsavverkning</t>
        </is>
      </c>
      <c r="D1007" s="1" t="n">
        <v>45279</v>
      </c>
      <c r="E1007" s="1" t="n">
        <v>46220</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60377-2023</t>
        </is>
      </c>
      <c r="B1008" t="inlineStr">
        <is>
          <t>avverkningsanmälan</t>
        </is>
      </c>
      <c r="C1008" t="inlineStr">
        <is>
          <t>Föryngringsavverkning</t>
        </is>
      </c>
      <c r="D1008" s="1" t="n">
        <v>45259</v>
      </c>
      <c r="E1008" s="1" t="n">
        <v>46220</v>
      </c>
      <c r="F1008" t="inlineStr">
        <is>
          <t>VÄRMLANDS LÄN</t>
        </is>
      </c>
      <c r="G1008" t="inlineStr">
        <is>
          <t>ÅRJÄNG</t>
        </is>
      </c>
      <c r="I1008" t="n">
        <v>3.1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29050-2026</t>
        </is>
      </c>
      <c r="B1009" t="inlineStr">
        <is>
          <t>avverkningsanmälan</t>
        </is>
      </c>
      <c r="C1009" t="inlineStr">
        <is>
          <t>Föryngringsavverkning</t>
        </is>
      </c>
      <c r="D1009" s="1" t="n">
        <v>46199</v>
      </c>
      <c r="E1009" s="1" t="n">
        <v>46220</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29041-2026</t>
        </is>
      </c>
      <c r="B1010" t="inlineStr">
        <is>
          <t>avverkningsanmälan</t>
        </is>
      </c>
      <c r="C1010" t="inlineStr">
        <is>
          <t>Föryngringsavverkning</t>
        </is>
      </c>
      <c r="D1010" s="1" t="n">
        <v>46199</v>
      </c>
      <c r="E1010" s="1" t="n">
        <v>46220</v>
      </c>
      <c r="F1010" t="inlineStr">
        <is>
          <t>VÄRMLANDS LÄN</t>
        </is>
      </c>
      <c r="G1010" t="inlineStr">
        <is>
          <t>ÅRJÄNG</t>
        </is>
      </c>
      <c r="I1010" t="n">
        <v>6.2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22672-2026</t>
        </is>
      </c>
      <c r="B1011" t="inlineStr">
        <is>
          <t>avverkningsanmälan</t>
        </is>
      </c>
      <c r="C1011" t="inlineStr">
        <is>
          <t>Föryngringsavverkning</t>
        </is>
      </c>
      <c r="D1011" s="1" t="n">
        <v>46155</v>
      </c>
      <c r="E1011" s="1" t="n">
        <v>46220</v>
      </c>
      <c r="F1011" t="inlineStr">
        <is>
          <t>VÄRMLANDS LÄN</t>
        </is>
      </c>
      <c r="G1011" t="inlineStr">
        <is>
          <t>ÅRJÄNG</t>
        </is>
      </c>
      <c r="H1011" t="inlineStr">
        <is>
          <t>Kyrkan</t>
        </is>
      </c>
      <c r="I1011" t="n">
        <v>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28837-2026</t>
        </is>
      </c>
      <c r="B1012" t="inlineStr">
        <is>
          <t>avverkningsanmälan</t>
        </is>
      </c>
      <c r="C1012" t="inlineStr">
        <is>
          <t>Föryngringsavverkning</t>
        </is>
      </c>
      <c r="D1012" s="1" t="n">
        <v>46198</v>
      </c>
      <c r="E1012" s="1" t="n">
        <v>46220</v>
      </c>
      <c r="F1012" t="inlineStr">
        <is>
          <t>VÄRMLANDS LÄN</t>
        </is>
      </c>
      <c r="G1012" t="inlineStr">
        <is>
          <t>ÅRJÄNG</t>
        </is>
      </c>
      <c r="I1012" t="n">
        <v>0.8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11392-2024</t>
        </is>
      </c>
      <c r="B1013" t="inlineStr">
        <is>
          <t>avverkningsanmälan</t>
        </is>
      </c>
      <c r="C1013" t="inlineStr">
        <is>
          <t>Föryngringsavverkning</t>
        </is>
      </c>
      <c r="D1013" s="1" t="n">
        <v>45372</v>
      </c>
      <c r="E1013" s="1" t="n">
        <v>46220</v>
      </c>
      <c r="F1013" t="inlineStr">
        <is>
          <t>VÄRMLANDS LÄN</t>
        </is>
      </c>
      <c r="G1013" t="inlineStr">
        <is>
          <t>ÅRJÄNG</t>
        </is>
      </c>
      <c r="I1013" t="n">
        <v>3.6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40346-2024</t>
        </is>
      </c>
      <c r="B1014" t="inlineStr">
        <is>
          <t>avverkningsanmälan</t>
        </is>
      </c>
      <c r="C1014" t="inlineStr">
        <is>
          <t>Föryngringsavverkning</t>
        </is>
      </c>
      <c r="D1014" s="1" t="n">
        <v>45555</v>
      </c>
      <c r="E1014" s="1" t="n">
        <v>46220</v>
      </c>
      <c r="F1014" t="inlineStr">
        <is>
          <t>VÄRMLANDS LÄN</t>
        </is>
      </c>
      <c r="G1014" t="inlineStr">
        <is>
          <t>ÅRJÄNG</t>
        </is>
      </c>
      <c r="I1014" t="n">
        <v>2.5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8215-2025</t>
        </is>
      </c>
      <c r="B1015" t="inlineStr">
        <is>
          <t>avverkningsanmälan</t>
        </is>
      </c>
      <c r="C1015" t="inlineStr">
        <is>
          <t>Föryngringsavverkning</t>
        </is>
      </c>
      <c r="D1015" s="1" t="n">
        <v>45708</v>
      </c>
      <c r="E1015" s="1" t="n">
        <v>46220</v>
      </c>
      <c r="F1015" t="inlineStr">
        <is>
          <t>VÄRMLANDS LÄN</t>
        </is>
      </c>
      <c r="G1015" t="inlineStr">
        <is>
          <t>ÅRJÄNG</t>
        </is>
      </c>
      <c r="I1015" t="n">
        <v>1.9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8230-2025</t>
        </is>
      </c>
      <c r="B1016" t="inlineStr">
        <is>
          <t>avverkningsanmälan</t>
        </is>
      </c>
      <c r="C1016" t="inlineStr">
        <is>
          <t>Föryngringsavverkning</t>
        </is>
      </c>
      <c r="D1016" s="1" t="n">
        <v>45708</v>
      </c>
      <c r="E1016" s="1" t="n">
        <v>46220</v>
      </c>
      <c r="F1016" t="inlineStr">
        <is>
          <t>VÄRMLANDS LÄN</t>
        </is>
      </c>
      <c r="G1016" t="inlineStr">
        <is>
          <t>ÅRJÄNG</t>
        </is>
      </c>
      <c r="I1016" t="n">
        <v>2.5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34350-2023</t>
        </is>
      </c>
      <c r="B1017" t="inlineStr">
        <is>
          <t>avverkningsanmälan</t>
        </is>
      </c>
      <c r="C1017" t="inlineStr">
        <is>
          <t>Föryngringsavverkning</t>
        </is>
      </c>
      <c r="D1017" s="1" t="n">
        <v>45139</v>
      </c>
      <c r="E1017" s="1" t="n">
        <v>46220</v>
      </c>
      <c r="F1017" t="inlineStr">
        <is>
          <t>VÄRMLANDS LÄN</t>
        </is>
      </c>
      <c r="G1017" t="inlineStr">
        <is>
          <t>ÅRJÄNG</t>
        </is>
      </c>
      <c r="I1017" t="n">
        <v>3.2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13726-2024</t>
        </is>
      </c>
      <c r="B1018" t="inlineStr">
        <is>
          <t>avverkningsanmälan</t>
        </is>
      </c>
      <c r="C1018" t="inlineStr">
        <is>
          <t>Föryngringsavverkning</t>
        </is>
      </c>
      <c r="D1018" s="1" t="n">
        <v>45390</v>
      </c>
      <c r="E1018" s="1" t="n">
        <v>46220</v>
      </c>
      <c r="F1018" t="inlineStr">
        <is>
          <t>VÄRMLANDS LÄN</t>
        </is>
      </c>
      <c r="G1018" t="inlineStr">
        <is>
          <t>ÅRJÄNG</t>
        </is>
      </c>
      <c r="I1018" t="n">
        <v>2.2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42576-2021</t>
        </is>
      </c>
      <c r="B1019" t="inlineStr">
        <is>
          <t>avverkningsanmälan</t>
        </is>
      </c>
      <c r="C1019" t="inlineStr">
        <is>
          <t>Föryngringsavverkning</t>
        </is>
      </c>
      <c r="D1019" s="1" t="n">
        <v>44428</v>
      </c>
      <c r="E1019" s="1" t="n">
        <v>46220</v>
      </c>
      <c r="F1019" t="inlineStr">
        <is>
          <t>VÄRMLANDS LÄN</t>
        </is>
      </c>
      <c r="G1019" t="inlineStr">
        <is>
          <t>ÅRJÄNG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10510-2023</t>
        </is>
      </c>
      <c r="B1020" t="inlineStr">
        <is>
          <t>avverkningsanmälan</t>
        </is>
      </c>
      <c r="C1020" t="inlineStr">
        <is>
          <t>Föryngringsavverkning</t>
        </is>
      </c>
      <c r="D1020" s="1" t="n">
        <v>44987</v>
      </c>
      <c r="E1020" s="1" t="n">
        <v>46220</v>
      </c>
      <c r="F1020" t="inlineStr">
        <is>
          <t>VÄRMLANDS LÄN</t>
        </is>
      </c>
      <c r="G1020" t="inlineStr">
        <is>
          <t>ÅRJÄNG</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37071-2025</t>
        </is>
      </c>
      <c r="B1021" t="inlineStr">
        <is>
          <t>avverkningsanmälan</t>
        </is>
      </c>
      <c r="C1021" t="inlineStr">
        <is>
          <t>Föryngringsavverkning</t>
        </is>
      </c>
      <c r="D1021" s="1" t="n">
        <v>45875</v>
      </c>
      <c r="E1021" s="1" t="n">
        <v>46220</v>
      </c>
      <c r="F1021" t="inlineStr">
        <is>
          <t>VÄRMLANDS LÄN</t>
        </is>
      </c>
      <c r="G1021" t="inlineStr">
        <is>
          <t>ÅRJÄNG</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22727-2025</t>
        </is>
      </c>
      <c r="B1022" t="inlineStr">
        <is>
          <t>avverkningsanmälan</t>
        </is>
      </c>
      <c r="C1022" t="inlineStr">
        <is>
          <t>Föryngringsavverkning</t>
        </is>
      </c>
      <c r="D1022" s="1" t="n">
        <v>45789</v>
      </c>
      <c r="E1022" s="1" t="n">
        <v>46220</v>
      </c>
      <c r="F1022" t="inlineStr">
        <is>
          <t>VÄRMLANDS LÄN</t>
        </is>
      </c>
      <c r="G1022" t="inlineStr">
        <is>
          <t>ÅRJÄNG</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37655-2025</t>
        </is>
      </c>
      <c r="B1023" t="inlineStr">
        <is>
          <t>avverkningsanmälan</t>
        </is>
      </c>
      <c r="C1023" t="inlineStr">
        <is>
          <t>Föryngringsavverkning</t>
        </is>
      </c>
      <c r="D1023" s="1" t="n">
        <v>45880</v>
      </c>
      <c r="E1023" s="1" t="n">
        <v>46220</v>
      </c>
      <c r="F1023" t="inlineStr">
        <is>
          <t>VÄRMLANDS LÄN</t>
        </is>
      </c>
      <c r="G1023" t="inlineStr">
        <is>
          <t>ÅRJÄNG</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17827-2025</t>
        </is>
      </c>
      <c r="B1024" t="inlineStr">
        <is>
          <t>avverkningsanmälan</t>
        </is>
      </c>
      <c r="C1024" t="inlineStr">
        <is>
          <t>Föryngringsavverkning</t>
        </is>
      </c>
      <c r="D1024" s="1" t="n">
        <v>45758</v>
      </c>
      <c r="E1024" s="1" t="n">
        <v>46220</v>
      </c>
      <c r="F1024" t="inlineStr">
        <is>
          <t>VÄRMLANDS LÄN</t>
        </is>
      </c>
      <c r="G1024" t="inlineStr">
        <is>
          <t>ÅRJÄNG</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15148-2025</t>
        </is>
      </c>
      <c r="B1025" t="inlineStr">
        <is>
          <t>avverkningsanmälan</t>
        </is>
      </c>
      <c r="C1025" t="inlineStr">
        <is>
          <t>Föryngringsavverkning</t>
        </is>
      </c>
      <c r="D1025" s="1" t="n">
        <v>45744</v>
      </c>
      <c r="E1025" s="1" t="n">
        <v>46220</v>
      </c>
      <c r="F1025" t="inlineStr">
        <is>
          <t>VÄRMLANDS LÄN</t>
        </is>
      </c>
      <c r="G1025" t="inlineStr">
        <is>
          <t>ÅRJÄNG</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56682-2021</t>
        </is>
      </c>
      <c r="B1026" t="inlineStr">
        <is>
          <t>avverkningsanmälan</t>
        </is>
      </c>
      <c r="C1026" t="inlineStr">
        <is>
          <t>Föryngringsavverkning</t>
        </is>
      </c>
      <c r="D1026" s="1" t="n">
        <v>44481</v>
      </c>
      <c r="E1026" s="1" t="n">
        <v>46220</v>
      </c>
      <c r="F1026" t="inlineStr">
        <is>
          <t>VÄRMLANDS LÄN</t>
        </is>
      </c>
      <c r="G1026" t="inlineStr">
        <is>
          <t>ÅRJÄNG</t>
        </is>
      </c>
      <c r="I1026" t="n">
        <v>2.5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15303-2025</t>
        </is>
      </c>
      <c r="B1027" t="inlineStr">
        <is>
          <t>avverkningsanmälan</t>
        </is>
      </c>
      <c r="C1027" t="inlineStr">
        <is>
          <t>Föryngringsavverkning</t>
        </is>
      </c>
      <c r="D1027" s="1" t="n">
        <v>45746</v>
      </c>
      <c r="E1027" s="1" t="n">
        <v>46220</v>
      </c>
      <c r="F1027" t="inlineStr">
        <is>
          <t>VÄRMLANDS LÄN</t>
        </is>
      </c>
      <c r="G1027" t="inlineStr">
        <is>
          <t>ÅRJÄNG</t>
        </is>
      </c>
      <c r="I1027" t="n">
        <v>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1665-2023</t>
        </is>
      </c>
      <c r="B1028" t="inlineStr">
        <is>
          <t>avverkningsanmälan</t>
        </is>
      </c>
      <c r="C1028" t="inlineStr">
        <is>
          <t>Föryngringsavverkning</t>
        </is>
      </c>
      <c r="D1028" s="1" t="n">
        <v>44938</v>
      </c>
      <c r="E1028" s="1" t="n">
        <v>46220</v>
      </c>
      <c r="F1028" t="inlineStr">
        <is>
          <t>VÄRMLANDS LÄN</t>
        </is>
      </c>
      <c r="G1028" t="inlineStr">
        <is>
          <t>ÅRJÄNG</t>
        </is>
      </c>
      <c r="I1028" t="n">
        <v>5.1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12072-2024</t>
        </is>
      </c>
      <c r="B1029" t="inlineStr">
        <is>
          <t>avverkningsanmälan</t>
        </is>
      </c>
      <c r="C1029" t="inlineStr">
        <is>
          <t>Föryngringsavverkning</t>
        </is>
      </c>
      <c r="D1029" s="1" t="n">
        <v>45377</v>
      </c>
      <c r="E1029" s="1" t="n">
        <v>46220</v>
      </c>
      <c r="F1029" t="inlineStr">
        <is>
          <t>VÄRMLANDS LÄN</t>
        </is>
      </c>
      <c r="G1029" t="inlineStr">
        <is>
          <t>ÅRJÄNG</t>
        </is>
      </c>
      <c r="I1029" t="n">
        <v>2.5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22915-2026</t>
        </is>
      </c>
      <c r="B1030" t="inlineStr">
        <is>
          <t>avverkningsanmälan</t>
        </is>
      </c>
      <c r="C1030" t="inlineStr">
        <is>
          <t>Föryngringsavverkning</t>
        </is>
      </c>
      <c r="D1030" s="1" t="n">
        <v>46159</v>
      </c>
      <c r="E1030" s="1" t="n">
        <v>46220</v>
      </c>
      <c r="F1030" t="inlineStr">
        <is>
          <t>VÄRMLANDS LÄN</t>
        </is>
      </c>
      <c r="G1030" t="inlineStr">
        <is>
          <t>ÅRJÄNG</t>
        </is>
      </c>
      <c r="H1030" t="inlineStr">
        <is>
          <t>Övriga Aktiebolag</t>
        </is>
      </c>
      <c r="I1030" t="n">
        <v>2.5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42971-2025</t>
        </is>
      </c>
      <c r="B1031" t="inlineStr">
        <is>
          <t>avverkningsanmälan</t>
        </is>
      </c>
      <c r="C1031" t="inlineStr">
        <is>
          <t>Föryngringsavverkning</t>
        </is>
      </c>
      <c r="D1031" s="1" t="n">
        <v>45909</v>
      </c>
      <c r="E1031" s="1" t="n">
        <v>46220</v>
      </c>
      <c r="F1031" t="inlineStr">
        <is>
          <t>VÄRMLANDS LÄN</t>
        </is>
      </c>
      <c r="G1031" t="inlineStr">
        <is>
          <t>ÅRJÄNG</t>
        </is>
      </c>
      <c r="I1031" t="n">
        <v>1.3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74086-2021</t>
        </is>
      </c>
      <c r="B1032" t="inlineStr">
        <is>
          <t>avverkningsanmälan</t>
        </is>
      </c>
      <c r="C1032" t="inlineStr">
        <is>
          <t>Föryngringsavverkning</t>
        </is>
      </c>
      <c r="D1032" s="1" t="n">
        <v>44557</v>
      </c>
      <c r="E1032" s="1" t="n">
        <v>46220</v>
      </c>
      <c r="F1032" t="inlineStr">
        <is>
          <t>VÄRMLANDS LÄN</t>
        </is>
      </c>
      <c r="G1032" t="inlineStr">
        <is>
          <t>ÅRJÄNG</t>
        </is>
      </c>
      <c r="I1032" t="n">
        <v>3.6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55285-2025</t>
        </is>
      </c>
      <c r="B1033" t="inlineStr">
        <is>
          <t>avverkningsanmälan</t>
        </is>
      </c>
      <c r="C1033" t="inlineStr">
        <is>
          <t>Föryngringsavverkning</t>
        </is>
      </c>
      <c r="D1033" s="1" t="n">
        <v>45968</v>
      </c>
      <c r="E1033" s="1" t="n">
        <v>46220</v>
      </c>
      <c r="F1033" t="inlineStr">
        <is>
          <t>VÄRMLANDS LÄN</t>
        </is>
      </c>
      <c r="G1033" t="inlineStr">
        <is>
          <t>ÅRJÄNG</t>
        </is>
      </c>
      <c r="I1033" t="n">
        <v>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55277-2025</t>
        </is>
      </c>
      <c r="B1034" t="inlineStr">
        <is>
          <t>avverkningsanmälan</t>
        </is>
      </c>
      <c r="C1034" t="inlineStr">
        <is>
          <t>Föryngringsavverkning</t>
        </is>
      </c>
      <c r="D1034" s="1" t="n">
        <v>45968</v>
      </c>
      <c r="E1034" s="1" t="n">
        <v>46220</v>
      </c>
      <c r="F1034" t="inlineStr">
        <is>
          <t>VÄRMLANDS LÄN</t>
        </is>
      </c>
      <c r="G1034" t="inlineStr">
        <is>
          <t>ÅRJÄNG</t>
        </is>
      </c>
      <c r="I1034" t="n">
        <v>3.8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48130-2023</t>
        </is>
      </c>
      <c r="B1035" t="inlineStr">
        <is>
          <t>avverkningsanmälan</t>
        </is>
      </c>
      <c r="C1035" t="inlineStr">
        <is>
          <t>Föryngringsavverkning</t>
        </is>
      </c>
      <c r="D1035" s="1" t="n">
        <v>45201</v>
      </c>
      <c r="E1035" s="1" t="n">
        <v>46220</v>
      </c>
      <c r="F1035" t="inlineStr">
        <is>
          <t>VÄRMLANDS LÄN</t>
        </is>
      </c>
      <c r="G1035" t="inlineStr">
        <is>
          <t>ÅRJÄNG</t>
        </is>
      </c>
      <c r="I1035" t="n">
        <v>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29300-2026</t>
        </is>
      </c>
      <c r="B1036" t="inlineStr">
        <is>
          <t>avverkningsanmälan</t>
        </is>
      </c>
      <c r="C1036" t="inlineStr">
        <is>
          <t>Föryngringsavverkning</t>
        </is>
      </c>
      <c r="D1036" s="1" t="n">
        <v>46197</v>
      </c>
      <c r="E1036" s="1" t="n">
        <v>46220</v>
      </c>
      <c r="F1036" t="inlineStr">
        <is>
          <t>VÄRMLANDS LÄN</t>
        </is>
      </c>
      <c r="G1036" t="inlineStr">
        <is>
          <t>ÅRJÄNG</t>
        </is>
      </c>
      <c r="I1036" t="n">
        <v>3.3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17174-2023</t>
        </is>
      </c>
      <c r="B1037" t="inlineStr">
        <is>
          <t>avverkningsanmälan</t>
        </is>
      </c>
      <c r="C1037" t="inlineStr">
        <is>
          <t>Föryngringsavverkning</t>
        </is>
      </c>
      <c r="D1037" s="1" t="n">
        <v>45034</v>
      </c>
      <c r="E1037" s="1" t="n">
        <v>46220</v>
      </c>
      <c r="F1037" t="inlineStr">
        <is>
          <t>VÄRMLANDS LÄN</t>
        </is>
      </c>
      <c r="G1037" t="inlineStr">
        <is>
          <t>ÅRJÄNG</t>
        </is>
      </c>
      <c r="I1037" t="n">
        <v>4.9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47833-2023</t>
        </is>
      </c>
      <c r="B1038" t="inlineStr">
        <is>
          <t>avverkningsanmälan</t>
        </is>
      </c>
      <c r="C1038" t="inlineStr">
        <is>
          <t>Föryngringsavverkning</t>
        </is>
      </c>
      <c r="D1038" s="1" t="n">
        <v>45204</v>
      </c>
      <c r="E1038" s="1" t="n">
        <v>46220</v>
      </c>
      <c r="F1038" t="inlineStr">
        <is>
          <t>VÄRMLANDS LÄN</t>
        </is>
      </c>
      <c r="G1038" t="inlineStr">
        <is>
          <t>ÅRJÄNG</t>
        </is>
      </c>
      <c r="I1038" t="n">
        <v>4.4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6405-2024</t>
        </is>
      </c>
      <c r="B1039" t="inlineStr">
        <is>
          <t>avverkningsanmälan</t>
        </is>
      </c>
      <c r="C1039" t="inlineStr">
        <is>
          <t>Föryngringsavverkning</t>
        </is>
      </c>
      <c r="D1039" s="1" t="n">
        <v>45338</v>
      </c>
      <c r="E1039" s="1" t="n">
        <v>46220</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29766-2026</t>
        </is>
      </c>
      <c r="B1040" t="inlineStr">
        <is>
          <t>avverkningsanmälan</t>
        </is>
      </c>
      <c r="C1040" t="inlineStr">
        <is>
          <t>Föryngringsavverkning</t>
        </is>
      </c>
      <c r="D1040" s="1" t="n">
        <v>46204</v>
      </c>
      <c r="E1040" s="1" t="n">
        <v>46220</v>
      </c>
      <c r="F1040" t="inlineStr">
        <is>
          <t>VÄRMLANDS LÄN</t>
        </is>
      </c>
      <c r="G1040" t="inlineStr">
        <is>
          <t>ÅRJÄNG</t>
        </is>
      </c>
      <c r="I1040" t="n">
        <v>2.2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52278-2023</t>
        </is>
      </c>
      <c r="B1041" t="inlineStr">
        <is>
          <t>avverkningsanmälan</t>
        </is>
      </c>
      <c r="C1041" t="inlineStr">
        <is>
          <t>Föryngringsavverkning</t>
        </is>
      </c>
      <c r="D1041" s="1" t="n">
        <v>45224</v>
      </c>
      <c r="E1041" s="1" t="n">
        <v>46220</v>
      </c>
      <c r="F1041" t="inlineStr">
        <is>
          <t>VÄRMLANDS LÄN</t>
        </is>
      </c>
      <c r="G1041" t="inlineStr">
        <is>
          <t>ÅRJÄNG</t>
        </is>
      </c>
      <c r="I1041" t="n">
        <v>3.1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16010-2024</t>
        </is>
      </c>
      <c r="B1042" t="inlineStr">
        <is>
          <t>avverkningsanmälan</t>
        </is>
      </c>
      <c r="C1042" t="inlineStr">
        <is>
          <t>Föryngringsavverkning</t>
        </is>
      </c>
      <c r="D1042" s="1" t="n">
        <v>45405</v>
      </c>
      <c r="E1042" s="1" t="n">
        <v>46220</v>
      </c>
      <c r="F1042" t="inlineStr">
        <is>
          <t>VÄRMLANDS LÄN</t>
        </is>
      </c>
      <c r="G1042" t="inlineStr">
        <is>
          <t>ÅRJÄNG</t>
        </is>
      </c>
      <c r="I1042" t="n">
        <v>4.6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63205-2021</t>
        </is>
      </c>
      <c r="B1043" t="inlineStr">
        <is>
          <t>avverkningsanmälan</t>
        </is>
      </c>
      <c r="C1043" t="inlineStr">
        <is>
          <t>Föryngringsavverkning</t>
        </is>
      </c>
      <c r="D1043" s="1" t="n">
        <v>44507</v>
      </c>
      <c r="E1043" s="1" t="n">
        <v>46220</v>
      </c>
      <c r="F1043" t="inlineStr">
        <is>
          <t>VÄRMLANDS LÄN</t>
        </is>
      </c>
      <c r="G1043" t="inlineStr">
        <is>
          <t>ÅRJÄNG</t>
        </is>
      </c>
      <c r="I1043" t="n">
        <v>1.8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52773-2022</t>
        </is>
      </c>
      <c r="B1044" t="inlineStr">
        <is>
          <t>avverkningsanmälan</t>
        </is>
      </c>
      <c r="C1044" t="inlineStr">
        <is>
          <t>Föryngringsavverkning</t>
        </is>
      </c>
      <c r="D1044" s="1" t="n">
        <v>44875</v>
      </c>
      <c r="E1044" s="1" t="n">
        <v>46220</v>
      </c>
      <c r="F1044" t="inlineStr">
        <is>
          <t>VÄRMLANDS LÄN</t>
        </is>
      </c>
      <c r="G1044" t="inlineStr">
        <is>
          <t>ÅRJÄNG</t>
        </is>
      </c>
      <c r="I1044" t="n">
        <v>4.1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58152-2024</t>
        </is>
      </c>
      <c r="B1045" t="inlineStr">
        <is>
          <t>avverkningsanmälan</t>
        </is>
      </c>
      <c r="C1045" t="inlineStr">
        <is>
          <t>Föryngringsavverkning</t>
        </is>
      </c>
      <c r="D1045" s="1" t="n">
        <v>45632</v>
      </c>
      <c r="E1045" s="1" t="n">
        <v>46220</v>
      </c>
      <c r="F1045" t="inlineStr">
        <is>
          <t>VÄRMLANDS LÄN</t>
        </is>
      </c>
      <c r="G1045" t="inlineStr">
        <is>
          <t>ÅRJÄNG</t>
        </is>
      </c>
      <c r="I1045" t="n">
        <v>2.3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29551-2026</t>
        </is>
      </c>
      <c r="B1046" t="inlineStr">
        <is>
          <t>avverkningsanmälan</t>
        </is>
      </c>
      <c r="C1046" t="inlineStr">
        <is>
          <t>Föryngringsavverkning</t>
        </is>
      </c>
      <c r="D1046" s="1" t="n">
        <v>46203</v>
      </c>
      <c r="E1046" s="1" t="n">
        <v>46220</v>
      </c>
      <c r="F1046" t="inlineStr">
        <is>
          <t>VÄRMLANDS LÄN</t>
        </is>
      </c>
      <c r="G1046" t="inlineStr">
        <is>
          <t>ÅRJÄNG</t>
        </is>
      </c>
      <c r="H1046" t="inlineStr">
        <is>
          <t>Kyrkan</t>
        </is>
      </c>
      <c r="I1046" t="n">
        <v>2.3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43244-2023</t>
        </is>
      </c>
      <c r="B1047" t="inlineStr">
        <is>
          <t>avverkningsanmälan</t>
        </is>
      </c>
      <c r="C1047" t="inlineStr">
        <is>
          <t>Föryngringsavverkning</t>
        </is>
      </c>
      <c r="D1047" s="1" t="n">
        <v>45183</v>
      </c>
      <c r="E1047" s="1" t="n">
        <v>46220</v>
      </c>
      <c r="F1047" t="inlineStr">
        <is>
          <t>VÄRMLANDS LÄN</t>
        </is>
      </c>
      <c r="G1047" t="inlineStr">
        <is>
          <t>ÅRJÄNG</t>
        </is>
      </c>
      <c r="I1047" t="n">
        <v>8.800000000000001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14434-2025</t>
        </is>
      </c>
      <c r="B1048" t="inlineStr">
        <is>
          <t>avverkningsanmälan</t>
        </is>
      </c>
      <c r="C1048" t="inlineStr">
        <is>
          <t>Föryngringsavverkning</t>
        </is>
      </c>
      <c r="D1048" s="1" t="n">
        <v>45741</v>
      </c>
      <c r="E1048" s="1" t="n">
        <v>46220</v>
      </c>
      <c r="F1048" t="inlineStr">
        <is>
          <t>VÄRMLANDS LÄN</t>
        </is>
      </c>
      <c r="G1048" t="inlineStr">
        <is>
          <t>ÅRJÄNG</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5472-2026</t>
        </is>
      </c>
      <c r="B1049" t="inlineStr">
        <is>
          <t>avverkningsanmälan</t>
        </is>
      </c>
      <c r="C1049" t="inlineStr">
        <is>
          <t>Föryngringsavverkning</t>
        </is>
      </c>
      <c r="D1049" s="1" t="n">
        <v>46050</v>
      </c>
      <c r="E1049" s="1" t="n">
        <v>46220</v>
      </c>
      <c r="F1049" t="inlineStr">
        <is>
          <t>VÄRMLANDS LÄN</t>
        </is>
      </c>
      <c r="G1049" t="inlineStr">
        <is>
          <t>ÅRJÄNG</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29670-2026</t>
        </is>
      </c>
      <c r="B1050" t="inlineStr">
        <is>
          <t>avverkningsanmälan</t>
        </is>
      </c>
      <c r="C1050" t="inlineStr">
        <is>
          <t>Föryngringsavverkning</t>
        </is>
      </c>
      <c r="D1050" s="1" t="n">
        <v>46204</v>
      </c>
      <c r="E1050" s="1" t="n">
        <v>46220</v>
      </c>
      <c r="F1050" t="inlineStr">
        <is>
          <t>VÄRMLANDS LÄN</t>
        </is>
      </c>
      <c r="G1050" t="inlineStr">
        <is>
          <t>ÅRJÄNG</t>
        </is>
      </c>
      <c r="H1050" t="inlineStr">
        <is>
          <t>Kyrkan</t>
        </is>
      </c>
      <c r="I1050" t="n">
        <v>2.3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23207-2026</t>
        </is>
      </c>
      <c r="B1051" t="inlineStr">
        <is>
          <t>avverkningsanmälan</t>
        </is>
      </c>
      <c r="C1051" t="inlineStr">
        <is>
          <t>Föryngringsavverkning</t>
        </is>
      </c>
      <c r="D1051" s="1" t="n">
        <v>46162</v>
      </c>
      <c r="E1051" s="1" t="n">
        <v>46220</v>
      </c>
      <c r="F1051" t="inlineStr">
        <is>
          <t>VÄRMLANDS LÄN</t>
        </is>
      </c>
      <c r="G1051" t="inlineStr">
        <is>
          <t>ÅRJÄNG</t>
        </is>
      </c>
      <c r="I1051" t="n">
        <v>2.1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56566-2022</t>
        </is>
      </c>
      <c r="B1052" t="inlineStr">
        <is>
          <t>avverkningsanmälan</t>
        </is>
      </c>
      <c r="C1052" t="inlineStr">
        <is>
          <t>Föryngringsavverkning</t>
        </is>
      </c>
      <c r="D1052" s="1" t="n">
        <v>44893</v>
      </c>
      <c r="E1052" s="1" t="n">
        <v>46220</v>
      </c>
      <c r="F1052" t="inlineStr">
        <is>
          <t>VÄRMLANDS LÄN</t>
        </is>
      </c>
      <c r="G1052" t="inlineStr">
        <is>
          <t>ÅRJÄNG</t>
        </is>
      </c>
      <c r="I1052" t="n">
        <v>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55517-2023</t>
        </is>
      </c>
      <c r="B1053" t="inlineStr">
        <is>
          <t>avverkningsanmälan</t>
        </is>
      </c>
      <c r="C1053" t="inlineStr">
        <is>
          <t>Föryngringsavverkning</t>
        </is>
      </c>
      <c r="D1053" s="1" t="n">
        <v>45232</v>
      </c>
      <c r="E1053" s="1" t="n">
        <v>46220</v>
      </c>
      <c r="F1053" t="inlineStr">
        <is>
          <t>VÄRMLANDS LÄN</t>
        </is>
      </c>
      <c r="G1053" t="inlineStr">
        <is>
          <t>ÅRJÄNG</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8356-2025</t>
        </is>
      </c>
      <c r="B1054" t="inlineStr">
        <is>
          <t>avverkningsanmälan</t>
        </is>
      </c>
      <c r="C1054" t="inlineStr">
        <is>
          <t>Föryngringsavverkning</t>
        </is>
      </c>
      <c r="D1054" s="1" t="n">
        <v>45708</v>
      </c>
      <c r="E1054" s="1" t="n">
        <v>46220</v>
      </c>
      <c r="F1054" t="inlineStr">
        <is>
          <t>VÄRMLANDS LÄN</t>
        </is>
      </c>
      <c r="G1054" t="inlineStr">
        <is>
          <t>ÅRJÄNG</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23447-2026</t>
        </is>
      </c>
      <c r="B1055" t="inlineStr">
        <is>
          <t>avverkningsanmälan</t>
        </is>
      </c>
      <c r="C1055" t="inlineStr">
        <is>
          <t>Föryngringsavverkning</t>
        </is>
      </c>
      <c r="D1055" s="1" t="n">
        <v>46162</v>
      </c>
      <c r="E1055" s="1" t="n">
        <v>46220</v>
      </c>
      <c r="F1055" t="inlineStr">
        <is>
          <t>VÄRMLANDS LÄN</t>
        </is>
      </c>
      <c r="G1055" t="inlineStr">
        <is>
          <t>ÅRJÄNG</t>
        </is>
      </c>
      <c r="I1055" t="n">
        <v>1.8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3471-2023</t>
        </is>
      </c>
      <c r="B1056" t="inlineStr">
        <is>
          <t>avverkningsanmälan</t>
        </is>
      </c>
      <c r="C1056" t="inlineStr">
        <is>
          <t>Föryngringsavverkning</t>
        </is>
      </c>
      <c r="D1056" s="1" t="n">
        <v>44949</v>
      </c>
      <c r="E1056" s="1" t="n">
        <v>46220</v>
      </c>
      <c r="F1056" t="inlineStr">
        <is>
          <t>VÄRMLANDS LÄN</t>
        </is>
      </c>
      <c r="G1056" t="inlineStr">
        <is>
          <t>ÅRJÄNG</t>
        </is>
      </c>
      <c r="I1056" t="n">
        <v>2.2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23287-2026</t>
        </is>
      </c>
      <c r="B1057" t="inlineStr">
        <is>
          <t>avverkningsanmälan</t>
        </is>
      </c>
      <c r="C1057" t="inlineStr">
        <is>
          <t>Föryngringsavverkning</t>
        </is>
      </c>
      <c r="D1057" s="1" t="n">
        <v>46162</v>
      </c>
      <c r="E1057" s="1" t="n">
        <v>46220</v>
      </c>
      <c r="F1057" t="inlineStr">
        <is>
          <t>VÄRMLANDS LÄN</t>
        </is>
      </c>
      <c r="G1057" t="inlineStr">
        <is>
          <t>ÅRJÄNG</t>
        </is>
      </c>
      <c r="I1057" t="n">
        <v>1.3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29911-2026</t>
        </is>
      </c>
      <c r="B1058" t="inlineStr">
        <is>
          <t>avverkningsanmälan</t>
        </is>
      </c>
      <c r="C1058" t="inlineStr">
        <is>
          <t>Föryngringsavverkning</t>
        </is>
      </c>
      <c r="D1058" s="1" t="n">
        <v>46205</v>
      </c>
      <c r="E1058" s="1" t="n">
        <v>46220</v>
      </c>
      <c r="F1058" t="inlineStr">
        <is>
          <t>VÄRMLANDS LÄN</t>
        </is>
      </c>
      <c r="G1058" t="inlineStr">
        <is>
          <t>ÅRJÄNG</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50918-2023</t>
        </is>
      </c>
      <c r="B1059" t="inlineStr">
        <is>
          <t>avverkningsanmälan</t>
        </is>
      </c>
      <c r="C1059" t="inlineStr">
        <is>
          <t>Föryngringsavverkning</t>
        </is>
      </c>
      <c r="D1059" s="1" t="n">
        <v>45218</v>
      </c>
      <c r="E1059" s="1" t="n">
        <v>46220</v>
      </c>
      <c r="F1059" t="inlineStr">
        <is>
          <t>VÄRMLANDS LÄN</t>
        </is>
      </c>
      <c r="G1059" t="inlineStr">
        <is>
          <t>ÅRJÄNG</t>
        </is>
      </c>
      <c r="I1059" t="n">
        <v>0.9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27138-2024</t>
        </is>
      </c>
      <c r="B1060" t="inlineStr">
        <is>
          <t>avverkningsanmälan</t>
        </is>
      </c>
      <c r="C1060" t="inlineStr">
        <is>
          <t>Föryngringsavverkning</t>
        </is>
      </c>
      <c r="D1060" s="1" t="n">
        <v>45471</v>
      </c>
      <c r="E1060" s="1" t="n">
        <v>46220</v>
      </c>
      <c r="F1060" t="inlineStr">
        <is>
          <t>VÄRMLANDS LÄN</t>
        </is>
      </c>
      <c r="G1060" t="inlineStr">
        <is>
          <t>ÅRJÄNG</t>
        </is>
      </c>
      <c r="I1060" t="n">
        <v>5.7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13620-2023</t>
        </is>
      </c>
      <c r="B1061" t="inlineStr">
        <is>
          <t>avverkningsanmälan</t>
        </is>
      </c>
      <c r="C1061" t="inlineStr">
        <is>
          <t>Föryngringsavverkning</t>
        </is>
      </c>
      <c r="D1061" s="1" t="n">
        <v>45006</v>
      </c>
      <c r="E1061" s="1" t="n">
        <v>46220</v>
      </c>
      <c r="F1061" t="inlineStr">
        <is>
          <t>VÄRMLANDS LÄN</t>
        </is>
      </c>
      <c r="G1061" t="inlineStr">
        <is>
          <t>ÅRJÄNG</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47647-2021</t>
        </is>
      </c>
      <c r="B1062" t="inlineStr">
        <is>
          <t>avverkningsanmälan</t>
        </is>
      </c>
      <c r="C1062" t="inlineStr">
        <is>
          <t>Föryngringsavverkning</t>
        </is>
      </c>
      <c r="D1062" s="1" t="n">
        <v>44448</v>
      </c>
      <c r="E1062" s="1" t="n">
        <v>46220</v>
      </c>
      <c r="F1062" t="inlineStr">
        <is>
          <t>VÄRMLANDS LÄN</t>
        </is>
      </c>
      <c r="G1062" t="inlineStr">
        <is>
          <t>ÅRJÄNG</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3656-2022</t>
        </is>
      </c>
      <c r="B1063" t="inlineStr">
        <is>
          <t>avverkningsanmälan</t>
        </is>
      </c>
      <c r="C1063" t="inlineStr">
        <is>
          <t>Föryngringsavverkning</t>
        </is>
      </c>
      <c r="D1063" s="1" t="n">
        <v>44586</v>
      </c>
      <c r="E1063" s="1" t="n">
        <v>46220</v>
      </c>
      <c r="F1063" t="inlineStr">
        <is>
          <t>VÄRMLANDS LÄN</t>
        </is>
      </c>
      <c r="G1063" t="inlineStr">
        <is>
          <t>ÅRJÄNG</t>
        </is>
      </c>
      <c r="I1063" t="n">
        <v>11.7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30381-2026</t>
        </is>
      </c>
      <c r="B1064" t="inlineStr">
        <is>
          <t>avverkningsanmälan</t>
        </is>
      </c>
      <c r="C1064" t="inlineStr">
        <is>
          <t>Föryngringsavverkning</t>
        </is>
      </c>
      <c r="D1064" s="1" t="n">
        <v>46209</v>
      </c>
      <c r="E1064" s="1" t="n">
        <v>46220</v>
      </c>
      <c r="F1064" t="inlineStr">
        <is>
          <t>VÄRMLANDS LÄN</t>
        </is>
      </c>
      <c r="G1064" t="inlineStr">
        <is>
          <t>ÅRJÄNG</t>
        </is>
      </c>
      <c r="I1064" t="n">
        <v>4.6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5106-2023</t>
        </is>
      </c>
      <c r="B1065" t="inlineStr">
        <is>
          <t>avverkningsanmälan</t>
        </is>
      </c>
      <c r="C1065" t="inlineStr">
        <is>
          <t>Avverkning för annat ändamål</t>
        </is>
      </c>
      <c r="D1065" s="1" t="n">
        <v>44953</v>
      </c>
      <c r="E1065" s="1" t="n">
        <v>46220</v>
      </c>
      <c r="F1065" t="inlineStr">
        <is>
          <t>VÄRMLANDS LÄN</t>
        </is>
      </c>
      <c r="G1065" t="inlineStr">
        <is>
          <t>ÅRJÄNG</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3463-2025</t>
        </is>
      </c>
      <c r="B1066" t="inlineStr">
        <is>
          <t>avverkningsanmälan</t>
        </is>
      </c>
      <c r="C1066" t="inlineStr">
        <is>
          <t>Föryngringsavverkning</t>
        </is>
      </c>
      <c r="D1066" s="1" t="n">
        <v>45680</v>
      </c>
      <c r="E1066" s="1" t="n">
        <v>46220</v>
      </c>
      <c r="F1066" t="inlineStr">
        <is>
          <t>VÄRMLANDS LÄN</t>
        </is>
      </c>
      <c r="G1066" t="inlineStr">
        <is>
          <t>ÅRJÄNG</t>
        </is>
      </c>
      <c r="I1066" t="n">
        <v>0.8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3479-2025</t>
        </is>
      </c>
      <c r="B1067" t="inlineStr">
        <is>
          <t>avverkningsanmälan</t>
        </is>
      </c>
      <c r="C1067" t="inlineStr">
        <is>
          <t>Föryngringsavverkning</t>
        </is>
      </c>
      <c r="D1067" s="1" t="n">
        <v>45680</v>
      </c>
      <c r="E1067" s="1" t="n">
        <v>46220</v>
      </c>
      <c r="F1067" t="inlineStr">
        <is>
          <t>VÄRMLANDS LÄN</t>
        </is>
      </c>
      <c r="G1067" t="inlineStr">
        <is>
          <t>ÅRJÄNG</t>
        </is>
      </c>
      <c r="I1067" t="n">
        <v>2.2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16666-2025</t>
        </is>
      </c>
      <c r="B1068" t="inlineStr">
        <is>
          <t>avverkningsanmälan</t>
        </is>
      </c>
      <c r="C1068" t="inlineStr">
        <is>
          <t>Föryngringsavverkning</t>
        </is>
      </c>
      <c r="D1068" s="1" t="n">
        <v>45754</v>
      </c>
      <c r="E1068" s="1" t="n">
        <v>46220</v>
      </c>
      <c r="F1068" t="inlineStr">
        <is>
          <t>VÄRMLANDS LÄN</t>
        </is>
      </c>
      <c r="G1068" t="inlineStr">
        <is>
          <t>ÅRJÄNG</t>
        </is>
      </c>
      <c r="I1068" t="n">
        <v>6.2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41283-2023</t>
        </is>
      </c>
      <c r="B1069" t="inlineStr">
        <is>
          <t>avverkningsanmälan</t>
        </is>
      </c>
      <c r="C1069" t="inlineStr">
        <is>
          <t>Föryngringsavverkning</t>
        </is>
      </c>
      <c r="D1069" s="1" t="n">
        <v>45174</v>
      </c>
      <c r="E1069" s="1" t="n">
        <v>46220</v>
      </c>
      <c r="F1069" t="inlineStr">
        <is>
          <t>VÄRMLANDS LÄN</t>
        </is>
      </c>
      <c r="G1069" t="inlineStr">
        <is>
          <t>ÅRJÄNG</t>
        </is>
      </c>
      <c r="I1069" t="n">
        <v>9.6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30209-2026</t>
        </is>
      </c>
      <c r="B1070" t="inlineStr">
        <is>
          <t>avverkningsanmälan</t>
        </is>
      </c>
      <c r="C1070" t="inlineStr">
        <is>
          <t>Föryngringsavverkning</t>
        </is>
      </c>
      <c r="D1070" s="1" t="n">
        <v>46203</v>
      </c>
      <c r="E1070" s="1" t="n">
        <v>46220</v>
      </c>
      <c r="F1070" t="inlineStr">
        <is>
          <t>VÄRMLANDS LÄN</t>
        </is>
      </c>
      <c r="G1070" t="inlineStr">
        <is>
          <t>ÅRJÄNG</t>
        </is>
      </c>
      <c r="I1070" t="n">
        <v>1.7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49405-2022</t>
        </is>
      </c>
      <c r="B1071" t="inlineStr">
        <is>
          <t>avverkningsanmälan</t>
        </is>
      </c>
      <c r="C1071" t="inlineStr">
        <is>
          <t>Föryngringsavverkning</t>
        </is>
      </c>
      <c r="D1071" s="1" t="n">
        <v>44861</v>
      </c>
      <c r="E1071" s="1" t="n">
        <v>46220</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7877-2025</t>
        </is>
      </c>
      <c r="B1072" t="inlineStr">
        <is>
          <t>avverkningsanmälan</t>
        </is>
      </c>
      <c r="C1072" t="inlineStr">
        <is>
          <t>Föryngringsavverkning</t>
        </is>
      </c>
      <c r="D1072" s="1" t="n">
        <v>45706</v>
      </c>
      <c r="E1072" s="1" t="n">
        <v>46220</v>
      </c>
      <c r="F1072" t="inlineStr">
        <is>
          <t>VÄRMLANDS LÄN</t>
        </is>
      </c>
      <c r="G1072" t="inlineStr">
        <is>
          <t>ÅRJÄNG</t>
        </is>
      </c>
      <c r="I1072" t="n">
        <v>2.8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34181-2024</t>
        </is>
      </c>
      <c r="B1073" t="inlineStr">
        <is>
          <t>avverkningsanmälan</t>
        </is>
      </c>
      <c r="C1073" t="inlineStr">
        <is>
          <t>Föryngringsavverkning</t>
        </is>
      </c>
      <c r="D1073" s="1" t="n">
        <v>45524</v>
      </c>
      <c r="E1073" s="1" t="n">
        <v>46220</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34184-2024</t>
        </is>
      </c>
      <c r="B1074" t="inlineStr">
        <is>
          <t>avverkningsanmälan</t>
        </is>
      </c>
      <c r="C1074" t="inlineStr">
        <is>
          <t>Föryngringsavverkning</t>
        </is>
      </c>
      <c r="D1074" s="1" t="n">
        <v>45524</v>
      </c>
      <c r="E1074" s="1" t="n">
        <v>46220</v>
      </c>
      <c r="F1074" t="inlineStr">
        <is>
          <t>VÄRMLANDS LÄN</t>
        </is>
      </c>
      <c r="G1074" t="inlineStr">
        <is>
          <t>ÅRJÄNG</t>
        </is>
      </c>
      <c r="I1074" t="n">
        <v>0.6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30387-2026</t>
        </is>
      </c>
      <c r="B1075" t="inlineStr">
        <is>
          <t>avverkningsanmälan</t>
        </is>
      </c>
      <c r="C1075" t="inlineStr">
        <is>
          <t>Föryngringsavverkning</t>
        </is>
      </c>
      <c r="D1075" s="1" t="n">
        <v>46209</v>
      </c>
      <c r="E1075" s="1" t="n">
        <v>46220</v>
      </c>
      <c r="F1075" t="inlineStr">
        <is>
          <t>VÄRMLANDS LÄN</t>
        </is>
      </c>
      <c r="G1075" t="inlineStr">
        <is>
          <t>ÅRJÄNG</t>
        </is>
      </c>
      <c r="I1075" t="n">
        <v>8.699999999999999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37382-2024</t>
        </is>
      </c>
      <c r="B1076" t="inlineStr">
        <is>
          <t>avverkningsanmälan</t>
        </is>
      </c>
      <c r="C1076" t="inlineStr">
        <is>
          <t>Föryngringsavverkning</t>
        </is>
      </c>
      <c r="D1076" s="1" t="n">
        <v>45540</v>
      </c>
      <c r="E1076" s="1" t="n">
        <v>46220</v>
      </c>
      <c r="F1076" t="inlineStr">
        <is>
          <t>VÄRMLANDS LÄN</t>
        </is>
      </c>
      <c r="G1076" t="inlineStr">
        <is>
          <t>ÅRJÄNG</t>
        </is>
      </c>
      <c r="I1076" t="n">
        <v>12.3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49057-2024</t>
        </is>
      </c>
      <c r="B1077" t="inlineStr">
        <is>
          <t>avverkningsanmälan</t>
        </is>
      </c>
      <c r="C1077" t="inlineStr">
        <is>
          <t>Föryngringsavverkning</t>
        </is>
      </c>
      <c r="D1077" s="1" t="n">
        <v>45594</v>
      </c>
      <c r="E1077" s="1" t="n">
        <v>46220</v>
      </c>
      <c r="F1077" t="inlineStr">
        <is>
          <t>VÄRMLANDS LÄN</t>
        </is>
      </c>
      <c r="G1077" t="inlineStr">
        <is>
          <t>ÅRJÄNG</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59352-2022</t>
        </is>
      </c>
      <c r="B1078" t="inlineStr">
        <is>
          <t>avverkningsanmälan</t>
        </is>
      </c>
      <c r="C1078" t="inlineStr">
        <is>
          <t>Föryngringsavverkning</t>
        </is>
      </c>
      <c r="D1078" s="1" t="n">
        <v>44904</v>
      </c>
      <c r="E1078" s="1" t="n">
        <v>46220</v>
      </c>
      <c r="F1078" t="inlineStr">
        <is>
          <t>VÄRMLANDS LÄN</t>
        </is>
      </c>
      <c r="G1078" t="inlineStr">
        <is>
          <t>ÅRJÄNG</t>
        </is>
      </c>
      <c r="I1078" t="n">
        <v>9.6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15164-2023</t>
        </is>
      </c>
      <c r="B1079" t="inlineStr">
        <is>
          <t>avverkningsanmälan</t>
        </is>
      </c>
      <c r="C1079" t="inlineStr">
        <is>
          <t>Föryngringsavverkning</t>
        </is>
      </c>
      <c r="D1079" s="1" t="n">
        <v>45016</v>
      </c>
      <c r="E1079" s="1" t="n">
        <v>46220</v>
      </c>
      <c r="F1079" t="inlineStr">
        <is>
          <t>VÄRMLANDS LÄN</t>
        </is>
      </c>
      <c r="G1079" t="inlineStr">
        <is>
          <t>ÅRJÄNG</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26265-2024</t>
        </is>
      </c>
      <c r="B1080" t="inlineStr">
        <is>
          <t>avverkningsanmälan</t>
        </is>
      </c>
      <c r="C1080" t="inlineStr">
        <is>
          <t>Föryngringsavverkning</t>
        </is>
      </c>
      <c r="D1080" s="1" t="n">
        <v>45468</v>
      </c>
      <c r="E1080" s="1" t="n">
        <v>46220</v>
      </c>
      <c r="F1080" t="inlineStr">
        <is>
          <t>VÄRMLANDS LÄN</t>
        </is>
      </c>
      <c r="G1080" t="inlineStr">
        <is>
          <t>ÅRJÄNG</t>
        </is>
      </c>
      <c r="I1080" t="n">
        <v>3.4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6551-2025</t>
        </is>
      </c>
      <c r="B1081" t="inlineStr">
        <is>
          <t>avverkningsanmälan</t>
        </is>
      </c>
      <c r="C1081" t="inlineStr">
        <is>
          <t>Föryngringsavverkning</t>
        </is>
      </c>
      <c r="D1081" s="1" t="n">
        <v>45699</v>
      </c>
      <c r="E1081" s="1" t="n">
        <v>46220</v>
      </c>
      <c r="F1081" t="inlineStr">
        <is>
          <t>VÄRMLANDS LÄN</t>
        </is>
      </c>
      <c r="G1081" t="inlineStr">
        <is>
          <t>ÅRJÄNG</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26833-2024</t>
        </is>
      </c>
      <c r="B1082" t="inlineStr">
        <is>
          <t>avverkningsanmälan</t>
        </is>
      </c>
      <c r="C1082" t="inlineStr">
        <is>
          <t>Föryngringsavverkning</t>
        </is>
      </c>
      <c r="D1082" s="1" t="n">
        <v>45470</v>
      </c>
      <c r="E1082" s="1" t="n">
        <v>46220</v>
      </c>
      <c r="F1082" t="inlineStr">
        <is>
          <t>VÄRMLANDS LÄN</t>
        </is>
      </c>
      <c r="G1082" t="inlineStr">
        <is>
          <t>ÅRJÄNG</t>
        </is>
      </c>
      <c r="H1082" t="inlineStr">
        <is>
          <t>Kyrkan</t>
        </is>
      </c>
      <c r="I1082" t="n">
        <v>7.9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40349-2024</t>
        </is>
      </c>
      <c r="B1083" t="inlineStr">
        <is>
          <t>avverkningsanmälan</t>
        </is>
      </c>
      <c r="C1083" t="inlineStr">
        <is>
          <t>Föryngringsavverkning</t>
        </is>
      </c>
      <c r="D1083" s="1" t="n">
        <v>45555</v>
      </c>
      <c r="E1083" s="1" t="n">
        <v>46220</v>
      </c>
      <c r="F1083" t="inlineStr">
        <is>
          <t>VÄRMLANDS LÄN</t>
        </is>
      </c>
      <c r="G1083" t="inlineStr">
        <is>
          <t>ÅRJÄNG</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7746-2022</t>
        </is>
      </c>
      <c r="B1084" t="inlineStr">
        <is>
          <t>avverkningsanmälan</t>
        </is>
      </c>
      <c r="C1084" t="inlineStr">
        <is>
          <t>Föryngringsavverkning</t>
        </is>
      </c>
      <c r="D1084" s="1" t="n">
        <v>44608</v>
      </c>
      <c r="E1084" s="1" t="n">
        <v>46220</v>
      </c>
      <c r="F1084" t="inlineStr">
        <is>
          <t>VÄRMLANDS LÄN</t>
        </is>
      </c>
      <c r="G1084" t="inlineStr">
        <is>
          <t>ÅRJÄNG</t>
        </is>
      </c>
      <c r="I1084" t="n">
        <v>3.1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5122-2025</t>
        </is>
      </c>
      <c r="B1085" t="inlineStr">
        <is>
          <t>avverkningsanmälan</t>
        </is>
      </c>
      <c r="C1085" t="inlineStr">
        <is>
          <t>Föryngringsavverkning</t>
        </is>
      </c>
      <c r="D1085" s="1" t="n">
        <v>45691</v>
      </c>
      <c r="E1085" s="1" t="n">
        <v>46220</v>
      </c>
      <c r="F1085" t="inlineStr">
        <is>
          <t>VÄRMLANDS LÄN</t>
        </is>
      </c>
      <c r="G1085" t="inlineStr">
        <is>
          <t>ÅRJÄNG</t>
        </is>
      </c>
      <c r="I1085" t="n">
        <v>5.7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49441-2025</t>
        </is>
      </c>
      <c r="B1086" t="inlineStr">
        <is>
          <t>avverkningsanmälan</t>
        </is>
      </c>
      <c r="C1086" t="inlineStr">
        <is>
          <t>Föryngringsavverkning</t>
        </is>
      </c>
      <c r="D1086" s="1" t="n">
        <v>45938</v>
      </c>
      <c r="E1086" s="1" t="n">
        <v>46220</v>
      </c>
      <c r="F1086" t="inlineStr">
        <is>
          <t>VÄRMLANDS LÄN</t>
        </is>
      </c>
      <c r="G1086" t="inlineStr">
        <is>
          <t>ÅRJÄNG</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39187-2024</t>
        </is>
      </c>
      <c r="B1087" t="inlineStr">
        <is>
          <t>avverkningsanmälan</t>
        </is>
      </c>
      <c r="C1087" t="inlineStr">
        <is>
          <t>Föryngringsavverkning</t>
        </is>
      </c>
      <c r="D1087" s="1" t="n">
        <v>45548</v>
      </c>
      <c r="E1087" s="1" t="n">
        <v>46220</v>
      </c>
      <c r="F1087" t="inlineStr">
        <is>
          <t>VÄRMLANDS LÄN</t>
        </is>
      </c>
      <c r="G1087" t="inlineStr">
        <is>
          <t>ÅRJÄNG</t>
        </is>
      </c>
      <c r="I1087" t="n">
        <v>1.2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24477-2022</t>
        </is>
      </c>
      <c r="B1088" t="inlineStr">
        <is>
          <t>avverkningsanmälan</t>
        </is>
      </c>
      <c r="C1088" t="inlineStr">
        <is>
          <t>Föryngringsavverkning</t>
        </is>
      </c>
      <c r="D1088" s="1" t="n">
        <v>44726</v>
      </c>
      <c r="E1088" s="1" t="n">
        <v>46220</v>
      </c>
      <c r="F1088" t="inlineStr">
        <is>
          <t>VÄRMLANDS LÄN</t>
        </is>
      </c>
      <c r="G1088" t="inlineStr">
        <is>
          <t>ÅRJÄNG</t>
        </is>
      </c>
      <c r="I1088" t="n">
        <v>2.2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4465-2022</t>
        </is>
      </c>
      <c r="B1089" t="inlineStr">
        <is>
          <t>avverkningsanmälan</t>
        </is>
      </c>
      <c r="C1089" t="inlineStr">
        <is>
          <t>Föryngringsavverkning</t>
        </is>
      </c>
      <c r="D1089" s="1" t="n">
        <v>44589</v>
      </c>
      <c r="E1089" s="1" t="n">
        <v>46220</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70591-2021</t>
        </is>
      </c>
      <c r="B1090" t="inlineStr">
        <is>
          <t>avverkningsanmälan</t>
        </is>
      </c>
      <c r="C1090" t="inlineStr">
        <is>
          <t>Föryngringsavverkning</t>
        </is>
      </c>
      <c r="D1090" s="1" t="n">
        <v>44537</v>
      </c>
      <c r="E1090" s="1" t="n">
        <v>46220</v>
      </c>
      <c r="F1090" t="inlineStr">
        <is>
          <t>VÄRMLANDS LÄN</t>
        </is>
      </c>
      <c r="G1090" t="inlineStr">
        <is>
          <t>ÅRJÄNG</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36563-2024</t>
        </is>
      </c>
      <c r="B1091" t="inlineStr">
        <is>
          <t>avverkningsanmälan</t>
        </is>
      </c>
      <c r="C1091" t="inlineStr">
        <is>
          <t>Föryngringsavverkning</t>
        </is>
      </c>
      <c r="D1091" s="1" t="n">
        <v>45537</v>
      </c>
      <c r="E1091" s="1" t="n">
        <v>46220</v>
      </c>
      <c r="F1091" t="inlineStr">
        <is>
          <t>VÄRMLANDS LÄN</t>
        </is>
      </c>
      <c r="G1091" t="inlineStr">
        <is>
          <t>ÅRJÄNG</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37247-2025</t>
        </is>
      </c>
      <c r="B1092" t="inlineStr">
        <is>
          <t>avverkningsanmälan</t>
        </is>
      </c>
      <c r="C1092" t="inlineStr">
        <is>
          <t>Föryngringsavverkning</t>
        </is>
      </c>
      <c r="D1092" s="1" t="n">
        <v>45876</v>
      </c>
      <c r="E1092" s="1" t="n">
        <v>46220</v>
      </c>
      <c r="F1092" t="inlineStr">
        <is>
          <t>VÄRMLANDS LÄN</t>
        </is>
      </c>
      <c r="G1092" t="inlineStr">
        <is>
          <t>ÅRJÄNG</t>
        </is>
      </c>
      <c r="I1092" t="n">
        <v>2.7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30780-2026</t>
        </is>
      </c>
      <c r="B1093" t="inlineStr">
        <is>
          <t>avverkningsanmälan</t>
        </is>
      </c>
      <c r="C1093" t="inlineStr">
        <is>
          <t>Föryngringsavverkning</t>
        </is>
      </c>
      <c r="D1093" s="1" t="n">
        <v>46212</v>
      </c>
      <c r="E1093" s="1" t="n">
        <v>46220</v>
      </c>
      <c r="F1093" t="inlineStr">
        <is>
          <t>VÄRMLANDS LÄN</t>
        </is>
      </c>
      <c r="G1093" t="inlineStr">
        <is>
          <t>ÅRJÄNG</t>
        </is>
      </c>
      <c r="I1093" t="n">
        <v>3.1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30795-2026</t>
        </is>
      </c>
      <c r="B1094" t="inlineStr">
        <is>
          <t>avverkningsanmälan</t>
        </is>
      </c>
      <c r="C1094" t="inlineStr">
        <is>
          <t>Föryngringsavverkning</t>
        </is>
      </c>
      <c r="D1094" s="1" t="n">
        <v>46205</v>
      </c>
      <c r="E1094" s="1" t="n">
        <v>46220</v>
      </c>
      <c r="F1094" t="inlineStr">
        <is>
          <t>VÄRMLANDS LÄN</t>
        </is>
      </c>
      <c r="G1094" t="inlineStr">
        <is>
          <t>ÅRJÄNG</t>
        </is>
      </c>
      <c r="I1094" t="n">
        <v>7.5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24445-2026</t>
        </is>
      </c>
      <c r="B1095" t="inlineStr">
        <is>
          <t>avverkningsanmälan</t>
        </is>
      </c>
      <c r="C1095" t="inlineStr">
        <is>
          <t>Föryngringsavverkning</t>
        </is>
      </c>
      <c r="D1095" s="1" t="n">
        <v>46170</v>
      </c>
      <c r="E1095" s="1" t="n">
        <v>46220</v>
      </c>
      <c r="F1095" t="inlineStr">
        <is>
          <t>VÄRMLANDS LÄN</t>
        </is>
      </c>
      <c r="G1095" t="inlineStr">
        <is>
          <t>ÅRJÄNG</t>
        </is>
      </c>
      <c r="I1095" t="n">
        <v>1.9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37029-2024</t>
        </is>
      </c>
      <c r="B1096" t="inlineStr">
        <is>
          <t>avverkningsanmälan</t>
        </is>
      </c>
      <c r="C1096" t="inlineStr">
        <is>
          <t>Föryngringsavverkning</t>
        </is>
      </c>
      <c r="D1096" s="1" t="n">
        <v>45539</v>
      </c>
      <c r="E1096" s="1" t="n">
        <v>46220</v>
      </c>
      <c r="F1096" t="inlineStr">
        <is>
          <t>VÄRMLANDS LÄN</t>
        </is>
      </c>
      <c r="G1096" t="inlineStr">
        <is>
          <t>ÅRJÄNG</t>
        </is>
      </c>
      <c r="I1096" t="n">
        <v>4.7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29603-2024</t>
        </is>
      </c>
      <c r="B1097" t="inlineStr">
        <is>
          <t>avverkningsanmälan</t>
        </is>
      </c>
      <c r="C1097" t="inlineStr">
        <is>
          <t>Föryngringsavverkning</t>
        </is>
      </c>
      <c r="D1097" s="1" t="n">
        <v>45484</v>
      </c>
      <c r="E1097" s="1" t="n">
        <v>46220</v>
      </c>
      <c r="F1097" t="inlineStr">
        <is>
          <t>VÄRMLANDS LÄN</t>
        </is>
      </c>
      <c r="G1097" t="inlineStr">
        <is>
          <t>ÅRJÄNG</t>
        </is>
      </c>
      <c r="I1097" t="n">
        <v>7.5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30902-2026</t>
        </is>
      </c>
      <c r="B1098" t="inlineStr">
        <is>
          <t>avverkningsanmälan</t>
        </is>
      </c>
      <c r="C1098" t="inlineStr">
        <is>
          <t>Föryngringsavverkning</t>
        </is>
      </c>
      <c r="D1098" s="1" t="n">
        <v>46205</v>
      </c>
      <c r="E1098" s="1" t="n">
        <v>46220</v>
      </c>
      <c r="F1098" t="inlineStr">
        <is>
          <t>VÄRMLANDS LÄN</t>
        </is>
      </c>
      <c r="G1098" t="inlineStr">
        <is>
          <t>ÅRJÄNG</t>
        </is>
      </c>
      <c r="I1098" t="n">
        <v>3.1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30928-2026</t>
        </is>
      </c>
      <c r="B1099" t="inlineStr">
        <is>
          <t>avverkningsanmälan</t>
        </is>
      </c>
      <c r="C1099" t="inlineStr">
        <is>
          <t>Föryngringsavverkning</t>
        </is>
      </c>
      <c r="D1099" s="1" t="n">
        <v>46213</v>
      </c>
      <c r="E1099" s="1" t="n">
        <v>46220</v>
      </c>
      <c r="F1099" t="inlineStr">
        <is>
          <t>VÄRMLANDS LÄN</t>
        </is>
      </c>
      <c r="G1099" t="inlineStr">
        <is>
          <t>ÅRJÄNG</t>
        </is>
      </c>
      <c r="I1099" t="n">
        <v>1.2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29558-2024</t>
        </is>
      </c>
      <c r="B1100" t="inlineStr">
        <is>
          <t>avverkningsanmälan</t>
        </is>
      </c>
      <c r="C1100" t="inlineStr">
        <is>
          <t>Föryngringsavverkning</t>
        </is>
      </c>
      <c r="D1100" s="1" t="n">
        <v>45484</v>
      </c>
      <c r="E1100" s="1" t="n">
        <v>46220</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39557-2023</t>
        </is>
      </c>
      <c r="B1101" t="inlineStr">
        <is>
          <t>avverkningsanmälan</t>
        </is>
      </c>
      <c r="C1101" t="inlineStr">
        <is>
          <t>Föryngringsavverkning</t>
        </is>
      </c>
      <c r="D1101" s="1" t="n">
        <v>45167</v>
      </c>
      <c r="E1101" s="1" t="n">
        <v>46220</v>
      </c>
      <c r="F1101" t="inlineStr">
        <is>
          <t>VÄRMLANDS LÄN</t>
        </is>
      </c>
      <c r="G1101" t="inlineStr">
        <is>
          <t>ÅRJÄNG</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49701-2022</t>
        </is>
      </c>
      <c r="B1102" t="inlineStr">
        <is>
          <t>avverkningsanmälan</t>
        </is>
      </c>
      <c r="C1102" t="inlineStr">
        <is>
          <t>Föryngringsavverkning</t>
        </is>
      </c>
      <c r="D1102" s="1" t="n">
        <v>44862</v>
      </c>
      <c r="E1102" s="1" t="n">
        <v>46220</v>
      </c>
      <c r="F1102" t="inlineStr">
        <is>
          <t>VÄRMLANDS LÄN</t>
        </is>
      </c>
      <c r="G1102" t="inlineStr">
        <is>
          <t>ÅRJÄNG</t>
        </is>
      </c>
      <c r="I1102" t="n">
        <v>2.3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24861-2026</t>
        </is>
      </c>
      <c r="B1103" t="inlineStr">
        <is>
          <t>avverkningsanmälan</t>
        </is>
      </c>
      <c r="C1103" t="inlineStr">
        <is>
          <t>Föryngringsavverkning</t>
        </is>
      </c>
      <c r="D1103" s="1" t="n">
        <v>46174</v>
      </c>
      <c r="E1103" s="1" t="n">
        <v>46220</v>
      </c>
      <c r="F1103" t="inlineStr">
        <is>
          <t>VÄRMLANDS LÄN</t>
        </is>
      </c>
      <c r="G1103" t="inlineStr">
        <is>
          <t>ÅRJÄNG</t>
        </is>
      </c>
      <c r="I1103" t="n">
        <v>5.1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36706-2024</t>
        </is>
      </c>
      <c r="B1104" t="inlineStr">
        <is>
          <t>avverkningsanmälan</t>
        </is>
      </c>
      <c r="C1104" t="inlineStr">
        <is>
          <t>Föryngringsavverkning</t>
        </is>
      </c>
      <c r="D1104" s="1" t="n">
        <v>45537</v>
      </c>
      <c r="E1104" s="1" t="n">
        <v>46220</v>
      </c>
      <c r="F1104" t="inlineStr">
        <is>
          <t>VÄRMLANDS LÄN</t>
        </is>
      </c>
      <c r="G1104" t="inlineStr">
        <is>
          <t>ÅRJÄNG</t>
        </is>
      </c>
      <c r="I1104" t="n">
        <v>5.3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31046-2026</t>
        </is>
      </c>
      <c r="B1105" t="inlineStr">
        <is>
          <t>avverkningsanmälan</t>
        </is>
      </c>
      <c r="C1105" t="inlineStr">
        <is>
          <t>Föryngringsavverkning</t>
        </is>
      </c>
      <c r="D1105" s="1" t="n">
        <v>46214</v>
      </c>
      <c r="E1105" s="1" t="n">
        <v>46220</v>
      </c>
      <c r="F1105" t="inlineStr">
        <is>
          <t>VÄRMLANDS LÄN</t>
        </is>
      </c>
      <c r="G1105" t="inlineStr">
        <is>
          <t>ÅRJÄNG</t>
        </is>
      </c>
      <c r="H1105" t="inlineStr">
        <is>
          <t>Kyrkan</t>
        </is>
      </c>
      <c r="I1105" t="n">
        <v>15.8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24877-2026</t>
        </is>
      </c>
      <c r="B1106" t="inlineStr">
        <is>
          <t>avverkningsanmälan</t>
        </is>
      </c>
      <c r="C1106" t="inlineStr">
        <is>
          <t>Föryngringsavverkning</t>
        </is>
      </c>
      <c r="D1106" s="1" t="n">
        <v>46174</v>
      </c>
      <c r="E1106" s="1" t="n">
        <v>46220</v>
      </c>
      <c r="F1106" t="inlineStr">
        <is>
          <t>VÄRMLANDS LÄN</t>
        </is>
      </c>
      <c r="G1106" t="inlineStr">
        <is>
          <t>ÅRJÄNG</t>
        </is>
      </c>
      <c r="I1106" t="n">
        <v>4.6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25639-2026</t>
        </is>
      </c>
      <c r="B1107" t="inlineStr">
        <is>
          <t>avverkningsanmälan</t>
        </is>
      </c>
      <c r="C1107" t="inlineStr">
        <is>
          <t>Föryngringsavverkning</t>
        </is>
      </c>
      <c r="D1107" s="1" t="n">
        <v>46175</v>
      </c>
      <c r="E1107" s="1" t="n">
        <v>46220</v>
      </c>
      <c r="F1107" t="inlineStr">
        <is>
          <t>VÄRMLANDS LÄN</t>
        </is>
      </c>
      <c r="G1107" t="inlineStr">
        <is>
          <t>ÅRJÄNG</t>
        </is>
      </c>
      <c r="I1107" t="n">
        <v>2.1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23254-2026</t>
        </is>
      </c>
      <c r="B1108" t="inlineStr">
        <is>
          <t>avverkningsanmälan</t>
        </is>
      </c>
      <c r="C1108" t="inlineStr">
        <is>
          <t>Föryngringsavverkning</t>
        </is>
      </c>
      <c r="D1108" s="1" t="n">
        <v>46162</v>
      </c>
      <c r="E1108" s="1" t="n">
        <v>46220</v>
      </c>
      <c r="F1108" t="inlineStr">
        <is>
          <t>VÄRMLANDS LÄN</t>
        </is>
      </c>
      <c r="G1108" t="inlineStr">
        <is>
          <t>ÅRJÄNG</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56909-2025</t>
        </is>
      </c>
      <c r="B1109" t="inlineStr">
        <is>
          <t>avverkningsanmälan</t>
        </is>
      </c>
      <c r="C1109" t="inlineStr">
        <is>
          <t>Föryngringsavverkning</t>
        </is>
      </c>
      <c r="D1109" s="1" t="n">
        <v>45978</v>
      </c>
      <c r="E1109" s="1" t="n">
        <v>46220</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56897-2025</t>
        </is>
      </c>
      <c r="B1110" t="inlineStr">
        <is>
          <t>avverkningsanmälan</t>
        </is>
      </c>
      <c r="C1110" t="inlineStr">
        <is>
          <t>Föryngringsavverkning</t>
        </is>
      </c>
      <c r="D1110" s="1" t="n">
        <v>45978</v>
      </c>
      <c r="E1110" s="1" t="n">
        <v>46220</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23684-2026</t>
        </is>
      </c>
      <c r="B1111" t="inlineStr">
        <is>
          <t>avverkningsanmälan</t>
        </is>
      </c>
      <c r="C1111" t="inlineStr">
        <is>
          <t>Föryngringsavverkning</t>
        </is>
      </c>
      <c r="D1111" s="1" t="n">
        <v>46164</v>
      </c>
      <c r="E1111" s="1" t="n">
        <v>46220</v>
      </c>
      <c r="F1111" t="inlineStr">
        <is>
          <t>VÄRMLANDS LÄN</t>
        </is>
      </c>
      <c r="G1111" t="inlineStr">
        <is>
          <t>ÅRJÄNG</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23691-2026</t>
        </is>
      </c>
      <c r="B1112" t="inlineStr">
        <is>
          <t>avverkningsanmälan</t>
        </is>
      </c>
      <c r="C1112" t="inlineStr">
        <is>
          <t>Föryngringsavverkning</t>
        </is>
      </c>
      <c r="D1112" s="1" t="n">
        <v>46164</v>
      </c>
      <c r="E1112" s="1" t="n">
        <v>46220</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8625-2022</t>
        </is>
      </c>
      <c r="B1113" t="inlineStr">
        <is>
          <t>avverkningsanmälan</t>
        </is>
      </c>
      <c r="C1113" t="inlineStr">
        <is>
          <t>Föryngringsavverkning</t>
        </is>
      </c>
      <c r="D1113" s="1" t="n">
        <v>44613</v>
      </c>
      <c r="E1113" s="1" t="n">
        <v>46220</v>
      </c>
      <c r="F1113" t="inlineStr">
        <is>
          <t>VÄRMLANDS LÄN</t>
        </is>
      </c>
      <c r="G1113" t="inlineStr">
        <is>
          <t>ÅRJÄNG</t>
        </is>
      </c>
      <c r="I1113" t="n">
        <v>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59014-2024</t>
        </is>
      </c>
      <c r="B1114" t="inlineStr">
        <is>
          <t>avverkningsanmälan</t>
        </is>
      </c>
      <c r="C1114" t="inlineStr">
        <is>
          <t>Föryngringsavverkning</t>
        </is>
      </c>
      <c r="D1114" s="1" t="n">
        <v>45636</v>
      </c>
      <c r="E1114" s="1" t="n">
        <v>46220</v>
      </c>
      <c r="F1114" t="inlineStr">
        <is>
          <t>VÄRMLANDS LÄN</t>
        </is>
      </c>
      <c r="G1114" t="inlineStr">
        <is>
          <t>ÅRJÄNG</t>
        </is>
      </c>
      <c r="I1114" t="n">
        <v>0.6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65171-2023</t>
        </is>
      </c>
      <c r="B1115" t="inlineStr">
        <is>
          <t>avverkningsanmälan</t>
        </is>
      </c>
      <c r="C1115" t="inlineStr">
        <is>
          <t>Föryngringsavverkning</t>
        </is>
      </c>
      <c r="D1115" s="1" t="n">
        <v>45288</v>
      </c>
      <c r="E1115" s="1" t="n">
        <v>46220</v>
      </c>
      <c r="F1115" t="inlineStr">
        <is>
          <t>VÄRMLANDS LÄN</t>
        </is>
      </c>
      <c r="G1115" t="inlineStr">
        <is>
          <t>ÅRJÄNG</t>
        </is>
      </c>
      <c r="I1115" t="n">
        <v>2.1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31144-2026</t>
        </is>
      </c>
      <c r="B1116" t="inlineStr">
        <is>
          <t>avverkningsanmälan</t>
        </is>
      </c>
      <c r="C1116" t="inlineStr">
        <is>
          <t>Föryngringsavverkning</t>
        </is>
      </c>
      <c r="D1116" s="1" t="n">
        <v>46209</v>
      </c>
      <c r="E1116" s="1" t="n">
        <v>46220</v>
      </c>
      <c r="F1116" t="inlineStr">
        <is>
          <t>VÄRMLANDS LÄN</t>
        </is>
      </c>
      <c r="G1116" t="inlineStr">
        <is>
          <t>ÅRJÄNG</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31145-2026</t>
        </is>
      </c>
      <c r="B1117" t="inlineStr">
        <is>
          <t>avverkningsanmälan</t>
        </is>
      </c>
      <c r="C1117" t="inlineStr">
        <is>
          <t>Föryngringsavverkning</t>
        </is>
      </c>
      <c r="D1117" s="1" t="n">
        <v>46209</v>
      </c>
      <c r="E1117" s="1" t="n">
        <v>46220</v>
      </c>
      <c r="F1117" t="inlineStr">
        <is>
          <t>VÄRMLANDS LÄN</t>
        </is>
      </c>
      <c r="G1117" t="inlineStr">
        <is>
          <t>ÅRJÄNG</t>
        </is>
      </c>
      <c r="I1117" t="n">
        <v>8.800000000000001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50537-2023</t>
        </is>
      </c>
      <c r="B1118" t="inlineStr">
        <is>
          <t>avverkningsanmälan</t>
        </is>
      </c>
      <c r="C1118" t="inlineStr">
        <is>
          <t>Föryngringsavverkning</t>
        </is>
      </c>
      <c r="D1118" s="1" t="n">
        <v>45217</v>
      </c>
      <c r="E1118" s="1" t="n">
        <v>46220</v>
      </c>
      <c r="F1118" t="inlineStr">
        <is>
          <t>VÄRMLANDS LÄN</t>
        </is>
      </c>
      <c r="G1118" t="inlineStr">
        <is>
          <t>ÅRJÄNG</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59479-2024</t>
        </is>
      </c>
      <c r="B1119" t="inlineStr">
        <is>
          <t>avverkningsanmälan</t>
        </is>
      </c>
      <c r="C1119" t="inlineStr">
        <is>
          <t>Föryngringsavverkning</t>
        </is>
      </c>
      <c r="D1119" s="1" t="n">
        <v>45638</v>
      </c>
      <c r="E1119" s="1" t="n">
        <v>46220</v>
      </c>
      <c r="F1119" t="inlineStr">
        <is>
          <t>VÄRMLANDS LÄN</t>
        </is>
      </c>
      <c r="G1119" t="inlineStr">
        <is>
          <t>ÅRJÄNG</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46315-2024</t>
        </is>
      </c>
      <c r="B1120" t="inlineStr">
        <is>
          <t>avverkningsanmälan</t>
        </is>
      </c>
      <c r="C1120" t="inlineStr">
        <is>
          <t>Föryngringsavverkning</t>
        </is>
      </c>
      <c r="D1120" s="1" t="n">
        <v>45581</v>
      </c>
      <c r="E1120" s="1" t="n">
        <v>46220</v>
      </c>
      <c r="F1120" t="inlineStr">
        <is>
          <t>VÄRMLANDS LÄN</t>
        </is>
      </c>
      <c r="G1120" t="inlineStr">
        <is>
          <t>ÅRJÄNG</t>
        </is>
      </c>
      <c r="I1120" t="n">
        <v>2.1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57161-2024</t>
        </is>
      </c>
      <c r="B1121" t="inlineStr">
        <is>
          <t>avverkningsanmälan</t>
        </is>
      </c>
      <c r="C1121" t="inlineStr">
        <is>
          <t>Föryngringsavverkning</t>
        </is>
      </c>
      <c r="D1121" s="1" t="n">
        <v>45628</v>
      </c>
      <c r="E1121" s="1" t="n">
        <v>46220</v>
      </c>
      <c r="F1121" t="inlineStr">
        <is>
          <t>VÄRMLANDS LÄN</t>
        </is>
      </c>
      <c r="G1121" t="inlineStr">
        <is>
          <t>ÅRJÄNG</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11026-2023</t>
        </is>
      </c>
      <c r="B1122" t="inlineStr">
        <is>
          <t>avverkningsanmälan</t>
        </is>
      </c>
      <c r="C1122" t="inlineStr">
        <is>
          <t>Föryngringsavverkning</t>
        </is>
      </c>
      <c r="D1122" s="1" t="n">
        <v>44991</v>
      </c>
      <c r="E1122" s="1" t="n">
        <v>46220</v>
      </c>
      <c r="F1122" t="inlineStr">
        <is>
          <t>VÄRMLANDS LÄN</t>
        </is>
      </c>
      <c r="G1122" t="inlineStr">
        <is>
          <t>ÅRJÄNG</t>
        </is>
      </c>
      <c r="I1122" t="n">
        <v>1.3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58540-2024</t>
        </is>
      </c>
      <c r="B1123" t="inlineStr">
        <is>
          <t>avverkningsanmälan</t>
        </is>
      </c>
      <c r="C1123" t="inlineStr">
        <is>
          <t>Föryngringsavverkning</t>
        </is>
      </c>
      <c r="D1123" s="1" t="n">
        <v>45635</v>
      </c>
      <c r="E1123" s="1" t="n">
        <v>46220</v>
      </c>
      <c r="F1123" t="inlineStr">
        <is>
          <t>VÄRMLANDS LÄN</t>
        </is>
      </c>
      <c r="G1123" t="inlineStr">
        <is>
          <t>ÅRJÄNG</t>
        </is>
      </c>
      <c r="I1123" t="n">
        <v>1.4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25113-2026</t>
        </is>
      </c>
      <c r="B1124" t="inlineStr">
        <is>
          <t>avverkningsanmälan</t>
        </is>
      </c>
      <c r="C1124" t="inlineStr">
        <is>
          <t>Föryngringsavverkning</t>
        </is>
      </c>
      <c r="D1124" s="1" t="n">
        <v>46175</v>
      </c>
      <c r="E1124" s="1" t="n">
        <v>46220</v>
      </c>
      <c r="F1124" t="inlineStr">
        <is>
          <t>VÄRMLANDS LÄN</t>
        </is>
      </c>
      <c r="G1124" t="inlineStr">
        <is>
          <t>ÅRJÄNG</t>
        </is>
      </c>
      <c r="I1124" t="n">
        <v>2.2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25325-2026</t>
        </is>
      </c>
      <c r="B1125" t="inlineStr">
        <is>
          <t>avverkningsanmälan</t>
        </is>
      </c>
      <c r="C1125" t="inlineStr">
        <is>
          <t>Föryngringsavverkning</t>
        </is>
      </c>
      <c r="D1125" s="1" t="n">
        <v>46176</v>
      </c>
      <c r="E1125" s="1" t="n">
        <v>46220</v>
      </c>
      <c r="F1125" t="inlineStr">
        <is>
          <t>VÄRMLANDS LÄN</t>
        </is>
      </c>
      <c r="G1125" t="inlineStr">
        <is>
          <t>ÅRJÄNG</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47223-2021</t>
        </is>
      </c>
      <c r="B1126" t="inlineStr">
        <is>
          <t>avverkningsanmälan</t>
        </is>
      </c>
      <c r="C1126" t="inlineStr">
        <is>
          <t>Föryngringsavverkning</t>
        </is>
      </c>
      <c r="D1126" s="1" t="n">
        <v>44446</v>
      </c>
      <c r="E1126" s="1" t="n">
        <v>46220</v>
      </c>
      <c r="F1126" t="inlineStr">
        <is>
          <t>VÄRMLANDS LÄN</t>
        </is>
      </c>
      <c r="G1126" t="inlineStr">
        <is>
          <t>ÅRJÄNG</t>
        </is>
      </c>
      <c r="I1126" t="n">
        <v>5.4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45962-2021</t>
        </is>
      </c>
      <c r="B1127" t="inlineStr">
        <is>
          <t>avverkningsanmälan</t>
        </is>
      </c>
      <c r="C1127" t="inlineStr">
        <is>
          <t>Föryngringsavverkning</t>
        </is>
      </c>
      <c r="D1127" s="1" t="n">
        <v>44441</v>
      </c>
      <c r="E1127" s="1" t="n">
        <v>46220</v>
      </c>
      <c r="F1127" t="inlineStr">
        <is>
          <t>VÄRMLANDS LÄN</t>
        </is>
      </c>
      <c r="G1127" t="inlineStr">
        <is>
          <t>ÅRJÄNG</t>
        </is>
      </c>
      <c r="I1127" t="n">
        <v>4.3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25310-2026</t>
        </is>
      </c>
      <c r="B1128" t="inlineStr">
        <is>
          <t>avverkningsanmälan</t>
        </is>
      </c>
      <c r="C1128" t="inlineStr">
        <is>
          <t>Föryngringsavverkning</t>
        </is>
      </c>
      <c r="D1128" s="1" t="n">
        <v>46176</v>
      </c>
      <c r="E1128" s="1" t="n">
        <v>46220</v>
      </c>
      <c r="F1128" t="inlineStr">
        <is>
          <t>VÄRMLANDS LÄN</t>
        </is>
      </c>
      <c r="G1128" t="inlineStr">
        <is>
          <t>ÅRJÄNG</t>
        </is>
      </c>
      <c r="I1128" t="n">
        <v>3.8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42233-2024</t>
        </is>
      </c>
      <c r="B1129" t="inlineStr">
        <is>
          <t>avverkningsanmälan</t>
        </is>
      </c>
      <c r="C1129" t="inlineStr">
        <is>
          <t>Föryngringsavverkning</t>
        </is>
      </c>
      <c r="D1129" s="1" t="n">
        <v>45562</v>
      </c>
      <c r="E1129" s="1" t="n">
        <v>46220</v>
      </c>
      <c r="F1129" t="inlineStr">
        <is>
          <t>VÄRMLANDS LÄN</t>
        </is>
      </c>
      <c r="G1129" t="inlineStr">
        <is>
          <t>ÅRJÄNG</t>
        </is>
      </c>
      <c r="I1129" t="n">
        <v>9.800000000000001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14910-2025</t>
        </is>
      </c>
      <c r="B1130" t="inlineStr">
        <is>
          <t>avverkningsanmälan</t>
        </is>
      </c>
      <c r="C1130" t="inlineStr">
        <is>
          <t>Föryngringsavverkning</t>
        </is>
      </c>
      <c r="D1130" s="1" t="n">
        <v>45743</v>
      </c>
      <c r="E1130" s="1" t="n">
        <v>46220</v>
      </c>
      <c r="F1130" t="inlineStr">
        <is>
          <t>VÄRMLANDS LÄN</t>
        </is>
      </c>
      <c r="G1130" t="inlineStr">
        <is>
          <t>ÅRJÄNG</t>
        </is>
      </c>
      <c r="I1130" t="n">
        <v>2.2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44647-2021</t>
        </is>
      </c>
      <c r="B1131" t="inlineStr">
        <is>
          <t>avverkningsanmälan</t>
        </is>
      </c>
      <c r="C1131" t="inlineStr">
        <is>
          <t>Föryngringsavverkning</t>
        </is>
      </c>
      <c r="D1131" s="1" t="n">
        <v>44437</v>
      </c>
      <c r="E1131" s="1" t="n">
        <v>46220</v>
      </c>
      <c r="F1131" t="inlineStr">
        <is>
          <t>VÄRMLANDS LÄN</t>
        </is>
      </c>
      <c r="G1131" t="inlineStr">
        <is>
          <t>ÅRJÄNG</t>
        </is>
      </c>
      <c r="I1131" t="n">
        <v>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25314-2026</t>
        </is>
      </c>
      <c r="B1132" t="inlineStr">
        <is>
          <t>avverkningsanmälan</t>
        </is>
      </c>
      <c r="C1132" t="inlineStr">
        <is>
          <t>Föryngringsavverkning</t>
        </is>
      </c>
      <c r="D1132" s="1" t="n">
        <v>46176</v>
      </c>
      <c r="E1132" s="1" t="n">
        <v>46220</v>
      </c>
      <c r="F1132" t="inlineStr">
        <is>
          <t>VÄRMLANDS LÄN</t>
        </is>
      </c>
      <c r="G1132" t="inlineStr">
        <is>
          <t>ÅRJÄNG</t>
        </is>
      </c>
      <c r="I1132" t="n">
        <v>3.3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92-2022</t>
        </is>
      </c>
      <c r="B1133" t="inlineStr">
        <is>
          <t>avverkningsanmälan</t>
        </is>
      </c>
      <c r="C1133" t="inlineStr">
        <is>
          <t>Föryngringsavverkning</t>
        </is>
      </c>
      <c r="D1133" s="1" t="n">
        <v>44564</v>
      </c>
      <c r="E1133" s="1" t="n">
        <v>46220</v>
      </c>
      <c r="F1133" t="inlineStr">
        <is>
          <t>VÄRMLANDS LÄN</t>
        </is>
      </c>
      <c r="G1133" t="inlineStr">
        <is>
          <t>ÅRJÄNG</t>
        </is>
      </c>
      <c r="I1133" t="n">
        <v>10.4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30710-2023</t>
        </is>
      </c>
      <c r="B1134" t="inlineStr">
        <is>
          <t>avverkningsanmälan</t>
        </is>
      </c>
      <c r="C1134" t="inlineStr">
        <is>
          <t>Föryngringsavverkning</t>
        </is>
      </c>
      <c r="D1134" s="1" t="n">
        <v>45112</v>
      </c>
      <c r="E1134" s="1" t="n">
        <v>46220</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5095-2022</t>
        </is>
      </c>
      <c r="B1135" t="inlineStr">
        <is>
          <t>avverkningsanmälan</t>
        </is>
      </c>
      <c r="C1135" t="inlineStr">
        <is>
          <t>Föryngringsavverkning</t>
        </is>
      </c>
      <c r="D1135" s="1" t="n">
        <v>44593</v>
      </c>
      <c r="E1135" s="1" t="n">
        <v>46220</v>
      </c>
      <c r="F1135" t="inlineStr">
        <is>
          <t>VÄRMLANDS LÄN</t>
        </is>
      </c>
      <c r="G1135" t="inlineStr">
        <is>
          <t>ÅRJÄNG</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4582-2025</t>
        </is>
      </c>
      <c r="B1136" t="inlineStr">
        <is>
          <t>avverkningsanmälan</t>
        </is>
      </c>
      <c r="C1136" t="inlineStr">
        <is>
          <t>Föryngringsavverkning</t>
        </is>
      </c>
      <c r="D1136" s="1" t="n">
        <v>45687</v>
      </c>
      <c r="E1136" s="1" t="n">
        <v>46220</v>
      </c>
      <c r="F1136" t="inlineStr">
        <is>
          <t>VÄRMLANDS LÄN</t>
        </is>
      </c>
      <c r="G1136" t="inlineStr">
        <is>
          <t>ÅRJÄNG</t>
        </is>
      </c>
      <c r="H1136" t="inlineStr">
        <is>
          <t>Övriga Aktiebolag</t>
        </is>
      </c>
      <c r="I1136" t="n">
        <v>3.4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21145-2022</t>
        </is>
      </c>
      <c r="B1137" t="inlineStr">
        <is>
          <t>avverkningsanmälan</t>
        </is>
      </c>
      <c r="C1137" t="inlineStr">
        <is>
          <t>Föryngringsavverkning</t>
        </is>
      </c>
      <c r="D1137" s="1" t="n">
        <v>44704</v>
      </c>
      <c r="E1137" s="1" t="n">
        <v>46220</v>
      </c>
      <c r="F1137" t="inlineStr">
        <is>
          <t>VÄRMLANDS LÄN</t>
        </is>
      </c>
      <c r="G1137" t="inlineStr">
        <is>
          <t>ÅRJÄNG</t>
        </is>
      </c>
      <c r="I1137" t="n">
        <v>8.300000000000001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5127-2025</t>
        </is>
      </c>
      <c r="B1138" t="inlineStr">
        <is>
          <t>avverkningsanmälan</t>
        </is>
      </c>
      <c r="C1138" t="inlineStr">
        <is>
          <t>Föryngringsavverkning</t>
        </is>
      </c>
      <c r="D1138" s="1" t="n">
        <v>45691</v>
      </c>
      <c r="E1138" s="1" t="n">
        <v>46220</v>
      </c>
      <c r="F1138" t="inlineStr">
        <is>
          <t>VÄRMLANDS LÄN</t>
        </is>
      </c>
      <c r="G1138" t="inlineStr">
        <is>
          <t>ÅRJÄNG</t>
        </is>
      </c>
      <c r="I1138" t="n">
        <v>5.7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15574-2025</t>
        </is>
      </c>
      <c r="B1139" t="inlineStr">
        <is>
          <t>avverkningsanmälan</t>
        </is>
      </c>
      <c r="C1139" t="inlineStr">
        <is>
          <t>Föryngringsavverkning</t>
        </is>
      </c>
      <c r="D1139" s="1" t="n">
        <v>45747</v>
      </c>
      <c r="E1139" s="1" t="n">
        <v>46220</v>
      </c>
      <c r="F1139" t="inlineStr">
        <is>
          <t>VÄRMLANDS LÄN</t>
        </is>
      </c>
      <c r="G1139" t="inlineStr">
        <is>
          <t>ÅRJÄNG</t>
        </is>
      </c>
      <c r="I1139" t="n">
        <v>2.4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4763-2023</t>
        </is>
      </c>
      <c r="B1140" t="inlineStr">
        <is>
          <t>avverkningsanmälan</t>
        </is>
      </c>
      <c r="C1140" t="inlineStr">
        <is>
          <t>Föryngringsavverkning</t>
        </is>
      </c>
      <c r="D1140" s="1" t="n">
        <v>44957</v>
      </c>
      <c r="E1140" s="1" t="n">
        <v>46220</v>
      </c>
      <c r="F1140" t="inlineStr">
        <is>
          <t>VÄRMLANDS LÄN</t>
        </is>
      </c>
      <c r="G1140" t="inlineStr">
        <is>
          <t>ÅRJÄNG</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36018-2024</t>
        </is>
      </c>
      <c r="B1141" t="inlineStr">
        <is>
          <t>avverkningsanmälan</t>
        </is>
      </c>
      <c r="C1141" t="inlineStr">
        <is>
          <t>Föryngringsavverkning</t>
        </is>
      </c>
      <c r="D1141" s="1" t="n">
        <v>45533</v>
      </c>
      <c r="E1141" s="1" t="n">
        <v>46220</v>
      </c>
      <c r="F1141" t="inlineStr">
        <is>
          <t>VÄRMLANDS LÄN</t>
        </is>
      </c>
      <c r="G1141" t="inlineStr">
        <is>
          <t>ÅRJÄNG</t>
        </is>
      </c>
      <c r="I1141" t="n">
        <v>1.3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33525-2022</t>
        </is>
      </c>
      <c r="B1142" t="inlineStr">
        <is>
          <t>avverkningsanmälan</t>
        </is>
      </c>
      <c r="C1142" t="inlineStr">
        <is>
          <t>Föryngringsavverkning</t>
        </is>
      </c>
      <c r="D1142" s="1" t="n">
        <v>44789</v>
      </c>
      <c r="E1142" s="1" t="n">
        <v>46220</v>
      </c>
      <c r="F1142" t="inlineStr">
        <is>
          <t>VÄRMLANDS LÄN</t>
        </is>
      </c>
      <c r="G1142" t="inlineStr">
        <is>
          <t>ÅRJÄNG</t>
        </is>
      </c>
      <c r="I1142" t="n">
        <v>2.2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8918-2025</t>
        </is>
      </c>
      <c r="B1143" t="inlineStr">
        <is>
          <t>avverkningsanmälan</t>
        </is>
      </c>
      <c r="C1143" t="inlineStr">
        <is>
          <t>Föryngringsavverkning</t>
        </is>
      </c>
      <c r="D1143" s="1" t="n">
        <v>45713</v>
      </c>
      <c r="E1143" s="1" t="n">
        <v>46220</v>
      </c>
      <c r="F1143" t="inlineStr">
        <is>
          <t>VÄRMLANDS LÄN</t>
        </is>
      </c>
      <c r="G1143" t="inlineStr">
        <is>
          <t>ÅRJÄNG</t>
        </is>
      </c>
      <c r="I1143" t="n">
        <v>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20337-2023</t>
        </is>
      </c>
      <c r="B1144" t="inlineStr">
        <is>
          <t>avverkningsanmälan</t>
        </is>
      </c>
      <c r="C1144" t="inlineStr">
        <is>
          <t>Föryngringsavverkning</t>
        </is>
      </c>
      <c r="D1144" s="1" t="n">
        <v>45056</v>
      </c>
      <c r="E1144" s="1" t="n">
        <v>46220</v>
      </c>
      <c r="F1144" t="inlineStr">
        <is>
          <t>VÄRMLANDS LÄN</t>
        </is>
      </c>
      <c r="G1144" t="inlineStr">
        <is>
          <t>ÅRJÄNG</t>
        </is>
      </c>
      <c r="I1144" t="n">
        <v>3.1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12209-2023</t>
        </is>
      </c>
      <c r="B1145" t="inlineStr">
        <is>
          <t>avverkningsanmälan</t>
        </is>
      </c>
      <c r="C1145" t="inlineStr">
        <is>
          <t>Föryngringsavverkning</t>
        </is>
      </c>
      <c r="D1145" s="1" t="n">
        <v>44998</v>
      </c>
      <c r="E1145" s="1" t="n">
        <v>46220</v>
      </c>
      <c r="F1145" t="inlineStr">
        <is>
          <t>VÄRMLANDS LÄN</t>
        </is>
      </c>
      <c r="G1145" t="inlineStr">
        <is>
          <t>ÅRJÄNG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16562-2024</t>
        </is>
      </c>
      <c r="B1146" t="inlineStr">
        <is>
          <t>avverkningsanmälan</t>
        </is>
      </c>
      <c r="C1146" t="inlineStr">
        <is>
          <t>Föryngringsavverkning</t>
        </is>
      </c>
      <c r="D1146" s="1" t="n">
        <v>45408</v>
      </c>
      <c r="E1146" s="1" t="n">
        <v>46220</v>
      </c>
      <c r="F1146" t="inlineStr">
        <is>
          <t>VÄRMLANDS LÄN</t>
        </is>
      </c>
      <c r="G1146" t="inlineStr">
        <is>
          <t>ÅRJÄNG</t>
        </is>
      </c>
      <c r="H1146" t="inlineStr">
        <is>
          <t>Bergvik skog väst AB</t>
        </is>
      </c>
      <c r="I1146" t="n">
        <v>0.4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20957-2025</t>
        </is>
      </c>
      <c r="B1147" t="inlineStr">
        <is>
          <t>avverkningsanmälan</t>
        </is>
      </c>
      <c r="C1147" t="inlineStr">
        <is>
          <t>Föryngringsavverkning</t>
        </is>
      </c>
      <c r="D1147" s="1" t="n">
        <v>45777</v>
      </c>
      <c r="E1147" s="1" t="n">
        <v>46220</v>
      </c>
      <c r="F1147" t="inlineStr">
        <is>
          <t>VÄRMLANDS LÄN</t>
        </is>
      </c>
      <c r="G1147" t="inlineStr">
        <is>
          <t>ÅRJÄNG</t>
        </is>
      </c>
      <c r="I1147" t="n">
        <v>6.2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20747-2025</t>
        </is>
      </c>
      <c r="B1148" t="inlineStr">
        <is>
          <t>avverkningsanmälan</t>
        </is>
      </c>
      <c r="C1148" t="inlineStr">
        <is>
          <t>Föryngringsavverkning</t>
        </is>
      </c>
      <c r="D1148" s="1" t="n">
        <v>45776</v>
      </c>
      <c r="E1148" s="1" t="n">
        <v>46220</v>
      </c>
      <c r="F1148" t="inlineStr">
        <is>
          <t>VÄRMLANDS LÄN</t>
        </is>
      </c>
      <c r="G1148" t="inlineStr">
        <is>
          <t>ÅRJÄNG</t>
        </is>
      </c>
      <c r="I1148" t="n">
        <v>12.2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1467-2025</t>
        </is>
      </c>
      <c r="B1149" t="inlineStr">
        <is>
          <t>avverkningsanmälan</t>
        </is>
      </c>
      <c r="C1149" t="inlineStr">
        <is>
          <t>Föryngringsavverkning</t>
        </is>
      </c>
      <c r="D1149" s="1" t="n">
        <v>45667</v>
      </c>
      <c r="E1149" s="1" t="n">
        <v>46220</v>
      </c>
      <c r="F1149" t="inlineStr">
        <is>
          <t>VÄRMLANDS LÄN</t>
        </is>
      </c>
      <c r="G1149" t="inlineStr">
        <is>
          <t>ÅRJÄNG</t>
        </is>
      </c>
      <c r="H1149" t="inlineStr">
        <is>
          <t>Övriga Aktiebolag</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7193-2024</t>
        </is>
      </c>
      <c r="B1150" t="inlineStr">
        <is>
          <t>avverkningsanmälan</t>
        </is>
      </c>
      <c r="C1150" t="inlineStr">
        <is>
          <t>Föryngringsavverkning</t>
        </is>
      </c>
      <c r="D1150" s="1" t="n">
        <v>45344</v>
      </c>
      <c r="E1150" s="1" t="n">
        <v>46220</v>
      </c>
      <c r="F1150" t="inlineStr">
        <is>
          <t>VÄRMLANDS LÄN</t>
        </is>
      </c>
      <c r="G1150" t="inlineStr">
        <is>
          <t>ÅRJÄNG</t>
        </is>
      </c>
      <c r="I1150" t="n">
        <v>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50347-2024</t>
        </is>
      </c>
      <c r="B1151" t="inlineStr">
        <is>
          <t>avverkningsanmälan</t>
        </is>
      </c>
      <c r="C1151" t="inlineStr">
        <is>
          <t>Avverkning för att bevara och utveckla /försöksver</t>
        </is>
      </c>
      <c r="D1151" s="1" t="n">
        <v>45600</v>
      </c>
      <c r="E1151" s="1" t="n">
        <v>46220</v>
      </c>
      <c r="F1151" t="inlineStr">
        <is>
          <t>VÄRMLANDS LÄN</t>
        </is>
      </c>
      <c r="G1151" t="inlineStr">
        <is>
          <t>ÅRJÄNG</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31793-2023</t>
        </is>
      </c>
      <c r="B1152" t="inlineStr">
        <is>
          <t>avverkningsanmälan</t>
        </is>
      </c>
      <c r="C1152" t="inlineStr">
        <is>
          <t>Föryngringsavverkning</t>
        </is>
      </c>
      <c r="D1152" s="1" t="n">
        <v>45118</v>
      </c>
      <c r="E1152" s="1" t="n">
        <v>46220</v>
      </c>
      <c r="F1152" t="inlineStr">
        <is>
          <t>VÄRMLANDS LÄN</t>
        </is>
      </c>
      <c r="G1152" t="inlineStr">
        <is>
          <t>ÅRJÄNG</t>
        </is>
      </c>
      <c r="I1152" t="n">
        <v>10.9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11198-2025</t>
        </is>
      </c>
      <c r="B1153" t="inlineStr">
        <is>
          <t>avverkningsanmälan</t>
        </is>
      </c>
      <c r="C1153" t="inlineStr">
        <is>
          <t>Föryngringsavverkning</t>
        </is>
      </c>
      <c r="D1153" s="1" t="n">
        <v>45725</v>
      </c>
      <c r="E1153" s="1" t="n">
        <v>46220</v>
      </c>
      <c r="F1153" t="inlineStr">
        <is>
          <t>VÄRMLANDS LÄN</t>
        </is>
      </c>
      <c r="G1153" t="inlineStr">
        <is>
          <t>ÅRJÄNG</t>
        </is>
      </c>
      <c r="I1153" t="n">
        <v>3.5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8094-2025</t>
        </is>
      </c>
      <c r="B1154" t="inlineStr">
        <is>
          <t>avverkningsanmälan</t>
        </is>
      </c>
      <c r="C1154" t="inlineStr">
        <is>
          <t>Föryngringsavverkning</t>
        </is>
      </c>
      <c r="D1154" s="1" t="n">
        <v>45707</v>
      </c>
      <c r="E1154" s="1" t="n">
        <v>46220</v>
      </c>
      <c r="F1154" t="inlineStr">
        <is>
          <t>VÄRMLANDS LÄN</t>
        </is>
      </c>
      <c r="G1154" t="inlineStr">
        <is>
          <t>ÅRJÄNG</t>
        </is>
      </c>
      <c r="I1154" t="n">
        <v>12.6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63203-2021</t>
        </is>
      </c>
      <c r="B1155" t="inlineStr">
        <is>
          <t>avverkningsanmälan</t>
        </is>
      </c>
      <c r="C1155" t="inlineStr">
        <is>
          <t>Föryngringsavverkning</t>
        </is>
      </c>
      <c r="D1155" s="1" t="n">
        <v>44507</v>
      </c>
      <c r="E1155" s="1" t="n">
        <v>46220</v>
      </c>
      <c r="F1155" t="inlineStr">
        <is>
          <t>VÄRMLANDS LÄN</t>
        </is>
      </c>
      <c r="G1155" t="inlineStr">
        <is>
          <t>ÅRJÄNG</t>
        </is>
      </c>
      <c r="I1155" t="n">
        <v>2.8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23039-2025</t>
        </is>
      </c>
      <c r="B1156" t="inlineStr">
        <is>
          <t>avverkningsanmälan</t>
        </is>
      </c>
      <c r="C1156" t="inlineStr">
        <is>
          <t>Föryngringsavverkning</t>
        </is>
      </c>
      <c r="D1156" s="1" t="n">
        <v>45790</v>
      </c>
      <c r="E1156" s="1" t="n">
        <v>46220</v>
      </c>
      <c r="F1156" t="inlineStr">
        <is>
          <t>VÄRMLANDS LÄN</t>
        </is>
      </c>
      <c r="G1156" t="inlineStr">
        <is>
          <t>ÅRJÄNG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43659-2024</t>
        </is>
      </c>
      <c r="B1157" t="inlineStr">
        <is>
          <t>avverkningsanmälan</t>
        </is>
      </c>
      <c r="C1157" t="inlineStr">
        <is>
          <t>Föryngringsavverkning</t>
        </is>
      </c>
      <c r="D1157" s="1" t="n">
        <v>45569</v>
      </c>
      <c r="E1157" s="1" t="n">
        <v>46220</v>
      </c>
      <c r="F1157" t="inlineStr">
        <is>
          <t>VÄRMLANDS LÄN</t>
        </is>
      </c>
      <c r="G1157" t="inlineStr">
        <is>
          <t>ÅRJÄNG</t>
        </is>
      </c>
      <c r="I1157" t="n">
        <v>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62266-2023</t>
        </is>
      </c>
      <c r="B1158" t="inlineStr">
        <is>
          <t>avverkningsanmälan</t>
        </is>
      </c>
      <c r="C1158" t="inlineStr">
        <is>
          <t>Föryngringsavverkning</t>
        </is>
      </c>
      <c r="D1158" s="1" t="n">
        <v>45266</v>
      </c>
      <c r="E1158" s="1" t="n">
        <v>46220</v>
      </c>
      <c r="F1158" t="inlineStr">
        <is>
          <t>VÄRMLANDS LÄN</t>
        </is>
      </c>
      <c r="G1158" t="inlineStr">
        <is>
          <t>ÅRJÄNG</t>
        </is>
      </c>
      <c r="I1158" t="n">
        <v>10.5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631-2024</t>
        </is>
      </c>
      <c r="B1159" t="inlineStr">
        <is>
          <t>samrådsanmälan</t>
        </is>
      </c>
      <c r="C1159" t="inlineStr">
        <is>
          <t>Skogsgödsling</t>
        </is>
      </c>
      <c r="D1159" s="1" t="n">
        <v>45355</v>
      </c>
      <c r="E1159" s="1" t="n">
        <v>46220</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4456-2022</t>
        </is>
      </c>
      <c r="B1160" t="inlineStr">
        <is>
          <t>samrådsanmälan</t>
        </is>
      </c>
      <c r="C1160" t="inlineStr">
        <is>
          <t>Skogsbilväg</t>
        </is>
      </c>
      <c r="D1160" s="1" t="n">
        <v>44787</v>
      </c>
      <c r="E1160" s="1" t="n">
        <v>46220</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288-2022</t>
        </is>
      </c>
      <c r="B1161" t="inlineStr">
        <is>
          <t>samrådsanmälan</t>
        </is>
      </c>
      <c r="C1161" t="inlineStr">
        <is>
          <t>Skogsgödsling</t>
        </is>
      </c>
      <c r="D1161" s="1" t="n">
        <v>44579</v>
      </c>
      <c r="E1161" s="1" t="n">
        <v>46220</v>
      </c>
      <c r="F1161" t="inlineStr">
        <is>
          <t>VÄRMLANDS LÄN</t>
        </is>
      </c>
      <c r="G1161" t="inlineStr">
        <is>
          <t>ÅRJÄNG</t>
        </is>
      </c>
      <c r="H1161" t="inlineStr">
        <is>
          <t>Bergvik skog väst AB</t>
        </is>
      </c>
      <c r="I1161" t="n">
        <v>52.8</v>
      </c>
      <c r="J1161" t="n">
        <v>0</v>
      </c>
      <c r="K1161" t="n">
        <v>0</v>
      </c>
      <c r="L1161" t="n">
        <v>0</v>
      </c>
      <c r="M1161" t="n">
        <v>0</v>
      </c>
      <c r="N1161" t="n">
        <v>0</v>
      </c>
      <c r="O1161" t="n">
        <v>0</v>
      </c>
      <c r="P1161" t="n">
        <v>0</v>
      </c>
      <c r="Q1161" t="n">
        <v>0</v>
      </c>
      <c r="R1161" t="n">
        <v>0</v>
      </c>
      <c r="S1161" t="n">
        <v>0</v>
      </c>
      <c r="T1161" t="n">
        <v>0</v>
      </c>
      <c r="U1161" s="2" t="inlineStr"/>
    </row>
    <row r="1162">
      <c r="A1162" t="inlineStr">
        <is>
          <t>S 90-2026</t>
        </is>
      </c>
      <c r="B1162" t="inlineStr">
        <is>
          <t>samrådsanmälan</t>
        </is>
      </c>
      <c r="C1162" t="inlineStr">
        <is>
          <t>Skogsgödsling</t>
        </is>
      </c>
      <c r="D1162" s="1" t="n">
        <v>46035</v>
      </c>
      <c r="E1162" s="1" t="n">
        <v>46220</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2026-07-17T01:44:37Z</dcterms:created>
  <dcterms:modified xmlns:dcterms="http://purl.org/dc/terms/" xmlns:xsi="http://www.w3.org/2001/XMLSchema-instance" xsi:type="dcterms:W3CDTF">2026-07-17T01:44:38Z</dcterms:modified>
</cp:coreProperties>
</file>