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46032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46032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46032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46032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46032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46032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46032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46032</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46032</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46032</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46032</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46032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46032</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46032</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60688-2023</t>
        </is>
      </c>
      <c r="B27" s="1" t="n">
        <v>45260</v>
      </c>
      <c r="C27" s="1" t="n">
        <v>46032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58238-2024</t>
        </is>
      </c>
      <c r="B28" s="1" t="n">
        <v>45632</v>
      </c>
      <c r="C28" s="1" t="n">
        <v>46032</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49957-2025</t>
        </is>
      </c>
      <c r="B29" s="1" t="n">
        <v>45940</v>
      </c>
      <c r="C29" s="1" t="n">
        <v>46032</v>
      </c>
      <c r="D29" t="inlineStr">
        <is>
          <t>VÄRMLANDS LÄN</t>
        </is>
      </c>
      <c r="E29" t="inlineStr">
        <is>
          <t>ÅRJÄNG</t>
        </is>
      </c>
      <c r="G29" t="n">
        <v>4.5</v>
      </c>
      <c r="H29" t="n">
        <v>1</v>
      </c>
      <c r="I29" t="n">
        <v>1</v>
      </c>
      <c r="J29" t="n">
        <v>0</v>
      </c>
      <c r="K29" t="n">
        <v>1</v>
      </c>
      <c r="L29" t="n">
        <v>0</v>
      </c>
      <c r="M29" t="n">
        <v>0</v>
      </c>
      <c r="N29" t="n">
        <v>0</v>
      </c>
      <c r="O29" t="n">
        <v>1</v>
      </c>
      <c r="P29" t="n">
        <v>1</v>
      </c>
      <c r="Q29" t="n">
        <v>2</v>
      </c>
      <c r="R29" s="2" t="inlineStr">
        <is>
          <t>Knärot
Mindre märgborre</t>
        </is>
      </c>
      <c r="S29">
        <f>HYPERLINK("https://klasma.github.io/Logging_1765/artfynd/A 49957-2025 artfynd.xlsx", "A 49957-2025")</f>
        <v/>
      </c>
      <c r="T29">
        <f>HYPERLINK("https://klasma.github.io/Logging_1765/kartor/A 49957-2025 karta.png", "A 49957-2025")</f>
        <v/>
      </c>
      <c r="U29">
        <f>HYPERLINK("https://klasma.github.io/Logging_1765/knärot/A 49957-2025 karta knärot.png", "A 49957-2025")</f>
        <v/>
      </c>
      <c r="V29">
        <f>HYPERLINK("https://klasma.github.io/Logging_1765/klagomål/A 49957-2025 FSC-klagomål.docx", "A 49957-2025")</f>
        <v/>
      </c>
      <c r="W29">
        <f>HYPERLINK("https://klasma.github.io/Logging_1765/klagomålsmail/A 49957-2025 FSC-klagomål mail.docx", "A 49957-2025")</f>
        <v/>
      </c>
      <c r="X29">
        <f>HYPERLINK("https://klasma.github.io/Logging_1765/tillsyn/A 49957-2025 tillsynsbegäran.docx", "A 49957-2025")</f>
        <v/>
      </c>
      <c r="Y29">
        <f>HYPERLINK("https://klasma.github.io/Logging_1765/tillsynsmail/A 49957-2025 tillsynsbegäran mail.docx", "A 49957-2025")</f>
        <v/>
      </c>
    </row>
    <row r="30" ht="15" customHeight="1">
      <c r="A30" t="inlineStr">
        <is>
          <t>A 51928-2022</t>
        </is>
      </c>
      <c r="B30" s="1" t="n">
        <v>44872</v>
      </c>
      <c r="C30" s="1" t="n">
        <v>46032</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40437-2025</t>
        </is>
      </c>
      <c r="B31" s="1" t="n">
        <v>45895</v>
      </c>
      <c r="C31" s="1" t="n">
        <v>46032</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60741-2023</t>
        </is>
      </c>
      <c r="B32" s="1" t="n">
        <v>45260</v>
      </c>
      <c r="C32" s="1" t="n">
        <v>46032</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7998-2025</t>
        </is>
      </c>
      <c r="B33" s="1" t="n">
        <v>45707.52335648148</v>
      </c>
      <c r="C33" s="1" t="n">
        <v>46032</v>
      </c>
      <c r="D33" t="inlineStr">
        <is>
          <t>VÄRMLANDS LÄN</t>
        </is>
      </c>
      <c r="E33" t="inlineStr">
        <is>
          <t>ÅRJÄNG</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HYPERLINK("https://klasma.github.io/Logging_1765/artfynd/A 7998-2025 artfynd.xlsx", "A 7998-2025")</f>
        <v/>
      </c>
      <c r="T33">
        <f>HYPERLINK("https://klasma.github.io/Logging_1765/kartor/A 7998-2025 karta.png", "A 7998-2025")</f>
        <v/>
      </c>
      <c r="V33">
        <f>HYPERLINK("https://klasma.github.io/Logging_1765/klagomål/A 7998-2025 FSC-klagomål.docx", "A 7998-2025")</f>
        <v/>
      </c>
      <c r="W33">
        <f>HYPERLINK("https://klasma.github.io/Logging_1765/klagomålsmail/A 7998-2025 FSC-klagomål mail.docx", "A 7998-2025")</f>
        <v/>
      </c>
      <c r="X33">
        <f>HYPERLINK("https://klasma.github.io/Logging_1765/tillsyn/A 7998-2025 tillsynsbegäran.docx", "A 7998-2025")</f>
        <v/>
      </c>
      <c r="Y33">
        <f>HYPERLINK("https://klasma.github.io/Logging_1765/tillsynsmail/A 7998-2025 tillsynsbegäran mail.docx", "A 7998-2025")</f>
        <v/>
      </c>
      <c r="Z33">
        <f>HYPERLINK("https://klasma.github.io/Logging_1765/fåglar/A 7998-2025 prioriterade fågelarter.docx", "A 7998-2025")</f>
        <v/>
      </c>
    </row>
    <row r="34" ht="15" customHeight="1">
      <c r="A34" t="inlineStr">
        <is>
          <t>A 6134-2023</t>
        </is>
      </c>
      <c r="B34" s="1" t="n">
        <v>44964.62440972222</v>
      </c>
      <c r="C34" s="1" t="n">
        <v>46032</v>
      </c>
      <c r="D34" t="inlineStr">
        <is>
          <t>VÄRMLANDS LÄN</t>
        </is>
      </c>
      <c r="E34" t="inlineStr">
        <is>
          <t>ÅRJÄNG</t>
        </is>
      </c>
      <c r="G34" t="n">
        <v>5.4</v>
      </c>
      <c r="H34" t="n">
        <v>0</v>
      </c>
      <c r="I34" t="n">
        <v>1</v>
      </c>
      <c r="J34" t="n">
        <v>1</v>
      </c>
      <c r="K34" t="n">
        <v>0</v>
      </c>
      <c r="L34" t="n">
        <v>0</v>
      </c>
      <c r="M34" t="n">
        <v>0</v>
      </c>
      <c r="N34" t="n">
        <v>0</v>
      </c>
      <c r="O34" t="n">
        <v>1</v>
      </c>
      <c r="P34" t="n">
        <v>0</v>
      </c>
      <c r="Q34" t="n">
        <v>2</v>
      </c>
      <c r="R34" s="2" t="inlineStr">
        <is>
          <t>Garnlav
Korallblylav</t>
        </is>
      </c>
      <c r="S34">
        <f>HYPERLINK("https://klasma.github.io/Logging_1765/artfynd/A 6134-2023 artfynd.xlsx", "A 6134-2023")</f>
        <v/>
      </c>
      <c r="T34">
        <f>HYPERLINK("https://klasma.github.io/Logging_1765/kartor/A 6134-2023 karta.png", "A 6134-2023")</f>
        <v/>
      </c>
      <c r="V34">
        <f>HYPERLINK("https://klasma.github.io/Logging_1765/klagomål/A 6134-2023 FSC-klagomål.docx", "A 6134-2023")</f>
        <v/>
      </c>
      <c r="W34">
        <f>HYPERLINK("https://klasma.github.io/Logging_1765/klagomålsmail/A 6134-2023 FSC-klagomål mail.docx", "A 6134-2023")</f>
        <v/>
      </c>
      <c r="X34">
        <f>HYPERLINK("https://klasma.github.io/Logging_1765/tillsyn/A 6134-2023 tillsynsbegäran.docx", "A 6134-2023")</f>
        <v/>
      </c>
      <c r="Y34">
        <f>HYPERLINK("https://klasma.github.io/Logging_1765/tillsynsmail/A 6134-2023 tillsynsbegäran mail.docx", "A 6134-2023")</f>
        <v/>
      </c>
    </row>
    <row r="35" ht="15" customHeight="1">
      <c r="A35" t="inlineStr">
        <is>
          <t>A 28418-2021</t>
        </is>
      </c>
      <c r="B35" s="1" t="n">
        <v>44356</v>
      </c>
      <c r="C35" s="1" t="n">
        <v>46032</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46032</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46032</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46032</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46032</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46032</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46032</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46032</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46032</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46032</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46032</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46032</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36385-2025</t>
        </is>
      </c>
      <c r="B47" s="1" t="n">
        <v>45868</v>
      </c>
      <c r="C47" s="1" t="n">
        <v>46032</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2212-2025</t>
        </is>
      </c>
      <c r="B48" s="1" t="n">
        <v>45673</v>
      </c>
      <c r="C48" s="1" t="n">
        <v>46032</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46032</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46032</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46032</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46032</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46032</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46032</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46032</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46032</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46032</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46032</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46032</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46032</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46032</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46032</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46032</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46032</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46032</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46032</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46032</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46032</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46032</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46032</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46032</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46032</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46032</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46032</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46032</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46032</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46032</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46032</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46032</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46032</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46032</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46032</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74087-2021</t>
        </is>
      </c>
      <c r="B83" s="1" t="n">
        <v>44557.58512731481</v>
      </c>
      <c r="C83" s="1" t="n">
        <v>46032</v>
      </c>
      <c r="D83" t="inlineStr">
        <is>
          <t>VÄRMLANDS LÄN</t>
        </is>
      </c>
      <c r="E83" t="inlineStr">
        <is>
          <t>ÅRJÄNG</t>
        </is>
      </c>
      <c r="G83" t="n">
        <v>1.8</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46032</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46032</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46032</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46032</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46032</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46032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46032</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46032</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46032</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46032</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46032</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46032</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46032</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46032</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46032</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46032</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46032</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46032</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46032</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46032</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46032</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46032</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46032</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46032</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46032</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46032</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46032</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46032</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46032</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46032</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46032</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46032</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46032</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46032</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46032</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46032</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46032</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46032</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46032</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46032</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46032</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46032</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46032</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46032</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46032</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46032</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46032</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46032</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46032</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46032</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46032</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46032</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46032</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10541-2021</t>
        </is>
      </c>
      <c r="B137" s="1" t="n">
        <v>44258</v>
      </c>
      <c r="C137" s="1" t="n">
        <v>46032</v>
      </c>
      <c r="D137" t="inlineStr">
        <is>
          <t>VÄRMLANDS LÄN</t>
        </is>
      </c>
      <c r="E137" t="inlineStr">
        <is>
          <t>ÅRJÄNG</t>
        </is>
      </c>
      <c r="G137" t="n">
        <v>0.7</v>
      </c>
      <c r="H137" t="n">
        <v>0</v>
      </c>
      <c r="I137" t="n">
        <v>0</v>
      </c>
      <c r="J137" t="n">
        <v>0</v>
      </c>
      <c r="K137" t="n">
        <v>0</v>
      </c>
      <c r="L137" t="n">
        <v>0</v>
      </c>
      <c r="M137" t="n">
        <v>0</v>
      </c>
      <c r="N137" t="n">
        <v>0</v>
      </c>
      <c r="O137" t="n">
        <v>0</v>
      </c>
      <c r="P137" t="n">
        <v>0</v>
      </c>
      <c r="Q137" t="n">
        <v>0</v>
      </c>
      <c r="R137" s="2" t="inlineStr"/>
    </row>
    <row r="138" ht="15" customHeight="1">
      <c r="A138" t="inlineStr">
        <is>
          <t>A 1932-2022</t>
        </is>
      </c>
      <c r="B138" s="1" t="n">
        <v>44575.43302083333</v>
      </c>
      <c r="C138" s="1" t="n">
        <v>46032</v>
      </c>
      <c r="D138" t="inlineStr">
        <is>
          <t>VÄRMLANDS LÄN</t>
        </is>
      </c>
      <c r="E138" t="inlineStr">
        <is>
          <t>ÅRJÄNG</t>
        </is>
      </c>
      <c r="G138" t="n">
        <v>2.4</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46032</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46032</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46032</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46032</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52730-2021</t>
        </is>
      </c>
      <c r="B143" s="1" t="n">
        <v>44467.29457175926</v>
      </c>
      <c r="C143" s="1" t="n">
        <v>46032</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46032</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46032</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46032</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33915-2022</t>
        </is>
      </c>
      <c r="B147" s="1" t="n">
        <v>44790.63480324074</v>
      </c>
      <c r="C147" s="1" t="n">
        <v>46032</v>
      </c>
      <c r="D147" t="inlineStr">
        <is>
          <t>VÄRMLANDS LÄN</t>
        </is>
      </c>
      <c r="E147" t="inlineStr">
        <is>
          <t>ÅRJÄNG</t>
        </is>
      </c>
      <c r="G147" t="n">
        <v>2</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46032</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46032</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46032</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46032</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46032</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46032</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46032</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46032</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46032</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46032</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17248-2021</t>
        </is>
      </c>
      <c r="B158" s="1" t="n">
        <v>44298.53222222222</v>
      </c>
      <c r="C158" s="1" t="n">
        <v>46032</v>
      </c>
      <c r="D158" t="inlineStr">
        <is>
          <t>VÄRMLANDS LÄN</t>
        </is>
      </c>
      <c r="E158" t="inlineStr">
        <is>
          <t>ÅRJÄNG</t>
        </is>
      </c>
      <c r="G158" t="n">
        <v>0.9</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46032</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56311-2021</t>
        </is>
      </c>
      <c r="B160" s="1" t="n">
        <v>44480.34019675926</v>
      </c>
      <c r="C160" s="1" t="n">
        <v>46032</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46032</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46032</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46032</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46032</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2970-2022</t>
        </is>
      </c>
      <c r="B165" s="1" t="n">
        <v>44581.71481481481</v>
      </c>
      <c r="C165" s="1" t="n">
        <v>46032</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46032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40829-2021</t>
        </is>
      </c>
      <c r="B167" s="1" t="n">
        <v>44421</v>
      </c>
      <c r="C167" s="1" t="n">
        <v>46032</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40832-2021</t>
        </is>
      </c>
      <c r="B168" s="1" t="n">
        <v>44421</v>
      </c>
      <c r="C168" s="1" t="n">
        <v>46032</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46032</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59466-2021</t>
        </is>
      </c>
      <c r="B170" s="1" t="n">
        <v>44491</v>
      </c>
      <c r="C170" s="1" t="n">
        <v>46032</v>
      </c>
      <c r="D170" t="inlineStr">
        <is>
          <t>VÄRMLANDS LÄN</t>
        </is>
      </c>
      <c r="E170" t="inlineStr">
        <is>
          <t>ÅRJÄNG</t>
        </is>
      </c>
      <c r="G170" t="n">
        <v>2.7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46032</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46032</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46032</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46032</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46032</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46032</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46032</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46032</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46032</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70883-2021</t>
        </is>
      </c>
      <c r="B180" s="1" t="n">
        <v>44538.39300925926</v>
      </c>
      <c r="C180" s="1" t="n">
        <v>46032</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46032</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46032</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46032</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46032</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46032</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46032</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46032</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46032</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46032</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46032</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36087-2021</t>
        </is>
      </c>
      <c r="B191" s="1" t="n">
        <v>44389</v>
      </c>
      <c r="C191" s="1" t="n">
        <v>46032</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10612-2022</t>
        </is>
      </c>
      <c r="B192" s="1" t="n">
        <v>44624</v>
      </c>
      <c r="C192" s="1" t="n">
        <v>46032</v>
      </c>
      <c r="D192" t="inlineStr">
        <is>
          <t>VÄRMLANDS LÄN</t>
        </is>
      </c>
      <c r="E192" t="inlineStr">
        <is>
          <t>ÅRJÄNG</t>
        </is>
      </c>
      <c r="G192" t="n">
        <v>6.8</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46032</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46032</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46032</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46032</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73138-2021</t>
        </is>
      </c>
      <c r="B197" s="1" t="n">
        <v>44550</v>
      </c>
      <c r="C197" s="1" t="n">
        <v>46032</v>
      </c>
      <c r="D197" t="inlineStr">
        <is>
          <t>VÄRMLANDS LÄN</t>
        </is>
      </c>
      <c r="E197" t="inlineStr">
        <is>
          <t>ÅRJÄNG</t>
        </is>
      </c>
      <c r="G197" t="n">
        <v>4.3</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46032</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46032</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74189-2021</t>
        </is>
      </c>
      <c r="B200" s="1" t="n">
        <v>44553</v>
      </c>
      <c r="C200" s="1" t="n">
        <v>46032</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47033-2021</t>
        </is>
      </c>
      <c r="B201" s="1" t="n">
        <v>44446</v>
      </c>
      <c r="C201" s="1" t="n">
        <v>46032</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44616.65760416666</v>
      </c>
      <c r="C202" s="1" t="n">
        <v>46032</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44614.7222337963</v>
      </c>
      <c r="C203" s="1" t="n">
        <v>46032</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46032</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46032</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46032</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46032</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46032</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46032</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46032</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46032</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46032</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46032</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46032</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46032</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46032</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46032</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46032</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27862-2021</t>
        </is>
      </c>
      <c r="B219" s="1" t="n">
        <v>44354</v>
      </c>
      <c r="C219" s="1" t="n">
        <v>46032</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43034-2021</t>
        </is>
      </c>
      <c r="B220" s="1" t="n">
        <v>44431</v>
      </c>
      <c r="C220" s="1" t="n">
        <v>46032</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46032</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46032</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46032</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6900-2021</t>
        </is>
      </c>
      <c r="B224" s="1" t="n">
        <v>44237</v>
      </c>
      <c r="C224" s="1" t="n">
        <v>46032</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6908-2021</t>
        </is>
      </c>
      <c r="B225" s="1" t="n">
        <v>44237</v>
      </c>
      <c r="C225" s="1" t="n">
        <v>46032</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51962-2022</t>
        </is>
      </c>
      <c r="B226" s="1" t="n">
        <v>44872.68225694444</v>
      </c>
      <c r="C226" s="1" t="n">
        <v>46032</v>
      </c>
      <c r="D226" t="inlineStr">
        <is>
          <t>VÄRMLANDS LÄN</t>
        </is>
      </c>
      <c r="E226" t="inlineStr">
        <is>
          <t>ÅRJÄNG</t>
        </is>
      </c>
      <c r="G226" t="n">
        <v>1.7</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46032</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46032</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46032</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46032</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46032</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46032</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46032</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46032</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46032</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46032</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46032</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46032</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46032</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46032</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46032</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5713-2021</t>
        </is>
      </c>
      <c r="B242" s="1" t="n">
        <v>44230</v>
      </c>
      <c r="C242" s="1" t="n">
        <v>46032</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46032</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23451-2021</t>
        </is>
      </c>
      <c r="B244" s="1" t="n">
        <v>44333.89180555556</v>
      </c>
      <c r="C244" s="1" t="n">
        <v>46032</v>
      </c>
      <c r="D244" t="inlineStr">
        <is>
          <t>VÄRMLANDS LÄN</t>
        </is>
      </c>
      <c r="E244" t="inlineStr">
        <is>
          <t>ÅRJÄNG</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7235-2022</t>
        </is>
      </c>
      <c r="B245" s="1" t="n">
        <v>44606</v>
      </c>
      <c r="C245" s="1" t="n">
        <v>46032</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72609-2021</t>
        </is>
      </c>
      <c r="B246" s="1" t="n">
        <v>44546.50645833334</v>
      </c>
      <c r="C246" s="1" t="n">
        <v>46032</v>
      </c>
      <c r="D246" t="inlineStr">
        <is>
          <t>VÄRMLANDS LÄN</t>
        </is>
      </c>
      <c r="E246" t="inlineStr">
        <is>
          <t>ÅRJÄNG</t>
        </is>
      </c>
      <c r="F246" t="inlineStr">
        <is>
          <t>Kyrkan</t>
        </is>
      </c>
      <c r="G246" t="n">
        <v>1.8</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46032</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29098-2022</t>
        </is>
      </c>
      <c r="B248" s="1" t="n">
        <v>44750</v>
      </c>
      <c r="C248" s="1" t="n">
        <v>46032</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16676-2021</t>
        </is>
      </c>
      <c r="B249" s="1" t="n">
        <v>44294.5668287037</v>
      </c>
      <c r="C249" s="1" t="n">
        <v>46032</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29174-2022</t>
        </is>
      </c>
      <c r="B250" s="1" t="n">
        <v>44750</v>
      </c>
      <c r="C250" s="1" t="n">
        <v>46032</v>
      </c>
      <c r="D250" t="inlineStr">
        <is>
          <t>VÄRMLANDS LÄN</t>
        </is>
      </c>
      <c r="E250" t="inlineStr">
        <is>
          <t>ÅRJÄNG</t>
        </is>
      </c>
      <c r="G250" t="n">
        <v>0.1</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46032</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46032</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46032</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46032</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46032</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46032</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46032</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46032</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28437-2021</t>
        </is>
      </c>
      <c r="B259" s="1" t="n">
        <v>44356.53327546296</v>
      </c>
      <c r="C259" s="1" t="n">
        <v>46032</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15249-2021</t>
        </is>
      </c>
      <c r="B260" s="1" t="n">
        <v>44282</v>
      </c>
      <c r="C260" s="1" t="n">
        <v>46032</v>
      </c>
      <c r="D260" t="inlineStr">
        <is>
          <t>VÄRMLANDS LÄN</t>
        </is>
      </c>
      <c r="E260" t="inlineStr">
        <is>
          <t>ÅRJÄNG</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46032</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46032</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46032</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46032</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53739-2021</t>
        </is>
      </c>
      <c r="B265" s="1" t="n">
        <v>44469</v>
      </c>
      <c r="C265" s="1" t="n">
        <v>46032</v>
      </c>
      <c r="D265" t="inlineStr">
        <is>
          <t>VÄRMLANDS LÄN</t>
        </is>
      </c>
      <c r="E265" t="inlineStr">
        <is>
          <t>ÅRJÄNG</t>
        </is>
      </c>
      <c r="G265" t="n">
        <v>15.9</v>
      </c>
      <c r="H265" t="n">
        <v>0</v>
      </c>
      <c r="I265" t="n">
        <v>0</v>
      </c>
      <c r="J265" t="n">
        <v>0</v>
      </c>
      <c r="K265" t="n">
        <v>0</v>
      </c>
      <c r="L265" t="n">
        <v>0</v>
      </c>
      <c r="M265" t="n">
        <v>0</v>
      </c>
      <c r="N265" t="n">
        <v>0</v>
      </c>
      <c r="O265" t="n">
        <v>0</v>
      </c>
      <c r="P265" t="n">
        <v>0</v>
      </c>
      <c r="Q265" t="n">
        <v>0</v>
      </c>
      <c r="R265" s="2" t="inlineStr"/>
    </row>
    <row r="266" ht="15" customHeight="1">
      <c r="A266" t="inlineStr">
        <is>
          <t>A 50044-2022</t>
        </is>
      </c>
      <c r="B266" s="1" t="n">
        <v>44865</v>
      </c>
      <c r="C266" s="1" t="n">
        <v>46032</v>
      </c>
      <c r="D266" t="inlineStr">
        <is>
          <t>VÄRMLANDS LÄN</t>
        </is>
      </c>
      <c r="E266" t="inlineStr">
        <is>
          <t>ÅRJÄNG</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47035-2021</t>
        </is>
      </c>
      <c r="B267" s="1" t="n">
        <v>44446</v>
      </c>
      <c r="C267" s="1" t="n">
        <v>46032</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3980-2021</t>
        </is>
      </c>
      <c r="B268" s="1" t="n">
        <v>44217</v>
      </c>
      <c r="C268" s="1" t="n">
        <v>46032</v>
      </c>
      <c r="D268" t="inlineStr">
        <is>
          <t>VÄRMLANDS LÄN</t>
        </is>
      </c>
      <c r="E268" t="inlineStr">
        <is>
          <t>ÅRJÄNG</t>
        </is>
      </c>
      <c r="G268" t="n">
        <v>1.4</v>
      </c>
      <c r="H268" t="n">
        <v>0</v>
      </c>
      <c r="I268" t="n">
        <v>0</v>
      </c>
      <c r="J268" t="n">
        <v>0</v>
      </c>
      <c r="K268" t="n">
        <v>0</v>
      </c>
      <c r="L268" t="n">
        <v>0</v>
      </c>
      <c r="M268" t="n">
        <v>0</v>
      </c>
      <c r="N268" t="n">
        <v>0</v>
      </c>
      <c r="O268" t="n">
        <v>0</v>
      </c>
      <c r="P268" t="n">
        <v>0</v>
      </c>
      <c r="Q268" t="n">
        <v>0</v>
      </c>
      <c r="R268" s="2" t="inlineStr"/>
    </row>
    <row r="269" ht="15" customHeight="1">
      <c r="A269" t="inlineStr">
        <is>
          <t>A 23878-2023</t>
        </is>
      </c>
      <c r="B269" s="1" t="n">
        <v>45078</v>
      </c>
      <c r="C269" s="1" t="n">
        <v>46032</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23945-2023</t>
        </is>
      </c>
      <c r="B270" s="1" t="n">
        <v>45075</v>
      </c>
      <c r="C270" s="1" t="n">
        <v>46032</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40490-2022</t>
        </is>
      </c>
      <c r="B271" s="1" t="n">
        <v>44823.58560185185</v>
      </c>
      <c r="C271" s="1" t="n">
        <v>46032</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5416-2025</t>
        </is>
      </c>
      <c r="B272" s="1" t="n">
        <v>45692.67990740741</v>
      </c>
      <c r="C272" s="1" t="n">
        <v>46032</v>
      </c>
      <c r="D272" t="inlineStr">
        <is>
          <t>VÄRMLANDS LÄN</t>
        </is>
      </c>
      <c r="E272" t="inlineStr">
        <is>
          <t>ÅRJÄNG</t>
        </is>
      </c>
      <c r="G272" t="n">
        <v>2.7</v>
      </c>
      <c r="H272" t="n">
        <v>0</v>
      </c>
      <c r="I272" t="n">
        <v>0</v>
      </c>
      <c r="J272" t="n">
        <v>0</v>
      </c>
      <c r="K272" t="n">
        <v>0</v>
      </c>
      <c r="L272" t="n">
        <v>0</v>
      </c>
      <c r="M272" t="n">
        <v>0</v>
      </c>
      <c r="N272" t="n">
        <v>0</v>
      </c>
      <c r="O272" t="n">
        <v>0</v>
      </c>
      <c r="P272" t="n">
        <v>0</v>
      </c>
      <c r="Q272" t="n">
        <v>0</v>
      </c>
      <c r="R272" s="2" t="inlineStr"/>
    </row>
    <row r="273" ht="15" customHeight="1">
      <c r="A273" t="inlineStr">
        <is>
          <t>A 39096-2023</t>
        </is>
      </c>
      <c r="B273" s="1" t="n">
        <v>45164.55570601852</v>
      </c>
      <c r="C273" s="1" t="n">
        <v>46032</v>
      </c>
      <c r="D273" t="inlineStr">
        <is>
          <t>VÄRMLANDS LÄN</t>
        </is>
      </c>
      <c r="E273" t="inlineStr">
        <is>
          <t>ÅRJÄNG</t>
        </is>
      </c>
      <c r="G273" t="n">
        <v>5.1</v>
      </c>
      <c r="H273" t="n">
        <v>0</v>
      </c>
      <c r="I273" t="n">
        <v>0</v>
      </c>
      <c r="J273" t="n">
        <v>0</v>
      </c>
      <c r="K273" t="n">
        <v>0</v>
      </c>
      <c r="L273" t="n">
        <v>0</v>
      </c>
      <c r="M273" t="n">
        <v>0</v>
      </c>
      <c r="N273" t="n">
        <v>0</v>
      </c>
      <c r="O273" t="n">
        <v>0</v>
      </c>
      <c r="P273" t="n">
        <v>0</v>
      </c>
      <c r="Q273" t="n">
        <v>0</v>
      </c>
      <c r="R273" s="2" t="inlineStr"/>
    </row>
    <row r="274" ht="15" customHeight="1">
      <c r="A274" t="inlineStr">
        <is>
          <t>A 21701-2021</t>
        </is>
      </c>
      <c r="B274" s="1" t="n">
        <v>44322</v>
      </c>
      <c r="C274" s="1" t="n">
        <v>46032</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33025-2021</t>
        </is>
      </c>
      <c r="B275" s="1" t="n">
        <v>44376</v>
      </c>
      <c r="C275" s="1" t="n">
        <v>46032</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46032</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2969-2022</t>
        </is>
      </c>
      <c r="B277" s="1" t="n">
        <v>44581.70811342593</v>
      </c>
      <c r="C277" s="1" t="n">
        <v>46032</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33304-2021</t>
        </is>
      </c>
      <c r="B278" s="1" t="n">
        <v>44377.43040509259</v>
      </c>
      <c r="C278" s="1" t="n">
        <v>46032</v>
      </c>
      <c r="D278" t="inlineStr">
        <is>
          <t>VÄRMLANDS LÄN</t>
        </is>
      </c>
      <c r="E278" t="inlineStr">
        <is>
          <t>ÅRJÄNG</t>
        </is>
      </c>
      <c r="G278" t="n">
        <v>4.9</v>
      </c>
      <c r="H278" t="n">
        <v>0</v>
      </c>
      <c r="I278" t="n">
        <v>0</v>
      </c>
      <c r="J278" t="n">
        <v>0</v>
      </c>
      <c r="K278" t="n">
        <v>0</v>
      </c>
      <c r="L278" t="n">
        <v>0</v>
      </c>
      <c r="M278" t="n">
        <v>0</v>
      </c>
      <c r="N278" t="n">
        <v>0</v>
      </c>
      <c r="O278" t="n">
        <v>0</v>
      </c>
      <c r="P278" t="n">
        <v>0</v>
      </c>
      <c r="Q278" t="n">
        <v>0</v>
      </c>
      <c r="R278" s="2" t="inlineStr"/>
    </row>
    <row r="279" ht="15" customHeight="1">
      <c r="A279" t="inlineStr">
        <is>
          <t>A 16806-2024</t>
        </is>
      </c>
      <c r="B279" s="1" t="n">
        <v>45411.45510416666</v>
      </c>
      <c r="C279" s="1" t="n">
        <v>46032</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53123-2024</t>
        </is>
      </c>
      <c r="B280" s="1" t="n">
        <v>45611.58819444444</v>
      </c>
      <c r="C280" s="1" t="n">
        <v>46032</v>
      </c>
      <c r="D280" t="inlineStr">
        <is>
          <t>VÄRMLANDS LÄN</t>
        </is>
      </c>
      <c r="E280" t="inlineStr">
        <is>
          <t>ÅRJÄNG</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10625-2025</t>
        </is>
      </c>
      <c r="B281" s="1" t="n">
        <v>45721</v>
      </c>
      <c r="C281" s="1" t="n">
        <v>46032</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10627-2025</t>
        </is>
      </c>
      <c r="B282" s="1" t="n">
        <v>45721</v>
      </c>
      <c r="C282" s="1" t="n">
        <v>46032</v>
      </c>
      <c r="D282" t="inlineStr">
        <is>
          <t>VÄRMLANDS LÄN</t>
        </is>
      </c>
      <c r="E282" t="inlineStr">
        <is>
          <t>ÅRJÄNG</t>
        </is>
      </c>
      <c r="G282" t="n">
        <v>1.3</v>
      </c>
      <c r="H282" t="n">
        <v>0</v>
      </c>
      <c r="I282" t="n">
        <v>0</v>
      </c>
      <c r="J282" t="n">
        <v>0</v>
      </c>
      <c r="K282" t="n">
        <v>0</v>
      </c>
      <c r="L282" t="n">
        <v>0</v>
      </c>
      <c r="M282" t="n">
        <v>0</v>
      </c>
      <c r="N282" t="n">
        <v>0</v>
      </c>
      <c r="O282" t="n">
        <v>0</v>
      </c>
      <c r="P282" t="n">
        <v>0</v>
      </c>
      <c r="Q282" t="n">
        <v>0</v>
      </c>
      <c r="R282" s="2" t="inlineStr"/>
    </row>
    <row r="283" ht="15" customHeight="1">
      <c r="A283" t="inlineStr">
        <is>
          <t>A 71812-2021</t>
        </is>
      </c>
      <c r="B283" s="1" t="n">
        <v>44539</v>
      </c>
      <c r="C283" s="1" t="n">
        <v>46032</v>
      </c>
      <c r="D283" t="inlineStr">
        <is>
          <t>VÄRMLANDS LÄN</t>
        </is>
      </c>
      <c r="E283" t="inlineStr">
        <is>
          <t>ÅRJÄNG</t>
        </is>
      </c>
      <c r="G283" t="n">
        <v>9</v>
      </c>
      <c r="H283" t="n">
        <v>0</v>
      </c>
      <c r="I283" t="n">
        <v>0</v>
      </c>
      <c r="J283" t="n">
        <v>0</v>
      </c>
      <c r="K283" t="n">
        <v>0</v>
      </c>
      <c r="L283" t="n">
        <v>0</v>
      </c>
      <c r="M283" t="n">
        <v>0</v>
      </c>
      <c r="N283" t="n">
        <v>0</v>
      </c>
      <c r="O283" t="n">
        <v>0</v>
      </c>
      <c r="P283" t="n">
        <v>0</v>
      </c>
      <c r="Q283" t="n">
        <v>0</v>
      </c>
      <c r="R283" s="2" t="inlineStr"/>
    </row>
    <row r="284" ht="15" customHeight="1">
      <c r="A284" t="inlineStr">
        <is>
          <t>A 13196-2023</t>
        </is>
      </c>
      <c r="B284" s="1" t="n">
        <v>45002</v>
      </c>
      <c r="C284" s="1" t="n">
        <v>46032</v>
      </c>
      <c r="D284" t="inlineStr">
        <is>
          <t>VÄRMLANDS LÄN</t>
        </is>
      </c>
      <c r="E284" t="inlineStr">
        <is>
          <t>ÅRJÄNG</t>
        </is>
      </c>
      <c r="F284" t="inlineStr">
        <is>
          <t>Kyrkan</t>
        </is>
      </c>
      <c r="G284" t="n">
        <v>4.5</v>
      </c>
      <c r="H284" t="n">
        <v>0</v>
      </c>
      <c r="I284" t="n">
        <v>0</v>
      </c>
      <c r="J284" t="n">
        <v>0</v>
      </c>
      <c r="K284" t="n">
        <v>0</v>
      </c>
      <c r="L284" t="n">
        <v>0</v>
      </c>
      <c r="M284" t="n">
        <v>0</v>
      </c>
      <c r="N284" t="n">
        <v>0</v>
      </c>
      <c r="O284" t="n">
        <v>0</v>
      </c>
      <c r="P284" t="n">
        <v>0</v>
      </c>
      <c r="Q284" t="n">
        <v>0</v>
      </c>
      <c r="R284" s="2" t="inlineStr"/>
    </row>
    <row r="285" ht="15" customHeight="1">
      <c r="A285" t="inlineStr">
        <is>
          <t>A 45124-2024</t>
        </is>
      </c>
      <c r="B285" s="1" t="n">
        <v>45575</v>
      </c>
      <c r="C285" s="1" t="n">
        <v>46032</v>
      </c>
      <c r="D285" t="inlineStr">
        <is>
          <t>VÄRMLANDS LÄN</t>
        </is>
      </c>
      <c r="E285" t="inlineStr">
        <is>
          <t>ÅRJÄNG</t>
        </is>
      </c>
      <c r="G285" t="n">
        <v>2.8</v>
      </c>
      <c r="H285" t="n">
        <v>0</v>
      </c>
      <c r="I285" t="n">
        <v>0</v>
      </c>
      <c r="J285" t="n">
        <v>0</v>
      </c>
      <c r="K285" t="n">
        <v>0</v>
      </c>
      <c r="L285" t="n">
        <v>0</v>
      </c>
      <c r="M285" t="n">
        <v>0</v>
      </c>
      <c r="N285" t="n">
        <v>0</v>
      </c>
      <c r="O285" t="n">
        <v>0</v>
      </c>
      <c r="P285" t="n">
        <v>0</v>
      </c>
      <c r="Q285" t="n">
        <v>0</v>
      </c>
      <c r="R285" s="2" t="inlineStr"/>
    </row>
    <row r="286" ht="15" customHeight="1">
      <c r="A286" t="inlineStr">
        <is>
          <t>A 10574-2023</t>
        </is>
      </c>
      <c r="B286" s="1" t="n">
        <v>44984</v>
      </c>
      <c r="C286" s="1" t="n">
        <v>46032</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25654-2024</t>
        </is>
      </c>
      <c r="B287" s="1" t="n">
        <v>45463</v>
      </c>
      <c r="C287" s="1" t="n">
        <v>46032</v>
      </c>
      <c r="D287" t="inlineStr">
        <is>
          <t>VÄRMLANDS LÄN</t>
        </is>
      </c>
      <c r="E287" t="inlineStr">
        <is>
          <t>ÅRJÄNG</t>
        </is>
      </c>
      <c r="G287" t="n">
        <v>16.9</v>
      </c>
      <c r="H287" t="n">
        <v>0</v>
      </c>
      <c r="I287" t="n">
        <v>0</v>
      </c>
      <c r="J287" t="n">
        <v>0</v>
      </c>
      <c r="K287" t="n">
        <v>0</v>
      </c>
      <c r="L287" t="n">
        <v>0</v>
      </c>
      <c r="M287" t="n">
        <v>0</v>
      </c>
      <c r="N287" t="n">
        <v>0</v>
      </c>
      <c r="O287" t="n">
        <v>0</v>
      </c>
      <c r="P287" t="n">
        <v>0</v>
      </c>
      <c r="Q287" t="n">
        <v>0</v>
      </c>
      <c r="R287" s="2" t="inlineStr"/>
    </row>
    <row r="288" ht="15" customHeight="1">
      <c r="A288" t="inlineStr">
        <is>
          <t>A 19964-2023</t>
        </is>
      </c>
      <c r="B288" s="1" t="n">
        <v>45051</v>
      </c>
      <c r="C288" s="1" t="n">
        <v>46032</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68180-2021</t>
        </is>
      </c>
      <c r="B289" s="1" t="n">
        <v>44526.48689814815</v>
      </c>
      <c r="C289" s="1" t="n">
        <v>46032</v>
      </c>
      <c r="D289" t="inlineStr">
        <is>
          <t>VÄRMLANDS LÄN</t>
        </is>
      </c>
      <c r="E289" t="inlineStr">
        <is>
          <t>ÅRJÄNG</t>
        </is>
      </c>
      <c r="F289" t="inlineStr">
        <is>
          <t>Kyrkan</t>
        </is>
      </c>
      <c r="G289" t="n">
        <v>4.1</v>
      </c>
      <c r="H289" t="n">
        <v>0</v>
      </c>
      <c r="I289" t="n">
        <v>0</v>
      </c>
      <c r="J289" t="n">
        <v>0</v>
      </c>
      <c r="K289" t="n">
        <v>0</v>
      </c>
      <c r="L289" t="n">
        <v>0</v>
      </c>
      <c r="M289" t="n">
        <v>0</v>
      </c>
      <c r="N289" t="n">
        <v>0</v>
      </c>
      <c r="O289" t="n">
        <v>0</v>
      </c>
      <c r="P289" t="n">
        <v>0</v>
      </c>
      <c r="Q289" t="n">
        <v>0</v>
      </c>
      <c r="R289" s="2" t="inlineStr"/>
    </row>
    <row r="290" ht="15" customHeight="1">
      <c r="A290" t="inlineStr">
        <is>
          <t>A 36344-2023</t>
        </is>
      </c>
      <c r="B290" s="1" t="n">
        <v>45152</v>
      </c>
      <c r="C290" s="1" t="n">
        <v>46032</v>
      </c>
      <c r="D290" t="inlineStr">
        <is>
          <t>VÄRMLANDS LÄN</t>
        </is>
      </c>
      <c r="E290" t="inlineStr">
        <is>
          <t>ÅRJÄNG</t>
        </is>
      </c>
      <c r="G290" t="n">
        <v>7.7</v>
      </c>
      <c r="H290" t="n">
        <v>0</v>
      </c>
      <c r="I290" t="n">
        <v>0</v>
      </c>
      <c r="J290" t="n">
        <v>0</v>
      </c>
      <c r="K290" t="n">
        <v>0</v>
      </c>
      <c r="L290" t="n">
        <v>0</v>
      </c>
      <c r="M290" t="n">
        <v>0</v>
      </c>
      <c r="N290" t="n">
        <v>0</v>
      </c>
      <c r="O290" t="n">
        <v>0</v>
      </c>
      <c r="P290" t="n">
        <v>0</v>
      </c>
      <c r="Q290" t="n">
        <v>0</v>
      </c>
      <c r="R290" s="2" t="inlineStr"/>
    </row>
    <row r="291" ht="15" customHeight="1">
      <c r="A291" t="inlineStr">
        <is>
          <t>A 15579-2025</t>
        </is>
      </c>
      <c r="B291" s="1" t="n">
        <v>45747</v>
      </c>
      <c r="C291" s="1" t="n">
        <v>46032</v>
      </c>
      <c r="D291" t="inlineStr">
        <is>
          <t>VÄRMLANDS LÄN</t>
        </is>
      </c>
      <c r="E291" t="inlineStr">
        <is>
          <t>ÅRJÄNG</t>
        </is>
      </c>
      <c r="G291" t="n">
        <v>1.2</v>
      </c>
      <c r="H291" t="n">
        <v>0</v>
      </c>
      <c r="I291" t="n">
        <v>0</v>
      </c>
      <c r="J291" t="n">
        <v>0</v>
      </c>
      <c r="K291" t="n">
        <v>0</v>
      </c>
      <c r="L291" t="n">
        <v>0</v>
      </c>
      <c r="M291" t="n">
        <v>0</v>
      </c>
      <c r="N291" t="n">
        <v>0</v>
      </c>
      <c r="O291" t="n">
        <v>0</v>
      </c>
      <c r="P291" t="n">
        <v>0</v>
      </c>
      <c r="Q291" t="n">
        <v>0</v>
      </c>
      <c r="R291" s="2" t="inlineStr"/>
    </row>
    <row r="292" ht="15" customHeight="1">
      <c r="A292" t="inlineStr">
        <is>
          <t>A 46317-2024</t>
        </is>
      </c>
      <c r="B292" s="1" t="n">
        <v>45581.74462962963</v>
      </c>
      <c r="C292" s="1" t="n">
        <v>46032</v>
      </c>
      <c r="D292" t="inlineStr">
        <is>
          <t>VÄRMLANDS LÄN</t>
        </is>
      </c>
      <c r="E292" t="inlineStr">
        <is>
          <t>ÅRJÄNG</t>
        </is>
      </c>
      <c r="G292" t="n">
        <v>3.5</v>
      </c>
      <c r="H292" t="n">
        <v>0</v>
      </c>
      <c r="I292" t="n">
        <v>0</v>
      </c>
      <c r="J292" t="n">
        <v>0</v>
      </c>
      <c r="K292" t="n">
        <v>0</v>
      </c>
      <c r="L292" t="n">
        <v>0</v>
      </c>
      <c r="M292" t="n">
        <v>0</v>
      </c>
      <c r="N292" t="n">
        <v>0</v>
      </c>
      <c r="O292" t="n">
        <v>0</v>
      </c>
      <c r="P292" t="n">
        <v>0</v>
      </c>
      <c r="Q292" t="n">
        <v>0</v>
      </c>
      <c r="R292" s="2" t="inlineStr"/>
    </row>
    <row r="293" ht="15" customHeight="1">
      <c r="A293" t="inlineStr">
        <is>
          <t>A 23203-2023</t>
        </is>
      </c>
      <c r="B293" s="1" t="n">
        <v>45075.61314814815</v>
      </c>
      <c r="C293" s="1" t="n">
        <v>46032</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23212-2023</t>
        </is>
      </c>
      <c r="B294" s="1" t="n">
        <v>45075.63211805555</v>
      </c>
      <c r="C294" s="1" t="n">
        <v>46032</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26880-2023</t>
        </is>
      </c>
      <c r="B295" s="1" t="n">
        <v>45093.58373842593</v>
      </c>
      <c r="C295" s="1" t="n">
        <v>46032</v>
      </c>
      <c r="D295" t="inlineStr">
        <is>
          <t>VÄRMLANDS LÄN</t>
        </is>
      </c>
      <c r="E295" t="inlineStr">
        <is>
          <t>ÅRJÄNG</t>
        </is>
      </c>
      <c r="G295" t="n">
        <v>3.6</v>
      </c>
      <c r="H295" t="n">
        <v>0</v>
      </c>
      <c r="I295" t="n">
        <v>0</v>
      </c>
      <c r="J295" t="n">
        <v>0</v>
      </c>
      <c r="K295" t="n">
        <v>0</v>
      </c>
      <c r="L295" t="n">
        <v>0</v>
      </c>
      <c r="M295" t="n">
        <v>0</v>
      </c>
      <c r="N295" t="n">
        <v>0</v>
      </c>
      <c r="O295" t="n">
        <v>0</v>
      </c>
      <c r="P295" t="n">
        <v>0</v>
      </c>
      <c r="Q295" t="n">
        <v>0</v>
      </c>
      <c r="R295" s="2" t="inlineStr"/>
    </row>
    <row r="296" ht="15" customHeight="1">
      <c r="A296" t="inlineStr">
        <is>
          <t>A 50347-2024</t>
        </is>
      </c>
      <c r="B296" s="1" t="n">
        <v>45600</v>
      </c>
      <c r="C296" s="1" t="n">
        <v>46032</v>
      </c>
      <c r="D296" t="inlineStr">
        <is>
          <t>VÄRMLANDS LÄN</t>
        </is>
      </c>
      <c r="E296" t="inlineStr">
        <is>
          <t>ÅRJÄNG</t>
        </is>
      </c>
      <c r="G296" t="n">
        <v>3</v>
      </c>
      <c r="H296" t="n">
        <v>0</v>
      </c>
      <c r="I296" t="n">
        <v>0</v>
      </c>
      <c r="J296" t="n">
        <v>0</v>
      </c>
      <c r="K296" t="n">
        <v>0</v>
      </c>
      <c r="L296" t="n">
        <v>0</v>
      </c>
      <c r="M296" t="n">
        <v>0</v>
      </c>
      <c r="N296" t="n">
        <v>0</v>
      </c>
      <c r="O296" t="n">
        <v>0</v>
      </c>
      <c r="P296" t="n">
        <v>0</v>
      </c>
      <c r="Q296" t="n">
        <v>0</v>
      </c>
      <c r="R296" s="2" t="inlineStr"/>
    </row>
    <row r="297" ht="15" customHeight="1">
      <c r="A297" t="inlineStr">
        <is>
          <t>A 935-2021</t>
        </is>
      </c>
      <c r="B297" s="1" t="n">
        <v>44207</v>
      </c>
      <c r="C297" s="1" t="n">
        <v>46032</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59624-2022</t>
        </is>
      </c>
      <c r="B298" s="1" t="n">
        <v>44907.90521990741</v>
      </c>
      <c r="C298" s="1" t="n">
        <v>46032</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24483-2024</t>
        </is>
      </c>
      <c r="B299" s="1" t="n">
        <v>45459</v>
      </c>
      <c r="C299" s="1" t="n">
        <v>46032</v>
      </c>
      <c r="D299" t="inlineStr">
        <is>
          <t>VÄRMLANDS LÄN</t>
        </is>
      </c>
      <c r="E299" t="inlineStr">
        <is>
          <t>ÅRJÄNG</t>
        </is>
      </c>
      <c r="G299" t="n">
        <v>3.6</v>
      </c>
      <c r="H299" t="n">
        <v>0</v>
      </c>
      <c r="I299" t="n">
        <v>0</v>
      </c>
      <c r="J299" t="n">
        <v>0</v>
      </c>
      <c r="K299" t="n">
        <v>0</v>
      </c>
      <c r="L299" t="n">
        <v>0</v>
      </c>
      <c r="M299" t="n">
        <v>0</v>
      </c>
      <c r="N299" t="n">
        <v>0</v>
      </c>
      <c r="O299" t="n">
        <v>0</v>
      </c>
      <c r="P299" t="n">
        <v>0</v>
      </c>
      <c r="Q299" t="n">
        <v>0</v>
      </c>
      <c r="R299" s="2" t="inlineStr"/>
    </row>
    <row r="300" ht="15" customHeight="1">
      <c r="A300" t="inlineStr">
        <is>
          <t>A 31793-2023</t>
        </is>
      </c>
      <c r="B300" s="1" t="n">
        <v>45118.43685185185</v>
      </c>
      <c r="C300" s="1" t="n">
        <v>46032</v>
      </c>
      <c r="D300" t="inlineStr">
        <is>
          <t>VÄRMLANDS LÄN</t>
        </is>
      </c>
      <c r="E300" t="inlineStr">
        <is>
          <t>ÅRJÄNG</t>
        </is>
      </c>
      <c r="G300" t="n">
        <v>10.9</v>
      </c>
      <c r="H300" t="n">
        <v>0</v>
      </c>
      <c r="I300" t="n">
        <v>0</v>
      </c>
      <c r="J300" t="n">
        <v>0</v>
      </c>
      <c r="K300" t="n">
        <v>0</v>
      </c>
      <c r="L300" t="n">
        <v>0</v>
      </c>
      <c r="M300" t="n">
        <v>0</v>
      </c>
      <c r="N300" t="n">
        <v>0</v>
      </c>
      <c r="O300" t="n">
        <v>0</v>
      </c>
      <c r="P300" t="n">
        <v>0</v>
      </c>
      <c r="Q300" t="n">
        <v>0</v>
      </c>
      <c r="R300" s="2" t="inlineStr"/>
    </row>
    <row r="301" ht="15" customHeight="1">
      <c r="A301" t="inlineStr">
        <is>
          <t>A 11198-2025</t>
        </is>
      </c>
      <c r="B301" s="1" t="n">
        <v>45725</v>
      </c>
      <c r="C301" s="1" t="n">
        <v>46032</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50841-2025</t>
        </is>
      </c>
      <c r="B302" s="1" t="n">
        <v>45946.57050925926</v>
      </c>
      <c r="C302" s="1" t="n">
        <v>46032</v>
      </c>
      <c r="D302" t="inlineStr">
        <is>
          <t>VÄRMLANDS LÄN</t>
        </is>
      </c>
      <c r="E302" t="inlineStr">
        <is>
          <t>ÅRJÄNG</t>
        </is>
      </c>
      <c r="F302" t="inlineStr">
        <is>
          <t>Kyrkan</t>
        </is>
      </c>
      <c r="G302" t="n">
        <v>2.4</v>
      </c>
      <c r="H302" t="n">
        <v>0</v>
      </c>
      <c r="I302" t="n">
        <v>0</v>
      </c>
      <c r="J302" t="n">
        <v>0</v>
      </c>
      <c r="K302" t="n">
        <v>0</v>
      </c>
      <c r="L302" t="n">
        <v>0</v>
      </c>
      <c r="M302" t="n">
        <v>0</v>
      </c>
      <c r="N302" t="n">
        <v>0</v>
      </c>
      <c r="O302" t="n">
        <v>0</v>
      </c>
      <c r="P302" t="n">
        <v>0</v>
      </c>
      <c r="Q302" t="n">
        <v>0</v>
      </c>
      <c r="R302" s="2" t="inlineStr"/>
    </row>
    <row r="303" ht="15" customHeight="1">
      <c r="A303" t="inlineStr">
        <is>
          <t>A 50847-2025</t>
        </is>
      </c>
      <c r="B303" s="1" t="n">
        <v>45946.57590277777</v>
      </c>
      <c r="C303" s="1" t="n">
        <v>46032</v>
      </c>
      <c r="D303" t="inlineStr">
        <is>
          <t>VÄRMLANDS LÄN</t>
        </is>
      </c>
      <c r="E303" t="inlineStr">
        <is>
          <t>ÅRJÄNG</t>
        </is>
      </c>
      <c r="F303" t="inlineStr">
        <is>
          <t>Kyrkan</t>
        </is>
      </c>
      <c r="G303" t="n">
        <v>4.3</v>
      </c>
      <c r="H303" t="n">
        <v>0</v>
      </c>
      <c r="I303" t="n">
        <v>0</v>
      </c>
      <c r="J303" t="n">
        <v>0</v>
      </c>
      <c r="K303" t="n">
        <v>0</v>
      </c>
      <c r="L303" t="n">
        <v>0</v>
      </c>
      <c r="M303" t="n">
        <v>0</v>
      </c>
      <c r="N303" t="n">
        <v>0</v>
      </c>
      <c r="O303" t="n">
        <v>0</v>
      </c>
      <c r="P303" t="n">
        <v>0</v>
      </c>
      <c r="Q303" t="n">
        <v>0</v>
      </c>
      <c r="R303" s="2" t="inlineStr"/>
    </row>
    <row r="304" ht="15" customHeight="1">
      <c r="A304" t="inlineStr">
        <is>
          <t>A 7444-2024</t>
        </is>
      </c>
      <c r="B304" s="1" t="n">
        <v>45345.72637731482</v>
      </c>
      <c r="C304" s="1" t="n">
        <v>46032</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8094-2025</t>
        </is>
      </c>
      <c r="B305" s="1" t="n">
        <v>45707.68126157407</v>
      </c>
      <c r="C305" s="1" t="n">
        <v>46032</v>
      </c>
      <c r="D305" t="inlineStr">
        <is>
          <t>VÄRMLANDS LÄN</t>
        </is>
      </c>
      <c r="E305" t="inlineStr">
        <is>
          <t>ÅRJÄNG</t>
        </is>
      </c>
      <c r="G305" t="n">
        <v>12.6</v>
      </c>
      <c r="H305" t="n">
        <v>0</v>
      </c>
      <c r="I305" t="n">
        <v>0</v>
      </c>
      <c r="J305" t="n">
        <v>0</v>
      </c>
      <c r="K305" t="n">
        <v>0</v>
      </c>
      <c r="L305" t="n">
        <v>0</v>
      </c>
      <c r="M305" t="n">
        <v>0</v>
      </c>
      <c r="N305" t="n">
        <v>0</v>
      </c>
      <c r="O305" t="n">
        <v>0</v>
      </c>
      <c r="P305" t="n">
        <v>0</v>
      </c>
      <c r="Q305" t="n">
        <v>0</v>
      </c>
      <c r="R305" s="2" t="inlineStr"/>
    </row>
    <row r="306" ht="15" customHeight="1">
      <c r="A306" t="inlineStr">
        <is>
          <t>A 63203-2021</t>
        </is>
      </c>
      <c r="B306" s="1" t="n">
        <v>44507.78568287037</v>
      </c>
      <c r="C306" s="1" t="n">
        <v>46032</v>
      </c>
      <c r="D306" t="inlineStr">
        <is>
          <t>VÄRMLANDS LÄN</t>
        </is>
      </c>
      <c r="E306" t="inlineStr">
        <is>
          <t>ÅRJÄNG</t>
        </is>
      </c>
      <c r="G306" t="n">
        <v>2.8</v>
      </c>
      <c r="H306" t="n">
        <v>0</v>
      </c>
      <c r="I306" t="n">
        <v>0</v>
      </c>
      <c r="J306" t="n">
        <v>0</v>
      </c>
      <c r="K306" t="n">
        <v>0</v>
      </c>
      <c r="L306" t="n">
        <v>0</v>
      </c>
      <c r="M306" t="n">
        <v>0</v>
      </c>
      <c r="N306" t="n">
        <v>0</v>
      </c>
      <c r="O306" t="n">
        <v>0</v>
      </c>
      <c r="P306" t="n">
        <v>0</v>
      </c>
      <c r="Q306" t="n">
        <v>0</v>
      </c>
      <c r="R306" s="2" t="inlineStr"/>
    </row>
    <row r="307" ht="15" customHeight="1">
      <c r="A307" t="inlineStr">
        <is>
          <t>A 15237-2025</t>
        </is>
      </c>
      <c r="B307" s="1" t="n">
        <v>45744</v>
      </c>
      <c r="C307" s="1" t="n">
        <v>46032</v>
      </c>
      <c r="D307" t="inlineStr">
        <is>
          <t>VÄRMLANDS LÄN</t>
        </is>
      </c>
      <c r="E307" t="inlineStr">
        <is>
          <t>ÅRJÄNG</t>
        </is>
      </c>
      <c r="G307" t="n">
        <v>29.5</v>
      </c>
      <c r="H307" t="n">
        <v>0</v>
      </c>
      <c r="I307" t="n">
        <v>0</v>
      </c>
      <c r="J307" t="n">
        <v>0</v>
      </c>
      <c r="K307" t="n">
        <v>0</v>
      </c>
      <c r="L307" t="n">
        <v>0</v>
      </c>
      <c r="M307" t="n">
        <v>0</v>
      </c>
      <c r="N307" t="n">
        <v>0</v>
      </c>
      <c r="O307" t="n">
        <v>0</v>
      </c>
      <c r="P307" t="n">
        <v>0</v>
      </c>
      <c r="Q307" t="n">
        <v>0</v>
      </c>
      <c r="R307" s="2" t="inlineStr"/>
    </row>
    <row r="308" ht="15" customHeight="1">
      <c r="A308" t="inlineStr">
        <is>
          <t>A 65844-2021</t>
        </is>
      </c>
      <c r="B308" s="1" t="n">
        <v>44517.36067129629</v>
      </c>
      <c r="C308" s="1" t="n">
        <v>46032</v>
      </c>
      <c r="D308" t="inlineStr">
        <is>
          <t>VÄRMLANDS LÄN</t>
        </is>
      </c>
      <c r="E308" t="inlineStr">
        <is>
          <t>ÅRJÄNG</t>
        </is>
      </c>
      <c r="G308" t="n">
        <v>4.6</v>
      </c>
      <c r="H308" t="n">
        <v>0</v>
      </c>
      <c r="I308" t="n">
        <v>0</v>
      </c>
      <c r="J308" t="n">
        <v>0</v>
      </c>
      <c r="K308" t="n">
        <v>0</v>
      </c>
      <c r="L308" t="n">
        <v>0</v>
      </c>
      <c r="M308" t="n">
        <v>0</v>
      </c>
      <c r="N308" t="n">
        <v>0</v>
      </c>
      <c r="O308" t="n">
        <v>0</v>
      </c>
      <c r="P308" t="n">
        <v>0</v>
      </c>
      <c r="Q308" t="n">
        <v>0</v>
      </c>
      <c r="R308" s="2" t="inlineStr"/>
    </row>
    <row r="309" ht="15" customHeight="1">
      <c r="A309" t="inlineStr">
        <is>
          <t>A 42455-2024</t>
        </is>
      </c>
      <c r="B309" s="1" t="n">
        <v>45565</v>
      </c>
      <c r="C309" s="1" t="n">
        <v>46032</v>
      </c>
      <c r="D309" t="inlineStr">
        <is>
          <t>VÄRMLANDS LÄN</t>
        </is>
      </c>
      <c r="E309" t="inlineStr">
        <is>
          <t>ÅRJÄNG</t>
        </is>
      </c>
      <c r="G309" t="n">
        <v>0.7</v>
      </c>
      <c r="H309" t="n">
        <v>0</v>
      </c>
      <c r="I309" t="n">
        <v>0</v>
      </c>
      <c r="J309" t="n">
        <v>0</v>
      </c>
      <c r="K309" t="n">
        <v>0</v>
      </c>
      <c r="L309" t="n">
        <v>0</v>
      </c>
      <c r="M309" t="n">
        <v>0</v>
      </c>
      <c r="N309" t="n">
        <v>0</v>
      </c>
      <c r="O309" t="n">
        <v>0</v>
      </c>
      <c r="P309" t="n">
        <v>0</v>
      </c>
      <c r="Q309" t="n">
        <v>0</v>
      </c>
      <c r="R309" s="2" t="inlineStr"/>
    </row>
    <row r="310" ht="15" customHeight="1">
      <c r="A310" t="inlineStr">
        <is>
          <t>A 15570-2025</t>
        </is>
      </c>
      <c r="B310" s="1" t="n">
        <v>45747</v>
      </c>
      <c r="C310" s="1" t="n">
        <v>46032</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15572-2025</t>
        </is>
      </c>
      <c r="B311" s="1" t="n">
        <v>45747</v>
      </c>
      <c r="C311" s="1" t="n">
        <v>46032</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15578-2025</t>
        </is>
      </c>
      <c r="B312" s="1" t="n">
        <v>45747</v>
      </c>
      <c r="C312" s="1" t="n">
        <v>46032</v>
      </c>
      <c r="D312" t="inlineStr">
        <is>
          <t>VÄRMLANDS LÄN</t>
        </is>
      </c>
      <c r="E312" t="inlineStr">
        <is>
          <t>ÅRJÄNG</t>
        </is>
      </c>
      <c r="G312" t="n">
        <v>4.6</v>
      </c>
      <c r="H312" t="n">
        <v>0</v>
      </c>
      <c r="I312" t="n">
        <v>0</v>
      </c>
      <c r="J312" t="n">
        <v>0</v>
      </c>
      <c r="K312" t="n">
        <v>0</v>
      </c>
      <c r="L312" t="n">
        <v>0</v>
      </c>
      <c r="M312" t="n">
        <v>0</v>
      </c>
      <c r="N312" t="n">
        <v>0</v>
      </c>
      <c r="O312" t="n">
        <v>0</v>
      </c>
      <c r="P312" t="n">
        <v>0</v>
      </c>
      <c r="Q312" t="n">
        <v>0</v>
      </c>
      <c r="R312" s="2" t="inlineStr"/>
    </row>
    <row r="313" ht="15" customHeight="1">
      <c r="A313" t="inlineStr">
        <is>
          <t>A 1279-2025</t>
        </is>
      </c>
      <c r="B313" s="1" t="n">
        <v>45667.48987268518</v>
      </c>
      <c r="C313" s="1" t="n">
        <v>46032</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22556-2025</t>
        </is>
      </c>
      <c r="B314" s="1" t="n">
        <v>45788.93663194445</v>
      </c>
      <c r="C314" s="1" t="n">
        <v>46032</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5741-2025</t>
        </is>
      </c>
      <c r="B315" s="1" t="n">
        <v>45694.52100694444</v>
      </c>
      <c r="C315" s="1" t="n">
        <v>46032</v>
      </c>
      <c r="D315" t="inlineStr">
        <is>
          <t>VÄRMLANDS LÄN</t>
        </is>
      </c>
      <c r="E315" t="inlineStr">
        <is>
          <t>ÅRJÄNG</t>
        </is>
      </c>
      <c r="G315" t="n">
        <v>2.4</v>
      </c>
      <c r="H315" t="n">
        <v>0</v>
      </c>
      <c r="I315" t="n">
        <v>0</v>
      </c>
      <c r="J315" t="n">
        <v>0</v>
      </c>
      <c r="K315" t="n">
        <v>0</v>
      </c>
      <c r="L315" t="n">
        <v>0</v>
      </c>
      <c r="M315" t="n">
        <v>0</v>
      </c>
      <c r="N315" t="n">
        <v>0</v>
      </c>
      <c r="O315" t="n">
        <v>0</v>
      </c>
      <c r="P315" t="n">
        <v>0</v>
      </c>
      <c r="Q315" t="n">
        <v>0</v>
      </c>
      <c r="R315" s="2" t="inlineStr"/>
    </row>
    <row r="316" ht="15" customHeight="1">
      <c r="A316" t="inlineStr">
        <is>
          <t>A 37026-2024</t>
        </is>
      </c>
      <c r="B316" s="1" t="n">
        <v>45539</v>
      </c>
      <c r="C316" s="1" t="n">
        <v>46032</v>
      </c>
      <c r="D316" t="inlineStr">
        <is>
          <t>VÄRMLANDS LÄN</t>
        </is>
      </c>
      <c r="E316" t="inlineStr">
        <is>
          <t>ÅRJÄNG</t>
        </is>
      </c>
      <c r="G316" t="n">
        <v>1.9</v>
      </c>
      <c r="H316" t="n">
        <v>0</v>
      </c>
      <c r="I316" t="n">
        <v>0</v>
      </c>
      <c r="J316" t="n">
        <v>0</v>
      </c>
      <c r="K316" t="n">
        <v>0</v>
      </c>
      <c r="L316" t="n">
        <v>0</v>
      </c>
      <c r="M316" t="n">
        <v>0</v>
      </c>
      <c r="N316" t="n">
        <v>0</v>
      </c>
      <c r="O316" t="n">
        <v>0</v>
      </c>
      <c r="P316" t="n">
        <v>0</v>
      </c>
      <c r="Q316" t="n">
        <v>0</v>
      </c>
      <c r="R316" s="2" t="inlineStr"/>
    </row>
    <row r="317" ht="15" customHeight="1">
      <c r="A317" t="inlineStr">
        <is>
          <t>A 50709-2025</t>
        </is>
      </c>
      <c r="B317" s="1" t="n">
        <v>45946</v>
      </c>
      <c r="C317" s="1" t="n">
        <v>46032</v>
      </c>
      <c r="D317" t="inlineStr">
        <is>
          <t>VÄRMLANDS LÄN</t>
        </is>
      </c>
      <c r="E317" t="inlineStr">
        <is>
          <t>ÅRJÄNG</t>
        </is>
      </c>
      <c r="G317" t="n">
        <v>3.3</v>
      </c>
      <c r="H317" t="n">
        <v>0</v>
      </c>
      <c r="I317" t="n">
        <v>0</v>
      </c>
      <c r="J317" t="n">
        <v>0</v>
      </c>
      <c r="K317" t="n">
        <v>0</v>
      </c>
      <c r="L317" t="n">
        <v>0</v>
      </c>
      <c r="M317" t="n">
        <v>0</v>
      </c>
      <c r="N317" t="n">
        <v>0</v>
      </c>
      <c r="O317" t="n">
        <v>0</v>
      </c>
      <c r="P317" t="n">
        <v>0</v>
      </c>
      <c r="Q317" t="n">
        <v>0</v>
      </c>
      <c r="R317" s="2" t="inlineStr"/>
    </row>
    <row r="318" ht="15" customHeight="1">
      <c r="A318" t="inlineStr">
        <is>
          <t>A 2-2024</t>
        </is>
      </c>
      <c r="B318" s="1" t="n">
        <v>45292.54944444444</v>
      </c>
      <c r="C318" s="1" t="n">
        <v>46032</v>
      </c>
      <c r="D318" t="inlineStr">
        <is>
          <t>VÄRMLANDS LÄN</t>
        </is>
      </c>
      <c r="E318" t="inlineStr">
        <is>
          <t>ÅRJÄNG</t>
        </is>
      </c>
      <c r="G318" t="n">
        <v>2.1</v>
      </c>
      <c r="H318" t="n">
        <v>0</v>
      </c>
      <c r="I318" t="n">
        <v>0</v>
      </c>
      <c r="J318" t="n">
        <v>0</v>
      </c>
      <c r="K318" t="n">
        <v>0</v>
      </c>
      <c r="L318" t="n">
        <v>0</v>
      </c>
      <c r="M318" t="n">
        <v>0</v>
      </c>
      <c r="N318" t="n">
        <v>0</v>
      </c>
      <c r="O318" t="n">
        <v>0</v>
      </c>
      <c r="P318" t="n">
        <v>0</v>
      </c>
      <c r="Q318" t="n">
        <v>0</v>
      </c>
      <c r="R318" s="2" t="inlineStr"/>
    </row>
    <row r="319" ht="15" customHeight="1">
      <c r="A319" t="inlineStr">
        <is>
          <t>A 22352-2025</t>
        </is>
      </c>
      <c r="B319" s="1" t="n">
        <v>45786.45491898148</v>
      </c>
      <c r="C319" s="1" t="n">
        <v>46032</v>
      </c>
      <c r="D319" t="inlineStr">
        <is>
          <t>VÄRMLANDS LÄN</t>
        </is>
      </c>
      <c r="E319" t="inlineStr">
        <is>
          <t>ÅRJÄNG</t>
        </is>
      </c>
      <c r="G319" t="n">
        <v>5.4</v>
      </c>
      <c r="H319" t="n">
        <v>0</v>
      </c>
      <c r="I319" t="n">
        <v>0</v>
      </c>
      <c r="J319" t="n">
        <v>0</v>
      </c>
      <c r="K319" t="n">
        <v>0</v>
      </c>
      <c r="L319" t="n">
        <v>0</v>
      </c>
      <c r="M319" t="n">
        <v>0</v>
      </c>
      <c r="N319" t="n">
        <v>0</v>
      </c>
      <c r="O319" t="n">
        <v>0</v>
      </c>
      <c r="P319" t="n">
        <v>0</v>
      </c>
      <c r="Q319" t="n">
        <v>0</v>
      </c>
      <c r="R319" s="2" t="inlineStr"/>
    </row>
    <row r="320" ht="15" customHeight="1">
      <c r="A320" t="inlineStr">
        <is>
          <t>A 22635-2025</t>
        </is>
      </c>
      <c r="B320" s="1" t="n">
        <v>45789</v>
      </c>
      <c r="C320" s="1" t="n">
        <v>46032</v>
      </c>
      <c r="D320" t="inlineStr">
        <is>
          <t>VÄRMLANDS LÄN</t>
        </is>
      </c>
      <c r="E320" t="inlineStr">
        <is>
          <t>ÅRJÄNG</t>
        </is>
      </c>
      <c r="G320" t="n">
        <v>5.2</v>
      </c>
      <c r="H320" t="n">
        <v>0</v>
      </c>
      <c r="I320" t="n">
        <v>0</v>
      </c>
      <c r="J320" t="n">
        <v>0</v>
      </c>
      <c r="K320" t="n">
        <v>0</v>
      </c>
      <c r="L320" t="n">
        <v>0</v>
      </c>
      <c r="M320" t="n">
        <v>0</v>
      </c>
      <c r="N320" t="n">
        <v>0</v>
      </c>
      <c r="O320" t="n">
        <v>0</v>
      </c>
      <c r="P320" t="n">
        <v>0</v>
      </c>
      <c r="Q320" t="n">
        <v>0</v>
      </c>
      <c r="R320" s="2" t="inlineStr"/>
    </row>
    <row r="321" ht="15" customHeight="1">
      <c r="A321" t="inlineStr">
        <is>
          <t>A 22276-2025</t>
        </is>
      </c>
      <c r="B321" s="1" t="n">
        <v>45786.32737268518</v>
      </c>
      <c r="C321" s="1" t="n">
        <v>46032</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43253-2023</t>
        </is>
      </c>
      <c r="B322" s="1" t="n">
        <v>45183.49578703703</v>
      </c>
      <c r="C322" s="1" t="n">
        <v>46032</v>
      </c>
      <c r="D322" t="inlineStr">
        <is>
          <t>VÄRMLANDS LÄN</t>
        </is>
      </c>
      <c r="E322" t="inlineStr">
        <is>
          <t>ÅRJÄNG</t>
        </is>
      </c>
      <c r="G322" t="n">
        <v>5.5</v>
      </c>
      <c r="H322" t="n">
        <v>0</v>
      </c>
      <c r="I322" t="n">
        <v>0</v>
      </c>
      <c r="J322" t="n">
        <v>0</v>
      </c>
      <c r="K322" t="n">
        <v>0</v>
      </c>
      <c r="L322" t="n">
        <v>0</v>
      </c>
      <c r="M322" t="n">
        <v>0</v>
      </c>
      <c r="N322" t="n">
        <v>0</v>
      </c>
      <c r="O322" t="n">
        <v>0</v>
      </c>
      <c r="P322" t="n">
        <v>0</v>
      </c>
      <c r="Q322" t="n">
        <v>0</v>
      </c>
      <c r="R322" s="2" t="inlineStr"/>
    </row>
    <row r="323" ht="15" customHeight="1">
      <c r="A323" t="inlineStr">
        <is>
          <t>A 22281-2025</t>
        </is>
      </c>
      <c r="B323" s="1" t="n">
        <v>45786.33900462963</v>
      </c>
      <c r="C323" s="1" t="n">
        <v>46032</v>
      </c>
      <c r="D323" t="inlineStr">
        <is>
          <t>VÄRMLANDS LÄN</t>
        </is>
      </c>
      <c r="E323" t="inlineStr">
        <is>
          <t>ÅRJÄNG</t>
        </is>
      </c>
      <c r="G323" t="n">
        <v>2.4</v>
      </c>
      <c r="H323" t="n">
        <v>0</v>
      </c>
      <c r="I323" t="n">
        <v>0</v>
      </c>
      <c r="J323" t="n">
        <v>0</v>
      </c>
      <c r="K323" t="n">
        <v>0</v>
      </c>
      <c r="L323" t="n">
        <v>0</v>
      </c>
      <c r="M323" t="n">
        <v>0</v>
      </c>
      <c r="N323" t="n">
        <v>0</v>
      </c>
      <c r="O323" t="n">
        <v>0</v>
      </c>
      <c r="P323" t="n">
        <v>0</v>
      </c>
      <c r="Q323" t="n">
        <v>0</v>
      </c>
      <c r="R323" s="2" t="inlineStr"/>
    </row>
    <row r="324" ht="15" customHeight="1">
      <c r="A324" t="inlineStr">
        <is>
          <t>A 62963-2023</t>
        </is>
      </c>
      <c r="B324" s="1" t="n">
        <v>45271</v>
      </c>
      <c r="C324" s="1" t="n">
        <v>46032</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22727-2025</t>
        </is>
      </c>
      <c r="B325" s="1" t="n">
        <v>45789.5744212963</v>
      </c>
      <c r="C325" s="1" t="n">
        <v>46032</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60207-2023</t>
        </is>
      </c>
      <c r="B326" s="1" t="n">
        <v>45257</v>
      </c>
      <c r="C326" s="1" t="n">
        <v>46032</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23048-2024</t>
        </is>
      </c>
      <c r="B327" s="1" t="n">
        <v>45450.42488425926</v>
      </c>
      <c r="C327" s="1" t="n">
        <v>46032</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70461-2021</t>
        </is>
      </c>
      <c r="B328" s="1" t="n">
        <v>44536</v>
      </c>
      <c r="C328" s="1" t="n">
        <v>46032</v>
      </c>
      <c r="D328" t="inlineStr">
        <is>
          <t>VÄRMLANDS LÄN</t>
        </is>
      </c>
      <c r="E328" t="inlineStr">
        <is>
          <t>ÅRJÄNG</t>
        </is>
      </c>
      <c r="G328" t="n">
        <v>3.8</v>
      </c>
      <c r="H328" t="n">
        <v>0</v>
      </c>
      <c r="I328" t="n">
        <v>0</v>
      </c>
      <c r="J328" t="n">
        <v>0</v>
      </c>
      <c r="K328" t="n">
        <v>0</v>
      </c>
      <c r="L328" t="n">
        <v>0</v>
      </c>
      <c r="M328" t="n">
        <v>0</v>
      </c>
      <c r="N328" t="n">
        <v>0</v>
      </c>
      <c r="O328" t="n">
        <v>0</v>
      </c>
      <c r="P328" t="n">
        <v>0</v>
      </c>
      <c r="Q328" t="n">
        <v>0</v>
      </c>
      <c r="R328" s="2" t="inlineStr"/>
    </row>
    <row r="329" ht="15" customHeight="1">
      <c r="A329" t="inlineStr">
        <is>
          <t>A 62901-2021</t>
        </is>
      </c>
      <c r="B329" s="1" t="n">
        <v>44504</v>
      </c>
      <c r="C329" s="1" t="n">
        <v>46032</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22667-2025</t>
        </is>
      </c>
      <c r="B330" s="1" t="n">
        <v>45789</v>
      </c>
      <c r="C330" s="1" t="n">
        <v>46032</v>
      </c>
      <c r="D330" t="inlineStr">
        <is>
          <t>VÄRMLANDS LÄN</t>
        </is>
      </c>
      <c r="E330" t="inlineStr">
        <is>
          <t>ÅRJÄNG</t>
        </is>
      </c>
      <c r="G330" t="n">
        <v>4.4</v>
      </c>
      <c r="H330" t="n">
        <v>0</v>
      </c>
      <c r="I330" t="n">
        <v>0</v>
      </c>
      <c r="J330" t="n">
        <v>0</v>
      </c>
      <c r="K330" t="n">
        <v>0</v>
      </c>
      <c r="L330" t="n">
        <v>0</v>
      </c>
      <c r="M330" t="n">
        <v>0</v>
      </c>
      <c r="N330" t="n">
        <v>0</v>
      </c>
      <c r="O330" t="n">
        <v>0</v>
      </c>
      <c r="P330" t="n">
        <v>0</v>
      </c>
      <c r="Q330" t="n">
        <v>0</v>
      </c>
      <c r="R330" s="2" t="inlineStr"/>
    </row>
    <row r="331" ht="15" customHeight="1">
      <c r="A331" t="inlineStr">
        <is>
          <t>A 28733-2024</t>
        </is>
      </c>
      <c r="B331" s="1" t="n">
        <v>45478</v>
      </c>
      <c r="C331" s="1" t="n">
        <v>46032</v>
      </c>
      <c r="D331" t="inlineStr">
        <is>
          <t>VÄRMLANDS LÄN</t>
        </is>
      </c>
      <c r="E331" t="inlineStr">
        <is>
          <t>ÅRJÄNG</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36642-2021</t>
        </is>
      </c>
      <c r="B332" s="1" t="n">
        <v>44392</v>
      </c>
      <c r="C332" s="1" t="n">
        <v>46032</v>
      </c>
      <c r="D332" t="inlineStr">
        <is>
          <t>VÄRMLANDS LÄN</t>
        </is>
      </c>
      <c r="E332" t="inlineStr">
        <is>
          <t>ÅRJÄNG</t>
        </is>
      </c>
      <c r="G332" t="n">
        <v>6.1</v>
      </c>
      <c r="H332" t="n">
        <v>0</v>
      </c>
      <c r="I332" t="n">
        <v>0</v>
      </c>
      <c r="J332" t="n">
        <v>0</v>
      </c>
      <c r="K332" t="n">
        <v>0</v>
      </c>
      <c r="L332" t="n">
        <v>0</v>
      </c>
      <c r="M332" t="n">
        <v>0</v>
      </c>
      <c r="N332" t="n">
        <v>0</v>
      </c>
      <c r="O332" t="n">
        <v>0</v>
      </c>
      <c r="P332" t="n">
        <v>0</v>
      </c>
      <c r="Q332" t="n">
        <v>0</v>
      </c>
      <c r="R332" s="2" t="inlineStr"/>
    </row>
    <row r="333" ht="15" customHeight="1">
      <c r="A333" t="inlineStr">
        <is>
          <t>A 38742-2025</t>
        </is>
      </c>
      <c r="B333" s="1" t="n">
        <v>45887.37425925926</v>
      </c>
      <c r="C333" s="1" t="n">
        <v>46032</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60975-2022</t>
        </is>
      </c>
      <c r="B334" s="1" t="n">
        <v>44914</v>
      </c>
      <c r="C334" s="1" t="n">
        <v>46032</v>
      </c>
      <c r="D334" t="inlineStr">
        <is>
          <t>VÄRMLANDS LÄN</t>
        </is>
      </c>
      <c r="E334" t="inlineStr">
        <is>
          <t>ÅRJÄNG</t>
        </is>
      </c>
      <c r="G334" t="n">
        <v>1.3</v>
      </c>
      <c r="H334" t="n">
        <v>0</v>
      </c>
      <c r="I334" t="n">
        <v>0</v>
      </c>
      <c r="J334" t="n">
        <v>0</v>
      </c>
      <c r="K334" t="n">
        <v>0</v>
      </c>
      <c r="L334" t="n">
        <v>0</v>
      </c>
      <c r="M334" t="n">
        <v>0</v>
      </c>
      <c r="N334" t="n">
        <v>0</v>
      </c>
      <c r="O334" t="n">
        <v>0</v>
      </c>
      <c r="P334" t="n">
        <v>0</v>
      </c>
      <c r="Q334" t="n">
        <v>0</v>
      </c>
      <c r="R334" s="2" t="inlineStr"/>
    </row>
    <row r="335" ht="15" customHeight="1">
      <c r="A335" t="inlineStr">
        <is>
          <t>A 53726-2021</t>
        </is>
      </c>
      <c r="B335" s="1" t="n">
        <v>44469.51079861111</v>
      </c>
      <c r="C335" s="1" t="n">
        <v>46032</v>
      </c>
      <c r="D335" t="inlineStr">
        <is>
          <t>VÄRMLANDS LÄN</t>
        </is>
      </c>
      <c r="E335" t="inlineStr">
        <is>
          <t>ÅRJÄNG</t>
        </is>
      </c>
      <c r="G335" t="n">
        <v>3.2</v>
      </c>
      <c r="H335" t="n">
        <v>0</v>
      </c>
      <c r="I335" t="n">
        <v>0</v>
      </c>
      <c r="J335" t="n">
        <v>0</v>
      </c>
      <c r="K335" t="n">
        <v>0</v>
      </c>
      <c r="L335" t="n">
        <v>0</v>
      </c>
      <c r="M335" t="n">
        <v>0</v>
      </c>
      <c r="N335" t="n">
        <v>0</v>
      </c>
      <c r="O335" t="n">
        <v>0</v>
      </c>
      <c r="P335" t="n">
        <v>0</v>
      </c>
      <c r="Q335" t="n">
        <v>0</v>
      </c>
      <c r="R335" s="2" t="inlineStr"/>
    </row>
    <row r="336" ht="15" customHeight="1">
      <c r="A336" t="inlineStr">
        <is>
          <t>A 61295-2022</t>
        </is>
      </c>
      <c r="B336" s="1" t="n">
        <v>44915</v>
      </c>
      <c r="C336" s="1" t="n">
        <v>46032</v>
      </c>
      <c r="D336" t="inlineStr">
        <is>
          <t>VÄRMLANDS LÄN</t>
        </is>
      </c>
      <c r="E336" t="inlineStr">
        <is>
          <t>ÅRJÄNG</t>
        </is>
      </c>
      <c r="G336" t="n">
        <v>0.4</v>
      </c>
      <c r="H336" t="n">
        <v>0</v>
      </c>
      <c r="I336" t="n">
        <v>0</v>
      </c>
      <c r="J336" t="n">
        <v>0</v>
      </c>
      <c r="K336" t="n">
        <v>0</v>
      </c>
      <c r="L336" t="n">
        <v>0</v>
      </c>
      <c r="M336" t="n">
        <v>0</v>
      </c>
      <c r="N336" t="n">
        <v>0</v>
      </c>
      <c r="O336" t="n">
        <v>0</v>
      </c>
      <c r="P336" t="n">
        <v>0</v>
      </c>
      <c r="Q336" t="n">
        <v>0</v>
      </c>
      <c r="R336" s="2" t="inlineStr"/>
    </row>
    <row r="337" ht="15" customHeight="1">
      <c r="A337" t="inlineStr">
        <is>
          <t>A 50931-2025</t>
        </is>
      </c>
      <c r="B337" s="1" t="n">
        <v>45946.68568287037</v>
      </c>
      <c r="C337" s="1" t="n">
        <v>46032</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11899-2025</t>
        </is>
      </c>
      <c r="B338" s="1" t="n">
        <v>45728</v>
      </c>
      <c r="C338" s="1" t="n">
        <v>46032</v>
      </c>
      <c r="D338" t="inlineStr">
        <is>
          <t>VÄRMLANDS LÄN</t>
        </is>
      </c>
      <c r="E338" t="inlineStr">
        <is>
          <t>ÅRJÄNG</t>
        </is>
      </c>
      <c r="G338" t="n">
        <v>3.9</v>
      </c>
      <c r="H338" t="n">
        <v>0</v>
      </c>
      <c r="I338" t="n">
        <v>0</v>
      </c>
      <c r="J338" t="n">
        <v>0</v>
      </c>
      <c r="K338" t="n">
        <v>0</v>
      </c>
      <c r="L338" t="n">
        <v>0</v>
      </c>
      <c r="M338" t="n">
        <v>0</v>
      </c>
      <c r="N338" t="n">
        <v>0</v>
      </c>
      <c r="O338" t="n">
        <v>0</v>
      </c>
      <c r="P338" t="n">
        <v>0</v>
      </c>
      <c r="Q338" t="n">
        <v>0</v>
      </c>
      <c r="R338" s="2" t="inlineStr"/>
    </row>
    <row r="339" ht="15" customHeight="1">
      <c r="A339" t="inlineStr">
        <is>
          <t>A 59385-2023</t>
        </is>
      </c>
      <c r="B339" s="1" t="n">
        <v>45253</v>
      </c>
      <c r="C339" s="1" t="n">
        <v>46032</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23039-2025</t>
        </is>
      </c>
      <c r="B340" s="1" t="n">
        <v>45790</v>
      </c>
      <c r="C340" s="1" t="n">
        <v>46032</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26781-2025</t>
        </is>
      </c>
      <c r="B341" s="1" t="n">
        <v>45810.58258101852</v>
      </c>
      <c r="C341" s="1" t="n">
        <v>46032</v>
      </c>
      <c r="D341" t="inlineStr">
        <is>
          <t>VÄRMLANDS LÄN</t>
        </is>
      </c>
      <c r="E341" t="inlineStr">
        <is>
          <t>ÅRJÄNG</t>
        </is>
      </c>
      <c r="G341" t="n">
        <v>4.2</v>
      </c>
      <c r="H341" t="n">
        <v>0</v>
      </c>
      <c r="I341" t="n">
        <v>0</v>
      </c>
      <c r="J341" t="n">
        <v>0</v>
      </c>
      <c r="K341" t="n">
        <v>0</v>
      </c>
      <c r="L341" t="n">
        <v>0</v>
      </c>
      <c r="M341" t="n">
        <v>0</v>
      </c>
      <c r="N341" t="n">
        <v>0</v>
      </c>
      <c r="O341" t="n">
        <v>0</v>
      </c>
      <c r="P341" t="n">
        <v>0</v>
      </c>
      <c r="Q341" t="n">
        <v>0</v>
      </c>
      <c r="R341" s="2" t="inlineStr"/>
    </row>
    <row r="342" ht="15" customHeight="1">
      <c r="A342" t="inlineStr">
        <is>
          <t>A 45929-2024</t>
        </is>
      </c>
      <c r="B342" s="1" t="n">
        <v>45580</v>
      </c>
      <c r="C342" s="1" t="n">
        <v>46032</v>
      </c>
      <c r="D342" t="inlineStr">
        <is>
          <t>VÄRMLANDS LÄN</t>
        </is>
      </c>
      <c r="E342" t="inlineStr">
        <is>
          <t>ÅRJÄNG</t>
        </is>
      </c>
      <c r="G342" t="n">
        <v>2.2</v>
      </c>
      <c r="H342" t="n">
        <v>0</v>
      </c>
      <c r="I342" t="n">
        <v>0</v>
      </c>
      <c r="J342" t="n">
        <v>0</v>
      </c>
      <c r="K342" t="n">
        <v>0</v>
      </c>
      <c r="L342" t="n">
        <v>0</v>
      </c>
      <c r="M342" t="n">
        <v>0</v>
      </c>
      <c r="N342" t="n">
        <v>0</v>
      </c>
      <c r="O342" t="n">
        <v>0</v>
      </c>
      <c r="P342" t="n">
        <v>0</v>
      </c>
      <c r="Q342" t="n">
        <v>0</v>
      </c>
      <c r="R342" s="2" t="inlineStr"/>
    </row>
    <row r="343" ht="15" customHeight="1">
      <c r="A343" t="inlineStr">
        <is>
          <t>A 10338-2024</t>
        </is>
      </c>
      <c r="B343" s="1" t="n">
        <v>45365.58712962963</v>
      </c>
      <c r="C343" s="1" t="n">
        <v>46032</v>
      </c>
      <c r="D343" t="inlineStr">
        <is>
          <t>VÄRMLANDS LÄN</t>
        </is>
      </c>
      <c r="E343" t="inlineStr">
        <is>
          <t>ÅRJÄNG</t>
        </is>
      </c>
      <c r="G343" t="n">
        <v>1.5</v>
      </c>
      <c r="H343" t="n">
        <v>0</v>
      </c>
      <c r="I343" t="n">
        <v>0</v>
      </c>
      <c r="J343" t="n">
        <v>0</v>
      </c>
      <c r="K343" t="n">
        <v>0</v>
      </c>
      <c r="L343" t="n">
        <v>0</v>
      </c>
      <c r="M343" t="n">
        <v>0</v>
      </c>
      <c r="N343" t="n">
        <v>0</v>
      </c>
      <c r="O343" t="n">
        <v>0</v>
      </c>
      <c r="P343" t="n">
        <v>0</v>
      </c>
      <c r="Q343" t="n">
        <v>0</v>
      </c>
      <c r="R343" s="2" t="inlineStr"/>
    </row>
    <row r="344" ht="15" customHeight="1">
      <c r="A344" t="inlineStr">
        <is>
          <t>A 48453-2023</t>
        </is>
      </c>
      <c r="B344" s="1" t="n">
        <v>45206.4346412037</v>
      </c>
      <c r="C344" s="1" t="n">
        <v>46032</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27001-2021</t>
        </is>
      </c>
      <c r="B345" s="1" t="n">
        <v>44350.35271990741</v>
      </c>
      <c r="C345" s="1" t="n">
        <v>46032</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32950-2024</t>
        </is>
      </c>
      <c r="B346" s="1" t="n">
        <v>45517.36038194445</v>
      </c>
      <c r="C346" s="1" t="n">
        <v>46032</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43659-2024</t>
        </is>
      </c>
      <c r="B347" s="1" t="n">
        <v>45569</v>
      </c>
      <c r="C347" s="1" t="n">
        <v>46032</v>
      </c>
      <c r="D347" t="inlineStr">
        <is>
          <t>VÄRMLANDS LÄN</t>
        </is>
      </c>
      <c r="E347" t="inlineStr">
        <is>
          <t>ÅRJÄNG</t>
        </is>
      </c>
      <c r="G347" t="n">
        <v>6</v>
      </c>
      <c r="H347" t="n">
        <v>0</v>
      </c>
      <c r="I347" t="n">
        <v>0</v>
      </c>
      <c r="J347" t="n">
        <v>0</v>
      </c>
      <c r="K347" t="n">
        <v>0</v>
      </c>
      <c r="L347" t="n">
        <v>0</v>
      </c>
      <c r="M347" t="n">
        <v>0</v>
      </c>
      <c r="N347" t="n">
        <v>0</v>
      </c>
      <c r="O347" t="n">
        <v>0</v>
      </c>
      <c r="P347" t="n">
        <v>0</v>
      </c>
      <c r="Q347" t="n">
        <v>0</v>
      </c>
      <c r="R347" s="2" t="inlineStr"/>
    </row>
    <row r="348" ht="15" customHeight="1">
      <c r="A348" t="inlineStr">
        <is>
          <t>A 51282-2025</t>
        </is>
      </c>
      <c r="B348" s="1" t="n">
        <v>45950.33694444445</v>
      </c>
      <c r="C348" s="1" t="n">
        <v>46032</v>
      </c>
      <c r="D348" t="inlineStr">
        <is>
          <t>VÄRMLANDS LÄN</t>
        </is>
      </c>
      <c r="E348" t="inlineStr">
        <is>
          <t>ÅRJÄNG</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62266-2023</t>
        </is>
      </c>
      <c r="B349" s="1" t="n">
        <v>45266</v>
      </c>
      <c r="C349" s="1" t="n">
        <v>46032</v>
      </c>
      <c r="D349" t="inlineStr">
        <is>
          <t>VÄRMLANDS LÄN</t>
        </is>
      </c>
      <c r="E349" t="inlineStr">
        <is>
          <t>ÅRJÄNG</t>
        </is>
      </c>
      <c r="G349" t="n">
        <v>10.5</v>
      </c>
      <c r="H349" t="n">
        <v>0</v>
      </c>
      <c r="I349" t="n">
        <v>0</v>
      </c>
      <c r="J349" t="n">
        <v>0</v>
      </c>
      <c r="K349" t="n">
        <v>0</v>
      </c>
      <c r="L349" t="n">
        <v>0</v>
      </c>
      <c r="M349" t="n">
        <v>0</v>
      </c>
      <c r="N349" t="n">
        <v>0</v>
      </c>
      <c r="O349" t="n">
        <v>0</v>
      </c>
      <c r="P349" t="n">
        <v>0</v>
      </c>
      <c r="Q349" t="n">
        <v>0</v>
      </c>
      <c r="R349" s="2" t="inlineStr"/>
    </row>
    <row r="350" ht="15" customHeight="1">
      <c r="A350" t="inlineStr">
        <is>
          <t>A 9425-2025</t>
        </is>
      </c>
      <c r="B350" s="1" t="n">
        <v>45715.40350694444</v>
      </c>
      <c r="C350" s="1" t="n">
        <v>46032</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37220-2024</t>
        </is>
      </c>
      <c r="B351" s="1" t="n">
        <v>45539.84837962963</v>
      </c>
      <c r="C351" s="1" t="n">
        <v>46032</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11176-2023</t>
        </is>
      </c>
      <c r="B352" s="1" t="n">
        <v>44987</v>
      </c>
      <c r="C352" s="1" t="n">
        <v>46032</v>
      </c>
      <c r="D352" t="inlineStr">
        <is>
          <t>VÄRMLANDS LÄN</t>
        </is>
      </c>
      <c r="E352" t="inlineStr">
        <is>
          <t>ÅRJÄNG</t>
        </is>
      </c>
      <c r="G352" t="n">
        <v>5.2</v>
      </c>
      <c r="H352" t="n">
        <v>0</v>
      </c>
      <c r="I352" t="n">
        <v>0</v>
      </c>
      <c r="J352" t="n">
        <v>0</v>
      </c>
      <c r="K352" t="n">
        <v>0</v>
      </c>
      <c r="L352" t="n">
        <v>0</v>
      </c>
      <c r="M352" t="n">
        <v>0</v>
      </c>
      <c r="N352" t="n">
        <v>0</v>
      </c>
      <c r="O352" t="n">
        <v>0</v>
      </c>
      <c r="P352" t="n">
        <v>0</v>
      </c>
      <c r="Q352" t="n">
        <v>0</v>
      </c>
      <c r="R352" s="2" t="inlineStr"/>
    </row>
    <row r="353" ht="15" customHeight="1">
      <c r="A353" t="inlineStr">
        <is>
          <t>A 30699-2021</t>
        </is>
      </c>
      <c r="B353" s="1" t="n">
        <v>44365.42443287037</v>
      </c>
      <c r="C353" s="1" t="n">
        <v>46032</v>
      </c>
      <c r="D353" t="inlineStr">
        <is>
          <t>VÄRMLANDS LÄN</t>
        </is>
      </c>
      <c r="E353" t="inlineStr">
        <is>
          <t>ÅRJÄNG</t>
        </is>
      </c>
      <c r="G353" t="n">
        <v>3.1</v>
      </c>
      <c r="H353" t="n">
        <v>0</v>
      </c>
      <c r="I353" t="n">
        <v>0</v>
      </c>
      <c r="J353" t="n">
        <v>0</v>
      </c>
      <c r="K353" t="n">
        <v>0</v>
      </c>
      <c r="L353" t="n">
        <v>0</v>
      </c>
      <c r="M353" t="n">
        <v>0</v>
      </c>
      <c r="N353" t="n">
        <v>0</v>
      </c>
      <c r="O353" t="n">
        <v>0</v>
      </c>
      <c r="P353" t="n">
        <v>0</v>
      </c>
      <c r="Q353" t="n">
        <v>0</v>
      </c>
      <c r="R353" s="2" t="inlineStr"/>
    </row>
    <row r="354" ht="15" customHeight="1">
      <c r="A354" t="inlineStr">
        <is>
          <t>A 39094-2025</t>
        </is>
      </c>
      <c r="B354" s="1" t="n">
        <v>45888.4933912037</v>
      </c>
      <c r="C354" s="1" t="n">
        <v>46032</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39096-2025</t>
        </is>
      </c>
      <c r="B355" s="1" t="n">
        <v>45888.50145833333</v>
      </c>
      <c r="C355" s="1" t="n">
        <v>46032</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39369-2025</t>
        </is>
      </c>
      <c r="B356" s="1" t="n">
        <v>45889.57848379629</v>
      </c>
      <c r="C356" s="1" t="n">
        <v>46032</v>
      </c>
      <c r="D356" t="inlineStr">
        <is>
          <t>VÄRMLANDS LÄN</t>
        </is>
      </c>
      <c r="E356" t="inlineStr">
        <is>
          <t>ÅRJÄNG</t>
        </is>
      </c>
      <c r="G356" t="n">
        <v>2.6</v>
      </c>
      <c r="H356" t="n">
        <v>0</v>
      </c>
      <c r="I356" t="n">
        <v>0</v>
      </c>
      <c r="J356" t="n">
        <v>0</v>
      </c>
      <c r="K356" t="n">
        <v>0</v>
      </c>
      <c r="L356" t="n">
        <v>0</v>
      </c>
      <c r="M356" t="n">
        <v>0</v>
      </c>
      <c r="N356" t="n">
        <v>0</v>
      </c>
      <c r="O356" t="n">
        <v>0</v>
      </c>
      <c r="P356" t="n">
        <v>0</v>
      </c>
      <c r="Q356" t="n">
        <v>0</v>
      </c>
      <c r="R356" s="2" t="inlineStr"/>
    </row>
    <row r="357" ht="15" customHeight="1">
      <c r="A357" t="inlineStr">
        <is>
          <t>A 48357-2023</t>
        </is>
      </c>
      <c r="B357" s="1" t="n">
        <v>45202</v>
      </c>
      <c r="C357" s="1" t="n">
        <v>46032</v>
      </c>
      <c r="D357" t="inlineStr">
        <is>
          <t>VÄRMLANDS LÄN</t>
        </is>
      </c>
      <c r="E357" t="inlineStr">
        <is>
          <t>ÅRJÄNG</t>
        </is>
      </c>
      <c r="G357" t="n">
        <v>2.6</v>
      </c>
      <c r="H357" t="n">
        <v>0</v>
      </c>
      <c r="I357" t="n">
        <v>0</v>
      </c>
      <c r="J357" t="n">
        <v>0</v>
      </c>
      <c r="K357" t="n">
        <v>0</v>
      </c>
      <c r="L357" t="n">
        <v>0</v>
      </c>
      <c r="M357" t="n">
        <v>0</v>
      </c>
      <c r="N357" t="n">
        <v>0</v>
      </c>
      <c r="O357" t="n">
        <v>0</v>
      </c>
      <c r="P357" t="n">
        <v>0</v>
      </c>
      <c r="Q357" t="n">
        <v>0</v>
      </c>
      <c r="R357" s="2" t="inlineStr"/>
    </row>
    <row r="358" ht="15" customHeight="1">
      <c r="A358" t="inlineStr">
        <is>
          <t>A 39079-2025</t>
        </is>
      </c>
      <c r="B358" s="1" t="n">
        <v>45888.48422453704</v>
      </c>
      <c r="C358" s="1" t="n">
        <v>46032</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36862-2025</t>
        </is>
      </c>
      <c r="B359" s="1" t="n">
        <v>45874</v>
      </c>
      <c r="C359" s="1" t="n">
        <v>46032</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15730-2023</t>
        </is>
      </c>
      <c r="B360" s="1" t="n">
        <v>45021</v>
      </c>
      <c r="C360" s="1" t="n">
        <v>46032</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53332-2023</t>
        </is>
      </c>
      <c r="B361" s="1" t="n">
        <v>45229</v>
      </c>
      <c r="C361" s="1" t="n">
        <v>46032</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30993-2024</t>
        </is>
      </c>
      <c r="B362" s="1" t="n">
        <v>45499</v>
      </c>
      <c r="C362" s="1" t="n">
        <v>46032</v>
      </c>
      <c r="D362" t="inlineStr">
        <is>
          <t>VÄRMLANDS LÄN</t>
        </is>
      </c>
      <c r="E362" t="inlineStr">
        <is>
          <t>ÅRJÄNG</t>
        </is>
      </c>
      <c r="F362" t="inlineStr">
        <is>
          <t>Kyrkan</t>
        </is>
      </c>
      <c r="G362" t="n">
        <v>4.7</v>
      </c>
      <c r="H362" t="n">
        <v>0</v>
      </c>
      <c r="I362" t="n">
        <v>0</v>
      </c>
      <c r="J362" t="n">
        <v>0</v>
      </c>
      <c r="K362" t="n">
        <v>0</v>
      </c>
      <c r="L362" t="n">
        <v>0</v>
      </c>
      <c r="M362" t="n">
        <v>0</v>
      </c>
      <c r="N362" t="n">
        <v>0</v>
      </c>
      <c r="O362" t="n">
        <v>0</v>
      </c>
      <c r="P362" t="n">
        <v>0</v>
      </c>
      <c r="Q362" t="n">
        <v>0</v>
      </c>
      <c r="R362" s="2" t="inlineStr"/>
    </row>
    <row r="363" ht="15" customHeight="1">
      <c r="A363" t="inlineStr">
        <is>
          <t>A 39776-2025</t>
        </is>
      </c>
      <c r="B363" s="1" t="n">
        <v>45891</v>
      </c>
      <c r="C363" s="1" t="n">
        <v>46032</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19313-2023</t>
        </is>
      </c>
      <c r="B364" s="1" t="n">
        <v>45049</v>
      </c>
      <c r="C364" s="1" t="n">
        <v>46032</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48911-2024</t>
        </is>
      </c>
      <c r="B365" s="1" t="n">
        <v>45594.36512731481</v>
      </c>
      <c r="C365" s="1" t="n">
        <v>46032</v>
      </c>
      <c r="D365" t="inlineStr">
        <is>
          <t>VÄRMLANDS LÄN</t>
        </is>
      </c>
      <c r="E365" t="inlineStr">
        <is>
          <t>ÅRJÄNG</t>
        </is>
      </c>
      <c r="G365" t="n">
        <v>2.3</v>
      </c>
      <c r="H365" t="n">
        <v>0</v>
      </c>
      <c r="I365" t="n">
        <v>0</v>
      </c>
      <c r="J365" t="n">
        <v>0</v>
      </c>
      <c r="K365" t="n">
        <v>0</v>
      </c>
      <c r="L365" t="n">
        <v>0</v>
      </c>
      <c r="M365" t="n">
        <v>0</v>
      </c>
      <c r="N365" t="n">
        <v>0</v>
      </c>
      <c r="O365" t="n">
        <v>0</v>
      </c>
      <c r="P365" t="n">
        <v>0</v>
      </c>
      <c r="Q365" t="n">
        <v>0</v>
      </c>
      <c r="R365" s="2" t="inlineStr"/>
    </row>
    <row r="366" ht="15" customHeight="1">
      <c r="A366" t="inlineStr">
        <is>
          <t>A 39781-2025</t>
        </is>
      </c>
      <c r="B366" s="1" t="n">
        <v>45891</v>
      </c>
      <c r="C366" s="1" t="n">
        <v>46032</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4606-2024</t>
        </is>
      </c>
      <c r="B367" s="1" t="n">
        <v>45328.3225</v>
      </c>
      <c r="C367" s="1" t="n">
        <v>46032</v>
      </c>
      <c r="D367" t="inlineStr">
        <is>
          <t>VÄRMLANDS LÄN</t>
        </is>
      </c>
      <c r="E367" t="inlineStr">
        <is>
          <t>ÅRJÄNG</t>
        </is>
      </c>
      <c r="G367" t="n">
        <v>3.9</v>
      </c>
      <c r="H367" t="n">
        <v>0</v>
      </c>
      <c r="I367" t="n">
        <v>0</v>
      </c>
      <c r="J367" t="n">
        <v>0</v>
      </c>
      <c r="K367" t="n">
        <v>0</v>
      </c>
      <c r="L367" t="n">
        <v>0</v>
      </c>
      <c r="M367" t="n">
        <v>0</v>
      </c>
      <c r="N367" t="n">
        <v>0</v>
      </c>
      <c r="O367" t="n">
        <v>0</v>
      </c>
      <c r="P367" t="n">
        <v>0</v>
      </c>
      <c r="Q367" t="n">
        <v>0</v>
      </c>
      <c r="R367" s="2" t="inlineStr"/>
    </row>
    <row r="368" ht="15" customHeight="1">
      <c r="A368" t="inlineStr">
        <is>
          <t>A 39578-2025</t>
        </is>
      </c>
      <c r="B368" s="1" t="n">
        <v>45890.49292824074</v>
      </c>
      <c r="C368" s="1" t="n">
        <v>46032</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39779-2025</t>
        </is>
      </c>
      <c r="B369" s="1" t="n">
        <v>45891</v>
      </c>
      <c r="C369" s="1" t="n">
        <v>46032</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39905-2025</t>
        </is>
      </c>
      <c r="B370" s="1" t="n">
        <v>45891.63949074074</v>
      </c>
      <c r="C370" s="1" t="n">
        <v>46032</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1289-2025</t>
        </is>
      </c>
      <c r="B371" s="1" t="n">
        <v>45667.51412037037</v>
      </c>
      <c r="C371" s="1" t="n">
        <v>46032</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39725-2025</t>
        </is>
      </c>
      <c r="B372" s="1" t="n">
        <v>45891</v>
      </c>
      <c r="C372" s="1" t="n">
        <v>46032</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51435-2025</t>
        </is>
      </c>
      <c r="B373" s="1" t="n">
        <v>45950.56015046296</v>
      </c>
      <c r="C373" s="1" t="n">
        <v>46032</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7443-2024</t>
        </is>
      </c>
      <c r="B374" s="1" t="n">
        <v>45345.72207175926</v>
      </c>
      <c r="C374" s="1" t="n">
        <v>46032</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15903-2022</t>
        </is>
      </c>
      <c r="B375" s="1" t="n">
        <v>44664.57841435185</v>
      </c>
      <c r="C375" s="1" t="n">
        <v>46032</v>
      </c>
      <c r="D375" t="inlineStr">
        <is>
          <t>VÄRMLANDS LÄN</t>
        </is>
      </c>
      <c r="E375" t="inlineStr">
        <is>
          <t>ÅRJÄNG</t>
        </is>
      </c>
      <c r="G375" t="n">
        <v>5</v>
      </c>
      <c r="H375" t="n">
        <v>0</v>
      </c>
      <c r="I375" t="n">
        <v>0</v>
      </c>
      <c r="J375" t="n">
        <v>0</v>
      </c>
      <c r="K375" t="n">
        <v>0</v>
      </c>
      <c r="L375" t="n">
        <v>0</v>
      </c>
      <c r="M375" t="n">
        <v>0</v>
      </c>
      <c r="N375" t="n">
        <v>0</v>
      </c>
      <c r="O375" t="n">
        <v>0</v>
      </c>
      <c r="P375" t="n">
        <v>0</v>
      </c>
      <c r="Q375" t="n">
        <v>0</v>
      </c>
      <c r="R375" s="2" t="inlineStr"/>
    </row>
    <row r="376" ht="15" customHeight="1">
      <c r="A376" t="inlineStr">
        <is>
          <t>A 3492-2024</t>
        </is>
      </c>
      <c r="B376" s="1" t="n">
        <v>45317</v>
      </c>
      <c r="C376" s="1" t="n">
        <v>46032</v>
      </c>
      <c r="D376" t="inlineStr">
        <is>
          <t>VÄRMLANDS LÄN</t>
        </is>
      </c>
      <c r="E376" t="inlineStr">
        <is>
          <t>ÅRJÄNG</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34643-2024</t>
        </is>
      </c>
      <c r="B377" s="1" t="n">
        <v>45526</v>
      </c>
      <c r="C377" s="1" t="n">
        <v>46032</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40219-2025</t>
        </is>
      </c>
      <c r="B378" s="1" t="n">
        <v>45894.69025462963</v>
      </c>
      <c r="C378" s="1" t="n">
        <v>46032</v>
      </c>
      <c r="D378" t="inlineStr">
        <is>
          <t>VÄRMLANDS LÄN</t>
        </is>
      </c>
      <c r="E378" t="inlineStr">
        <is>
          <t>ÅRJÄNG</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40449-2025</t>
        </is>
      </c>
      <c r="B379" s="1" t="n">
        <v>45895</v>
      </c>
      <c r="C379" s="1" t="n">
        <v>46032</v>
      </c>
      <c r="D379" t="inlineStr">
        <is>
          <t>VÄRMLANDS LÄN</t>
        </is>
      </c>
      <c r="E379" t="inlineStr">
        <is>
          <t>ÅRJÄNG</t>
        </is>
      </c>
      <c r="G379" t="n">
        <v>2.5</v>
      </c>
      <c r="H379" t="n">
        <v>0</v>
      </c>
      <c r="I379" t="n">
        <v>0</v>
      </c>
      <c r="J379" t="n">
        <v>0</v>
      </c>
      <c r="K379" t="n">
        <v>0</v>
      </c>
      <c r="L379" t="n">
        <v>0</v>
      </c>
      <c r="M379" t="n">
        <v>0</v>
      </c>
      <c r="N379" t="n">
        <v>0</v>
      </c>
      <c r="O379" t="n">
        <v>0</v>
      </c>
      <c r="P379" t="n">
        <v>0</v>
      </c>
      <c r="Q379" t="n">
        <v>0</v>
      </c>
      <c r="R379" s="2" t="inlineStr"/>
    </row>
    <row r="380" ht="15" customHeight="1">
      <c r="A380" t="inlineStr">
        <is>
          <t>A 40352-2023</t>
        </is>
      </c>
      <c r="B380" s="1" t="n">
        <v>45168</v>
      </c>
      <c r="C380" s="1" t="n">
        <v>46032</v>
      </c>
      <c r="D380" t="inlineStr">
        <is>
          <t>VÄRMLANDS LÄN</t>
        </is>
      </c>
      <c r="E380" t="inlineStr">
        <is>
          <t>ÅRJÄNG</t>
        </is>
      </c>
      <c r="G380" t="n">
        <v>3.4</v>
      </c>
      <c r="H380" t="n">
        <v>0</v>
      </c>
      <c r="I380" t="n">
        <v>0</v>
      </c>
      <c r="J380" t="n">
        <v>0</v>
      </c>
      <c r="K380" t="n">
        <v>0</v>
      </c>
      <c r="L380" t="n">
        <v>0</v>
      </c>
      <c r="M380" t="n">
        <v>0</v>
      </c>
      <c r="N380" t="n">
        <v>0</v>
      </c>
      <c r="O380" t="n">
        <v>0</v>
      </c>
      <c r="P380" t="n">
        <v>0</v>
      </c>
      <c r="Q380" t="n">
        <v>0</v>
      </c>
      <c r="R380" s="2" t="inlineStr"/>
    </row>
    <row r="381" ht="15" customHeight="1">
      <c r="A381" t="inlineStr">
        <is>
          <t>A 521-2025</t>
        </is>
      </c>
      <c r="B381" s="1" t="n">
        <v>45664.48826388889</v>
      </c>
      <c r="C381" s="1" t="n">
        <v>46032</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24252-2025</t>
        </is>
      </c>
      <c r="B382" s="1" t="n">
        <v>45797.40376157407</v>
      </c>
      <c r="C382" s="1" t="n">
        <v>46032</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32550-2024</t>
        </is>
      </c>
      <c r="B383" s="1" t="n">
        <v>45513.50606481481</v>
      </c>
      <c r="C383" s="1" t="n">
        <v>46032</v>
      </c>
      <c r="D383" t="inlineStr">
        <is>
          <t>VÄRMLANDS LÄN</t>
        </is>
      </c>
      <c r="E383" t="inlineStr">
        <is>
          <t>ÅRJÄNG</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43794-2024</t>
        </is>
      </c>
      <c r="B384" s="1" t="n">
        <v>45571.53519675926</v>
      </c>
      <c r="C384" s="1" t="n">
        <v>46032</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40232-2025</t>
        </is>
      </c>
      <c r="B385" s="1" t="n">
        <v>45894.7147800926</v>
      </c>
      <c r="C385" s="1" t="n">
        <v>46032</v>
      </c>
      <c r="D385" t="inlineStr">
        <is>
          <t>VÄRMLANDS LÄN</t>
        </is>
      </c>
      <c r="E385" t="inlineStr">
        <is>
          <t>ÅRJÄNG</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40497-2025</t>
        </is>
      </c>
      <c r="B386" s="1" t="n">
        <v>45896.32087962963</v>
      </c>
      <c r="C386" s="1" t="n">
        <v>46032</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13647-2025</t>
        </is>
      </c>
      <c r="B387" s="1" t="n">
        <v>45736.69149305556</v>
      </c>
      <c r="C387" s="1" t="n">
        <v>46032</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40699-2025</t>
        </is>
      </c>
      <c r="B388" s="1" t="n">
        <v>45897.31958333333</v>
      </c>
      <c r="C388" s="1" t="n">
        <v>46032</v>
      </c>
      <c r="D388" t="inlineStr">
        <is>
          <t>VÄRMLANDS LÄN</t>
        </is>
      </c>
      <c r="E388" t="inlineStr">
        <is>
          <t>ÅRJÄNG</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40602-2025</t>
        </is>
      </c>
      <c r="B389" s="1" t="n">
        <v>45896</v>
      </c>
      <c r="C389" s="1" t="n">
        <v>46032</v>
      </c>
      <c r="D389" t="inlineStr">
        <is>
          <t>VÄRMLANDS LÄN</t>
        </is>
      </c>
      <c r="E389" t="inlineStr">
        <is>
          <t>ÅRJÄNG</t>
        </is>
      </c>
      <c r="G389" t="n">
        <v>1.8</v>
      </c>
      <c r="H389" t="n">
        <v>0</v>
      </c>
      <c r="I389" t="n">
        <v>0</v>
      </c>
      <c r="J389" t="n">
        <v>0</v>
      </c>
      <c r="K389" t="n">
        <v>0</v>
      </c>
      <c r="L389" t="n">
        <v>0</v>
      </c>
      <c r="M389" t="n">
        <v>0</v>
      </c>
      <c r="N389" t="n">
        <v>0</v>
      </c>
      <c r="O389" t="n">
        <v>0</v>
      </c>
      <c r="P389" t="n">
        <v>0</v>
      </c>
      <c r="Q389" t="n">
        <v>0</v>
      </c>
      <c r="R389" s="2" t="inlineStr"/>
    </row>
    <row r="390" ht="15" customHeight="1">
      <c r="A390" t="inlineStr">
        <is>
          <t>A 3458-2025</t>
        </is>
      </c>
      <c r="B390" s="1" t="n">
        <v>45680.48917824074</v>
      </c>
      <c r="C390" s="1" t="n">
        <v>46032</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18388-2025</t>
        </is>
      </c>
      <c r="B391" s="1" t="n">
        <v>45762</v>
      </c>
      <c r="C391" s="1" t="n">
        <v>46032</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40601-2025</t>
        </is>
      </c>
      <c r="B392" s="1" t="n">
        <v>45896</v>
      </c>
      <c r="C392" s="1" t="n">
        <v>46032</v>
      </c>
      <c r="D392" t="inlineStr">
        <is>
          <t>VÄRMLANDS LÄN</t>
        </is>
      </c>
      <c r="E392" t="inlineStr">
        <is>
          <t>ÅRJÄNG</t>
        </is>
      </c>
      <c r="G392" t="n">
        <v>2.1</v>
      </c>
      <c r="H392" t="n">
        <v>0</v>
      </c>
      <c r="I392" t="n">
        <v>0</v>
      </c>
      <c r="J392" t="n">
        <v>0</v>
      </c>
      <c r="K392" t="n">
        <v>0</v>
      </c>
      <c r="L392" t="n">
        <v>0</v>
      </c>
      <c r="M392" t="n">
        <v>0</v>
      </c>
      <c r="N392" t="n">
        <v>0</v>
      </c>
      <c r="O392" t="n">
        <v>0</v>
      </c>
      <c r="P392" t="n">
        <v>0</v>
      </c>
      <c r="Q392" t="n">
        <v>0</v>
      </c>
      <c r="R392" s="2" t="inlineStr"/>
    </row>
    <row r="393" ht="15" customHeight="1">
      <c r="A393" t="inlineStr">
        <is>
          <t>A 61119-2024</t>
        </is>
      </c>
      <c r="B393" s="1" t="n">
        <v>45645.57</v>
      </c>
      <c r="C393" s="1" t="n">
        <v>46032</v>
      </c>
      <c r="D393" t="inlineStr">
        <is>
          <t>VÄRMLANDS LÄN</t>
        </is>
      </c>
      <c r="E393" t="inlineStr">
        <is>
          <t>ÅRJÄNG</t>
        </is>
      </c>
      <c r="G393" t="n">
        <v>2.4</v>
      </c>
      <c r="H393" t="n">
        <v>0</v>
      </c>
      <c r="I393" t="n">
        <v>0</v>
      </c>
      <c r="J393" t="n">
        <v>0</v>
      </c>
      <c r="K393" t="n">
        <v>0</v>
      </c>
      <c r="L393" t="n">
        <v>0</v>
      </c>
      <c r="M393" t="n">
        <v>0</v>
      </c>
      <c r="N393" t="n">
        <v>0</v>
      </c>
      <c r="O393" t="n">
        <v>0</v>
      </c>
      <c r="P393" t="n">
        <v>0</v>
      </c>
      <c r="Q393" t="n">
        <v>0</v>
      </c>
      <c r="R393" s="2" t="inlineStr"/>
    </row>
    <row r="394" ht="15" customHeight="1">
      <c r="A394" t="inlineStr">
        <is>
          <t>A 23754-2024</t>
        </is>
      </c>
      <c r="B394" s="1" t="n">
        <v>45455</v>
      </c>
      <c r="C394" s="1" t="n">
        <v>46032</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29263-2023</t>
        </is>
      </c>
      <c r="B395" s="1" t="n">
        <v>45105</v>
      </c>
      <c r="C395" s="1" t="n">
        <v>46032</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41201-2024</t>
        </is>
      </c>
      <c r="B396" s="1" t="n">
        <v>45559</v>
      </c>
      <c r="C396" s="1" t="n">
        <v>46032</v>
      </c>
      <c r="D396" t="inlineStr">
        <is>
          <t>VÄRMLANDS LÄN</t>
        </is>
      </c>
      <c r="E396" t="inlineStr">
        <is>
          <t>ÅRJÄNG</t>
        </is>
      </c>
      <c r="G396" t="n">
        <v>4.1</v>
      </c>
      <c r="H396" t="n">
        <v>0</v>
      </c>
      <c r="I396" t="n">
        <v>0</v>
      </c>
      <c r="J396" t="n">
        <v>0</v>
      </c>
      <c r="K396" t="n">
        <v>0</v>
      </c>
      <c r="L396" t="n">
        <v>0</v>
      </c>
      <c r="M396" t="n">
        <v>0</v>
      </c>
      <c r="N396" t="n">
        <v>0</v>
      </c>
      <c r="O396" t="n">
        <v>0</v>
      </c>
      <c r="P396" t="n">
        <v>0</v>
      </c>
      <c r="Q396" t="n">
        <v>0</v>
      </c>
      <c r="R396" s="2" t="inlineStr"/>
    </row>
    <row r="397" ht="15" customHeight="1">
      <c r="A397" t="inlineStr">
        <is>
          <t>A 41488-2025</t>
        </is>
      </c>
      <c r="B397" s="1" t="n">
        <v>45901.48288194444</v>
      </c>
      <c r="C397" s="1" t="n">
        <v>46032</v>
      </c>
      <c r="D397" t="inlineStr">
        <is>
          <t>VÄRMLANDS LÄN</t>
        </is>
      </c>
      <c r="E397" t="inlineStr">
        <is>
          <t>ÅRJÄNG</t>
        </is>
      </c>
      <c r="G397" t="n">
        <v>0.8</v>
      </c>
      <c r="H397" t="n">
        <v>0</v>
      </c>
      <c r="I397" t="n">
        <v>0</v>
      </c>
      <c r="J397" t="n">
        <v>0</v>
      </c>
      <c r="K397" t="n">
        <v>0</v>
      </c>
      <c r="L397" t="n">
        <v>0</v>
      </c>
      <c r="M397" t="n">
        <v>0</v>
      </c>
      <c r="N397" t="n">
        <v>0</v>
      </c>
      <c r="O397" t="n">
        <v>0</v>
      </c>
      <c r="P397" t="n">
        <v>0</v>
      </c>
      <c r="Q397" t="n">
        <v>0</v>
      </c>
      <c r="R397" s="2" t="inlineStr"/>
    </row>
    <row r="398" ht="15" customHeight="1">
      <c r="A398" t="inlineStr">
        <is>
          <t>A 41229-2025</t>
        </is>
      </c>
      <c r="B398" s="1" t="n">
        <v>45898.59108796297</v>
      </c>
      <c r="C398" s="1" t="n">
        <v>46032</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55686-2024</t>
        </is>
      </c>
      <c r="B399" s="1" t="n">
        <v>45622</v>
      </c>
      <c r="C399" s="1" t="n">
        <v>46032</v>
      </c>
      <c r="D399" t="inlineStr">
        <is>
          <t>VÄRMLANDS LÄN</t>
        </is>
      </c>
      <c r="E399" t="inlineStr">
        <is>
          <t>ÅRJÄNG</t>
        </is>
      </c>
      <c r="G399" t="n">
        <v>1.9</v>
      </c>
      <c r="H399" t="n">
        <v>0</v>
      </c>
      <c r="I399" t="n">
        <v>0</v>
      </c>
      <c r="J399" t="n">
        <v>0</v>
      </c>
      <c r="K399" t="n">
        <v>0</v>
      </c>
      <c r="L399" t="n">
        <v>0</v>
      </c>
      <c r="M399" t="n">
        <v>0</v>
      </c>
      <c r="N399" t="n">
        <v>0</v>
      </c>
      <c r="O399" t="n">
        <v>0</v>
      </c>
      <c r="P399" t="n">
        <v>0</v>
      </c>
      <c r="Q399" t="n">
        <v>0</v>
      </c>
      <c r="R399" s="2" t="inlineStr"/>
    </row>
    <row r="400" ht="15" customHeight="1">
      <c r="A400" t="inlineStr">
        <is>
          <t>A 56060-2023</t>
        </is>
      </c>
      <c r="B400" s="1" t="n">
        <v>45233</v>
      </c>
      <c r="C400" s="1" t="n">
        <v>46032</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24983-2025</t>
        </is>
      </c>
      <c r="B401" s="1" t="n">
        <v>45799.59841435185</v>
      </c>
      <c r="C401" s="1" t="n">
        <v>46032</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41467-2025</t>
        </is>
      </c>
      <c r="B402" s="1" t="n">
        <v>45901.45755787037</v>
      </c>
      <c r="C402" s="1" t="n">
        <v>46032</v>
      </c>
      <c r="D402" t="inlineStr">
        <is>
          <t>VÄRMLANDS LÄN</t>
        </is>
      </c>
      <c r="E402" t="inlineStr">
        <is>
          <t>ÅRJÄNG</t>
        </is>
      </c>
      <c r="G402" t="n">
        <v>2</v>
      </c>
      <c r="H402" t="n">
        <v>0</v>
      </c>
      <c r="I402" t="n">
        <v>0</v>
      </c>
      <c r="J402" t="n">
        <v>0</v>
      </c>
      <c r="K402" t="n">
        <v>0</v>
      </c>
      <c r="L402" t="n">
        <v>0</v>
      </c>
      <c r="M402" t="n">
        <v>0</v>
      </c>
      <c r="N402" t="n">
        <v>0</v>
      </c>
      <c r="O402" t="n">
        <v>0</v>
      </c>
      <c r="P402" t="n">
        <v>0</v>
      </c>
      <c r="Q402" t="n">
        <v>0</v>
      </c>
      <c r="R402" s="2" t="inlineStr"/>
    </row>
    <row r="403" ht="15" customHeight="1">
      <c r="A403" t="inlineStr">
        <is>
          <t>A 41496-2025</t>
        </is>
      </c>
      <c r="B403" s="1" t="n">
        <v>45901</v>
      </c>
      <c r="C403" s="1" t="n">
        <v>46032</v>
      </c>
      <c r="D403" t="inlineStr">
        <is>
          <t>VÄRMLANDS LÄN</t>
        </is>
      </c>
      <c r="E403" t="inlineStr">
        <is>
          <t>ÅRJÄNG</t>
        </is>
      </c>
      <c r="G403" t="n">
        <v>5.8</v>
      </c>
      <c r="H403" t="n">
        <v>0</v>
      </c>
      <c r="I403" t="n">
        <v>0</v>
      </c>
      <c r="J403" t="n">
        <v>0</v>
      </c>
      <c r="K403" t="n">
        <v>0</v>
      </c>
      <c r="L403" t="n">
        <v>0</v>
      </c>
      <c r="M403" t="n">
        <v>0</v>
      </c>
      <c r="N403" t="n">
        <v>0</v>
      </c>
      <c r="O403" t="n">
        <v>0</v>
      </c>
      <c r="P403" t="n">
        <v>0</v>
      </c>
      <c r="Q403" t="n">
        <v>0</v>
      </c>
      <c r="R403" s="2" t="inlineStr"/>
    </row>
    <row r="404" ht="15" customHeight="1">
      <c r="A404" t="inlineStr">
        <is>
          <t>A 41499-2025</t>
        </is>
      </c>
      <c r="B404" s="1" t="n">
        <v>45901</v>
      </c>
      <c r="C404" s="1" t="n">
        <v>46032</v>
      </c>
      <c r="D404" t="inlineStr">
        <is>
          <t>VÄRMLANDS LÄN</t>
        </is>
      </c>
      <c r="E404" t="inlineStr">
        <is>
          <t>ÅRJÄNG</t>
        </is>
      </c>
      <c r="G404" t="n">
        <v>2.7</v>
      </c>
      <c r="H404" t="n">
        <v>0</v>
      </c>
      <c r="I404" t="n">
        <v>0</v>
      </c>
      <c r="J404" t="n">
        <v>0</v>
      </c>
      <c r="K404" t="n">
        <v>0</v>
      </c>
      <c r="L404" t="n">
        <v>0</v>
      </c>
      <c r="M404" t="n">
        <v>0</v>
      </c>
      <c r="N404" t="n">
        <v>0</v>
      </c>
      <c r="O404" t="n">
        <v>0</v>
      </c>
      <c r="P404" t="n">
        <v>0</v>
      </c>
      <c r="Q404" t="n">
        <v>0</v>
      </c>
      <c r="R404" s="2" t="inlineStr"/>
    </row>
    <row r="405" ht="15" customHeight="1">
      <c r="A405" t="inlineStr">
        <is>
          <t>A 17426-2025</t>
        </is>
      </c>
      <c r="B405" s="1" t="n">
        <v>45757.40153935185</v>
      </c>
      <c r="C405" s="1" t="n">
        <v>46032</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1929-2025</t>
        </is>
      </c>
      <c r="B406" s="1" t="n">
        <v>45671.73023148148</v>
      </c>
      <c r="C406" s="1" t="n">
        <v>46032</v>
      </c>
      <c r="D406" t="inlineStr">
        <is>
          <t>VÄRMLANDS LÄN</t>
        </is>
      </c>
      <c r="E406" t="inlineStr">
        <is>
          <t>ÅRJÄNG</t>
        </is>
      </c>
      <c r="G406" t="n">
        <v>2.9</v>
      </c>
      <c r="H406" t="n">
        <v>0</v>
      </c>
      <c r="I406" t="n">
        <v>0</v>
      </c>
      <c r="J406" t="n">
        <v>0</v>
      </c>
      <c r="K406" t="n">
        <v>0</v>
      </c>
      <c r="L406" t="n">
        <v>0</v>
      </c>
      <c r="M406" t="n">
        <v>0</v>
      </c>
      <c r="N406" t="n">
        <v>0</v>
      </c>
      <c r="O406" t="n">
        <v>0</v>
      </c>
      <c r="P406" t="n">
        <v>0</v>
      </c>
      <c r="Q406" t="n">
        <v>0</v>
      </c>
      <c r="R406" s="2" t="inlineStr"/>
    </row>
    <row r="407" ht="15" customHeight="1">
      <c r="A407" t="inlineStr">
        <is>
          <t>A 11776-2025</t>
        </is>
      </c>
      <c r="B407" s="1" t="n">
        <v>45727.70334490741</v>
      </c>
      <c r="C407" s="1" t="n">
        <v>46032</v>
      </c>
      <c r="D407" t="inlineStr">
        <is>
          <t>VÄRMLANDS LÄN</t>
        </is>
      </c>
      <c r="E407" t="inlineStr">
        <is>
          <t>ÅRJÄNG</t>
        </is>
      </c>
      <c r="G407" t="n">
        <v>7.2</v>
      </c>
      <c r="H407" t="n">
        <v>0</v>
      </c>
      <c r="I407" t="n">
        <v>0</v>
      </c>
      <c r="J407" t="n">
        <v>0</v>
      </c>
      <c r="K407" t="n">
        <v>0</v>
      </c>
      <c r="L407" t="n">
        <v>0</v>
      </c>
      <c r="M407" t="n">
        <v>0</v>
      </c>
      <c r="N407" t="n">
        <v>0</v>
      </c>
      <c r="O407" t="n">
        <v>0</v>
      </c>
      <c r="P407" t="n">
        <v>0</v>
      </c>
      <c r="Q407" t="n">
        <v>0</v>
      </c>
      <c r="R407" s="2" t="inlineStr"/>
    </row>
    <row r="408" ht="15" customHeight="1">
      <c r="A408" t="inlineStr">
        <is>
          <t>A 36017-2024</t>
        </is>
      </c>
      <c r="B408" s="1" t="n">
        <v>45533</v>
      </c>
      <c r="C408" s="1" t="n">
        <v>46032</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4976-2025</t>
        </is>
      </c>
      <c r="B409" s="1" t="n">
        <v>45690.86565972222</v>
      </c>
      <c r="C409" s="1" t="n">
        <v>46032</v>
      </c>
      <c r="D409" t="inlineStr">
        <is>
          <t>VÄRMLANDS LÄN</t>
        </is>
      </c>
      <c r="E409" t="inlineStr">
        <is>
          <t>ÅRJÄNG</t>
        </is>
      </c>
      <c r="G409" t="n">
        <v>4.5</v>
      </c>
      <c r="H409" t="n">
        <v>0</v>
      </c>
      <c r="I409" t="n">
        <v>0</v>
      </c>
      <c r="J409" t="n">
        <v>0</v>
      </c>
      <c r="K409" t="n">
        <v>0</v>
      </c>
      <c r="L409" t="n">
        <v>0</v>
      </c>
      <c r="M409" t="n">
        <v>0</v>
      </c>
      <c r="N409" t="n">
        <v>0</v>
      </c>
      <c r="O409" t="n">
        <v>0</v>
      </c>
      <c r="P409" t="n">
        <v>0</v>
      </c>
      <c r="Q409" t="n">
        <v>0</v>
      </c>
      <c r="R409" s="2" t="inlineStr"/>
    </row>
    <row r="410" ht="15" customHeight="1">
      <c r="A410" t="inlineStr">
        <is>
          <t>A 41725-2025</t>
        </is>
      </c>
      <c r="B410" s="1" t="n">
        <v>45902.45458333333</v>
      </c>
      <c r="C410" s="1" t="n">
        <v>46032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19242-2025</t>
        </is>
      </c>
      <c r="B411" s="1" t="n">
        <v>45769.47761574074</v>
      </c>
      <c r="C411" s="1" t="n">
        <v>46032</v>
      </c>
      <c r="D411" t="inlineStr">
        <is>
          <t>VÄRMLANDS LÄN</t>
        </is>
      </c>
      <c r="E411" t="inlineStr">
        <is>
          <t>ÅRJÄNG</t>
        </is>
      </c>
      <c r="G411" t="n">
        <v>17.5</v>
      </c>
      <c r="H411" t="n">
        <v>0</v>
      </c>
      <c r="I411" t="n">
        <v>0</v>
      </c>
      <c r="J411" t="n">
        <v>0</v>
      </c>
      <c r="K411" t="n">
        <v>0</v>
      </c>
      <c r="L411" t="n">
        <v>0</v>
      </c>
      <c r="M411" t="n">
        <v>0</v>
      </c>
      <c r="N411" t="n">
        <v>0</v>
      </c>
      <c r="O411" t="n">
        <v>0</v>
      </c>
      <c r="P411" t="n">
        <v>0</v>
      </c>
      <c r="Q411" t="n">
        <v>0</v>
      </c>
      <c r="R411" s="2" t="inlineStr"/>
    </row>
    <row r="412" ht="15" customHeight="1">
      <c r="A412" t="inlineStr">
        <is>
          <t>A 14509-2022</t>
        </is>
      </c>
      <c r="B412" s="1" t="n">
        <v>44655</v>
      </c>
      <c r="C412" s="1" t="n">
        <v>46032</v>
      </c>
      <c r="D412" t="inlineStr">
        <is>
          <t>VÄRMLANDS LÄN</t>
        </is>
      </c>
      <c r="E412" t="inlineStr">
        <is>
          <t>ÅRJÄNG</t>
        </is>
      </c>
      <c r="G412" t="n">
        <v>0.2</v>
      </c>
      <c r="H412" t="n">
        <v>0</v>
      </c>
      <c r="I412" t="n">
        <v>0</v>
      </c>
      <c r="J412" t="n">
        <v>0</v>
      </c>
      <c r="K412" t="n">
        <v>0</v>
      </c>
      <c r="L412" t="n">
        <v>0</v>
      </c>
      <c r="M412" t="n">
        <v>0</v>
      </c>
      <c r="N412" t="n">
        <v>0</v>
      </c>
      <c r="O412" t="n">
        <v>0</v>
      </c>
      <c r="P412" t="n">
        <v>0</v>
      </c>
      <c r="Q412" t="n">
        <v>0</v>
      </c>
      <c r="R412" s="2" t="inlineStr"/>
    </row>
    <row r="413" ht="15" customHeight="1">
      <c r="A413" t="inlineStr">
        <is>
          <t>A 41771-2025</t>
        </is>
      </c>
      <c r="B413" s="1" t="n">
        <v>45902.55228009259</v>
      </c>
      <c r="C413" s="1" t="n">
        <v>46032</v>
      </c>
      <c r="D413" t="inlineStr">
        <is>
          <t>VÄRMLANDS LÄN</t>
        </is>
      </c>
      <c r="E413" t="inlineStr">
        <is>
          <t>ÅRJÄNG</t>
        </is>
      </c>
      <c r="G413" t="n">
        <v>1.9</v>
      </c>
      <c r="H413" t="n">
        <v>0</v>
      </c>
      <c r="I413" t="n">
        <v>0</v>
      </c>
      <c r="J413" t="n">
        <v>0</v>
      </c>
      <c r="K413" t="n">
        <v>0</v>
      </c>
      <c r="L413" t="n">
        <v>0</v>
      </c>
      <c r="M413" t="n">
        <v>0</v>
      </c>
      <c r="N413" t="n">
        <v>0</v>
      </c>
      <c r="O413" t="n">
        <v>0</v>
      </c>
      <c r="P413" t="n">
        <v>0</v>
      </c>
      <c r="Q413" t="n">
        <v>0</v>
      </c>
      <c r="R413" s="2" t="inlineStr"/>
    </row>
    <row r="414" ht="15" customHeight="1">
      <c r="A414" t="inlineStr">
        <is>
          <t>A 13157-2024</t>
        </is>
      </c>
      <c r="B414" s="1" t="n">
        <v>45386</v>
      </c>
      <c r="C414" s="1" t="n">
        <v>46032</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41763-2025</t>
        </is>
      </c>
      <c r="B415" s="1" t="n">
        <v>45902.54175925926</v>
      </c>
      <c r="C415" s="1" t="n">
        <v>46032</v>
      </c>
      <c r="D415" t="inlineStr">
        <is>
          <t>VÄRMLANDS LÄN</t>
        </is>
      </c>
      <c r="E415" t="inlineStr">
        <is>
          <t>ÅRJÄNG</t>
        </is>
      </c>
      <c r="G415" t="n">
        <v>3.4</v>
      </c>
      <c r="H415" t="n">
        <v>0</v>
      </c>
      <c r="I415" t="n">
        <v>0</v>
      </c>
      <c r="J415" t="n">
        <v>0</v>
      </c>
      <c r="K415" t="n">
        <v>0</v>
      </c>
      <c r="L415" t="n">
        <v>0</v>
      </c>
      <c r="M415" t="n">
        <v>0</v>
      </c>
      <c r="N415" t="n">
        <v>0</v>
      </c>
      <c r="O415" t="n">
        <v>0</v>
      </c>
      <c r="P415" t="n">
        <v>0</v>
      </c>
      <c r="Q415" t="n">
        <v>0</v>
      </c>
      <c r="R415" s="2" t="inlineStr"/>
    </row>
    <row r="416" ht="15" customHeight="1">
      <c r="A416" t="inlineStr">
        <is>
          <t>A 41772-2025</t>
        </is>
      </c>
      <c r="B416" s="1" t="n">
        <v>45902.55828703703</v>
      </c>
      <c r="C416" s="1" t="n">
        <v>46032</v>
      </c>
      <c r="D416" t="inlineStr">
        <is>
          <t>VÄRMLANDS LÄN</t>
        </is>
      </c>
      <c r="E416" t="inlineStr">
        <is>
          <t>ÅRJÄNG</t>
        </is>
      </c>
      <c r="G416" t="n">
        <v>1</v>
      </c>
      <c r="H416" t="n">
        <v>0</v>
      </c>
      <c r="I416" t="n">
        <v>0</v>
      </c>
      <c r="J416" t="n">
        <v>0</v>
      </c>
      <c r="K416" t="n">
        <v>0</v>
      </c>
      <c r="L416" t="n">
        <v>0</v>
      </c>
      <c r="M416" t="n">
        <v>0</v>
      </c>
      <c r="N416" t="n">
        <v>0</v>
      </c>
      <c r="O416" t="n">
        <v>0</v>
      </c>
      <c r="P416" t="n">
        <v>0</v>
      </c>
      <c r="Q416" t="n">
        <v>0</v>
      </c>
      <c r="R416" s="2" t="inlineStr"/>
    </row>
    <row r="417" ht="15" customHeight="1">
      <c r="A417" t="inlineStr">
        <is>
          <t>A 37191-2023</t>
        </is>
      </c>
      <c r="B417" s="1" t="n">
        <v>45154</v>
      </c>
      <c r="C417" s="1" t="n">
        <v>46032</v>
      </c>
      <c r="D417" t="inlineStr">
        <is>
          <t>VÄRMLANDS LÄN</t>
        </is>
      </c>
      <c r="E417" t="inlineStr">
        <is>
          <t>ÅRJÄNG</t>
        </is>
      </c>
      <c r="G417" t="n">
        <v>0.7</v>
      </c>
      <c r="H417" t="n">
        <v>0</v>
      </c>
      <c r="I417" t="n">
        <v>0</v>
      </c>
      <c r="J417" t="n">
        <v>0</v>
      </c>
      <c r="K417" t="n">
        <v>0</v>
      </c>
      <c r="L417" t="n">
        <v>0</v>
      </c>
      <c r="M417" t="n">
        <v>0</v>
      </c>
      <c r="N417" t="n">
        <v>0</v>
      </c>
      <c r="O417" t="n">
        <v>0</v>
      </c>
      <c r="P417" t="n">
        <v>0</v>
      </c>
      <c r="Q417" t="n">
        <v>0</v>
      </c>
      <c r="R417" s="2" t="inlineStr"/>
    </row>
    <row r="418" ht="15" customHeight="1">
      <c r="A418" t="inlineStr">
        <is>
          <t>A 42562-2025</t>
        </is>
      </c>
      <c r="B418" s="1" t="n">
        <v>45905.59986111111</v>
      </c>
      <c r="C418" s="1" t="n">
        <v>46032</v>
      </c>
      <c r="D418" t="inlineStr">
        <is>
          <t>VÄRMLANDS LÄN</t>
        </is>
      </c>
      <c r="E418" t="inlineStr">
        <is>
          <t>ÅRJÄNG</t>
        </is>
      </c>
      <c r="G418" t="n">
        <v>2.3</v>
      </c>
      <c r="H418" t="n">
        <v>0</v>
      </c>
      <c r="I418" t="n">
        <v>0</v>
      </c>
      <c r="J418" t="n">
        <v>0</v>
      </c>
      <c r="K418" t="n">
        <v>0</v>
      </c>
      <c r="L418" t="n">
        <v>0</v>
      </c>
      <c r="M418" t="n">
        <v>0</v>
      </c>
      <c r="N418" t="n">
        <v>0</v>
      </c>
      <c r="O418" t="n">
        <v>0</v>
      </c>
      <c r="P418" t="n">
        <v>0</v>
      </c>
      <c r="Q418" t="n">
        <v>0</v>
      </c>
      <c r="R418" s="2" t="inlineStr"/>
    </row>
    <row r="419" ht="15" customHeight="1">
      <c r="A419" t="inlineStr">
        <is>
          <t>A 16079-2024</t>
        </is>
      </c>
      <c r="B419" s="1" t="n">
        <v>45406</v>
      </c>
      <c r="C419" s="1" t="n">
        <v>46032</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13859-2023</t>
        </is>
      </c>
      <c r="B420" s="1" t="n">
        <v>45007.63384259259</v>
      </c>
      <c r="C420" s="1" t="n">
        <v>46032</v>
      </c>
      <c r="D420" t="inlineStr">
        <is>
          <t>VÄRMLANDS LÄN</t>
        </is>
      </c>
      <c r="E420" t="inlineStr">
        <is>
          <t>ÅRJÄNG</t>
        </is>
      </c>
      <c r="G420" t="n">
        <v>3</v>
      </c>
      <c r="H420" t="n">
        <v>0</v>
      </c>
      <c r="I420" t="n">
        <v>0</v>
      </c>
      <c r="J420" t="n">
        <v>0</v>
      </c>
      <c r="K420" t="n">
        <v>0</v>
      </c>
      <c r="L420" t="n">
        <v>0</v>
      </c>
      <c r="M420" t="n">
        <v>0</v>
      </c>
      <c r="N420" t="n">
        <v>0</v>
      </c>
      <c r="O420" t="n">
        <v>0</v>
      </c>
      <c r="P420" t="n">
        <v>0</v>
      </c>
      <c r="Q420" t="n">
        <v>0</v>
      </c>
      <c r="R420" s="2" t="inlineStr"/>
    </row>
    <row r="421" ht="15" customHeight="1">
      <c r="A421" t="inlineStr">
        <is>
          <t>A 23904-2023</t>
        </is>
      </c>
      <c r="B421" s="1" t="n">
        <v>45078.55413194445</v>
      </c>
      <c r="C421" s="1" t="n">
        <v>46032</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26258-2025</t>
        </is>
      </c>
      <c r="B422" s="1" t="n">
        <v>45805.58349537037</v>
      </c>
      <c r="C422" s="1" t="n">
        <v>46032</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59384-2023</t>
        </is>
      </c>
      <c r="B423" s="1" t="n">
        <v>45253</v>
      </c>
      <c r="C423" s="1" t="n">
        <v>46032</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12352-2021</t>
        </is>
      </c>
      <c r="B424" s="1" t="n">
        <v>44267.44386574074</v>
      </c>
      <c r="C424" s="1" t="n">
        <v>46032</v>
      </c>
      <c r="D424" t="inlineStr">
        <is>
          <t>VÄRMLANDS LÄN</t>
        </is>
      </c>
      <c r="E424" t="inlineStr">
        <is>
          <t>ÅRJÄNG</t>
        </is>
      </c>
      <c r="G424" t="n">
        <v>7.1</v>
      </c>
      <c r="H424" t="n">
        <v>0</v>
      </c>
      <c r="I424" t="n">
        <v>0</v>
      </c>
      <c r="J424" t="n">
        <v>0</v>
      </c>
      <c r="K424" t="n">
        <v>0</v>
      </c>
      <c r="L424" t="n">
        <v>0</v>
      </c>
      <c r="M424" t="n">
        <v>0</v>
      </c>
      <c r="N424" t="n">
        <v>0</v>
      </c>
      <c r="O424" t="n">
        <v>0</v>
      </c>
      <c r="P424" t="n">
        <v>0</v>
      </c>
      <c r="Q424" t="n">
        <v>0</v>
      </c>
      <c r="R424" s="2" t="inlineStr"/>
    </row>
    <row r="425" ht="15" customHeight="1">
      <c r="A425" t="inlineStr">
        <is>
          <t>A 59976-2022</t>
        </is>
      </c>
      <c r="B425" s="1" t="n">
        <v>44901</v>
      </c>
      <c r="C425" s="1" t="n">
        <v>46032</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42333-2025</t>
        </is>
      </c>
      <c r="B426" s="1" t="n">
        <v>45904</v>
      </c>
      <c r="C426" s="1" t="n">
        <v>46032</v>
      </c>
      <c r="D426" t="inlineStr">
        <is>
          <t>VÄRMLANDS LÄN</t>
        </is>
      </c>
      <c r="E426" t="inlineStr">
        <is>
          <t>ÅRJÄNG</t>
        </is>
      </c>
      <c r="G426" t="n">
        <v>3.8</v>
      </c>
      <c r="H426" t="n">
        <v>0</v>
      </c>
      <c r="I426" t="n">
        <v>0</v>
      </c>
      <c r="J426" t="n">
        <v>0</v>
      </c>
      <c r="K426" t="n">
        <v>0</v>
      </c>
      <c r="L426" t="n">
        <v>0</v>
      </c>
      <c r="M426" t="n">
        <v>0</v>
      </c>
      <c r="N426" t="n">
        <v>0</v>
      </c>
      <c r="O426" t="n">
        <v>0</v>
      </c>
      <c r="P426" t="n">
        <v>0</v>
      </c>
      <c r="Q426" t="n">
        <v>0</v>
      </c>
      <c r="R426" s="2" t="inlineStr"/>
    </row>
    <row r="427" ht="15" customHeight="1">
      <c r="A427" t="inlineStr">
        <is>
          <t>A 15954-2025</t>
        </is>
      </c>
      <c r="B427" s="1" t="n">
        <v>45749</v>
      </c>
      <c r="C427" s="1" t="n">
        <v>46032</v>
      </c>
      <c r="D427" t="inlineStr">
        <is>
          <t>VÄRMLANDS LÄN</t>
        </is>
      </c>
      <c r="E427" t="inlineStr">
        <is>
          <t>ÅRJÄNG</t>
        </is>
      </c>
      <c r="F427" t="inlineStr">
        <is>
          <t>Bergvik skog väst AB</t>
        </is>
      </c>
      <c r="G427" t="n">
        <v>4.2</v>
      </c>
      <c r="H427" t="n">
        <v>0</v>
      </c>
      <c r="I427" t="n">
        <v>0</v>
      </c>
      <c r="J427" t="n">
        <v>0</v>
      </c>
      <c r="K427" t="n">
        <v>0</v>
      </c>
      <c r="L427" t="n">
        <v>0</v>
      </c>
      <c r="M427" t="n">
        <v>0</v>
      </c>
      <c r="N427" t="n">
        <v>0</v>
      </c>
      <c r="O427" t="n">
        <v>0</v>
      </c>
      <c r="P427" t="n">
        <v>0</v>
      </c>
      <c r="Q427" t="n">
        <v>0</v>
      </c>
      <c r="R427" s="2" t="inlineStr"/>
    </row>
    <row r="428" ht="15" customHeight="1">
      <c r="A428" t="inlineStr">
        <is>
          <t>A 36195-2023</t>
        </is>
      </c>
      <c r="B428" s="1" t="n">
        <v>45149</v>
      </c>
      <c r="C428" s="1" t="n">
        <v>46032</v>
      </c>
      <c r="D428" t="inlineStr">
        <is>
          <t>VÄRMLANDS LÄN</t>
        </is>
      </c>
      <c r="E428" t="inlineStr">
        <is>
          <t>ÅRJÄNG</t>
        </is>
      </c>
      <c r="G428" t="n">
        <v>2.3</v>
      </c>
      <c r="H428" t="n">
        <v>0</v>
      </c>
      <c r="I428" t="n">
        <v>0</v>
      </c>
      <c r="J428" t="n">
        <v>0</v>
      </c>
      <c r="K428" t="n">
        <v>0</v>
      </c>
      <c r="L428" t="n">
        <v>0</v>
      </c>
      <c r="M428" t="n">
        <v>0</v>
      </c>
      <c r="N428" t="n">
        <v>0</v>
      </c>
      <c r="O428" t="n">
        <v>0</v>
      </c>
      <c r="P428" t="n">
        <v>0</v>
      </c>
      <c r="Q428" t="n">
        <v>0</v>
      </c>
      <c r="R428" s="2" t="inlineStr"/>
    </row>
    <row r="429" ht="15" customHeight="1">
      <c r="A429" t="inlineStr">
        <is>
          <t>A 26758-2025</t>
        </is>
      </c>
      <c r="B429" s="1" t="n">
        <v>45807</v>
      </c>
      <c r="C429" s="1" t="n">
        <v>46032</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24971-2025</t>
        </is>
      </c>
      <c r="B430" s="1" t="n">
        <v>45799</v>
      </c>
      <c r="C430" s="1" t="n">
        <v>46032</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26434-2025</t>
        </is>
      </c>
      <c r="B431" s="1" t="n">
        <v>45807.39797453704</v>
      </c>
      <c r="C431" s="1" t="n">
        <v>46032</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4865-2024</t>
        </is>
      </c>
      <c r="B432" s="1" t="n">
        <v>45329</v>
      </c>
      <c r="C432" s="1" t="n">
        <v>46032</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14917-2025</t>
        </is>
      </c>
      <c r="B433" s="1" t="n">
        <v>45743.53748842593</v>
      </c>
      <c r="C433" s="1" t="n">
        <v>46032</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15323-2025</t>
        </is>
      </c>
      <c r="B434" s="1" t="n">
        <v>45747.32385416667</v>
      </c>
      <c r="C434" s="1" t="n">
        <v>46032</v>
      </c>
      <c r="D434" t="inlineStr">
        <is>
          <t>VÄRMLANDS LÄN</t>
        </is>
      </c>
      <c r="E434" t="inlineStr">
        <is>
          <t>ÅRJÄNG</t>
        </is>
      </c>
      <c r="G434" t="n">
        <v>5.5</v>
      </c>
      <c r="H434" t="n">
        <v>0</v>
      </c>
      <c r="I434" t="n">
        <v>0</v>
      </c>
      <c r="J434" t="n">
        <v>0</v>
      </c>
      <c r="K434" t="n">
        <v>0</v>
      </c>
      <c r="L434" t="n">
        <v>0</v>
      </c>
      <c r="M434" t="n">
        <v>0</v>
      </c>
      <c r="N434" t="n">
        <v>0</v>
      </c>
      <c r="O434" t="n">
        <v>0</v>
      </c>
      <c r="P434" t="n">
        <v>0</v>
      </c>
      <c r="Q434" t="n">
        <v>0</v>
      </c>
      <c r="R434" s="2" t="inlineStr"/>
    </row>
    <row r="435" ht="15" customHeight="1">
      <c r="A435" t="inlineStr">
        <is>
          <t>A 26959-2025</t>
        </is>
      </c>
      <c r="B435" s="1" t="n">
        <v>45811.45909722222</v>
      </c>
      <c r="C435" s="1" t="n">
        <v>46032</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37325-2024</t>
        </is>
      </c>
      <c r="B436" s="1" t="n">
        <v>45540</v>
      </c>
      <c r="C436" s="1" t="n">
        <v>46032</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37353-2024</t>
        </is>
      </c>
      <c r="B437" s="1" t="n">
        <v>45540</v>
      </c>
      <c r="C437" s="1" t="n">
        <v>46032</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55432-2024</t>
        </is>
      </c>
      <c r="B438" s="1" t="n">
        <v>45622</v>
      </c>
      <c r="C438" s="1" t="n">
        <v>46032</v>
      </c>
      <c r="D438" t="inlineStr">
        <is>
          <t>VÄRMLANDS LÄN</t>
        </is>
      </c>
      <c r="E438" t="inlineStr">
        <is>
          <t>ÅRJÄNG</t>
        </is>
      </c>
      <c r="G438" t="n">
        <v>6.9</v>
      </c>
      <c r="H438" t="n">
        <v>0</v>
      </c>
      <c r="I438" t="n">
        <v>0</v>
      </c>
      <c r="J438" t="n">
        <v>0</v>
      </c>
      <c r="K438" t="n">
        <v>0</v>
      </c>
      <c r="L438" t="n">
        <v>0</v>
      </c>
      <c r="M438" t="n">
        <v>0</v>
      </c>
      <c r="N438" t="n">
        <v>0</v>
      </c>
      <c r="O438" t="n">
        <v>0</v>
      </c>
      <c r="P438" t="n">
        <v>0</v>
      </c>
      <c r="Q438" t="n">
        <v>0</v>
      </c>
      <c r="R438" s="2" t="inlineStr"/>
    </row>
    <row r="439" ht="15" customHeight="1">
      <c r="A439" t="inlineStr">
        <is>
          <t>A 24342-2024</t>
        </is>
      </c>
      <c r="B439" s="1" t="n">
        <v>45457</v>
      </c>
      <c r="C439" s="1" t="n">
        <v>46032</v>
      </c>
      <c r="D439" t="inlineStr">
        <is>
          <t>VÄRMLANDS LÄN</t>
        </is>
      </c>
      <c r="E439" t="inlineStr">
        <is>
          <t>ÅRJÄNG</t>
        </is>
      </c>
      <c r="G439" t="n">
        <v>0.8</v>
      </c>
      <c r="H439" t="n">
        <v>0</v>
      </c>
      <c r="I439" t="n">
        <v>0</v>
      </c>
      <c r="J439" t="n">
        <v>0</v>
      </c>
      <c r="K439" t="n">
        <v>0</v>
      </c>
      <c r="L439" t="n">
        <v>0</v>
      </c>
      <c r="M439" t="n">
        <v>0</v>
      </c>
      <c r="N439" t="n">
        <v>0</v>
      </c>
      <c r="O439" t="n">
        <v>0</v>
      </c>
      <c r="P439" t="n">
        <v>0</v>
      </c>
      <c r="Q439" t="n">
        <v>0</v>
      </c>
      <c r="R439" s="2" t="inlineStr"/>
    </row>
    <row r="440" ht="15" customHeight="1">
      <c r="A440" t="inlineStr">
        <is>
          <t>A 32773-2024</t>
        </is>
      </c>
      <c r="B440" s="1" t="n">
        <v>45516.49834490741</v>
      </c>
      <c r="C440" s="1" t="n">
        <v>46032</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56348-2024</t>
        </is>
      </c>
      <c r="B441" s="1" t="n">
        <v>45624</v>
      </c>
      <c r="C441" s="1" t="n">
        <v>46032</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32776-2024</t>
        </is>
      </c>
      <c r="B442" s="1" t="n">
        <v>45516</v>
      </c>
      <c r="C442" s="1" t="n">
        <v>46032</v>
      </c>
      <c r="D442" t="inlineStr">
        <is>
          <t>VÄRMLANDS LÄN</t>
        </is>
      </c>
      <c r="E442" t="inlineStr">
        <is>
          <t>ÅRJÄNG</t>
        </is>
      </c>
      <c r="G442" t="n">
        <v>1</v>
      </c>
      <c r="H442" t="n">
        <v>0</v>
      </c>
      <c r="I442" t="n">
        <v>0</v>
      </c>
      <c r="J442" t="n">
        <v>0</v>
      </c>
      <c r="K442" t="n">
        <v>0</v>
      </c>
      <c r="L442" t="n">
        <v>0</v>
      </c>
      <c r="M442" t="n">
        <v>0</v>
      </c>
      <c r="N442" t="n">
        <v>0</v>
      </c>
      <c r="O442" t="n">
        <v>0</v>
      </c>
      <c r="P442" t="n">
        <v>0</v>
      </c>
      <c r="Q442" t="n">
        <v>0</v>
      </c>
      <c r="R442" s="2" t="inlineStr"/>
    </row>
    <row r="443" ht="15" customHeight="1">
      <c r="A443" t="inlineStr">
        <is>
          <t>A 5319-2025</t>
        </is>
      </c>
      <c r="B443" s="1" t="n">
        <v>45692.52384259259</v>
      </c>
      <c r="C443" s="1" t="n">
        <v>46032</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9427-2025</t>
        </is>
      </c>
      <c r="B444" s="1" t="n">
        <v>45715</v>
      </c>
      <c r="C444" s="1" t="n">
        <v>46032</v>
      </c>
      <c r="D444" t="inlineStr">
        <is>
          <t>VÄRMLANDS LÄN</t>
        </is>
      </c>
      <c r="E444" t="inlineStr">
        <is>
          <t>ÅRJÄNG</t>
        </is>
      </c>
      <c r="G444" t="n">
        <v>4.5</v>
      </c>
      <c r="H444" t="n">
        <v>0</v>
      </c>
      <c r="I444" t="n">
        <v>0</v>
      </c>
      <c r="J444" t="n">
        <v>0</v>
      </c>
      <c r="K444" t="n">
        <v>0</v>
      </c>
      <c r="L444" t="n">
        <v>0</v>
      </c>
      <c r="M444" t="n">
        <v>0</v>
      </c>
      <c r="N444" t="n">
        <v>0</v>
      </c>
      <c r="O444" t="n">
        <v>0</v>
      </c>
      <c r="P444" t="n">
        <v>0</v>
      </c>
      <c r="Q444" t="n">
        <v>0</v>
      </c>
      <c r="R444" s="2" t="inlineStr"/>
    </row>
    <row r="445" ht="15" customHeight="1">
      <c r="A445" t="inlineStr">
        <is>
          <t>A 42677-2025</t>
        </is>
      </c>
      <c r="B445" s="1" t="n">
        <v>45908.32836805555</v>
      </c>
      <c r="C445" s="1" t="n">
        <v>46032</v>
      </c>
      <c r="D445" t="inlineStr">
        <is>
          <t>VÄRMLANDS LÄN</t>
        </is>
      </c>
      <c r="E445" t="inlineStr">
        <is>
          <t>ÅRJÄNG</t>
        </is>
      </c>
      <c r="G445" t="n">
        <v>2.7</v>
      </c>
      <c r="H445" t="n">
        <v>0</v>
      </c>
      <c r="I445" t="n">
        <v>0</v>
      </c>
      <c r="J445" t="n">
        <v>0</v>
      </c>
      <c r="K445" t="n">
        <v>0</v>
      </c>
      <c r="L445" t="n">
        <v>0</v>
      </c>
      <c r="M445" t="n">
        <v>0</v>
      </c>
      <c r="N445" t="n">
        <v>0</v>
      </c>
      <c r="O445" t="n">
        <v>0</v>
      </c>
      <c r="P445" t="n">
        <v>0</v>
      </c>
      <c r="Q445" t="n">
        <v>0</v>
      </c>
      <c r="R445" s="2" t="inlineStr"/>
    </row>
    <row r="446" ht="15" customHeight="1">
      <c r="A446" t="inlineStr">
        <is>
          <t>A 6577-2025</t>
        </is>
      </c>
      <c r="B446" s="1" t="n">
        <v>45699.87793981482</v>
      </c>
      <c r="C446" s="1" t="n">
        <v>46032</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7114-2023</t>
        </is>
      </c>
      <c r="B447" s="1" t="n">
        <v>44970.39068287037</v>
      </c>
      <c r="C447" s="1" t="n">
        <v>46032</v>
      </c>
      <c r="D447" t="inlineStr">
        <is>
          <t>VÄRMLANDS LÄN</t>
        </is>
      </c>
      <c r="E447" t="inlineStr">
        <is>
          <t>ÅRJÄNG</t>
        </is>
      </c>
      <c r="G447" t="n">
        <v>4.7</v>
      </c>
      <c r="H447" t="n">
        <v>0</v>
      </c>
      <c r="I447" t="n">
        <v>0</v>
      </c>
      <c r="J447" t="n">
        <v>0</v>
      </c>
      <c r="K447" t="n">
        <v>0</v>
      </c>
      <c r="L447" t="n">
        <v>0</v>
      </c>
      <c r="M447" t="n">
        <v>0</v>
      </c>
      <c r="N447" t="n">
        <v>0</v>
      </c>
      <c r="O447" t="n">
        <v>0</v>
      </c>
      <c r="P447" t="n">
        <v>0</v>
      </c>
      <c r="Q447" t="n">
        <v>0</v>
      </c>
      <c r="R447" s="2" t="inlineStr"/>
    </row>
    <row r="448" ht="15" customHeight="1">
      <c r="A448" t="inlineStr">
        <is>
          <t>A 26783-2024</t>
        </is>
      </c>
      <c r="B448" s="1" t="n">
        <v>45470</v>
      </c>
      <c r="C448" s="1" t="n">
        <v>46032</v>
      </c>
      <c r="D448" t="inlineStr">
        <is>
          <t>VÄRMLANDS LÄN</t>
        </is>
      </c>
      <c r="E448" t="inlineStr">
        <is>
          <t>ÅRJÄNG</t>
        </is>
      </c>
      <c r="F448" t="inlineStr">
        <is>
          <t>Övriga Aktiebolag</t>
        </is>
      </c>
      <c r="G448" t="n">
        <v>1.6</v>
      </c>
      <c r="H448" t="n">
        <v>0</v>
      </c>
      <c r="I448" t="n">
        <v>0</v>
      </c>
      <c r="J448" t="n">
        <v>0</v>
      </c>
      <c r="K448" t="n">
        <v>0</v>
      </c>
      <c r="L448" t="n">
        <v>0</v>
      </c>
      <c r="M448" t="n">
        <v>0</v>
      </c>
      <c r="N448" t="n">
        <v>0</v>
      </c>
      <c r="O448" t="n">
        <v>0</v>
      </c>
      <c r="P448" t="n">
        <v>0</v>
      </c>
      <c r="Q448" t="n">
        <v>0</v>
      </c>
      <c r="R448" s="2" t="inlineStr"/>
    </row>
    <row r="449" ht="15" customHeight="1">
      <c r="A449" t="inlineStr">
        <is>
          <t>A 43517-2024</t>
        </is>
      </c>
      <c r="B449" s="1" t="n">
        <v>45569.32800925926</v>
      </c>
      <c r="C449" s="1" t="n">
        <v>46032</v>
      </c>
      <c r="D449" t="inlineStr">
        <is>
          <t>VÄRMLANDS LÄN</t>
        </is>
      </c>
      <c r="E449" t="inlineStr">
        <is>
          <t>ÅRJÄNG</t>
        </is>
      </c>
      <c r="G449" t="n">
        <v>5.9</v>
      </c>
      <c r="H449" t="n">
        <v>0</v>
      </c>
      <c r="I449" t="n">
        <v>0</v>
      </c>
      <c r="J449" t="n">
        <v>0</v>
      </c>
      <c r="K449" t="n">
        <v>0</v>
      </c>
      <c r="L449" t="n">
        <v>0</v>
      </c>
      <c r="M449" t="n">
        <v>0</v>
      </c>
      <c r="N449" t="n">
        <v>0</v>
      </c>
      <c r="O449" t="n">
        <v>0</v>
      </c>
      <c r="P449" t="n">
        <v>0</v>
      </c>
      <c r="Q449" t="n">
        <v>0</v>
      </c>
      <c r="R449" s="2" t="inlineStr"/>
    </row>
    <row r="450" ht="15" customHeight="1">
      <c r="A450" t="inlineStr">
        <is>
          <t>A 8146-2024</t>
        </is>
      </c>
      <c r="B450" s="1" t="n">
        <v>45351.57671296296</v>
      </c>
      <c r="C450" s="1" t="n">
        <v>46032</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18718-2023</t>
        </is>
      </c>
      <c r="B451" s="1" t="n">
        <v>45043.65459490741</v>
      </c>
      <c r="C451" s="1" t="n">
        <v>46032</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38057-2024</t>
        </is>
      </c>
      <c r="B452" s="1" t="n">
        <v>45544.73293981481</v>
      </c>
      <c r="C452" s="1" t="n">
        <v>46032</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26728-2025</t>
        </is>
      </c>
      <c r="B453" s="1" t="n">
        <v>45810.50186342592</v>
      </c>
      <c r="C453" s="1" t="n">
        <v>46032</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26998-2025</t>
        </is>
      </c>
      <c r="B454" s="1" t="n">
        <v>45811</v>
      </c>
      <c r="C454" s="1" t="n">
        <v>46032</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43012-2025</t>
        </is>
      </c>
      <c r="B455" s="1" t="n">
        <v>45909.48989583334</v>
      </c>
      <c r="C455" s="1" t="n">
        <v>46032</v>
      </c>
      <c r="D455" t="inlineStr">
        <is>
          <t>VÄRMLANDS LÄN</t>
        </is>
      </c>
      <c r="E455" t="inlineStr">
        <is>
          <t>ÅRJÄNG</t>
        </is>
      </c>
      <c r="G455" t="n">
        <v>3.1</v>
      </c>
      <c r="H455" t="n">
        <v>0</v>
      </c>
      <c r="I455" t="n">
        <v>0</v>
      </c>
      <c r="J455" t="n">
        <v>0</v>
      </c>
      <c r="K455" t="n">
        <v>0</v>
      </c>
      <c r="L455" t="n">
        <v>0</v>
      </c>
      <c r="M455" t="n">
        <v>0</v>
      </c>
      <c r="N455" t="n">
        <v>0</v>
      </c>
      <c r="O455" t="n">
        <v>0</v>
      </c>
      <c r="P455" t="n">
        <v>0</v>
      </c>
      <c r="Q455" t="n">
        <v>0</v>
      </c>
      <c r="R455" s="2" t="inlineStr"/>
    </row>
    <row r="456" ht="15" customHeight="1">
      <c r="A456" t="inlineStr">
        <is>
          <t>A 36282-2024</t>
        </is>
      </c>
      <c r="B456" s="1" t="n">
        <v>45534.5887962963</v>
      </c>
      <c r="C456" s="1" t="n">
        <v>46032</v>
      </c>
      <c r="D456" t="inlineStr">
        <is>
          <t>VÄRMLANDS LÄN</t>
        </is>
      </c>
      <c r="E456" t="inlineStr">
        <is>
          <t>ÅRJÄNG</t>
        </is>
      </c>
      <c r="G456" t="n">
        <v>1.7</v>
      </c>
      <c r="H456" t="n">
        <v>0</v>
      </c>
      <c r="I456" t="n">
        <v>0</v>
      </c>
      <c r="J456" t="n">
        <v>0</v>
      </c>
      <c r="K456" t="n">
        <v>0</v>
      </c>
      <c r="L456" t="n">
        <v>0</v>
      </c>
      <c r="M456" t="n">
        <v>0</v>
      </c>
      <c r="N456" t="n">
        <v>0</v>
      </c>
      <c r="O456" t="n">
        <v>0</v>
      </c>
      <c r="P456" t="n">
        <v>0</v>
      </c>
      <c r="Q456" t="n">
        <v>0</v>
      </c>
      <c r="R456" s="2" t="inlineStr"/>
    </row>
    <row r="457" ht="15" customHeight="1">
      <c r="A457" t="inlineStr">
        <is>
          <t>A 13060-2022</t>
        </is>
      </c>
      <c r="B457" s="1" t="n">
        <v>44643</v>
      </c>
      <c r="C457" s="1" t="n">
        <v>46032</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43050-2025</t>
        </is>
      </c>
      <c r="B458" s="1" t="n">
        <v>45909.56809027777</v>
      </c>
      <c r="C458" s="1" t="n">
        <v>46032</v>
      </c>
      <c r="D458" t="inlineStr">
        <is>
          <t>VÄRMLANDS LÄN</t>
        </is>
      </c>
      <c r="E458" t="inlineStr">
        <is>
          <t>ÅRJÄNG</t>
        </is>
      </c>
      <c r="G458" t="n">
        <v>4.8</v>
      </c>
      <c r="H458" t="n">
        <v>0</v>
      </c>
      <c r="I458" t="n">
        <v>0</v>
      </c>
      <c r="J458" t="n">
        <v>0</v>
      </c>
      <c r="K458" t="n">
        <v>0</v>
      </c>
      <c r="L458" t="n">
        <v>0</v>
      </c>
      <c r="M458" t="n">
        <v>0</v>
      </c>
      <c r="N458" t="n">
        <v>0</v>
      </c>
      <c r="O458" t="n">
        <v>0</v>
      </c>
      <c r="P458" t="n">
        <v>0</v>
      </c>
      <c r="Q458" t="n">
        <v>0</v>
      </c>
      <c r="R458" s="2" t="inlineStr"/>
    </row>
    <row r="459" ht="15" customHeight="1">
      <c r="A459" t="inlineStr">
        <is>
          <t>A 4137-2025</t>
        </is>
      </c>
      <c r="B459" s="1" t="n">
        <v>45685.35232638889</v>
      </c>
      <c r="C459" s="1" t="n">
        <v>46032</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12840-2025</t>
        </is>
      </c>
      <c r="B460" s="1" t="n">
        <v>45733</v>
      </c>
      <c r="C460" s="1" t="n">
        <v>46032</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24789-2024</t>
        </is>
      </c>
      <c r="B461" s="1" t="n">
        <v>45460</v>
      </c>
      <c r="C461" s="1" t="n">
        <v>46032</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1571-2025</t>
        </is>
      </c>
      <c r="B462" s="1" t="n">
        <v>45670.55496527778</v>
      </c>
      <c r="C462" s="1" t="n">
        <v>46032</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51265-2024</t>
        </is>
      </c>
      <c r="B463" s="1" t="n">
        <v>45602</v>
      </c>
      <c r="C463" s="1" t="n">
        <v>46032</v>
      </c>
      <c r="D463" t="inlineStr">
        <is>
          <t>VÄRMLANDS LÄN</t>
        </is>
      </c>
      <c r="E463" t="inlineStr">
        <is>
          <t>ÅRJÄNG</t>
        </is>
      </c>
      <c r="G463" t="n">
        <v>2.5</v>
      </c>
      <c r="H463" t="n">
        <v>0</v>
      </c>
      <c r="I463" t="n">
        <v>0</v>
      </c>
      <c r="J463" t="n">
        <v>0</v>
      </c>
      <c r="K463" t="n">
        <v>0</v>
      </c>
      <c r="L463" t="n">
        <v>0</v>
      </c>
      <c r="M463" t="n">
        <v>0</v>
      </c>
      <c r="N463" t="n">
        <v>0</v>
      </c>
      <c r="O463" t="n">
        <v>0</v>
      </c>
      <c r="P463" t="n">
        <v>0</v>
      </c>
      <c r="Q463" t="n">
        <v>0</v>
      </c>
      <c r="R463" s="2" t="inlineStr"/>
    </row>
    <row r="464" ht="15" customHeight="1">
      <c r="A464" t="inlineStr">
        <is>
          <t>A 43025-2025</t>
        </is>
      </c>
      <c r="B464" s="1" t="n">
        <v>45909.53126157408</v>
      </c>
      <c r="C464" s="1" t="n">
        <v>46032</v>
      </c>
      <c r="D464" t="inlineStr">
        <is>
          <t>VÄRMLANDS LÄN</t>
        </is>
      </c>
      <c r="E464" t="inlineStr">
        <is>
          <t>ÅRJÄNG</t>
        </is>
      </c>
      <c r="G464" t="n">
        <v>3.8</v>
      </c>
      <c r="H464" t="n">
        <v>0</v>
      </c>
      <c r="I464" t="n">
        <v>0</v>
      </c>
      <c r="J464" t="n">
        <v>0</v>
      </c>
      <c r="K464" t="n">
        <v>0</v>
      </c>
      <c r="L464" t="n">
        <v>0</v>
      </c>
      <c r="M464" t="n">
        <v>0</v>
      </c>
      <c r="N464" t="n">
        <v>0</v>
      </c>
      <c r="O464" t="n">
        <v>0</v>
      </c>
      <c r="P464" t="n">
        <v>0</v>
      </c>
      <c r="Q464" t="n">
        <v>0</v>
      </c>
      <c r="R464" s="2" t="inlineStr"/>
    </row>
    <row r="465" ht="15" customHeight="1">
      <c r="A465" t="inlineStr">
        <is>
          <t>A 13029-2025</t>
        </is>
      </c>
      <c r="B465" s="1" t="n">
        <v>45734.5703125</v>
      </c>
      <c r="C465" s="1" t="n">
        <v>46032</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43047-2025</t>
        </is>
      </c>
      <c r="B466" s="1" t="n">
        <v>45909.56127314815</v>
      </c>
      <c r="C466" s="1" t="n">
        <v>46032</v>
      </c>
      <c r="D466" t="inlineStr">
        <is>
          <t>VÄRMLANDS LÄN</t>
        </is>
      </c>
      <c r="E466" t="inlineStr">
        <is>
          <t>ÅRJÄNG</t>
        </is>
      </c>
      <c r="G466" t="n">
        <v>6.3</v>
      </c>
      <c r="H466" t="n">
        <v>0</v>
      </c>
      <c r="I466" t="n">
        <v>0</v>
      </c>
      <c r="J466" t="n">
        <v>0</v>
      </c>
      <c r="K466" t="n">
        <v>0</v>
      </c>
      <c r="L466" t="n">
        <v>0</v>
      </c>
      <c r="M466" t="n">
        <v>0</v>
      </c>
      <c r="N466" t="n">
        <v>0</v>
      </c>
      <c r="O466" t="n">
        <v>0</v>
      </c>
      <c r="P466" t="n">
        <v>0</v>
      </c>
      <c r="Q466" t="n">
        <v>0</v>
      </c>
      <c r="R466" s="2" t="inlineStr"/>
    </row>
    <row r="467" ht="15" customHeight="1">
      <c r="A467" t="inlineStr">
        <is>
          <t>A 23051-2024</t>
        </is>
      </c>
      <c r="B467" s="1" t="n">
        <v>45450.42902777778</v>
      </c>
      <c r="C467" s="1" t="n">
        <v>46032</v>
      </c>
      <c r="D467" t="inlineStr">
        <is>
          <t>VÄRMLANDS LÄN</t>
        </is>
      </c>
      <c r="E467" t="inlineStr">
        <is>
          <t>ÅRJÄNG</t>
        </is>
      </c>
      <c r="G467" t="n">
        <v>2.4</v>
      </c>
      <c r="H467" t="n">
        <v>0</v>
      </c>
      <c r="I467" t="n">
        <v>0</v>
      </c>
      <c r="J467" t="n">
        <v>0</v>
      </c>
      <c r="K467" t="n">
        <v>0</v>
      </c>
      <c r="L467" t="n">
        <v>0</v>
      </c>
      <c r="M467" t="n">
        <v>0</v>
      </c>
      <c r="N467" t="n">
        <v>0</v>
      </c>
      <c r="O467" t="n">
        <v>0</v>
      </c>
      <c r="P467" t="n">
        <v>0</v>
      </c>
      <c r="Q467" t="n">
        <v>0</v>
      </c>
      <c r="R467" s="2" t="inlineStr"/>
    </row>
    <row r="468" ht="15" customHeight="1">
      <c r="A468" t="inlineStr">
        <is>
          <t>A 42971-2025</t>
        </is>
      </c>
      <c r="B468" s="1" t="n">
        <v>45909.41502314815</v>
      </c>
      <c r="C468" s="1" t="n">
        <v>46032</v>
      </c>
      <c r="D468" t="inlineStr">
        <is>
          <t>VÄRMLANDS LÄN</t>
        </is>
      </c>
      <c r="E468" t="inlineStr">
        <is>
          <t>ÅRJÄNG</t>
        </is>
      </c>
      <c r="G468" t="n">
        <v>1.3</v>
      </c>
      <c r="H468" t="n">
        <v>0</v>
      </c>
      <c r="I468" t="n">
        <v>0</v>
      </c>
      <c r="J468" t="n">
        <v>0</v>
      </c>
      <c r="K468" t="n">
        <v>0</v>
      </c>
      <c r="L468" t="n">
        <v>0</v>
      </c>
      <c r="M468" t="n">
        <v>0</v>
      </c>
      <c r="N468" t="n">
        <v>0</v>
      </c>
      <c r="O468" t="n">
        <v>0</v>
      </c>
      <c r="P468" t="n">
        <v>0</v>
      </c>
      <c r="Q468" t="n">
        <v>0</v>
      </c>
      <c r="R468" s="2" t="inlineStr"/>
    </row>
    <row r="469" ht="15" customHeight="1">
      <c r="A469" t="inlineStr">
        <is>
          <t>A 45876-2024</t>
        </is>
      </c>
      <c r="B469" s="1" t="n">
        <v>45580</v>
      </c>
      <c r="C469" s="1" t="n">
        <v>46032</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51430-2025</t>
        </is>
      </c>
      <c r="B470" s="1" t="n">
        <v>45950.54824074074</v>
      </c>
      <c r="C470" s="1" t="n">
        <v>46032</v>
      </c>
      <c r="D470" t="inlineStr">
        <is>
          <t>VÄRMLANDS LÄN</t>
        </is>
      </c>
      <c r="E470" t="inlineStr">
        <is>
          <t>ÅRJÄNG</t>
        </is>
      </c>
      <c r="G470" t="n">
        <v>1.1</v>
      </c>
      <c r="H470" t="n">
        <v>0</v>
      </c>
      <c r="I470" t="n">
        <v>0</v>
      </c>
      <c r="J470" t="n">
        <v>0</v>
      </c>
      <c r="K470" t="n">
        <v>0</v>
      </c>
      <c r="L470" t="n">
        <v>0</v>
      </c>
      <c r="M470" t="n">
        <v>0</v>
      </c>
      <c r="N470" t="n">
        <v>0</v>
      </c>
      <c r="O470" t="n">
        <v>0</v>
      </c>
      <c r="P470" t="n">
        <v>0</v>
      </c>
      <c r="Q470" t="n">
        <v>0</v>
      </c>
      <c r="R470" s="2" t="inlineStr"/>
    </row>
    <row r="471" ht="15" customHeight="1">
      <c r="A471" t="inlineStr">
        <is>
          <t>A 480-2025</t>
        </is>
      </c>
      <c r="B471" s="1" t="n">
        <v>45664</v>
      </c>
      <c r="C471" s="1" t="n">
        <v>46032</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43484-2025</t>
        </is>
      </c>
      <c r="B472" s="1" t="n">
        <v>45911.5033912037</v>
      </c>
      <c r="C472" s="1" t="n">
        <v>46032</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7995-2025</t>
        </is>
      </c>
      <c r="B473" s="1" t="n">
        <v>45707.515625</v>
      </c>
      <c r="C473" s="1" t="n">
        <v>46032</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43162-2025</t>
        </is>
      </c>
      <c r="B474" s="1" t="n">
        <v>45910</v>
      </c>
      <c r="C474" s="1" t="n">
        <v>46032</v>
      </c>
      <c r="D474" t="inlineStr">
        <is>
          <t>VÄRMLANDS LÄN</t>
        </is>
      </c>
      <c r="E474" t="inlineStr">
        <is>
          <t>ÅRJÄNG</t>
        </is>
      </c>
      <c r="F474" t="inlineStr">
        <is>
          <t>Bergvik skog väst AB</t>
        </is>
      </c>
      <c r="G474" t="n">
        <v>12.9</v>
      </c>
      <c r="H474" t="n">
        <v>0</v>
      </c>
      <c r="I474" t="n">
        <v>0</v>
      </c>
      <c r="J474" t="n">
        <v>0</v>
      </c>
      <c r="K474" t="n">
        <v>0</v>
      </c>
      <c r="L474" t="n">
        <v>0</v>
      </c>
      <c r="M474" t="n">
        <v>0</v>
      </c>
      <c r="N474" t="n">
        <v>0</v>
      </c>
      <c r="O474" t="n">
        <v>0</v>
      </c>
      <c r="P474" t="n">
        <v>0</v>
      </c>
      <c r="Q474" t="n">
        <v>0</v>
      </c>
      <c r="R474" s="2" t="inlineStr"/>
    </row>
    <row r="475" ht="15" customHeight="1">
      <c r="A475" t="inlineStr">
        <is>
          <t>A 27120-2025</t>
        </is>
      </c>
      <c r="B475" s="1" t="n">
        <v>45811.76232638889</v>
      </c>
      <c r="C475" s="1" t="n">
        <v>46032</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8357-2025</t>
        </is>
      </c>
      <c r="B476" s="1" t="n">
        <v>45708.79896990741</v>
      </c>
      <c r="C476" s="1" t="n">
        <v>46032</v>
      </c>
      <c r="D476" t="inlineStr">
        <is>
          <t>VÄRMLANDS LÄN</t>
        </is>
      </c>
      <c r="E476" t="inlineStr">
        <is>
          <t>ÅRJÄNG</t>
        </is>
      </c>
      <c r="G476" t="n">
        <v>3.4</v>
      </c>
      <c r="H476" t="n">
        <v>0</v>
      </c>
      <c r="I476" t="n">
        <v>0</v>
      </c>
      <c r="J476" t="n">
        <v>0</v>
      </c>
      <c r="K476" t="n">
        <v>0</v>
      </c>
      <c r="L476" t="n">
        <v>0</v>
      </c>
      <c r="M476" t="n">
        <v>0</v>
      </c>
      <c r="N476" t="n">
        <v>0</v>
      </c>
      <c r="O476" t="n">
        <v>0</v>
      </c>
      <c r="P476" t="n">
        <v>0</v>
      </c>
      <c r="Q476" t="n">
        <v>0</v>
      </c>
      <c r="R476" s="2" t="inlineStr"/>
    </row>
    <row r="477" ht="15" customHeight="1">
      <c r="A477" t="inlineStr">
        <is>
          <t>A 10321-2025</t>
        </is>
      </c>
      <c r="B477" s="1" t="n">
        <v>45720</v>
      </c>
      <c r="C477" s="1" t="n">
        <v>46032</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43426-2025</t>
        </is>
      </c>
      <c r="B478" s="1" t="n">
        <v>45911.41869212963</v>
      </c>
      <c r="C478" s="1" t="n">
        <v>46032</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60909-2024</t>
        </is>
      </c>
      <c r="B479" s="1" t="n">
        <v>45645</v>
      </c>
      <c r="C479" s="1" t="n">
        <v>46032</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24964-2025</t>
        </is>
      </c>
      <c r="B480" s="1" t="n">
        <v>45799</v>
      </c>
      <c r="C480" s="1" t="n">
        <v>46032</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32367-2023</t>
        </is>
      </c>
      <c r="B481" s="1" t="n">
        <v>45120.57167824074</v>
      </c>
      <c r="C481" s="1" t="n">
        <v>46032</v>
      </c>
      <c r="D481" t="inlineStr">
        <is>
          <t>VÄRMLANDS LÄN</t>
        </is>
      </c>
      <c r="E481" t="inlineStr">
        <is>
          <t>ÅRJÄNG</t>
        </is>
      </c>
      <c r="G481" t="n">
        <v>2.8</v>
      </c>
      <c r="H481" t="n">
        <v>0</v>
      </c>
      <c r="I481" t="n">
        <v>0</v>
      </c>
      <c r="J481" t="n">
        <v>0</v>
      </c>
      <c r="K481" t="n">
        <v>0</v>
      </c>
      <c r="L481" t="n">
        <v>0</v>
      </c>
      <c r="M481" t="n">
        <v>0</v>
      </c>
      <c r="N481" t="n">
        <v>0</v>
      </c>
      <c r="O481" t="n">
        <v>0</v>
      </c>
      <c r="P481" t="n">
        <v>0</v>
      </c>
      <c r="Q481" t="n">
        <v>0</v>
      </c>
      <c r="R481" s="2" t="inlineStr"/>
    </row>
    <row r="482" ht="15" customHeight="1">
      <c r="A482" t="inlineStr">
        <is>
          <t>A 32373-2023</t>
        </is>
      </c>
      <c r="B482" s="1" t="n">
        <v>45120.58025462963</v>
      </c>
      <c r="C482" s="1" t="n">
        <v>46032</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11793-2023</t>
        </is>
      </c>
      <c r="B483" s="1" t="n">
        <v>44993</v>
      </c>
      <c r="C483" s="1" t="n">
        <v>46032</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43434-2025</t>
        </is>
      </c>
      <c r="B484" s="1" t="n">
        <v>45911.42743055556</v>
      </c>
      <c r="C484" s="1" t="n">
        <v>46032</v>
      </c>
      <c r="D484" t="inlineStr">
        <is>
          <t>VÄRMLANDS LÄN</t>
        </is>
      </c>
      <c r="E484" t="inlineStr">
        <is>
          <t>ÅRJÄNG</t>
        </is>
      </c>
      <c r="G484" t="n">
        <v>2.3</v>
      </c>
      <c r="H484" t="n">
        <v>0</v>
      </c>
      <c r="I484" t="n">
        <v>0</v>
      </c>
      <c r="J484" t="n">
        <v>0</v>
      </c>
      <c r="K484" t="n">
        <v>0</v>
      </c>
      <c r="L484" t="n">
        <v>0</v>
      </c>
      <c r="M484" t="n">
        <v>0</v>
      </c>
      <c r="N484" t="n">
        <v>0</v>
      </c>
      <c r="O484" t="n">
        <v>0</v>
      </c>
      <c r="P484" t="n">
        <v>0</v>
      </c>
      <c r="Q484" t="n">
        <v>0</v>
      </c>
      <c r="R484" s="2" t="inlineStr"/>
    </row>
    <row r="485" ht="15" customHeight="1">
      <c r="A485" t="inlineStr">
        <is>
          <t>A 14446-2025</t>
        </is>
      </c>
      <c r="B485" s="1" t="n">
        <v>45741.53552083333</v>
      </c>
      <c r="C485" s="1" t="n">
        <v>46032</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27247-2025</t>
        </is>
      </c>
      <c r="B486" s="1" t="n">
        <v>45812.46612268518</v>
      </c>
      <c r="C486" s="1" t="n">
        <v>46032</v>
      </c>
      <c r="D486" t="inlineStr">
        <is>
          <t>VÄRMLANDS LÄN</t>
        </is>
      </c>
      <c r="E486" t="inlineStr">
        <is>
          <t>ÅRJÄNG</t>
        </is>
      </c>
      <c r="G486" t="n">
        <v>2.9</v>
      </c>
      <c r="H486" t="n">
        <v>0</v>
      </c>
      <c r="I486" t="n">
        <v>0</v>
      </c>
      <c r="J486" t="n">
        <v>0</v>
      </c>
      <c r="K486" t="n">
        <v>0</v>
      </c>
      <c r="L486" t="n">
        <v>0</v>
      </c>
      <c r="M486" t="n">
        <v>0</v>
      </c>
      <c r="N486" t="n">
        <v>0</v>
      </c>
      <c r="O486" t="n">
        <v>0</v>
      </c>
      <c r="P486" t="n">
        <v>0</v>
      </c>
      <c r="Q486" t="n">
        <v>0</v>
      </c>
      <c r="R486" s="2" t="inlineStr"/>
    </row>
    <row r="487" ht="15" customHeight="1">
      <c r="A487" t="inlineStr">
        <is>
          <t>A 28384-2022</t>
        </is>
      </c>
      <c r="B487" s="1" t="n">
        <v>44747</v>
      </c>
      <c r="C487" s="1" t="n">
        <v>46032</v>
      </c>
      <c r="D487" t="inlineStr">
        <is>
          <t>VÄRMLANDS LÄN</t>
        </is>
      </c>
      <c r="E487" t="inlineStr">
        <is>
          <t>ÅRJÄNG</t>
        </is>
      </c>
      <c r="F487" t="inlineStr">
        <is>
          <t>Naturvårdsverket</t>
        </is>
      </c>
      <c r="G487" t="n">
        <v>1.7</v>
      </c>
      <c r="H487" t="n">
        <v>0</v>
      </c>
      <c r="I487" t="n">
        <v>0</v>
      </c>
      <c r="J487" t="n">
        <v>0</v>
      </c>
      <c r="K487" t="n">
        <v>0</v>
      </c>
      <c r="L487" t="n">
        <v>0</v>
      </c>
      <c r="M487" t="n">
        <v>0</v>
      </c>
      <c r="N487" t="n">
        <v>0</v>
      </c>
      <c r="O487" t="n">
        <v>0</v>
      </c>
      <c r="P487" t="n">
        <v>0</v>
      </c>
      <c r="Q487" t="n">
        <v>0</v>
      </c>
      <c r="R487" s="2" t="inlineStr"/>
    </row>
    <row r="488" ht="15" customHeight="1">
      <c r="A488" t="inlineStr">
        <is>
          <t>A 60194-2025</t>
        </is>
      </c>
      <c r="B488" s="1" t="n">
        <v>45994</v>
      </c>
      <c r="C488" s="1" t="n">
        <v>46032</v>
      </c>
      <c r="D488" t="inlineStr">
        <is>
          <t>VÄRMLANDS LÄN</t>
        </is>
      </c>
      <c r="E488" t="inlineStr">
        <is>
          <t>ÅRJÄNG</t>
        </is>
      </c>
      <c r="G488" t="n">
        <v>7.3</v>
      </c>
      <c r="H488" t="n">
        <v>0</v>
      </c>
      <c r="I488" t="n">
        <v>0</v>
      </c>
      <c r="J488" t="n">
        <v>0</v>
      </c>
      <c r="K488" t="n">
        <v>0</v>
      </c>
      <c r="L488" t="n">
        <v>0</v>
      </c>
      <c r="M488" t="n">
        <v>0</v>
      </c>
      <c r="N488" t="n">
        <v>0</v>
      </c>
      <c r="O488" t="n">
        <v>0</v>
      </c>
      <c r="P488" t="n">
        <v>0</v>
      </c>
      <c r="Q488" t="n">
        <v>0</v>
      </c>
      <c r="R488" s="2" t="inlineStr"/>
    </row>
    <row r="489" ht="15" customHeight="1">
      <c r="A489" t="inlineStr">
        <is>
          <t>A 62720-2023</t>
        </is>
      </c>
      <c r="B489" s="1" t="n">
        <v>45271.5799537037</v>
      </c>
      <c r="C489" s="1" t="n">
        <v>46032</v>
      </c>
      <c r="D489" t="inlineStr">
        <is>
          <t>VÄRMLANDS LÄN</t>
        </is>
      </c>
      <c r="E489" t="inlineStr">
        <is>
          <t>ÅRJÄNG</t>
        </is>
      </c>
      <c r="G489" t="n">
        <v>0.8</v>
      </c>
      <c r="H489" t="n">
        <v>0</v>
      </c>
      <c r="I489" t="n">
        <v>0</v>
      </c>
      <c r="J489" t="n">
        <v>0</v>
      </c>
      <c r="K489" t="n">
        <v>0</v>
      </c>
      <c r="L489" t="n">
        <v>0</v>
      </c>
      <c r="M489" t="n">
        <v>0</v>
      </c>
      <c r="N489" t="n">
        <v>0</v>
      </c>
      <c r="O489" t="n">
        <v>0</v>
      </c>
      <c r="P489" t="n">
        <v>0</v>
      </c>
      <c r="Q489" t="n">
        <v>0</v>
      </c>
      <c r="R489" s="2" t="inlineStr"/>
    </row>
    <row r="490" ht="15" customHeight="1">
      <c r="A490" t="inlineStr">
        <is>
          <t>A 4408-2025</t>
        </is>
      </c>
      <c r="B490" s="1" t="n">
        <v>45686</v>
      </c>
      <c r="C490" s="1" t="n">
        <v>46032</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52709-2025</t>
        </is>
      </c>
      <c r="B491" s="1" t="n">
        <v>45953</v>
      </c>
      <c r="C491" s="1" t="n">
        <v>46032</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60289-2025</t>
        </is>
      </c>
      <c r="B492" s="1" t="n">
        <v>45994</v>
      </c>
      <c r="C492" s="1" t="n">
        <v>46032</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27045-2021</t>
        </is>
      </c>
      <c r="B493" s="1" t="n">
        <v>44350.43223379629</v>
      </c>
      <c r="C493" s="1" t="n">
        <v>46032</v>
      </c>
      <c r="D493" t="inlineStr">
        <is>
          <t>VÄRMLANDS LÄN</t>
        </is>
      </c>
      <c r="E493" t="inlineStr">
        <is>
          <t>ÅRJÄNG</t>
        </is>
      </c>
      <c r="G493" t="n">
        <v>2</v>
      </c>
      <c r="H493" t="n">
        <v>0</v>
      </c>
      <c r="I493" t="n">
        <v>0</v>
      </c>
      <c r="J493" t="n">
        <v>0</v>
      </c>
      <c r="K493" t="n">
        <v>0</v>
      </c>
      <c r="L493" t="n">
        <v>0</v>
      </c>
      <c r="M493" t="n">
        <v>0</v>
      </c>
      <c r="N493" t="n">
        <v>0</v>
      </c>
      <c r="O493" t="n">
        <v>0</v>
      </c>
      <c r="P493" t="n">
        <v>0</v>
      </c>
      <c r="Q493" t="n">
        <v>0</v>
      </c>
      <c r="R493" s="2" t="inlineStr"/>
    </row>
    <row r="494" ht="15" customHeight="1">
      <c r="A494" t="inlineStr">
        <is>
          <t>A 12687-2025</t>
        </is>
      </c>
      <c r="B494" s="1" t="n">
        <v>45733.44953703704</v>
      </c>
      <c r="C494" s="1" t="n">
        <v>46032</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28554-2025</t>
        </is>
      </c>
      <c r="B495" s="1" t="n">
        <v>45819.53761574074</v>
      </c>
      <c r="C495" s="1" t="n">
        <v>46032</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15951-2025</t>
        </is>
      </c>
      <c r="B496" s="1" t="n">
        <v>45749</v>
      </c>
      <c r="C496" s="1" t="n">
        <v>46032</v>
      </c>
      <c r="D496" t="inlineStr">
        <is>
          <t>VÄRMLANDS LÄN</t>
        </is>
      </c>
      <c r="E496" t="inlineStr">
        <is>
          <t>ÅRJÄNG</t>
        </is>
      </c>
      <c r="F496" t="inlineStr">
        <is>
          <t>Bergvik skog väst AB</t>
        </is>
      </c>
      <c r="G496" t="n">
        <v>5.1</v>
      </c>
      <c r="H496" t="n">
        <v>0</v>
      </c>
      <c r="I496" t="n">
        <v>0</v>
      </c>
      <c r="J496" t="n">
        <v>0</v>
      </c>
      <c r="K496" t="n">
        <v>0</v>
      </c>
      <c r="L496" t="n">
        <v>0</v>
      </c>
      <c r="M496" t="n">
        <v>0</v>
      </c>
      <c r="N496" t="n">
        <v>0</v>
      </c>
      <c r="O496" t="n">
        <v>0</v>
      </c>
      <c r="P496" t="n">
        <v>0</v>
      </c>
      <c r="Q496" t="n">
        <v>0</v>
      </c>
      <c r="R496" s="2" t="inlineStr"/>
    </row>
    <row r="497" ht="15" customHeight="1">
      <c r="A497" t="inlineStr">
        <is>
          <t>A 44300-2025</t>
        </is>
      </c>
      <c r="B497" s="1" t="n">
        <v>45916.3702662037</v>
      </c>
      <c r="C497" s="1" t="n">
        <v>46032</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44452-2025</t>
        </is>
      </c>
      <c r="B498" s="1" t="n">
        <v>45916</v>
      </c>
      <c r="C498" s="1" t="n">
        <v>46032</v>
      </c>
      <c r="D498" t="inlineStr">
        <is>
          <t>VÄRMLANDS LÄN</t>
        </is>
      </c>
      <c r="E498" t="inlineStr">
        <is>
          <t>ÅRJÄNG</t>
        </is>
      </c>
      <c r="G498" t="n">
        <v>3.1</v>
      </c>
      <c r="H498" t="n">
        <v>0</v>
      </c>
      <c r="I498" t="n">
        <v>0</v>
      </c>
      <c r="J498" t="n">
        <v>0</v>
      </c>
      <c r="K498" t="n">
        <v>0</v>
      </c>
      <c r="L498" t="n">
        <v>0</v>
      </c>
      <c r="M498" t="n">
        <v>0</v>
      </c>
      <c r="N498" t="n">
        <v>0</v>
      </c>
      <c r="O498" t="n">
        <v>0</v>
      </c>
      <c r="P498" t="n">
        <v>0</v>
      </c>
      <c r="Q498" t="n">
        <v>0</v>
      </c>
      <c r="R498" s="2" t="inlineStr"/>
    </row>
    <row r="499" ht="15" customHeight="1">
      <c r="A499" t="inlineStr">
        <is>
          <t>A 44456-2025</t>
        </is>
      </c>
      <c r="B499" s="1" t="n">
        <v>45916</v>
      </c>
      <c r="C499" s="1" t="n">
        <v>46032</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57126-2024</t>
        </is>
      </c>
      <c r="B500" s="1" t="n">
        <v>45629.37579861111</v>
      </c>
      <c r="C500" s="1" t="n">
        <v>46032</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44451-2025</t>
        </is>
      </c>
      <c r="B501" s="1" t="n">
        <v>45916</v>
      </c>
      <c r="C501" s="1" t="n">
        <v>46032</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40458-2023</t>
        </is>
      </c>
      <c r="B502" s="1" t="n">
        <v>45170.32993055556</v>
      </c>
      <c r="C502" s="1" t="n">
        <v>46032</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28690-2025</t>
        </is>
      </c>
      <c r="B503" s="1" t="n">
        <v>45819.73236111111</v>
      </c>
      <c r="C503" s="1" t="n">
        <v>46032</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44768-2025</t>
        </is>
      </c>
      <c r="B504" s="1" t="n">
        <v>45917.74274305555</v>
      </c>
      <c r="C504" s="1" t="n">
        <v>46032</v>
      </c>
      <c r="D504" t="inlineStr">
        <is>
          <t>VÄRMLANDS LÄN</t>
        </is>
      </c>
      <c r="E504" t="inlineStr">
        <is>
          <t>ÅRJÄNG</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29136-2025</t>
        </is>
      </c>
      <c r="B505" s="1" t="n">
        <v>45821</v>
      </c>
      <c r="C505" s="1" t="n">
        <v>46032</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29146-2025</t>
        </is>
      </c>
      <c r="B506" s="1" t="n">
        <v>45821</v>
      </c>
      <c r="C506" s="1" t="n">
        <v>46032</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29166-2025</t>
        </is>
      </c>
      <c r="B507" s="1" t="n">
        <v>45821.68682870371</v>
      </c>
      <c r="C507" s="1" t="n">
        <v>46032</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29100-2025</t>
        </is>
      </c>
      <c r="B508" s="1" t="n">
        <v>45821</v>
      </c>
      <c r="C508" s="1" t="n">
        <v>46032</v>
      </c>
      <c r="D508" t="inlineStr">
        <is>
          <t>VÄRMLANDS LÄN</t>
        </is>
      </c>
      <c r="E508" t="inlineStr">
        <is>
          <t>ÅRJÄNG</t>
        </is>
      </c>
      <c r="F508" t="inlineStr">
        <is>
          <t>Bergvik skog väst AB</t>
        </is>
      </c>
      <c r="G508" t="n">
        <v>1.9</v>
      </c>
      <c r="H508" t="n">
        <v>0</v>
      </c>
      <c r="I508" t="n">
        <v>0</v>
      </c>
      <c r="J508" t="n">
        <v>0</v>
      </c>
      <c r="K508" t="n">
        <v>0</v>
      </c>
      <c r="L508" t="n">
        <v>0</v>
      </c>
      <c r="M508" t="n">
        <v>0</v>
      </c>
      <c r="N508" t="n">
        <v>0</v>
      </c>
      <c r="O508" t="n">
        <v>0</v>
      </c>
      <c r="P508" t="n">
        <v>0</v>
      </c>
      <c r="Q508" t="n">
        <v>0</v>
      </c>
      <c r="R508" s="2" t="inlineStr"/>
    </row>
    <row r="509" ht="15" customHeight="1">
      <c r="A509" t="inlineStr">
        <is>
          <t>A 29139-2025</t>
        </is>
      </c>
      <c r="B509" s="1" t="n">
        <v>45821</v>
      </c>
      <c r="C509" s="1" t="n">
        <v>46032</v>
      </c>
      <c r="D509" t="inlineStr">
        <is>
          <t>VÄRMLANDS LÄN</t>
        </is>
      </c>
      <c r="E509" t="inlineStr">
        <is>
          <t>ÅRJÄNG</t>
        </is>
      </c>
      <c r="G509" t="n">
        <v>0.5</v>
      </c>
      <c r="H509" t="n">
        <v>0</v>
      </c>
      <c r="I509" t="n">
        <v>0</v>
      </c>
      <c r="J509" t="n">
        <v>0</v>
      </c>
      <c r="K509" t="n">
        <v>0</v>
      </c>
      <c r="L509" t="n">
        <v>0</v>
      </c>
      <c r="M509" t="n">
        <v>0</v>
      </c>
      <c r="N509" t="n">
        <v>0</v>
      </c>
      <c r="O509" t="n">
        <v>0</v>
      </c>
      <c r="P509" t="n">
        <v>0</v>
      </c>
      <c r="Q509" t="n">
        <v>0</v>
      </c>
      <c r="R509" s="2" t="inlineStr"/>
    </row>
    <row r="510" ht="15" customHeight="1">
      <c r="A510" t="inlineStr">
        <is>
          <t>A 28711-2025</t>
        </is>
      </c>
      <c r="B510" s="1" t="n">
        <v>45820.33701388889</v>
      </c>
      <c r="C510" s="1" t="n">
        <v>46032</v>
      </c>
      <c r="D510" t="inlineStr">
        <is>
          <t>VÄRMLANDS LÄN</t>
        </is>
      </c>
      <c r="E510" t="inlineStr">
        <is>
          <t>ÅRJÄNG</t>
        </is>
      </c>
      <c r="G510" t="n">
        <v>2</v>
      </c>
      <c r="H510" t="n">
        <v>0</v>
      </c>
      <c r="I510" t="n">
        <v>0</v>
      </c>
      <c r="J510" t="n">
        <v>0</v>
      </c>
      <c r="K510" t="n">
        <v>0</v>
      </c>
      <c r="L510" t="n">
        <v>0</v>
      </c>
      <c r="M510" t="n">
        <v>0</v>
      </c>
      <c r="N510" t="n">
        <v>0</v>
      </c>
      <c r="O510" t="n">
        <v>0</v>
      </c>
      <c r="P510" t="n">
        <v>0</v>
      </c>
      <c r="Q510" t="n">
        <v>0</v>
      </c>
      <c r="R510" s="2" t="inlineStr"/>
    </row>
    <row r="511" ht="15" customHeight="1">
      <c r="A511" t="inlineStr">
        <is>
          <t>A 28992-2025</t>
        </is>
      </c>
      <c r="B511" s="1" t="n">
        <v>45821</v>
      </c>
      <c r="C511" s="1" t="n">
        <v>46032</v>
      </c>
      <c r="D511" t="inlineStr">
        <is>
          <t>VÄRMLANDS LÄN</t>
        </is>
      </c>
      <c r="E511" t="inlineStr">
        <is>
          <t>ÅRJÄNG</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28874-2025</t>
        </is>
      </c>
      <c r="B512" s="1" t="n">
        <v>45820</v>
      </c>
      <c r="C512" s="1" t="n">
        <v>46032</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45166-2025</t>
        </is>
      </c>
      <c r="B513" s="1" t="n">
        <v>45919</v>
      </c>
      <c r="C513" s="1" t="n">
        <v>46032</v>
      </c>
      <c r="D513" t="inlineStr">
        <is>
          <t>VÄRMLANDS LÄN</t>
        </is>
      </c>
      <c r="E513" t="inlineStr">
        <is>
          <t>ÅRJÄNG</t>
        </is>
      </c>
      <c r="G513" t="n">
        <v>1</v>
      </c>
      <c r="H513" t="n">
        <v>0</v>
      </c>
      <c r="I513" t="n">
        <v>0</v>
      </c>
      <c r="J513" t="n">
        <v>0</v>
      </c>
      <c r="K513" t="n">
        <v>0</v>
      </c>
      <c r="L513" t="n">
        <v>0</v>
      </c>
      <c r="M513" t="n">
        <v>0</v>
      </c>
      <c r="N513" t="n">
        <v>0</v>
      </c>
      <c r="O513" t="n">
        <v>0</v>
      </c>
      <c r="P513" t="n">
        <v>0</v>
      </c>
      <c r="Q513" t="n">
        <v>0</v>
      </c>
      <c r="R513" s="2" t="inlineStr"/>
    </row>
    <row r="514" ht="15" customHeight="1">
      <c r="A514" t="inlineStr">
        <is>
          <t>A 28793-2025</t>
        </is>
      </c>
      <c r="B514" s="1" t="n">
        <v>45820.47452546296</v>
      </c>
      <c r="C514" s="1" t="n">
        <v>46032</v>
      </c>
      <c r="D514" t="inlineStr">
        <is>
          <t>VÄRMLANDS LÄN</t>
        </is>
      </c>
      <c r="E514" t="inlineStr">
        <is>
          <t>ÅRJÄNG</t>
        </is>
      </c>
      <c r="G514" t="n">
        <v>2.6</v>
      </c>
      <c r="H514" t="n">
        <v>0</v>
      </c>
      <c r="I514" t="n">
        <v>0</v>
      </c>
      <c r="J514" t="n">
        <v>0</v>
      </c>
      <c r="K514" t="n">
        <v>0</v>
      </c>
      <c r="L514" t="n">
        <v>0</v>
      </c>
      <c r="M514" t="n">
        <v>0</v>
      </c>
      <c r="N514" t="n">
        <v>0</v>
      </c>
      <c r="O514" t="n">
        <v>0</v>
      </c>
      <c r="P514" t="n">
        <v>0</v>
      </c>
      <c r="Q514" t="n">
        <v>0</v>
      </c>
      <c r="R514" s="2" t="inlineStr"/>
    </row>
    <row r="515" ht="15" customHeight="1">
      <c r="A515" t="inlineStr">
        <is>
          <t>A 44956-2025</t>
        </is>
      </c>
      <c r="B515" s="1" t="n">
        <v>45918.61452546297</v>
      </c>
      <c r="C515" s="1" t="n">
        <v>46032</v>
      </c>
      <c r="D515" t="inlineStr">
        <is>
          <t>VÄRMLANDS LÄN</t>
        </is>
      </c>
      <c r="E515" t="inlineStr">
        <is>
          <t>ÅRJÄNG</t>
        </is>
      </c>
      <c r="G515" t="n">
        <v>3.7</v>
      </c>
      <c r="H515" t="n">
        <v>0</v>
      </c>
      <c r="I515" t="n">
        <v>0</v>
      </c>
      <c r="J515" t="n">
        <v>0</v>
      </c>
      <c r="K515" t="n">
        <v>0</v>
      </c>
      <c r="L515" t="n">
        <v>0</v>
      </c>
      <c r="M515" t="n">
        <v>0</v>
      </c>
      <c r="N515" t="n">
        <v>0</v>
      </c>
      <c r="O515" t="n">
        <v>0</v>
      </c>
      <c r="P515" t="n">
        <v>0</v>
      </c>
      <c r="Q515" t="n">
        <v>0</v>
      </c>
      <c r="R515" s="2" t="inlineStr"/>
    </row>
    <row r="516" ht="15" customHeight="1">
      <c r="A516" t="inlineStr">
        <is>
          <t>A 5342-2022</t>
        </is>
      </c>
      <c r="B516" s="1" t="n">
        <v>44594.72582175926</v>
      </c>
      <c r="C516" s="1" t="n">
        <v>46032</v>
      </c>
      <c r="D516" t="inlineStr">
        <is>
          <t>VÄRMLANDS LÄN</t>
        </is>
      </c>
      <c r="E516" t="inlineStr">
        <is>
          <t>ÅRJÄNG</t>
        </is>
      </c>
      <c r="G516" t="n">
        <v>1.5</v>
      </c>
      <c r="H516" t="n">
        <v>0</v>
      </c>
      <c r="I516" t="n">
        <v>0</v>
      </c>
      <c r="J516" t="n">
        <v>0</v>
      </c>
      <c r="K516" t="n">
        <v>0</v>
      </c>
      <c r="L516" t="n">
        <v>0</v>
      </c>
      <c r="M516" t="n">
        <v>0</v>
      </c>
      <c r="N516" t="n">
        <v>0</v>
      </c>
      <c r="O516" t="n">
        <v>0</v>
      </c>
      <c r="P516" t="n">
        <v>0</v>
      </c>
      <c r="Q516" t="n">
        <v>0</v>
      </c>
      <c r="R516" s="2" t="inlineStr"/>
    </row>
    <row r="517" ht="15" customHeight="1">
      <c r="A517" t="inlineStr">
        <is>
          <t>A 45192-2025</t>
        </is>
      </c>
      <c r="B517" s="1" t="n">
        <v>45919</v>
      </c>
      <c r="C517" s="1" t="n">
        <v>46032</v>
      </c>
      <c r="D517" t="inlineStr">
        <is>
          <t>VÄRMLANDS LÄN</t>
        </is>
      </c>
      <c r="E517" t="inlineStr">
        <is>
          <t>ÅRJÄNG</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45161-2025</t>
        </is>
      </c>
      <c r="B518" s="1" t="n">
        <v>45919</v>
      </c>
      <c r="C518" s="1" t="n">
        <v>46032</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60279-2025</t>
        </is>
      </c>
      <c r="B519" s="1" t="n">
        <v>45994</v>
      </c>
      <c r="C519" s="1" t="n">
        <v>46032</v>
      </c>
      <c r="D519" t="inlineStr">
        <is>
          <t>VÄRMLANDS LÄN</t>
        </is>
      </c>
      <c r="E519" t="inlineStr">
        <is>
          <t>ÅRJÄNG</t>
        </is>
      </c>
      <c r="G519" t="n">
        <v>0.6</v>
      </c>
      <c r="H519" t="n">
        <v>0</v>
      </c>
      <c r="I519" t="n">
        <v>0</v>
      </c>
      <c r="J519" t="n">
        <v>0</v>
      </c>
      <c r="K519" t="n">
        <v>0</v>
      </c>
      <c r="L519" t="n">
        <v>0</v>
      </c>
      <c r="M519" t="n">
        <v>0</v>
      </c>
      <c r="N519" t="n">
        <v>0</v>
      </c>
      <c r="O519" t="n">
        <v>0</v>
      </c>
      <c r="P519" t="n">
        <v>0</v>
      </c>
      <c r="Q519" t="n">
        <v>0</v>
      </c>
      <c r="R519" s="2" t="inlineStr"/>
    </row>
    <row r="520" ht="15" customHeight="1">
      <c r="A520" t="inlineStr">
        <is>
          <t>A 60283-2025</t>
        </is>
      </c>
      <c r="B520" s="1" t="n">
        <v>45994</v>
      </c>
      <c r="C520" s="1" t="n">
        <v>46032</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28710-2025</t>
        </is>
      </c>
      <c r="B521" s="1" t="n">
        <v>45820.32953703704</v>
      </c>
      <c r="C521" s="1" t="n">
        <v>46032</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28797-2025</t>
        </is>
      </c>
      <c r="B522" s="1" t="n">
        <v>45820.48179398148</v>
      </c>
      <c r="C522" s="1" t="n">
        <v>46032</v>
      </c>
      <c r="D522" t="inlineStr">
        <is>
          <t>VÄRMLANDS LÄN</t>
        </is>
      </c>
      <c r="E522" t="inlineStr">
        <is>
          <t>ÅRJÄNG</t>
        </is>
      </c>
      <c r="G522" t="n">
        <v>3</v>
      </c>
      <c r="H522" t="n">
        <v>0</v>
      </c>
      <c r="I522" t="n">
        <v>0</v>
      </c>
      <c r="J522" t="n">
        <v>0</v>
      </c>
      <c r="K522" t="n">
        <v>0</v>
      </c>
      <c r="L522" t="n">
        <v>0</v>
      </c>
      <c r="M522" t="n">
        <v>0</v>
      </c>
      <c r="N522" t="n">
        <v>0</v>
      </c>
      <c r="O522" t="n">
        <v>0</v>
      </c>
      <c r="P522" t="n">
        <v>0</v>
      </c>
      <c r="Q522" t="n">
        <v>0</v>
      </c>
      <c r="R522" s="2" t="inlineStr"/>
    </row>
    <row r="523" ht="15" customHeight="1">
      <c r="A523" t="inlineStr">
        <is>
          <t>A 45159-2025</t>
        </is>
      </c>
      <c r="B523" s="1" t="n">
        <v>45919</v>
      </c>
      <c r="C523" s="1" t="n">
        <v>46032</v>
      </c>
      <c r="D523" t="inlineStr">
        <is>
          <t>VÄRMLANDS LÄN</t>
        </is>
      </c>
      <c r="E523" t="inlineStr">
        <is>
          <t>ÅRJÄNG</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45162-2025</t>
        </is>
      </c>
      <c r="B524" s="1" t="n">
        <v>45919</v>
      </c>
      <c r="C524" s="1" t="n">
        <v>46032</v>
      </c>
      <c r="D524" t="inlineStr">
        <is>
          <t>VÄRMLANDS LÄN</t>
        </is>
      </c>
      <c r="E524" t="inlineStr">
        <is>
          <t>ÅRJÄNG</t>
        </is>
      </c>
      <c r="G524" t="n">
        <v>3.3</v>
      </c>
      <c r="H524" t="n">
        <v>0</v>
      </c>
      <c r="I524" t="n">
        <v>0</v>
      </c>
      <c r="J524" t="n">
        <v>0</v>
      </c>
      <c r="K524" t="n">
        <v>0</v>
      </c>
      <c r="L524" t="n">
        <v>0</v>
      </c>
      <c r="M524" t="n">
        <v>0</v>
      </c>
      <c r="N524" t="n">
        <v>0</v>
      </c>
      <c r="O524" t="n">
        <v>0</v>
      </c>
      <c r="P524" t="n">
        <v>0</v>
      </c>
      <c r="Q524" t="n">
        <v>0</v>
      </c>
      <c r="R524" s="2" t="inlineStr"/>
    </row>
    <row r="525" ht="15" customHeight="1">
      <c r="A525" t="inlineStr">
        <is>
          <t>A 45203-2025</t>
        </is>
      </c>
      <c r="B525" s="1" t="n">
        <v>45919</v>
      </c>
      <c r="C525" s="1" t="n">
        <v>46032</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29007-2025</t>
        </is>
      </c>
      <c r="B526" s="1" t="n">
        <v>45821</v>
      </c>
      <c r="C526" s="1" t="n">
        <v>46032</v>
      </c>
      <c r="D526" t="inlineStr">
        <is>
          <t>VÄRMLANDS LÄN</t>
        </is>
      </c>
      <c r="E526" t="inlineStr">
        <is>
          <t>ÅRJÄNG</t>
        </is>
      </c>
      <c r="F526" t="inlineStr">
        <is>
          <t>Bergvik skog väst AB</t>
        </is>
      </c>
      <c r="G526" t="n">
        <v>6.2</v>
      </c>
      <c r="H526" t="n">
        <v>0</v>
      </c>
      <c r="I526" t="n">
        <v>0</v>
      </c>
      <c r="J526" t="n">
        <v>0</v>
      </c>
      <c r="K526" t="n">
        <v>0</v>
      </c>
      <c r="L526" t="n">
        <v>0</v>
      </c>
      <c r="M526" t="n">
        <v>0</v>
      </c>
      <c r="N526" t="n">
        <v>0</v>
      </c>
      <c r="O526" t="n">
        <v>0</v>
      </c>
      <c r="P526" t="n">
        <v>0</v>
      </c>
      <c r="Q526" t="n">
        <v>0</v>
      </c>
      <c r="R526" s="2" t="inlineStr"/>
    </row>
    <row r="527" ht="15" customHeight="1">
      <c r="A527" t="inlineStr">
        <is>
          <t>A 44924-2025</t>
        </is>
      </c>
      <c r="B527" s="1" t="n">
        <v>45918</v>
      </c>
      <c r="C527" s="1" t="n">
        <v>46032</v>
      </c>
      <c r="D527" t="inlineStr">
        <is>
          <t>VÄRMLANDS LÄN</t>
        </is>
      </c>
      <c r="E527" t="inlineStr">
        <is>
          <t>ÅRJÄNG</t>
        </is>
      </c>
      <c r="G527" t="n">
        <v>0.8</v>
      </c>
      <c r="H527" t="n">
        <v>0</v>
      </c>
      <c r="I527" t="n">
        <v>0</v>
      </c>
      <c r="J527" t="n">
        <v>0</v>
      </c>
      <c r="K527" t="n">
        <v>0</v>
      </c>
      <c r="L527" t="n">
        <v>0</v>
      </c>
      <c r="M527" t="n">
        <v>0</v>
      </c>
      <c r="N527" t="n">
        <v>0</v>
      </c>
      <c r="O527" t="n">
        <v>0</v>
      </c>
      <c r="P527" t="n">
        <v>0</v>
      </c>
      <c r="Q527" t="n">
        <v>0</v>
      </c>
      <c r="R527" s="2" t="inlineStr"/>
    </row>
    <row r="528" ht="15" customHeight="1">
      <c r="A528" t="inlineStr">
        <is>
          <t>A 45130-2025</t>
        </is>
      </c>
      <c r="B528" s="1" t="n">
        <v>45919</v>
      </c>
      <c r="C528" s="1" t="n">
        <v>46032</v>
      </c>
      <c r="D528" t="inlineStr">
        <is>
          <t>VÄRMLANDS LÄN</t>
        </is>
      </c>
      <c r="E528" t="inlineStr">
        <is>
          <t>ÅRJÄNG</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29026-2025</t>
        </is>
      </c>
      <c r="B529" s="1" t="n">
        <v>45821</v>
      </c>
      <c r="C529" s="1" t="n">
        <v>46032</v>
      </c>
      <c r="D529" t="inlineStr">
        <is>
          <t>VÄRMLANDS LÄN</t>
        </is>
      </c>
      <c r="E529" t="inlineStr">
        <is>
          <t>ÅRJÄNG</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29169-2025</t>
        </is>
      </c>
      <c r="B530" s="1" t="n">
        <v>45821.69650462963</v>
      </c>
      <c r="C530" s="1" t="n">
        <v>46032</v>
      </c>
      <c r="D530" t="inlineStr">
        <is>
          <t>VÄRMLANDS LÄN</t>
        </is>
      </c>
      <c r="E530" t="inlineStr">
        <is>
          <t>ÅRJÄNG</t>
        </is>
      </c>
      <c r="G530" t="n">
        <v>3.6</v>
      </c>
      <c r="H530" t="n">
        <v>0</v>
      </c>
      <c r="I530" t="n">
        <v>0</v>
      </c>
      <c r="J530" t="n">
        <v>0</v>
      </c>
      <c r="K530" t="n">
        <v>0</v>
      </c>
      <c r="L530" t="n">
        <v>0</v>
      </c>
      <c r="M530" t="n">
        <v>0</v>
      </c>
      <c r="N530" t="n">
        <v>0</v>
      </c>
      <c r="O530" t="n">
        <v>0</v>
      </c>
      <c r="P530" t="n">
        <v>0</v>
      </c>
      <c r="Q530" t="n">
        <v>0</v>
      </c>
      <c r="R530" s="2" t="inlineStr"/>
    </row>
    <row r="531" ht="15" customHeight="1">
      <c r="A531" t="inlineStr">
        <is>
          <t>A 29082-2025</t>
        </is>
      </c>
      <c r="B531" s="1" t="n">
        <v>45821</v>
      </c>
      <c r="C531" s="1" t="n">
        <v>46032</v>
      </c>
      <c r="D531" t="inlineStr">
        <is>
          <t>VÄRMLANDS LÄN</t>
        </is>
      </c>
      <c r="E531" t="inlineStr">
        <is>
          <t>ÅRJÄNG</t>
        </is>
      </c>
      <c r="G531" t="n">
        <v>1.8</v>
      </c>
      <c r="H531" t="n">
        <v>0</v>
      </c>
      <c r="I531" t="n">
        <v>0</v>
      </c>
      <c r="J531" t="n">
        <v>0</v>
      </c>
      <c r="K531" t="n">
        <v>0</v>
      </c>
      <c r="L531" t="n">
        <v>0</v>
      </c>
      <c r="M531" t="n">
        <v>0</v>
      </c>
      <c r="N531" t="n">
        <v>0</v>
      </c>
      <c r="O531" t="n">
        <v>0</v>
      </c>
      <c r="P531" t="n">
        <v>0</v>
      </c>
      <c r="Q531" t="n">
        <v>0</v>
      </c>
      <c r="R531" s="2" t="inlineStr"/>
    </row>
    <row r="532" ht="15" customHeight="1">
      <c r="A532" t="inlineStr">
        <is>
          <t>A 28948-2025</t>
        </is>
      </c>
      <c r="B532" s="1" t="n">
        <v>45820</v>
      </c>
      <c r="C532" s="1" t="n">
        <v>46032</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28949-2025</t>
        </is>
      </c>
      <c r="B533" s="1" t="n">
        <v>45820</v>
      </c>
      <c r="C533" s="1" t="n">
        <v>46032</v>
      </c>
      <c r="D533" t="inlineStr">
        <is>
          <t>VÄRMLANDS LÄN</t>
        </is>
      </c>
      <c r="E533" t="inlineStr">
        <is>
          <t>ÅRJÄNG</t>
        </is>
      </c>
      <c r="G533" t="n">
        <v>0.3</v>
      </c>
      <c r="H533" t="n">
        <v>0</v>
      </c>
      <c r="I533" t="n">
        <v>0</v>
      </c>
      <c r="J533" t="n">
        <v>0</v>
      </c>
      <c r="K533" t="n">
        <v>0</v>
      </c>
      <c r="L533" t="n">
        <v>0</v>
      </c>
      <c r="M533" t="n">
        <v>0</v>
      </c>
      <c r="N533" t="n">
        <v>0</v>
      </c>
      <c r="O533" t="n">
        <v>0</v>
      </c>
      <c r="P533" t="n">
        <v>0</v>
      </c>
      <c r="Q533" t="n">
        <v>0</v>
      </c>
      <c r="R533" s="2" t="inlineStr"/>
    </row>
    <row r="534" ht="15" customHeight="1">
      <c r="A534" t="inlineStr">
        <is>
          <t>A 44257-2025</t>
        </is>
      </c>
      <c r="B534" s="1" t="n">
        <v>45915</v>
      </c>
      <c r="C534" s="1" t="n">
        <v>46032</v>
      </c>
      <c r="D534" t="inlineStr">
        <is>
          <t>VÄRMLANDS LÄN</t>
        </is>
      </c>
      <c r="E534" t="inlineStr">
        <is>
          <t>ÅRJÄNG</t>
        </is>
      </c>
      <c r="G534" t="n">
        <v>3.6</v>
      </c>
      <c r="H534" t="n">
        <v>0</v>
      </c>
      <c r="I534" t="n">
        <v>0</v>
      </c>
      <c r="J534" t="n">
        <v>0</v>
      </c>
      <c r="K534" t="n">
        <v>0</v>
      </c>
      <c r="L534" t="n">
        <v>0</v>
      </c>
      <c r="M534" t="n">
        <v>0</v>
      </c>
      <c r="N534" t="n">
        <v>0</v>
      </c>
      <c r="O534" t="n">
        <v>0</v>
      </c>
      <c r="P534" t="n">
        <v>0</v>
      </c>
      <c r="Q534" t="n">
        <v>0</v>
      </c>
      <c r="R534" s="2" t="inlineStr"/>
    </row>
    <row r="535" ht="15" customHeight="1">
      <c r="A535" t="inlineStr">
        <is>
          <t>A 15210-2025</t>
        </is>
      </c>
      <c r="B535" s="1" t="n">
        <v>45744</v>
      </c>
      <c r="C535" s="1" t="n">
        <v>46032</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40360-2024</t>
        </is>
      </c>
      <c r="B536" s="1" t="n">
        <v>45555</v>
      </c>
      <c r="C536" s="1" t="n">
        <v>46032</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45037-2025</t>
        </is>
      </c>
      <c r="B537" s="1" t="n">
        <v>45918</v>
      </c>
      <c r="C537" s="1" t="n">
        <v>46032</v>
      </c>
      <c r="D537" t="inlineStr">
        <is>
          <t>VÄRMLANDS LÄN</t>
        </is>
      </c>
      <c r="E537" t="inlineStr">
        <is>
          <t>ÅRJÄNG</t>
        </is>
      </c>
      <c r="G537" t="n">
        <v>8.5</v>
      </c>
      <c r="H537" t="n">
        <v>0</v>
      </c>
      <c r="I537" t="n">
        <v>0</v>
      </c>
      <c r="J537" t="n">
        <v>0</v>
      </c>
      <c r="K537" t="n">
        <v>0</v>
      </c>
      <c r="L537" t="n">
        <v>0</v>
      </c>
      <c r="M537" t="n">
        <v>0</v>
      </c>
      <c r="N537" t="n">
        <v>0</v>
      </c>
      <c r="O537" t="n">
        <v>0</v>
      </c>
      <c r="P537" t="n">
        <v>0</v>
      </c>
      <c r="Q537" t="n">
        <v>0</v>
      </c>
      <c r="R537" s="2" t="inlineStr"/>
    </row>
    <row r="538" ht="15" customHeight="1">
      <c r="A538" t="inlineStr">
        <is>
          <t>A 11815-2025</t>
        </is>
      </c>
      <c r="B538" s="1" t="n">
        <v>45728.28719907408</v>
      </c>
      <c r="C538" s="1" t="n">
        <v>46032</v>
      </c>
      <c r="D538" t="inlineStr">
        <is>
          <t>VÄRMLANDS LÄN</t>
        </is>
      </c>
      <c r="E538" t="inlineStr">
        <is>
          <t>ÅRJÄNG</t>
        </is>
      </c>
      <c r="G538" t="n">
        <v>2.2</v>
      </c>
      <c r="H538" t="n">
        <v>0</v>
      </c>
      <c r="I538" t="n">
        <v>0</v>
      </c>
      <c r="J538" t="n">
        <v>0</v>
      </c>
      <c r="K538" t="n">
        <v>0</v>
      </c>
      <c r="L538" t="n">
        <v>0</v>
      </c>
      <c r="M538" t="n">
        <v>0</v>
      </c>
      <c r="N538" t="n">
        <v>0</v>
      </c>
      <c r="O538" t="n">
        <v>0</v>
      </c>
      <c r="P538" t="n">
        <v>0</v>
      </c>
      <c r="Q538" t="n">
        <v>0</v>
      </c>
      <c r="R538" s="2" t="inlineStr"/>
    </row>
    <row r="539" ht="15" customHeight="1">
      <c r="A539" t="inlineStr">
        <is>
          <t>A 45137-2025</t>
        </is>
      </c>
      <c r="B539" s="1" t="n">
        <v>45919</v>
      </c>
      <c r="C539" s="1" t="n">
        <v>46032</v>
      </c>
      <c r="D539" t="inlineStr">
        <is>
          <t>VÄRMLANDS LÄN</t>
        </is>
      </c>
      <c r="E539" t="inlineStr">
        <is>
          <t>ÅRJÄNG</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29138-2025</t>
        </is>
      </c>
      <c r="B540" s="1" t="n">
        <v>45821</v>
      </c>
      <c r="C540" s="1" t="n">
        <v>46032</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45099-2025</t>
        </is>
      </c>
      <c r="B541" s="1" t="n">
        <v>45919</v>
      </c>
      <c r="C541" s="1" t="n">
        <v>46032</v>
      </c>
      <c r="D541" t="inlineStr">
        <is>
          <t>VÄRMLANDS LÄN</t>
        </is>
      </c>
      <c r="E541" t="inlineStr">
        <is>
          <t>ÅRJÄNG</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4135-2025</t>
        </is>
      </c>
      <c r="B542" s="1" t="n">
        <v>45685</v>
      </c>
      <c r="C542" s="1" t="n">
        <v>46032</v>
      </c>
      <c r="D542" t="inlineStr">
        <is>
          <t>VÄRMLANDS LÄN</t>
        </is>
      </c>
      <c r="E542" t="inlineStr">
        <is>
          <t>ÅRJÄNG</t>
        </is>
      </c>
      <c r="G542" t="n">
        <v>4.4</v>
      </c>
      <c r="H542" t="n">
        <v>0</v>
      </c>
      <c r="I542" t="n">
        <v>0</v>
      </c>
      <c r="J542" t="n">
        <v>0</v>
      </c>
      <c r="K542" t="n">
        <v>0</v>
      </c>
      <c r="L542" t="n">
        <v>0</v>
      </c>
      <c r="M542" t="n">
        <v>0</v>
      </c>
      <c r="N542" t="n">
        <v>0</v>
      </c>
      <c r="O542" t="n">
        <v>0</v>
      </c>
      <c r="P542" t="n">
        <v>0</v>
      </c>
      <c r="Q542" t="n">
        <v>0</v>
      </c>
      <c r="R542" s="2" t="inlineStr"/>
    </row>
    <row r="543" ht="15" customHeight="1">
      <c r="A543" t="inlineStr">
        <is>
          <t>A 29783-2025</t>
        </is>
      </c>
      <c r="B543" s="1" t="n">
        <v>45825</v>
      </c>
      <c r="C543" s="1" t="n">
        <v>46032</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29624-2025</t>
        </is>
      </c>
      <c r="B544" s="1" t="n">
        <v>45825.44246527777</v>
      </c>
      <c r="C544" s="1" t="n">
        <v>46032</v>
      </c>
      <c r="D544" t="inlineStr">
        <is>
          <t>VÄRMLANDS LÄN</t>
        </is>
      </c>
      <c r="E544" t="inlineStr">
        <is>
          <t>ÅRJÄNG</t>
        </is>
      </c>
      <c r="G544" t="n">
        <v>6.2</v>
      </c>
      <c r="H544" t="n">
        <v>0</v>
      </c>
      <c r="I544" t="n">
        <v>0</v>
      </c>
      <c r="J544" t="n">
        <v>0</v>
      </c>
      <c r="K544" t="n">
        <v>0</v>
      </c>
      <c r="L544" t="n">
        <v>0</v>
      </c>
      <c r="M544" t="n">
        <v>0</v>
      </c>
      <c r="N544" t="n">
        <v>0</v>
      </c>
      <c r="O544" t="n">
        <v>0</v>
      </c>
      <c r="P544" t="n">
        <v>0</v>
      </c>
      <c r="Q544" t="n">
        <v>0</v>
      </c>
      <c r="R544" s="2" t="inlineStr"/>
    </row>
    <row r="545" ht="15" customHeight="1">
      <c r="A545" t="inlineStr">
        <is>
          <t>A 45332-2025</t>
        </is>
      </c>
      <c r="B545" s="1" t="n">
        <v>45922</v>
      </c>
      <c r="C545" s="1" t="n">
        <v>46032</v>
      </c>
      <c r="D545" t="inlineStr">
        <is>
          <t>VÄRMLANDS LÄN</t>
        </is>
      </c>
      <c r="E545" t="inlineStr">
        <is>
          <t>ÅRJÄNG</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45590-2025</t>
        </is>
      </c>
      <c r="B546" s="1" t="n">
        <v>45922</v>
      </c>
      <c r="C546" s="1" t="n">
        <v>46032</v>
      </c>
      <c r="D546" t="inlineStr">
        <is>
          <t>VÄRMLANDS LÄN</t>
        </is>
      </c>
      <c r="E546" t="inlineStr">
        <is>
          <t>ÅRJÄNG</t>
        </is>
      </c>
      <c r="G546" t="n">
        <v>3.2</v>
      </c>
      <c r="H546" t="n">
        <v>0</v>
      </c>
      <c r="I546" t="n">
        <v>0</v>
      </c>
      <c r="J546" t="n">
        <v>0</v>
      </c>
      <c r="K546" t="n">
        <v>0</v>
      </c>
      <c r="L546" t="n">
        <v>0</v>
      </c>
      <c r="M546" t="n">
        <v>0</v>
      </c>
      <c r="N546" t="n">
        <v>0</v>
      </c>
      <c r="O546" t="n">
        <v>0</v>
      </c>
      <c r="P546" t="n">
        <v>0</v>
      </c>
      <c r="Q546" t="n">
        <v>0</v>
      </c>
      <c r="R546" s="2" t="inlineStr"/>
    </row>
    <row r="547" ht="15" customHeight="1">
      <c r="A547" t="inlineStr">
        <is>
          <t>A 45599-2025</t>
        </is>
      </c>
      <c r="B547" s="1" t="n">
        <v>45922</v>
      </c>
      <c r="C547" s="1" t="n">
        <v>46032</v>
      </c>
      <c r="D547" t="inlineStr">
        <is>
          <t>VÄRMLANDS LÄN</t>
        </is>
      </c>
      <c r="E547" t="inlineStr">
        <is>
          <t>ÅRJÄNG</t>
        </is>
      </c>
      <c r="G547" t="n">
        <v>6.7</v>
      </c>
      <c r="H547" t="n">
        <v>0</v>
      </c>
      <c r="I547" t="n">
        <v>0</v>
      </c>
      <c r="J547" t="n">
        <v>0</v>
      </c>
      <c r="K547" t="n">
        <v>0</v>
      </c>
      <c r="L547" t="n">
        <v>0</v>
      </c>
      <c r="M547" t="n">
        <v>0</v>
      </c>
      <c r="N547" t="n">
        <v>0</v>
      </c>
      <c r="O547" t="n">
        <v>0</v>
      </c>
      <c r="P547" t="n">
        <v>0</v>
      </c>
      <c r="Q547" t="n">
        <v>0</v>
      </c>
      <c r="R547" s="2" t="inlineStr"/>
    </row>
    <row r="548" ht="15" customHeight="1">
      <c r="A548" t="inlineStr">
        <is>
          <t>A 45329-2025</t>
        </is>
      </c>
      <c r="B548" s="1" t="n">
        <v>45922</v>
      </c>
      <c r="C548" s="1" t="n">
        <v>46032</v>
      </c>
      <c r="D548" t="inlineStr">
        <is>
          <t>VÄRMLANDS LÄN</t>
        </is>
      </c>
      <c r="E548" t="inlineStr">
        <is>
          <t>ÅRJÄNG</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45581-2025</t>
        </is>
      </c>
      <c r="B549" s="1" t="n">
        <v>45922</v>
      </c>
      <c r="C549" s="1" t="n">
        <v>46032</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29208-2025</t>
        </is>
      </c>
      <c r="B550" s="1" t="n">
        <v>45823.80380787037</v>
      </c>
      <c r="C550" s="1" t="n">
        <v>46032</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29570-2023</t>
        </is>
      </c>
      <c r="B551" s="1" t="n">
        <v>45106.6989699074</v>
      </c>
      <c r="C551" s="1" t="n">
        <v>46032</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45411-2025</t>
        </is>
      </c>
      <c r="B552" s="1" t="n">
        <v>45922</v>
      </c>
      <c r="C552" s="1" t="n">
        <v>46032</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38840-2023</t>
        </is>
      </c>
      <c r="B553" s="1" t="n">
        <v>45163.48267361111</v>
      </c>
      <c r="C553" s="1" t="n">
        <v>46032</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45515-2025</t>
        </is>
      </c>
      <c r="B554" s="1" t="n">
        <v>45922</v>
      </c>
      <c r="C554" s="1" t="n">
        <v>46032</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45906-2025</t>
        </is>
      </c>
      <c r="B555" s="1" t="n">
        <v>45923.70627314815</v>
      </c>
      <c r="C555" s="1" t="n">
        <v>46032</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32095-2024</t>
        </is>
      </c>
      <c r="B556" s="1" t="n">
        <v>45511.39107638889</v>
      </c>
      <c r="C556" s="1" t="n">
        <v>46032</v>
      </c>
      <c r="D556" t="inlineStr">
        <is>
          <t>VÄRMLANDS LÄN</t>
        </is>
      </c>
      <c r="E556" t="inlineStr">
        <is>
          <t>ÅRJÄNG</t>
        </is>
      </c>
      <c r="G556" t="n">
        <v>4.6</v>
      </c>
      <c r="H556" t="n">
        <v>0</v>
      </c>
      <c r="I556" t="n">
        <v>0</v>
      </c>
      <c r="J556" t="n">
        <v>0</v>
      </c>
      <c r="K556" t="n">
        <v>0</v>
      </c>
      <c r="L556" t="n">
        <v>0</v>
      </c>
      <c r="M556" t="n">
        <v>0</v>
      </c>
      <c r="N556" t="n">
        <v>0</v>
      </c>
      <c r="O556" t="n">
        <v>0</v>
      </c>
      <c r="P556" t="n">
        <v>0</v>
      </c>
      <c r="Q556" t="n">
        <v>0</v>
      </c>
      <c r="R556" s="2" t="inlineStr"/>
    </row>
    <row r="557" ht="15" customHeight="1">
      <c r="A557" t="inlineStr">
        <is>
          <t>A 10126-2023</t>
        </is>
      </c>
      <c r="B557" s="1" t="n">
        <v>44980</v>
      </c>
      <c r="C557" s="1" t="n">
        <v>46032</v>
      </c>
      <c r="D557" t="inlineStr">
        <is>
          <t>VÄRMLANDS LÄN</t>
        </is>
      </c>
      <c r="E557" t="inlineStr">
        <is>
          <t>ÅRJÄNG</t>
        </is>
      </c>
      <c r="G557" t="n">
        <v>2</v>
      </c>
      <c r="H557" t="n">
        <v>0</v>
      </c>
      <c r="I557" t="n">
        <v>0</v>
      </c>
      <c r="J557" t="n">
        <v>0</v>
      </c>
      <c r="K557" t="n">
        <v>0</v>
      </c>
      <c r="L557" t="n">
        <v>0</v>
      </c>
      <c r="M557" t="n">
        <v>0</v>
      </c>
      <c r="N557" t="n">
        <v>0</v>
      </c>
      <c r="O557" t="n">
        <v>0</v>
      </c>
      <c r="P557" t="n">
        <v>0</v>
      </c>
      <c r="Q557" t="n">
        <v>0</v>
      </c>
      <c r="R557" s="2" t="inlineStr"/>
    </row>
    <row r="558" ht="15" customHeight="1">
      <c r="A558" t="inlineStr">
        <is>
          <t>A 45524-2025</t>
        </is>
      </c>
      <c r="B558" s="1" t="n">
        <v>45922</v>
      </c>
      <c r="C558" s="1" t="n">
        <v>46032</v>
      </c>
      <c r="D558" t="inlineStr">
        <is>
          <t>VÄRMLANDS LÄN</t>
        </is>
      </c>
      <c r="E558" t="inlineStr">
        <is>
          <t>ÅRJÄNG</t>
        </is>
      </c>
      <c r="G558" t="n">
        <v>2.6</v>
      </c>
      <c r="H558" t="n">
        <v>0</v>
      </c>
      <c r="I558" t="n">
        <v>0</v>
      </c>
      <c r="J558" t="n">
        <v>0</v>
      </c>
      <c r="K558" t="n">
        <v>0</v>
      </c>
      <c r="L558" t="n">
        <v>0</v>
      </c>
      <c r="M558" t="n">
        <v>0</v>
      </c>
      <c r="N558" t="n">
        <v>0</v>
      </c>
      <c r="O558" t="n">
        <v>0</v>
      </c>
      <c r="P558" t="n">
        <v>0</v>
      </c>
      <c r="Q558" t="n">
        <v>0</v>
      </c>
      <c r="R558" s="2" t="inlineStr"/>
    </row>
    <row r="559" ht="15" customHeight="1">
      <c r="A559" t="inlineStr">
        <is>
          <t>A 54437-2021</t>
        </is>
      </c>
      <c r="B559" s="1" t="n">
        <v>44459</v>
      </c>
      <c r="C559" s="1" t="n">
        <v>46032</v>
      </c>
      <c r="D559" t="inlineStr">
        <is>
          <t>VÄRMLANDS LÄN</t>
        </is>
      </c>
      <c r="E559" t="inlineStr">
        <is>
          <t>ÅRJÄNG</t>
        </is>
      </c>
      <c r="G559" t="n">
        <v>3.5</v>
      </c>
      <c r="H559" t="n">
        <v>0</v>
      </c>
      <c r="I559" t="n">
        <v>0</v>
      </c>
      <c r="J559" t="n">
        <v>0</v>
      </c>
      <c r="K559" t="n">
        <v>0</v>
      </c>
      <c r="L559" t="n">
        <v>0</v>
      </c>
      <c r="M559" t="n">
        <v>0</v>
      </c>
      <c r="N559" t="n">
        <v>0</v>
      </c>
      <c r="O559" t="n">
        <v>0</v>
      </c>
      <c r="P559" t="n">
        <v>0</v>
      </c>
      <c r="Q559" t="n">
        <v>0</v>
      </c>
      <c r="R559" s="2" t="inlineStr"/>
    </row>
    <row r="560" ht="15" customHeight="1">
      <c r="A560" t="inlineStr">
        <is>
          <t>A 45907-2025</t>
        </is>
      </c>
      <c r="B560" s="1" t="n">
        <v>45923.70748842593</v>
      </c>
      <c r="C560" s="1" t="n">
        <v>46032</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30134-2025</t>
        </is>
      </c>
      <c r="B561" s="1" t="n">
        <v>45826</v>
      </c>
      <c r="C561" s="1" t="n">
        <v>46032</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32778-2024</t>
        </is>
      </c>
      <c r="B562" s="1" t="n">
        <v>45516.5083912037</v>
      </c>
      <c r="C562" s="1" t="n">
        <v>46032</v>
      </c>
      <c r="D562" t="inlineStr">
        <is>
          <t>VÄRMLANDS LÄN</t>
        </is>
      </c>
      <c r="E562" t="inlineStr">
        <is>
          <t>ÅRJÄNG</t>
        </is>
      </c>
      <c r="G562" t="n">
        <v>2.8</v>
      </c>
      <c r="H562" t="n">
        <v>0</v>
      </c>
      <c r="I562" t="n">
        <v>0</v>
      </c>
      <c r="J562" t="n">
        <v>0</v>
      </c>
      <c r="K562" t="n">
        <v>0</v>
      </c>
      <c r="L562" t="n">
        <v>0</v>
      </c>
      <c r="M562" t="n">
        <v>0</v>
      </c>
      <c r="N562" t="n">
        <v>0</v>
      </c>
      <c r="O562" t="n">
        <v>0</v>
      </c>
      <c r="P562" t="n">
        <v>0</v>
      </c>
      <c r="Q562" t="n">
        <v>0</v>
      </c>
      <c r="R562" s="2" t="inlineStr"/>
    </row>
    <row r="563" ht="15" customHeight="1">
      <c r="A563" t="inlineStr">
        <is>
          <t>A 50509-2024</t>
        </is>
      </c>
      <c r="B563" s="1" t="n">
        <v>45601</v>
      </c>
      <c r="C563" s="1" t="n">
        <v>46032</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17361-2022</t>
        </is>
      </c>
      <c r="B564" s="1" t="n">
        <v>44678.6044675926</v>
      </c>
      <c r="C564" s="1" t="n">
        <v>46032</v>
      </c>
      <c r="D564" t="inlineStr">
        <is>
          <t>VÄRMLANDS LÄN</t>
        </is>
      </c>
      <c r="E564" t="inlineStr">
        <is>
          <t>ÅRJÄNG</t>
        </is>
      </c>
      <c r="G564" t="n">
        <v>5.7</v>
      </c>
      <c r="H564" t="n">
        <v>0</v>
      </c>
      <c r="I564" t="n">
        <v>0</v>
      </c>
      <c r="J564" t="n">
        <v>0</v>
      </c>
      <c r="K564" t="n">
        <v>0</v>
      </c>
      <c r="L564" t="n">
        <v>0</v>
      </c>
      <c r="M564" t="n">
        <v>0</v>
      </c>
      <c r="N564" t="n">
        <v>0</v>
      </c>
      <c r="O564" t="n">
        <v>0</v>
      </c>
      <c r="P564" t="n">
        <v>0</v>
      </c>
      <c r="Q564" t="n">
        <v>0</v>
      </c>
      <c r="R564" s="2" t="inlineStr"/>
    </row>
    <row r="565" ht="15" customHeight="1">
      <c r="A565" t="inlineStr">
        <is>
          <t>A 30604-2025</t>
        </is>
      </c>
      <c r="B565" s="1" t="n">
        <v>45831.45185185185</v>
      </c>
      <c r="C565" s="1" t="n">
        <v>46032</v>
      </c>
      <c r="D565" t="inlineStr">
        <is>
          <t>VÄRMLANDS LÄN</t>
        </is>
      </c>
      <c r="E565" t="inlineStr">
        <is>
          <t>ÅRJÄNG</t>
        </is>
      </c>
      <c r="G565" t="n">
        <v>6.5</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46032</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46301-2025</t>
        </is>
      </c>
      <c r="B567" s="1" t="n">
        <v>45925.41553240741</v>
      </c>
      <c r="C567" s="1" t="n">
        <v>46032</v>
      </c>
      <c r="D567" t="inlineStr">
        <is>
          <t>VÄRMLANDS LÄN</t>
        </is>
      </c>
      <c r="E567" t="inlineStr">
        <is>
          <t>ÅRJÄNG</t>
        </is>
      </c>
      <c r="G567" t="n">
        <v>3.8</v>
      </c>
      <c r="H567" t="n">
        <v>0</v>
      </c>
      <c r="I567" t="n">
        <v>0</v>
      </c>
      <c r="J567" t="n">
        <v>0</v>
      </c>
      <c r="K567" t="n">
        <v>0</v>
      </c>
      <c r="L567" t="n">
        <v>0</v>
      </c>
      <c r="M567" t="n">
        <v>0</v>
      </c>
      <c r="N567" t="n">
        <v>0</v>
      </c>
      <c r="O567" t="n">
        <v>0</v>
      </c>
      <c r="P567" t="n">
        <v>0</v>
      </c>
      <c r="Q567" t="n">
        <v>0</v>
      </c>
      <c r="R567" s="2" t="inlineStr"/>
    </row>
    <row r="568" ht="15" customHeight="1">
      <c r="A568" t="inlineStr">
        <is>
          <t>A 31111-2025</t>
        </is>
      </c>
      <c r="B568" s="1" t="n">
        <v>45831</v>
      </c>
      <c r="C568" s="1" t="n">
        <v>46032</v>
      </c>
      <c r="D568" t="inlineStr">
        <is>
          <t>VÄRMLANDS LÄN</t>
        </is>
      </c>
      <c r="E568" t="inlineStr">
        <is>
          <t>ÅRJÄNG</t>
        </is>
      </c>
      <c r="G568" t="n">
        <v>6</v>
      </c>
      <c r="H568" t="n">
        <v>0</v>
      </c>
      <c r="I568" t="n">
        <v>0</v>
      </c>
      <c r="J568" t="n">
        <v>0</v>
      </c>
      <c r="K568" t="n">
        <v>0</v>
      </c>
      <c r="L568" t="n">
        <v>0</v>
      </c>
      <c r="M568" t="n">
        <v>0</v>
      </c>
      <c r="N568" t="n">
        <v>0</v>
      </c>
      <c r="O568" t="n">
        <v>0</v>
      </c>
      <c r="P568" t="n">
        <v>0</v>
      </c>
      <c r="Q568" t="n">
        <v>0</v>
      </c>
      <c r="R568" s="2" t="inlineStr"/>
    </row>
    <row r="569" ht="15" customHeight="1">
      <c r="A569" t="inlineStr">
        <is>
          <t>A 11401-2025</t>
        </is>
      </c>
      <c r="B569" s="1" t="n">
        <v>45726</v>
      </c>
      <c r="C569" s="1" t="n">
        <v>46032</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61764-2022</t>
        </is>
      </c>
      <c r="B570" s="1" t="n">
        <v>44911</v>
      </c>
      <c r="C570" s="1" t="n">
        <v>46032</v>
      </c>
      <c r="D570" t="inlineStr">
        <is>
          <t>VÄRMLANDS LÄN</t>
        </is>
      </c>
      <c r="E570" t="inlineStr">
        <is>
          <t>ÅRJÄNG</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30579-2025</t>
        </is>
      </c>
      <c r="B571" s="1" t="n">
        <v>45831.41965277777</v>
      </c>
      <c r="C571" s="1" t="n">
        <v>46032</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4189-2025</t>
        </is>
      </c>
      <c r="B572" s="1" t="n">
        <v>45685</v>
      </c>
      <c r="C572" s="1" t="n">
        <v>46032</v>
      </c>
      <c r="D572" t="inlineStr">
        <is>
          <t>VÄRMLANDS LÄN</t>
        </is>
      </c>
      <c r="E572" t="inlineStr">
        <is>
          <t>ÅRJÄNG</t>
        </is>
      </c>
      <c r="G572" t="n">
        <v>3.1</v>
      </c>
      <c r="H572" t="n">
        <v>0</v>
      </c>
      <c r="I572" t="n">
        <v>0</v>
      </c>
      <c r="J572" t="n">
        <v>0</v>
      </c>
      <c r="K572" t="n">
        <v>0</v>
      </c>
      <c r="L572" t="n">
        <v>0</v>
      </c>
      <c r="M572" t="n">
        <v>0</v>
      </c>
      <c r="N572" t="n">
        <v>0</v>
      </c>
      <c r="O572" t="n">
        <v>0</v>
      </c>
      <c r="P572" t="n">
        <v>0</v>
      </c>
      <c r="Q572" t="n">
        <v>0</v>
      </c>
      <c r="R572" s="2" t="inlineStr"/>
    </row>
    <row r="573" ht="15" customHeight="1">
      <c r="A573" t="inlineStr">
        <is>
          <t>A 46942-2025</t>
        </is>
      </c>
      <c r="B573" s="1" t="n">
        <v>45929.45822916667</v>
      </c>
      <c r="C573" s="1" t="n">
        <v>46032</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46957-2024</t>
        </is>
      </c>
      <c r="B574" s="1" t="n">
        <v>45586</v>
      </c>
      <c r="C574" s="1" t="n">
        <v>46032</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30658-2025</t>
        </is>
      </c>
      <c r="B575" s="1" t="n">
        <v>45831.5072337963</v>
      </c>
      <c r="C575" s="1" t="n">
        <v>46032</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30761-2025</t>
        </is>
      </c>
      <c r="B576" s="1" t="n">
        <v>45831</v>
      </c>
      <c r="C576" s="1" t="n">
        <v>46032</v>
      </c>
      <c r="D576" t="inlineStr">
        <is>
          <t>VÄRMLANDS LÄN</t>
        </is>
      </c>
      <c r="E576" t="inlineStr">
        <is>
          <t>ÅRJÄNG</t>
        </is>
      </c>
      <c r="G576" t="n">
        <v>1.5</v>
      </c>
      <c r="H576" t="n">
        <v>0</v>
      </c>
      <c r="I576" t="n">
        <v>0</v>
      </c>
      <c r="J576" t="n">
        <v>0</v>
      </c>
      <c r="K576" t="n">
        <v>0</v>
      </c>
      <c r="L576" t="n">
        <v>0</v>
      </c>
      <c r="M576" t="n">
        <v>0</v>
      </c>
      <c r="N576" t="n">
        <v>0</v>
      </c>
      <c r="O576" t="n">
        <v>0</v>
      </c>
      <c r="P576" t="n">
        <v>0</v>
      </c>
      <c r="Q576" t="n">
        <v>0</v>
      </c>
      <c r="R576" s="2" t="inlineStr"/>
    </row>
    <row r="577" ht="15" customHeight="1">
      <c r="A577" t="inlineStr">
        <is>
          <t>A 30611-2025</t>
        </is>
      </c>
      <c r="B577" s="1" t="n">
        <v>45831.46104166667</v>
      </c>
      <c r="C577" s="1" t="n">
        <v>46032</v>
      </c>
      <c r="D577" t="inlineStr">
        <is>
          <t>VÄRMLANDS LÄN</t>
        </is>
      </c>
      <c r="E577" t="inlineStr">
        <is>
          <t>ÅRJÄNG</t>
        </is>
      </c>
      <c r="G577" t="n">
        <v>5.5</v>
      </c>
      <c r="H577" t="n">
        <v>0</v>
      </c>
      <c r="I577" t="n">
        <v>0</v>
      </c>
      <c r="J577" t="n">
        <v>0</v>
      </c>
      <c r="K577" t="n">
        <v>0</v>
      </c>
      <c r="L577" t="n">
        <v>0</v>
      </c>
      <c r="M577" t="n">
        <v>0</v>
      </c>
      <c r="N577" t="n">
        <v>0</v>
      </c>
      <c r="O577" t="n">
        <v>0</v>
      </c>
      <c r="P577" t="n">
        <v>0</v>
      </c>
      <c r="Q577" t="n">
        <v>0</v>
      </c>
      <c r="R577" s="2" t="inlineStr"/>
    </row>
    <row r="578" ht="15" customHeight="1">
      <c r="A578" t="inlineStr">
        <is>
          <t>A 31063-2025</t>
        </is>
      </c>
      <c r="B578" s="1" t="n">
        <v>45831</v>
      </c>
      <c r="C578" s="1" t="n">
        <v>46032</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31073-2025</t>
        </is>
      </c>
      <c r="B579" s="1" t="n">
        <v>45831</v>
      </c>
      <c r="C579" s="1" t="n">
        <v>46032</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47007-2025</t>
        </is>
      </c>
      <c r="B580" s="1" t="n">
        <v>45929.56689814815</v>
      </c>
      <c r="C580" s="1" t="n">
        <v>46032</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47112-2025</t>
        </is>
      </c>
      <c r="B581" s="1" t="n">
        <v>45929.66966435185</v>
      </c>
      <c r="C581" s="1" t="n">
        <v>46032</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24216-2024</t>
        </is>
      </c>
      <c r="B582" s="1" t="n">
        <v>45457</v>
      </c>
      <c r="C582" s="1" t="n">
        <v>46032</v>
      </c>
      <c r="D582" t="inlineStr">
        <is>
          <t>VÄRMLANDS LÄN</t>
        </is>
      </c>
      <c r="E582" t="inlineStr">
        <is>
          <t>ÅRJÄNG</t>
        </is>
      </c>
      <c r="G582" t="n">
        <v>2</v>
      </c>
      <c r="H582" t="n">
        <v>0</v>
      </c>
      <c r="I582" t="n">
        <v>0</v>
      </c>
      <c r="J582" t="n">
        <v>0</v>
      </c>
      <c r="K582" t="n">
        <v>0</v>
      </c>
      <c r="L582" t="n">
        <v>0</v>
      </c>
      <c r="M582" t="n">
        <v>0</v>
      </c>
      <c r="N582" t="n">
        <v>0</v>
      </c>
      <c r="O582" t="n">
        <v>0</v>
      </c>
      <c r="P582" t="n">
        <v>0</v>
      </c>
      <c r="Q582" t="n">
        <v>0</v>
      </c>
      <c r="R582" s="2" t="inlineStr"/>
    </row>
    <row r="583" ht="15" customHeight="1">
      <c r="A583" t="inlineStr">
        <is>
          <t>A 40366-2022</t>
        </is>
      </c>
      <c r="B583" s="1" t="n">
        <v>44823.38884259259</v>
      </c>
      <c r="C583" s="1" t="n">
        <v>46032</v>
      </c>
      <c r="D583" t="inlineStr">
        <is>
          <t>VÄRMLANDS LÄN</t>
        </is>
      </c>
      <c r="E583" t="inlineStr">
        <is>
          <t>ÅRJÄNG</t>
        </is>
      </c>
      <c r="G583" t="n">
        <v>3.2</v>
      </c>
      <c r="H583" t="n">
        <v>0</v>
      </c>
      <c r="I583" t="n">
        <v>0</v>
      </c>
      <c r="J583" t="n">
        <v>0</v>
      </c>
      <c r="K583" t="n">
        <v>0</v>
      </c>
      <c r="L583" t="n">
        <v>0</v>
      </c>
      <c r="M583" t="n">
        <v>0</v>
      </c>
      <c r="N583" t="n">
        <v>0</v>
      </c>
      <c r="O583" t="n">
        <v>0</v>
      </c>
      <c r="P583" t="n">
        <v>0</v>
      </c>
      <c r="Q583" t="n">
        <v>0</v>
      </c>
      <c r="R583" s="2" t="inlineStr"/>
    </row>
    <row r="584" ht="15" customHeight="1">
      <c r="A584" t="inlineStr">
        <is>
          <t>A 37347-2024</t>
        </is>
      </c>
      <c r="B584" s="1" t="n">
        <v>45540</v>
      </c>
      <c r="C584" s="1" t="n">
        <v>46032</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31433-2025</t>
        </is>
      </c>
      <c r="B585" s="1" t="n">
        <v>45833</v>
      </c>
      <c r="C585" s="1" t="n">
        <v>46032</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3848-2025</t>
        </is>
      </c>
      <c r="B586" s="1" t="n">
        <v>45683</v>
      </c>
      <c r="C586" s="1" t="n">
        <v>46032</v>
      </c>
      <c r="D586" t="inlineStr">
        <is>
          <t>VÄRMLANDS LÄN</t>
        </is>
      </c>
      <c r="E586" t="inlineStr">
        <is>
          <t>ÅRJÄNG</t>
        </is>
      </c>
      <c r="G586" t="n">
        <v>0.9</v>
      </c>
      <c r="H586" t="n">
        <v>0</v>
      </c>
      <c r="I586" t="n">
        <v>0</v>
      </c>
      <c r="J586" t="n">
        <v>0</v>
      </c>
      <c r="K586" t="n">
        <v>0</v>
      </c>
      <c r="L586" t="n">
        <v>0</v>
      </c>
      <c r="M586" t="n">
        <v>0</v>
      </c>
      <c r="N586" t="n">
        <v>0</v>
      </c>
      <c r="O586" t="n">
        <v>0</v>
      </c>
      <c r="P586" t="n">
        <v>0</v>
      </c>
      <c r="Q586" t="n">
        <v>0</v>
      </c>
      <c r="R586" s="2" t="inlineStr"/>
    </row>
    <row r="587" ht="15" customHeight="1">
      <c r="A587" t="inlineStr">
        <is>
          <t>A 31282-2025</t>
        </is>
      </c>
      <c r="B587" s="1" t="n">
        <v>45833</v>
      </c>
      <c r="C587" s="1" t="n">
        <v>46032</v>
      </c>
      <c r="D587" t="inlineStr">
        <is>
          <t>VÄRMLANDS LÄN</t>
        </is>
      </c>
      <c r="E587" t="inlineStr">
        <is>
          <t>ÅRJÄNG</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27240-2023</t>
        </is>
      </c>
      <c r="B588" s="1" t="n">
        <v>45096</v>
      </c>
      <c r="C588" s="1" t="n">
        <v>46032</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32541-2023</t>
        </is>
      </c>
      <c r="B589" s="1" t="n">
        <v>45121.39616898148</v>
      </c>
      <c r="C589" s="1" t="n">
        <v>46032</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31393-2025</t>
        </is>
      </c>
      <c r="B590" s="1" t="n">
        <v>45833.46305555556</v>
      </c>
      <c r="C590" s="1" t="n">
        <v>46032</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60265-2025</t>
        </is>
      </c>
      <c r="B591" s="1" t="n">
        <v>45994</v>
      </c>
      <c r="C591" s="1" t="n">
        <v>46032</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46645-2025</t>
        </is>
      </c>
      <c r="B592" s="1" t="n">
        <v>45926.47527777778</v>
      </c>
      <c r="C592" s="1" t="n">
        <v>46032</v>
      </c>
      <c r="D592" t="inlineStr">
        <is>
          <t>VÄRMLANDS LÄN</t>
        </is>
      </c>
      <c r="E592" t="inlineStr">
        <is>
          <t>ÅRJÄNG</t>
        </is>
      </c>
      <c r="G592" t="n">
        <v>2.8</v>
      </c>
      <c r="H592" t="n">
        <v>0</v>
      </c>
      <c r="I592" t="n">
        <v>0</v>
      </c>
      <c r="J592" t="n">
        <v>0</v>
      </c>
      <c r="K592" t="n">
        <v>0</v>
      </c>
      <c r="L592" t="n">
        <v>0</v>
      </c>
      <c r="M592" t="n">
        <v>0</v>
      </c>
      <c r="N592" t="n">
        <v>0</v>
      </c>
      <c r="O592" t="n">
        <v>0</v>
      </c>
      <c r="P592" t="n">
        <v>0</v>
      </c>
      <c r="Q592" t="n">
        <v>0</v>
      </c>
      <c r="R592" s="2" t="inlineStr"/>
    </row>
    <row r="593" ht="15" customHeight="1">
      <c r="A593" t="inlineStr">
        <is>
          <t>A 31591-2025</t>
        </is>
      </c>
      <c r="B593" s="1" t="n">
        <v>45833</v>
      </c>
      <c r="C593" s="1" t="n">
        <v>46032</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47623-2025</t>
        </is>
      </c>
      <c r="B594" s="1" t="n">
        <v>45931</v>
      </c>
      <c r="C594" s="1" t="n">
        <v>46032</v>
      </c>
      <c r="D594" t="inlineStr">
        <is>
          <t>VÄRMLANDS LÄN</t>
        </is>
      </c>
      <c r="E594" t="inlineStr">
        <is>
          <t>ÅRJÄNG</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47629-2025</t>
        </is>
      </c>
      <c r="B595" s="1" t="n">
        <v>45931</v>
      </c>
      <c r="C595" s="1" t="n">
        <v>46032</v>
      </c>
      <c r="D595" t="inlineStr">
        <is>
          <t>VÄRMLANDS LÄN</t>
        </is>
      </c>
      <c r="E595" t="inlineStr">
        <is>
          <t>ÅRJÄNG</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3734-2023</t>
        </is>
      </c>
      <c r="B596" s="1" t="n">
        <v>44948</v>
      </c>
      <c r="C596" s="1" t="n">
        <v>46032</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61814-2024</t>
        </is>
      </c>
      <c r="B597" s="1" t="n">
        <v>45646</v>
      </c>
      <c r="C597" s="1" t="n">
        <v>46032</v>
      </c>
      <c r="D597" t="inlineStr">
        <is>
          <t>VÄRMLANDS LÄN</t>
        </is>
      </c>
      <c r="E597" t="inlineStr">
        <is>
          <t>ÅRJÄNG</t>
        </is>
      </c>
      <c r="G597" t="n">
        <v>5.3</v>
      </c>
      <c r="H597" t="n">
        <v>0</v>
      </c>
      <c r="I597" t="n">
        <v>0</v>
      </c>
      <c r="J597" t="n">
        <v>0</v>
      </c>
      <c r="K597" t="n">
        <v>0</v>
      </c>
      <c r="L597" t="n">
        <v>0</v>
      </c>
      <c r="M597" t="n">
        <v>0</v>
      </c>
      <c r="N597" t="n">
        <v>0</v>
      </c>
      <c r="O597" t="n">
        <v>0</v>
      </c>
      <c r="P597" t="n">
        <v>0</v>
      </c>
      <c r="Q597" t="n">
        <v>0</v>
      </c>
      <c r="R597" s="2" t="inlineStr"/>
    </row>
    <row r="598" ht="15" customHeight="1">
      <c r="A598" t="inlineStr">
        <is>
          <t>A 47211-2025</t>
        </is>
      </c>
      <c r="B598" s="1" t="n">
        <v>45930.3815625</v>
      </c>
      <c r="C598" s="1" t="n">
        <v>46032</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47604-2025</t>
        </is>
      </c>
      <c r="B599" s="1" t="n">
        <v>45931.46254629629</v>
      </c>
      <c r="C599" s="1" t="n">
        <v>46032</v>
      </c>
      <c r="D599" t="inlineStr">
        <is>
          <t>VÄRMLANDS LÄN</t>
        </is>
      </c>
      <c r="E599" t="inlineStr">
        <is>
          <t>ÅRJÄNG</t>
        </is>
      </c>
      <c r="G599" t="n">
        <v>0.4</v>
      </c>
      <c r="H599" t="n">
        <v>0</v>
      </c>
      <c r="I599" t="n">
        <v>0</v>
      </c>
      <c r="J599" t="n">
        <v>0</v>
      </c>
      <c r="K599" t="n">
        <v>0</v>
      </c>
      <c r="L599" t="n">
        <v>0</v>
      </c>
      <c r="M599" t="n">
        <v>0</v>
      </c>
      <c r="N599" t="n">
        <v>0</v>
      </c>
      <c r="O599" t="n">
        <v>0</v>
      </c>
      <c r="P599" t="n">
        <v>0</v>
      </c>
      <c r="Q599" t="n">
        <v>0</v>
      </c>
      <c r="R599" s="2" t="inlineStr"/>
    </row>
    <row r="600" ht="15" customHeight="1">
      <c r="A600" t="inlineStr">
        <is>
          <t>A 45994-2025</t>
        </is>
      </c>
      <c r="B600" s="1" t="n">
        <v>45924</v>
      </c>
      <c r="C600" s="1" t="n">
        <v>46032</v>
      </c>
      <c r="D600" t="inlineStr">
        <is>
          <t>VÄRMLANDS LÄN</t>
        </is>
      </c>
      <c r="E600" t="inlineStr">
        <is>
          <t>ÅRJÄNG</t>
        </is>
      </c>
      <c r="G600" t="n">
        <v>4</v>
      </c>
      <c r="H600" t="n">
        <v>0</v>
      </c>
      <c r="I600" t="n">
        <v>0</v>
      </c>
      <c r="J600" t="n">
        <v>0</v>
      </c>
      <c r="K600" t="n">
        <v>0</v>
      </c>
      <c r="L600" t="n">
        <v>0</v>
      </c>
      <c r="M600" t="n">
        <v>0</v>
      </c>
      <c r="N600" t="n">
        <v>0</v>
      </c>
      <c r="O600" t="n">
        <v>0</v>
      </c>
      <c r="P600" t="n">
        <v>0</v>
      </c>
      <c r="Q600" t="n">
        <v>0</v>
      </c>
      <c r="R600" s="2" t="inlineStr"/>
    </row>
    <row r="601" ht="15" customHeight="1">
      <c r="A601" t="inlineStr">
        <is>
          <t>A 46023-2025</t>
        </is>
      </c>
      <c r="B601" s="1" t="n">
        <v>45924</v>
      </c>
      <c r="C601" s="1" t="n">
        <v>46032</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47225-2025</t>
        </is>
      </c>
      <c r="B602" s="1" t="n">
        <v>45930.39145833333</v>
      </c>
      <c r="C602" s="1" t="n">
        <v>46032</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47572-2025</t>
        </is>
      </c>
      <c r="B603" s="1" t="n">
        <v>45931.39658564814</v>
      </c>
      <c r="C603" s="1" t="n">
        <v>46032</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47426-2025</t>
        </is>
      </c>
      <c r="B604" s="1" t="n">
        <v>45930.63482638889</v>
      </c>
      <c r="C604" s="1" t="n">
        <v>46032</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47502-2025</t>
        </is>
      </c>
      <c r="B605" s="1" t="n">
        <v>45930.85274305556</v>
      </c>
      <c r="C605" s="1" t="n">
        <v>46032</v>
      </c>
      <c r="D605" t="inlineStr">
        <is>
          <t>VÄRMLANDS LÄN</t>
        </is>
      </c>
      <c r="E605" t="inlineStr">
        <is>
          <t>ÅRJÄNG</t>
        </is>
      </c>
      <c r="G605" t="n">
        <v>10.5</v>
      </c>
      <c r="H605" t="n">
        <v>0</v>
      </c>
      <c r="I605" t="n">
        <v>0</v>
      </c>
      <c r="J605" t="n">
        <v>0</v>
      </c>
      <c r="K605" t="n">
        <v>0</v>
      </c>
      <c r="L605" t="n">
        <v>0</v>
      </c>
      <c r="M605" t="n">
        <v>0</v>
      </c>
      <c r="N605" t="n">
        <v>0</v>
      </c>
      <c r="O605" t="n">
        <v>0</v>
      </c>
      <c r="P605" t="n">
        <v>0</v>
      </c>
      <c r="Q605" t="n">
        <v>0</v>
      </c>
      <c r="R605" s="2" t="inlineStr"/>
    </row>
    <row r="606" ht="15" customHeight="1">
      <c r="A606" t="inlineStr">
        <is>
          <t>A 60658-2025</t>
        </is>
      </c>
      <c r="B606" s="1" t="n">
        <v>45996</v>
      </c>
      <c r="C606" s="1" t="n">
        <v>46032</v>
      </c>
      <c r="D606" t="inlineStr">
        <is>
          <t>VÄRMLANDS LÄN</t>
        </is>
      </c>
      <c r="E606" t="inlineStr">
        <is>
          <t>ÅRJÄNG</t>
        </is>
      </c>
      <c r="G606" t="n">
        <v>10.5</v>
      </c>
      <c r="H606" t="n">
        <v>0</v>
      </c>
      <c r="I606" t="n">
        <v>0</v>
      </c>
      <c r="J606" t="n">
        <v>0</v>
      </c>
      <c r="K606" t="n">
        <v>0</v>
      </c>
      <c r="L606" t="n">
        <v>0</v>
      </c>
      <c r="M606" t="n">
        <v>0</v>
      </c>
      <c r="N606" t="n">
        <v>0</v>
      </c>
      <c r="O606" t="n">
        <v>0</v>
      </c>
      <c r="P606" t="n">
        <v>0</v>
      </c>
      <c r="Q606" t="n">
        <v>0</v>
      </c>
      <c r="R606" s="2" t="inlineStr"/>
    </row>
    <row r="607" ht="15" customHeight="1">
      <c r="A607" t="inlineStr">
        <is>
          <t>A 47695-2025</t>
        </is>
      </c>
      <c r="B607" s="1" t="n">
        <v>45931.59943287037</v>
      </c>
      <c r="C607" s="1" t="n">
        <v>46032</v>
      </c>
      <c r="D607" t="inlineStr">
        <is>
          <t>VÄRMLANDS LÄN</t>
        </is>
      </c>
      <c r="E607" t="inlineStr">
        <is>
          <t>ÅRJÄNG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48225-2025</t>
        </is>
      </c>
      <c r="B608" s="1" t="n">
        <v>45933.50998842593</v>
      </c>
      <c r="C608" s="1" t="n">
        <v>46032</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31710-2025</t>
        </is>
      </c>
      <c r="B609" s="1" t="n">
        <v>45834.4325462963</v>
      </c>
      <c r="C609" s="1" t="n">
        <v>46032</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17015-2023</t>
        </is>
      </c>
      <c r="B610" s="1" t="n">
        <v>45030</v>
      </c>
      <c r="C610" s="1" t="n">
        <v>46032</v>
      </c>
      <c r="D610" t="inlineStr">
        <is>
          <t>VÄRMLANDS LÄN</t>
        </is>
      </c>
      <c r="E610" t="inlineStr">
        <is>
          <t>ÅRJÄNG</t>
        </is>
      </c>
      <c r="F610" t="inlineStr">
        <is>
          <t>Övriga Aktiebolag</t>
        </is>
      </c>
      <c r="G610" t="n">
        <v>13.9</v>
      </c>
      <c r="H610" t="n">
        <v>0</v>
      </c>
      <c r="I610" t="n">
        <v>0</v>
      </c>
      <c r="J610" t="n">
        <v>0</v>
      </c>
      <c r="K610" t="n">
        <v>0</v>
      </c>
      <c r="L610" t="n">
        <v>0</v>
      </c>
      <c r="M610" t="n">
        <v>0</v>
      </c>
      <c r="N610" t="n">
        <v>0</v>
      </c>
      <c r="O610" t="n">
        <v>0</v>
      </c>
      <c r="P610" t="n">
        <v>0</v>
      </c>
      <c r="Q610" t="n">
        <v>0</v>
      </c>
      <c r="R610" s="2" t="inlineStr"/>
    </row>
    <row r="611" ht="15" customHeight="1">
      <c r="A611" t="inlineStr">
        <is>
          <t>A 42667-2023</t>
        </is>
      </c>
      <c r="B611" s="1" t="n">
        <v>45176</v>
      </c>
      <c r="C611" s="1" t="n">
        <v>46032</v>
      </c>
      <c r="D611" t="inlineStr">
        <is>
          <t>VÄRMLANDS LÄN</t>
        </is>
      </c>
      <c r="E611" t="inlineStr">
        <is>
          <t>ÅRJÄNG</t>
        </is>
      </c>
      <c r="G611" t="n">
        <v>2.8</v>
      </c>
      <c r="H611" t="n">
        <v>0</v>
      </c>
      <c r="I611" t="n">
        <v>0</v>
      </c>
      <c r="J611" t="n">
        <v>0</v>
      </c>
      <c r="K611" t="n">
        <v>0</v>
      </c>
      <c r="L611" t="n">
        <v>0</v>
      </c>
      <c r="M611" t="n">
        <v>0</v>
      </c>
      <c r="N611" t="n">
        <v>0</v>
      </c>
      <c r="O611" t="n">
        <v>0</v>
      </c>
      <c r="P611" t="n">
        <v>0</v>
      </c>
      <c r="Q611" t="n">
        <v>0</v>
      </c>
      <c r="R611" s="2" t="inlineStr"/>
    </row>
    <row r="612" ht="15" customHeight="1">
      <c r="A612" t="inlineStr">
        <is>
          <t>A 14710-2025</t>
        </is>
      </c>
      <c r="B612" s="1" t="n">
        <v>45742.60868055555</v>
      </c>
      <c r="C612" s="1" t="n">
        <v>46032</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60826-2025</t>
        </is>
      </c>
      <c r="B613" s="1" t="n">
        <v>45999.46019675926</v>
      </c>
      <c r="C613" s="1" t="n">
        <v>46032</v>
      </c>
      <c r="D613" t="inlineStr">
        <is>
          <t>VÄRMLANDS LÄN</t>
        </is>
      </c>
      <c r="E613" t="inlineStr">
        <is>
          <t>ÅRJÄNG</t>
        </is>
      </c>
      <c r="G613" t="n">
        <v>1.1</v>
      </c>
      <c r="H613" t="n">
        <v>0</v>
      </c>
      <c r="I613" t="n">
        <v>0</v>
      </c>
      <c r="J613" t="n">
        <v>0</v>
      </c>
      <c r="K613" t="n">
        <v>0</v>
      </c>
      <c r="L613" t="n">
        <v>0</v>
      </c>
      <c r="M613" t="n">
        <v>0</v>
      </c>
      <c r="N613" t="n">
        <v>0</v>
      </c>
      <c r="O613" t="n">
        <v>0</v>
      </c>
      <c r="P613" t="n">
        <v>0</v>
      </c>
      <c r="Q613" t="n">
        <v>0</v>
      </c>
      <c r="R613" s="2" t="inlineStr"/>
    </row>
    <row r="614" ht="15" customHeight="1">
      <c r="A614" t="inlineStr">
        <is>
          <t>A 48156-2025</t>
        </is>
      </c>
      <c r="B614" s="1" t="n">
        <v>45933.41744212963</v>
      </c>
      <c r="C614" s="1" t="n">
        <v>46032</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60657-2025</t>
        </is>
      </c>
      <c r="B615" s="1" t="n">
        <v>45996</v>
      </c>
      <c r="C615" s="1" t="n">
        <v>46032</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60659-2025</t>
        </is>
      </c>
      <c r="B616" s="1" t="n">
        <v>45996</v>
      </c>
      <c r="C616" s="1" t="n">
        <v>46032</v>
      </c>
      <c r="D616" t="inlineStr">
        <is>
          <t>VÄRMLANDS LÄN</t>
        </is>
      </c>
      <c r="E616" t="inlineStr">
        <is>
          <t>ÅRJÄNG</t>
        </is>
      </c>
      <c r="G616" t="n">
        <v>10.2</v>
      </c>
      <c r="H616" t="n">
        <v>0</v>
      </c>
      <c r="I616" t="n">
        <v>0</v>
      </c>
      <c r="J616" t="n">
        <v>0</v>
      </c>
      <c r="K616" t="n">
        <v>0</v>
      </c>
      <c r="L616" t="n">
        <v>0</v>
      </c>
      <c r="M616" t="n">
        <v>0</v>
      </c>
      <c r="N616" t="n">
        <v>0</v>
      </c>
      <c r="O616" t="n">
        <v>0</v>
      </c>
      <c r="P616" t="n">
        <v>0</v>
      </c>
      <c r="Q616" t="n">
        <v>0</v>
      </c>
      <c r="R616" s="2" t="inlineStr"/>
    </row>
    <row r="617" ht="15" customHeight="1">
      <c r="A617" t="inlineStr">
        <is>
          <t>A 42241-2024</t>
        </is>
      </c>
      <c r="B617" s="1" t="n">
        <v>45562</v>
      </c>
      <c r="C617" s="1" t="n">
        <v>46032</v>
      </c>
      <c r="D617" t="inlineStr">
        <is>
          <t>VÄRMLANDS LÄN</t>
        </is>
      </c>
      <c r="E617" t="inlineStr">
        <is>
          <t>ÅRJÄNG</t>
        </is>
      </c>
      <c r="G617" t="n">
        <v>4</v>
      </c>
      <c r="H617" t="n">
        <v>0</v>
      </c>
      <c r="I617" t="n">
        <v>0</v>
      </c>
      <c r="J617" t="n">
        <v>0</v>
      </c>
      <c r="K617" t="n">
        <v>0</v>
      </c>
      <c r="L617" t="n">
        <v>0</v>
      </c>
      <c r="M617" t="n">
        <v>0</v>
      </c>
      <c r="N617" t="n">
        <v>0</v>
      </c>
      <c r="O617" t="n">
        <v>0</v>
      </c>
      <c r="P617" t="n">
        <v>0</v>
      </c>
      <c r="Q617" t="n">
        <v>0</v>
      </c>
      <c r="R617" s="2" t="inlineStr"/>
    </row>
    <row r="618" ht="15" customHeight="1">
      <c r="A618" t="inlineStr">
        <is>
          <t>A 32730-2025</t>
        </is>
      </c>
      <c r="B618" s="1" t="n">
        <v>45839.40315972222</v>
      </c>
      <c r="C618" s="1" t="n">
        <v>46032</v>
      </c>
      <c r="D618" t="inlineStr">
        <is>
          <t>VÄRMLANDS LÄN</t>
        </is>
      </c>
      <c r="E618" t="inlineStr">
        <is>
          <t>ÅRJÄNG</t>
        </is>
      </c>
      <c r="F618" t="inlineStr">
        <is>
          <t>Kyrkan</t>
        </is>
      </c>
      <c r="G618" t="n">
        <v>5.9</v>
      </c>
      <c r="H618" t="n">
        <v>0</v>
      </c>
      <c r="I618" t="n">
        <v>0</v>
      </c>
      <c r="J618" t="n">
        <v>0</v>
      </c>
      <c r="K618" t="n">
        <v>0</v>
      </c>
      <c r="L618" t="n">
        <v>0</v>
      </c>
      <c r="M618" t="n">
        <v>0</v>
      </c>
      <c r="N618" t="n">
        <v>0</v>
      </c>
      <c r="O618" t="n">
        <v>0</v>
      </c>
      <c r="P618" t="n">
        <v>0</v>
      </c>
      <c r="Q618" t="n">
        <v>0</v>
      </c>
      <c r="R618" s="2" t="inlineStr"/>
    </row>
    <row r="619" ht="15" customHeight="1">
      <c r="A619" t="inlineStr">
        <is>
          <t>A 48206-2025</t>
        </is>
      </c>
      <c r="B619" s="1" t="n">
        <v>45933.4884837963</v>
      </c>
      <c r="C619" s="1" t="n">
        <v>46032</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60801-2025</t>
        </is>
      </c>
      <c r="B620" s="1" t="n">
        <v>45999.43131944445</v>
      </c>
      <c r="C620" s="1" t="n">
        <v>46032</v>
      </c>
      <c r="D620" t="inlineStr">
        <is>
          <t>VÄRMLANDS LÄN</t>
        </is>
      </c>
      <c r="E620" t="inlineStr">
        <is>
          <t>ÅRJÄNG</t>
        </is>
      </c>
      <c r="G620" t="n">
        <v>3.8</v>
      </c>
      <c r="H620" t="n">
        <v>0</v>
      </c>
      <c r="I620" t="n">
        <v>0</v>
      </c>
      <c r="J620" t="n">
        <v>0</v>
      </c>
      <c r="K620" t="n">
        <v>0</v>
      </c>
      <c r="L620" t="n">
        <v>0</v>
      </c>
      <c r="M620" t="n">
        <v>0</v>
      </c>
      <c r="N620" t="n">
        <v>0</v>
      </c>
      <c r="O620" t="n">
        <v>0</v>
      </c>
      <c r="P620" t="n">
        <v>0</v>
      </c>
      <c r="Q620" t="n">
        <v>0</v>
      </c>
      <c r="R620" s="2" t="inlineStr"/>
    </row>
    <row r="621" ht="15" customHeight="1">
      <c r="A621" t="inlineStr">
        <is>
          <t>A 48567-2025</t>
        </is>
      </c>
      <c r="B621" s="1" t="n">
        <v>45936.44805555556</v>
      </c>
      <c r="C621" s="1" t="n">
        <v>46032</v>
      </c>
      <c r="D621" t="inlineStr">
        <is>
          <t>VÄRMLANDS LÄN</t>
        </is>
      </c>
      <c r="E621" t="inlineStr">
        <is>
          <t>ÅRJÄNG</t>
        </is>
      </c>
      <c r="G621" t="n">
        <v>4</v>
      </c>
      <c r="H621" t="n">
        <v>0</v>
      </c>
      <c r="I621" t="n">
        <v>0</v>
      </c>
      <c r="J621" t="n">
        <v>0</v>
      </c>
      <c r="K621" t="n">
        <v>0</v>
      </c>
      <c r="L621" t="n">
        <v>0</v>
      </c>
      <c r="M621" t="n">
        <v>0</v>
      </c>
      <c r="N621" t="n">
        <v>0</v>
      </c>
      <c r="O621" t="n">
        <v>0</v>
      </c>
      <c r="P621" t="n">
        <v>0</v>
      </c>
      <c r="Q621" t="n">
        <v>0</v>
      </c>
      <c r="R621" s="2" t="inlineStr"/>
    </row>
    <row r="622" ht="15" customHeight="1">
      <c r="A622" t="inlineStr">
        <is>
          <t>A 32330-2025</t>
        </is>
      </c>
      <c r="B622" s="1" t="n">
        <v>45836.50547453704</v>
      </c>
      <c r="C622" s="1" t="n">
        <v>46032</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32324-2025</t>
        </is>
      </c>
      <c r="B623" s="1" t="n">
        <v>45836.43634259259</v>
      </c>
      <c r="C623" s="1" t="n">
        <v>46032</v>
      </c>
      <c r="D623" t="inlineStr">
        <is>
          <t>VÄRMLANDS LÄN</t>
        </is>
      </c>
      <c r="E623" t="inlineStr">
        <is>
          <t>ÅRJÄNG</t>
        </is>
      </c>
      <c r="G623" t="n">
        <v>0.9</v>
      </c>
      <c r="H623" t="n">
        <v>0</v>
      </c>
      <c r="I623" t="n">
        <v>0</v>
      </c>
      <c r="J623" t="n">
        <v>0</v>
      </c>
      <c r="K623" t="n">
        <v>0</v>
      </c>
      <c r="L623" t="n">
        <v>0</v>
      </c>
      <c r="M623" t="n">
        <v>0</v>
      </c>
      <c r="N623" t="n">
        <v>0</v>
      </c>
      <c r="O623" t="n">
        <v>0</v>
      </c>
      <c r="P623" t="n">
        <v>0</v>
      </c>
      <c r="Q623" t="n">
        <v>0</v>
      </c>
      <c r="R623" s="2" t="inlineStr"/>
    </row>
    <row r="624" ht="15" customHeight="1">
      <c r="A624" t="inlineStr">
        <is>
          <t>A 48658-2025</t>
        </is>
      </c>
      <c r="B624" s="1" t="n">
        <v>45936.56628472222</v>
      </c>
      <c r="C624" s="1" t="n">
        <v>46032</v>
      </c>
      <c r="D624" t="inlineStr">
        <is>
          <t>VÄRMLANDS LÄN</t>
        </is>
      </c>
      <c r="E624" t="inlineStr">
        <is>
          <t>ÅRJÄNG</t>
        </is>
      </c>
      <c r="G624" t="n">
        <v>1.6</v>
      </c>
      <c r="H624" t="n">
        <v>0</v>
      </c>
      <c r="I624" t="n">
        <v>0</v>
      </c>
      <c r="J624" t="n">
        <v>0</v>
      </c>
      <c r="K624" t="n">
        <v>0</v>
      </c>
      <c r="L624" t="n">
        <v>0</v>
      </c>
      <c r="M624" t="n">
        <v>0</v>
      </c>
      <c r="N624" t="n">
        <v>0</v>
      </c>
      <c r="O624" t="n">
        <v>0</v>
      </c>
      <c r="P624" t="n">
        <v>0</v>
      </c>
      <c r="Q624" t="n">
        <v>0</v>
      </c>
      <c r="R624" s="2" t="inlineStr"/>
    </row>
    <row r="625" ht="15" customHeight="1">
      <c r="A625" t="inlineStr">
        <is>
          <t>A 55377-2024</t>
        </is>
      </c>
      <c r="B625" s="1" t="n">
        <v>45621.9885300926</v>
      </c>
      <c r="C625" s="1" t="n">
        <v>46032</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23871-2023</t>
        </is>
      </c>
      <c r="B626" s="1" t="n">
        <v>45078</v>
      </c>
      <c r="C626" s="1" t="n">
        <v>46032</v>
      </c>
      <c r="D626" t="inlineStr">
        <is>
          <t>VÄRMLANDS LÄN</t>
        </is>
      </c>
      <c r="E626" t="inlineStr">
        <is>
          <t>ÅRJÄNG</t>
        </is>
      </c>
      <c r="G626" t="n">
        <v>4</v>
      </c>
      <c r="H626" t="n">
        <v>0</v>
      </c>
      <c r="I626" t="n">
        <v>0</v>
      </c>
      <c r="J626" t="n">
        <v>0</v>
      </c>
      <c r="K626" t="n">
        <v>0</v>
      </c>
      <c r="L626" t="n">
        <v>0</v>
      </c>
      <c r="M626" t="n">
        <v>0</v>
      </c>
      <c r="N626" t="n">
        <v>0</v>
      </c>
      <c r="O626" t="n">
        <v>0</v>
      </c>
      <c r="P626" t="n">
        <v>0</v>
      </c>
      <c r="Q626" t="n">
        <v>0</v>
      </c>
      <c r="R626" s="2" t="inlineStr"/>
    </row>
    <row r="627" ht="15" customHeight="1">
      <c r="A627" t="inlineStr">
        <is>
          <t>A 32321-2025</t>
        </is>
      </c>
      <c r="B627" s="1" t="n">
        <v>45836</v>
      </c>
      <c r="C627" s="1" t="n">
        <v>46032</v>
      </c>
      <c r="D627" t="inlineStr">
        <is>
          <t>VÄRMLANDS LÄN</t>
        </is>
      </c>
      <c r="E627" t="inlineStr">
        <is>
          <t>ÅRJÄNG</t>
        </is>
      </c>
      <c r="G627" t="n">
        <v>2.4</v>
      </c>
      <c r="H627" t="n">
        <v>0</v>
      </c>
      <c r="I627" t="n">
        <v>0</v>
      </c>
      <c r="J627" t="n">
        <v>0</v>
      </c>
      <c r="K627" t="n">
        <v>0</v>
      </c>
      <c r="L627" t="n">
        <v>0</v>
      </c>
      <c r="M627" t="n">
        <v>0</v>
      </c>
      <c r="N627" t="n">
        <v>0</v>
      </c>
      <c r="O627" t="n">
        <v>0</v>
      </c>
      <c r="P627" t="n">
        <v>0</v>
      </c>
      <c r="Q627" t="n">
        <v>0</v>
      </c>
      <c r="R627" s="2" t="inlineStr"/>
    </row>
    <row r="628" ht="15" customHeight="1">
      <c r="A628" t="inlineStr">
        <is>
          <t>A 32924-2025</t>
        </is>
      </c>
      <c r="B628" s="1" t="n">
        <v>45839.65589120371</v>
      </c>
      <c r="C628" s="1" t="n">
        <v>46032</v>
      </c>
      <c r="D628" t="inlineStr">
        <is>
          <t>VÄRMLANDS LÄN</t>
        </is>
      </c>
      <c r="E628" t="inlineStr">
        <is>
          <t>ÅRJÄNG</t>
        </is>
      </c>
      <c r="G628" t="n">
        <v>4.5</v>
      </c>
      <c r="H628" t="n">
        <v>0</v>
      </c>
      <c r="I628" t="n">
        <v>0</v>
      </c>
      <c r="J628" t="n">
        <v>0</v>
      </c>
      <c r="K628" t="n">
        <v>0</v>
      </c>
      <c r="L628" t="n">
        <v>0</v>
      </c>
      <c r="M628" t="n">
        <v>0</v>
      </c>
      <c r="N628" t="n">
        <v>0</v>
      </c>
      <c r="O628" t="n">
        <v>0</v>
      </c>
      <c r="P628" t="n">
        <v>0</v>
      </c>
      <c r="Q628" t="n">
        <v>0</v>
      </c>
      <c r="R628" s="2" t="inlineStr"/>
    </row>
    <row r="629" ht="15" customHeight="1">
      <c r="A629" t="inlineStr">
        <is>
          <t>A 32920-2025</t>
        </is>
      </c>
      <c r="B629" s="1" t="n">
        <v>45839</v>
      </c>
      <c r="C629" s="1" t="n">
        <v>46032</v>
      </c>
      <c r="D629" t="inlineStr">
        <is>
          <t>VÄRMLANDS LÄN</t>
        </is>
      </c>
      <c r="E629" t="inlineStr">
        <is>
          <t>ÅRJÄNG</t>
        </is>
      </c>
      <c r="G629" t="n">
        <v>4.8</v>
      </c>
      <c r="H629" t="n">
        <v>0</v>
      </c>
      <c r="I629" t="n">
        <v>0</v>
      </c>
      <c r="J629" t="n">
        <v>0</v>
      </c>
      <c r="K629" t="n">
        <v>0</v>
      </c>
      <c r="L629" t="n">
        <v>0</v>
      </c>
      <c r="M629" t="n">
        <v>0</v>
      </c>
      <c r="N629" t="n">
        <v>0</v>
      </c>
      <c r="O629" t="n">
        <v>0</v>
      </c>
      <c r="P629" t="n">
        <v>0</v>
      </c>
      <c r="Q629" t="n">
        <v>0</v>
      </c>
      <c r="R629" s="2" t="inlineStr"/>
    </row>
    <row r="630" ht="15" customHeight="1">
      <c r="A630" t="inlineStr">
        <is>
          <t>A 32326-2025</t>
        </is>
      </c>
      <c r="B630" s="1" t="n">
        <v>45836.44392361111</v>
      </c>
      <c r="C630" s="1" t="n">
        <v>46032</v>
      </c>
      <c r="D630" t="inlineStr">
        <is>
          <t>VÄRMLANDS LÄN</t>
        </is>
      </c>
      <c r="E630" t="inlineStr">
        <is>
          <t>ÅRJÄNG</t>
        </is>
      </c>
      <c r="G630" t="n">
        <v>0.7</v>
      </c>
      <c r="H630" t="n">
        <v>0</v>
      </c>
      <c r="I630" t="n">
        <v>0</v>
      </c>
      <c r="J630" t="n">
        <v>0</v>
      </c>
      <c r="K630" t="n">
        <v>0</v>
      </c>
      <c r="L630" t="n">
        <v>0</v>
      </c>
      <c r="M630" t="n">
        <v>0</v>
      </c>
      <c r="N630" t="n">
        <v>0</v>
      </c>
      <c r="O630" t="n">
        <v>0</v>
      </c>
      <c r="P630" t="n">
        <v>0</v>
      </c>
      <c r="Q630" t="n">
        <v>0</v>
      </c>
      <c r="R630" s="2" t="inlineStr"/>
    </row>
    <row r="631" ht="15" customHeight="1">
      <c r="A631" t="inlineStr">
        <is>
          <t>A 60663-2025</t>
        </is>
      </c>
      <c r="B631" s="1" t="n">
        <v>45996</v>
      </c>
      <c r="C631" s="1" t="n">
        <v>46032</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33237-2025</t>
        </is>
      </c>
      <c r="B632" s="1" t="n">
        <v>45840</v>
      </c>
      <c r="C632" s="1" t="n">
        <v>46032</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52855-2025</t>
        </is>
      </c>
      <c r="B633" s="1" t="n">
        <v>45957.50030092592</v>
      </c>
      <c r="C633" s="1" t="n">
        <v>46032</v>
      </c>
      <c r="D633" t="inlineStr">
        <is>
          <t>VÄRMLANDS LÄN</t>
        </is>
      </c>
      <c r="E633" t="inlineStr">
        <is>
          <t>ÅRJÄNG</t>
        </is>
      </c>
      <c r="G633" t="n">
        <v>1.7</v>
      </c>
      <c r="H633" t="n">
        <v>0</v>
      </c>
      <c r="I633" t="n">
        <v>0</v>
      </c>
      <c r="J633" t="n">
        <v>0</v>
      </c>
      <c r="K633" t="n">
        <v>0</v>
      </c>
      <c r="L633" t="n">
        <v>0</v>
      </c>
      <c r="M633" t="n">
        <v>0</v>
      </c>
      <c r="N633" t="n">
        <v>0</v>
      </c>
      <c r="O633" t="n">
        <v>0</v>
      </c>
      <c r="P633" t="n">
        <v>0</v>
      </c>
      <c r="Q633" t="n">
        <v>0</v>
      </c>
      <c r="R633" s="2" t="inlineStr"/>
    </row>
    <row r="634" ht="15" customHeight="1">
      <c r="A634" t="inlineStr">
        <is>
          <t>A 49437-2025</t>
        </is>
      </c>
      <c r="B634" s="1" t="n">
        <v>45938.8803587963</v>
      </c>
      <c r="C634" s="1" t="n">
        <v>46032</v>
      </c>
      <c r="D634" t="inlineStr">
        <is>
          <t>VÄRMLANDS LÄN</t>
        </is>
      </c>
      <c r="E634" t="inlineStr">
        <is>
          <t>ÅRJÄNG</t>
        </is>
      </c>
      <c r="G634" t="n">
        <v>5.2</v>
      </c>
      <c r="H634" t="n">
        <v>0</v>
      </c>
      <c r="I634" t="n">
        <v>0</v>
      </c>
      <c r="J634" t="n">
        <v>0</v>
      </c>
      <c r="K634" t="n">
        <v>0</v>
      </c>
      <c r="L634" t="n">
        <v>0</v>
      </c>
      <c r="M634" t="n">
        <v>0</v>
      </c>
      <c r="N634" t="n">
        <v>0</v>
      </c>
      <c r="O634" t="n">
        <v>0</v>
      </c>
      <c r="P634" t="n">
        <v>0</v>
      </c>
      <c r="Q634" t="n">
        <v>0</v>
      </c>
      <c r="R634" s="2" t="inlineStr"/>
    </row>
    <row r="635" ht="15" customHeight="1">
      <c r="A635" t="inlineStr">
        <is>
          <t>A 49424-2025</t>
        </is>
      </c>
      <c r="B635" s="1" t="n">
        <v>45938.72657407408</v>
      </c>
      <c r="C635" s="1" t="n">
        <v>46032</v>
      </c>
      <c r="D635" t="inlineStr">
        <is>
          <t>VÄRMLANDS LÄN</t>
        </is>
      </c>
      <c r="E635" t="inlineStr">
        <is>
          <t>ÅRJÄNG</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7445-2024</t>
        </is>
      </c>
      <c r="B636" s="1" t="n">
        <v>45345.73023148148</v>
      </c>
      <c r="C636" s="1" t="n">
        <v>46032</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33600-2025</t>
        </is>
      </c>
      <c r="B637" s="1" t="n">
        <v>45841.60918981482</v>
      </c>
      <c r="C637" s="1" t="n">
        <v>46032</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33412-2025</t>
        </is>
      </c>
      <c r="B638" s="1" t="n">
        <v>45841</v>
      </c>
      <c r="C638" s="1" t="n">
        <v>46032</v>
      </c>
      <c r="D638" t="inlineStr">
        <is>
          <t>VÄRMLANDS LÄN</t>
        </is>
      </c>
      <c r="E638" t="inlineStr">
        <is>
          <t>ÅRJÄNG</t>
        </is>
      </c>
      <c r="G638" t="n">
        <v>4.1</v>
      </c>
      <c r="H638" t="n">
        <v>0</v>
      </c>
      <c r="I638" t="n">
        <v>0</v>
      </c>
      <c r="J638" t="n">
        <v>0</v>
      </c>
      <c r="K638" t="n">
        <v>0</v>
      </c>
      <c r="L638" t="n">
        <v>0</v>
      </c>
      <c r="M638" t="n">
        <v>0</v>
      </c>
      <c r="N638" t="n">
        <v>0</v>
      </c>
      <c r="O638" t="n">
        <v>0</v>
      </c>
      <c r="P638" t="n">
        <v>0</v>
      </c>
      <c r="Q638" t="n">
        <v>0</v>
      </c>
      <c r="R638" s="2" t="inlineStr"/>
    </row>
    <row r="639" ht="15" customHeight="1">
      <c r="A639" t="inlineStr">
        <is>
          <t>A 49436-2025</t>
        </is>
      </c>
      <c r="B639" s="1" t="n">
        <v>45938.87913194444</v>
      </c>
      <c r="C639" s="1" t="n">
        <v>46032</v>
      </c>
      <c r="D639" t="inlineStr">
        <is>
          <t>VÄRMLANDS LÄN</t>
        </is>
      </c>
      <c r="E639" t="inlineStr">
        <is>
          <t>ÅRJÄNG</t>
        </is>
      </c>
      <c r="G639" t="n">
        <v>13.9</v>
      </c>
      <c r="H639" t="n">
        <v>0</v>
      </c>
      <c r="I639" t="n">
        <v>0</v>
      </c>
      <c r="J639" t="n">
        <v>0</v>
      </c>
      <c r="K639" t="n">
        <v>0</v>
      </c>
      <c r="L639" t="n">
        <v>0</v>
      </c>
      <c r="M639" t="n">
        <v>0</v>
      </c>
      <c r="N639" t="n">
        <v>0</v>
      </c>
      <c r="O639" t="n">
        <v>0</v>
      </c>
      <c r="P639" t="n">
        <v>0</v>
      </c>
      <c r="Q639" t="n">
        <v>0</v>
      </c>
      <c r="R639" s="2" t="inlineStr"/>
    </row>
    <row r="640" ht="15" customHeight="1">
      <c r="A640" t="inlineStr">
        <is>
          <t>A 49439-2025</t>
        </is>
      </c>
      <c r="B640" s="1" t="n">
        <v>45938.88315972222</v>
      </c>
      <c r="C640" s="1" t="n">
        <v>46032</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33526-2025</t>
        </is>
      </c>
      <c r="B641" s="1" t="n">
        <v>45841.54869212963</v>
      </c>
      <c r="C641" s="1" t="n">
        <v>46032</v>
      </c>
      <c r="D641" t="inlineStr">
        <is>
          <t>VÄRMLANDS LÄN</t>
        </is>
      </c>
      <c r="E641" t="inlineStr">
        <is>
          <t>ÅRJÄNG</t>
        </is>
      </c>
      <c r="G641" t="n">
        <v>0.7</v>
      </c>
      <c r="H641" t="n">
        <v>0</v>
      </c>
      <c r="I641" t="n">
        <v>0</v>
      </c>
      <c r="J641" t="n">
        <v>0</v>
      </c>
      <c r="K641" t="n">
        <v>0</v>
      </c>
      <c r="L641" t="n">
        <v>0</v>
      </c>
      <c r="M641" t="n">
        <v>0</v>
      </c>
      <c r="N641" t="n">
        <v>0</v>
      </c>
      <c r="O641" t="n">
        <v>0</v>
      </c>
      <c r="P641" t="n">
        <v>0</v>
      </c>
      <c r="Q641" t="n">
        <v>0</v>
      </c>
      <c r="R641" s="2" t="inlineStr"/>
    </row>
    <row r="642" ht="15" customHeight="1">
      <c r="A642" t="inlineStr">
        <is>
          <t>A 4668-2025</t>
        </is>
      </c>
      <c r="B642" s="1" t="n">
        <v>45687.76229166667</v>
      </c>
      <c r="C642" s="1" t="n">
        <v>46032</v>
      </c>
      <c r="D642" t="inlineStr">
        <is>
          <t>VÄRMLANDS LÄN</t>
        </is>
      </c>
      <c r="E642" t="inlineStr">
        <is>
          <t>ÅRJÄNG</t>
        </is>
      </c>
      <c r="G642" t="n">
        <v>8.5</v>
      </c>
      <c r="H642" t="n">
        <v>0</v>
      </c>
      <c r="I642" t="n">
        <v>0</v>
      </c>
      <c r="J642" t="n">
        <v>0</v>
      </c>
      <c r="K642" t="n">
        <v>0</v>
      </c>
      <c r="L642" t="n">
        <v>0</v>
      </c>
      <c r="M642" t="n">
        <v>0</v>
      </c>
      <c r="N642" t="n">
        <v>0</v>
      </c>
      <c r="O642" t="n">
        <v>0</v>
      </c>
      <c r="P642" t="n">
        <v>0</v>
      </c>
      <c r="Q642" t="n">
        <v>0</v>
      </c>
      <c r="R642" s="2" t="inlineStr"/>
    </row>
    <row r="643" ht="15" customHeight="1">
      <c r="A643" t="inlineStr">
        <is>
          <t>A 47332-2022</t>
        </is>
      </c>
      <c r="B643" s="1" t="n">
        <v>44853</v>
      </c>
      <c r="C643" s="1" t="n">
        <v>46032</v>
      </c>
      <c r="D643" t="inlineStr">
        <is>
          <t>VÄRMLANDS LÄN</t>
        </is>
      </c>
      <c r="E643" t="inlineStr">
        <is>
          <t>ÅRJÄNG</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49441-2025</t>
        </is>
      </c>
      <c r="B644" s="1" t="n">
        <v>45938.88782407407</v>
      </c>
      <c r="C644" s="1" t="n">
        <v>46032</v>
      </c>
      <c r="D644" t="inlineStr">
        <is>
          <t>VÄRMLANDS LÄN</t>
        </is>
      </c>
      <c r="E644" t="inlineStr">
        <is>
          <t>ÅRJÄNG</t>
        </is>
      </c>
      <c r="G644" t="n">
        <v>2.9</v>
      </c>
      <c r="H644" t="n">
        <v>0</v>
      </c>
      <c r="I644" t="n">
        <v>0</v>
      </c>
      <c r="J644" t="n">
        <v>0</v>
      </c>
      <c r="K644" t="n">
        <v>0</v>
      </c>
      <c r="L644" t="n">
        <v>0</v>
      </c>
      <c r="M644" t="n">
        <v>0</v>
      </c>
      <c r="N644" t="n">
        <v>0</v>
      </c>
      <c r="O644" t="n">
        <v>0</v>
      </c>
      <c r="P644" t="n">
        <v>0</v>
      </c>
      <c r="Q644" t="n">
        <v>0</v>
      </c>
      <c r="R644" s="2" t="inlineStr"/>
    </row>
    <row r="645" ht="15" customHeight="1">
      <c r="A645" t="inlineStr">
        <is>
          <t>A 49442-2025</t>
        </is>
      </c>
      <c r="B645" s="1" t="n">
        <v>45938.88975694445</v>
      </c>
      <c r="C645" s="1" t="n">
        <v>46032</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2253-2025</t>
        </is>
      </c>
      <c r="B646" s="1" t="n">
        <v>45673</v>
      </c>
      <c r="C646" s="1" t="n">
        <v>46032</v>
      </c>
      <c r="D646" t="inlineStr">
        <is>
          <t>VÄRMLANDS LÄN</t>
        </is>
      </c>
      <c r="E646" t="inlineStr">
        <is>
          <t>ÅRJÄNG</t>
        </is>
      </c>
      <c r="G646" t="n">
        <v>12.4</v>
      </c>
      <c r="H646" t="n">
        <v>0</v>
      </c>
      <c r="I646" t="n">
        <v>0</v>
      </c>
      <c r="J646" t="n">
        <v>0</v>
      </c>
      <c r="K646" t="n">
        <v>0</v>
      </c>
      <c r="L646" t="n">
        <v>0</v>
      </c>
      <c r="M646" t="n">
        <v>0</v>
      </c>
      <c r="N646" t="n">
        <v>0</v>
      </c>
      <c r="O646" t="n">
        <v>0</v>
      </c>
      <c r="P646" t="n">
        <v>0</v>
      </c>
      <c r="Q646" t="n">
        <v>0</v>
      </c>
      <c r="R646" s="2" t="inlineStr"/>
    </row>
    <row r="647" ht="15" customHeight="1">
      <c r="A647" t="inlineStr">
        <is>
          <t>A 49728-2025</t>
        </is>
      </c>
      <c r="B647" s="1" t="n">
        <v>45939</v>
      </c>
      <c r="C647" s="1" t="n">
        <v>46032</v>
      </c>
      <c r="D647" t="inlineStr">
        <is>
          <t>VÄRMLANDS LÄN</t>
        </is>
      </c>
      <c r="E647" t="inlineStr">
        <is>
          <t>ÅRJÄNG</t>
        </is>
      </c>
      <c r="G647" t="n">
        <v>22</v>
      </c>
      <c r="H647" t="n">
        <v>0</v>
      </c>
      <c r="I647" t="n">
        <v>0</v>
      </c>
      <c r="J647" t="n">
        <v>0</v>
      </c>
      <c r="K647" t="n">
        <v>0</v>
      </c>
      <c r="L647" t="n">
        <v>0</v>
      </c>
      <c r="M647" t="n">
        <v>0</v>
      </c>
      <c r="N647" t="n">
        <v>0</v>
      </c>
      <c r="O647" t="n">
        <v>0</v>
      </c>
      <c r="P647" t="n">
        <v>0</v>
      </c>
      <c r="Q647" t="n">
        <v>0</v>
      </c>
      <c r="R647" s="2" t="inlineStr"/>
    </row>
    <row r="648" ht="15" customHeight="1">
      <c r="A648" t="inlineStr">
        <is>
          <t>A 11265-2021</t>
        </is>
      </c>
      <c r="B648" s="1" t="n">
        <v>44263.44670138889</v>
      </c>
      <c r="C648" s="1" t="n">
        <v>46032</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49727-2025</t>
        </is>
      </c>
      <c r="B649" s="1" t="n">
        <v>45939</v>
      </c>
      <c r="C649" s="1" t="n">
        <v>46032</v>
      </c>
      <c r="D649" t="inlineStr">
        <is>
          <t>VÄRMLANDS LÄN</t>
        </is>
      </c>
      <c r="E649" t="inlineStr">
        <is>
          <t>ÅRJÄNG</t>
        </is>
      </c>
      <c r="G649" t="n">
        <v>22</v>
      </c>
      <c r="H649" t="n">
        <v>0</v>
      </c>
      <c r="I649" t="n">
        <v>0</v>
      </c>
      <c r="J649" t="n">
        <v>0</v>
      </c>
      <c r="K649" t="n">
        <v>0</v>
      </c>
      <c r="L649" t="n">
        <v>0</v>
      </c>
      <c r="M649" t="n">
        <v>0</v>
      </c>
      <c r="N649" t="n">
        <v>0</v>
      </c>
      <c r="O649" t="n">
        <v>0</v>
      </c>
      <c r="P649" t="n">
        <v>0</v>
      </c>
      <c r="Q649" t="n">
        <v>0</v>
      </c>
      <c r="R649" s="2" t="inlineStr"/>
    </row>
    <row r="650" ht="15" customHeight="1">
      <c r="A650" t="inlineStr">
        <is>
          <t>A 12068-2022</t>
        </is>
      </c>
      <c r="B650" s="1" t="n">
        <v>44636</v>
      </c>
      <c r="C650" s="1" t="n">
        <v>46032</v>
      </c>
      <c r="D650" t="inlineStr">
        <is>
          <t>VÄRMLANDS LÄN</t>
        </is>
      </c>
      <c r="E650" t="inlineStr">
        <is>
          <t>ÅRJÄNG</t>
        </is>
      </c>
      <c r="G650" t="n">
        <v>4.3</v>
      </c>
      <c r="H650" t="n">
        <v>0</v>
      </c>
      <c r="I650" t="n">
        <v>0</v>
      </c>
      <c r="J650" t="n">
        <v>0</v>
      </c>
      <c r="K650" t="n">
        <v>0</v>
      </c>
      <c r="L650" t="n">
        <v>0</v>
      </c>
      <c r="M650" t="n">
        <v>0</v>
      </c>
      <c r="N650" t="n">
        <v>0</v>
      </c>
      <c r="O650" t="n">
        <v>0</v>
      </c>
      <c r="P650" t="n">
        <v>0</v>
      </c>
      <c r="Q650" t="n">
        <v>0</v>
      </c>
      <c r="R650" s="2" t="inlineStr"/>
    </row>
    <row r="651" ht="15" customHeight="1">
      <c r="A651" t="inlineStr">
        <is>
          <t>A 49540-2025</t>
        </is>
      </c>
      <c r="B651" s="1" t="n">
        <v>45939.42537037037</v>
      </c>
      <c r="C651" s="1" t="n">
        <v>46032</v>
      </c>
      <c r="D651" t="inlineStr">
        <is>
          <t>VÄRMLANDS LÄN</t>
        </is>
      </c>
      <c r="E651" t="inlineStr">
        <is>
          <t>ÅRJÄNG</t>
        </is>
      </c>
      <c r="G651" t="n">
        <v>3.5</v>
      </c>
      <c r="H651" t="n">
        <v>0</v>
      </c>
      <c r="I651" t="n">
        <v>0</v>
      </c>
      <c r="J651" t="n">
        <v>0</v>
      </c>
      <c r="K651" t="n">
        <v>0</v>
      </c>
      <c r="L651" t="n">
        <v>0</v>
      </c>
      <c r="M651" t="n">
        <v>0</v>
      </c>
      <c r="N651" t="n">
        <v>0</v>
      </c>
      <c r="O651" t="n">
        <v>0</v>
      </c>
      <c r="P651" t="n">
        <v>0</v>
      </c>
      <c r="Q651" t="n">
        <v>0</v>
      </c>
      <c r="R651" s="2" t="inlineStr"/>
    </row>
    <row r="652" ht="15" customHeight="1">
      <c r="A652" t="inlineStr">
        <is>
          <t>A 57142-2024</t>
        </is>
      </c>
      <c r="B652" s="1" t="n">
        <v>45628</v>
      </c>
      <c r="C652" s="1" t="n">
        <v>46032</v>
      </c>
      <c r="D652" t="inlineStr">
        <is>
          <t>VÄRMLANDS LÄN</t>
        </is>
      </c>
      <c r="E652" t="inlineStr">
        <is>
          <t>ÅRJÄNG</t>
        </is>
      </c>
      <c r="G652" t="n">
        <v>5.4</v>
      </c>
      <c r="H652" t="n">
        <v>0</v>
      </c>
      <c r="I652" t="n">
        <v>0</v>
      </c>
      <c r="J652" t="n">
        <v>0</v>
      </c>
      <c r="K652" t="n">
        <v>0</v>
      </c>
      <c r="L652" t="n">
        <v>0</v>
      </c>
      <c r="M652" t="n">
        <v>0</v>
      </c>
      <c r="N652" t="n">
        <v>0</v>
      </c>
      <c r="O652" t="n">
        <v>0</v>
      </c>
      <c r="P652" t="n">
        <v>0</v>
      </c>
      <c r="Q652" t="n">
        <v>0</v>
      </c>
      <c r="R652" s="2" t="inlineStr"/>
    </row>
    <row r="653" ht="15" customHeight="1">
      <c r="A653" t="inlineStr">
        <is>
          <t>A 33481-2025</t>
        </is>
      </c>
      <c r="B653" s="1" t="n">
        <v>45841</v>
      </c>
      <c r="C653" s="1" t="n">
        <v>46032</v>
      </c>
      <c r="D653" t="inlineStr">
        <is>
          <t>VÄRMLANDS LÄN</t>
        </is>
      </c>
      <c r="E653" t="inlineStr">
        <is>
          <t>ÅRJÄNG</t>
        </is>
      </c>
      <c r="G653" t="n">
        <v>10.3</v>
      </c>
      <c r="H653" t="n">
        <v>0</v>
      </c>
      <c r="I653" t="n">
        <v>0</v>
      </c>
      <c r="J653" t="n">
        <v>0</v>
      </c>
      <c r="K653" t="n">
        <v>0</v>
      </c>
      <c r="L653" t="n">
        <v>0</v>
      </c>
      <c r="M653" t="n">
        <v>0</v>
      </c>
      <c r="N653" t="n">
        <v>0</v>
      </c>
      <c r="O653" t="n">
        <v>0</v>
      </c>
      <c r="P653" t="n">
        <v>0</v>
      </c>
      <c r="Q653" t="n">
        <v>0</v>
      </c>
      <c r="R653" s="2" t="inlineStr"/>
    </row>
    <row r="654" ht="15" customHeight="1">
      <c r="A654" t="inlineStr">
        <is>
          <t>A 37061-2023</t>
        </is>
      </c>
      <c r="B654" s="1" t="n">
        <v>45155</v>
      </c>
      <c r="C654" s="1" t="n">
        <v>46032</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33998-2025</t>
        </is>
      </c>
      <c r="B655" s="1" t="n">
        <v>45843.99453703704</v>
      </c>
      <c r="C655" s="1" t="n">
        <v>46032</v>
      </c>
      <c r="D655" t="inlineStr">
        <is>
          <t>VÄRMLANDS LÄN</t>
        </is>
      </c>
      <c r="E655" t="inlineStr">
        <is>
          <t>ÅRJÄNG</t>
        </is>
      </c>
      <c r="F655" t="inlineStr">
        <is>
          <t>Kyrkan</t>
        </is>
      </c>
      <c r="G655" t="n">
        <v>2</v>
      </c>
      <c r="H655" t="n">
        <v>0</v>
      </c>
      <c r="I655" t="n">
        <v>0</v>
      </c>
      <c r="J655" t="n">
        <v>0</v>
      </c>
      <c r="K655" t="n">
        <v>0</v>
      </c>
      <c r="L655" t="n">
        <v>0</v>
      </c>
      <c r="M655" t="n">
        <v>0</v>
      </c>
      <c r="N655" t="n">
        <v>0</v>
      </c>
      <c r="O655" t="n">
        <v>0</v>
      </c>
      <c r="P655" t="n">
        <v>0</v>
      </c>
      <c r="Q655" t="n">
        <v>0</v>
      </c>
      <c r="R655" s="2" t="inlineStr"/>
    </row>
    <row r="656" ht="15" customHeight="1">
      <c r="A656" t="inlineStr">
        <is>
          <t>A 23870-2023</t>
        </is>
      </c>
      <c r="B656" s="1" t="n">
        <v>45078</v>
      </c>
      <c r="C656" s="1" t="n">
        <v>46032</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34248-2025</t>
        </is>
      </c>
      <c r="B657" s="1" t="n">
        <v>45845</v>
      </c>
      <c r="C657" s="1" t="n">
        <v>46032</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74448-2021</t>
        </is>
      </c>
      <c r="B658" s="1" t="n">
        <v>44560.47202546296</v>
      </c>
      <c r="C658" s="1" t="n">
        <v>46032</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12907-2022</t>
        </is>
      </c>
      <c r="B659" s="1" t="n">
        <v>44642.62002314815</v>
      </c>
      <c r="C659" s="1" t="n">
        <v>46032</v>
      </c>
      <c r="D659" t="inlineStr">
        <is>
          <t>VÄRMLANDS LÄN</t>
        </is>
      </c>
      <c r="E659" t="inlineStr">
        <is>
          <t>ÅRJÄNG</t>
        </is>
      </c>
      <c r="G659" t="n">
        <v>7.3</v>
      </c>
      <c r="H659" t="n">
        <v>0</v>
      </c>
      <c r="I659" t="n">
        <v>0</v>
      </c>
      <c r="J659" t="n">
        <v>0</v>
      </c>
      <c r="K659" t="n">
        <v>0</v>
      </c>
      <c r="L659" t="n">
        <v>0</v>
      </c>
      <c r="M659" t="n">
        <v>0</v>
      </c>
      <c r="N659" t="n">
        <v>0</v>
      </c>
      <c r="O659" t="n">
        <v>0</v>
      </c>
      <c r="P659" t="n">
        <v>0</v>
      </c>
      <c r="Q659" t="n">
        <v>0</v>
      </c>
      <c r="R659" s="2" t="inlineStr"/>
    </row>
    <row r="660" ht="15" customHeight="1">
      <c r="A660" t="inlineStr">
        <is>
          <t>A 50187-2025</t>
        </is>
      </c>
      <c r="B660" s="1" t="n">
        <v>45943.62962962963</v>
      </c>
      <c r="C660" s="1" t="n">
        <v>46032</v>
      </c>
      <c r="D660" t="inlineStr">
        <is>
          <t>VÄRMLANDS LÄN</t>
        </is>
      </c>
      <c r="E660" t="inlineStr">
        <is>
          <t>ÅRJÄNG</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50114-2025</t>
        </is>
      </c>
      <c r="B661" s="1" t="n">
        <v>45943</v>
      </c>
      <c r="C661" s="1" t="n">
        <v>46032</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34243-2025</t>
        </is>
      </c>
      <c r="B662" s="1" t="n">
        <v>45845</v>
      </c>
      <c r="C662" s="1" t="n">
        <v>46032</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57178-2023</t>
        </is>
      </c>
      <c r="B663" s="1" t="n">
        <v>45240</v>
      </c>
      <c r="C663" s="1" t="n">
        <v>46032</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49959-2025</t>
        </is>
      </c>
      <c r="B664" s="1" t="n">
        <v>45941.33649305555</v>
      </c>
      <c r="C664" s="1" t="n">
        <v>46032</v>
      </c>
      <c r="D664" t="inlineStr">
        <is>
          <t>VÄRMLANDS LÄN</t>
        </is>
      </c>
      <c r="E664" t="inlineStr">
        <is>
          <t>ÅRJÄNG</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49914-2025</t>
        </is>
      </c>
      <c r="B665" s="1" t="n">
        <v>45940.61268518519</v>
      </c>
      <c r="C665" s="1" t="n">
        <v>46032</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49936-2025</t>
        </is>
      </c>
      <c r="B666" s="1" t="n">
        <v>45940.66287037037</v>
      </c>
      <c r="C666" s="1" t="n">
        <v>46032</v>
      </c>
      <c r="D666" t="inlineStr">
        <is>
          <t>VÄRMLANDS LÄN</t>
        </is>
      </c>
      <c r="E666" t="inlineStr">
        <is>
          <t>ÅRJÄNG</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33993-2025</t>
        </is>
      </c>
      <c r="B667" s="1" t="n">
        <v>45843.61189814815</v>
      </c>
      <c r="C667" s="1" t="n">
        <v>46032</v>
      </c>
      <c r="D667" t="inlineStr">
        <is>
          <t>VÄRMLANDS LÄN</t>
        </is>
      </c>
      <c r="E667" t="inlineStr">
        <is>
          <t>ÅRJÄNG</t>
        </is>
      </c>
      <c r="G667" t="n">
        <v>2.4</v>
      </c>
      <c r="H667" t="n">
        <v>0</v>
      </c>
      <c r="I667" t="n">
        <v>0</v>
      </c>
      <c r="J667" t="n">
        <v>0</v>
      </c>
      <c r="K667" t="n">
        <v>0</v>
      </c>
      <c r="L667" t="n">
        <v>0</v>
      </c>
      <c r="M667" t="n">
        <v>0</v>
      </c>
      <c r="N667" t="n">
        <v>0</v>
      </c>
      <c r="O667" t="n">
        <v>0</v>
      </c>
      <c r="P667" t="n">
        <v>0</v>
      </c>
      <c r="Q667" t="n">
        <v>0</v>
      </c>
      <c r="R667" s="2" t="inlineStr"/>
    </row>
    <row r="668" ht="15" customHeight="1">
      <c r="A668" t="inlineStr">
        <is>
          <t>A 34230-2025</t>
        </is>
      </c>
      <c r="B668" s="1" t="n">
        <v>45845</v>
      </c>
      <c r="C668" s="1" t="n">
        <v>46032</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34235-2025</t>
        </is>
      </c>
      <c r="B669" s="1" t="n">
        <v>45845</v>
      </c>
      <c r="C669" s="1" t="n">
        <v>46032</v>
      </c>
      <c r="D669" t="inlineStr">
        <is>
          <t>VÄRMLANDS LÄN</t>
        </is>
      </c>
      <c r="E669" t="inlineStr">
        <is>
          <t>ÅRJÄNG</t>
        </is>
      </c>
      <c r="G669" t="n">
        <v>3.5</v>
      </c>
      <c r="H669" t="n">
        <v>0</v>
      </c>
      <c r="I669" t="n">
        <v>0</v>
      </c>
      <c r="J669" t="n">
        <v>0</v>
      </c>
      <c r="K669" t="n">
        <v>0</v>
      </c>
      <c r="L669" t="n">
        <v>0</v>
      </c>
      <c r="M669" t="n">
        <v>0</v>
      </c>
      <c r="N669" t="n">
        <v>0</v>
      </c>
      <c r="O669" t="n">
        <v>0</v>
      </c>
      <c r="P669" t="n">
        <v>0</v>
      </c>
      <c r="Q669" t="n">
        <v>0</v>
      </c>
      <c r="R669" s="2" t="inlineStr"/>
    </row>
    <row r="670" ht="15" customHeight="1">
      <c r="A670" t="inlineStr">
        <is>
          <t>A 49958-2025</t>
        </is>
      </c>
      <c r="B670" s="1" t="n">
        <v>45941.33325231481</v>
      </c>
      <c r="C670" s="1" t="n">
        <v>46032</v>
      </c>
      <c r="D670" t="inlineStr">
        <is>
          <t>VÄRMLANDS LÄN</t>
        </is>
      </c>
      <c r="E670" t="inlineStr">
        <is>
          <t>ÅRJÄNG</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13784-2024</t>
        </is>
      </c>
      <c r="B671" s="1" t="n">
        <v>45391.33817129629</v>
      </c>
      <c r="C671" s="1" t="n">
        <v>46032</v>
      </c>
      <c r="D671" t="inlineStr">
        <is>
          <t>VÄRMLANDS LÄN</t>
        </is>
      </c>
      <c r="E671" t="inlineStr">
        <is>
          <t>ÅRJÄNG</t>
        </is>
      </c>
      <c r="G671" t="n">
        <v>2.1</v>
      </c>
      <c r="H671" t="n">
        <v>0</v>
      </c>
      <c r="I671" t="n">
        <v>0</v>
      </c>
      <c r="J671" t="n">
        <v>0</v>
      </c>
      <c r="K671" t="n">
        <v>0</v>
      </c>
      <c r="L671" t="n">
        <v>0</v>
      </c>
      <c r="M671" t="n">
        <v>0</v>
      </c>
      <c r="N671" t="n">
        <v>0</v>
      </c>
      <c r="O671" t="n">
        <v>0</v>
      </c>
      <c r="P671" t="n">
        <v>0</v>
      </c>
      <c r="Q671" t="n">
        <v>0</v>
      </c>
      <c r="R671" s="2" t="inlineStr"/>
    </row>
    <row r="672" ht="15" customHeight="1">
      <c r="A672" t="inlineStr">
        <is>
          <t>A 50112-2025</t>
        </is>
      </c>
      <c r="B672" s="1" t="n">
        <v>45943</v>
      </c>
      <c r="C672" s="1" t="n">
        <v>46032</v>
      </c>
      <c r="D672" t="inlineStr">
        <is>
          <t>VÄRMLANDS LÄN</t>
        </is>
      </c>
      <c r="E672" t="inlineStr">
        <is>
          <t>ÅRJÄNG</t>
        </is>
      </c>
      <c r="G672" t="n">
        <v>2.2</v>
      </c>
      <c r="H672" t="n">
        <v>0</v>
      </c>
      <c r="I672" t="n">
        <v>0</v>
      </c>
      <c r="J672" t="n">
        <v>0</v>
      </c>
      <c r="K672" t="n">
        <v>0</v>
      </c>
      <c r="L672" t="n">
        <v>0</v>
      </c>
      <c r="M672" t="n">
        <v>0</v>
      </c>
      <c r="N672" t="n">
        <v>0</v>
      </c>
      <c r="O672" t="n">
        <v>0</v>
      </c>
      <c r="P672" t="n">
        <v>0</v>
      </c>
      <c r="Q672" t="n">
        <v>0</v>
      </c>
      <c r="R672" s="2" t="inlineStr"/>
    </row>
    <row r="673" ht="15" customHeight="1">
      <c r="A673" t="inlineStr">
        <is>
          <t>A 50108-2025</t>
        </is>
      </c>
      <c r="B673" s="1" t="n">
        <v>45943</v>
      </c>
      <c r="C673" s="1" t="n">
        <v>46032</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50118-2025</t>
        </is>
      </c>
      <c r="B674" s="1" t="n">
        <v>45943</v>
      </c>
      <c r="C674" s="1" t="n">
        <v>46032</v>
      </c>
      <c r="D674" t="inlineStr">
        <is>
          <t>VÄRMLANDS LÄN</t>
        </is>
      </c>
      <c r="E674" t="inlineStr">
        <is>
          <t>ÅRJÄNG</t>
        </is>
      </c>
      <c r="G674" t="n">
        <v>7.7</v>
      </c>
      <c r="H674" t="n">
        <v>0</v>
      </c>
      <c r="I674" t="n">
        <v>0</v>
      </c>
      <c r="J674" t="n">
        <v>0</v>
      </c>
      <c r="K674" t="n">
        <v>0</v>
      </c>
      <c r="L674" t="n">
        <v>0</v>
      </c>
      <c r="M674" t="n">
        <v>0</v>
      </c>
      <c r="N674" t="n">
        <v>0</v>
      </c>
      <c r="O674" t="n">
        <v>0</v>
      </c>
      <c r="P674" t="n">
        <v>0</v>
      </c>
      <c r="Q674" t="n">
        <v>0</v>
      </c>
      <c r="R674" s="2" t="inlineStr"/>
    </row>
    <row r="675" ht="15" customHeight="1">
      <c r="A675" t="inlineStr">
        <is>
          <t>A 37409-2025</t>
        </is>
      </c>
      <c r="B675" s="1" t="n">
        <v>45877</v>
      </c>
      <c r="C675" s="1" t="n">
        <v>46032</v>
      </c>
      <c r="D675" t="inlineStr">
        <is>
          <t>VÄRMLANDS LÄN</t>
        </is>
      </c>
      <c r="E675" t="inlineStr">
        <is>
          <t>ÅRJÄNG</t>
        </is>
      </c>
      <c r="G675" t="n">
        <v>4.8</v>
      </c>
      <c r="H675" t="n">
        <v>0</v>
      </c>
      <c r="I675" t="n">
        <v>0</v>
      </c>
      <c r="J675" t="n">
        <v>0</v>
      </c>
      <c r="K675" t="n">
        <v>0</v>
      </c>
      <c r="L675" t="n">
        <v>0</v>
      </c>
      <c r="M675" t="n">
        <v>0</v>
      </c>
      <c r="N675" t="n">
        <v>0</v>
      </c>
      <c r="O675" t="n">
        <v>0</v>
      </c>
      <c r="P675" t="n">
        <v>0</v>
      </c>
      <c r="Q675" t="n">
        <v>0</v>
      </c>
      <c r="R675" s="2" t="inlineStr"/>
    </row>
    <row r="676" ht="15" customHeight="1">
      <c r="A676" t="inlineStr">
        <is>
          <t>A 50050-2025</t>
        </is>
      </c>
      <c r="B676" s="1" t="n">
        <v>45942</v>
      </c>
      <c r="C676" s="1" t="n">
        <v>46032</v>
      </c>
      <c r="D676" t="inlineStr">
        <is>
          <t>VÄRMLANDS LÄN</t>
        </is>
      </c>
      <c r="E676" t="inlineStr">
        <is>
          <t>ÅRJÄNG</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33832-2025</t>
        </is>
      </c>
      <c r="B677" s="1" t="n">
        <v>45842.47506944444</v>
      </c>
      <c r="C677" s="1" t="n">
        <v>46032</v>
      </c>
      <c r="D677" t="inlineStr">
        <is>
          <t>VÄRMLANDS LÄN</t>
        </is>
      </c>
      <c r="E677" t="inlineStr">
        <is>
          <t>ÅRJÄNG</t>
        </is>
      </c>
      <c r="G677" t="n">
        <v>2</v>
      </c>
      <c r="H677" t="n">
        <v>0</v>
      </c>
      <c r="I677" t="n">
        <v>0</v>
      </c>
      <c r="J677" t="n">
        <v>0</v>
      </c>
      <c r="K677" t="n">
        <v>0</v>
      </c>
      <c r="L677" t="n">
        <v>0</v>
      </c>
      <c r="M677" t="n">
        <v>0</v>
      </c>
      <c r="N677" t="n">
        <v>0</v>
      </c>
      <c r="O677" t="n">
        <v>0</v>
      </c>
      <c r="P677" t="n">
        <v>0</v>
      </c>
      <c r="Q677" t="n">
        <v>0</v>
      </c>
      <c r="R677" s="2" t="inlineStr"/>
    </row>
    <row r="678" ht="15" customHeight="1">
      <c r="A678" t="inlineStr">
        <is>
          <t>A 34252-2025</t>
        </is>
      </c>
      <c r="B678" s="1" t="n">
        <v>45845</v>
      </c>
      <c r="C678" s="1" t="n">
        <v>46032</v>
      </c>
      <c r="D678" t="inlineStr">
        <is>
          <t>VÄRMLANDS LÄN</t>
        </is>
      </c>
      <c r="E678" t="inlineStr">
        <is>
          <t>ÅRJÄNG</t>
        </is>
      </c>
      <c r="G678" t="n">
        <v>7.1</v>
      </c>
      <c r="H678" t="n">
        <v>0</v>
      </c>
      <c r="I678" t="n">
        <v>0</v>
      </c>
      <c r="J678" t="n">
        <v>0</v>
      </c>
      <c r="K678" t="n">
        <v>0</v>
      </c>
      <c r="L678" t="n">
        <v>0</v>
      </c>
      <c r="M678" t="n">
        <v>0</v>
      </c>
      <c r="N678" t="n">
        <v>0</v>
      </c>
      <c r="O678" t="n">
        <v>0</v>
      </c>
      <c r="P678" t="n">
        <v>0</v>
      </c>
      <c r="Q678" t="n">
        <v>0</v>
      </c>
      <c r="R678" s="2" t="inlineStr"/>
      <c r="U678">
        <f>HYPERLINK("https://klasma.github.io/Logging_1765/knärot/A 34252-2025 karta knärot.png", "A 34252-2025")</f>
        <v/>
      </c>
      <c r="V678">
        <f>HYPERLINK("https://klasma.github.io/Logging_1765/klagomål/A 34252-2025 FSC-klagomål.docx", "A 34252-2025")</f>
        <v/>
      </c>
      <c r="W678">
        <f>HYPERLINK("https://klasma.github.io/Logging_1765/klagomålsmail/A 34252-2025 FSC-klagomål mail.docx", "A 34252-2025")</f>
        <v/>
      </c>
      <c r="X678">
        <f>HYPERLINK("https://klasma.github.io/Logging_1765/tillsyn/A 34252-2025 tillsynsbegäran.docx", "A 34252-2025")</f>
        <v/>
      </c>
      <c r="Y678">
        <f>HYPERLINK("https://klasma.github.io/Logging_1765/tillsynsmail/A 34252-2025 tillsynsbegäran mail.docx", "A 34252-2025")</f>
        <v/>
      </c>
    </row>
    <row r="679" ht="15" customHeight="1">
      <c r="A679" t="inlineStr">
        <is>
          <t>A 34077-2025</t>
        </is>
      </c>
      <c r="B679" s="1" t="n">
        <v>45845.45206018518</v>
      </c>
      <c r="C679" s="1" t="n">
        <v>46032</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54900-2024</t>
        </is>
      </c>
      <c r="B680" s="1" t="n">
        <v>45618.64770833333</v>
      </c>
      <c r="C680" s="1" t="n">
        <v>46032</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50545-2025</t>
        </is>
      </c>
      <c r="B681" s="1" t="n">
        <v>45945.50777777778</v>
      </c>
      <c r="C681" s="1" t="n">
        <v>46032</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57917-2025</t>
        </is>
      </c>
      <c r="B682" s="1" t="n">
        <v>45981</v>
      </c>
      <c r="C682" s="1" t="n">
        <v>46032</v>
      </c>
      <c r="D682" t="inlineStr">
        <is>
          <t>VÄRMLANDS LÄN</t>
        </is>
      </c>
      <c r="E682" t="inlineStr">
        <is>
          <t>ÅRJÄNG</t>
        </is>
      </c>
      <c r="G682" t="n">
        <v>5.5</v>
      </c>
      <c r="H682" t="n">
        <v>0</v>
      </c>
      <c r="I682" t="n">
        <v>0</v>
      </c>
      <c r="J682" t="n">
        <v>0</v>
      </c>
      <c r="K682" t="n">
        <v>0</v>
      </c>
      <c r="L682" t="n">
        <v>0</v>
      </c>
      <c r="M682" t="n">
        <v>0</v>
      </c>
      <c r="N682" t="n">
        <v>0</v>
      </c>
      <c r="O682" t="n">
        <v>0</v>
      </c>
      <c r="P682" t="n">
        <v>0</v>
      </c>
      <c r="Q682" t="n">
        <v>0</v>
      </c>
      <c r="R682" s="2" t="inlineStr"/>
    </row>
    <row r="683" ht="15" customHeight="1">
      <c r="A683" t="inlineStr">
        <is>
          <t>A 50304-2025</t>
        </is>
      </c>
      <c r="B683" s="1" t="n">
        <v>45944</v>
      </c>
      <c r="C683" s="1" t="n">
        <v>46032</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50624-2025</t>
        </is>
      </c>
      <c r="B684" s="1" t="n">
        <v>45945.63518518519</v>
      </c>
      <c r="C684" s="1" t="n">
        <v>46032</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34148-2025</t>
        </is>
      </c>
      <c r="B685" s="1" t="n">
        <v>45844</v>
      </c>
      <c r="C685" s="1" t="n">
        <v>46032</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50551-2025</t>
        </is>
      </c>
      <c r="B686" s="1" t="n">
        <v>45945.52244212963</v>
      </c>
      <c r="C686" s="1" t="n">
        <v>46032</v>
      </c>
      <c r="D686" t="inlineStr">
        <is>
          <t>VÄRMLANDS LÄN</t>
        </is>
      </c>
      <c r="E686" t="inlineStr">
        <is>
          <t>ÅRJÄNG</t>
        </is>
      </c>
      <c r="G686" t="n">
        <v>0.9</v>
      </c>
      <c r="H686" t="n">
        <v>0</v>
      </c>
      <c r="I686" t="n">
        <v>0</v>
      </c>
      <c r="J686" t="n">
        <v>0</v>
      </c>
      <c r="K686" t="n">
        <v>0</v>
      </c>
      <c r="L686" t="n">
        <v>0</v>
      </c>
      <c r="M686" t="n">
        <v>0</v>
      </c>
      <c r="N686" t="n">
        <v>0</v>
      </c>
      <c r="O686" t="n">
        <v>0</v>
      </c>
      <c r="P686" t="n">
        <v>0</v>
      </c>
      <c r="Q686" t="n">
        <v>0</v>
      </c>
      <c r="R686" s="2" t="inlineStr"/>
    </row>
    <row r="687" ht="15" customHeight="1">
      <c r="A687" t="inlineStr">
        <is>
          <t>A 47981-2023</t>
        </is>
      </c>
      <c r="B687" s="1" t="n">
        <v>45198</v>
      </c>
      <c r="C687" s="1" t="n">
        <v>46032</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50498-2025</t>
        </is>
      </c>
      <c r="B688" s="1" t="n">
        <v>45945.41553240741</v>
      </c>
      <c r="C688" s="1" t="n">
        <v>46032</v>
      </c>
      <c r="D688" t="inlineStr">
        <is>
          <t>VÄRMLANDS LÄN</t>
        </is>
      </c>
      <c r="E688" t="inlineStr">
        <is>
          <t>ÅRJÄNG</t>
        </is>
      </c>
      <c r="G688" t="n">
        <v>4.5</v>
      </c>
      <c r="H688" t="n">
        <v>0</v>
      </c>
      <c r="I688" t="n">
        <v>0</v>
      </c>
      <c r="J688" t="n">
        <v>0</v>
      </c>
      <c r="K688" t="n">
        <v>0</v>
      </c>
      <c r="L688" t="n">
        <v>0</v>
      </c>
      <c r="M688" t="n">
        <v>0</v>
      </c>
      <c r="N688" t="n">
        <v>0</v>
      </c>
      <c r="O688" t="n">
        <v>0</v>
      </c>
      <c r="P688" t="n">
        <v>0</v>
      </c>
      <c r="Q688" t="n">
        <v>0</v>
      </c>
      <c r="R688" s="2" t="inlineStr"/>
    </row>
    <row r="689" ht="15" customHeight="1">
      <c r="A689" t="inlineStr">
        <is>
          <t>A 50295-2025</t>
        </is>
      </c>
      <c r="B689" s="1" t="n">
        <v>45944</v>
      </c>
      <c r="C689" s="1" t="n">
        <v>46032</v>
      </c>
      <c r="D689" t="inlineStr">
        <is>
          <t>VÄRMLANDS LÄN</t>
        </is>
      </c>
      <c r="E689" t="inlineStr">
        <is>
          <t>ÅRJÄNG</t>
        </is>
      </c>
      <c r="G689" t="n">
        <v>6</v>
      </c>
      <c r="H689" t="n">
        <v>0</v>
      </c>
      <c r="I689" t="n">
        <v>0</v>
      </c>
      <c r="J689" t="n">
        <v>0</v>
      </c>
      <c r="K689" t="n">
        <v>0</v>
      </c>
      <c r="L689" t="n">
        <v>0</v>
      </c>
      <c r="M689" t="n">
        <v>0</v>
      </c>
      <c r="N689" t="n">
        <v>0</v>
      </c>
      <c r="O689" t="n">
        <v>0</v>
      </c>
      <c r="P689" t="n">
        <v>0</v>
      </c>
      <c r="Q689" t="n">
        <v>0</v>
      </c>
      <c r="R689" s="2" t="inlineStr"/>
    </row>
    <row r="690" ht="15" customHeight="1">
      <c r="A690" t="inlineStr">
        <is>
          <t>A 58435-2024</t>
        </is>
      </c>
      <c r="B690" s="1" t="n">
        <v>45634</v>
      </c>
      <c r="C690" s="1" t="n">
        <v>46032</v>
      </c>
      <c r="D690" t="inlineStr">
        <is>
          <t>VÄRMLANDS LÄN</t>
        </is>
      </c>
      <c r="E690" t="inlineStr">
        <is>
          <t>ÅRJÄNG</t>
        </is>
      </c>
      <c r="G690" t="n">
        <v>6.7</v>
      </c>
      <c r="H690" t="n">
        <v>0</v>
      </c>
      <c r="I690" t="n">
        <v>0</v>
      </c>
      <c r="J690" t="n">
        <v>0</v>
      </c>
      <c r="K690" t="n">
        <v>0</v>
      </c>
      <c r="L690" t="n">
        <v>0</v>
      </c>
      <c r="M690" t="n">
        <v>0</v>
      </c>
      <c r="N690" t="n">
        <v>0</v>
      </c>
      <c r="O690" t="n">
        <v>0</v>
      </c>
      <c r="P690" t="n">
        <v>0</v>
      </c>
      <c r="Q690" t="n">
        <v>0</v>
      </c>
      <c r="R690" s="2" t="inlineStr"/>
    </row>
    <row r="691" ht="15" customHeight="1">
      <c r="A691" t="inlineStr">
        <is>
          <t>A 24444-2025</t>
        </is>
      </c>
      <c r="B691" s="1" t="n">
        <v>45798</v>
      </c>
      <c r="C691" s="1" t="n">
        <v>46032</v>
      </c>
      <c r="D691" t="inlineStr">
        <is>
          <t>VÄRMLANDS LÄN</t>
        </is>
      </c>
      <c r="E691" t="inlineStr">
        <is>
          <t>ÅRJÄNG</t>
        </is>
      </c>
      <c r="G691" t="n">
        <v>5.1</v>
      </c>
      <c r="H691" t="n">
        <v>0</v>
      </c>
      <c r="I691" t="n">
        <v>0</v>
      </c>
      <c r="J691" t="n">
        <v>0</v>
      </c>
      <c r="K691" t="n">
        <v>0</v>
      </c>
      <c r="L691" t="n">
        <v>0</v>
      </c>
      <c r="M691" t="n">
        <v>0</v>
      </c>
      <c r="N691" t="n">
        <v>0</v>
      </c>
      <c r="O691" t="n">
        <v>0</v>
      </c>
      <c r="P691" t="n">
        <v>0</v>
      </c>
      <c r="Q691" t="n">
        <v>0</v>
      </c>
      <c r="R691" s="2" t="inlineStr"/>
    </row>
    <row r="692" ht="15" customHeight="1">
      <c r="A692" t="inlineStr">
        <is>
          <t>A 24445-2025</t>
        </is>
      </c>
      <c r="B692" s="1" t="n">
        <v>45798</v>
      </c>
      <c r="C692" s="1" t="n">
        <v>46032</v>
      </c>
      <c r="D692" t="inlineStr">
        <is>
          <t>VÄRMLANDS LÄN</t>
        </is>
      </c>
      <c r="E692" t="inlineStr">
        <is>
          <t>ÅRJÄNG</t>
        </is>
      </c>
      <c r="G692" t="n">
        <v>6.4</v>
      </c>
      <c r="H692" t="n">
        <v>0</v>
      </c>
      <c r="I692" t="n">
        <v>0</v>
      </c>
      <c r="J692" t="n">
        <v>0</v>
      </c>
      <c r="K692" t="n">
        <v>0</v>
      </c>
      <c r="L692" t="n">
        <v>0</v>
      </c>
      <c r="M692" t="n">
        <v>0</v>
      </c>
      <c r="N692" t="n">
        <v>0</v>
      </c>
      <c r="O692" t="n">
        <v>0</v>
      </c>
      <c r="P692" t="n">
        <v>0</v>
      </c>
      <c r="Q692" t="n">
        <v>0</v>
      </c>
      <c r="R692" s="2" t="inlineStr"/>
    </row>
    <row r="693" ht="15" customHeight="1">
      <c r="A693" t="inlineStr">
        <is>
          <t>A 50554-2025</t>
        </is>
      </c>
      <c r="B693" s="1" t="n">
        <v>45945.52561342593</v>
      </c>
      <c r="C693" s="1" t="n">
        <v>46032</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50620-2025</t>
        </is>
      </c>
      <c r="B694" s="1" t="n">
        <v>45945.63163194444</v>
      </c>
      <c r="C694" s="1" t="n">
        <v>46032</v>
      </c>
      <c r="D694" t="inlineStr">
        <is>
          <t>VÄRMLANDS LÄN</t>
        </is>
      </c>
      <c r="E694" t="inlineStr">
        <is>
          <t>ÅRJÄNG</t>
        </is>
      </c>
      <c r="G694" t="n">
        <v>7.7</v>
      </c>
      <c r="H694" t="n">
        <v>0</v>
      </c>
      <c r="I694" t="n">
        <v>0</v>
      </c>
      <c r="J694" t="n">
        <v>0</v>
      </c>
      <c r="K694" t="n">
        <v>0</v>
      </c>
      <c r="L694" t="n">
        <v>0</v>
      </c>
      <c r="M694" t="n">
        <v>0</v>
      </c>
      <c r="N694" t="n">
        <v>0</v>
      </c>
      <c r="O694" t="n">
        <v>0</v>
      </c>
      <c r="P694" t="n">
        <v>0</v>
      </c>
      <c r="Q694" t="n">
        <v>0</v>
      </c>
      <c r="R694" s="2" t="inlineStr"/>
    </row>
    <row r="695" ht="15" customHeight="1">
      <c r="A695" t="inlineStr">
        <is>
          <t>A 51258-2022</t>
        </is>
      </c>
      <c r="B695" s="1" t="n">
        <v>44868.67460648148</v>
      </c>
      <c r="C695" s="1" t="n">
        <v>46032</v>
      </c>
      <c r="D695" t="inlineStr">
        <is>
          <t>VÄRMLANDS LÄN</t>
        </is>
      </c>
      <c r="E695" t="inlineStr">
        <is>
          <t>ÅRJÄNG</t>
        </is>
      </c>
      <c r="G695" t="n">
        <v>2.6</v>
      </c>
      <c r="H695" t="n">
        <v>0</v>
      </c>
      <c r="I695" t="n">
        <v>0</v>
      </c>
      <c r="J695" t="n">
        <v>0</v>
      </c>
      <c r="K695" t="n">
        <v>0</v>
      </c>
      <c r="L695" t="n">
        <v>0</v>
      </c>
      <c r="M695" t="n">
        <v>0</v>
      </c>
      <c r="N695" t="n">
        <v>0</v>
      </c>
      <c r="O695" t="n">
        <v>0</v>
      </c>
      <c r="P695" t="n">
        <v>0</v>
      </c>
      <c r="Q695" t="n">
        <v>0</v>
      </c>
      <c r="R695" s="2" t="inlineStr"/>
    </row>
    <row r="696" ht="15" customHeight="1">
      <c r="A696" t="inlineStr">
        <is>
          <t>A 51269-2022</t>
        </is>
      </c>
      <c r="B696" s="1" t="n">
        <v>44868</v>
      </c>
      <c r="C696" s="1" t="n">
        <v>46032</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61006-2025</t>
        </is>
      </c>
      <c r="B697" s="1" t="n">
        <v>45997</v>
      </c>
      <c r="C697" s="1" t="n">
        <v>46032</v>
      </c>
      <c r="D697" t="inlineStr">
        <is>
          <t>VÄRMLANDS LÄN</t>
        </is>
      </c>
      <c r="E697" t="inlineStr">
        <is>
          <t>ÅRJÄNG</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58491-2023</t>
        </is>
      </c>
      <c r="B698" s="1" t="n">
        <v>45246</v>
      </c>
      <c r="C698" s="1" t="n">
        <v>46032</v>
      </c>
      <c r="D698" t="inlineStr">
        <is>
          <t>VÄRMLANDS LÄN</t>
        </is>
      </c>
      <c r="E698" t="inlineStr">
        <is>
          <t>ÅRJÄNG</t>
        </is>
      </c>
      <c r="G698" t="n">
        <v>11.4</v>
      </c>
      <c r="H698" t="n">
        <v>0</v>
      </c>
      <c r="I698" t="n">
        <v>0</v>
      </c>
      <c r="J698" t="n">
        <v>0</v>
      </c>
      <c r="K698" t="n">
        <v>0</v>
      </c>
      <c r="L698" t="n">
        <v>0</v>
      </c>
      <c r="M698" t="n">
        <v>0</v>
      </c>
      <c r="N698" t="n">
        <v>0</v>
      </c>
      <c r="O698" t="n">
        <v>0</v>
      </c>
      <c r="P698" t="n">
        <v>0</v>
      </c>
      <c r="Q698" t="n">
        <v>0</v>
      </c>
      <c r="R698" s="2" t="inlineStr"/>
    </row>
    <row r="699" ht="15" customHeight="1">
      <c r="A699" t="inlineStr">
        <is>
          <t>A 34831-2025</t>
        </is>
      </c>
      <c r="B699" s="1" t="n">
        <v>45849</v>
      </c>
      <c r="C699" s="1" t="n">
        <v>46032</v>
      </c>
      <c r="D699" t="inlineStr">
        <is>
          <t>VÄRMLANDS LÄN</t>
        </is>
      </c>
      <c r="E699" t="inlineStr">
        <is>
          <t>ÅRJÄNG</t>
        </is>
      </c>
      <c r="G699" t="n">
        <v>5.4</v>
      </c>
      <c r="H699" t="n">
        <v>0</v>
      </c>
      <c r="I699" t="n">
        <v>0</v>
      </c>
      <c r="J699" t="n">
        <v>0</v>
      </c>
      <c r="K699" t="n">
        <v>0</v>
      </c>
      <c r="L699" t="n">
        <v>0</v>
      </c>
      <c r="M699" t="n">
        <v>0</v>
      </c>
      <c r="N699" t="n">
        <v>0</v>
      </c>
      <c r="O699" t="n">
        <v>0</v>
      </c>
      <c r="P699" t="n">
        <v>0</v>
      </c>
      <c r="Q699" t="n">
        <v>0</v>
      </c>
      <c r="R699" s="2" t="inlineStr"/>
    </row>
    <row r="700" ht="15" customHeight="1">
      <c r="A700" t="inlineStr">
        <is>
          <t>A 25495-2024</t>
        </is>
      </c>
      <c r="B700" s="1" t="n">
        <v>45463</v>
      </c>
      <c r="C700" s="1" t="n">
        <v>46032</v>
      </c>
      <c r="D700" t="inlineStr">
        <is>
          <t>VÄRMLANDS LÄN</t>
        </is>
      </c>
      <c r="E700" t="inlineStr">
        <is>
          <t>ÅRJÄNG</t>
        </is>
      </c>
      <c r="F700" t="inlineStr">
        <is>
          <t>Kyrkan</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34840-2025</t>
        </is>
      </c>
      <c r="B701" s="1" t="n">
        <v>45849</v>
      </c>
      <c r="C701" s="1" t="n">
        <v>46032</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53158-2025</t>
        </is>
      </c>
      <c r="B702" s="1" t="n">
        <v>45958.49064814814</v>
      </c>
      <c r="C702" s="1" t="n">
        <v>46032</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47028-2024</t>
        </is>
      </c>
      <c r="B703" s="1" t="n">
        <v>45586</v>
      </c>
      <c r="C703" s="1" t="n">
        <v>46032</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34839-2025</t>
        </is>
      </c>
      <c r="B704" s="1" t="n">
        <v>45849.39505787037</v>
      </c>
      <c r="C704" s="1" t="n">
        <v>46032</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34159-2025</t>
        </is>
      </c>
      <c r="B705" s="1" t="n">
        <v>45844</v>
      </c>
      <c r="C705" s="1" t="n">
        <v>46032</v>
      </c>
      <c r="D705" t="inlineStr">
        <is>
          <t>VÄRMLANDS LÄN</t>
        </is>
      </c>
      <c r="E705" t="inlineStr">
        <is>
          <t>ÅRJÄNG</t>
        </is>
      </c>
      <c r="G705" t="n">
        <v>0.6</v>
      </c>
      <c r="H705" t="n">
        <v>0</v>
      </c>
      <c r="I705" t="n">
        <v>0</v>
      </c>
      <c r="J705" t="n">
        <v>0</v>
      </c>
      <c r="K705" t="n">
        <v>0</v>
      </c>
      <c r="L705" t="n">
        <v>0</v>
      </c>
      <c r="M705" t="n">
        <v>0</v>
      </c>
      <c r="N705" t="n">
        <v>0</v>
      </c>
      <c r="O705" t="n">
        <v>0</v>
      </c>
      <c r="P705" t="n">
        <v>0</v>
      </c>
      <c r="Q705" t="n">
        <v>0</v>
      </c>
      <c r="R705" s="2" t="inlineStr"/>
    </row>
    <row r="706" ht="15" customHeight="1">
      <c r="A706" t="inlineStr">
        <is>
          <t>A 35104-2025</t>
        </is>
      </c>
      <c r="B706" s="1" t="n">
        <v>45852.57070601852</v>
      </c>
      <c r="C706" s="1" t="n">
        <v>46032</v>
      </c>
      <c r="D706" t="inlineStr">
        <is>
          <t>VÄRMLANDS LÄN</t>
        </is>
      </c>
      <c r="E706" t="inlineStr">
        <is>
          <t>ÅRJÄNG</t>
        </is>
      </c>
      <c r="G706" t="n">
        <v>0.8</v>
      </c>
      <c r="H706" t="n">
        <v>0</v>
      </c>
      <c r="I706" t="n">
        <v>0</v>
      </c>
      <c r="J706" t="n">
        <v>0</v>
      </c>
      <c r="K706" t="n">
        <v>0</v>
      </c>
      <c r="L706" t="n">
        <v>0</v>
      </c>
      <c r="M706" t="n">
        <v>0</v>
      </c>
      <c r="N706" t="n">
        <v>0</v>
      </c>
      <c r="O706" t="n">
        <v>0</v>
      </c>
      <c r="P706" t="n">
        <v>0</v>
      </c>
      <c r="Q706" t="n">
        <v>0</v>
      </c>
      <c r="R706" s="2" t="inlineStr"/>
    </row>
    <row r="707" ht="15" customHeight="1">
      <c r="A707" t="inlineStr">
        <is>
          <t>A 53103-2025</t>
        </is>
      </c>
      <c r="B707" s="1" t="n">
        <v>45958.43097222222</v>
      </c>
      <c r="C707" s="1" t="n">
        <v>46032</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34163-2025</t>
        </is>
      </c>
      <c r="B708" s="1" t="n">
        <v>45844</v>
      </c>
      <c r="C708" s="1" t="n">
        <v>46032</v>
      </c>
      <c r="D708" t="inlineStr">
        <is>
          <t>VÄRMLANDS LÄN</t>
        </is>
      </c>
      <c r="E708" t="inlineStr">
        <is>
          <t>ÅRJÄNG</t>
        </is>
      </c>
      <c r="G708" t="n">
        <v>4.5</v>
      </c>
      <c r="H708" t="n">
        <v>0</v>
      </c>
      <c r="I708" t="n">
        <v>0</v>
      </c>
      <c r="J708" t="n">
        <v>0</v>
      </c>
      <c r="K708" t="n">
        <v>0</v>
      </c>
      <c r="L708" t="n">
        <v>0</v>
      </c>
      <c r="M708" t="n">
        <v>0</v>
      </c>
      <c r="N708" t="n">
        <v>0</v>
      </c>
      <c r="O708" t="n">
        <v>0</v>
      </c>
      <c r="P708" t="n">
        <v>0</v>
      </c>
      <c r="Q708" t="n">
        <v>0</v>
      </c>
      <c r="R708" s="2" t="inlineStr"/>
    </row>
    <row r="709" ht="15" customHeight="1">
      <c r="A709" t="inlineStr">
        <is>
          <t>A 53298-2025</t>
        </is>
      </c>
      <c r="B709" s="1" t="n">
        <v>45959.23447916667</v>
      </c>
      <c r="C709" s="1" t="n">
        <v>46032</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3861-2025</t>
        </is>
      </c>
      <c r="B710" s="1" t="n">
        <v>45683</v>
      </c>
      <c r="C710" s="1" t="n">
        <v>46032</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53160-2025</t>
        </is>
      </c>
      <c r="B711" s="1" t="n">
        <v>45958.49123842592</v>
      </c>
      <c r="C711" s="1" t="n">
        <v>46032</v>
      </c>
      <c r="D711" t="inlineStr">
        <is>
          <t>VÄRMLANDS LÄN</t>
        </is>
      </c>
      <c r="E711" t="inlineStr">
        <is>
          <t>ÅRJÄNG</t>
        </is>
      </c>
      <c r="G711" t="n">
        <v>1.9</v>
      </c>
      <c r="H711" t="n">
        <v>0</v>
      </c>
      <c r="I711" t="n">
        <v>0</v>
      </c>
      <c r="J711" t="n">
        <v>0</v>
      </c>
      <c r="K711" t="n">
        <v>0</v>
      </c>
      <c r="L711" t="n">
        <v>0</v>
      </c>
      <c r="M711" t="n">
        <v>0</v>
      </c>
      <c r="N711" t="n">
        <v>0</v>
      </c>
      <c r="O711" t="n">
        <v>0</v>
      </c>
      <c r="P711" t="n">
        <v>0</v>
      </c>
      <c r="Q711" t="n">
        <v>0</v>
      </c>
      <c r="R711" s="2" t="inlineStr"/>
    </row>
    <row r="712" ht="15" customHeight="1">
      <c r="A712" t="inlineStr">
        <is>
          <t>A 35726-2022</t>
        </is>
      </c>
      <c r="B712" s="1" t="n">
        <v>44799</v>
      </c>
      <c r="C712" s="1" t="n">
        <v>46032</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15248-2025</t>
        </is>
      </c>
      <c r="B713" s="1" t="n">
        <v>45744</v>
      </c>
      <c r="C713" s="1" t="n">
        <v>46032</v>
      </c>
      <c r="D713" t="inlineStr">
        <is>
          <t>VÄRMLANDS LÄN</t>
        </is>
      </c>
      <c r="E713" t="inlineStr">
        <is>
          <t>ÅRJÄNG</t>
        </is>
      </c>
      <c r="G713" t="n">
        <v>3.2</v>
      </c>
      <c r="H713" t="n">
        <v>0</v>
      </c>
      <c r="I713" t="n">
        <v>0</v>
      </c>
      <c r="J713" t="n">
        <v>0</v>
      </c>
      <c r="K713" t="n">
        <v>0</v>
      </c>
      <c r="L713" t="n">
        <v>0</v>
      </c>
      <c r="M713" t="n">
        <v>0</v>
      </c>
      <c r="N713" t="n">
        <v>0</v>
      </c>
      <c r="O713" t="n">
        <v>0</v>
      </c>
      <c r="P713" t="n">
        <v>0</v>
      </c>
      <c r="Q713" t="n">
        <v>0</v>
      </c>
      <c r="R713" s="2" t="inlineStr"/>
    </row>
    <row r="714" ht="15" customHeight="1">
      <c r="A714" t="inlineStr">
        <is>
          <t>A 19410-2024</t>
        </is>
      </c>
      <c r="B714" s="1" t="n">
        <v>45429</v>
      </c>
      <c r="C714" s="1" t="n">
        <v>46032</v>
      </c>
      <c r="D714" t="inlineStr">
        <is>
          <t>VÄRMLANDS LÄN</t>
        </is>
      </c>
      <c r="E714" t="inlineStr">
        <is>
          <t>ÅRJÄNG</t>
        </is>
      </c>
      <c r="G714" t="n">
        <v>7.9</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46032</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35295-2025</t>
        </is>
      </c>
      <c r="B716" s="1" t="n">
        <v>45854.40325231481</v>
      </c>
      <c r="C716" s="1" t="n">
        <v>46032</v>
      </c>
      <c r="D716" t="inlineStr">
        <is>
          <t>VÄRMLANDS LÄN</t>
        </is>
      </c>
      <c r="E716" t="inlineStr">
        <is>
          <t>ÅRJÄNG</t>
        </is>
      </c>
      <c r="G716" t="n">
        <v>6.2</v>
      </c>
      <c r="H716" t="n">
        <v>0</v>
      </c>
      <c r="I716" t="n">
        <v>0</v>
      </c>
      <c r="J716" t="n">
        <v>0</v>
      </c>
      <c r="K716" t="n">
        <v>0</v>
      </c>
      <c r="L716" t="n">
        <v>0</v>
      </c>
      <c r="M716" t="n">
        <v>0</v>
      </c>
      <c r="N716" t="n">
        <v>0</v>
      </c>
      <c r="O716" t="n">
        <v>0</v>
      </c>
      <c r="P716" t="n">
        <v>0</v>
      </c>
      <c r="Q716" t="n">
        <v>0</v>
      </c>
      <c r="R716" s="2" t="inlineStr"/>
    </row>
    <row r="717" ht="15" customHeight="1">
      <c r="A717" t="inlineStr">
        <is>
          <t>A 34075-2025</t>
        </is>
      </c>
      <c r="B717" s="1" t="n">
        <v>45845</v>
      </c>
      <c r="C717" s="1" t="n">
        <v>46032</v>
      </c>
      <c r="D717" t="inlineStr">
        <is>
          <t>VÄRMLANDS LÄN</t>
        </is>
      </c>
      <c r="E717" t="inlineStr">
        <is>
          <t>ÅRJÄNG</t>
        </is>
      </c>
      <c r="G717" t="n">
        <v>3.4</v>
      </c>
      <c r="H717" t="n">
        <v>0</v>
      </c>
      <c r="I717" t="n">
        <v>0</v>
      </c>
      <c r="J717" t="n">
        <v>0</v>
      </c>
      <c r="K717" t="n">
        <v>0</v>
      </c>
      <c r="L717" t="n">
        <v>0</v>
      </c>
      <c r="M717" t="n">
        <v>0</v>
      </c>
      <c r="N717" t="n">
        <v>0</v>
      </c>
      <c r="O717" t="n">
        <v>0</v>
      </c>
      <c r="P717" t="n">
        <v>0</v>
      </c>
      <c r="Q717" t="n">
        <v>0</v>
      </c>
      <c r="R717" s="2" t="inlineStr"/>
    </row>
    <row r="718" ht="15" customHeight="1">
      <c r="A718" t="inlineStr">
        <is>
          <t>A 57306-2023</t>
        </is>
      </c>
      <c r="B718" s="1" t="n">
        <v>45245.62431712963</v>
      </c>
      <c r="C718" s="1" t="n">
        <v>46032</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59784-2023</t>
        </is>
      </c>
      <c r="B719" s="1" t="n">
        <v>45257</v>
      </c>
      <c r="C719" s="1" t="n">
        <v>46032</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35304-2025</t>
        </is>
      </c>
      <c r="B720" s="1" t="n">
        <v>45854.43931712963</v>
      </c>
      <c r="C720" s="1" t="n">
        <v>46032</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52574-2024</t>
        </is>
      </c>
      <c r="B721" s="1" t="n">
        <v>45609</v>
      </c>
      <c r="C721" s="1" t="n">
        <v>46032</v>
      </c>
      <c r="D721" t="inlineStr">
        <is>
          <t>VÄRMLANDS LÄN</t>
        </is>
      </c>
      <c r="E721" t="inlineStr">
        <is>
          <t>ÅRJÄNG</t>
        </is>
      </c>
      <c r="G721" t="n">
        <v>0.2</v>
      </c>
      <c r="H721" t="n">
        <v>0</v>
      </c>
      <c r="I721" t="n">
        <v>0</v>
      </c>
      <c r="J721" t="n">
        <v>0</v>
      </c>
      <c r="K721" t="n">
        <v>0</v>
      </c>
      <c r="L721" t="n">
        <v>0</v>
      </c>
      <c r="M721" t="n">
        <v>0</v>
      </c>
      <c r="N721" t="n">
        <v>0</v>
      </c>
      <c r="O721" t="n">
        <v>0</v>
      </c>
      <c r="P721" t="n">
        <v>0</v>
      </c>
      <c r="Q721" t="n">
        <v>0</v>
      </c>
      <c r="R721" s="2" t="inlineStr"/>
    </row>
    <row r="722" ht="15" customHeight="1">
      <c r="A722" t="inlineStr">
        <is>
          <t>A 64151-2023</t>
        </is>
      </c>
      <c r="B722" s="1" t="n">
        <v>45279.58803240741</v>
      </c>
      <c r="C722" s="1" t="n">
        <v>46032</v>
      </c>
      <c r="D722" t="inlineStr">
        <is>
          <t>VÄRMLANDS LÄN</t>
        </is>
      </c>
      <c r="E722" t="inlineStr">
        <is>
          <t>ÅRJÄNG</t>
        </is>
      </c>
      <c r="G722" t="n">
        <v>24.5</v>
      </c>
      <c r="H722" t="n">
        <v>0</v>
      </c>
      <c r="I722" t="n">
        <v>0</v>
      </c>
      <c r="J722" t="n">
        <v>0</v>
      </c>
      <c r="K722" t="n">
        <v>0</v>
      </c>
      <c r="L722" t="n">
        <v>0</v>
      </c>
      <c r="M722" t="n">
        <v>0</v>
      </c>
      <c r="N722" t="n">
        <v>0</v>
      </c>
      <c r="O722" t="n">
        <v>0</v>
      </c>
      <c r="P722" t="n">
        <v>0</v>
      </c>
      <c r="Q722" t="n">
        <v>0</v>
      </c>
      <c r="R722" s="2" t="inlineStr"/>
    </row>
    <row r="723" ht="15" customHeight="1">
      <c r="A723" t="inlineStr">
        <is>
          <t>A 53073-2025</t>
        </is>
      </c>
      <c r="B723" s="1" t="n">
        <v>45958.38311342592</v>
      </c>
      <c r="C723" s="1" t="n">
        <v>46032</v>
      </c>
      <c r="D723" t="inlineStr">
        <is>
          <t>VÄRMLANDS LÄN</t>
        </is>
      </c>
      <c r="E723" t="inlineStr">
        <is>
          <t>ÅRJÄNG</t>
        </is>
      </c>
      <c r="G723" t="n">
        <v>2</v>
      </c>
      <c r="H723" t="n">
        <v>0</v>
      </c>
      <c r="I723" t="n">
        <v>0</v>
      </c>
      <c r="J723" t="n">
        <v>0</v>
      </c>
      <c r="K723" t="n">
        <v>0</v>
      </c>
      <c r="L723" t="n">
        <v>0</v>
      </c>
      <c r="M723" t="n">
        <v>0</v>
      </c>
      <c r="N723" t="n">
        <v>0</v>
      </c>
      <c r="O723" t="n">
        <v>0</v>
      </c>
      <c r="P723" t="n">
        <v>0</v>
      </c>
      <c r="Q723" t="n">
        <v>0</v>
      </c>
      <c r="R723" s="2" t="inlineStr"/>
    </row>
    <row r="724" ht="15" customHeight="1">
      <c r="A724" t="inlineStr">
        <is>
          <t>A 47688-2023</t>
        </is>
      </c>
      <c r="B724" s="1" t="n">
        <v>45203</v>
      </c>
      <c r="C724" s="1" t="n">
        <v>46032</v>
      </c>
      <c r="D724" t="inlineStr">
        <is>
          <t>VÄRMLANDS LÄN</t>
        </is>
      </c>
      <c r="E724" t="inlineStr">
        <is>
          <t>ÅRJÄNG</t>
        </is>
      </c>
      <c r="F724" t="inlineStr">
        <is>
          <t>Övriga Aktiebolag</t>
        </is>
      </c>
      <c r="G724" t="n">
        <v>20.3</v>
      </c>
      <c r="H724" t="n">
        <v>0</v>
      </c>
      <c r="I724" t="n">
        <v>0</v>
      </c>
      <c r="J724" t="n">
        <v>0</v>
      </c>
      <c r="K724" t="n">
        <v>0</v>
      </c>
      <c r="L724" t="n">
        <v>0</v>
      </c>
      <c r="M724" t="n">
        <v>0</v>
      </c>
      <c r="N724" t="n">
        <v>0</v>
      </c>
      <c r="O724" t="n">
        <v>0</v>
      </c>
      <c r="P724" t="n">
        <v>0</v>
      </c>
      <c r="Q724" t="n">
        <v>0</v>
      </c>
      <c r="R724" s="2" t="inlineStr"/>
    </row>
    <row r="725" ht="15" customHeight="1">
      <c r="A725" t="inlineStr">
        <is>
          <t>A 69839-2021</t>
        </is>
      </c>
      <c r="B725" s="1" t="n">
        <v>44532</v>
      </c>
      <c r="C725" s="1" t="n">
        <v>46032</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44004-2023</t>
        </is>
      </c>
      <c r="B726" s="1" t="n">
        <v>45188.30134259259</v>
      </c>
      <c r="C726" s="1" t="n">
        <v>46032</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44007-2023</t>
        </is>
      </c>
      <c r="B727" s="1" t="n">
        <v>45188.31231481482</v>
      </c>
      <c r="C727" s="1" t="n">
        <v>46032</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57708-2024</t>
        </is>
      </c>
      <c r="B728" s="1" t="n">
        <v>45630</v>
      </c>
      <c r="C728" s="1" t="n">
        <v>46032</v>
      </c>
      <c r="D728" t="inlineStr">
        <is>
          <t>VÄRMLANDS LÄN</t>
        </is>
      </c>
      <c r="E728" t="inlineStr">
        <is>
          <t>ÅRJÄNG</t>
        </is>
      </c>
      <c r="G728" t="n">
        <v>2</v>
      </c>
      <c r="H728" t="n">
        <v>0</v>
      </c>
      <c r="I728" t="n">
        <v>0</v>
      </c>
      <c r="J728" t="n">
        <v>0</v>
      </c>
      <c r="K728" t="n">
        <v>0</v>
      </c>
      <c r="L728" t="n">
        <v>0</v>
      </c>
      <c r="M728" t="n">
        <v>0</v>
      </c>
      <c r="N728" t="n">
        <v>0</v>
      </c>
      <c r="O728" t="n">
        <v>0</v>
      </c>
      <c r="P728" t="n">
        <v>0</v>
      </c>
      <c r="Q728" t="n">
        <v>0</v>
      </c>
      <c r="R728" s="2" t="inlineStr"/>
    </row>
    <row r="729" ht="15" customHeight="1">
      <c r="A729" t="inlineStr">
        <is>
          <t>A 3298-2025</t>
        </is>
      </c>
      <c r="B729" s="1" t="n">
        <v>45679.64770833333</v>
      </c>
      <c r="C729" s="1" t="n">
        <v>46032</v>
      </c>
      <c r="D729" t="inlineStr">
        <is>
          <t>VÄRMLANDS LÄN</t>
        </is>
      </c>
      <c r="E729" t="inlineStr">
        <is>
          <t>ÅRJÄNG</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60903-2023</t>
        </is>
      </c>
      <c r="B730" s="1" t="n">
        <v>45261</v>
      </c>
      <c r="C730" s="1" t="n">
        <v>46032</v>
      </c>
      <c r="D730" t="inlineStr">
        <is>
          <t>VÄRMLANDS LÄN</t>
        </is>
      </c>
      <c r="E730" t="inlineStr">
        <is>
          <t>ÅRJÄNG</t>
        </is>
      </c>
      <c r="G730" t="n">
        <v>2.1</v>
      </c>
      <c r="H730" t="n">
        <v>0</v>
      </c>
      <c r="I730" t="n">
        <v>0</v>
      </c>
      <c r="J730" t="n">
        <v>0</v>
      </c>
      <c r="K730" t="n">
        <v>0</v>
      </c>
      <c r="L730" t="n">
        <v>0</v>
      </c>
      <c r="M730" t="n">
        <v>0</v>
      </c>
      <c r="N730" t="n">
        <v>0</v>
      </c>
      <c r="O730" t="n">
        <v>0</v>
      </c>
      <c r="P730" t="n">
        <v>0</v>
      </c>
      <c r="Q730" t="n">
        <v>0</v>
      </c>
      <c r="R730" s="2" t="inlineStr"/>
    </row>
    <row r="731" ht="15" customHeight="1">
      <c r="A731" t="inlineStr">
        <is>
          <t>A 53022-2025</t>
        </is>
      </c>
      <c r="B731" s="1" t="n">
        <v>45958.24024305555</v>
      </c>
      <c r="C731" s="1" t="n">
        <v>46032</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53024-2025</t>
        </is>
      </c>
      <c r="B732" s="1" t="n">
        <v>45958.32211805556</v>
      </c>
      <c r="C732" s="1" t="n">
        <v>46032</v>
      </c>
      <c r="D732" t="inlineStr">
        <is>
          <t>VÄRMLANDS LÄN</t>
        </is>
      </c>
      <c r="E732" t="inlineStr">
        <is>
          <t>ÅRJÄNG</t>
        </is>
      </c>
      <c r="G732" t="n">
        <v>2.1</v>
      </c>
      <c r="H732" t="n">
        <v>0</v>
      </c>
      <c r="I732" t="n">
        <v>0</v>
      </c>
      <c r="J732" t="n">
        <v>0</v>
      </c>
      <c r="K732" t="n">
        <v>0</v>
      </c>
      <c r="L732" t="n">
        <v>0</v>
      </c>
      <c r="M732" t="n">
        <v>0</v>
      </c>
      <c r="N732" t="n">
        <v>0</v>
      </c>
      <c r="O732" t="n">
        <v>0</v>
      </c>
      <c r="P732" t="n">
        <v>0</v>
      </c>
      <c r="Q732" t="n">
        <v>0</v>
      </c>
      <c r="R732" s="2" t="inlineStr"/>
    </row>
    <row r="733" ht="15" customHeight="1">
      <c r="A733" t="inlineStr">
        <is>
          <t>A 40465-2023</t>
        </is>
      </c>
      <c r="B733" s="1" t="n">
        <v>45170.34325231481</v>
      </c>
      <c r="C733" s="1" t="n">
        <v>46032</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23216-2023</t>
        </is>
      </c>
      <c r="B734" s="1" t="n">
        <v>45075</v>
      </c>
      <c r="C734" s="1" t="n">
        <v>46032</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24339-2024</t>
        </is>
      </c>
      <c r="B735" s="1" t="n">
        <v>45457</v>
      </c>
      <c r="C735" s="1" t="n">
        <v>46032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61050-2025</t>
        </is>
      </c>
      <c r="B736" s="1" t="n">
        <v>46000.32225694445</v>
      </c>
      <c r="C736" s="1" t="n">
        <v>46032</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61097-2025</t>
        </is>
      </c>
      <c r="B737" s="1" t="n">
        <v>46000.43695601852</v>
      </c>
      <c r="C737" s="1" t="n">
        <v>46032</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24916-2024</t>
        </is>
      </c>
      <c r="B738" s="1" t="n">
        <v>45461.6058449074</v>
      </c>
      <c r="C738" s="1" t="n">
        <v>46032</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49780-2024</t>
        </is>
      </c>
      <c r="B739" s="1" t="n">
        <v>45597</v>
      </c>
      <c r="C739" s="1" t="n">
        <v>46032</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48805-2022</t>
        </is>
      </c>
      <c r="B740" s="1" t="n">
        <v>44854</v>
      </c>
      <c r="C740" s="1" t="n">
        <v>46032</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61053-2025</t>
        </is>
      </c>
      <c r="B741" s="1" t="n">
        <v>46000.32866898148</v>
      </c>
      <c r="C741" s="1" t="n">
        <v>46032</v>
      </c>
      <c r="D741" t="inlineStr">
        <is>
          <t>VÄRMLANDS LÄN</t>
        </is>
      </c>
      <c r="E741" t="inlineStr">
        <is>
          <t>ÅRJÄNG</t>
        </is>
      </c>
      <c r="G741" t="n">
        <v>4.4</v>
      </c>
      <c r="H741" t="n">
        <v>0</v>
      </c>
      <c r="I741" t="n">
        <v>0</v>
      </c>
      <c r="J741" t="n">
        <v>0</v>
      </c>
      <c r="K741" t="n">
        <v>0</v>
      </c>
      <c r="L741" t="n">
        <v>0</v>
      </c>
      <c r="M741" t="n">
        <v>0</v>
      </c>
      <c r="N741" t="n">
        <v>0</v>
      </c>
      <c r="O741" t="n">
        <v>0</v>
      </c>
      <c r="P741" t="n">
        <v>0</v>
      </c>
      <c r="Q741" t="n">
        <v>0</v>
      </c>
      <c r="R741" s="2" t="inlineStr"/>
    </row>
    <row r="742" ht="15" customHeight="1">
      <c r="A742" t="inlineStr">
        <is>
          <t>A 35869-2025</t>
        </is>
      </c>
      <c r="B742" s="1" t="n">
        <v>45862</v>
      </c>
      <c r="C742" s="1" t="n">
        <v>46032</v>
      </c>
      <c r="D742" t="inlineStr">
        <is>
          <t>VÄRMLANDS LÄN</t>
        </is>
      </c>
      <c r="E742" t="inlineStr">
        <is>
          <t>ÅRJÄNG</t>
        </is>
      </c>
      <c r="F742" t="inlineStr">
        <is>
          <t>Bergvik skog väst AB</t>
        </is>
      </c>
      <c r="G742" t="n">
        <v>4.1</v>
      </c>
      <c r="H742" t="n">
        <v>0</v>
      </c>
      <c r="I742" t="n">
        <v>0</v>
      </c>
      <c r="J742" t="n">
        <v>0</v>
      </c>
      <c r="K742" t="n">
        <v>0</v>
      </c>
      <c r="L742" t="n">
        <v>0</v>
      </c>
      <c r="M742" t="n">
        <v>0</v>
      </c>
      <c r="N742" t="n">
        <v>0</v>
      </c>
      <c r="O742" t="n">
        <v>0</v>
      </c>
      <c r="P742" t="n">
        <v>0</v>
      </c>
      <c r="Q742" t="n">
        <v>0</v>
      </c>
      <c r="R742" s="2" t="inlineStr"/>
    </row>
    <row r="743" ht="15" customHeight="1">
      <c r="A743" t="inlineStr">
        <is>
          <t>A 24893-2024</t>
        </is>
      </c>
      <c r="B743" s="1" t="n">
        <v>45461.57194444445</v>
      </c>
      <c r="C743" s="1" t="n">
        <v>46032</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32338-2024</t>
        </is>
      </c>
      <c r="B744" s="1" t="n">
        <v>45512</v>
      </c>
      <c r="C744" s="1" t="n">
        <v>46032</v>
      </c>
      <c r="D744" t="inlineStr">
        <is>
          <t>VÄRMLANDS LÄN</t>
        </is>
      </c>
      <c r="E744" t="inlineStr">
        <is>
          <t>ÅRJÄNG</t>
        </is>
      </c>
      <c r="G744" t="n">
        <v>2.1</v>
      </c>
      <c r="H744" t="n">
        <v>0</v>
      </c>
      <c r="I744" t="n">
        <v>0</v>
      </c>
      <c r="J744" t="n">
        <v>0</v>
      </c>
      <c r="K744" t="n">
        <v>0</v>
      </c>
      <c r="L744" t="n">
        <v>0</v>
      </c>
      <c r="M744" t="n">
        <v>0</v>
      </c>
      <c r="N744" t="n">
        <v>0</v>
      </c>
      <c r="O744" t="n">
        <v>0</v>
      </c>
      <c r="P744" t="n">
        <v>0</v>
      </c>
      <c r="Q744" t="n">
        <v>0</v>
      </c>
      <c r="R744" s="2" t="inlineStr"/>
    </row>
    <row r="745" ht="15" customHeight="1">
      <c r="A745" t="inlineStr">
        <is>
          <t>A 36143-2025</t>
        </is>
      </c>
      <c r="B745" s="1" t="n">
        <v>45866.68708333333</v>
      </c>
      <c r="C745" s="1" t="n">
        <v>46032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61113-2025</t>
        </is>
      </c>
      <c r="B746" s="1" t="n">
        <v>45999</v>
      </c>
      <c r="C746" s="1" t="n">
        <v>46032</v>
      </c>
      <c r="D746" t="inlineStr">
        <is>
          <t>VÄRMLANDS LÄN</t>
        </is>
      </c>
      <c r="E746" t="inlineStr">
        <is>
          <t>ÅRJÄNG</t>
        </is>
      </c>
      <c r="G746" t="n">
        <v>7.6</v>
      </c>
      <c r="H746" t="n">
        <v>0</v>
      </c>
      <c r="I746" t="n">
        <v>0</v>
      </c>
      <c r="J746" t="n">
        <v>0</v>
      </c>
      <c r="K746" t="n">
        <v>0</v>
      </c>
      <c r="L746" t="n">
        <v>0</v>
      </c>
      <c r="M746" t="n">
        <v>0</v>
      </c>
      <c r="N746" t="n">
        <v>0</v>
      </c>
      <c r="O746" t="n">
        <v>0</v>
      </c>
      <c r="P746" t="n">
        <v>0</v>
      </c>
      <c r="Q746" t="n">
        <v>0</v>
      </c>
      <c r="R746" s="2" t="inlineStr"/>
    </row>
    <row r="747" ht="15" customHeight="1">
      <c r="A747" t="inlineStr">
        <is>
          <t>A 61126-2025</t>
        </is>
      </c>
      <c r="B747" s="1" t="n">
        <v>46000.48131944444</v>
      </c>
      <c r="C747" s="1" t="n">
        <v>46032</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4748-2023</t>
        </is>
      </c>
      <c r="B748" s="1" t="n">
        <v>44957</v>
      </c>
      <c r="C748" s="1" t="n">
        <v>46032</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59801-2023</t>
        </is>
      </c>
      <c r="B749" s="1" t="n">
        <v>45254</v>
      </c>
      <c r="C749" s="1" t="n">
        <v>46032</v>
      </c>
      <c r="D749" t="inlineStr">
        <is>
          <t>VÄRMLANDS LÄN</t>
        </is>
      </c>
      <c r="E749" t="inlineStr">
        <is>
          <t>ÅRJÄNG</t>
        </is>
      </c>
      <c r="G749" t="n">
        <v>13.8</v>
      </c>
      <c r="H749" t="n">
        <v>0</v>
      </c>
      <c r="I749" t="n">
        <v>0</v>
      </c>
      <c r="J749" t="n">
        <v>0</v>
      </c>
      <c r="K749" t="n">
        <v>0</v>
      </c>
      <c r="L749" t="n">
        <v>0</v>
      </c>
      <c r="M749" t="n">
        <v>0</v>
      </c>
      <c r="N749" t="n">
        <v>0</v>
      </c>
      <c r="O749" t="n">
        <v>0</v>
      </c>
      <c r="P749" t="n">
        <v>0</v>
      </c>
      <c r="Q749" t="n">
        <v>0</v>
      </c>
      <c r="R749" s="2" t="inlineStr"/>
    </row>
    <row r="750" ht="15" customHeight="1">
      <c r="A750" t="inlineStr">
        <is>
          <t>A 59811-2023</t>
        </is>
      </c>
      <c r="B750" s="1" t="n">
        <v>45254</v>
      </c>
      <c r="C750" s="1" t="n">
        <v>46032</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57152-2024</t>
        </is>
      </c>
      <c r="B751" s="1" t="n">
        <v>45628</v>
      </c>
      <c r="C751" s="1" t="n">
        <v>46032</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57158-2024</t>
        </is>
      </c>
      <c r="B752" s="1" t="n">
        <v>45628</v>
      </c>
      <c r="C752" s="1" t="n">
        <v>46032</v>
      </c>
      <c r="D752" t="inlineStr">
        <is>
          <t>VÄRMLANDS LÄN</t>
        </is>
      </c>
      <c r="E752" t="inlineStr">
        <is>
          <t>ÅRJÄNG</t>
        </is>
      </c>
      <c r="G752" t="n">
        <v>6.3</v>
      </c>
      <c r="H752" t="n">
        <v>0</v>
      </c>
      <c r="I752" t="n">
        <v>0</v>
      </c>
      <c r="J752" t="n">
        <v>0</v>
      </c>
      <c r="K752" t="n">
        <v>0</v>
      </c>
      <c r="L752" t="n">
        <v>0</v>
      </c>
      <c r="M752" t="n">
        <v>0</v>
      </c>
      <c r="N752" t="n">
        <v>0</v>
      </c>
      <c r="O752" t="n">
        <v>0</v>
      </c>
      <c r="P752" t="n">
        <v>0</v>
      </c>
      <c r="Q752" t="n">
        <v>0</v>
      </c>
      <c r="R752" s="2" t="inlineStr"/>
    </row>
    <row r="753" ht="15" customHeight="1">
      <c r="A753" t="inlineStr">
        <is>
          <t>A 36461-2025</t>
        </is>
      </c>
      <c r="B753" s="1" t="n">
        <v>45869</v>
      </c>
      <c r="C753" s="1" t="n">
        <v>46032</v>
      </c>
      <c r="D753" t="inlineStr">
        <is>
          <t>VÄRMLANDS LÄN</t>
        </is>
      </c>
      <c r="E753" t="inlineStr">
        <is>
          <t>ÅRJÄNG</t>
        </is>
      </c>
      <c r="G753" t="n">
        <v>3.7</v>
      </c>
      <c r="H753" t="n">
        <v>0</v>
      </c>
      <c r="I753" t="n">
        <v>0</v>
      </c>
      <c r="J753" t="n">
        <v>0</v>
      </c>
      <c r="K753" t="n">
        <v>0</v>
      </c>
      <c r="L753" t="n">
        <v>0</v>
      </c>
      <c r="M753" t="n">
        <v>0</v>
      </c>
      <c r="N753" t="n">
        <v>0</v>
      </c>
      <c r="O753" t="n">
        <v>0</v>
      </c>
      <c r="P753" t="n">
        <v>0</v>
      </c>
      <c r="Q753" t="n">
        <v>0</v>
      </c>
      <c r="R753" s="2" t="inlineStr"/>
    </row>
    <row r="754" ht="15" customHeight="1">
      <c r="A754" t="inlineStr">
        <is>
          <t>A 65854-2021</t>
        </is>
      </c>
      <c r="B754" s="1" t="n">
        <v>44517.37467592592</v>
      </c>
      <c r="C754" s="1" t="n">
        <v>46032</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53793-2024</t>
        </is>
      </c>
      <c r="B755" s="1" t="n">
        <v>45615</v>
      </c>
      <c r="C755" s="1" t="n">
        <v>46032</v>
      </c>
      <c r="D755" t="inlineStr">
        <is>
          <t>VÄRMLANDS LÄN</t>
        </is>
      </c>
      <c r="E755" t="inlineStr">
        <is>
          <t>ÅRJÄNG</t>
        </is>
      </c>
      <c r="G755" t="n">
        <v>4.9</v>
      </c>
      <c r="H755" t="n">
        <v>0</v>
      </c>
      <c r="I755" t="n">
        <v>0</v>
      </c>
      <c r="J755" t="n">
        <v>0</v>
      </c>
      <c r="K755" t="n">
        <v>0</v>
      </c>
      <c r="L755" t="n">
        <v>0</v>
      </c>
      <c r="M755" t="n">
        <v>0</v>
      </c>
      <c r="N755" t="n">
        <v>0</v>
      </c>
      <c r="O755" t="n">
        <v>0</v>
      </c>
      <c r="P755" t="n">
        <v>0</v>
      </c>
      <c r="Q755" t="n">
        <v>0</v>
      </c>
      <c r="R755" s="2" t="inlineStr"/>
    </row>
    <row r="756" ht="15" customHeight="1">
      <c r="A756" t="inlineStr">
        <is>
          <t>A 49133-2024</t>
        </is>
      </c>
      <c r="B756" s="1" t="n">
        <v>45594</v>
      </c>
      <c r="C756" s="1" t="n">
        <v>46032</v>
      </c>
      <c r="D756" t="inlineStr">
        <is>
          <t>VÄRMLANDS LÄN</t>
        </is>
      </c>
      <c r="E756" t="inlineStr">
        <is>
          <t>ÅRJÄNG</t>
        </is>
      </c>
      <c r="G756" t="n">
        <v>7.5</v>
      </c>
      <c r="H756" t="n">
        <v>0</v>
      </c>
      <c r="I756" t="n">
        <v>0</v>
      </c>
      <c r="J756" t="n">
        <v>0</v>
      </c>
      <c r="K756" t="n">
        <v>0</v>
      </c>
      <c r="L756" t="n">
        <v>0</v>
      </c>
      <c r="M756" t="n">
        <v>0</v>
      </c>
      <c r="N756" t="n">
        <v>0</v>
      </c>
      <c r="O756" t="n">
        <v>0</v>
      </c>
      <c r="P756" t="n">
        <v>0</v>
      </c>
      <c r="Q756" t="n">
        <v>0</v>
      </c>
      <c r="R756" s="2" t="inlineStr"/>
    </row>
    <row r="757" ht="15" customHeight="1">
      <c r="A757" t="inlineStr">
        <is>
          <t>A 16112-2025</t>
        </is>
      </c>
      <c r="B757" s="1" t="n">
        <v>45750.37240740741</v>
      </c>
      <c r="C757" s="1" t="n">
        <v>46032</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36751-2025</t>
        </is>
      </c>
      <c r="B758" s="1" t="n">
        <v>45873</v>
      </c>
      <c r="C758" s="1" t="n">
        <v>46032</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36780-2025</t>
        </is>
      </c>
      <c r="B759" s="1" t="n">
        <v>45873</v>
      </c>
      <c r="C759" s="1" t="n">
        <v>46032</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61263-2025</t>
        </is>
      </c>
      <c r="B760" s="1" t="n">
        <v>46000</v>
      </c>
      <c r="C760" s="1" t="n">
        <v>46032</v>
      </c>
      <c r="D760" t="inlineStr">
        <is>
          <t>VÄRMLANDS LÄN</t>
        </is>
      </c>
      <c r="E760" t="inlineStr">
        <is>
          <t>ÅRJÄNG</t>
        </is>
      </c>
      <c r="G760" t="n">
        <v>3.7</v>
      </c>
      <c r="H760" t="n">
        <v>0</v>
      </c>
      <c r="I760" t="n">
        <v>0</v>
      </c>
      <c r="J760" t="n">
        <v>0</v>
      </c>
      <c r="K760" t="n">
        <v>0</v>
      </c>
      <c r="L760" t="n">
        <v>0</v>
      </c>
      <c r="M760" t="n">
        <v>0</v>
      </c>
      <c r="N760" t="n">
        <v>0</v>
      </c>
      <c r="O760" t="n">
        <v>0</v>
      </c>
      <c r="P760" t="n">
        <v>0</v>
      </c>
      <c r="Q760" t="n">
        <v>0</v>
      </c>
      <c r="R760" s="2" t="inlineStr"/>
    </row>
    <row r="761" ht="15" customHeight="1">
      <c r="A761" t="inlineStr">
        <is>
          <t>A 49641-2021</t>
        </is>
      </c>
      <c r="B761" s="1" t="n">
        <v>44455.44327546296</v>
      </c>
      <c r="C761" s="1" t="n">
        <v>46032</v>
      </c>
      <c r="D761" t="inlineStr">
        <is>
          <t>VÄRMLANDS LÄN</t>
        </is>
      </c>
      <c r="E761" t="inlineStr">
        <is>
          <t>ÅRJÄNG</t>
        </is>
      </c>
      <c r="G761" t="n">
        <v>3.2</v>
      </c>
      <c r="H761" t="n">
        <v>0</v>
      </c>
      <c r="I761" t="n">
        <v>0</v>
      </c>
      <c r="J761" t="n">
        <v>0</v>
      </c>
      <c r="K761" t="n">
        <v>0</v>
      </c>
      <c r="L761" t="n">
        <v>0</v>
      </c>
      <c r="M761" t="n">
        <v>0</v>
      </c>
      <c r="N761" t="n">
        <v>0</v>
      </c>
      <c r="O761" t="n">
        <v>0</v>
      </c>
      <c r="P761" t="n">
        <v>0</v>
      </c>
      <c r="Q761" t="n">
        <v>0</v>
      </c>
      <c r="R761" s="2" t="inlineStr"/>
    </row>
    <row r="762" ht="15" customHeight="1">
      <c r="A762" t="inlineStr">
        <is>
          <t>A 59070-2024</t>
        </is>
      </c>
      <c r="B762" s="1" t="n">
        <v>45636.95711805556</v>
      </c>
      <c r="C762" s="1" t="n">
        <v>46032</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53929-2025</t>
        </is>
      </c>
      <c r="B763" s="1" t="n">
        <v>45961</v>
      </c>
      <c r="C763" s="1" t="n">
        <v>46032</v>
      </c>
      <c r="D763" t="inlineStr">
        <is>
          <t>VÄRMLANDS LÄN</t>
        </is>
      </c>
      <c r="E763" t="inlineStr">
        <is>
          <t>ÅRJÄNG</t>
        </is>
      </c>
      <c r="F763" t="inlineStr">
        <is>
          <t>Bergvik skog väst AB</t>
        </is>
      </c>
      <c r="G763" t="n">
        <v>34.3</v>
      </c>
      <c r="H763" t="n">
        <v>0</v>
      </c>
      <c r="I763" t="n">
        <v>0</v>
      </c>
      <c r="J763" t="n">
        <v>0</v>
      </c>
      <c r="K763" t="n">
        <v>0</v>
      </c>
      <c r="L763" t="n">
        <v>0</v>
      </c>
      <c r="M763" t="n">
        <v>0</v>
      </c>
      <c r="N763" t="n">
        <v>0</v>
      </c>
      <c r="O763" t="n">
        <v>0</v>
      </c>
      <c r="P763" t="n">
        <v>0</v>
      </c>
      <c r="Q763" t="n">
        <v>0</v>
      </c>
      <c r="R763" s="2" t="inlineStr"/>
    </row>
    <row r="764" ht="15" customHeight="1">
      <c r="A764" t="inlineStr">
        <is>
          <t>A 55574-2023</t>
        </is>
      </c>
      <c r="B764" s="1" t="n">
        <v>45232</v>
      </c>
      <c r="C764" s="1" t="n">
        <v>46032</v>
      </c>
      <c r="D764" t="inlineStr">
        <is>
          <t>VÄRMLANDS LÄN</t>
        </is>
      </c>
      <c r="E764" t="inlineStr">
        <is>
          <t>ÅRJÄNG</t>
        </is>
      </c>
      <c r="G764" t="n">
        <v>9.1</v>
      </c>
      <c r="H764" t="n">
        <v>0</v>
      </c>
      <c r="I764" t="n">
        <v>0</v>
      </c>
      <c r="J764" t="n">
        <v>0</v>
      </c>
      <c r="K764" t="n">
        <v>0</v>
      </c>
      <c r="L764" t="n">
        <v>0</v>
      </c>
      <c r="M764" t="n">
        <v>0</v>
      </c>
      <c r="N764" t="n">
        <v>0</v>
      </c>
      <c r="O764" t="n">
        <v>0</v>
      </c>
      <c r="P764" t="n">
        <v>0</v>
      </c>
      <c r="Q764" t="n">
        <v>0</v>
      </c>
      <c r="R764" s="2" t="inlineStr"/>
    </row>
    <row r="765" ht="15" customHeight="1">
      <c r="A765" t="inlineStr">
        <is>
          <t>A 36752-2025</t>
        </is>
      </c>
      <c r="B765" s="1" t="n">
        <v>45873</v>
      </c>
      <c r="C765" s="1" t="n">
        <v>46032</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36450-2025</t>
        </is>
      </c>
      <c r="B766" s="1" t="n">
        <v>45869</v>
      </c>
      <c r="C766" s="1" t="n">
        <v>46032</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61547-2025</t>
        </is>
      </c>
      <c r="B767" s="1" t="n">
        <v>46001</v>
      </c>
      <c r="C767" s="1" t="n">
        <v>46032</v>
      </c>
      <c r="D767" t="inlineStr">
        <is>
          <t>VÄRMLANDS LÄN</t>
        </is>
      </c>
      <c r="E767" t="inlineStr">
        <is>
          <t>ÅRJÄNG</t>
        </is>
      </c>
      <c r="G767" t="n">
        <v>5.2</v>
      </c>
      <c r="H767" t="n">
        <v>0</v>
      </c>
      <c r="I767" t="n">
        <v>0</v>
      </c>
      <c r="J767" t="n">
        <v>0</v>
      </c>
      <c r="K767" t="n">
        <v>0</v>
      </c>
      <c r="L767" t="n">
        <v>0</v>
      </c>
      <c r="M767" t="n">
        <v>0</v>
      </c>
      <c r="N767" t="n">
        <v>0</v>
      </c>
      <c r="O767" t="n">
        <v>0</v>
      </c>
      <c r="P767" t="n">
        <v>0</v>
      </c>
      <c r="Q767" t="n">
        <v>0</v>
      </c>
      <c r="R767" s="2" t="inlineStr"/>
    </row>
    <row r="768" ht="15" customHeight="1">
      <c r="A768" t="inlineStr">
        <is>
          <t>A 37071-2025</t>
        </is>
      </c>
      <c r="B768" s="1" t="n">
        <v>45875.40101851852</v>
      </c>
      <c r="C768" s="1" t="n">
        <v>46032</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46249-2023</t>
        </is>
      </c>
      <c r="B769" s="1" t="n">
        <v>45196.89337962963</v>
      </c>
      <c r="C769" s="1" t="n">
        <v>46032</v>
      </c>
      <c r="D769" t="inlineStr">
        <is>
          <t>VÄRMLANDS LÄN</t>
        </is>
      </c>
      <c r="E769" t="inlineStr">
        <is>
          <t>ÅRJÄNG</t>
        </is>
      </c>
      <c r="G769" t="n">
        <v>1.7</v>
      </c>
      <c r="H769" t="n">
        <v>0</v>
      </c>
      <c r="I769" t="n">
        <v>0</v>
      </c>
      <c r="J769" t="n">
        <v>0</v>
      </c>
      <c r="K769" t="n">
        <v>0</v>
      </c>
      <c r="L769" t="n">
        <v>0</v>
      </c>
      <c r="M769" t="n">
        <v>0</v>
      </c>
      <c r="N769" t="n">
        <v>0</v>
      </c>
      <c r="O769" t="n">
        <v>0</v>
      </c>
      <c r="P769" t="n">
        <v>0</v>
      </c>
      <c r="Q769" t="n">
        <v>0</v>
      </c>
      <c r="R769" s="2" t="inlineStr"/>
    </row>
    <row r="770" ht="15" customHeight="1">
      <c r="A770" t="inlineStr">
        <is>
          <t>A 64690-2023</t>
        </is>
      </c>
      <c r="B770" s="1" t="n">
        <v>45281.63434027778</v>
      </c>
      <c r="C770" s="1" t="n">
        <v>46032</v>
      </c>
      <c r="D770" t="inlineStr">
        <is>
          <t>VÄRMLANDS LÄN</t>
        </is>
      </c>
      <c r="E770" t="inlineStr">
        <is>
          <t>ÅRJÄNG</t>
        </is>
      </c>
      <c r="G770" t="n">
        <v>2.1</v>
      </c>
      <c r="H770" t="n">
        <v>0</v>
      </c>
      <c r="I770" t="n">
        <v>0</v>
      </c>
      <c r="J770" t="n">
        <v>0</v>
      </c>
      <c r="K770" t="n">
        <v>0</v>
      </c>
      <c r="L770" t="n">
        <v>0</v>
      </c>
      <c r="M770" t="n">
        <v>0</v>
      </c>
      <c r="N770" t="n">
        <v>0</v>
      </c>
      <c r="O770" t="n">
        <v>0</v>
      </c>
      <c r="P770" t="n">
        <v>0</v>
      </c>
      <c r="Q770" t="n">
        <v>0</v>
      </c>
      <c r="R770" s="2" t="inlineStr"/>
    </row>
    <row r="771" ht="15" customHeight="1">
      <c r="A771" t="inlineStr">
        <is>
          <t>A 60202-2023</t>
        </is>
      </c>
      <c r="B771" s="1" t="n">
        <v>45257</v>
      </c>
      <c r="C771" s="1" t="n">
        <v>46032</v>
      </c>
      <c r="D771" t="inlineStr">
        <is>
          <t>VÄRMLANDS LÄN</t>
        </is>
      </c>
      <c r="E771" t="inlineStr">
        <is>
          <t>ÅRJÄNG</t>
        </is>
      </c>
      <c r="G771" t="n">
        <v>1.2</v>
      </c>
      <c r="H771" t="n">
        <v>0</v>
      </c>
      <c r="I771" t="n">
        <v>0</v>
      </c>
      <c r="J771" t="n">
        <v>0</v>
      </c>
      <c r="K771" t="n">
        <v>0</v>
      </c>
      <c r="L771" t="n">
        <v>0</v>
      </c>
      <c r="M771" t="n">
        <v>0</v>
      </c>
      <c r="N771" t="n">
        <v>0</v>
      </c>
      <c r="O771" t="n">
        <v>0</v>
      </c>
      <c r="P771" t="n">
        <v>0</v>
      </c>
      <c r="Q771" t="n">
        <v>0</v>
      </c>
      <c r="R771" s="2" t="inlineStr"/>
    </row>
    <row r="772" ht="15" customHeight="1">
      <c r="A772" t="inlineStr">
        <is>
          <t>A 36827-2025</t>
        </is>
      </c>
      <c r="B772" s="1" t="n">
        <v>45874</v>
      </c>
      <c r="C772" s="1" t="n">
        <v>46032</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41986-2022</t>
        </is>
      </c>
      <c r="B773" s="1" t="n">
        <v>44830.4380787037</v>
      </c>
      <c r="C773" s="1" t="n">
        <v>46032</v>
      </c>
      <c r="D773" t="inlineStr">
        <is>
          <t>VÄRMLANDS LÄN</t>
        </is>
      </c>
      <c r="E773" t="inlineStr">
        <is>
          <t>ÅRJÄNG</t>
        </is>
      </c>
      <c r="G773" t="n">
        <v>4.3</v>
      </c>
      <c r="H773" t="n">
        <v>0</v>
      </c>
      <c r="I773" t="n">
        <v>0</v>
      </c>
      <c r="J773" t="n">
        <v>0</v>
      </c>
      <c r="K773" t="n">
        <v>0</v>
      </c>
      <c r="L773" t="n">
        <v>0</v>
      </c>
      <c r="M773" t="n">
        <v>0</v>
      </c>
      <c r="N773" t="n">
        <v>0</v>
      </c>
      <c r="O773" t="n">
        <v>0</v>
      </c>
      <c r="P773" t="n">
        <v>0</v>
      </c>
      <c r="Q773" t="n">
        <v>0</v>
      </c>
      <c r="R773" s="2" t="inlineStr"/>
    </row>
    <row r="774" ht="15" customHeight="1">
      <c r="A774" t="inlineStr">
        <is>
          <t>A 5507-2024</t>
        </is>
      </c>
      <c r="B774" s="1" t="n">
        <v>45334.36188657407</v>
      </c>
      <c r="C774" s="1" t="n">
        <v>46032</v>
      </c>
      <c r="D774" t="inlineStr">
        <is>
          <t>VÄRMLANDS LÄN</t>
        </is>
      </c>
      <c r="E774" t="inlineStr">
        <is>
          <t>ÅRJÄNG</t>
        </is>
      </c>
      <c r="G774" t="n">
        <v>4.8</v>
      </c>
      <c r="H774" t="n">
        <v>0</v>
      </c>
      <c r="I774" t="n">
        <v>0</v>
      </c>
      <c r="J774" t="n">
        <v>0</v>
      </c>
      <c r="K774" t="n">
        <v>0</v>
      </c>
      <c r="L774" t="n">
        <v>0</v>
      </c>
      <c r="M774" t="n">
        <v>0</v>
      </c>
      <c r="N774" t="n">
        <v>0</v>
      </c>
      <c r="O774" t="n">
        <v>0</v>
      </c>
      <c r="P774" t="n">
        <v>0</v>
      </c>
      <c r="Q774" t="n">
        <v>0</v>
      </c>
      <c r="R774" s="2" t="inlineStr"/>
    </row>
    <row r="775" ht="15" customHeight="1">
      <c r="A775" t="inlineStr">
        <is>
          <t>A 8885-2021</t>
        </is>
      </c>
      <c r="B775" s="1" t="n">
        <v>44248</v>
      </c>
      <c r="C775" s="1" t="n">
        <v>46032</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36839-2025</t>
        </is>
      </c>
      <c r="B776" s="1" t="n">
        <v>45874</v>
      </c>
      <c r="C776" s="1" t="n">
        <v>46032</v>
      </c>
      <c r="D776" t="inlineStr">
        <is>
          <t>VÄRMLANDS LÄN</t>
        </is>
      </c>
      <c r="E776" t="inlineStr">
        <is>
          <t>ÅRJÄNG</t>
        </is>
      </c>
      <c r="G776" t="n">
        <v>2.2</v>
      </c>
      <c r="H776" t="n">
        <v>0</v>
      </c>
      <c r="I776" t="n">
        <v>0</v>
      </c>
      <c r="J776" t="n">
        <v>0</v>
      </c>
      <c r="K776" t="n">
        <v>0</v>
      </c>
      <c r="L776" t="n">
        <v>0</v>
      </c>
      <c r="M776" t="n">
        <v>0</v>
      </c>
      <c r="N776" t="n">
        <v>0</v>
      </c>
      <c r="O776" t="n">
        <v>0</v>
      </c>
      <c r="P776" t="n">
        <v>0</v>
      </c>
      <c r="Q776" t="n">
        <v>0</v>
      </c>
      <c r="R776" s="2" t="inlineStr"/>
    </row>
    <row r="777" ht="15" customHeight="1">
      <c r="A777" t="inlineStr">
        <is>
          <t>A 36834-2025</t>
        </is>
      </c>
      <c r="B777" s="1" t="n">
        <v>45874.35965277778</v>
      </c>
      <c r="C777" s="1" t="n">
        <v>46032</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36857-2025</t>
        </is>
      </c>
      <c r="B778" s="1" t="n">
        <v>45874.40488425926</v>
      </c>
      <c r="C778" s="1" t="n">
        <v>46032</v>
      </c>
      <c r="D778" t="inlineStr">
        <is>
          <t>VÄRMLANDS LÄN</t>
        </is>
      </c>
      <c r="E778" t="inlineStr">
        <is>
          <t>ÅRJÄNG</t>
        </is>
      </c>
      <c r="G778" t="n">
        <v>5.2</v>
      </c>
      <c r="H778" t="n">
        <v>0</v>
      </c>
      <c r="I778" t="n">
        <v>0</v>
      </c>
      <c r="J778" t="n">
        <v>0</v>
      </c>
      <c r="K778" t="n">
        <v>0</v>
      </c>
      <c r="L778" t="n">
        <v>0</v>
      </c>
      <c r="M778" t="n">
        <v>0</v>
      </c>
      <c r="N778" t="n">
        <v>0</v>
      </c>
      <c r="O778" t="n">
        <v>0</v>
      </c>
      <c r="P778" t="n">
        <v>0</v>
      </c>
      <c r="Q778" t="n">
        <v>0</v>
      </c>
      <c r="R778" s="2" t="inlineStr"/>
    </row>
    <row r="779" ht="15" customHeight="1">
      <c r="A779" t="inlineStr">
        <is>
          <t>A 36865-2025</t>
        </is>
      </c>
      <c r="B779" s="1" t="n">
        <v>45874.41655092593</v>
      </c>
      <c r="C779" s="1" t="n">
        <v>46032</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53752-2025</t>
        </is>
      </c>
      <c r="B780" s="1" t="n">
        <v>45960.66131944444</v>
      </c>
      <c r="C780" s="1" t="n">
        <v>46032</v>
      </c>
      <c r="D780" t="inlineStr">
        <is>
          <t>VÄRMLANDS LÄN</t>
        </is>
      </c>
      <c r="E780" t="inlineStr">
        <is>
          <t>ÅRJÄNG</t>
        </is>
      </c>
      <c r="G780" t="n">
        <v>1.8</v>
      </c>
      <c r="H780" t="n">
        <v>0</v>
      </c>
      <c r="I780" t="n">
        <v>0</v>
      </c>
      <c r="J780" t="n">
        <v>0</v>
      </c>
      <c r="K780" t="n">
        <v>0</v>
      </c>
      <c r="L780" t="n">
        <v>0</v>
      </c>
      <c r="M780" t="n">
        <v>0</v>
      </c>
      <c r="N780" t="n">
        <v>0</v>
      </c>
      <c r="O780" t="n">
        <v>0</v>
      </c>
      <c r="P780" t="n">
        <v>0</v>
      </c>
      <c r="Q780" t="n">
        <v>0</v>
      </c>
      <c r="R780" s="2" t="inlineStr"/>
    </row>
    <row r="781" ht="15" customHeight="1">
      <c r="A781" t="inlineStr">
        <is>
          <t>A 61548-2025</t>
        </is>
      </c>
      <c r="B781" s="1" t="n">
        <v>46001</v>
      </c>
      <c r="C781" s="1" t="n">
        <v>46032</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37765-2023</t>
        </is>
      </c>
      <c r="B782" s="1" t="n">
        <v>45159</v>
      </c>
      <c r="C782" s="1" t="n">
        <v>46032</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283-2025</t>
        </is>
      </c>
      <c r="B783" s="1" t="n">
        <v>45656</v>
      </c>
      <c r="C783" s="1" t="n">
        <v>46032</v>
      </c>
      <c r="D783" t="inlineStr">
        <is>
          <t>VÄRMLANDS LÄN</t>
        </is>
      </c>
      <c r="E783" t="inlineStr">
        <is>
          <t>ÅRJÄNG</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301-2025</t>
        </is>
      </c>
      <c r="B784" s="1" t="n">
        <v>45660.56</v>
      </c>
      <c r="C784" s="1" t="n">
        <v>46032</v>
      </c>
      <c r="D784" t="inlineStr">
        <is>
          <t>VÄRMLANDS LÄN</t>
        </is>
      </c>
      <c r="E784" t="inlineStr">
        <is>
          <t>ÅRJÄNG</t>
        </is>
      </c>
      <c r="G784" t="n">
        <v>2.5</v>
      </c>
      <c r="H784" t="n">
        <v>0</v>
      </c>
      <c r="I784" t="n">
        <v>0</v>
      </c>
      <c r="J784" t="n">
        <v>0</v>
      </c>
      <c r="K784" t="n">
        <v>0</v>
      </c>
      <c r="L784" t="n">
        <v>0</v>
      </c>
      <c r="M784" t="n">
        <v>0</v>
      </c>
      <c r="N784" t="n">
        <v>0</v>
      </c>
      <c r="O784" t="n">
        <v>0</v>
      </c>
      <c r="P784" t="n">
        <v>0</v>
      </c>
      <c r="Q784" t="n">
        <v>0</v>
      </c>
      <c r="R784" s="2" t="inlineStr"/>
    </row>
    <row r="785" ht="15" customHeight="1">
      <c r="A785" t="inlineStr">
        <is>
          <t>A 36831-2025</t>
        </is>
      </c>
      <c r="B785" s="1" t="n">
        <v>45874</v>
      </c>
      <c r="C785" s="1" t="n">
        <v>46032</v>
      </c>
      <c r="D785" t="inlineStr">
        <is>
          <t>VÄRMLANDS LÄN</t>
        </is>
      </c>
      <c r="E785" t="inlineStr">
        <is>
          <t>ÅRJÄNG</t>
        </is>
      </c>
      <c r="G785" t="n">
        <v>1.7</v>
      </c>
      <c r="H785" t="n">
        <v>0</v>
      </c>
      <c r="I785" t="n">
        <v>0</v>
      </c>
      <c r="J785" t="n">
        <v>0</v>
      </c>
      <c r="K785" t="n">
        <v>0</v>
      </c>
      <c r="L785" t="n">
        <v>0</v>
      </c>
      <c r="M785" t="n">
        <v>0</v>
      </c>
      <c r="N785" t="n">
        <v>0</v>
      </c>
      <c r="O785" t="n">
        <v>0</v>
      </c>
      <c r="P785" t="n">
        <v>0</v>
      </c>
      <c r="Q785" t="n">
        <v>0</v>
      </c>
      <c r="R785" s="2" t="inlineStr"/>
    </row>
    <row r="786" ht="15" customHeight="1">
      <c r="A786" t="inlineStr">
        <is>
          <t>A 36819-2025</t>
        </is>
      </c>
      <c r="B786" s="1" t="n">
        <v>45873.84164351852</v>
      </c>
      <c r="C786" s="1" t="n">
        <v>46032</v>
      </c>
      <c r="D786" t="inlineStr">
        <is>
          <t>VÄRMLANDS LÄN</t>
        </is>
      </c>
      <c r="E786" t="inlineStr">
        <is>
          <t>ÅRJÄNG</t>
        </is>
      </c>
      <c r="G786" t="n">
        <v>2.3</v>
      </c>
      <c r="H786" t="n">
        <v>0</v>
      </c>
      <c r="I786" t="n">
        <v>0</v>
      </c>
      <c r="J786" t="n">
        <v>0</v>
      </c>
      <c r="K786" t="n">
        <v>0</v>
      </c>
      <c r="L786" t="n">
        <v>0</v>
      </c>
      <c r="M786" t="n">
        <v>0</v>
      </c>
      <c r="N786" t="n">
        <v>0</v>
      </c>
      <c r="O786" t="n">
        <v>0</v>
      </c>
      <c r="P786" t="n">
        <v>0</v>
      </c>
      <c r="Q786" t="n">
        <v>0</v>
      </c>
      <c r="R786" s="2" t="inlineStr"/>
    </row>
    <row r="787" ht="15" customHeight="1">
      <c r="A787" t="inlineStr">
        <is>
          <t>A 37484-2025</t>
        </is>
      </c>
      <c r="B787" s="1" t="n">
        <v>45877</v>
      </c>
      <c r="C787" s="1" t="n">
        <v>46032</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37507-2025</t>
        </is>
      </c>
      <c r="B788" s="1" t="n">
        <v>45877</v>
      </c>
      <c r="C788" s="1" t="n">
        <v>46032</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37247-2025</t>
        </is>
      </c>
      <c r="B789" s="1" t="n">
        <v>45876.40268518519</v>
      </c>
      <c r="C789" s="1" t="n">
        <v>46032</v>
      </c>
      <c r="D789" t="inlineStr">
        <is>
          <t>VÄRMLANDS LÄN</t>
        </is>
      </c>
      <c r="E789" t="inlineStr">
        <is>
          <t>ÅRJÄNG</t>
        </is>
      </c>
      <c r="G789" t="n">
        <v>2.7</v>
      </c>
      <c r="H789" t="n">
        <v>0</v>
      </c>
      <c r="I789" t="n">
        <v>0</v>
      </c>
      <c r="J789" t="n">
        <v>0</v>
      </c>
      <c r="K789" t="n">
        <v>0</v>
      </c>
      <c r="L789" t="n">
        <v>0</v>
      </c>
      <c r="M789" t="n">
        <v>0</v>
      </c>
      <c r="N789" t="n">
        <v>0</v>
      </c>
      <c r="O789" t="n">
        <v>0</v>
      </c>
      <c r="P789" t="n">
        <v>0</v>
      </c>
      <c r="Q789" t="n">
        <v>0</v>
      </c>
      <c r="R789" s="2" t="inlineStr"/>
    </row>
    <row r="790" ht="15" customHeight="1">
      <c r="A790" t="inlineStr">
        <is>
          <t>A 37402-2025</t>
        </is>
      </c>
      <c r="B790" s="1" t="n">
        <v>45877</v>
      </c>
      <c r="C790" s="1" t="n">
        <v>46032</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37418-2025</t>
        </is>
      </c>
      <c r="B791" s="1" t="n">
        <v>45877</v>
      </c>
      <c r="C791" s="1" t="n">
        <v>46032</v>
      </c>
      <c r="D791" t="inlineStr">
        <is>
          <t>VÄRMLANDS LÄN</t>
        </is>
      </c>
      <c r="E791" t="inlineStr">
        <is>
          <t>ÅRJÄNG</t>
        </is>
      </c>
      <c r="G791" t="n">
        <v>1.7</v>
      </c>
      <c r="H791" t="n">
        <v>0</v>
      </c>
      <c r="I791" t="n">
        <v>0</v>
      </c>
      <c r="J791" t="n">
        <v>0</v>
      </c>
      <c r="K791" t="n">
        <v>0</v>
      </c>
      <c r="L791" t="n">
        <v>0</v>
      </c>
      <c r="M791" t="n">
        <v>0</v>
      </c>
      <c r="N791" t="n">
        <v>0</v>
      </c>
      <c r="O791" t="n">
        <v>0</v>
      </c>
      <c r="P791" t="n">
        <v>0</v>
      </c>
      <c r="Q791" t="n">
        <v>0</v>
      </c>
      <c r="R791" s="2" t="inlineStr"/>
    </row>
    <row r="792" ht="15" customHeight="1">
      <c r="A792" t="inlineStr">
        <is>
          <t>A 37420-2025</t>
        </is>
      </c>
      <c r="B792" s="1" t="n">
        <v>45877</v>
      </c>
      <c r="C792" s="1" t="n">
        <v>46032</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28314-2025</t>
        </is>
      </c>
      <c r="B793" s="1" t="n">
        <v>45818.62592592592</v>
      </c>
      <c r="C793" s="1" t="n">
        <v>46032</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61631-2025</t>
        </is>
      </c>
      <c r="B794" s="1" t="n">
        <v>46002.4105787037</v>
      </c>
      <c r="C794" s="1" t="n">
        <v>46032</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40447-2022</t>
        </is>
      </c>
      <c r="B795" s="1" t="n">
        <v>44823</v>
      </c>
      <c r="C795" s="1" t="n">
        <v>46032</v>
      </c>
      <c r="D795" t="inlineStr">
        <is>
          <t>VÄRMLANDS LÄN</t>
        </is>
      </c>
      <c r="E795" t="inlineStr">
        <is>
          <t>ÅRJÄNG</t>
        </is>
      </c>
      <c r="G795" t="n">
        <v>10.4</v>
      </c>
      <c r="H795" t="n">
        <v>0</v>
      </c>
      <c r="I795" t="n">
        <v>0</v>
      </c>
      <c r="J795" t="n">
        <v>0</v>
      </c>
      <c r="K795" t="n">
        <v>0</v>
      </c>
      <c r="L795" t="n">
        <v>0</v>
      </c>
      <c r="M795" t="n">
        <v>0</v>
      </c>
      <c r="N795" t="n">
        <v>0</v>
      </c>
      <c r="O795" t="n">
        <v>0</v>
      </c>
      <c r="P795" t="n">
        <v>0</v>
      </c>
      <c r="Q795" t="n">
        <v>0</v>
      </c>
      <c r="R795" s="2" t="inlineStr"/>
    </row>
    <row r="796" ht="15" customHeight="1">
      <c r="A796" t="inlineStr">
        <is>
          <t>A 53751-2025</t>
        </is>
      </c>
      <c r="B796" s="1" t="n">
        <v>45960.65855324074</v>
      </c>
      <c r="C796" s="1" t="n">
        <v>46032</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37419-2025</t>
        </is>
      </c>
      <c r="B797" s="1" t="n">
        <v>45877</v>
      </c>
      <c r="C797" s="1" t="n">
        <v>46032</v>
      </c>
      <c r="D797" t="inlineStr">
        <is>
          <t>VÄRMLANDS LÄN</t>
        </is>
      </c>
      <c r="E797" t="inlineStr">
        <is>
          <t>ÅRJÄNG</t>
        </is>
      </c>
      <c r="G797" t="n">
        <v>4.9</v>
      </c>
      <c r="H797" t="n">
        <v>0</v>
      </c>
      <c r="I797" t="n">
        <v>0</v>
      </c>
      <c r="J797" t="n">
        <v>0</v>
      </c>
      <c r="K797" t="n">
        <v>0</v>
      </c>
      <c r="L797" t="n">
        <v>0</v>
      </c>
      <c r="M797" t="n">
        <v>0</v>
      </c>
      <c r="N797" t="n">
        <v>0</v>
      </c>
      <c r="O797" t="n">
        <v>0</v>
      </c>
      <c r="P797" t="n">
        <v>0</v>
      </c>
      <c r="Q797" t="n">
        <v>0</v>
      </c>
      <c r="R797" s="2" t="inlineStr"/>
    </row>
    <row r="798" ht="15" customHeight="1">
      <c r="A798" t="inlineStr">
        <is>
          <t>A 19246-2024</t>
        </is>
      </c>
      <c r="B798" s="1" t="n">
        <v>45428</v>
      </c>
      <c r="C798" s="1" t="n">
        <v>46032</v>
      </c>
      <c r="D798" t="inlineStr">
        <is>
          <t>VÄRMLANDS LÄN</t>
        </is>
      </c>
      <c r="E798" t="inlineStr">
        <is>
          <t>ÅRJÄNG</t>
        </is>
      </c>
      <c r="F798" t="inlineStr">
        <is>
          <t>Bergvik skog väst AB</t>
        </is>
      </c>
      <c r="G798" t="n">
        <v>2.9</v>
      </c>
      <c r="H798" t="n">
        <v>0</v>
      </c>
      <c r="I798" t="n">
        <v>0</v>
      </c>
      <c r="J798" t="n">
        <v>0</v>
      </c>
      <c r="K798" t="n">
        <v>0</v>
      </c>
      <c r="L798" t="n">
        <v>0</v>
      </c>
      <c r="M798" t="n">
        <v>0</v>
      </c>
      <c r="N798" t="n">
        <v>0</v>
      </c>
      <c r="O798" t="n">
        <v>0</v>
      </c>
      <c r="P798" t="n">
        <v>0</v>
      </c>
      <c r="Q798" t="n">
        <v>0</v>
      </c>
      <c r="R798" s="2" t="inlineStr"/>
    </row>
    <row r="799" ht="15" customHeight="1">
      <c r="A799" t="inlineStr">
        <is>
          <t>A 37510-2025</t>
        </is>
      </c>
      <c r="B799" s="1" t="n">
        <v>45877</v>
      </c>
      <c r="C799" s="1" t="n">
        <v>46032</v>
      </c>
      <c r="D799" t="inlineStr">
        <is>
          <t>VÄRMLANDS LÄN</t>
        </is>
      </c>
      <c r="E799" t="inlineStr">
        <is>
          <t>ÅRJÄNG</t>
        </is>
      </c>
      <c r="G799" t="n">
        <v>10.4</v>
      </c>
      <c r="H799" t="n">
        <v>0</v>
      </c>
      <c r="I799" t="n">
        <v>0</v>
      </c>
      <c r="J799" t="n">
        <v>0</v>
      </c>
      <c r="K799" t="n">
        <v>0</v>
      </c>
      <c r="L799" t="n">
        <v>0</v>
      </c>
      <c r="M799" t="n">
        <v>0</v>
      </c>
      <c r="N799" t="n">
        <v>0</v>
      </c>
      <c r="O799" t="n">
        <v>0</v>
      </c>
      <c r="P799" t="n">
        <v>0</v>
      </c>
      <c r="Q799" t="n">
        <v>0</v>
      </c>
      <c r="R799" s="2" t="inlineStr"/>
    </row>
    <row r="800" ht="15" customHeight="1">
      <c r="A800" t="inlineStr">
        <is>
          <t>A 37416-2025</t>
        </is>
      </c>
      <c r="B800" s="1" t="n">
        <v>45877</v>
      </c>
      <c r="C800" s="1" t="n">
        <v>46032</v>
      </c>
      <c r="D800" t="inlineStr">
        <is>
          <t>VÄRMLANDS LÄN</t>
        </is>
      </c>
      <c r="E800" t="inlineStr">
        <is>
          <t>ÅRJÄNG</t>
        </is>
      </c>
      <c r="G800" t="n">
        <v>3.8</v>
      </c>
      <c r="H800" t="n">
        <v>0</v>
      </c>
      <c r="I800" t="n">
        <v>0</v>
      </c>
      <c r="J800" t="n">
        <v>0</v>
      </c>
      <c r="K800" t="n">
        <v>0</v>
      </c>
      <c r="L800" t="n">
        <v>0</v>
      </c>
      <c r="M800" t="n">
        <v>0</v>
      </c>
      <c r="N800" t="n">
        <v>0</v>
      </c>
      <c r="O800" t="n">
        <v>0</v>
      </c>
      <c r="P800" t="n">
        <v>0</v>
      </c>
      <c r="Q800" t="n">
        <v>0</v>
      </c>
      <c r="R800" s="2" t="inlineStr"/>
    </row>
    <row r="801" ht="15" customHeight="1">
      <c r="A801" t="inlineStr">
        <is>
          <t>A 11874-2025</t>
        </is>
      </c>
      <c r="B801" s="1" t="n">
        <v>45728.43699074074</v>
      </c>
      <c r="C801" s="1" t="n">
        <v>46032</v>
      </c>
      <c r="D801" t="inlineStr">
        <is>
          <t>VÄRMLANDS LÄN</t>
        </is>
      </c>
      <c r="E801" t="inlineStr">
        <is>
          <t>ÅRJÄNG</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14768-2024</t>
        </is>
      </c>
      <c r="B802" s="1" t="n">
        <v>45397</v>
      </c>
      <c r="C802" s="1" t="n">
        <v>46032</v>
      </c>
      <c r="D802" t="inlineStr">
        <is>
          <t>VÄRMLANDS LÄN</t>
        </is>
      </c>
      <c r="E802" t="inlineStr">
        <is>
          <t>ÅRJÄNG</t>
        </is>
      </c>
      <c r="G802" t="n">
        <v>1.9</v>
      </c>
      <c r="H802" t="n">
        <v>0</v>
      </c>
      <c r="I802" t="n">
        <v>0</v>
      </c>
      <c r="J802" t="n">
        <v>0</v>
      </c>
      <c r="K802" t="n">
        <v>0</v>
      </c>
      <c r="L802" t="n">
        <v>0</v>
      </c>
      <c r="M802" t="n">
        <v>0</v>
      </c>
      <c r="N802" t="n">
        <v>0</v>
      </c>
      <c r="O802" t="n">
        <v>0</v>
      </c>
      <c r="P802" t="n">
        <v>0</v>
      </c>
      <c r="Q802" t="n">
        <v>0</v>
      </c>
      <c r="R802" s="2" t="inlineStr"/>
    </row>
    <row r="803" ht="15" customHeight="1">
      <c r="A803" t="inlineStr">
        <is>
          <t>A 40628-2024</t>
        </is>
      </c>
      <c r="B803" s="1" t="n">
        <v>45557.61668981481</v>
      </c>
      <c r="C803" s="1" t="n">
        <v>46032</v>
      </c>
      <c r="D803" t="inlineStr">
        <is>
          <t>VÄRMLANDS LÄN</t>
        </is>
      </c>
      <c r="E803" t="inlineStr">
        <is>
          <t>ÅRJÄNG</t>
        </is>
      </c>
      <c r="G803" t="n">
        <v>3.3</v>
      </c>
      <c r="H803" t="n">
        <v>0</v>
      </c>
      <c r="I803" t="n">
        <v>0</v>
      </c>
      <c r="J803" t="n">
        <v>0</v>
      </c>
      <c r="K803" t="n">
        <v>0</v>
      </c>
      <c r="L803" t="n">
        <v>0</v>
      </c>
      <c r="M803" t="n">
        <v>0</v>
      </c>
      <c r="N803" t="n">
        <v>0</v>
      </c>
      <c r="O803" t="n">
        <v>0</v>
      </c>
      <c r="P803" t="n">
        <v>0</v>
      </c>
      <c r="Q803" t="n">
        <v>0</v>
      </c>
      <c r="R803" s="2" t="inlineStr"/>
    </row>
    <row r="804" ht="15" customHeight="1">
      <c r="A804" t="inlineStr">
        <is>
          <t>A 37655-2025</t>
        </is>
      </c>
      <c r="B804" s="1" t="n">
        <v>45880</v>
      </c>
      <c r="C804" s="1" t="n">
        <v>46032</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36641-2021</t>
        </is>
      </c>
      <c r="B805" s="1" t="n">
        <v>44392.31038194444</v>
      </c>
      <c r="C805" s="1" t="n">
        <v>46032</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37662-2025</t>
        </is>
      </c>
      <c r="B806" s="1" t="n">
        <v>45880</v>
      </c>
      <c r="C806" s="1" t="n">
        <v>46032</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53468-2021</t>
        </is>
      </c>
      <c r="B807" s="1" t="n">
        <v>44468.74127314815</v>
      </c>
      <c r="C807" s="1" t="n">
        <v>46032</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37555-2025</t>
        </is>
      </c>
      <c r="B808" s="1" t="n">
        <v>45880</v>
      </c>
      <c r="C808" s="1" t="n">
        <v>46032</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37681-2025</t>
        </is>
      </c>
      <c r="B809" s="1" t="n">
        <v>45880</v>
      </c>
      <c r="C809" s="1" t="n">
        <v>46032</v>
      </c>
      <c r="D809" t="inlineStr">
        <is>
          <t>VÄRMLANDS LÄN</t>
        </is>
      </c>
      <c r="E809" t="inlineStr">
        <is>
          <t>ÅRJÄNG</t>
        </is>
      </c>
      <c r="G809" t="n">
        <v>1.9</v>
      </c>
      <c r="H809" t="n">
        <v>0</v>
      </c>
      <c r="I809" t="n">
        <v>0</v>
      </c>
      <c r="J809" t="n">
        <v>0</v>
      </c>
      <c r="K809" t="n">
        <v>0</v>
      </c>
      <c r="L809" t="n">
        <v>0</v>
      </c>
      <c r="M809" t="n">
        <v>0</v>
      </c>
      <c r="N809" t="n">
        <v>0</v>
      </c>
      <c r="O809" t="n">
        <v>0</v>
      </c>
      <c r="P809" t="n">
        <v>0</v>
      </c>
      <c r="Q809" t="n">
        <v>0</v>
      </c>
      <c r="R809" s="2" t="inlineStr"/>
    </row>
    <row r="810" ht="15" customHeight="1">
      <c r="A810" t="inlineStr">
        <is>
          <t>A 37680-2025</t>
        </is>
      </c>
      <c r="B810" s="1" t="n">
        <v>45880.54208333333</v>
      </c>
      <c r="C810" s="1" t="n">
        <v>46032</v>
      </c>
      <c r="D810" t="inlineStr">
        <is>
          <t>VÄRMLANDS LÄN</t>
        </is>
      </c>
      <c r="E810" t="inlineStr">
        <is>
          <t>ÅRJÄNG</t>
        </is>
      </c>
      <c r="G810" t="n">
        <v>2</v>
      </c>
      <c r="H810" t="n">
        <v>0</v>
      </c>
      <c r="I810" t="n">
        <v>0</v>
      </c>
      <c r="J810" t="n">
        <v>0</v>
      </c>
      <c r="K810" t="n">
        <v>0</v>
      </c>
      <c r="L810" t="n">
        <v>0</v>
      </c>
      <c r="M810" t="n">
        <v>0</v>
      </c>
      <c r="N810" t="n">
        <v>0</v>
      </c>
      <c r="O810" t="n">
        <v>0</v>
      </c>
      <c r="P810" t="n">
        <v>0</v>
      </c>
      <c r="Q810" t="n">
        <v>0</v>
      </c>
      <c r="R810" s="2" t="inlineStr"/>
    </row>
    <row r="811" ht="15" customHeight="1">
      <c r="A811" t="inlineStr">
        <is>
          <t>A 4088-2025</t>
        </is>
      </c>
      <c r="B811" s="1" t="n">
        <v>45684.66329861111</v>
      </c>
      <c r="C811" s="1" t="n">
        <v>46032</v>
      </c>
      <c r="D811" t="inlineStr">
        <is>
          <t>VÄRMLANDS LÄN</t>
        </is>
      </c>
      <c r="E811" t="inlineStr">
        <is>
          <t>ÅRJÄNG</t>
        </is>
      </c>
      <c r="G811" t="n">
        <v>4.1</v>
      </c>
      <c r="H811" t="n">
        <v>0</v>
      </c>
      <c r="I811" t="n">
        <v>0</v>
      </c>
      <c r="J811" t="n">
        <v>0</v>
      </c>
      <c r="K811" t="n">
        <v>0</v>
      </c>
      <c r="L811" t="n">
        <v>0</v>
      </c>
      <c r="M811" t="n">
        <v>0</v>
      </c>
      <c r="N811" t="n">
        <v>0</v>
      </c>
      <c r="O811" t="n">
        <v>0</v>
      </c>
      <c r="P811" t="n">
        <v>0</v>
      </c>
      <c r="Q811" t="n">
        <v>0</v>
      </c>
      <c r="R811" s="2" t="inlineStr"/>
    </row>
    <row r="812" ht="15" customHeight="1">
      <c r="A812" t="inlineStr">
        <is>
          <t>A 27311-2022</t>
        </is>
      </c>
      <c r="B812" s="1" t="n">
        <v>44728</v>
      </c>
      <c r="C812" s="1" t="n">
        <v>46032</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56030-2024</t>
        </is>
      </c>
      <c r="B813" s="1" t="n">
        <v>45624.31178240741</v>
      </c>
      <c r="C813" s="1" t="n">
        <v>46032</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28115-2025</t>
        </is>
      </c>
      <c r="B814" s="1" t="n">
        <v>45818</v>
      </c>
      <c r="C814" s="1" t="n">
        <v>46032</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53642-2025</t>
        </is>
      </c>
      <c r="B815" s="1" t="n">
        <v>45960.51290509259</v>
      </c>
      <c r="C815" s="1" t="n">
        <v>46032</v>
      </c>
      <c r="D815" t="inlineStr">
        <is>
          <t>VÄRMLANDS LÄN</t>
        </is>
      </c>
      <c r="E815" t="inlineStr">
        <is>
          <t>ÅRJÄNG</t>
        </is>
      </c>
      <c r="G815" t="n">
        <v>3.7</v>
      </c>
      <c r="H815" t="n">
        <v>0</v>
      </c>
      <c r="I815" t="n">
        <v>0</v>
      </c>
      <c r="J815" t="n">
        <v>0</v>
      </c>
      <c r="K815" t="n">
        <v>0</v>
      </c>
      <c r="L815" t="n">
        <v>0</v>
      </c>
      <c r="M815" t="n">
        <v>0</v>
      </c>
      <c r="N815" t="n">
        <v>0</v>
      </c>
      <c r="O815" t="n">
        <v>0</v>
      </c>
      <c r="P815" t="n">
        <v>0</v>
      </c>
      <c r="Q815" t="n">
        <v>0</v>
      </c>
      <c r="R815" s="2" t="inlineStr"/>
    </row>
    <row r="816" ht="15" customHeight="1">
      <c r="A816" t="inlineStr">
        <is>
          <t>A 19877-2025</t>
        </is>
      </c>
      <c r="B816" s="1" t="n">
        <v>45771.55351851852</v>
      </c>
      <c r="C816" s="1" t="n">
        <v>46032</v>
      </c>
      <c r="D816" t="inlineStr">
        <is>
          <t>VÄRMLANDS LÄN</t>
        </is>
      </c>
      <c r="E816" t="inlineStr">
        <is>
          <t>ÅRJÄNG</t>
        </is>
      </c>
      <c r="G816" t="n">
        <v>6.3</v>
      </c>
      <c r="H816" t="n">
        <v>0</v>
      </c>
      <c r="I816" t="n">
        <v>0</v>
      </c>
      <c r="J816" t="n">
        <v>0</v>
      </c>
      <c r="K816" t="n">
        <v>0</v>
      </c>
      <c r="L816" t="n">
        <v>0</v>
      </c>
      <c r="M816" t="n">
        <v>0</v>
      </c>
      <c r="N816" t="n">
        <v>0</v>
      </c>
      <c r="O816" t="n">
        <v>0</v>
      </c>
      <c r="P816" t="n">
        <v>0</v>
      </c>
      <c r="Q816" t="n">
        <v>0</v>
      </c>
      <c r="R816" s="2" t="inlineStr"/>
    </row>
    <row r="817" ht="15" customHeight="1">
      <c r="A817" t="inlineStr">
        <is>
          <t>A 7660-2025</t>
        </is>
      </c>
      <c r="B817" s="1" t="n">
        <v>45706.32505787037</v>
      </c>
      <c r="C817" s="1" t="n">
        <v>46032</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4404-2025</t>
        </is>
      </c>
      <c r="B818" s="1" t="n">
        <v>45686</v>
      </c>
      <c r="C818" s="1" t="n">
        <v>46032</v>
      </c>
      <c r="D818" t="inlineStr">
        <is>
          <t>VÄRMLANDS LÄN</t>
        </is>
      </c>
      <c r="E818" t="inlineStr">
        <is>
          <t>ÅRJÄNG</t>
        </is>
      </c>
      <c r="F818" t="inlineStr">
        <is>
          <t>Kyrkan</t>
        </is>
      </c>
      <c r="G818" t="n">
        <v>4.8</v>
      </c>
      <c r="H818" t="n">
        <v>0</v>
      </c>
      <c r="I818" t="n">
        <v>0</v>
      </c>
      <c r="J818" t="n">
        <v>0</v>
      </c>
      <c r="K818" t="n">
        <v>0</v>
      </c>
      <c r="L818" t="n">
        <v>0</v>
      </c>
      <c r="M818" t="n">
        <v>0</v>
      </c>
      <c r="N818" t="n">
        <v>0</v>
      </c>
      <c r="O818" t="n">
        <v>0</v>
      </c>
      <c r="P818" t="n">
        <v>0</v>
      </c>
      <c r="Q818" t="n">
        <v>0</v>
      </c>
      <c r="R818" s="2" t="inlineStr"/>
    </row>
    <row r="819" ht="15" customHeight="1">
      <c r="A819" t="inlineStr">
        <is>
          <t>A 3796-2021</t>
        </is>
      </c>
      <c r="B819" s="1" t="n">
        <v>44221</v>
      </c>
      <c r="C819" s="1" t="n">
        <v>46032</v>
      </c>
      <c r="D819" t="inlineStr">
        <is>
          <t>VÄRMLANDS LÄN</t>
        </is>
      </c>
      <c r="E819" t="inlineStr">
        <is>
          <t>ÅRJÄNG</t>
        </is>
      </c>
      <c r="G819" t="n">
        <v>4</v>
      </c>
      <c r="H819" t="n">
        <v>0</v>
      </c>
      <c r="I819" t="n">
        <v>0</v>
      </c>
      <c r="J819" t="n">
        <v>0</v>
      </c>
      <c r="K819" t="n">
        <v>0</v>
      </c>
      <c r="L819" t="n">
        <v>0</v>
      </c>
      <c r="M819" t="n">
        <v>0</v>
      </c>
      <c r="N819" t="n">
        <v>0</v>
      </c>
      <c r="O819" t="n">
        <v>0</v>
      </c>
      <c r="P819" t="n">
        <v>0</v>
      </c>
      <c r="Q819" t="n">
        <v>0</v>
      </c>
      <c r="R819" s="2" t="inlineStr"/>
    </row>
    <row r="820" ht="15" customHeight="1">
      <c r="A820" t="inlineStr">
        <is>
          <t>A 54155-2025</t>
        </is>
      </c>
      <c r="B820" s="1" t="n">
        <v>45964.49306712963</v>
      </c>
      <c r="C820" s="1" t="n">
        <v>46032</v>
      </c>
      <c r="D820" t="inlineStr">
        <is>
          <t>VÄRMLANDS LÄN</t>
        </is>
      </c>
      <c r="E820" t="inlineStr">
        <is>
          <t>ÅRJÄNG</t>
        </is>
      </c>
      <c r="G820" t="n">
        <v>7.2</v>
      </c>
      <c r="H820" t="n">
        <v>0</v>
      </c>
      <c r="I820" t="n">
        <v>0</v>
      </c>
      <c r="J820" t="n">
        <v>0</v>
      </c>
      <c r="K820" t="n">
        <v>0</v>
      </c>
      <c r="L820" t="n">
        <v>0</v>
      </c>
      <c r="M820" t="n">
        <v>0</v>
      </c>
      <c r="N820" t="n">
        <v>0</v>
      </c>
      <c r="O820" t="n">
        <v>0</v>
      </c>
      <c r="P820" t="n">
        <v>0</v>
      </c>
      <c r="Q820" t="n">
        <v>0</v>
      </c>
      <c r="R820" s="2" t="inlineStr"/>
    </row>
    <row r="821" ht="15" customHeight="1">
      <c r="A821" t="inlineStr">
        <is>
          <t>A 54129-2025</t>
        </is>
      </c>
      <c r="B821" s="1" t="n">
        <v>45964.46063657408</v>
      </c>
      <c r="C821" s="1" t="n">
        <v>46032</v>
      </c>
      <c r="D821" t="inlineStr">
        <is>
          <t>VÄRMLANDS LÄN</t>
        </is>
      </c>
      <c r="E821" t="inlineStr">
        <is>
          <t>ÅRJÄNG</t>
        </is>
      </c>
      <c r="G821" t="n">
        <v>3.1</v>
      </c>
      <c r="H821" t="n">
        <v>0</v>
      </c>
      <c r="I821" t="n">
        <v>0</v>
      </c>
      <c r="J821" t="n">
        <v>0</v>
      </c>
      <c r="K821" t="n">
        <v>0</v>
      </c>
      <c r="L821" t="n">
        <v>0</v>
      </c>
      <c r="M821" t="n">
        <v>0</v>
      </c>
      <c r="N821" t="n">
        <v>0</v>
      </c>
      <c r="O821" t="n">
        <v>0</v>
      </c>
      <c r="P821" t="n">
        <v>0</v>
      </c>
      <c r="Q821" t="n">
        <v>0</v>
      </c>
      <c r="R821" s="2" t="inlineStr"/>
    </row>
    <row r="822" ht="15" customHeight="1">
      <c r="A822" t="inlineStr">
        <is>
          <t>A 54159-2025</t>
        </is>
      </c>
      <c r="B822" s="1" t="n">
        <v>45964.50344907407</v>
      </c>
      <c r="C822" s="1" t="n">
        <v>46032</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19850-2025</t>
        </is>
      </c>
      <c r="B823" s="1" t="n">
        <v>45771</v>
      </c>
      <c r="C823" s="1" t="n">
        <v>46032</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54430-2025</t>
        </is>
      </c>
      <c r="B824" s="1" t="n">
        <v>45965.49414351852</v>
      </c>
      <c r="C824" s="1" t="n">
        <v>46032</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72476-2021</t>
        </is>
      </c>
      <c r="B825" s="1" t="n">
        <v>44545.86997685185</v>
      </c>
      <c r="C825" s="1" t="n">
        <v>46032</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39178-2023</t>
        </is>
      </c>
      <c r="B826" s="1" t="n">
        <v>45166.38395833333</v>
      </c>
      <c r="C826" s="1" t="n">
        <v>46032</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59484-2024</t>
        </is>
      </c>
      <c r="B827" s="1" t="n">
        <v>45638</v>
      </c>
      <c r="C827" s="1" t="n">
        <v>46032</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46032</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34172-2024</t>
        </is>
      </c>
      <c r="B829" s="1" t="n">
        <v>45524</v>
      </c>
      <c r="C829" s="1" t="n">
        <v>46032</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58874-2023</t>
        </is>
      </c>
      <c r="B830" s="1" t="n">
        <v>45252</v>
      </c>
      <c r="C830" s="1" t="n">
        <v>46032</v>
      </c>
      <c r="D830" t="inlineStr">
        <is>
          <t>VÄRMLANDS LÄN</t>
        </is>
      </c>
      <c r="E830" t="inlineStr">
        <is>
          <t>ÅRJÄNG</t>
        </is>
      </c>
      <c r="G830" t="n">
        <v>2.5</v>
      </c>
      <c r="H830" t="n">
        <v>0</v>
      </c>
      <c r="I830" t="n">
        <v>0</v>
      </c>
      <c r="J830" t="n">
        <v>0</v>
      </c>
      <c r="K830" t="n">
        <v>0</v>
      </c>
      <c r="L830" t="n">
        <v>0</v>
      </c>
      <c r="M830" t="n">
        <v>0</v>
      </c>
      <c r="N830" t="n">
        <v>0</v>
      </c>
      <c r="O830" t="n">
        <v>0</v>
      </c>
      <c r="P830" t="n">
        <v>0</v>
      </c>
      <c r="Q830" t="n">
        <v>0</v>
      </c>
      <c r="R830" s="2" t="inlineStr"/>
    </row>
    <row r="831" ht="15" customHeight="1">
      <c r="A831" t="inlineStr">
        <is>
          <t>A 54418-2025</t>
        </is>
      </c>
      <c r="B831" s="1" t="n">
        <v>45965.48027777778</v>
      </c>
      <c r="C831" s="1" t="n">
        <v>46032</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54420-2025</t>
        </is>
      </c>
      <c r="B832" s="1" t="n">
        <v>45965.4834837963</v>
      </c>
      <c r="C832" s="1" t="n">
        <v>46032</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62086-2025</t>
        </is>
      </c>
      <c r="B833" s="1" t="n">
        <v>46006.37521990741</v>
      </c>
      <c r="C833" s="1" t="n">
        <v>46032</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19621-2025</t>
        </is>
      </c>
      <c r="B834" s="1" t="n">
        <v>45770</v>
      </c>
      <c r="C834" s="1" t="n">
        <v>46032</v>
      </c>
      <c r="D834" t="inlineStr">
        <is>
          <t>VÄRMLANDS LÄN</t>
        </is>
      </c>
      <c r="E834" t="inlineStr">
        <is>
          <t>ÅRJÄNG</t>
        </is>
      </c>
      <c r="F834" t="inlineStr">
        <is>
          <t>Övriga Aktiebolag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1717-2025</t>
        </is>
      </c>
      <c r="B835" s="1" t="n">
        <v>45671.32938657407</v>
      </c>
      <c r="C835" s="1" t="n">
        <v>46032</v>
      </c>
      <c r="D835" t="inlineStr">
        <is>
          <t>VÄRMLANDS LÄN</t>
        </is>
      </c>
      <c r="E835" t="inlineStr">
        <is>
          <t>ÅRJÄNG</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58434-2023</t>
        </is>
      </c>
      <c r="B836" s="1" t="n">
        <v>45250</v>
      </c>
      <c r="C836" s="1" t="n">
        <v>46032</v>
      </c>
      <c r="D836" t="inlineStr">
        <is>
          <t>VÄRMLANDS LÄN</t>
        </is>
      </c>
      <c r="E836" t="inlineStr">
        <is>
          <t>ÅRJÄNG</t>
        </is>
      </c>
      <c r="F836" t="inlineStr">
        <is>
          <t>Naturvårdsverket</t>
        </is>
      </c>
      <c r="G836" t="n">
        <v>3</v>
      </c>
      <c r="H836" t="n">
        <v>0</v>
      </c>
      <c r="I836" t="n">
        <v>0</v>
      </c>
      <c r="J836" t="n">
        <v>0</v>
      </c>
      <c r="K836" t="n">
        <v>0</v>
      </c>
      <c r="L836" t="n">
        <v>0</v>
      </c>
      <c r="M836" t="n">
        <v>0</v>
      </c>
      <c r="N836" t="n">
        <v>0</v>
      </c>
      <c r="O836" t="n">
        <v>0</v>
      </c>
      <c r="P836" t="n">
        <v>0</v>
      </c>
      <c r="Q836" t="n">
        <v>0</v>
      </c>
      <c r="R836" s="2" t="inlineStr"/>
    </row>
    <row r="837" ht="15" customHeight="1">
      <c r="A837" t="inlineStr">
        <is>
          <t>A 61116-2025</t>
        </is>
      </c>
      <c r="B837" s="1" t="n">
        <v>45999</v>
      </c>
      <c r="C837" s="1" t="n">
        <v>46032</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30548-2023</t>
        </is>
      </c>
      <c r="B838" s="1" t="n">
        <v>45111.77894675926</v>
      </c>
      <c r="C838" s="1" t="n">
        <v>46032</v>
      </c>
      <c r="D838" t="inlineStr">
        <is>
          <t>VÄRMLANDS LÄN</t>
        </is>
      </c>
      <c r="E838" t="inlineStr">
        <is>
          <t>ÅRJÄNG</t>
        </is>
      </c>
      <c r="G838" t="n">
        <v>4.7</v>
      </c>
      <c r="H838" t="n">
        <v>0</v>
      </c>
      <c r="I838" t="n">
        <v>0</v>
      </c>
      <c r="J838" t="n">
        <v>0</v>
      </c>
      <c r="K838" t="n">
        <v>0</v>
      </c>
      <c r="L838" t="n">
        <v>0</v>
      </c>
      <c r="M838" t="n">
        <v>0</v>
      </c>
      <c r="N838" t="n">
        <v>0</v>
      </c>
      <c r="O838" t="n">
        <v>0</v>
      </c>
      <c r="P838" t="n">
        <v>0</v>
      </c>
      <c r="Q838" t="n">
        <v>0</v>
      </c>
      <c r="R838" s="2" t="inlineStr"/>
    </row>
    <row r="839" ht="15" customHeight="1">
      <c r="A839" t="inlineStr">
        <is>
          <t>A 8614-2023</t>
        </is>
      </c>
      <c r="B839" s="1" t="n">
        <v>44977</v>
      </c>
      <c r="C839" s="1" t="n">
        <v>46032</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42141-2024</t>
        </is>
      </c>
      <c r="B840" s="1" t="n">
        <v>45562.43354166667</v>
      </c>
      <c r="C840" s="1" t="n">
        <v>46032</v>
      </c>
      <c r="D840" t="inlineStr">
        <is>
          <t>VÄRMLANDS LÄN</t>
        </is>
      </c>
      <c r="E840" t="inlineStr">
        <is>
          <t>ÅRJÄNG</t>
        </is>
      </c>
      <c r="G840" t="n">
        <v>2.5</v>
      </c>
      <c r="H840" t="n">
        <v>0</v>
      </c>
      <c r="I840" t="n">
        <v>0</v>
      </c>
      <c r="J840" t="n">
        <v>0</v>
      </c>
      <c r="K840" t="n">
        <v>0</v>
      </c>
      <c r="L840" t="n">
        <v>0</v>
      </c>
      <c r="M840" t="n">
        <v>0</v>
      </c>
      <c r="N840" t="n">
        <v>0</v>
      </c>
      <c r="O840" t="n">
        <v>0</v>
      </c>
      <c r="P840" t="n">
        <v>0</v>
      </c>
      <c r="Q840" t="n">
        <v>0</v>
      </c>
      <c r="R840" s="2" t="inlineStr"/>
    </row>
    <row r="841" ht="15" customHeight="1">
      <c r="A841" t="inlineStr">
        <is>
          <t>A 52803-2024</t>
        </is>
      </c>
      <c r="B841" s="1" t="n">
        <v>45610</v>
      </c>
      <c r="C841" s="1" t="n">
        <v>46032</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54990-2025</t>
        </is>
      </c>
      <c r="B842" s="1" t="n">
        <v>45967.57292824074</v>
      </c>
      <c r="C842" s="1" t="n">
        <v>46032</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54962-2025</t>
        </is>
      </c>
      <c r="B843" s="1" t="n">
        <v>45967.4825462963</v>
      </c>
      <c r="C843" s="1" t="n">
        <v>46032</v>
      </c>
      <c r="D843" t="inlineStr">
        <is>
          <t>VÄRMLANDS LÄN</t>
        </is>
      </c>
      <c r="E843" t="inlineStr">
        <is>
          <t>ÅRJÄNG</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38867-2025</t>
        </is>
      </c>
      <c r="B844" s="1" t="n">
        <v>45887</v>
      </c>
      <c r="C844" s="1" t="n">
        <v>46032</v>
      </c>
      <c r="D844" t="inlineStr">
        <is>
          <t>VÄRMLANDS LÄN</t>
        </is>
      </c>
      <c r="E844" t="inlineStr">
        <is>
          <t>ÅRJÄNG</t>
        </is>
      </c>
      <c r="G844" t="n">
        <v>5.7</v>
      </c>
      <c r="H844" t="n">
        <v>0</v>
      </c>
      <c r="I844" t="n">
        <v>0</v>
      </c>
      <c r="J844" t="n">
        <v>0</v>
      </c>
      <c r="K844" t="n">
        <v>0</v>
      </c>
      <c r="L844" t="n">
        <v>0</v>
      </c>
      <c r="M844" t="n">
        <v>0</v>
      </c>
      <c r="N844" t="n">
        <v>0</v>
      </c>
      <c r="O844" t="n">
        <v>0</v>
      </c>
      <c r="P844" t="n">
        <v>0</v>
      </c>
      <c r="Q844" t="n">
        <v>0</v>
      </c>
      <c r="R844" s="2" t="inlineStr"/>
    </row>
    <row r="845" ht="15" customHeight="1">
      <c r="A845" t="inlineStr">
        <is>
          <t>A 9990-2025</t>
        </is>
      </c>
      <c r="B845" s="1" t="n">
        <v>45719</v>
      </c>
      <c r="C845" s="1" t="n">
        <v>46032</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9992-2025</t>
        </is>
      </c>
      <c r="B846" s="1" t="n">
        <v>45719.43708333333</v>
      </c>
      <c r="C846" s="1" t="n">
        <v>46032</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687-2024</t>
        </is>
      </c>
      <c r="B847" s="1" t="n">
        <v>45300.37333333334</v>
      </c>
      <c r="C847" s="1" t="n">
        <v>46032</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713-2024</t>
        </is>
      </c>
      <c r="B848" s="1" t="n">
        <v>45300.4261574074</v>
      </c>
      <c r="C848" s="1" t="n">
        <v>46032</v>
      </c>
      <c r="D848" t="inlineStr">
        <is>
          <t>VÄRMLANDS LÄN</t>
        </is>
      </c>
      <c r="E848" t="inlineStr">
        <is>
          <t>ÅRJÄNG</t>
        </is>
      </c>
      <c r="F848" t="inlineStr">
        <is>
          <t>Kyrkan</t>
        </is>
      </c>
      <c r="G848" t="n">
        <v>4.4</v>
      </c>
      <c r="H848" t="n">
        <v>0</v>
      </c>
      <c r="I848" t="n">
        <v>0</v>
      </c>
      <c r="J848" t="n">
        <v>0</v>
      </c>
      <c r="K848" t="n">
        <v>0</v>
      </c>
      <c r="L848" t="n">
        <v>0</v>
      </c>
      <c r="M848" t="n">
        <v>0</v>
      </c>
      <c r="N848" t="n">
        <v>0</v>
      </c>
      <c r="O848" t="n">
        <v>0</v>
      </c>
      <c r="P848" t="n">
        <v>0</v>
      </c>
      <c r="Q848" t="n">
        <v>0</v>
      </c>
      <c r="R848" s="2" t="inlineStr"/>
    </row>
    <row r="849" ht="15" customHeight="1">
      <c r="A849" t="inlineStr">
        <is>
          <t>A 10180-2023</t>
        </is>
      </c>
      <c r="B849" s="1" t="n">
        <v>44986</v>
      </c>
      <c r="C849" s="1" t="n">
        <v>46032</v>
      </c>
      <c r="D849" t="inlineStr">
        <is>
          <t>VÄRMLANDS LÄN</t>
        </is>
      </c>
      <c r="E849" t="inlineStr">
        <is>
          <t>ÅRJÄNG</t>
        </is>
      </c>
      <c r="G849" t="n">
        <v>4.6</v>
      </c>
      <c r="H849" t="n">
        <v>0</v>
      </c>
      <c r="I849" t="n">
        <v>0</v>
      </c>
      <c r="J849" t="n">
        <v>0</v>
      </c>
      <c r="K849" t="n">
        <v>0</v>
      </c>
      <c r="L849" t="n">
        <v>0</v>
      </c>
      <c r="M849" t="n">
        <v>0</v>
      </c>
      <c r="N849" t="n">
        <v>0</v>
      </c>
      <c r="O849" t="n">
        <v>0</v>
      </c>
      <c r="P849" t="n">
        <v>0</v>
      </c>
      <c r="Q849" t="n">
        <v>0</v>
      </c>
      <c r="R849" s="2" t="inlineStr"/>
    </row>
    <row r="850" ht="15" customHeight="1">
      <c r="A850" t="inlineStr">
        <is>
          <t>A 64903-2023</t>
        </is>
      </c>
      <c r="B850" s="1" t="n">
        <v>45282</v>
      </c>
      <c r="C850" s="1" t="n">
        <v>46032</v>
      </c>
      <c r="D850" t="inlineStr">
        <is>
          <t>VÄRMLANDS LÄN</t>
        </is>
      </c>
      <c r="E850" t="inlineStr">
        <is>
          <t>ÅRJÄNG</t>
        </is>
      </c>
      <c r="G850" t="n">
        <v>7.5</v>
      </c>
      <c r="H850" t="n">
        <v>0</v>
      </c>
      <c r="I850" t="n">
        <v>0</v>
      </c>
      <c r="J850" t="n">
        <v>0</v>
      </c>
      <c r="K850" t="n">
        <v>0</v>
      </c>
      <c r="L850" t="n">
        <v>0</v>
      </c>
      <c r="M850" t="n">
        <v>0</v>
      </c>
      <c r="N850" t="n">
        <v>0</v>
      </c>
      <c r="O850" t="n">
        <v>0</v>
      </c>
      <c r="P850" t="n">
        <v>0</v>
      </c>
      <c r="Q850" t="n">
        <v>0</v>
      </c>
      <c r="R850" s="2" t="inlineStr"/>
    </row>
    <row r="851" ht="15" customHeight="1">
      <c r="A851" t="inlineStr">
        <is>
          <t>A 44556-2023</t>
        </is>
      </c>
      <c r="B851" s="1" t="n">
        <v>45189.53738425926</v>
      </c>
      <c r="C851" s="1" t="n">
        <v>46032</v>
      </c>
      <c r="D851" t="inlineStr">
        <is>
          <t>VÄRMLANDS LÄN</t>
        </is>
      </c>
      <c r="E851" t="inlineStr">
        <is>
          <t>ÅRJÄNG</t>
        </is>
      </c>
      <c r="G851" t="n">
        <v>1.3</v>
      </c>
      <c r="H851" t="n">
        <v>0</v>
      </c>
      <c r="I851" t="n">
        <v>0</v>
      </c>
      <c r="J851" t="n">
        <v>0</v>
      </c>
      <c r="K851" t="n">
        <v>0</v>
      </c>
      <c r="L851" t="n">
        <v>0</v>
      </c>
      <c r="M851" t="n">
        <v>0</v>
      </c>
      <c r="N851" t="n">
        <v>0</v>
      </c>
      <c r="O851" t="n">
        <v>0</v>
      </c>
      <c r="P851" t="n">
        <v>0</v>
      </c>
      <c r="Q851" t="n">
        <v>0</v>
      </c>
      <c r="R851" s="2" t="inlineStr"/>
    </row>
    <row r="852" ht="15" customHeight="1">
      <c r="A852" t="inlineStr">
        <is>
          <t>A 24273-2023</t>
        </is>
      </c>
      <c r="B852" s="1" t="n">
        <v>45079.6764699074</v>
      </c>
      <c r="C852" s="1" t="n">
        <v>46032</v>
      </c>
      <c r="D852" t="inlineStr">
        <is>
          <t>VÄRMLANDS LÄN</t>
        </is>
      </c>
      <c r="E852" t="inlineStr">
        <is>
          <t>ÅRJÄNG</t>
        </is>
      </c>
      <c r="G852" t="n">
        <v>1.9</v>
      </c>
      <c r="H852" t="n">
        <v>0</v>
      </c>
      <c r="I852" t="n">
        <v>0</v>
      </c>
      <c r="J852" t="n">
        <v>0</v>
      </c>
      <c r="K852" t="n">
        <v>0</v>
      </c>
      <c r="L852" t="n">
        <v>0</v>
      </c>
      <c r="M852" t="n">
        <v>0</v>
      </c>
      <c r="N852" t="n">
        <v>0</v>
      </c>
      <c r="O852" t="n">
        <v>0</v>
      </c>
      <c r="P852" t="n">
        <v>0</v>
      </c>
      <c r="Q852" t="n">
        <v>0</v>
      </c>
      <c r="R852" s="2" t="inlineStr"/>
    </row>
    <row r="853" ht="15" customHeight="1">
      <c r="A853" t="inlineStr">
        <is>
          <t>A 51157-2024</t>
        </is>
      </c>
      <c r="B853" s="1" t="n">
        <v>45603</v>
      </c>
      <c r="C853" s="1" t="n">
        <v>46032</v>
      </c>
      <c r="D853" t="inlineStr">
        <is>
          <t>VÄRMLANDS LÄN</t>
        </is>
      </c>
      <c r="E853" t="inlineStr">
        <is>
          <t>ÅRJÄNG</t>
        </is>
      </c>
      <c r="G853" t="n">
        <v>6.3</v>
      </c>
      <c r="H853" t="n">
        <v>0</v>
      </c>
      <c r="I853" t="n">
        <v>0</v>
      </c>
      <c r="J853" t="n">
        <v>0</v>
      </c>
      <c r="K853" t="n">
        <v>0</v>
      </c>
      <c r="L853" t="n">
        <v>0</v>
      </c>
      <c r="M853" t="n">
        <v>0</v>
      </c>
      <c r="N853" t="n">
        <v>0</v>
      </c>
      <c r="O853" t="n">
        <v>0</v>
      </c>
      <c r="P853" t="n">
        <v>0</v>
      </c>
      <c r="Q853" t="n">
        <v>0</v>
      </c>
      <c r="R853" s="2" t="inlineStr"/>
    </row>
    <row r="854" ht="15" customHeight="1">
      <c r="A854" t="inlineStr">
        <is>
          <t>A 48781-2024</t>
        </is>
      </c>
      <c r="B854" s="1" t="n">
        <v>45593</v>
      </c>
      <c r="C854" s="1" t="n">
        <v>46032</v>
      </c>
      <c r="D854" t="inlineStr">
        <is>
          <t>VÄRMLANDS LÄN</t>
        </is>
      </c>
      <c r="E854" t="inlineStr">
        <is>
          <t>ÅRJÄNG</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62804-2025</t>
        </is>
      </c>
      <c r="B855" s="1" t="n">
        <v>46008.64297453704</v>
      </c>
      <c r="C855" s="1" t="n">
        <v>46032</v>
      </c>
      <c r="D855" t="inlineStr">
        <is>
          <t>VÄRMLANDS LÄN</t>
        </is>
      </c>
      <c r="E855" t="inlineStr">
        <is>
          <t>ÅRJÄNG</t>
        </is>
      </c>
      <c r="F855" t="inlineStr">
        <is>
          <t>Kyrkan</t>
        </is>
      </c>
      <c r="G855" t="n">
        <v>10.4</v>
      </c>
      <c r="H855" t="n">
        <v>0</v>
      </c>
      <c r="I855" t="n">
        <v>0</v>
      </c>
      <c r="J855" t="n">
        <v>0</v>
      </c>
      <c r="K855" t="n">
        <v>0</v>
      </c>
      <c r="L855" t="n">
        <v>0</v>
      </c>
      <c r="M855" t="n">
        <v>0</v>
      </c>
      <c r="N855" t="n">
        <v>0</v>
      </c>
      <c r="O855" t="n">
        <v>0</v>
      </c>
      <c r="P855" t="n">
        <v>0</v>
      </c>
      <c r="Q855" t="n">
        <v>0</v>
      </c>
      <c r="R855" s="2" t="inlineStr"/>
    </row>
    <row r="856" ht="15" customHeight="1">
      <c r="A856" t="inlineStr">
        <is>
          <t>A 424-2025</t>
        </is>
      </c>
      <c r="B856" s="1" t="n">
        <v>45664</v>
      </c>
      <c r="C856" s="1" t="n">
        <v>46032</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9749-2024</t>
        </is>
      </c>
      <c r="B857" s="1" t="n">
        <v>45362</v>
      </c>
      <c r="C857" s="1" t="n">
        <v>46032</v>
      </c>
      <c r="D857" t="inlineStr">
        <is>
          <t>VÄRMLANDS LÄN</t>
        </is>
      </c>
      <c r="E857" t="inlineStr">
        <is>
          <t>ÅRJÄNG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6354-2024</t>
        </is>
      </c>
      <c r="B858" s="1" t="n">
        <v>45338.46987268519</v>
      </c>
      <c r="C858" s="1" t="n">
        <v>46032</v>
      </c>
      <c r="D858" t="inlineStr">
        <is>
          <t>VÄRMLANDS LÄN</t>
        </is>
      </c>
      <c r="E858" t="inlineStr">
        <is>
          <t>ÅRJÄNG</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62851-2025</t>
        </is>
      </c>
      <c r="B859" s="1" t="n">
        <v>46008.703125</v>
      </c>
      <c r="C859" s="1" t="n">
        <v>46032</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48293-2022</t>
        </is>
      </c>
      <c r="B860" s="1" t="n">
        <v>44858.51623842592</v>
      </c>
      <c r="C860" s="1" t="n">
        <v>46032</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58290-2024</t>
        </is>
      </c>
      <c r="B861" s="1" t="n">
        <v>45632.5916087963</v>
      </c>
      <c r="C861" s="1" t="n">
        <v>46032</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7794-2024</t>
        </is>
      </c>
      <c r="B862" s="1" t="n">
        <v>45349</v>
      </c>
      <c r="C862" s="1" t="n">
        <v>46032</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60126-2024</t>
        </is>
      </c>
      <c r="B863" s="1" t="n">
        <v>45642.5919212963</v>
      </c>
      <c r="C863" s="1" t="n">
        <v>46032</v>
      </c>
      <c r="D863" t="inlineStr">
        <is>
          <t>VÄRMLANDS LÄN</t>
        </is>
      </c>
      <c r="E863" t="inlineStr">
        <is>
          <t>ÅRJÄNG</t>
        </is>
      </c>
      <c r="G863" t="n">
        <v>1.2</v>
      </c>
      <c r="H863" t="n">
        <v>0</v>
      </c>
      <c r="I863" t="n">
        <v>0</v>
      </c>
      <c r="J863" t="n">
        <v>0</v>
      </c>
      <c r="K863" t="n">
        <v>0</v>
      </c>
      <c r="L863" t="n">
        <v>0</v>
      </c>
      <c r="M863" t="n">
        <v>0</v>
      </c>
      <c r="N863" t="n">
        <v>0</v>
      </c>
      <c r="O863" t="n">
        <v>0</v>
      </c>
      <c r="P863" t="n">
        <v>0</v>
      </c>
      <c r="Q863" t="n">
        <v>0</v>
      </c>
      <c r="R863" s="2" t="inlineStr"/>
    </row>
    <row r="864" ht="15" customHeight="1">
      <c r="A864" t="inlineStr">
        <is>
          <t>A 58270-2024</t>
        </is>
      </c>
      <c r="B864" s="1" t="n">
        <v>45632.56928240741</v>
      </c>
      <c r="C864" s="1" t="n">
        <v>46032</v>
      </c>
      <c r="D864" t="inlineStr">
        <is>
          <t>VÄRMLANDS LÄN</t>
        </is>
      </c>
      <c r="E864" t="inlineStr">
        <is>
          <t>ÅRJÄNG</t>
        </is>
      </c>
      <c r="G864" t="n">
        <v>2.4</v>
      </c>
      <c r="H864" t="n">
        <v>0</v>
      </c>
      <c r="I864" t="n">
        <v>0</v>
      </c>
      <c r="J864" t="n">
        <v>0</v>
      </c>
      <c r="K864" t="n">
        <v>0</v>
      </c>
      <c r="L864" t="n">
        <v>0</v>
      </c>
      <c r="M864" t="n">
        <v>0</v>
      </c>
      <c r="N864" t="n">
        <v>0</v>
      </c>
      <c r="O864" t="n">
        <v>0</v>
      </c>
      <c r="P864" t="n">
        <v>0</v>
      </c>
      <c r="Q864" t="n">
        <v>0</v>
      </c>
      <c r="R864" s="2" t="inlineStr"/>
    </row>
    <row r="865" ht="15" customHeight="1">
      <c r="A865" t="inlineStr">
        <is>
          <t>A 9489-2025</t>
        </is>
      </c>
      <c r="B865" s="1" t="n">
        <v>45715</v>
      </c>
      <c r="C865" s="1" t="n">
        <v>46032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54425-2021</t>
        </is>
      </c>
      <c r="B866" s="1" t="n">
        <v>44459</v>
      </c>
      <c r="C866" s="1" t="n">
        <v>46032</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55017-2025</t>
        </is>
      </c>
      <c r="B867" s="1" t="n">
        <v>45967.61709490741</v>
      </c>
      <c r="C867" s="1" t="n">
        <v>46032</v>
      </c>
      <c r="D867" t="inlineStr">
        <is>
          <t>VÄRMLANDS LÄN</t>
        </is>
      </c>
      <c r="E867" t="inlineStr">
        <is>
          <t>ÅRJÄNG</t>
        </is>
      </c>
      <c r="G867" t="n">
        <v>10.2</v>
      </c>
      <c r="H867" t="n">
        <v>0</v>
      </c>
      <c r="I867" t="n">
        <v>0</v>
      </c>
      <c r="J867" t="n">
        <v>0</v>
      </c>
      <c r="K867" t="n">
        <v>0</v>
      </c>
      <c r="L867" t="n">
        <v>0</v>
      </c>
      <c r="M867" t="n">
        <v>0</v>
      </c>
      <c r="N867" t="n">
        <v>0</v>
      </c>
      <c r="O867" t="n">
        <v>0</v>
      </c>
      <c r="P867" t="n">
        <v>0</v>
      </c>
      <c r="Q867" t="n">
        <v>0</v>
      </c>
      <c r="R867" s="2" t="inlineStr"/>
    </row>
    <row r="868" ht="15" customHeight="1">
      <c r="A868" t="inlineStr">
        <is>
          <t>A 58427-2024</t>
        </is>
      </c>
      <c r="B868" s="1" t="n">
        <v>45634.89083333333</v>
      </c>
      <c r="C868" s="1" t="n">
        <v>46032</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58428-2024</t>
        </is>
      </c>
      <c r="B869" s="1" t="n">
        <v>45634.90734953704</v>
      </c>
      <c r="C869" s="1" t="n">
        <v>46032</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62288-2023</t>
        </is>
      </c>
      <c r="B870" s="1" t="n">
        <v>45267.65707175926</v>
      </c>
      <c r="C870" s="1" t="n">
        <v>46032</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55592-2025</t>
        </is>
      </c>
      <c r="B871" s="1" t="n">
        <v>45971</v>
      </c>
      <c r="C871" s="1" t="n">
        <v>46032</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19920-2024</t>
        </is>
      </c>
      <c r="B872" s="1" t="n">
        <v>45433.58947916667</v>
      </c>
      <c r="C872" s="1" t="n">
        <v>46032</v>
      </c>
      <c r="D872" t="inlineStr">
        <is>
          <t>VÄRMLANDS LÄN</t>
        </is>
      </c>
      <c r="E872" t="inlineStr">
        <is>
          <t>ÅRJÄNG</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13734-2024</t>
        </is>
      </c>
      <c r="B873" s="1" t="n">
        <v>45387</v>
      </c>
      <c r="C873" s="1" t="n">
        <v>46032</v>
      </c>
      <c r="D873" t="inlineStr">
        <is>
          <t>VÄRMLANDS LÄN</t>
        </is>
      </c>
      <c r="E873" t="inlineStr">
        <is>
          <t>ÅRJÄNG</t>
        </is>
      </c>
      <c r="F873" t="inlineStr">
        <is>
          <t>Övriga Aktiebolag</t>
        </is>
      </c>
      <c r="G873" t="n">
        <v>0.8</v>
      </c>
      <c r="H873" t="n">
        <v>0</v>
      </c>
      <c r="I873" t="n">
        <v>0</v>
      </c>
      <c r="J873" t="n">
        <v>0</v>
      </c>
      <c r="K873" t="n">
        <v>0</v>
      </c>
      <c r="L873" t="n">
        <v>0</v>
      </c>
      <c r="M873" t="n">
        <v>0</v>
      </c>
      <c r="N873" t="n">
        <v>0</v>
      </c>
      <c r="O873" t="n">
        <v>0</v>
      </c>
      <c r="P873" t="n">
        <v>0</v>
      </c>
      <c r="Q873" t="n">
        <v>0</v>
      </c>
      <c r="R873" s="2" t="inlineStr"/>
    </row>
    <row r="874" ht="15" customHeight="1">
      <c r="A874" t="inlineStr">
        <is>
          <t>A 13814-2024</t>
        </is>
      </c>
      <c r="B874" s="1" t="n">
        <v>45391</v>
      </c>
      <c r="C874" s="1" t="n">
        <v>46032</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13819-2024</t>
        </is>
      </c>
      <c r="B875" s="1" t="n">
        <v>45391.42252314815</v>
      </c>
      <c r="C875" s="1" t="n">
        <v>46032</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55277-2025</t>
        </is>
      </c>
      <c r="B876" s="1" t="n">
        <v>45968.77537037037</v>
      </c>
      <c r="C876" s="1" t="n">
        <v>46032</v>
      </c>
      <c r="D876" t="inlineStr">
        <is>
          <t>VÄRMLANDS LÄN</t>
        </is>
      </c>
      <c r="E876" t="inlineStr">
        <is>
          <t>ÅRJÄNG</t>
        </is>
      </c>
      <c r="G876" t="n">
        <v>3.8</v>
      </c>
      <c r="H876" t="n">
        <v>0</v>
      </c>
      <c r="I876" t="n">
        <v>0</v>
      </c>
      <c r="J876" t="n">
        <v>0</v>
      </c>
      <c r="K876" t="n">
        <v>0</v>
      </c>
      <c r="L876" t="n">
        <v>0</v>
      </c>
      <c r="M876" t="n">
        <v>0</v>
      </c>
      <c r="N876" t="n">
        <v>0</v>
      </c>
      <c r="O876" t="n">
        <v>0</v>
      </c>
      <c r="P876" t="n">
        <v>0</v>
      </c>
      <c r="Q876" t="n">
        <v>0</v>
      </c>
      <c r="R876" s="2" t="inlineStr"/>
    </row>
    <row r="877" ht="15" customHeight="1">
      <c r="A877" t="inlineStr">
        <is>
          <t>A 16383-2022</t>
        </is>
      </c>
      <c r="B877" s="1" t="n">
        <v>44671</v>
      </c>
      <c r="C877" s="1" t="n">
        <v>46032</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6109-2025</t>
        </is>
      </c>
      <c r="B878" s="1" t="n">
        <v>45698.31012731481</v>
      </c>
      <c r="C878" s="1" t="n">
        <v>46032</v>
      </c>
      <c r="D878" t="inlineStr">
        <is>
          <t>VÄRMLANDS LÄN</t>
        </is>
      </c>
      <c r="E878" t="inlineStr">
        <is>
          <t>ÅRJÄNG</t>
        </is>
      </c>
      <c r="G878" t="n">
        <v>4.1</v>
      </c>
      <c r="H878" t="n">
        <v>0</v>
      </c>
      <c r="I878" t="n">
        <v>0</v>
      </c>
      <c r="J878" t="n">
        <v>0</v>
      </c>
      <c r="K878" t="n">
        <v>0</v>
      </c>
      <c r="L878" t="n">
        <v>0</v>
      </c>
      <c r="M878" t="n">
        <v>0</v>
      </c>
      <c r="N878" t="n">
        <v>0</v>
      </c>
      <c r="O878" t="n">
        <v>0</v>
      </c>
      <c r="P878" t="n">
        <v>0</v>
      </c>
      <c r="Q878" t="n">
        <v>0</v>
      </c>
      <c r="R878" s="2" t="inlineStr"/>
    </row>
    <row r="879" ht="15" customHeight="1">
      <c r="A879" t="inlineStr">
        <is>
          <t>A 28260-2024</t>
        </is>
      </c>
      <c r="B879" s="1" t="n">
        <v>45477</v>
      </c>
      <c r="C879" s="1" t="n">
        <v>46032</v>
      </c>
      <c r="D879" t="inlineStr">
        <is>
          <t>VÄRMLANDS LÄN</t>
        </is>
      </c>
      <c r="E879" t="inlineStr">
        <is>
          <t>ÅRJÄNG</t>
        </is>
      </c>
      <c r="G879" t="n">
        <v>2.4</v>
      </c>
      <c r="H879" t="n">
        <v>0</v>
      </c>
      <c r="I879" t="n">
        <v>0</v>
      </c>
      <c r="J879" t="n">
        <v>0</v>
      </c>
      <c r="K879" t="n">
        <v>0</v>
      </c>
      <c r="L879" t="n">
        <v>0</v>
      </c>
      <c r="M879" t="n">
        <v>0</v>
      </c>
      <c r="N879" t="n">
        <v>0</v>
      </c>
      <c r="O879" t="n">
        <v>0</v>
      </c>
      <c r="P879" t="n">
        <v>0</v>
      </c>
      <c r="Q879" t="n">
        <v>0</v>
      </c>
      <c r="R879" s="2" t="inlineStr"/>
    </row>
    <row r="880" ht="15" customHeight="1">
      <c r="A880" t="inlineStr">
        <is>
          <t>A 55285-2025</t>
        </is>
      </c>
      <c r="B880" s="1" t="n">
        <v>45968.84447916667</v>
      </c>
      <c r="C880" s="1" t="n">
        <v>46032</v>
      </c>
      <c r="D880" t="inlineStr">
        <is>
          <t>VÄRMLANDS LÄN</t>
        </is>
      </c>
      <c r="E880" t="inlineStr">
        <is>
          <t>ÅRJÄNG</t>
        </is>
      </c>
      <c r="G880" t="n">
        <v>2</v>
      </c>
      <c r="H880" t="n">
        <v>0</v>
      </c>
      <c r="I880" t="n">
        <v>0</v>
      </c>
      <c r="J880" t="n">
        <v>0</v>
      </c>
      <c r="K880" t="n">
        <v>0</v>
      </c>
      <c r="L880" t="n">
        <v>0</v>
      </c>
      <c r="M880" t="n">
        <v>0</v>
      </c>
      <c r="N880" t="n">
        <v>0</v>
      </c>
      <c r="O880" t="n">
        <v>0</v>
      </c>
      <c r="P880" t="n">
        <v>0</v>
      </c>
      <c r="Q880" t="n">
        <v>0</v>
      </c>
      <c r="R880" s="2" t="inlineStr"/>
    </row>
    <row r="881" ht="15" customHeight="1">
      <c r="A881" t="inlineStr">
        <is>
          <t>A 55540-2025</t>
        </is>
      </c>
      <c r="B881" s="1" t="n">
        <v>45971.63444444445</v>
      </c>
      <c r="C881" s="1" t="n">
        <v>46032</v>
      </c>
      <c r="D881" t="inlineStr">
        <is>
          <t>VÄRMLANDS LÄN</t>
        </is>
      </c>
      <c r="E881" t="inlineStr">
        <is>
          <t>ÅRJÄNG</t>
        </is>
      </c>
      <c r="G881" t="n">
        <v>4.7</v>
      </c>
      <c r="H881" t="n">
        <v>0</v>
      </c>
      <c r="I881" t="n">
        <v>0</v>
      </c>
      <c r="J881" t="n">
        <v>0</v>
      </c>
      <c r="K881" t="n">
        <v>0</v>
      </c>
      <c r="L881" t="n">
        <v>0</v>
      </c>
      <c r="M881" t="n">
        <v>0</v>
      </c>
      <c r="N881" t="n">
        <v>0</v>
      </c>
      <c r="O881" t="n">
        <v>0</v>
      </c>
      <c r="P881" t="n">
        <v>0</v>
      </c>
      <c r="Q881" t="n">
        <v>0</v>
      </c>
      <c r="R881" s="2" t="inlineStr"/>
    </row>
    <row r="882" ht="15" customHeight="1">
      <c r="A882" t="inlineStr">
        <is>
          <t>A 58789-2024</t>
        </is>
      </c>
      <c r="B882" s="1" t="n">
        <v>45635.98438657408</v>
      </c>
      <c r="C882" s="1" t="n">
        <v>46032</v>
      </c>
      <c r="D882" t="inlineStr">
        <is>
          <t>VÄRMLANDS LÄN</t>
        </is>
      </c>
      <c r="E882" t="inlineStr">
        <is>
          <t>ÅRJÄNG</t>
        </is>
      </c>
      <c r="G882" t="n">
        <v>7.8</v>
      </c>
      <c r="H882" t="n">
        <v>0</v>
      </c>
      <c r="I882" t="n">
        <v>0</v>
      </c>
      <c r="J882" t="n">
        <v>0</v>
      </c>
      <c r="K882" t="n">
        <v>0</v>
      </c>
      <c r="L882" t="n">
        <v>0</v>
      </c>
      <c r="M882" t="n">
        <v>0</v>
      </c>
      <c r="N882" t="n">
        <v>0</v>
      </c>
      <c r="O882" t="n">
        <v>0</v>
      </c>
      <c r="P882" t="n">
        <v>0</v>
      </c>
      <c r="Q882" t="n">
        <v>0</v>
      </c>
      <c r="R882" s="2" t="inlineStr"/>
    </row>
    <row r="883" ht="15" customHeight="1">
      <c r="A883" t="inlineStr">
        <is>
          <t>A 55276-2025</t>
        </is>
      </c>
      <c r="B883" s="1" t="n">
        <v>45968.76534722222</v>
      </c>
      <c r="C883" s="1" t="n">
        <v>46032</v>
      </c>
      <c r="D883" t="inlineStr">
        <is>
          <t>VÄRMLANDS LÄN</t>
        </is>
      </c>
      <c r="E883" t="inlineStr">
        <is>
          <t>ÅRJÄNG</t>
        </is>
      </c>
      <c r="G883" t="n">
        <v>2.8</v>
      </c>
      <c r="H883" t="n">
        <v>0</v>
      </c>
      <c r="I883" t="n">
        <v>0</v>
      </c>
      <c r="J883" t="n">
        <v>0</v>
      </c>
      <c r="K883" t="n">
        <v>0</v>
      </c>
      <c r="L883" t="n">
        <v>0</v>
      </c>
      <c r="M883" t="n">
        <v>0</v>
      </c>
      <c r="N883" t="n">
        <v>0</v>
      </c>
      <c r="O883" t="n">
        <v>0</v>
      </c>
      <c r="P883" t="n">
        <v>0</v>
      </c>
      <c r="Q883" t="n">
        <v>0</v>
      </c>
      <c r="R883" s="2" t="inlineStr"/>
    </row>
    <row r="884" ht="15" customHeight="1">
      <c r="A884" t="inlineStr">
        <is>
          <t>A 55534-2025</t>
        </is>
      </c>
      <c r="B884" s="1" t="n">
        <v>45971.63193287037</v>
      </c>
      <c r="C884" s="1" t="n">
        <v>46032</v>
      </c>
      <c r="D884" t="inlineStr">
        <is>
          <t>VÄRMLANDS LÄN</t>
        </is>
      </c>
      <c r="E884" t="inlineStr">
        <is>
          <t>ÅRJÄNG</t>
        </is>
      </c>
      <c r="G884" t="n">
        <v>4.7</v>
      </c>
      <c r="H884" t="n">
        <v>0</v>
      </c>
      <c r="I884" t="n">
        <v>0</v>
      </c>
      <c r="J884" t="n">
        <v>0</v>
      </c>
      <c r="K884" t="n">
        <v>0</v>
      </c>
      <c r="L884" t="n">
        <v>0</v>
      </c>
      <c r="M884" t="n">
        <v>0</v>
      </c>
      <c r="N884" t="n">
        <v>0</v>
      </c>
      <c r="O884" t="n">
        <v>0</v>
      </c>
      <c r="P884" t="n">
        <v>0</v>
      </c>
      <c r="Q884" t="n">
        <v>0</v>
      </c>
      <c r="R884" s="2" t="inlineStr"/>
    </row>
    <row r="885" ht="15" customHeight="1">
      <c r="A885" t="inlineStr">
        <is>
          <t>A 48389-2021</t>
        </is>
      </c>
      <c r="B885" s="1" t="n">
        <v>44452.26943287037</v>
      </c>
      <c r="C885" s="1" t="n">
        <v>46032</v>
      </c>
      <c r="D885" t="inlineStr">
        <is>
          <t>VÄRMLANDS LÄN</t>
        </is>
      </c>
      <c r="E885" t="inlineStr">
        <is>
          <t>ÅRJÄNG</t>
        </is>
      </c>
      <c r="G885" t="n">
        <v>2.4</v>
      </c>
      <c r="H885" t="n">
        <v>0</v>
      </c>
      <c r="I885" t="n">
        <v>0</v>
      </c>
      <c r="J885" t="n">
        <v>0</v>
      </c>
      <c r="K885" t="n">
        <v>0</v>
      </c>
      <c r="L885" t="n">
        <v>0</v>
      </c>
      <c r="M885" t="n">
        <v>0</v>
      </c>
      <c r="N885" t="n">
        <v>0</v>
      </c>
      <c r="O885" t="n">
        <v>0</v>
      </c>
      <c r="P885" t="n">
        <v>0</v>
      </c>
      <c r="Q885" t="n">
        <v>0</v>
      </c>
      <c r="R885" s="2" t="inlineStr"/>
    </row>
    <row r="886" ht="15" customHeight="1">
      <c r="A886" t="inlineStr">
        <is>
          <t>A 55071-2024</t>
        </is>
      </c>
      <c r="B886" s="1" t="n">
        <v>45621.41861111111</v>
      </c>
      <c r="C886" s="1" t="n">
        <v>46032</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5863-2023</t>
        </is>
      </c>
      <c r="B887" s="1" t="n">
        <v>44963</v>
      </c>
      <c r="C887" s="1" t="n">
        <v>46032</v>
      </c>
      <c r="D887" t="inlineStr">
        <is>
          <t>VÄRMLANDS LÄN</t>
        </is>
      </c>
      <c r="E887" t="inlineStr">
        <is>
          <t>ÅRJÄNG</t>
        </is>
      </c>
      <c r="G887" t="n">
        <v>0.9</v>
      </c>
      <c r="H887" t="n">
        <v>0</v>
      </c>
      <c r="I887" t="n">
        <v>0</v>
      </c>
      <c r="J887" t="n">
        <v>0</v>
      </c>
      <c r="K887" t="n">
        <v>0</v>
      </c>
      <c r="L887" t="n">
        <v>0</v>
      </c>
      <c r="M887" t="n">
        <v>0</v>
      </c>
      <c r="N887" t="n">
        <v>0</v>
      </c>
      <c r="O887" t="n">
        <v>0</v>
      </c>
      <c r="P887" t="n">
        <v>0</v>
      </c>
      <c r="Q887" t="n">
        <v>0</v>
      </c>
      <c r="R887" s="2" t="inlineStr"/>
    </row>
    <row r="888" ht="15" customHeight="1">
      <c r="A888" t="inlineStr">
        <is>
          <t>A 23940-2023</t>
        </is>
      </c>
      <c r="B888" s="1" t="n">
        <v>45075</v>
      </c>
      <c r="C888" s="1" t="n">
        <v>46032</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3968-2025</t>
        </is>
      </c>
      <c r="B889" s="1" t="n">
        <v>45684.51925925926</v>
      </c>
      <c r="C889" s="1" t="n">
        <v>46032</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20354-2023</t>
        </is>
      </c>
      <c r="B890" s="1" t="n">
        <v>45056</v>
      </c>
      <c r="C890" s="1" t="n">
        <v>46032</v>
      </c>
      <c r="D890" t="inlineStr">
        <is>
          <t>VÄRMLANDS LÄN</t>
        </is>
      </c>
      <c r="E890" t="inlineStr">
        <is>
          <t>ÅRJÄNG</t>
        </is>
      </c>
      <c r="G890" t="n">
        <v>3.2</v>
      </c>
      <c r="H890" t="n">
        <v>0</v>
      </c>
      <c r="I890" t="n">
        <v>0</v>
      </c>
      <c r="J890" t="n">
        <v>0</v>
      </c>
      <c r="K890" t="n">
        <v>0</v>
      </c>
      <c r="L890" t="n">
        <v>0</v>
      </c>
      <c r="M890" t="n">
        <v>0</v>
      </c>
      <c r="N890" t="n">
        <v>0</v>
      </c>
      <c r="O890" t="n">
        <v>0</v>
      </c>
      <c r="P890" t="n">
        <v>0</v>
      </c>
      <c r="Q890" t="n">
        <v>0</v>
      </c>
      <c r="R890" s="2" t="inlineStr"/>
    </row>
    <row r="891" ht="15" customHeight="1">
      <c r="A891" t="inlineStr">
        <is>
          <t>A 56027-2025</t>
        </is>
      </c>
      <c r="B891" s="1" t="n">
        <v>45973.59994212963</v>
      </c>
      <c r="C891" s="1" t="n">
        <v>46032</v>
      </c>
      <c r="D891" t="inlineStr">
        <is>
          <t>VÄRMLANDS LÄN</t>
        </is>
      </c>
      <c r="E891" t="inlineStr">
        <is>
          <t>ÅRJÄNG</t>
        </is>
      </c>
      <c r="G891" t="n">
        <v>2.7</v>
      </c>
      <c r="H891" t="n">
        <v>0</v>
      </c>
      <c r="I891" t="n">
        <v>0</v>
      </c>
      <c r="J891" t="n">
        <v>0</v>
      </c>
      <c r="K891" t="n">
        <v>0</v>
      </c>
      <c r="L891" t="n">
        <v>0</v>
      </c>
      <c r="M891" t="n">
        <v>0</v>
      </c>
      <c r="N891" t="n">
        <v>0</v>
      </c>
      <c r="O891" t="n">
        <v>0</v>
      </c>
      <c r="P891" t="n">
        <v>0</v>
      </c>
      <c r="Q891" t="n">
        <v>0</v>
      </c>
      <c r="R891" s="2" t="inlineStr"/>
    </row>
    <row r="892" ht="15" customHeight="1">
      <c r="A892" t="inlineStr">
        <is>
          <t>A 56096-2025</t>
        </is>
      </c>
      <c r="B892" s="1" t="n">
        <v>45973.68275462963</v>
      </c>
      <c r="C892" s="1" t="n">
        <v>46032</v>
      </c>
      <c r="D892" t="inlineStr">
        <is>
          <t>VÄRMLANDS LÄN</t>
        </is>
      </c>
      <c r="E892" t="inlineStr">
        <is>
          <t>ÅRJÄNG</t>
        </is>
      </c>
      <c r="F892" t="inlineStr">
        <is>
          <t>Kyrkan</t>
        </is>
      </c>
      <c r="G892" t="n">
        <v>10.5</v>
      </c>
      <c r="H892" t="n">
        <v>0</v>
      </c>
      <c r="I892" t="n">
        <v>0</v>
      </c>
      <c r="J892" t="n">
        <v>0</v>
      </c>
      <c r="K892" t="n">
        <v>0</v>
      </c>
      <c r="L892" t="n">
        <v>0</v>
      </c>
      <c r="M892" t="n">
        <v>0</v>
      </c>
      <c r="N892" t="n">
        <v>0</v>
      </c>
      <c r="O892" t="n">
        <v>0</v>
      </c>
      <c r="P892" t="n">
        <v>0</v>
      </c>
      <c r="Q892" t="n">
        <v>0</v>
      </c>
      <c r="R892" s="2" t="inlineStr"/>
    </row>
    <row r="893" ht="15" customHeight="1">
      <c r="A893" t="inlineStr">
        <is>
          <t>A 1615-2025</t>
        </is>
      </c>
      <c r="B893" s="1" t="n">
        <v>45670.60484953703</v>
      </c>
      <c r="C893" s="1" t="n">
        <v>46032</v>
      </c>
      <c r="D893" t="inlineStr">
        <is>
          <t>VÄRMLANDS LÄN</t>
        </is>
      </c>
      <c r="E893" t="inlineStr">
        <is>
          <t>ÅRJÄNG</t>
        </is>
      </c>
      <c r="G893" t="n">
        <v>3.3</v>
      </c>
      <c r="H893" t="n">
        <v>0</v>
      </c>
      <c r="I893" t="n">
        <v>0</v>
      </c>
      <c r="J893" t="n">
        <v>0</v>
      </c>
      <c r="K893" t="n">
        <v>0</v>
      </c>
      <c r="L893" t="n">
        <v>0</v>
      </c>
      <c r="M893" t="n">
        <v>0</v>
      </c>
      <c r="N893" t="n">
        <v>0</v>
      </c>
      <c r="O893" t="n">
        <v>0</v>
      </c>
      <c r="P893" t="n">
        <v>0</v>
      </c>
      <c r="Q893" t="n">
        <v>0</v>
      </c>
      <c r="R893" s="2" t="inlineStr"/>
    </row>
    <row r="894" ht="15" customHeight="1">
      <c r="A894" t="inlineStr">
        <is>
          <t>A 28864-2023</t>
        </is>
      </c>
      <c r="B894" s="1" t="n">
        <v>45104</v>
      </c>
      <c r="C894" s="1" t="n">
        <v>46032</v>
      </c>
      <c r="D894" t="inlineStr">
        <is>
          <t>VÄRMLANDS LÄN</t>
        </is>
      </c>
      <c r="E894" t="inlineStr">
        <is>
          <t>ÅRJÄNG</t>
        </is>
      </c>
      <c r="G894" t="n">
        <v>2.9</v>
      </c>
      <c r="H894" t="n">
        <v>0</v>
      </c>
      <c r="I894" t="n">
        <v>0</v>
      </c>
      <c r="J894" t="n">
        <v>0</v>
      </c>
      <c r="K894" t="n">
        <v>0</v>
      </c>
      <c r="L894" t="n">
        <v>0</v>
      </c>
      <c r="M894" t="n">
        <v>0</v>
      </c>
      <c r="N894" t="n">
        <v>0</v>
      </c>
      <c r="O894" t="n">
        <v>0</v>
      </c>
      <c r="P894" t="n">
        <v>0</v>
      </c>
      <c r="Q894" t="n">
        <v>0</v>
      </c>
      <c r="R894" s="2" t="inlineStr"/>
    </row>
    <row r="895" ht="15" customHeight="1">
      <c r="A895" t="inlineStr">
        <is>
          <t>A 15300-2025</t>
        </is>
      </c>
      <c r="B895" s="1" t="n">
        <v>45746</v>
      </c>
      <c r="C895" s="1" t="n">
        <v>46032</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55662-2025</t>
        </is>
      </c>
      <c r="B896" s="1" t="n">
        <v>45972.39572916667</v>
      </c>
      <c r="C896" s="1" t="n">
        <v>46032</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58788-2024</t>
        </is>
      </c>
      <c r="B897" s="1" t="n">
        <v>45635.96372685185</v>
      </c>
      <c r="C897" s="1" t="n">
        <v>46032</v>
      </c>
      <c r="D897" t="inlineStr">
        <is>
          <t>VÄRMLANDS LÄN</t>
        </is>
      </c>
      <c r="E897" t="inlineStr">
        <is>
          <t>ÅRJÄNG</t>
        </is>
      </c>
      <c r="G897" t="n">
        <v>12.4</v>
      </c>
      <c r="H897" t="n">
        <v>0</v>
      </c>
      <c r="I897" t="n">
        <v>0</v>
      </c>
      <c r="J897" t="n">
        <v>0</v>
      </c>
      <c r="K897" t="n">
        <v>0</v>
      </c>
      <c r="L897" t="n">
        <v>0</v>
      </c>
      <c r="M897" t="n">
        <v>0</v>
      </c>
      <c r="N897" t="n">
        <v>0</v>
      </c>
      <c r="O897" t="n">
        <v>0</v>
      </c>
      <c r="P897" t="n">
        <v>0</v>
      </c>
      <c r="Q897" t="n">
        <v>0</v>
      </c>
      <c r="R897" s="2" t="inlineStr"/>
    </row>
    <row r="898" ht="15" customHeight="1">
      <c r="A898" t="inlineStr">
        <is>
          <t>A 68328-2021</t>
        </is>
      </c>
      <c r="B898" s="1" t="n">
        <v>44527.35875</v>
      </c>
      <c r="C898" s="1" t="n">
        <v>46032</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23334-2023</t>
        </is>
      </c>
      <c r="B899" s="1" t="n">
        <v>45076</v>
      </c>
      <c r="C899" s="1" t="n">
        <v>46032</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48444-2023</t>
        </is>
      </c>
      <c r="B900" s="1" t="n">
        <v>45206.37090277778</v>
      </c>
      <c r="C900" s="1" t="n">
        <v>46032</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10873-2023</t>
        </is>
      </c>
      <c r="B901" s="1" t="n">
        <v>44991.42243055555</v>
      </c>
      <c r="C901" s="1" t="n">
        <v>46032</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56757-2023</t>
        </is>
      </c>
      <c r="B902" s="1" t="n">
        <v>45244.37539351852</v>
      </c>
      <c r="C902" s="1" t="n">
        <v>46032</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54013-2023</t>
        </is>
      </c>
      <c r="B903" s="1" t="n">
        <v>45231.81550925926</v>
      </c>
      <c r="C903" s="1" t="n">
        <v>46032</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56629-2025</t>
        </is>
      </c>
      <c r="B904" s="1" t="n">
        <v>45975</v>
      </c>
      <c r="C904" s="1" t="n">
        <v>46032</v>
      </c>
      <c r="D904" t="inlineStr">
        <is>
          <t>VÄRMLANDS LÄN</t>
        </is>
      </c>
      <c r="E904" t="inlineStr">
        <is>
          <t>ÅRJÄNG</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51493-2023</t>
        </is>
      </c>
      <c r="B905" s="1" t="n">
        <v>45215</v>
      </c>
      <c r="C905" s="1" t="n">
        <v>46032</v>
      </c>
      <c r="D905" t="inlineStr">
        <is>
          <t>VÄRMLANDS LÄN</t>
        </is>
      </c>
      <c r="E905" t="inlineStr">
        <is>
          <t>ÅRJÄNG</t>
        </is>
      </c>
      <c r="F905" t="inlineStr">
        <is>
          <t>Övriga Aktiebolag</t>
        </is>
      </c>
      <c r="G905" t="n">
        <v>9.1</v>
      </c>
      <c r="H905" t="n">
        <v>0</v>
      </c>
      <c r="I905" t="n">
        <v>0</v>
      </c>
      <c r="J905" t="n">
        <v>0</v>
      </c>
      <c r="K905" t="n">
        <v>0</v>
      </c>
      <c r="L905" t="n">
        <v>0</v>
      </c>
      <c r="M905" t="n">
        <v>0</v>
      </c>
      <c r="N905" t="n">
        <v>0</v>
      </c>
      <c r="O905" t="n">
        <v>0</v>
      </c>
      <c r="P905" t="n">
        <v>0</v>
      </c>
      <c r="Q905" t="n">
        <v>0</v>
      </c>
      <c r="R905" s="2" t="inlineStr"/>
    </row>
    <row r="906" ht="15" customHeight="1">
      <c r="A906" t="inlineStr">
        <is>
          <t>A 9662-2024</t>
        </is>
      </c>
      <c r="B906" s="1" t="n">
        <v>45362.43423611111</v>
      </c>
      <c r="C906" s="1" t="n">
        <v>46032</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16977-2025</t>
        </is>
      </c>
      <c r="B907" s="1" t="n">
        <v>45755.47517361111</v>
      </c>
      <c r="C907" s="1" t="n">
        <v>46032</v>
      </c>
      <c r="D907" t="inlineStr">
        <is>
          <t>VÄRMLANDS LÄN</t>
        </is>
      </c>
      <c r="E907" t="inlineStr">
        <is>
          <t>ÅRJÄNG</t>
        </is>
      </c>
      <c r="G907" t="n">
        <v>1.7</v>
      </c>
      <c r="H907" t="n">
        <v>0</v>
      </c>
      <c r="I907" t="n">
        <v>0</v>
      </c>
      <c r="J907" t="n">
        <v>0</v>
      </c>
      <c r="K907" t="n">
        <v>0</v>
      </c>
      <c r="L907" t="n">
        <v>0</v>
      </c>
      <c r="M907" t="n">
        <v>0</v>
      </c>
      <c r="N907" t="n">
        <v>0</v>
      </c>
      <c r="O907" t="n">
        <v>0</v>
      </c>
      <c r="P907" t="n">
        <v>0</v>
      </c>
      <c r="Q907" t="n">
        <v>0</v>
      </c>
      <c r="R907" s="2" t="inlineStr"/>
    </row>
    <row r="908" ht="15" customHeight="1">
      <c r="A908" t="inlineStr">
        <is>
          <t>A 42783-2024</t>
        </is>
      </c>
      <c r="B908" s="1" t="n">
        <v>45566</v>
      </c>
      <c r="C908" s="1" t="n">
        <v>46032</v>
      </c>
      <c r="D908" t="inlineStr">
        <is>
          <t>VÄRMLANDS LÄN</t>
        </is>
      </c>
      <c r="E908" t="inlineStr">
        <is>
          <t>ÅRJÄNG</t>
        </is>
      </c>
      <c r="G908" t="n">
        <v>2.1</v>
      </c>
      <c r="H908" t="n">
        <v>0</v>
      </c>
      <c r="I908" t="n">
        <v>0</v>
      </c>
      <c r="J908" t="n">
        <v>0</v>
      </c>
      <c r="K908" t="n">
        <v>0</v>
      </c>
      <c r="L908" t="n">
        <v>0</v>
      </c>
      <c r="M908" t="n">
        <v>0</v>
      </c>
      <c r="N908" t="n">
        <v>0</v>
      </c>
      <c r="O908" t="n">
        <v>0</v>
      </c>
      <c r="P908" t="n">
        <v>0</v>
      </c>
      <c r="Q908" t="n">
        <v>0</v>
      </c>
      <c r="R908" s="2" t="inlineStr"/>
    </row>
    <row r="909" ht="15" customHeight="1">
      <c r="A909" t="inlineStr">
        <is>
          <t>A 64095-2025</t>
        </is>
      </c>
      <c r="B909" s="1" t="n">
        <v>46021.75336805556</v>
      </c>
      <c r="C909" s="1" t="n">
        <v>46032</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21996-2021</t>
        </is>
      </c>
      <c r="B910" s="1" t="n">
        <v>44323</v>
      </c>
      <c r="C910" s="1" t="n">
        <v>46032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6107-2024</t>
        </is>
      </c>
      <c r="B911" s="1" t="n">
        <v>45337</v>
      </c>
      <c r="C911" s="1" t="n">
        <v>46032</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57004-2025</t>
        </is>
      </c>
      <c r="B912" s="1" t="n">
        <v>45978.75946759259</v>
      </c>
      <c r="C912" s="1" t="n">
        <v>46032</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57218-2025</t>
        </is>
      </c>
      <c r="B913" s="1" t="n">
        <v>45979.61164351852</v>
      </c>
      <c r="C913" s="1" t="n">
        <v>46032</v>
      </c>
      <c r="D913" t="inlineStr">
        <is>
          <t>VÄRMLANDS LÄN</t>
        </is>
      </c>
      <c r="E913" t="inlineStr">
        <is>
          <t>ÅRJÄNG</t>
        </is>
      </c>
      <c r="G913" t="n">
        <v>2.9</v>
      </c>
      <c r="H913" t="n">
        <v>0</v>
      </c>
      <c r="I913" t="n">
        <v>0</v>
      </c>
      <c r="J913" t="n">
        <v>0</v>
      </c>
      <c r="K913" t="n">
        <v>0</v>
      </c>
      <c r="L913" t="n">
        <v>0</v>
      </c>
      <c r="M913" t="n">
        <v>0</v>
      </c>
      <c r="N913" t="n">
        <v>0</v>
      </c>
      <c r="O913" t="n">
        <v>0</v>
      </c>
      <c r="P913" t="n">
        <v>0</v>
      </c>
      <c r="Q913" t="n">
        <v>0</v>
      </c>
      <c r="R913" s="2" t="inlineStr"/>
    </row>
    <row r="914" ht="15" customHeight="1">
      <c r="A914" t="inlineStr">
        <is>
          <t>A 59336-2025</t>
        </is>
      </c>
      <c r="B914" s="1" t="n">
        <v>45979.67002314814</v>
      </c>
      <c r="C914" s="1" t="n">
        <v>46032</v>
      </c>
      <c r="D914" t="inlineStr">
        <is>
          <t>VÄRMLANDS LÄN</t>
        </is>
      </c>
      <c r="E914" t="inlineStr">
        <is>
          <t>ÅRJÄNG</t>
        </is>
      </c>
      <c r="G914" t="n">
        <v>0.6</v>
      </c>
      <c r="H914" t="n">
        <v>0</v>
      </c>
      <c r="I914" t="n">
        <v>0</v>
      </c>
      <c r="J914" t="n">
        <v>0</v>
      </c>
      <c r="K914" t="n">
        <v>0</v>
      </c>
      <c r="L914" t="n">
        <v>0</v>
      </c>
      <c r="M914" t="n">
        <v>0</v>
      </c>
      <c r="N914" t="n">
        <v>0</v>
      </c>
      <c r="O914" t="n">
        <v>0</v>
      </c>
      <c r="P914" t="n">
        <v>0</v>
      </c>
      <c r="Q914" t="n">
        <v>0</v>
      </c>
      <c r="R914" s="2" t="inlineStr"/>
    </row>
    <row r="915" ht="15" customHeight="1">
      <c r="A915" t="inlineStr">
        <is>
          <t>A 57273-2025</t>
        </is>
      </c>
      <c r="B915" s="1" t="n">
        <v>45979.68439814815</v>
      </c>
      <c r="C915" s="1" t="n">
        <v>46032</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63837-2025</t>
        </is>
      </c>
      <c r="B916" s="1" t="n">
        <v>46020.41344907408</v>
      </c>
      <c r="C916" s="1" t="n">
        <v>46032</v>
      </c>
      <c r="D916" t="inlineStr">
        <is>
          <t>VÄRMLANDS LÄN</t>
        </is>
      </c>
      <c r="E916" t="inlineStr">
        <is>
          <t>ÅRJÄNG</t>
        </is>
      </c>
      <c r="G916" t="n">
        <v>5.6</v>
      </c>
      <c r="H916" t="n">
        <v>0</v>
      </c>
      <c r="I916" t="n">
        <v>0</v>
      </c>
      <c r="J916" t="n">
        <v>0</v>
      </c>
      <c r="K916" t="n">
        <v>0</v>
      </c>
      <c r="L916" t="n">
        <v>0</v>
      </c>
      <c r="M916" t="n">
        <v>0</v>
      </c>
      <c r="N916" t="n">
        <v>0</v>
      </c>
      <c r="O916" t="n">
        <v>0</v>
      </c>
      <c r="P916" t="n">
        <v>0</v>
      </c>
      <c r="Q916" t="n">
        <v>0</v>
      </c>
      <c r="R916" s="2" t="inlineStr"/>
    </row>
    <row r="917" ht="15" customHeight="1">
      <c r="A917" t="inlineStr">
        <is>
          <t>A 63844-2025</t>
        </is>
      </c>
      <c r="B917" s="1" t="n">
        <v>46020.43506944444</v>
      </c>
      <c r="C917" s="1" t="n">
        <v>46032</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57078-2025</t>
        </is>
      </c>
      <c r="B918" s="1" t="n">
        <v>45979.40554398148</v>
      </c>
      <c r="C918" s="1" t="n">
        <v>46032</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15230-2025</t>
        </is>
      </c>
      <c r="B919" s="1" t="n">
        <v>45744</v>
      </c>
      <c r="C919" s="1" t="n">
        <v>46032</v>
      </c>
      <c r="D919" t="inlineStr">
        <is>
          <t>VÄRMLANDS LÄN</t>
        </is>
      </c>
      <c r="E919" t="inlineStr">
        <is>
          <t>ÅRJÄNG</t>
        </is>
      </c>
      <c r="G919" t="n">
        <v>17.1</v>
      </c>
      <c r="H919" t="n">
        <v>0</v>
      </c>
      <c r="I919" t="n">
        <v>0</v>
      </c>
      <c r="J919" t="n">
        <v>0</v>
      </c>
      <c r="K919" t="n">
        <v>0</v>
      </c>
      <c r="L919" t="n">
        <v>0</v>
      </c>
      <c r="M919" t="n">
        <v>0</v>
      </c>
      <c r="N919" t="n">
        <v>0</v>
      </c>
      <c r="O919" t="n">
        <v>0</v>
      </c>
      <c r="P919" t="n">
        <v>0</v>
      </c>
      <c r="Q919" t="n">
        <v>0</v>
      </c>
      <c r="R919" s="2" t="inlineStr"/>
    </row>
    <row r="920" ht="15" customHeight="1">
      <c r="A920" t="inlineStr">
        <is>
          <t>A 57240-2025</t>
        </is>
      </c>
      <c r="B920" s="1" t="n">
        <v>45979.62587962963</v>
      </c>
      <c r="C920" s="1" t="n">
        <v>46032</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49785-2024</t>
        </is>
      </c>
      <c r="B921" s="1" t="n">
        <v>45597.35758101852</v>
      </c>
      <c r="C921" s="1" t="n">
        <v>46032</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11718-2024</t>
        </is>
      </c>
      <c r="B922" s="1" t="n">
        <v>45373.63803240741</v>
      </c>
      <c r="C922" s="1" t="n">
        <v>46032</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7537-2021</t>
        </is>
      </c>
      <c r="B923" s="1" t="n">
        <v>44239</v>
      </c>
      <c r="C923" s="1" t="n">
        <v>46032</v>
      </c>
      <c r="D923" t="inlineStr">
        <is>
          <t>VÄRMLANDS LÄN</t>
        </is>
      </c>
      <c r="E923" t="inlineStr">
        <is>
          <t>ÅRJÄNG</t>
        </is>
      </c>
      <c r="G923" t="n">
        <v>4.2</v>
      </c>
      <c r="H923" t="n">
        <v>0</v>
      </c>
      <c r="I923" t="n">
        <v>0</v>
      </c>
      <c r="J923" t="n">
        <v>0</v>
      </c>
      <c r="K923" t="n">
        <v>0</v>
      </c>
      <c r="L923" t="n">
        <v>0</v>
      </c>
      <c r="M923" t="n">
        <v>0</v>
      </c>
      <c r="N923" t="n">
        <v>0</v>
      </c>
      <c r="O923" t="n">
        <v>0</v>
      </c>
      <c r="P923" t="n">
        <v>0</v>
      </c>
      <c r="Q923" t="n">
        <v>0</v>
      </c>
      <c r="R923" s="2" t="inlineStr"/>
    </row>
    <row r="924" ht="15" customHeight="1">
      <c r="A924" t="inlineStr">
        <is>
          <t>A 57301-2025</t>
        </is>
      </c>
      <c r="B924" s="1" t="n">
        <v>45979</v>
      </c>
      <c r="C924" s="1" t="n">
        <v>46032</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57003-2025</t>
        </is>
      </c>
      <c r="B925" s="1" t="n">
        <v>45978.75783564815</v>
      </c>
      <c r="C925" s="1" t="n">
        <v>46032</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17878-2024</t>
        </is>
      </c>
      <c r="B926" s="1" t="n">
        <v>45419</v>
      </c>
      <c r="C926" s="1" t="n">
        <v>46032</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69417-2021</t>
        </is>
      </c>
      <c r="B927" s="1" t="n">
        <v>44531</v>
      </c>
      <c r="C927" s="1" t="n">
        <v>46032</v>
      </c>
      <c r="D927" t="inlineStr">
        <is>
          <t>VÄRMLANDS LÄN</t>
        </is>
      </c>
      <c r="E927" t="inlineStr">
        <is>
          <t>ÅRJÄNG</t>
        </is>
      </c>
      <c r="G927" t="n">
        <v>3.8</v>
      </c>
      <c r="H927" t="n">
        <v>0</v>
      </c>
      <c r="I927" t="n">
        <v>0</v>
      </c>
      <c r="J927" t="n">
        <v>0</v>
      </c>
      <c r="K927" t="n">
        <v>0</v>
      </c>
      <c r="L927" t="n">
        <v>0</v>
      </c>
      <c r="M927" t="n">
        <v>0</v>
      </c>
      <c r="N927" t="n">
        <v>0</v>
      </c>
      <c r="O927" t="n">
        <v>0</v>
      </c>
      <c r="P927" t="n">
        <v>0</v>
      </c>
      <c r="Q927" t="n">
        <v>0</v>
      </c>
      <c r="R927" s="2" t="inlineStr"/>
    </row>
    <row r="928" ht="15" customHeight="1">
      <c r="A928" t="inlineStr">
        <is>
          <t>A 57005-2025</t>
        </is>
      </c>
      <c r="B928" s="1" t="n">
        <v>45978.76155092593</v>
      </c>
      <c r="C928" s="1" t="n">
        <v>46032</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63858-2025</t>
        </is>
      </c>
      <c r="B929" s="1" t="n">
        <v>46020.48446759259</v>
      </c>
      <c r="C929" s="1" t="n">
        <v>46032</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21362-2022</t>
        </is>
      </c>
      <c r="B930" s="1" t="n">
        <v>44705</v>
      </c>
      <c r="C930" s="1" t="n">
        <v>46032</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57439-2025</t>
        </is>
      </c>
      <c r="B931" s="1" t="n">
        <v>45980.48193287037</v>
      </c>
      <c r="C931" s="1" t="n">
        <v>46032</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57740-2025</t>
        </is>
      </c>
      <c r="B932" s="1" t="n">
        <v>45981</v>
      </c>
      <c r="C932" s="1" t="n">
        <v>46032</v>
      </c>
      <c r="D932" t="inlineStr">
        <is>
          <t>VÄRMLANDS LÄN</t>
        </is>
      </c>
      <c r="E932" t="inlineStr">
        <is>
          <t>ÅRJÄNG</t>
        </is>
      </c>
      <c r="G932" t="n">
        <v>6.4</v>
      </c>
      <c r="H932" t="n">
        <v>0</v>
      </c>
      <c r="I932" t="n">
        <v>0</v>
      </c>
      <c r="J932" t="n">
        <v>0</v>
      </c>
      <c r="K932" t="n">
        <v>0</v>
      </c>
      <c r="L932" t="n">
        <v>0</v>
      </c>
      <c r="M932" t="n">
        <v>0</v>
      </c>
      <c r="N932" t="n">
        <v>0</v>
      </c>
      <c r="O932" t="n">
        <v>0</v>
      </c>
      <c r="P932" t="n">
        <v>0</v>
      </c>
      <c r="Q932" t="n">
        <v>0</v>
      </c>
      <c r="R932" s="2" t="inlineStr"/>
    </row>
    <row r="933" ht="15" customHeight="1">
      <c r="A933" t="inlineStr">
        <is>
          <t>A 57924-2025</t>
        </is>
      </c>
      <c r="B933" s="1" t="n">
        <v>45981</v>
      </c>
      <c r="C933" s="1" t="n">
        <v>46032</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57741-2025</t>
        </is>
      </c>
      <c r="B934" s="1" t="n">
        <v>45981</v>
      </c>
      <c r="C934" s="1" t="n">
        <v>46032</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57752-2025</t>
        </is>
      </c>
      <c r="B935" s="1" t="n">
        <v>45981</v>
      </c>
      <c r="C935" s="1" t="n">
        <v>46032</v>
      </c>
      <c r="D935" t="inlineStr">
        <is>
          <t>VÄRMLANDS LÄN</t>
        </is>
      </c>
      <c r="E935" t="inlineStr">
        <is>
          <t>ÅRJÄNG</t>
        </is>
      </c>
      <c r="G935" t="n">
        <v>4.3</v>
      </c>
      <c r="H935" t="n">
        <v>0</v>
      </c>
      <c r="I935" t="n">
        <v>0</v>
      </c>
      <c r="J935" t="n">
        <v>0</v>
      </c>
      <c r="K935" t="n">
        <v>0</v>
      </c>
      <c r="L935" t="n">
        <v>0</v>
      </c>
      <c r="M935" t="n">
        <v>0</v>
      </c>
      <c r="N935" t="n">
        <v>0</v>
      </c>
      <c r="O935" t="n">
        <v>0</v>
      </c>
      <c r="P935" t="n">
        <v>0</v>
      </c>
      <c r="Q935" t="n">
        <v>0</v>
      </c>
      <c r="R935" s="2" t="inlineStr"/>
    </row>
    <row r="936" ht="15" customHeight="1">
      <c r="A936" t="inlineStr">
        <is>
          <t>A 18796-2023</t>
        </is>
      </c>
      <c r="B936" s="1" t="n">
        <v>45044.31065972222</v>
      </c>
      <c r="C936" s="1" t="n">
        <v>46032</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39156-2024</t>
        </is>
      </c>
      <c r="B937" s="1" t="n">
        <v>45548.62956018518</v>
      </c>
      <c r="C937" s="1" t="n">
        <v>46032</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58518-2025</t>
        </is>
      </c>
      <c r="B938" s="1" t="n">
        <v>45985.7062037037</v>
      </c>
      <c r="C938" s="1" t="n">
        <v>46032</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9630-2025</t>
        </is>
      </c>
      <c r="B939" s="1" t="n">
        <v>45715.71145833333</v>
      </c>
      <c r="C939" s="1" t="n">
        <v>46032</v>
      </c>
      <c r="D939" t="inlineStr">
        <is>
          <t>VÄRMLANDS LÄN</t>
        </is>
      </c>
      <c r="E939" t="inlineStr">
        <is>
          <t>ÅRJÄNG</t>
        </is>
      </c>
      <c r="G939" t="n">
        <v>0.4</v>
      </c>
      <c r="H939" t="n">
        <v>0</v>
      </c>
      <c r="I939" t="n">
        <v>0</v>
      </c>
      <c r="J939" t="n">
        <v>0</v>
      </c>
      <c r="K939" t="n">
        <v>0</v>
      </c>
      <c r="L939" t="n">
        <v>0</v>
      </c>
      <c r="M939" t="n">
        <v>0</v>
      </c>
      <c r="N939" t="n">
        <v>0</v>
      </c>
      <c r="O939" t="n">
        <v>0</v>
      </c>
      <c r="P939" t="n">
        <v>0</v>
      </c>
      <c r="Q939" t="n">
        <v>0</v>
      </c>
      <c r="R939" s="2" t="inlineStr"/>
    </row>
    <row r="940" ht="15" customHeight="1">
      <c r="A940" t="inlineStr">
        <is>
          <t>A 8246-2025</t>
        </is>
      </c>
      <c r="B940" s="1" t="n">
        <v>45708.48710648148</v>
      </c>
      <c r="C940" s="1" t="n">
        <v>46032</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62609-2023</t>
        </is>
      </c>
      <c r="B941" s="1" t="n">
        <v>45267</v>
      </c>
      <c r="C941" s="1" t="n">
        <v>46032</v>
      </c>
      <c r="D941" t="inlineStr">
        <is>
          <t>VÄRMLANDS LÄN</t>
        </is>
      </c>
      <c r="E941" t="inlineStr">
        <is>
          <t>ÅRJÄNG</t>
        </is>
      </c>
      <c r="G941" t="n">
        <v>14.4</v>
      </c>
      <c r="H941" t="n">
        <v>0</v>
      </c>
      <c r="I941" t="n">
        <v>0</v>
      </c>
      <c r="J941" t="n">
        <v>0</v>
      </c>
      <c r="K941" t="n">
        <v>0</v>
      </c>
      <c r="L941" t="n">
        <v>0</v>
      </c>
      <c r="M941" t="n">
        <v>0</v>
      </c>
      <c r="N941" t="n">
        <v>0</v>
      </c>
      <c r="O941" t="n">
        <v>0</v>
      </c>
      <c r="P941" t="n">
        <v>0</v>
      </c>
      <c r="Q941" t="n">
        <v>0</v>
      </c>
      <c r="R941" s="2" t="inlineStr"/>
    </row>
    <row r="942" ht="15" customHeight="1">
      <c r="A942" t="inlineStr">
        <is>
          <t>A 57925-2025</t>
        </is>
      </c>
      <c r="B942" s="1" t="n">
        <v>45981.87783564815</v>
      </c>
      <c r="C942" s="1" t="n">
        <v>46032</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57929-2025</t>
        </is>
      </c>
      <c r="B943" s="1" t="n">
        <v>45981.89403935185</v>
      </c>
      <c r="C943" s="1" t="n">
        <v>46032</v>
      </c>
      <c r="D943" t="inlineStr">
        <is>
          <t>VÄRMLANDS LÄN</t>
        </is>
      </c>
      <c r="E943" t="inlineStr">
        <is>
          <t>ÅRJÄNG</t>
        </is>
      </c>
      <c r="G943" t="n">
        <v>2.3</v>
      </c>
      <c r="H943" t="n">
        <v>0</v>
      </c>
      <c r="I943" t="n">
        <v>0</v>
      </c>
      <c r="J943" t="n">
        <v>0</v>
      </c>
      <c r="K943" t="n">
        <v>0</v>
      </c>
      <c r="L943" t="n">
        <v>0</v>
      </c>
      <c r="M943" t="n">
        <v>0</v>
      </c>
      <c r="N943" t="n">
        <v>0</v>
      </c>
      <c r="O943" t="n">
        <v>0</v>
      </c>
      <c r="P943" t="n">
        <v>0</v>
      </c>
      <c r="Q943" t="n">
        <v>0</v>
      </c>
      <c r="R943" s="2" t="inlineStr"/>
    </row>
    <row r="944" ht="15" customHeight="1">
      <c r="A944" t="inlineStr">
        <is>
          <t>A 44140-2024</t>
        </is>
      </c>
      <c r="B944" s="1" t="n">
        <v>45572</v>
      </c>
      <c r="C944" s="1" t="n">
        <v>46032</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15308-2022</t>
        </is>
      </c>
      <c r="B945" s="1" t="n">
        <v>44659.45865740741</v>
      </c>
      <c r="C945" s="1" t="n">
        <v>46032</v>
      </c>
      <c r="D945" t="inlineStr">
        <is>
          <t>VÄRMLANDS LÄN</t>
        </is>
      </c>
      <c r="E945" t="inlineStr">
        <is>
          <t>ÅRJÄNG</t>
        </is>
      </c>
      <c r="G945" t="n">
        <v>10.7</v>
      </c>
      <c r="H945" t="n">
        <v>0</v>
      </c>
      <c r="I945" t="n">
        <v>0</v>
      </c>
      <c r="J945" t="n">
        <v>0</v>
      </c>
      <c r="K945" t="n">
        <v>0</v>
      </c>
      <c r="L945" t="n">
        <v>0</v>
      </c>
      <c r="M945" t="n">
        <v>0</v>
      </c>
      <c r="N945" t="n">
        <v>0</v>
      </c>
      <c r="O945" t="n">
        <v>0</v>
      </c>
      <c r="P945" t="n">
        <v>0</v>
      </c>
      <c r="Q945" t="n">
        <v>0</v>
      </c>
      <c r="R945" s="2" t="inlineStr"/>
    </row>
    <row r="946" ht="15" customHeight="1">
      <c r="A946" t="inlineStr">
        <is>
          <t>A 23847-2023</t>
        </is>
      </c>
      <c r="B946" s="1" t="n">
        <v>45078</v>
      </c>
      <c r="C946" s="1" t="n">
        <v>46032</v>
      </c>
      <c r="D946" t="inlineStr">
        <is>
          <t>VÄRMLANDS LÄN</t>
        </is>
      </c>
      <c r="E946" t="inlineStr">
        <is>
          <t>ÅRJÄNG</t>
        </is>
      </c>
      <c r="G946" t="n">
        <v>1.9</v>
      </c>
      <c r="H946" t="n">
        <v>0</v>
      </c>
      <c r="I946" t="n">
        <v>0</v>
      </c>
      <c r="J946" t="n">
        <v>0</v>
      </c>
      <c r="K946" t="n">
        <v>0</v>
      </c>
      <c r="L946" t="n">
        <v>0</v>
      </c>
      <c r="M946" t="n">
        <v>0</v>
      </c>
      <c r="N946" t="n">
        <v>0</v>
      </c>
      <c r="O946" t="n">
        <v>0</v>
      </c>
      <c r="P946" t="n">
        <v>0</v>
      </c>
      <c r="Q946" t="n">
        <v>0</v>
      </c>
      <c r="R946" s="2" t="inlineStr"/>
    </row>
    <row r="947" ht="15" customHeight="1">
      <c r="A947" t="inlineStr">
        <is>
          <t>A 74430-2021</t>
        </is>
      </c>
      <c r="B947" s="1" t="n">
        <v>44560.43342592593</v>
      </c>
      <c r="C947" s="1" t="n">
        <v>46032</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10681-2024</t>
        </is>
      </c>
      <c r="B948" s="1" t="n">
        <v>45369.36349537037</v>
      </c>
      <c r="C948" s="1" t="n">
        <v>46032</v>
      </c>
      <c r="D948" t="inlineStr">
        <is>
          <t>VÄRMLANDS LÄN</t>
        </is>
      </c>
      <c r="E948" t="inlineStr">
        <is>
          <t>ÅRJÄNG</t>
        </is>
      </c>
      <c r="G948" t="n">
        <v>0.5</v>
      </c>
      <c r="H948" t="n">
        <v>0</v>
      </c>
      <c r="I948" t="n">
        <v>0</v>
      </c>
      <c r="J948" t="n">
        <v>0</v>
      </c>
      <c r="K948" t="n">
        <v>0</v>
      </c>
      <c r="L948" t="n">
        <v>0</v>
      </c>
      <c r="M948" t="n">
        <v>0</v>
      </c>
      <c r="N948" t="n">
        <v>0</v>
      </c>
      <c r="O948" t="n">
        <v>0</v>
      </c>
      <c r="P948" t="n">
        <v>0</v>
      </c>
      <c r="Q948" t="n">
        <v>0</v>
      </c>
      <c r="R948" s="2" t="inlineStr"/>
    </row>
    <row r="949" ht="15" customHeight="1">
      <c r="A949" t="inlineStr">
        <is>
          <t>A 365-2026</t>
        </is>
      </c>
      <c r="B949" s="1" t="n">
        <v>46027.67851851852</v>
      </c>
      <c r="C949" s="1" t="n">
        <v>46032</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58392-2025</t>
        </is>
      </c>
      <c r="B950" s="1" t="n">
        <v>45985.55128472222</v>
      </c>
      <c r="C950" s="1" t="n">
        <v>46032</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58578-2025</t>
        </is>
      </c>
      <c r="B951" s="1" t="n">
        <v>45986.38496527778</v>
      </c>
      <c r="C951" s="1" t="n">
        <v>46032</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46319-2024</t>
        </is>
      </c>
      <c r="B952" s="1" t="n">
        <v>45581.760625</v>
      </c>
      <c r="C952" s="1" t="n">
        <v>46032</v>
      </c>
      <c r="D952" t="inlineStr">
        <is>
          <t>VÄRMLANDS LÄN</t>
        </is>
      </c>
      <c r="E952" t="inlineStr">
        <is>
          <t>ÅRJÄNG</t>
        </is>
      </c>
      <c r="G952" t="n">
        <v>5.5</v>
      </c>
      <c r="H952" t="n">
        <v>0</v>
      </c>
      <c r="I952" t="n">
        <v>0</v>
      </c>
      <c r="J952" t="n">
        <v>0</v>
      </c>
      <c r="K952" t="n">
        <v>0</v>
      </c>
      <c r="L952" t="n">
        <v>0</v>
      </c>
      <c r="M952" t="n">
        <v>0</v>
      </c>
      <c r="N952" t="n">
        <v>0</v>
      </c>
      <c r="O952" t="n">
        <v>0</v>
      </c>
      <c r="P952" t="n">
        <v>0</v>
      </c>
      <c r="Q952" t="n">
        <v>0</v>
      </c>
      <c r="R952" s="2" t="inlineStr"/>
    </row>
    <row r="953" ht="15" customHeight="1">
      <c r="A953" t="inlineStr">
        <is>
          <t>A 59617-2022</t>
        </is>
      </c>
      <c r="B953" s="1" t="n">
        <v>44907</v>
      </c>
      <c r="C953" s="1" t="n">
        <v>46032</v>
      </c>
      <c r="D953" t="inlineStr">
        <is>
          <t>VÄRMLANDS LÄN</t>
        </is>
      </c>
      <c r="E953" t="inlineStr">
        <is>
          <t>ÅRJÄNG</t>
        </is>
      </c>
      <c r="G953" t="n">
        <v>0.7</v>
      </c>
      <c r="H953" t="n">
        <v>0</v>
      </c>
      <c r="I953" t="n">
        <v>0</v>
      </c>
      <c r="J953" t="n">
        <v>0</v>
      </c>
      <c r="K953" t="n">
        <v>0</v>
      </c>
      <c r="L953" t="n">
        <v>0</v>
      </c>
      <c r="M953" t="n">
        <v>0</v>
      </c>
      <c r="N953" t="n">
        <v>0</v>
      </c>
      <c r="O953" t="n">
        <v>0</v>
      </c>
      <c r="P953" t="n">
        <v>0</v>
      </c>
      <c r="Q953" t="n">
        <v>0</v>
      </c>
      <c r="R953" s="2" t="inlineStr"/>
    </row>
    <row r="954" ht="15" customHeight="1">
      <c r="A954" t="inlineStr">
        <is>
          <t>A 73363-2021</t>
        </is>
      </c>
      <c r="B954" s="1" t="n">
        <v>44550</v>
      </c>
      <c r="C954" s="1" t="n">
        <v>46032</v>
      </c>
      <c r="D954" t="inlineStr">
        <is>
          <t>VÄRMLANDS LÄN</t>
        </is>
      </c>
      <c r="E954" t="inlineStr">
        <is>
          <t>ÅRJÄNG</t>
        </is>
      </c>
      <c r="G954" t="n">
        <v>11.5</v>
      </c>
      <c r="H954" t="n">
        <v>0</v>
      </c>
      <c r="I954" t="n">
        <v>0</v>
      </c>
      <c r="J954" t="n">
        <v>0</v>
      </c>
      <c r="K954" t="n">
        <v>0</v>
      </c>
      <c r="L954" t="n">
        <v>0</v>
      </c>
      <c r="M954" t="n">
        <v>0</v>
      </c>
      <c r="N954" t="n">
        <v>0</v>
      </c>
      <c r="O954" t="n">
        <v>0</v>
      </c>
      <c r="P954" t="n">
        <v>0</v>
      </c>
      <c r="Q954" t="n">
        <v>0</v>
      </c>
      <c r="R954" s="2" t="inlineStr"/>
    </row>
    <row r="955" ht="15" customHeight="1">
      <c r="A955" t="inlineStr">
        <is>
          <t>A 8831-2025</t>
        </is>
      </c>
      <c r="B955" s="1" t="n">
        <v>45712.90697916667</v>
      </c>
      <c r="C955" s="1" t="n">
        <v>46032</v>
      </c>
      <c r="D955" t="inlineStr">
        <is>
          <t>VÄRMLANDS LÄN</t>
        </is>
      </c>
      <c r="E955" t="inlineStr">
        <is>
          <t>ÅRJÄNG</t>
        </is>
      </c>
      <c r="G955" t="n">
        <v>32.9</v>
      </c>
      <c r="H955" t="n">
        <v>0</v>
      </c>
      <c r="I955" t="n">
        <v>0</v>
      </c>
      <c r="J955" t="n">
        <v>0</v>
      </c>
      <c r="K955" t="n">
        <v>0</v>
      </c>
      <c r="L955" t="n">
        <v>0</v>
      </c>
      <c r="M955" t="n">
        <v>0</v>
      </c>
      <c r="N955" t="n">
        <v>0</v>
      </c>
      <c r="O955" t="n">
        <v>0</v>
      </c>
      <c r="P955" t="n">
        <v>0</v>
      </c>
      <c r="Q955" t="n">
        <v>0</v>
      </c>
      <c r="R955" s="2" t="inlineStr"/>
    </row>
    <row r="956" ht="15" customHeight="1">
      <c r="A956" t="inlineStr">
        <is>
          <t>A 8834-2025</t>
        </is>
      </c>
      <c r="B956" s="1" t="n">
        <v>45712.921875</v>
      </c>
      <c r="C956" s="1" t="n">
        <v>46032</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397-2026</t>
        </is>
      </c>
      <c r="B957" s="1" t="n">
        <v>46028.62203703704</v>
      </c>
      <c r="C957" s="1" t="n">
        <v>46032</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449-2026</t>
        </is>
      </c>
      <c r="B958" s="1" t="n">
        <v>46029.35167824074</v>
      </c>
      <c r="C958" s="1" t="n">
        <v>46032</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35133-2024</t>
        </is>
      </c>
      <c r="B959" s="1" t="n">
        <v>45529</v>
      </c>
      <c r="C959" s="1" t="n">
        <v>46032</v>
      </c>
      <c r="D959" t="inlineStr">
        <is>
          <t>VÄRMLANDS LÄN</t>
        </is>
      </c>
      <c r="E959" t="inlineStr">
        <is>
          <t>ÅRJÄNG</t>
        </is>
      </c>
      <c r="G959" t="n">
        <v>10.2</v>
      </c>
      <c r="H959" t="n">
        <v>0</v>
      </c>
      <c r="I959" t="n">
        <v>0</v>
      </c>
      <c r="J959" t="n">
        <v>0</v>
      </c>
      <c r="K959" t="n">
        <v>0</v>
      </c>
      <c r="L959" t="n">
        <v>0</v>
      </c>
      <c r="M959" t="n">
        <v>0</v>
      </c>
      <c r="N959" t="n">
        <v>0</v>
      </c>
      <c r="O959" t="n">
        <v>0</v>
      </c>
      <c r="P959" t="n">
        <v>0</v>
      </c>
      <c r="Q959" t="n">
        <v>0</v>
      </c>
      <c r="R959" s="2" t="inlineStr"/>
    </row>
    <row r="960" ht="15" customHeight="1">
      <c r="A960" t="inlineStr">
        <is>
          <t>A 58571-2025</t>
        </is>
      </c>
      <c r="B960" s="1" t="n">
        <v>45986.37361111111</v>
      </c>
      <c r="C960" s="1" t="n">
        <v>46032</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58577-2025</t>
        </is>
      </c>
      <c r="B961" s="1" t="n">
        <v>45986.38273148148</v>
      </c>
      <c r="C961" s="1" t="n">
        <v>46032</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15148-2025</t>
        </is>
      </c>
      <c r="B962" s="1" t="n">
        <v>45744.45298611111</v>
      </c>
      <c r="C962" s="1" t="n">
        <v>46032</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60886-2023</t>
        </is>
      </c>
      <c r="B963" s="1" t="n">
        <v>45261</v>
      </c>
      <c r="C963" s="1" t="n">
        <v>46032</v>
      </c>
      <c r="D963" t="inlineStr">
        <is>
          <t>VÄRMLANDS LÄN</t>
        </is>
      </c>
      <c r="E963" t="inlineStr">
        <is>
          <t>ÅRJÄNG</t>
        </is>
      </c>
      <c r="G963" t="n">
        <v>2.9</v>
      </c>
      <c r="H963" t="n">
        <v>0</v>
      </c>
      <c r="I963" t="n">
        <v>0</v>
      </c>
      <c r="J963" t="n">
        <v>0</v>
      </c>
      <c r="K963" t="n">
        <v>0</v>
      </c>
      <c r="L963" t="n">
        <v>0</v>
      </c>
      <c r="M963" t="n">
        <v>0</v>
      </c>
      <c r="N963" t="n">
        <v>0</v>
      </c>
      <c r="O963" t="n">
        <v>0</v>
      </c>
      <c r="P963" t="n">
        <v>0</v>
      </c>
      <c r="Q963" t="n">
        <v>0</v>
      </c>
      <c r="R963" s="2" t="inlineStr"/>
    </row>
    <row r="964" ht="15" customHeight="1">
      <c r="A964" t="inlineStr">
        <is>
          <t>A 434-2026</t>
        </is>
      </c>
      <c r="B964" s="1" t="n">
        <v>46029.33444444444</v>
      </c>
      <c r="C964" s="1" t="n">
        <v>46032</v>
      </c>
      <c r="D964" t="inlineStr">
        <is>
          <t>VÄRMLANDS LÄN</t>
        </is>
      </c>
      <c r="E964" t="inlineStr">
        <is>
          <t>ÅRJÄNG</t>
        </is>
      </c>
      <c r="G964" t="n">
        <v>6.2</v>
      </c>
      <c r="H964" t="n">
        <v>0</v>
      </c>
      <c r="I964" t="n">
        <v>0</v>
      </c>
      <c r="J964" t="n">
        <v>0</v>
      </c>
      <c r="K964" t="n">
        <v>0</v>
      </c>
      <c r="L964" t="n">
        <v>0</v>
      </c>
      <c r="M964" t="n">
        <v>0</v>
      </c>
      <c r="N964" t="n">
        <v>0</v>
      </c>
      <c r="O964" t="n">
        <v>0</v>
      </c>
      <c r="P964" t="n">
        <v>0</v>
      </c>
      <c r="Q964" t="n">
        <v>0</v>
      </c>
      <c r="R964" s="2" t="inlineStr"/>
    </row>
    <row r="965" ht="15" customHeight="1">
      <c r="A965" t="inlineStr">
        <is>
          <t>A 53742-2024</t>
        </is>
      </c>
      <c r="B965" s="1" t="n">
        <v>45615.47130787037</v>
      </c>
      <c r="C965" s="1" t="n">
        <v>46032</v>
      </c>
      <c r="D965" t="inlineStr">
        <is>
          <t>VÄRMLANDS LÄN</t>
        </is>
      </c>
      <c r="E965" t="inlineStr">
        <is>
          <t>ÅRJÄNG</t>
        </is>
      </c>
      <c r="G965" t="n">
        <v>0.8</v>
      </c>
      <c r="H965" t="n">
        <v>0</v>
      </c>
      <c r="I965" t="n">
        <v>0</v>
      </c>
      <c r="J965" t="n">
        <v>0</v>
      </c>
      <c r="K965" t="n">
        <v>0</v>
      </c>
      <c r="L965" t="n">
        <v>0</v>
      </c>
      <c r="M965" t="n">
        <v>0</v>
      </c>
      <c r="N965" t="n">
        <v>0</v>
      </c>
      <c r="O965" t="n">
        <v>0</v>
      </c>
      <c r="P965" t="n">
        <v>0</v>
      </c>
      <c r="Q965" t="n">
        <v>0</v>
      </c>
      <c r="R965" s="2" t="inlineStr"/>
    </row>
    <row r="966" ht="15" customHeight="1">
      <c r="A966" t="inlineStr">
        <is>
          <t>A 65849-2021</t>
        </is>
      </c>
      <c r="B966" s="1" t="n">
        <v>44517</v>
      </c>
      <c r="C966" s="1" t="n">
        <v>46032</v>
      </c>
      <c r="D966" t="inlineStr">
        <is>
          <t>VÄRMLANDS LÄN</t>
        </is>
      </c>
      <c r="E966" t="inlineStr">
        <is>
          <t>ÅRJÄNG</t>
        </is>
      </c>
      <c r="G966" t="n">
        <v>3.3</v>
      </c>
      <c r="H966" t="n">
        <v>0</v>
      </c>
      <c r="I966" t="n">
        <v>0</v>
      </c>
      <c r="J966" t="n">
        <v>0</v>
      </c>
      <c r="K966" t="n">
        <v>0</v>
      </c>
      <c r="L966" t="n">
        <v>0</v>
      </c>
      <c r="M966" t="n">
        <v>0</v>
      </c>
      <c r="N966" t="n">
        <v>0</v>
      </c>
      <c r="O966" t="n">
        <v>0</v>
      </c>
      <c r="P966" t="n">
        <v>0</v>
      </c>
      <c r="Q966" t="n">
        <v>0</v>
      </c>
      <c r="R966" s="2" t="inlineStr"/>
    </row>
    <row r="967" ht="15" customHeight="1">
      <c r="A967" t="inlineStr">
        <is>
          <t>A 58573-2025</t>
        </is>
      </c>
      <c r="B967" s="1" t="n">
        <v>45986.37599537037</v>
      </c>
      <c r="C967" s="1" t="n">
        <v>46032</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20674-2023</t>
        </is>
      </c>
      <c r="B968" s="1" t="n">
        <v>45058</v>
      </c>
      <c r="C968" s="1" t="n">
        <v>46032</v>
      </c>
      <c r="D968" t="inlineStr">
        <is>
          <t>VÄRMLANDS LÄN</t>
        </is>
      </c>
      <c r="E968" t="inlineStr">
        <is>
          <t>ÅRJÄNG</t>
        </is>
      </c>
      <c r="G968" t="n">
        <v>11.1</v>
      </c>
      <c r="H968" t="n">
        <v>0</v>
      </c>
      <c r="I968" t="n">
        <v>0</v>
      </c>
      <c r="J968" t="n">
        <v>0</v>
      </c>
      <c r="K968" t="n">
        <v>0</v>
      </c>
      <c r="L968" t="n">
        <v>0</v>
      </c>
      <c r="M968" t="n">
        <v>0</v>
      </c>
      <c r="N968" t="n">
        <v>0</v>
      </c>
      <c r="O968" t="n">
        <v>0</v>
      </c>
      <c r="P968" t="n">
        <v>0</v>
      </c>
      <c r="Q968" t="n">
        <v>0</v>
      </c>
      <c r="R968" s="2" t="inlineStr"/>
    </row>
    <row r="969" ht="15" customHeight="1">
      <c r="A969" t="inlineStr">
        <is>
          <t>A 2551-2025</t>
        </is>
      </c>
      <c r="B969" s="1" t="n">
        <v>45674.63969907408</v>
      </c>
      <c r="C969" s="1" t="n">
        <v>46032</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15949-2025</t>
        </is>
      </c>
      <c r="B970" s="1" t="n">
        <v>45749</v>
      </c>
      <c r="C970" s="1" t="n">
        <v>46032</v>
      </c>
      <c r="D970" t="inlineStr">
        <is>
          <t>VÄRMLANDS LÄN</t>
        </is>
      </c>
      <c r="E970" t="inlineStr">
        <is>
          <t>ÅRJÄNG</t>
        </is>
      </c>
      <c r="F970" t="inlineStr">
        <is>
          <t>Bergvik skog väst AB</t>
        </is>
      </c>
      <c r="G970" t="n">
        <v>3.1</v>
      </c>
      <c r="H970" t="n">
        <v>0</v>
      </c>
      <c r="I970" t="n">
        <v>0</v>
      </c>
      <c r="J970" t="n">
        <v>0</v>
      </c>
      <c r="K970" t="n">
        <v>0</v>
      </c>
      <c r="L970" t="n">
        <v>0</v>
      </c>
      <c r="M970" t="n">
        <v>0</v>
      </c>
      <c r="N970" t="n">
        <v>0</v>
      </c>
      <c r="O970" t="n">
        <v>0</v>
      </c>
      <c r="P970" t="n">
        <v>0</v>
      </c>
      <c r="Q970" t="n">
        <v>0</v>
      </c>
      <c r="R970" s="2" t="inlineStr"/>
    </row>
    <row r="971" ht="15" customHeight="1">
      <c r="A971" t="inlineStr">
        <is>
          <t>A 483-2026</t>
        </is>
      </c>
      <c r="B971" s="1" t="n">
        <v>46029.40996527778</v>
      </c>
      <c r="C971" s="1" t="n">
        <v>46032</v>
      </c>
      <c r="D971" t="inlineStr">
        <is>
          <t>VÄRMLANDS LÄN</t>
        </is>
      </c>
      <c r="E971" t="inlineStr">
        <is>
          <t>ÅRJÄNG</t>
        </is>
      </c>
      <c r="G971" t="n">
        <v>0.6</v>
      </c>
      <c r="H971" t="n">
        <v>0</v>
      </c>
      <c r="I971" t="n">
        <v>0</v>
      </c>
      <c r="J971" t="n">
        <v>0</v>
      </c>
      <c r="K971" t="n">
        <v>0</v>
      </c>
      <c r="L971" t="n">
        <v>0</v>
      </c>
      <c r="M971" t="n">
        <v>0</v>
      </c>
      <c r="N971" t="n">
        <v>0</v>
      </c>
      <c r="O971" t="n">
        <v>0</v>
      </c>
      <c r="P971" t="n">
        <v>0</v>
      </c>
      <c r="Q971" t="n">
        <v>0</v>
      </c>
      <c r="R971" s="2" t="inlineStr"/>
    </row>
    <row r="972" ht="15" customHeight="1">
      <c r="A972" t="inlineStr">
        <is>
          <t>A 486-2026</t>
        </is>
      </c>
      <c r="B972" s="1" t="n">
        <v>46029.42121527778</v>
      </c>
      <c r="C972" s="1" t="n">
        <v>46032</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13155-2024</t>
        </is>
      </c>
      <c r="B973" s="1" t="n">
        <v>45386</v>
      </c>
      <c r="C973" s="1" t="n">
        <v>46032</v>
      </c>
      <c r="D973" t="inlineStr">
        <is>
          <t>VÄRMLANDS LÄN</t>
        </is>
      </c>
      <c r="E973" t="inlineStr">
        <is>
          <t>ÅRJÄNG</t>
        </is>
      </c>
      <c r="G973" t="n">
        <v>2.2</v>
      </c>
      <c r="H973" t="n">
        <v>0</v>
      </c>
      <c r="I973" t="n">
        <v>0</v>
      </c>
      <c r="J973" t="n">
        <v>0</v>
      </c>
      <c r="K973" t="n">
        <v>0</v>
      </c>
      <c r="L973" t="n">
        <v>0</v>
      </c>
      <c r="M973" t="n">
        <v>0</v>
      </c>
      <c r="N973" t="n">
        <v>0</v>
      </c>
      <c r="O973" t="n">
        <v>0</v>
      </c>
      <c r="P973" t="n">
        <v>0</v>
      </c>
      <c r="Q973" t="n">
        <v>0</v>
      </c>
      <c r="R973" s="2" t="inlineStr"/>
    </row>
    <row r="974" ht="15" customHeight="1">
      <c r="A974" t="inlineStr">
        <is>
          <t>A 951-2026</t>
        </is>
      </c>
      <c r="B974" s="1" t="n">
        <v>46030.54324074074</v>
      </c>
      <c r="C974" s="1" t="n">
        <v>46032</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15575-2025</t>
        </is>
      </c>
      <c r="B975" s="1" t="n">
        <v>45747</v>
      </c>
      <c r="C975" s="1" t="n">
        <v>46032</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15577-2025</t>
        </is>
      </c>
      <c r="B976" s="1" t="n">
        <v>45747</v>
      </c>
      <c r="C976" s="1" t="n">
        <v>46032</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42230-2024</t>
        </is>
      </c>
      <c r="B977" s="1" t="n">
        <v>45562</v>
      </c>
      <c r="C977" s="1" t="n">
        <v>46032</v>
      </c>
      <c r="D977" t="inlineStr">
        <is>
          <t>VÄRMLANDS LÄN</t>
        </is>
      </c>
      <c r="E977" t="inlineStr">
        <is>
          <t>ÅRJÄNG</t>
        </is>
      </c>
      <c r="G977" t="n">
        <v>8.6</v>
      </c>
      <c r="H977" t="n">
        <v>0</v>
      </c>
      <c r="I977" t="n">
        <v>0</v>
      </c>
      <c r="J977" t="n">
        <v>0</v>
      </c>
      <c r="K977" t="n">
        <v>0</v>
      </c>
      <c r="L977" t="n">
        <v>0</v>
      </c>
      <c r="M977" t="n">
        <v>0</v>
      </c>
      <c r="N977" t="n">
        <v>0</v>
      </c>
      <c r="O977" t="n">
        <v>0</v>
      </c>
      <c r="P977" t="n">
        <v>0</v>
      </c>
      <c r="Q977" t="n">
        <v>0</v>
      </c>
      <c r="R977" s="2" t="inlineStr"/>
    </row>
    <row r="978" ht="15" customHeight="1">
      <c r="A978" t="inlineStr">
        <is>
          <t>A 15327-2022</t>
        </is>
      </c>
      <c r="B978" s="1" t="n">
        <v>44659</v>
      </c>
      <c r="C978" s="1" t="n">
        <v>46032</v>
      </c>
      <c r="D978" t="inlineStr">
        <is>
          <t>VÄRMLANDS LÄN</t>
        </is>
      </c>
      <c r="E978" t="inlineStr">
        <is>
          <t>ÅRJÄNG</t>
        </is>
      </c>
      <c r="G978" t="n">
        <v>4</v>
      </c>
      <c r="H978" t="n">
        <v>0</v>
      </c>
      <c r="I978" t="n">
        <v>0</v>
      </c>
      <c r="J978" t="n">
        <v>0</v>
      </c>
      <c r="K978" t="n">
        <v>0</v>
      </c>
      <c r="L978" t="n">
        <v>0</v>
      </c>
      <c r="M978" t="n">
        <v>0</v>
      </c>
      <c r="N978" t="n">
        <v>0</v>
      </c>
      <c r="O978" t="n">
        <v>0</v>
      </c>
      <c r="P978" t="n">
        <v>0</v>
      </c>
      <c r="Q978" t="n">
        <v>0</v>
      </c>
      <c r="R978" s="2" t="inlineStr"/>
    </row>
    <row r="979" ht="15" customHeight="1">
      <c r="A979" t="inlineStr">
        <is>
          <t>A 63830-2025</t>
        </is>
      </c>
      <c r="B979" s="1" t="n">
        <v>46020</v>
      </c>
      <c r="C979" s="1" t="n">
        <v>46032</v>
      </c>
      <c r="D979" t="inlineStr">
        <is>
          <t>VÄRMLANDS LÄN</t>
        </is>
      </c>
      <c r="E979" t="inlineStr">
        <is>
          <t>ÅRJÄNG</t>
        </is>
      </c>
      <c r="G979" t="n">
        <v>7.3</v>
      </c>
      <c r="H979" t="n">
        <v>0</v>
      </c>
      <c r="I979" t="n">
        <v>0</v>
      </c>
      <c r="J979" t="n">
        <v>0</v>
      </c>
      <c r="K979" t="n">
        <v>0</v>
      </c>
      <c r="L979" t="n">
        <v>0</v>
      </c>
      <c r="M979" t="n">
        <v>0</v>
      </c>
      <c r="N979" t="n">
        <v>0</v>
      </c>
      <c r="O979" t="n">
        <v>0</v>
      </c>
      <c r="P979" t="n">
        <v>0</v>
      </c>
      <c r="Q979" t="n">
        <v>0</v>
      </c>
      <c r="R979" s="2" t="inlineStr"/>
    </row>
    <row r="980" ht="15" customHeight="1">
      <c r="A980" t="inlineStr">
        <is>
          <t>A 49673-2022</t>
        </is>
      </c>
      <c r="B980" s="1" t="n">
        <v>44862.47881944444</v>
      </c>
      <c r="C980" s="1" t="n">
        <v>46032</v>
      </c>
      <c r="D980" t="inlineStr">
        <is>
          <t>VÄRMLANDS LÄN</t>
        </is>
      </c>
      <c r="E980" t="inlineStr">
        <is>
          <t>ÅRJÄNG</t>
        </is>
      </c>
      <c r="G980" t="n">
        <v>2.1</v>
      </c>
      <c r="H980" t="n">
        <v>0</v>
      </c>
      <c r="I980" t="n">
        <v>0</v>
      </c>
      <c r="J980" t="n">
        <v>0</v>
      </c>
      <c r="K980" t="n">
        <v>0</v>
      </c>
      <c r="L980" t="n">
        <v>0</v>
      </c>
      <c r="M980" t="n">
        <v>0</v>
      </c>
      <c r="N980" t="n">
        <v>0</v>
      </c>
      <c r="O980" t="n">
        <v>0</v>
      </c>
      <c r="P980" t="n">
        <v>0</v>
      </c>
      <c r="Q980" t="n">
        <v>0</v>
      </c>
      <c r="R980" s="2" t="inlineStr"/>
    </row>
    <row r="981" ht="15" customHeight="1">
      <c r="A981" t="inlineStr">
        <is>
          <t>A 56778-2024</t>
        </is>
      </c>
      <c r="B981" s="1" t="n">
        <v>45628</v>
      </c>
      <c r="C981" s="1" t="n">
        <v>46032</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1257-2026</t>
        </is>
      </c>
      <c r="B982" s="1" t="n">
        <v>46031.44703703704</v>
      </c>
      <c r="C982" s="1" t="n">
        <v>46032</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44417-2021</t>
        </is>
      </c>
      <c r="B983" s="1" t="n">
        <v>44435.50591435185</v>
      </c>
      <c r="C983" s="1" t="n">
        <v>46032</v>
      </c>
      <c r="D983" t="inlineStr">
        <is>
          <t>VÄRMLANDS LÄN</t>
        </is>
      </c>
      <c r="E983" t="inlineStr">
        <is>
          <t>ÅRJÄNG</t>
        </is>
      </c>
      <c r="G983" t="n">
        <v>32.2</v>
      </c>
      <c r="H983" t="n">
        <v>0</v>
      </c>
      <c r="I983" t="n">
        <v>0</v>
      </c>
      <c r="J983" t="n">
        <v>0</v>
      </c>
      <c r="K983" t="n">
        <v>0</v>
      </c>
      <c r="L983" t="n">
        <v>0</v>
      </c>
      <c r="M983" t="n">
        <v>0</v>
      </c>
      <c r="N983" t="n">
        <v>0</v>
      </c>
      <c r="O983" t="n">
        <v>0</v>
      </c>
      <c r="P983" t="n">
        <v>0</v>
      </c>
      <c r="Q983" t="n">
        <v>0</v>
      </c>
      <c r="R983" s="2" t="inlineStr"/>
    </row>
    <row r="984" ht="15" customHeight="1">
      <c r="A984" t="inlineStr">
        <is>
          <t>A 13869-2025</t>
        </is>
      </c>
      <c r="B984" s="1" t="n">
        <v>45737.58268518518</v>
      </c>
      <c r="C984" s="1" t="n">
        <v>46032</v>
      </c>
      <c r="D984" t="inlineStr">
        <is>
          <t>VÄRMLANDS LÄN</t>
        </is>
      </c>
      <c r="E984" t="inlineStr">
        <is>
          <t>ÅRJÄNG</t>
        </is>
      </c>
      <c r="G984" t="n">
        <v>0.5</v>
      </c>
      <c r="H984" t="n">
        <v>0</v>
      </c>
      <c r="I984" t="n">
        <v>0</v>
      </c>
      <c r="J984" t="n">
        <v>0</v>
      </c>
      <c r="K984" t="n">
        <v>0</v>
      </c>
      <c r="L984" t="n">
        <v>0</v>
      </c>
      <c r="M984" t="n">
        <v>0</v>
      </c>
      <c r="N984" t="n">
        <v>0</v>
      </c>
      <c r="O984" t="n">
        <v>0</v>
      </c>
      <c r="P984" t="n">
        <v>0</v>
      </c>
      <c r="Q984" t="n">
        <v>0</v>
      </c>
      <c r="R984" s="2" t="inlineStr"/>
    </row>
    <row r="985" ht="15" customHeight="1">
      <c r="A985" t="inlineStr">
        <is>
          <t>A 37122-2022</t>
        </is>
      </c>
      <c r="B985" s="1" t="n">
        <v>44806</v>
      </c>
      <c r="C985" s="1" t="n">
        <v>46032</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1211-2026</t>
        </is>
      </c>
      <c r="B986" s="1" t="n">
        <v>46030</v>
      </c>
      <c r="C986" s="1" t="n">
        <v>46032</v>
      </c>
      <c r="D986" t="inlineStr">
        <is>
          <t>VÄRMLANDS LÄN</t>
        </is>
      </c>
      <c r="E986" t="inlineStr">
        <is>
          <t>ÅRJÄNG</t>
        </is>
      </c>
      <c r="F986" t="inlineStr">
        <is>
          <t>Övriga Aktiebolag</t>
        </is>
      </c>
      <c r="G986" t="n">
        <v>2.3</v>
      </c>
      <c r="H986" t="n">
        <v>0</v>
      </c>
      <c r="I986" t="n">
        <v>0</v>
      </c>
      <c r="J986" t="n">
        <v>0</v>
      </c>
      <c r="K986" t="n">
        <v>0</v>
      </c>
      <c r="L986" t="n">
        <v>0</v>
      </c>
      <c r="M986" t="n">
        <v>0</v>
      </c>
      <c r="N986" t="n">
        <v>0</v>
      </c>
      <c r="O986" t="n">
        <v>0</v>
      </c>
      <c r="P986" t="n">
        <v>0</v>
      </c>
      <c r="Q986" t="n">
        <v>0</v>
      </c>
      <c r="R986" s="2" t="inlineStr"/>
    </row>
    <row r="987" ht="15" customHeight="1">
      <c r="A987" t="inlineStr">
        <is>
          <t>A 56329-2024</t>
        </is>
      </c>
      <c r="B987" s="1" t="n">
        <v>45624.79435185185</v>
      </c>
      <c r="C987" s="1" t="n">
        <v>46032</v>
      </c>
      <c r="D987" t="inlineStr">
        <is>
          <t>VÄRMLANDS LÄN</t>
        </is>
      </c>
      <c r="E987" t="inlineStr">
        <is>
          <t>ÅRJÄNG</t>
        </is>
      </c>
      <c r="G987" t="n">
        <v>4.6</v>
      </c>
      <c r="H987" t="n">
        <v>0</v>
      </c>
      <c r="I987" t="n">
        <v>0</v>
      </c>
      <c r="J987" t="n">
        <v>0</v>
      </c>
      <c r="K987" t="n">
        <v>0</v>
      </c>
      <c r="L987" t="n">
        <v>0</v>
      </c>
      <c r="M987" t="n">
        <v>0</v>
      </c>
      <c r="N987" t="n">
        <v>0</v>
      </c>
      <c r="O987" t="n">
        <v>0</v>
      </c>
      <c r="P987" t="n">
        <v>0</v>
      </c>
      <c r="Q987" t="n">
        <v>0</v>
      </c>
      <c r="R987" s="2" t="inlineStr"/>
    </row>
    <row r="988" ht="15" customHeight="1">
      <c r="A988" t="inlineStr">
        <is>
          <t>A 947-2026</t>
        </is>
      </c>
      <c r="B988" s="1" t="n">
        <v>46030.53958333333</v>
      </c>
      <c r="C988" s="1" t="n">
        <v>46032</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58971-2025</t>
        </is>
      </c>
      <c r="B989" s="1" t="n">
        <v>45987</v>
      </c>
      <c r="C989" s="1" t="n">
        <v>46032</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58924-2025</t>
        </is>
      </c>
      <c r="B990" s="1" t="n">
        <v>45986</v>
      </c>
      <c r="C990" s="1" t="n">
        <v>46032</v>
      </c>
      <c r="D990" t="inlineStr">
        <is>
          <t>VÄRMLANDS LÄN</t>
        </is>
      </c>
      <c r="E990" t="inlineStr">
        <is>
          <t>ÅRJÄNG</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34205-2025</t>
        </is>
      </c>
      <c r="B991" s="1" t="n">
        <v>45845</v>
      </c>
      <c r="C991" s="1" t="n">
        <v>46032</v>
      </c>
      <c r="D991" t="inlineStr">
        <is>
          <t>VÄRMLANDS LÄN</t>
        </is>
      </c>
      <c r="E991" t="inlineStr">
        <is>
          <t>ÅRJÄNG</t>
        </is>
      </c>
      <c r="G991" t="n">
        <v>4.4</v>
      </c>
      <c r="H991" t="n">
        <v>0</v>
      </c>
      <c r="I991" t="n">
        <v>0</v>
      </c>
      <c r="J991" t="n">
        <v>0</v>
      </c>
      <c r="K991" t="n">
        <v>0</v>
      </c>
      <c r="L991" t="n">
        <v>0</v>
      </c>
      <c r="M991" t="n">
        <v>0</v>
      </c>
      <c r="N991" t="n">
        <v>0</v>
      </c>
      <c r="O991" t="n">
        <v>0</v>
      </c>
      <c r="P991" t="n">
        <v>0</v>
      </c>
      <c r="Q991" t="n">
        <v>0</v>
      </c>
      <c r="R991" s="2" t="inlineStr"/>
    </row>
    <row r="992" ht="15" customHeight="1">
      <c r="A992" t="inlineStr">
        <is>
          <t>A 33831-2023</t>
        </is>
      </c>
      <c r="B992" s="1" t="n">
        <v>45121</v>
      </c>
      <c r="C992" s="1" t="n">
        <v>46032</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30346-2022</t>
        </is>
      </c>
      <c r="B993" s="1" t="n">
        <v>44760.55734953703</v>
      </c>
      <c r="C993" s="1" t="n">
        <v>46032</v>
      </c>
      <c r="D993" t="inlineStr">
        <is>
          <t>VÄRMLANDS LÄN</t>
        </is>
      </c>
      <c r="E993" t="inlineStr">
        <is>
          <t>ÅRJÄNG</t>
        </is>
      </c>
      <c r="G993" t="n">
        <v>6</v>
      </c>
      <c r="H993" t="n">
        <v>0</v>
      </c>
      <c r="I993" t="n">
        <v>0</v>
      </c>
      <c r="J993" t="n">
        <v>0</v>
      </c>
      <c r="K993" t="n">
        <v>0</v>
      </c>
      <c r="L993" t="n">
        <v>0</v>
      </c>
      <c r="M993" t="n">
        <v>0</v>
      </c>
      <c r="N993" t="n">
        <v>0</v>
      </c>
      <c r="O993" t="n">
        <v>0</v>
      </c>
      <c r="P993" t="n">
        <v>0</v>
      </c>
      <c r="Q993" t="n">
        <v>0</v>
      </c>
      <c r="R993" s="2" t="inlineStr"/>
    </row>
    <row r="994" ht="15" customHeight="1">
      <c r="A994" t="inlineStr">
        <is>
          <t>A 1324-2026</t>
        </is>
      </c>
      <c r="B994" s="1" t="n">
        <v>46031.5496412037</v>
      </c>
      <c r="C994" s="1" t="n">
        <v>46032</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16012-2024</t>
        </is>
      </c>
      <c r="B995" s="1" t="n">
        <v>45405.6524074074</v>
      </c>
      <c r="C995" s="1" t="n">
        <v>46032</v>
      </c>
      <c r="D995" t="inlineStr">
        <is>
          <t>VÄRMLANDS LÄN</t>
        </is>
      </c>
      <c r="E995" t="inlineStr">
        <is>
          <t>ÅRJÄNG</t>
        </is>
      </c>
      <c r="G995" t="n">
        <v>6.1</v>
      </c>
      <c r="H995" t="n">
        <v>0</v>
      </c>
      <c r="I995" t="n">
        <v>0</v>
      </c>
      <c r="J995" t="n">
        <v>0</v>
      </c>
      <c r="K995" t="n">
        <v>0</v>
      </c>
      <c r="L995" t="n">
        <v>0</v>
      </c>
      <c r="M995" t="n">
        <v>0</v>
      </c>
      <c r="N995" t="n">
        <v>0</v>
      </c>
      <c r="O995" t="n">
        <v>0</v>
      </c>
      <c r="P995" t="n">
        <v>0</v>
      </c>
      <c r="Q995" t="n">
        <v>0</v>
      </c>
      <c r="R995" s="2" t="inlineStr"/>
    </row>
    <row r="996" ht="15" customHeight="1">
      <c r="A996" t="inlineStr">
        <is>
          <t>A 63836-2025</t>
        </is>
      </c>
      <c r="B996" s="1" t="n">
        <v>46020</v>
      </c>
      <c r="C996" s="1" t="n">
        <v>46032</v>
      </c>
      <c r="D996" t="inlineStr">
        <is>
          <t>VÄRMLANDS LÄN</t>
        </is>
      </c>
      <c r="E996" t="inlineStr">
        <is>
          <t>ÅRJÄNG</t>
        </is>
      </c>
      <c r="G996" t="n">
        <v>12.7</v>
      </c>
      <c r="H996" t="n">
        <v>0</v>
      </c>
      <c r="I996" t="n">
        <v>0</v>
      </c>
      <c r="J996" t="n">
        <v>0</v>
      </c>
      <c r="K996" t="n">
        <v>0</v>
      </c>
      <c r="L996" t="n">
        <v>0</v>
      </c>
      <c r="M996" t="n">
        <v>0</v>
      </c>
      <c r="N996" t="n">
        <v>0</v>
      </c>
      <c r="O996" t="n">
        <v>0</v>
      </c>
      <c r="P996" t="n">
        <v>0</v>
      </c>
      <c r="Q996" t="n">
        <v>0</v>
      </c>
      <c r="R996" s="2" t="inlineStr"/>
    </row>
    <row r="997" ht="15" customHeight="1">
      <c r="A997" t="inlineStr">
        <is>
          <t>A 12740-2025</t>
        </is>
      </c>
      <c r="B997" s="1" t="n">
        <v>45733</v>
      </c>
      <c r="C997" s="1" t="n">
        <v>46032</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1158-2026</t>
        </is>
      </c>
      <c r="B998" s="1" t="n">
        <v>46031.32700231481</v>
      </c>
      <c r="C998" s="1" t="n">
        <v>46032</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61913-2024</t>
        </is>
      </c>
      <c r="B999" s="1" t="n">
        <v>45653.38708333333</v>
      </c>
      <c r="C999" s="1" t="n">
        <v>46032</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54950-2022</t>
        </is>
      </c>
      <c r="B1000" s="1" t="n">
        <v>44886</v>
      </c>
      <c r="C1000" s="1" t="n">
        <v>46032</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6962-2025</t>
        </is>
      </c>
      <c r="B1001" s="1" t="n">
        <v>45701</v>
      </c>
      <c r="C1001" s="1" t="n">
        <v>46032</v>
      </c>
      <c r="D1001" t="inlineStr">
        <is>
          <t>VÄRMLANDS LÄN</t>
        </is>
      </c>
      <c r="E1001" t="inlineStr">
        <is>
          <t>ÅRJÄNG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54335-2021</t>
        </is>
      </c>
      <c r="B1002" s="1" t="n">
        <v>44472.93063657408</v>
      </c>
      <c r="C1002" s="1" t="n">
        <v>46032</v>
      </c>
      <c r="D1002" t="inlineStr">
        <is>
          <t>VÄRMLANDS LÄN</t>
        </is>
      </c>
      <c r="E1002" t="inlineStr">
        <is>
          <t>ÅRJÄNG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38433-2024</t>
        </is>
      </c>
      <c r="B1003" s="1" t="n">
        <v>45546</v>
      </c>
      <c r="C1003" s="1" t="n">
        <v>46032</v>
      </c>
      <c r="D1003" t="inlineStr">
        <is>
          <t>VÄRMLANDS LÄN</t>
        </is>
      </c>
      <c r="E1003" t="inlineStr">
        <is>
          <t>ÅRJÄNG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60930-2021</t>
        </is>
      </c>
      <c r="B1004" s="1" t="n">
        <v>44497.46921296296</v>
      </c>
      <c r="C1004" s="1" t="n">
        <v>46032</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15616-2023</t>
        </is>
      </c>
      <c r="B1005" s="1" t="n">
        <v>45020.88847222222</v>
      </c>
      <c r="C1005" s="1" t="n">
        <v>46032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18309-2025</t>
        </is>
      </c>
      <c r="B1006" s="1" t="n">
        <v>45762.44186342593</v>
      </c>
      <c r="C1006" s="1" t="n">
        <v>46032</v>
      </c>
      <c r="D1006" t="inlineStr">
        <is>
          <t>VÄRMLANDS LÄN</t>
        </is>
      </c>
      <c r="E1006" t="inlineStr">
        <is>
          <t>ÅRJÄNG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38158-2023</t>
        </is>
      </c>
      <c r="B1007" s="1" t="n">
        <v>45161</v>
      </c>
      <c r="C1007" s="1" t="n">
        <v>46032</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65837-2021</t>
        </is>
      </c>
      <c r="B1008" s="1" t="n">
        <v>44517.35402777778</v>
      </c>
      <c r="C1008" s="1" t="n">
        <v>46032</v>
      </c>
      <c r="D1008" t="inlineStr">
        <is>
          <t>VÄRMLANDS LÄN</t>
        </is>
      </c>
      <c r="E1008" t="inlineStr">
        <is>
          <t>ÅRJÄNG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73623-2021</t>
        </is>
      </c>
      <c r="B1009" s="1" t="n">
        <v>44552</v>
      </c>
      <c r="C1009" s="1" t="n">
        <v>46032</v>
      </c>
      <c r="D1009" t="inlineStr">
        <is>
          <t>VÄRMLANDS LÄN</t>
        </is>
      </c>
      <c r="E1009" t="inlineStr">
        <is>
          <t>ÅRJÄNG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34580-2023</t>
        </is>
      </c>
      <c r="B1010" s="1" t="n">
        <v>45135</v>
      </c>
      <c r="C1010" s="1" t="n">
        <v>46032</v>
      </c>
      <c r="D1010" t="inlineStr">
        <is>
          <t>VÄRMLANDS LÄN</t>
        </is>
      </c>
      <c r="E1010" t="inlineStr">
        <is>
          <t>ÅRJÄNG</t>
        </is>
      </c>
      <c r="F1010" t="inlineStr">
        <is>
          <t>Övriga Aktiebolag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11704-2025</t>
        </is>
      </c>
      <c r="B1011" s="1" t="n">
        <v>45727.57896990741</v>
      </c>
      <c r="C1011" s="1" t="n">
        <v>46032</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21443-2022</t>
        </is>
      </c>
      <c r="B1012" s="1" t="n">
        <v>44706.35293981482</v>
      </c>
      <c r="C1012" s="1" t="n">
        <v>46032</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43027-2021</t>
        </is>
      </c>
      <c r="B1013" s="1" t="n">
        <v>44431.49119212963</v>
      </c>
      <c r="C1013" s="1" t="n">
        <v>46032</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43029-2021</t>
        </is>
      </c>
      <c r="B1014" s="1" t="n">
        <v>44431.49302083333</v>
      </c>
      <c r="C1014" s="1" t="n">
        <v>46032</v>
      </c>
      <c r="D1014" t="inlineStr">
        <is>
          <t>VÄRMLANDS LÄN</t>
        </is>
      </c>
      <c r="E1014" t="inlineStr">
        <is>
          <t>ÅRJÄNG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1912-2024</t>
        </is>
      </c>
      <c r="B1015" s="1" t="n">
        <v>45308</v>
      </c>
      <c r="C1015" s="1" t="n">
        <v>46032</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53554-2023</t>
        </is>
      </c>
      <c r="B1016" s="1" t="n">
        <v>45230</v>
      </c>
      <c r="C1016" s="1" t="n">
        <v>46032</v>
      </c>
      <c r="D1016" t="inlineStr">
        <is>
          <t>VÄRMLANDS LÄN</t>
        </is>
      </c>
      <c r="E1016" t="inlineStr">
        <is>
          <t>ÅRJÄNG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8255-2025</t>
        </is>
      </c>
      <c r="B1017" s="1" t="n">
        <v>45708.49788194444</v>
      </c>
      <c r="C1017" s="1" t="n">
        <v>46032</v>
      </c>
      <c r="D1017" t="inlineStr">
        <is>
          <t>VÄRMLANDS LÄN</t>
        </is>
      </c>
      <c r="E1017" t="inlineStr">
        <is>
          <t>ÅRJÄNG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18256-2024</t>
        </is>
      </c>
      <c r="B1018" s="1" t="n">
        <v>45421.52498842592</v>
      </c>
      <c r="C1018" s="1" t="n">
        <v>46032</v>
      </c>
      <c r="D1018" t="inlineStr">
        <is>
          <t>VÄRMLANDS LÄN</t>
        </is>
      </c>
      <c r="E1018" t="inlineStr">
        <is>
          <t>ÅRJÄNG</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9489-2023</t>
        </is>
      </c>
      <c r="B1019" s="1" t="n">
        <v>44981</v>
      </c>
      <c r="C1019" s="1" t="n">
        <v>46032</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51260-2024</t>
        </is>
      </c>
      <c r="B1020" s="1" t="n">
        <v>45602</v>
      </c>
      <c r="C1020" s="1" t="n">
        <v>46032</v>
      </c>
      <c r="D1020" t="inlineStr">
        <is>
          <t>VÄRMLANDS LÄN</t>
        </is>
      </c>
      <c r="E1020" t="inlineStr">
        <is>
          <t>ÅRJÄNG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56644-2024</t>
        </is>
      </c>
      <c r="B1021" s="1" t="n">
        <v>45625</v>
      </c>
      <c r="C1021" s="1" t="n">
        <v>46032</v>
      </c>
      <c r="D1021" t="inlineStr">
        <is>
          <t>VÄRMLANDS LÄN</t>
        </is>
      </c>
      <c r="E1021" t="inlineStr">
        <is>
          <t>ÅRJÄNG</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54382-2024</t>
        </is>
      </c>
      <c r="B1022" s="1" t="n">
        <v>45617.44510416667</v>
      </c>
      <c r="C1022" s="1" t="n">
        <v>46032</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58769-2024</t>
        </is>
      </c>
      <c r="B1023" s="1" t="n">
        <v>45635.75688657408</v>
      </c>
      <c r="C1023" s="1" t="n">
        <v>46032</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51895-2022</t>
        </is>
      </c>
      <c r="B1024" s="1" t="n">
        <v>44872.61237268519</v>
      </c>
      <c r="C1024" s="1" t="n">
        <v>46032</v>
      </c>
      <c r="D1024" t="inlineStr">
        <is>
          <t>VÄRMLANDS LÄN</t>
        </is>
      </c>
      <c r="E1024" t="inlineStr">
        <is>
          <t>ÅRJÄNG</t>
        </is>
      </c>
      <c r="F1024" t="inlineStr">
        <is>
          <t>Kyrkan</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56342-2024</t>
        </is>
      </c>
      <c r="B1025" s="1" t="n">
        <v>45624</v>
      </c>
      <c r="C1025" s="1" t="n">
        <v>46032</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56347-2024</t>
        </is>
      </c>
      <c r="B1026" s="1" t="n">
        <v>45624</v>
      </c>
      <c r="C1026" s="1" t="n">
        <v>46032</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43040-2023</t>
        </is>
      </c>
      <c r="B1027" s="1" t="n">
        <v>45182.68716435185</v>
      </c>
      <c r="C1027" s="1" t="n">
        <v>46032</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13160-2022</t>
        </is>
      </c>
      <c r="B1028" s="1" t="n">
        <v>44644.43545138889</v>
      </c>
      <c r="C1028" s="1" t="n">
        <v>46032</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20372-2025</t>
        </is>
      </c>
      <c r="B1029" s="1" t="n">
        <v>45775.42027777778</v>
      </c>
      <c r="C1029" s="1" t="n">
        <v>46032</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41205-2024</t>
        </is>
      </c>
      <c r="B1030" s="1" t="n">
        <v>45559</v>
      </c>
      <c r="C1030" s="1" t="n">
        <v>46032</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8601-2022</t>
        </is>
      </c>
      <c r="B1031" s="1" t="n">
        <v>44613.57193287037</v>
      </c>
      <c r="C1031" s="1" t="n">
        <v>46032</v>
      </c>
      <c r="D1031" t="inlineStr">
        <is>
          <t>VÄRMLANDS LÄN</t>
        </is>
      </c>
      <c r="E1031" t="inlineStr">
        <is>
          <t>ÅRJÄNG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1580-2025</t>
        </is>
      </c>
      <c r="B1032" s="1" t="n">
        <v>45670</v>
      </c>
      <c r="C1032" s="1" t="n">
        <v>46032</v>
      </c>
      <c r="D1032" t="inlineStr">
        <is>
          <t>VÄRMLANDS LÄN</t>
        </is>
      </c>
      <c r="E1032" t="inlineStr">
        <is>
          <t>ÅRJÄNG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14788-2025</t>
        </is>
      </c>
      <c r="B1033" s="1" t="n">
        <v>45742.78112268518</v>
      </c>
      <c r="C1033" s="1" t="n">
        <v>46032</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15546-2025</t>
        </is>
      </c>
      <c r="B1034" s="1" t="n">
        <v>45747</v>
      </c>
      <c r="C1034" s="1" t="n">
        <v>46032</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56940-2024</t>
        </is>
      </c>
      <c r="B1035" s="1" t="n">
        <v>45628.61755787037</v>
      </c>
      <c r="C1035" s="1" t="n">
        <v>46032</v>
      </c>
      <c r="D1035" t="inlineStr">
        <is>
          <t>VÄRMLANDS LÄN</t>
        </is>
      </c>
      <c r="E1035" t="inlineStr">
        <is>
          <t>ÅRJÄNG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52741-2024</t>
        </is>
      </c>
      <c r="B1036" s="1" t="n">
        <v>45610</v>
      </c>
      <c r="C1036" s="1" t="n">
        <v>46032</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50301-2024</t>
        </is>
      </c>
      <c r="B1037" s="1" t="n">
        <v>45600</v>
      </c>
      <c r="C1037" s="1" t="n">
        <v>46032</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12006-2023</t>
        </is>
      </c>
      <c r="B1038" s="1" t="n">
        <v>44995.61495370371</v>
      </c>
      <c r="C1038" s="1" t="n">
        <v>46032</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16519-2025</t>
        </is>
      </c>
      <c r="B1039" s="1" t="n">
        <v>45751</v>
      </c>
      <c r="C1039" s="1" t="n">
        <v>46032</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10648-2023</t>
        </is>
      </c>
      <c r="B1040" s="1" t="n">
        <v>44984</v>
      </c>
      <c r="C1040" s="1" t="n">
        <v>46032</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60191-2023</t>
        </is>
      </c>
      <c r="B1041" s="1" t="n">
        <v>45257</v>
      </c>
      <c r="C1041" s="1" t="n">
        <v>46032</v>
      </c>
      <c r="D1041" t="inlineStr">
        <is>
          <t>VÄRMLANDS LÄN</t>
        </is>
      </c>
      <c r="E1041" t="inlineStr">
        <is>
          <t>ÅRJÄNG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1602-2025</t>
        </is>
      </c>
      <c r="B1042" s="1" t="n">
        <v>45670.59069444444</v>
      </c>
      <c r="C1042" s="1" t="n">
        <v>46032</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18389-2022</t>
        </is>
      </c>
      <c r="B1043" s="1" t="n">
        <v>44685</v>
      </c>
      <c r="C1043" s="1" t="n">
        <v>46032</v>
      </c>
      <c r="D1043" t="inlineStr">
        <is>
          <t>VÄRMLANDS LÄN</t>
        </is>
      </c>
      <c r="E1043" t="inlineStr">
        <is>
          <t>ÅRJÄNG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57651-2024</t>
        </is>
      </c>
      <c r="B1044" s="1" t="n">
        <v>45630</v>
      </c>
      <c r="C1044" s="1" t="n">
        <v>46032</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42149-2024</t>
        </is>
      </c>
      <c r="B1045" s="1" t="n">
        <v>45562.44591435185</v>
      </c>
      <c r="C1045" s="1" t="n">
        <v>46032</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46096-2021</t>
        </is>
      </c>
      <c r="B1046" s="1" t="n">
        <v>44442</v>
      </c>
      <c r="C1046" s="1" t="n">
        <v>46032</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39434-2023</t>
        </is>
      </c>
      <c r="B1047" s="1" t="n">
        <v>45166.69690972222</v>
      </c>
      <c r="C1047" s="1" t="n">
        <v>46032</v>
      </c>
      <c r="D1047" t="inlineStr">
        <is>
          <t>VÄRMLANDS LÄN</t>
        </is>
      </c>
      <c r="E1047" t="inlineStr">
        <is>
          <t>ÅRJÄNG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55091-2023</t>
        </is>
      </c>
      <c r="B1048" s="1" t="n">
        <v>45237</v>
      </c>
      <c r="C1048" s="1" t="n">
        <v>46032</v>
      </c>
      <c r="D1048" t="inlineStr">
        <is>
          <t>VÄRMLANDS LÄN</t>
        </is>
      </c>
      <c r="E1048" t="inlineStr">
        <is>
          <t>ÅRJÄNG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47623-2024</t>
        </is>
      </c>
      <c r="B1049" s="1" t="n">
        <v>45588.33216435185</v>
      </c>
      <c r="C1049" s="1" t="n">
        <v>46032</v>
      </c>
      <c r="D1049" t="inlineStr">
        <is>
          <t>VÄRMLANDS LÄN</t>
        </is>
      </c>
      <c r="E1049" t="inlineStr">
        <is>
          <t>ÅRJÄNG</t>
        </is>
      </c>
      <c r="F1049" t="inlineStr">
        <is>
          <t>Kommuner</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56314-2024</t>
        </is>
      </c>
      <c r="B1050" s="1" t="n">
        <v>45624.72149305556</v>
      </c>
      <c r="C1050" s="1" t="n">
        <v>46032</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56333-2024</t>
        </is>
      </c>
      <c r="B1051" s="1" t="n">
        <v>45624.8005324074</v>
      </c>
      <c r="C1051" s="1" t="n">
        <v>46032</v>
      </c>
      <c r="D1051" t="inlineStr">
        <is>
          <t>VÄRMLANDS LÄN</t>
        </is>
      </c>
      <c r="E1051" t="inlineStr">
        <is>
          <t>ÅRJÄNG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99-2025</t>
        </is>
      </c>
      <c r="B1052" s="1" t="n">
        <v>45649</v>
      </c>
      <c r="C1052" s="1" t="n">
        <v>46032</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59887-2023</t>
        </is>
      </c>
      <c r="B1053" s="1" t="n">
        <v>45257.59917824074</v>
      </c>
      <c r="C1053" s="1" t="n">
        <v>46032</v>
      </c>
      <c r="D1053" t="inlineStr">
        <is>
          <t>VÄRMLANDS LÄN</t>
        </is>
      </c>
      <c r="E1053" t="inlineStr">
        <is>
          <t>ÅRJÄNG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58014-2022</t>
        </is>
      </c>
      <c r="B1054" s="1" t="n">
        <v>44893</v>
      </c>
      <c r="C1054" s="1" t="n">
        <v>46032</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3729-2025</t>
        </is>
      </c>
      <c r="B1055" s="1" t="n">
        <v>45681.5497800926</v>
      </c>
      <c r="C1055" s="1" t="n">
        <v>46032</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2222-2023</t>
        </is>
      </c>
      <c r="B1056" s="1" t="n">
        <v>44942.4250462963</v>
      </c>
      <c r="C1056" s="1" t="n">
        <v>46032</v>
      </c>
      <c r="D1056" t="inlineStr">
        <is>
          <t>VÄRMLANDS LÄN</t>
        </is>
      </c>
      <c r="E1056" t="inlineStr">
        <is>
          <t>ÅRJÄNG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13481-2025</t>
        </is>
      </c>
      <c r="B1057" s="1" t="n">
        <v>45736</v>
      </c>
      <c r="C1057" s="1" t="n">
        <v>46032</v>
      </c>
      <c r="D1057" t="inlineStr">
        <is>
          <t>VÄRMLANDS LÄN</t>
        </is>
      </c>
      <c r="E1057" t="inlineStr">
        <is>
          <t>ÅRJÄNG</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13504-2025</t>
        </is>
      </c>
      <c r="B1058" s="1" t="n">
        <v>45736.46400462963</v>
      </c>
      <c r="C1058" s="1" t="n">
        <v>46032</v>
      </c>
      <c r="D1058" t="inlineStr">
        <is>
          <t>VÄRMLANDS LÄN</t>
        </is>
      </c>
      <c r="E1058" t="inlineStr">
        <is>
          <t>ÅRJÄNG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14917-2024</t>
        </is>
      </c>
      <c r="B1059" s="1" t="n">
        <v>45398</v>
      </c>
      <c r="C1059" s="1" t="n">
        <v>46032</v>
      </c>
      <c r="D1059" t="inlineStr">
        <is>
          <t>VÄRMLANDS LÄN</t>
        </is>
      </c>
      <c r="E1059" t="inlineStr">
        <is>
          <t>ÅRJÄNG</t>
        </is>
      </c>
      <c r="G1059" t="n">
        <v>19.9</v>
      </c>
      <c r="H1059" t="n">
        <v>0</v>
      </c>
      <c r="I1059" t="n">
        <v>0</v>
      </c>
      <c r="J1059" t="n">
        <v>0</v>
      </c>
      <c r="K1059" t="n">
        <v>0</v>
      </c>
      <c r="L1059" t="n">
        <v>0</v>
      </c>
      <c r="M1059" t="n">
        <v>0</v>
      </c>
      <c r="N1059" t="n">
        <v>0</v>
      </c>
      <c r="O1059" t="n">
        <v>0</v>
      </c>
      <c r="P1059" t="n">
        <v>0</v>
      </c>
      <c r="Q1059" t="n">
        <v>0</v>
      </c>
      <c r="R1059" s="2" t="inlineStr"/>
    </row>
    <row r="1060" ht="15" customHeight="1">
      <c r="A1060" t="inlineStr">
        <is>
          <t>A 50388-2024</t>
        </is>
      </c>
      <c r="B1060" s="1" t="n">
        <v>45600</v>
      </c>
      <c r="C1060" s="1" t="n">
        <v>46032</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15718-2023</t>
        </is>
      </c>
      <c r="B1061" s="1" t="n">
        <v>45021.55432870371</v>
      </c>
      <c r="C1061" s="1" t="n">
        <v>46032</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34526-2023</t>
        </is>
      </c>
      <c r="B1062" s="1" t="n">
        <v>45140.41518518519</v>
      </c>
      <c r="C1062" s="1" t="n">
        <v>46032</v>
      </c>
      <c r="D1062" t="inlineStr">
        <is>
          <t>VÄRMLANDS LÄN</t>
        </is>
      </c>
      <c r="E1062" t="inlineStr">
        <is>
          <t>ÅRJÄNG</t>
        </is>
      </c>
      <c r="F1062" t="inlineStr">
        <is>
          <t>Kyrkan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19843-2025</t>
        </is>
      </c>
      <c r="B1063" s="1" t="n">
        <v>45771</v>
      </c>
      <c r="C1063" s="1" t="n">
        <v>46032</v>
      </c>
      <c r="D1063" t="inlineStr">
        <is>
          <t>VÄRMLANDS LÄN</t>
        </is>
      </c>
      <c r="E1063" t="inlineStr">
        <is>
          <t>ÅRJÄNG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46441-2023</t>
        </is>
      </c>
      <c r="B1064" s="1" t="n">
        <v>45197</v>
      </c>
      <c r="C1064" s="1" t="n">
        <v>46032</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65844-2021</t>
        </is>
      </c>
      <c r="B1065" s="1" t="n">
        <v>44517.36067129629</v>
      </c>
      <c r="C1065" s="1" t="n">
        <v>46032</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34032-2021</t>
        </is>
      </c>
      <c r="B1066" s="1" t="n">
        <v>44378</v>
      </c>
      <c r="C1066" s="1" t="n">
        <v>46032</v>
      </c>
      <c r="D1066" t="inlineStr">
        <is>
          <t>VÄRMLANDS LÄN</t>
        </is>
      </c>
      <c r="E1066" t="inlineStr">
        <is>
          <t>ÅRJÄNG</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8835-2025</t>
        </is>
      </c>
      <c r="B1067" s="1" t="n">
        <v>45712.92547453703</v>
      </c>
      <c r="C1067" s="1" t="n">
        <v>46032</v>
      </c>
      <c r="D1067" t="inlineStr">
        <is>
          <t>VÄRMLANDS LÄN</t>
        </is>
      </c>
      <c r="E1067" t="inlineStr">
        <is>
          <t>ÅRJÄNG</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62966-2023</t>
        </is>
      </c>
      <c r="B1068" s="1" t="n">
        <v>45272.57006944445</v>
      </c>
      <c r="C1068" s="1" t="n">
        <v>46032</v>
      </c>
      <c r="D1068" t="inlineStr">
        <is>
          <t>VÄRMLANDS LÄN</t>
        </is>
      </c>
      <c r="E1068" t="inlineStr">
        <is>
          <t>ÅRJÄNG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11805-2024</t>
        </is>
      </c>
      <c r="B1069" s="1" t="n">
        <v>45375.76523148148</v>
      </c>
      <c r="C1069" s="1" t="n">
        <v>46032</v>
      </c>
      <c r="D1069" t="inlineStr">
        <is>
          <t>VÄRMLANDS LÄN</t>
        </is>
      </c>
      <c r="E1069" t="inlineStr">
        <is>
          <t>ÅRJÄNG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30459-2022</t>
        </is>
      </c>
      <c r="B1070" s="1" t="n">
        <v>44761</v>
      </c>
      <c r="C1070" s="1" t="n">
        <v>46032</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48203-2023</t>
        </is>
      </c>
      <c r="B1071" s="1" t="n">
        <v>45200</v>
      </c>
      <c r="C1071" s="1" t="n">
        <v>46032</v>
      </c>
      <c r="D1071" t="inlineStr">
        <is>
          <t>VÄRMLANDS LÄN</t>
        </is>
      </c>
      <c r="E1071" t="inlineStr">
        <is>
          <t>ÅRJÄNG</t>
        </is>
      </c>
      <c r="F1071" t="inlineStr">
        <is>
          <t>Övriga Aktiebolag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38536-2024</t>
        </is>
      </c>
      <c r="B1072" s="1" t="n">
        <v>45546.59431712963</v>
      </c>
      <c r="C1072" s="1" t="n">
        <v>46032</v>
      </c>
      <c r="D1072" t="inlineStr">
        <is>
          <t>VÄRMLANDS LÄN</t>
        </is>
      </c>
      <c r="E1072" t="inlineStr">
        <is>
          <t>ÅRJÄNG</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7184-2024</t>
        </is>
      </c>
      <c r="B1073" s="1" t="n">
        <v>45344</v>
      </c>
      <c r="C1073" s="1" t="n">
        <v>46032</v>
      </c>
      <c r="D1073" t="inlineStr">
        <is>
          <t>VÄRMLANDS LÄN</t>
        </is>
      </c>
      <c r="E1073" t="inlineStr">
        <is>
          <t>ÅRJÄNG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36587-2024</t>
        </is>
      </c>
      <c r="B1074" s="1" t="n">
        <v>45537</v>
      </c>
      <c r="C1074" s="1" t="n">
        <v>46032</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15828-2024</t>
        </is>
      </c>
      <c r="B1075" s="1" t="n">
        <v>45404</v>
      </c>
      <c r="C1075" s="1" t="n">
        <v>46032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44934-2024</t>
        </is>
      </c>
      <c r="B1076" s="1" t="n">
        <v>45575</v>
      </c>
      <c r="C1076" s="1" t="n">
        <v>46032</v>
      </c>
      <c r="D1076" t="inlineStr">
        <is>
          <t>VÄRMLANDS LÄN</t>
        </is>
      </c>
      <c r="E1076" t="inlineStr">
        <is>
          <t>ÅRJÄNG</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13824-2024</t>
        </is>
      </c>
      <c r="B1077" s="1" t="n">
        <v>45391.42951388889</v>
      </c>
      <c r="C1077" s="1" t="n">
        <v>46032</v>
      </c>
      <c r="D1077" t="inlineStr">
        <is>
          <t>VÄRMLANDS LÄN</t>
        </is>
      </c>
      <c r="E1077" t="inlineStr">
        <is>
          <t>ÅRJÄNG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24281-2024</t>
        </is>
      </c>
      <c r="B1078" s="1" t="n">
        <v>45457</v>
      </c>
      <c r="C1078" s="1" t="n">
        <v>46032</v>
      </c>
      <c r="D1078" t="inlineStr">
        <is>
          <t>VÄRMLANDS LÄN</t>
        </is>
      </c>
      <c r="E1078" t="inlineStr">
        <is>
          <t>ÅRJÄNG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4798-2022</t>
        </is>
      </c>
      <c r="B1079" s="1" t="n">
        <v>44592.6534375</v>
      </c>
      <c r="C1079" s="1" t="n">
        <v>46032</v>
      </c>
      <c r="D1079" t="inlineStr">
        <is>
          <t>VÄRMLANDS LÄN</t>
        </is>
      </c>
      <c r="E1079" t="inlineStr">
        <is>
          <t>ÅRJÄNG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14310-2022</t>
        </is>
      </c>
      <c r="B1080" s="1" t="n">
        <v>44652</v>
      </c>
      <c r="C1080" s="1" t="n">
        <v>46032</v>
      </c>
      <c r="D1080" t="inlineStr">
        <is>
          <t>VÄRMLANDS LÄN</t>
        </is>
      </c>
      <c r="E1080" t="inlineStr">
        <is>
          <t>ÅRJÄNG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26866-2024</t>
        </is>
      </c>
      <c r="B1081" s="1" t="n">
        <v>45470</v>
      </c>
      <c r="C1081" s="1" t="n">
        <v>46032</v>
      </c>
      <c r="D1081" t="inlineStr">
        <is>
          <t>VÄRMLANDS LÄN</t>
        </is>
      </c>
      <c r="E1081" t="inlineStr">
        <is>
          <t>ÅRJÄNG</t>
        </is>
      </c>
      <c r="F1081" t="inlineStr">
        <is>
          <t>Kyrkan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5256-2023</t>
        </is>
      </c>
      <c r="B1082" s="1" t="n">
        <v>44959.45520833333</v>
      </c>
      <c r="C1082" s="1" t="n">
        <v>46032</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57546-2024</t>
        </is>
      </c>
      <c r="B1083" s="1" t="n">
        <v>45629</v>
      </c>
      <c r="C1083" s="1" t="n">
        <v>46032</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19511-2024</t>
        </is>
      </c>
      <c r="B1084" s="1" t="n">
        <v>45429.6099537037</v>
      </c>
      <c r="C1084" s="1" t="n">
        <v>46032</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19516-2024</t>
        </is>
      </c>
      <c r="B1085" s="1" t="n">
        <v>45429.61491898148</v>
      </c>
      <c r="C1085" s="1" t="n">
        <v>46032</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44385-2022</t>
        </is>
      </c>
      <c r="B1086" s="1" t="n">
        <v>44839</v>
      </c>
      <c r="C1086" s="1" t="n">
        <v>46032</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51109-2022</t>
        </is>
      </c>
      <c r="B1087" s="1" t="n">
        <v>44868.43569444444</v>
      </c>
      <c r="C1087" s="1" t="n">
        <v>46032</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69862-2021</t>
        </is>
      </c>
      <c r="B1088" s="1" t="n">
        <v>44532</v>
      </c>
      <c r="C1088" s="1" t="n">
        <v>46032</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13036-2025</t>
        </is>
      </c>
      <c r="B1089" s="1" t="n">
        <v>45734.57474537037</v>
      </c>
      <c r="C1089" s="1" t="n">
        <v>46032</v>
      </c>
      <c r="D1089" t="inlineStr">
        <is>
          <t>VÄRMLANDS LÄN</t>
        </is>
      </c>
      <c r="E1089" t="inlineStr">
        <is>
          <t>ÅRJÄNG</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236-2025</t>
        </is>
      </c>
      <c r="B1090" s="1" t="n">
        <v>45653</v>
      </c>
      <c r="C1090" s="1" t="n">
        <v>46032</v>
      </c>
      <c r="D1090" t="inlineStr">
        <is>
          <t>VÄRMLANDS LÄN</t>
        </is>
      </c>
      <c r="E1090" t="inlineStr">
        <is>
          <t>ÅRJÄNG</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45651-2024</t>
        </is>
      </c>
      <c r="B1091" s="1" t="n">
        <v>45579</v>
      </c>
      <c r="C1091" s="1" t="n">
        <v>46032</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16613-2022</t>
        </is>
      </c>
      <c r="B1092" s="1" t="n">
        <v>44672</v>
      </c>
      <c r="C1092" s="1" t="n">
        <v>46032</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19248-2025</t>
        </is>
      </c>
      <c r="B1093" s="1" t="n">
        <v>45769.48710648148</v>
      </c>
      <c r="C1093" s="1" t="n">
        <v>46032</v>
      </c>
      <c r="D1093" t="inlineStr">
        <is>
          <t>VÄRMLANDS LÄN</t>
        </is>
      </c>
      <c r="E1093" t="inlineStr">
        <is>
          <t>ÅRJÄNG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1377-2023</t>
        </is>
      </c>
      <c r="B1094" s="1" t="n">
        <v>44936.67111111111</v>
      </c>
      <c r="C1094" s="1" t="n">
        <v>46032</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21081-2023</t>
        </is>
      </c>
      <c r="B1095" s="1" t="n">
        <v>45057</v>
      </c>
      <c r="C1095" s="1" t="n">
        <v>46032</v>
      </c>
      <c r="D1095" t="inlineStr">
        <is>
          <t>VÄRMLANDS LÄN</t>
        </is>
      </c>
      <c r="E1095" t="inlineStr">
        <is>
          <t>ÅRJÄNG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8818-2022</t>
        </is>
      </c>
      <c r="B1096" s="1" t="n">
        <v>44614.45849537037</v>
      </c>
      <c r="C1096" s="1" t="n">
        <v>46032</v>
      </c>
      <c r="D1096" t="inlineStr">
        <is>
          <t>VÄRMLANDS LÄN</t>
        </is>
      </c>
      <c r="E1096" t="inlineStr">
        <is>
          <t>ÅRJÄNG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33728-2021</t>
        </is>
      </c>
      <c r="B1097" s="1" t="n">
        <v>44378.47640046296</v>
      </c>
      <c r="C1097" s="1" t="n">
        <v>46032</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62357-2021</t>
        </is>
      </c>
      <c r="B1098" s="1" t="n">
        <v>44503.45271990741</v>
      </c>
      <c r="C1098" s="1" t="n">
        <v>46032</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28382-2022</t>
        </is>
      </c>
      <c r="B1099" s="1" t="n">
        <v>44747</v>
      </c>
      <c r="C1099" s="1" t="n">
        <v>46032</v>
      </c>
      <c r="D1099" t="inlineStr">
        <is>
          <t>VÄRMLANDS LÄN</t>
        </is>
      </c>
      <c r="E1099" t="inlineStr">
        <is>
          <t>ÅRJÄNG</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28439-2022</t>
        </is>
      </c>
      <c r="B1100" s="1" t="n">
        <v>44747</v>
      </c>
      <c r="C1100" s="1" t="n">
        <v>46032</v>
      </c>
      <c r="D1100" t="inlineStr">
        <is>
          <t>VÄRMLANDS LÄN</t>
        </is>
      </c>
      <c r="E1100" t="inlineStr">
        <is>
          <t>ÅRJÄNG</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19245-2024</t>
        </is>
      </c>
      <c r="B1101" s="1" t="n">
        <v>45428</v>
      </c>
      <c r="C1101" s="1" t="n">
        <v>46032</v>
      </c>
      <c r="D1101" t="inlineStr">
        <is>
          <t>VÄRMLANDS LÄN</t>
        </is>
      </c>
      <c r="E1101" t="inlineStr">
        <is>
          <t>ÅRJÄNG</t>
        </is>
      </c>
      <c r="F1101" t="inlineStr">
        <is>
          <t>Bergvik skog väst AB</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38707-2023</t>
        </is>
      </c>
      <c r="B1102" s="1" t="n">
        <v>45163.34018518519</v>
      </c>
      <c r="C1102" s="1" t="n">
        <v>46032</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57062-2022</t>
        </is>
      </c>
      <c r="B1103" s="1" t="n">
        <v>44895.40797453704</v>
      </c>
      <c r="C1103" s="1" t="n">
        <v>46032</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8678-2022</t>
        </is>
      </c>
      <c r="B1104" s="1" t="n">
        <v>44613.68043981482</v>
      </c>
      <c r="C1104" s="1" t="n">
        <v>46032</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56168-2024</t>
        </is>
      </c>
      <c r="B1105" s="1" t="n">
        <v>45623</v>
      </c>
      <c r="C1105" s="1" t="n">
        <v>46032</v>
      </c>
      <c r="D1105" t="inlineStr">
        <is>
          <t>VÄRMLANDS LÄN</t>
        </is>
      </c>
      <c r="E1105" t="inlineStr">
        <is>
          <t>ÅRJÄNG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4784-2023</t>
        </is>
      </c>
      <c r="B1106" s="1" t="n">
        <v>44957.59476851852</v>
      </c>
      <c r="C1106" s="1" t="n">
        <v>46032</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21177-2023</t>
        </is>
      </c>
      <c r="B1107" s="1" t="n">
        <v>45062</v>
      </c>
      <c r="C1107" s="1" t="n">
        <v>46032</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5931-2023</t>
        </is>
      </c>
      <c r="B1108" s="1" t="n">
        <v>44963</v>
      </c>
      <c r="C1108" s="1" t="n">
        <v>46032</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56115-2024</t>
        </is>
      </c>
      <c r="B1109" s="1" t="n">
        <v>45624.45351851852</v>
      </c>
      <c r="C1109" s="1" t="n">
        <v>46032</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56116-2024</t>
        </is>
      </c>
      <c r="B1110" s="1" t="n">
        <v>45624.45506944445</v>
      </c>
      <c r="C1110" s="1" t="n">
        <v>46032</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45634-2023</t>
        </is>
      </c>
      <c r="B1111" s="1" t="n">
        <v>45194</v>
      </c>
      <c r="C1111" s="1" t="n">
        <v>46032</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45643-2023</t>
        </is>
      </c>
      <c r="B1112" s="1" t="n">
        <v>45194.69827546296</v>
      </c>
      <c r="C1112" s="1" t="n">
        <v>46032</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5332-2025</t>
        </is>
      </c>
      <c r="B1113" s="1" t="n">
        <v>45692.53978009259</v>
      </c>
      <c r="C1113" s="1" t="n">
        <v>46032</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34387-2023</t>
        </is>
      </c>
      <c r="B1114" s="1" t="n">
        <v>45139.50744212963</v>
      </c>
      <c r="C1114" s="1" t="n">
        <v>46032</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34410-2023</t>
        </is>
      </c>
      <c r="B1115" s="1" t="n">
        <v>45139.56870370371</v>
      </c>
      <c r="C1115" s="1" t="n">
        <v>46032</v>
      </c>
      <c r="D1115" t="inlineStr">
        <is>
          <t>VÄRMLANDS LÄN</t>
        </is>
      </c>
      <c r="E1115" t="inlineStr">
        <is>
          <t>ÅRJÄNG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34889-2022</t>
        </is>
      </c>
      <c r="B1116" s="1" t="n">
        <v>44796</v>
      </c>
      <c r="C1116" s="1" t="n">
        <v>46032</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9441-2021</t>
        </is>
      </c>
      <c r="B1117" s="1" t="n">
        <v>44251</v>
      </c>
      <c r="C1117" s="1" t="n">
        <v>46032</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34574-2023</t>
        </is>
      </c>
      <c r="B1118" s="1" t="n">
        <v>45135</v>
      </c>
      <c r="C1118" s="1" t="n">
        <v>46032</v>
      </c>
      <c r="D1118" t="inlineStr">
        <is>
          <t>VÄRMLANDS LÄN</t>
        </is>
      </c>
      <c r="E1118" t="inlineStr">
        <is>
          <t>ÅRJÄNG</t>
        </is>
      </c>
      <c r="F1118" t="inlineStr">
        <is>
          <t>Övriga Aktiebolag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61009-2022</t>
        </is>
      </c>
      <c r="B1119" s="1" t="n">
        <v>44914.7541550926</v>
      </c>
      <c r="C1119" s="1" t="n">
        <v>46032</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33738-2021</t>
        </is>
      </c>
      <c r="B1120" s="1" t="n">
        <v>44378.48505787037</v>
      </c>
      <c r="C1120" s="1" t="n">
        <v>46032</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61873-2023</t>
        </is>
      </c>
      <c r="B1121" s="1" t="n">
        <v>45266.40989583333</v>
      </c>
      <c r="C1121" s="1" t="n">
        <v>46032</v>
      </c>
      <c r="D1121" t="inlineStr">
        <is>
          <t>VÄRMLANDS LÄN</t>
        </is>
      </c>
      <c r="E1121" t="inlineStr">
        <is>
          <t>ÅRJÄNG</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1115-2024</t>
        </is>
      </c>
      <c r="B1122" s="1" t="n">
        <v>45302</v>
      </c>
      <c r="C1122" s="1" t="n">
        <v>46032</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38167-2022</t>
        </is>
      </c>
      <c r="B1123" s="1" t="n">
        <v>44812</v>
      </c>
      <c r="C1123" s="1" t="n">
        <v>46032</v>
      </c>
      <c r="D1123" t="inlineStr">
        <is>
          <t>VÄRMLANDS LÄN</t>
        </is>
      </c>
      <c r="E1123" t="inlineStr">
        <is>
          <t>ÅRJÄNG</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61154-2021</t>
        </is>
      </c>
      <c r="B1124" s="1" t="n">
        <v>44497</v>
      </c>
      <c r="C1124" s="1" t="n">
        <v>46032</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56917-2024</t>
        </is>
      </c>
      <c r="B1125" s="1" t="n">
        <v>45628</v>
      </c>
      <c r="C1125" s="1" t="n">
        <v>46032</v>
      </c>
      <c r="D1125" t="inlineStr">
        <is>
          <t>VÄRMLANDS LÄN</t>
        </is>
      </c>
      <c r="E1125" t="inlineStr">
        <is>
          <t>ÅRJÄNG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9909-2024</t>
        </is>
      </c>
      <c r="B1126" s="1" t="n">
        <v>45363.53642361111</v>
      </c>
      <c r="C1126" s="1" t="n">
        <v>46032</v>
      </c>
      <c r="D1126" t="inlineStr">
        <is>
          <t>VÄRMLANDS LÄN</t>
        </is>
      </c>
      <c r="E1126" t="inlineStr">
        <is>
          <t>ÅRJÄNG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42045-2024</t>
        </is>
      </c>
      <c r="B1127" s="1" t="n">
        <v>45561</v>
      </c>
      <c r="C1127" s="1" t="n">
        <v>46032</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5095-2023</t>
        </is>
      </c>
      <c r="B1128" s="1" t="n">
        <v>44953</v>
      </c>
      <c r="C1128" s="1" t="n">
        <v>46032</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47228-2023</t>
        </is>
      </c>
      <c r="B1129" s="1" t="n">
        <v>45202.3709837963</v>
      </c>
      <c r="C1129" s="1" t="n">
        <v>46032</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60377-2022</t>
        </is>
      </c>
      <c r="B1130" s="1" t="n">
        <v>44904</v>
      </c>
      <c r="C1130" s="1" t="n">
        <v>46032</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8685-2024</t>
        </is>
      </c>
      <c r="B1131" s="1" t="n">
        <v>45356</v>
      </c>
      <c r="C1131" s="1" t="n">
        <v>46032</v>
      </c>
      <c r="D1131" t="inlineStr">
        <is>
          <t>VÄRMLANDS LÄN</t>
        </is>
      </c>
      <c r="E1131" t="inlineStr">
        <is>
          <t>ÅRJÄNG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8838-2023</t>
        </is>
      </c>
      <c r="B1132" s="1" t="n">
        <v>44978</v>
      </c>
      <c r="C1132" s="1" t="n">
        <v>46032</v>
      </c>
      <c r="D1132" t="inlineStr">
        <is>
          <t>VÄRMLANDS LÄN</t>
        </is>
      </c>
      <c r="E1132" t="inlineStr">
        <is>
          <t>ÅRJÄNG</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26259-2024</t>
        </is>
      </c>
      <c r="B1133" s="1" t="n">
        <v>45468</v>
      </c>
      <c r="C1133" s="1" t="n">
        <v>46032</v>
      </c>
      <c r="D1133" t="inlineStr">
        <is>
          <t>VÄRMLANDS LÄN</t>
        </is>
      </c>
      <c r="E1133" t="inlineStr">
        <is>
          <t>ÅRJÄNG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58486-2023</t>
        </is>
      </c>
      <c r="B1134" s="1" t="n">
        <v>45246</v>
      </c>
      <c r="C1134" s="1" t="n">
        <v>46032</v>
      </c>
      <c r="D1134" t="inlineStr">
        <is>
          <t>VÄRMLANDS LÄN</t>
        </is>
      </c>
      <c r="E1134" t="inlineStr">
        <is>
          <t>ÅRJÄNG</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12082-2023</t>
        </is>
      </c>
      <c r="B1135" s="1" t="n">
        <v>44997.78215277778</v>
      </c>
      <c r="C1135" s="1" t="n">
        <v>46032</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15953-2025</t>
        </is>
      </c>
      <c r="B1136" s="1" t="n">
        <v>45749</v>
      </c>
      <c r="C1136" s="1" t="n">
        <v>46032</v>
      </c>
      <c r="D1136" t="inlineStr">
        <is>
          <t>VÄRMLANDS LÄN</t>
        </is>
      </c>
      <c r="E1136" t="inlineStr">
        <is>
          <t>ÅRJÄNG</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26284-2021</t>
        </is>
      </c>
      <c r="B1137" s="1" t="n">
        <v>44347</v>
      </c>
      <c r="C1137" s="1" t="n">
        <v>46032</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1560-2025</t>
        </is>
      </c>
      <c r="B1138" s="1" t="n">
        <v>45670.53878472222</v>
      </c>
      <c r="C1138" s="1" t="n">
        <v>46032</v>
      </c>
      <c r="D1138" t="inlineStr">
        <is>
          <t>VÄRMLANDS LÄN</t>
        </is>
      </c>
      <c r="E1138" t="inlineStr">
        <is>
          <t>ÅRJÄNG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62261-2023</t>
        </is>
      </c>
      <c r="B1139" s="1" t="n">
        <v>45266</v>
      </c>
      <c r="C1139" s="1" t="n">
        <v>46032</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19052-2023</t>
        </is>
      </c>
      <c r="B1140" s="1" t="n">
        <v>45047</v>
      </c>
      <c r="C1140" s="1" t="n">
        <v>46032</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21706-2024</t>
        </is>
      </c>
      <c r="B1141" s="1" t="n">
        <v>45442</v>
      </c>
      <c r="C1141" s="1" t="n">
        <v>46032</v>
      </c>
      <c r="D1141" t="inlineStr">
        <is>
          <t>VÄRMLANDS LÄN</t>
        </is>
      </c>
      <c r="E1141" t="inlineStr">
        <is>
          <t>ÅRJÄNG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60000-2024</t>
        </is>
      </c>
      <c r="B1142" s="1" t="n">
        <v>45642</v>
      </c>
      <c r="C1142" s="1" t="n">
        <v>46032</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15165-2025</t>
        </is>
      </c>
      <c r="B1143" s="1" t="n">
        <v>45744.48599537037</v>
      </c>
      <c r="C1143" s="1" t="n">
        <v>46032</v>
      </c>
      <c r="D1143" t="inlineStr">
        <is>
          <t>VÄRMLANDS LÄN</t>
        </is>
      </c>
      <c r="E1143" t="inlineStr">
        <is>
          <t>ÅRJÄNG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42236-2024</t>
        </is>
      </c>
      <c r="B1144" s="1" t="n">
        <v>45562</v>
      </c>
      <c r="C1144" s="1" t="n">
        <v>46032</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60020-2024</t>
        </is>
      </c>
      <c r="B1145" s="1" t="n">
        <v>45642.44655092592</v>
      </c>
      <c r="C1145" s="1" t="n">
        <v>46032</v>
      </c>
      <c r="D1145" t="inlineStr">
        <is>
          <t>VÄRMLANDS LÄN</t>
        </is>
      </c>
      <c r="E1145" t="inlineStr">
        <is>
          <t>ÅRJÄNG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59622-2022</t>
        </is>
      </c>
      <c r="B1146" s="1" t="n">
        <v>44907.89939814815</v>
      </c>
      <c r="C1146" s="1" t="n">
        <v>46032</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50112-2024</t>
        </is>
      </c>
      <c r="B1147" s="1" t="n">
        <v>45600</v>
      </c>
      <c r="C1147" s="1" t="n">
        <v>46032</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12659-2025</t>
        </is>
      </c>
      <c r="B1148" s="1" t="n">
        <v>45733.42350694445</v>
      </c>
      <c r="C1148" s="1" t="n">
        <v>46032</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35157-2021</t>
        </is>
      </c>
      <c r="B1149" s="1" t="n">
        <v>44383</v>
      </c>
      <c r="C1149" s="1" t="n">
        <v>46032</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43650-2024</t>
        </is>
      </c>
      <c r="B1150" s="1" t="n">
        <v>45569.53091435185</v>
      </c>
      <c r="C1150" s="1" t="n">
        <v>46032</v>
      </c>
      <c r="D1150" t="inlineStr">
        <is>
          <t>VÄRMLANDS LÄN</t>
        </is>
      </c>
      <c r="E1150" t="inlineStr">
        <is>
          <t>ÅRJÄNG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6559-2025</t>
        </is>
      </c>
      <c r="B1151" s="1" t="n">
        <v>45699.73678240741</v>
      </c>
      <c r="C1151" s="1" t="n">
        <v>46032</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12993-2025</t>
        </is>
      </c>
      <c r="B1152" s="1" t="n">
        <v>45734.48583333333</v>
      </c>
      <c r="C1152" s="1" t="n">
        <v>46032</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34409-2023</t>
        </is>
      </c>
      <c r="B1153" s="1" t="n">
        <v>45139.56662037037</v>
      </c>
      <c r="C1153" s="1" t="n">
        <v>46032</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56655-2024</t>
        </is>
      </c>
      <c r="B1154" s="1" t="n">
        <v>45625</v>
      </c>
      <c r="C1154" s="1" t="n">
        <v>46032</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58436-2023</t>
        </is>
      </c>
      <c r="B1155" s="1" t="n">
        <v>45250</v>
      </c>
      <c r="C1155" s="1" t="n">
        <v>46032</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39008-2023</t>
        </is>
      </c>
      <c r="B1156" s="1" t="n">
        <v>45162</v>
      </c>
      <c r="C1156" s="1" t="n">
        <v>46032</v>
      </c>
      <c r="D1156" t="inlineStr">
        <is>
          <t>VÄRMLANDS LÄN</t>
        </is>
      </c>
      <c r="E1156" t="inlineStr">
        <is>
          <t>ÅRJÄNG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540-2024</t>
        </is>
      </c>
      <c r="B1157" s="1" t="n">
        <v>45299</v>
      </c>
      <c r="C1157" s="1" t="n">
        <v>46032</v>
      </c>
      <c r="D1157" t="inlineStr">
        <is>
          <t>VÄRMLANDS LÄN</t>
        </is>
      </c>
      <c r="E1157" t="inlineStr">
        <is>
          <t>ÅRJÄNG</t>
        </is>
      </c>
      <c r="F1157" t="inlineStr">
        <is>
          <t>Kyrkan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20463-2024</t>
        </is>
      </c>
      <c r="B1158" s="1" t="n">
        <v>45435</v>
      </c>
      <c r="C1158" s="1" t="n">
        <v>46032</v>
      </c>
      <c r="D1158" t="inlineStr">
        <is>
          <t>VÄRMLANDS LÄN</t>
        </is>
      </c>
      <c r="E1158" t="inlineStr">
        <is>
          <t>ÅRJÄNG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46351-2023</t>
        </is>
      </c>
      <c r="B1159" s="1" t="n">
        <v>45197.42811342593</v>
      </c>
      <c r="C1159" s="1" t="n">
        <v>46032</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29204-2023</t>
        </is>
      </c>
      <c r="B1160" s="1" t="n">
        <v>45105.5669212963</v>
      </c>
      <c r="C1160" s="1" t="n">
        <v>46032</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74463-2021</t>
        </is>
      </c>
      <c r="B1161" s="1" t="n">
        <v>44560.5255787037</v>
      </c>
      <c r="C1161" s="1" t="n">
        <v>46032</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8232-2025</t>
        </is>
      </c>
      <c r="B1162" s="1" t="n">
        <v>45708.47144675926</v>
      </c>
      <c r="C1162" s="1" t="n">
        <v>46032</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27692-2024</t>
        </is>
      </c>
      <c r="B1163" s="1" t="n">
        <v>45474</v>
      </c>
      <c r="C1163" s="1" t="n">
        <v>46032</v>
      </c>
      <c r="D1163" t="inlineStr">
        <is>
          <t>VÄRMLANDS LÄN</t>
        </is>
      </c>
      <c r="E1163" t="inlineStr">
        <is>
          <t>ÅRJÄNG</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60172-2023</t>
        </is>
      </c>
      <c r="B1164" s="1" t="n">
        <v>45257</v>
      </c>
      <c r="C1164" s="1" t="n">
        <v>46032</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50941-2023</t>
        </is>
      </c>
      <c r="B1165" s="1" t="n">
        <v>45218</v>
      </c>
      <c r="C1165" s="1" t="n">
        <v>46032</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21365-2022</t>
        </is>
      </c>
      <c r="B1166" s="1" t="n">
        <v>44705</v>
      </c>
      <c r="C1166" s="1" t="n">
        <v>46032</v>
      </c>
      <c r="D1166" t="inlineStr">
        <is>
          <t>VÄRMLANDS LÄN</t>
        </is>
      </c>
      <c r="E1166" t="inlineStr">
        <is>
          <t>ÅRJÄNG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24505-2023</t>
        </is>
      </c>
      <c r="B1167" s="1" t="n">
        <v>45082</v>
      </c>
      <c r="C1167" s="1" t="n">
        <v>46032</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36592-2024</t>
        </is>
      </c>
      <c r="B1168" s="1" t="n">
        <v>45537</v>
      </c>
      <c r="C1168" s="1" t="n">
        <v>46032</v>
      </c>
      <c r="D1168" t="inlineStr">
        <is>
          <t>VÄRMLANDS LÄN</t>
        </is>
      </c>
      <c r="E1168" t="inlineStr">
        <is>
          <t>ÅRJÄNG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61226-2024</t>
        </is>
      </c>
      <c r="B1169" s="1" t="n">
        <v>45645.66853009259</v>
      </c>
      <c r="C1169" s="1" t="n">
        <v>46032</v>
      </c>
      <c r="D1169" t="inlineStr">
        <is>
          <t>VÄRMLANDS LÄN</t>
        </is>
      </c>
      <c r="E1169" t="inlineStr">
        <is>
          <t>ÅRJÄNG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71472-2021</t>
        </is>
      </c>
      <c r="B1170" s="1" t="n">
        <v>44540</v>
      </c>
      <c r="C1170" s="1" t="n">
        <v>46032</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23690-2024</t>
        </is>
      </c>
      <c r="B1171" s="1" t="n">
        <v>45454.65612268518</v>
      </c>
      <c r="C1171" s="1" t="n">
        <v>46032</v>
      </c>
      <c r="D1171" t="inlineStr">
        <is>
          <t>VÄRMLANDS LÄN</t>
        </is>
      </c>
      <c r="E1171" t="inlineStr">
        <is>
          <t>ÅRJÄNG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64381-2023</t>
        </is>
      </c>
      <c r="B1172" s="1" t="n">
        <v>45280</v>
      </c>
      <c r="C1172" s="1" t="n">
        <v>46032</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21392-2023</t>
        </is>
      </c>
      <c r="B1173" s="1" t="n">
        <v>45061</v>
      </c>
      <c r="C1173" s="1" t="n">
        <v>46032</v>
      </c>
      <c r="D1173" t="inlineStr">
        <is>
          <t>VÄRMLANDS LÄN</t>
        </is>
      </c>
      <c r="E1173" t="inlineStr">
        <is>
          <t>ÅRJÄNG</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16791-2025</t>
        </is>
      </c>
      <c r="B1174" s="1" t="n">
        <v>45754</v>
      </c>
      <c r="C1174" s="1" t="n">
        <v>46032</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59071-2024</t>
        </is>
      </c>
      <c r="B1175" s="1" t="n">
        <v>45636.96637731481</v>
      </c>
      <c r="C1175" s="1" t="n">
        <v>46032</v>
      </c>
      <c r="D1175" t="inlineStr">
        <is>
          <t>VÄRMLANDS LÄN</t>
        </is>
      </c>
      <c r="E1175" t="inlineStr">
        <is>
          <t>ÅRJÄNG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59073-2024</t>
        </is>
      </c>
      <c r="B1176" s="1" t="n">
        <v>45636.97232638889</v>
      </c>
      <c r="C1176" s="1" t="n">
        <v>46032</v>
      </c>
      <c r="D1176" t="inlineStr">
        <is>
          <t>VÄRMLANDS LÄN</t>
        </is>
      </c>
      <c r="E1176" t="inlineStr">
        <is>
          <t>ÅRJÄNG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39536-2022</t>
        </is>
      </c>
      <c r="B1177" s="1" t="n">
        <v>44818</v>
      </c>
      <c r="C1177" s="1" t="n">
        <v>46032</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34144-2022</t>
        </is>
      </c>
      <c r="B1178" s="1" t="n">
        <v>44791.55983796297</v>
      </c>
      <c r="C1178" s="1" t="n">
        <v>46032</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58141-2023</t>
        </is>
      </c>
      <c r="B1179" s="1" t="n">
        <v>45245</v>
      </c>
      <c r="C1179" s="1" t="n">
        <v>46032</v>
      </c>
      <c r="D1179" t="inlineStr">
        <is>
          <t>VÄRMLANDS LÄN</t>
        </is>
      </c>
      <c r="E1179" t="inlineStr">
        <is>
          <t>ÅRJÄNG</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14340-2023</t>
        </is>
      </c>
      <c r="B1180" s="1" t="n">
        <v>45012.36368055556</v>
      </c>
      <c r="C1180" s="1" t="n">
        <v>46032</v>
      </c>
      <c r="D1180" t="inlineStr">
        <is>
          <t>VÄRMLANDS LÄN</t>
        </is>
      </c>
      <c r="E1180" t="inlineStr">
        <is>
          <t>ÅRJÄNG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22032-2023</t>
        </is>
      </c>
      <c r="B1181" s="1" t="n">
        <v>45069.35378472223</v>
      </c>
      <c r="C1181" s="1" t="n">
        <v>46032</v>
      </c>
      <c r="D1181" t="inlineStr">
        <is>
          <t>VÄRMLANDS LÄN</t>
        </is>
      </c>
      <c r="E1181" t="inlineStr">
        <is>
          <t>ÅRJÄNG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55422-2023</t>
        </is>
      </c>
      <c r="B1182" s="1" t="n">
        <v>45238.41858796297</v>
      </c>
      <c r="C1182" s="1" t="n">
        <v>46032</v>
      </c>
      <c r="D1182" t="inlineStr">
        <is>
          <t>VÄRMLANDS LÄN</t>
        </is>
      </c>
      <c r="E1182" t="inlineStr">
        <is>
          <t>ÅRJÄNG</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54961-2024</t>
        </is>
      </c>
      <c r="B1183" s="1" t="n">
        <v>45619.9753125</v>
      </c>
      <c r="C1183" s="1" t="n">
        <v>46032</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61868-2024</t>
        </is>
      </c>
      <c r="B1184" s="1" t="n">
        <v>45651.47393518518</v>
      </c>
      <c r="C1184" s="1" t="n">
        <v>46032</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37356-2024</t>
        </is>
      </c>
      <c r="B1185" s="1" t="n">
        <v>45540</v>
      </c>
      <c r="C1185" s="1" t="n">
        <v>46032</v>
      </c>
      <c r="D1185" t="inlineStr">
        <is>
          <t>VÄRMLANDS LÄN</t>
        </is>
      </c>
      <c r="E1185" t="inlineStr">
        <is>
          <t>ÅRJÄNG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13317-2025</t>
        </is>
      </c>
      <c r="B1186" s="1" t="n">
        <v>45735.59452546296</v>
      </c>
      <c r="C1186" s="1" t="n">
        <v>46032</v>
      </c>
      <c r="D1186" t="inlineStr">
        <is>
          <t>VÄRMLANDS LÄN</t>
        </is>
      </c>
      <c r="E1186" t="inlineStr">
        <is>
          <t>ÅRJÄNG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49891-2022</t>
        </is>
      </c>
      <c r="B1187" s="1" t="n">
        <v>44864</v>
      </c>
      <c r="C1187" s="1" t="n">
        <v>46032</v>
      </c>
      <c r="D1187" t="inlineStr">
        <is>
          <t>VÄRMLANDS LÄN</t>
        </is>
      </c>
      <c r="E1187" t="inlineStr">
        <is>
          <t>ÅRJÄNG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59746-2023</t>
        </is>
      </c>
      <c r="B1188" s="1" t="n">
        <v>45254</v>
      </c>
      <c r="C1188" s="1" t="n">
        <v>46032</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13998-2024</t>
        </is>
      </c>
      <c r="B1189" s="1" t="n">
        <v>45392</v>
      </c>
      <c r="C1189" s="1" t="n">
        <v>46032</v>
      </c>
      <c r="D1189" t="inlineStr">
        <is>
          <t>VÄRMLANDS LÄN</t>
        </is>
      </c>
      <c r="E1189" t="inlineStr">
        <is>
          <t>ÅRJÄNG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1153-2023</t>
        </is>
      </c>
      <c r="B1190" s="1" t="n">
        <v>44935</v>
      </c>
      <c r="C1190" s="1" t="n">
        <v>46032</v>
      </c>
      <c r="D1190" t="inlineStr">
        <is>
          <t>VÄRMLANDS LÄN</t>
        </is>
      </c>
      <c r="E1190" t="inlineStr">
        <is>
          <t>ÅRJÄNG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62240-2022</t>
        </is>
      </c>
      <c r="B1191" s="1" t="n">
        <v>44922</v>
      </c>
      <c r="C1191" s="1" t="n">
        <v>46032</v>
      </c>
      <c r="D1191" t="inlineStr">
        <is>
          <t>VÄRMLANDS LÄN</t>
        </is>
      </c>
      <c r="E1191" t="inlineStr">
        <is>
          <t>ÅRJÄNG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48014-2023</t>
        </is>
      </c>
      <c r="B1192" s="1" t="n">
        <v>45198</v>
      </c>
      <c r="C1192" s="1" t="n">
        <v>46032</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6562-2023</t>
        </is>
      </c>
      <c r="B1193" s="1" t="n">
        <v>44966</v>
      </c>
      <c r="C1193" s="1" t="n">
        <v>46032</v>
      </c>
      <c r="D1193" t="inlineStr">
        <is>
          <t>VÄRMLANDS LÄN</t>
        </is>
      </c>
      <c r="E1193" t="inlineStr">
        <is>
          <t>ÅRJÄNG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31794-2023</t>
        </is>
      </c>
      <c r="B1194" s="1" t="n">
        <v>45118.43856481482</v>
      </c>
      <c r="C1194" s="1" t="n">
        <v>46032</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1200-2023</t>
        </is>
      </c>
      <c r="B1195" s="1" t="n">
        <v>44935</v>
      </c>
      <c r="C1195" s="1" t="n">
        <v>46032</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7619-2023</t>
        </is>
      </c>
      <c r="B1196" s="1" t="n">
        <v>44967</v>
      </c>
      <c r="C1196" s="1" t="n">
        <v>46032</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61545-2024</t>
        </is>
      </c>
      <c r="B1197" s="1" t="n">
        <v>45646.59966435185</v>
      </c>
      <c r="C1197" s="1" t="n">
        <v>46032</v>
      </c>
      <c r="D1197" t="inlineStr">
        <is>
          <t>VÄRMLANDS LÄN</t>
        </is>
      </c>
      <c r="E1197" t="inlineStr">
        <is>
          <t>ÅRJÄNG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30693-2021</t>
        </is>
      </c>
      <c r="B1198" s="1" t="n">
        <v>44365</v>
      </c>
      <c r="C1198" s="1" t="n">
        <v>46032</v>
      </c>
      <c r="D1198" t="inlineStr">
        <is>
          <t>VÄRMLANDS LÄN</t>
        </is>
      </c>
      <c r="E1198" t="inlineStr">
        <is>
          <t>ÅRJÄNG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38065-2024</t>
        </is>
      </c>
      <c r="B1199" s="1" t="n">
        <v>45544.8249537037</v>
      </c>
      <c r="C1199" s="1" t="n">
        <v>46032</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10117-2023</t>
        </is>
      </c>
      <c r="B1200" s="1" t="n">
        <v>44986.34331018518</v>
      </c>
      <c r="C1200" s="1" t="n">
        <v>46032</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7098-2024</t>
        </is>
      </c>
      <c r="B1201" s="1" t="n">
        <v>45343</v>
      </c>
      <c r="C1201" s="1" t="n">
        <v>46032</v>
      </c>
      <c r="D1201" t="inlineStr">
        <is>
          <t>VÄRMLANDS LÄN</t>
        </is>
      </c>
      <c r="E1201" t="inlineStr">
        <is>
          <t>ÅRJÄNG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7100-2024</t>
        </is>
      </c>
      <c r="B1202" s="1" t="n">
        <v>45343</v>
      </c>
      <c r="C1202" s="1" t="n">
        <v>46032</v>
      </c>
      <c r="D1202" t="inlineStr">
        <is>
          <t>VÄRMLANDS LÄN</t>
        </is>
      </c>
      <c r="E1202" t="inlineStr">
        <is>
          <t>ÅRJÄNG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8833-2025</t>
        </is>
      </c>
      <c r="B1203" s="1" t="n">
        <v>45712.91263888889</v>
      </c>
      <c r="C1203" s="1" t="n">
        <v>46032</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4545-2024</t>
        </is>
      </c>
      <c r="B1204" s="1" t="n">
        <v>45327</v>
      </c>
      <c r="C1204" s="1" t="n">
        <v>46032</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64229-2023</t>
        </is>
      </c>
      <c r="B1205" s="1" t="n">
        <v>45279</v>
      </c>
      <c r="C1205" s="1" t="n">
        <v>46032</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57992-2023</t>
        </is>
      </c>
      <c r="B1206" s="1" t="n">
        <v>45244</v>
      </c>
      <c r="C1206" s="1" t="n">
        <v>46032</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63796-2021</t>
        </is>
      </c>
      <c r="B1207" s="1" t="n">
        <v>44509</v>
      </c>
      <c r="C1207" s="1" t="n">
        <v>46032</v>
      </c>
      <c r="D1207" t="inlineStr">
        <is>
          <t>VÄRMLANDS LÄN</t>
        </is>
      </c>
      <c r="E1207" t="inlineStr">
        <is>
          <t>ÅRJÄNG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13871-2025</t>
        </is>
      </c>
      <c r="B1208" s="1" t="n">
        <v>45737.58568287037</v>
      </c>
      <c r="C1208" s="1" t="n">
        <v>46032</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11392-2024</t>
        </is>
      </c>
      <c r="B1209" s="1" t="n">
        <v>45372</v>
      </c>
      <c r="C1209" s="1" t="n">
        <v>46032</v>
      </c>
      <c r="D1209" t="inlineStr">
        <is>
          <t>VÄRMLANDS LÄN</t>
        </is>
      </c>
      <c r="E1209" t="inlineStr">
        <is>
          <t>ÅRJÄNG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40346-2024</t>
        </is>
      </c>
      <c r="B1210" s="1" t="n">
        <v>45555.34840277778</v>
      </c>
      <c r="C1210" s="1" t="n">
        <v>46032</v>
      </c>
      <c r="D1210" t="inlineStr">
        <is>
          <t>VÄRMLANDS LÄN</t>
        </is>
      </c>
      <c r="E1210" t="inlineStr">
        <is>
          <t>ÅRJÄNG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31622-2024</t>
        </is>
      </c>
      <c r="B1211" s="1" t="n">
        <v>45506</v>
      </c>
      <c r="C1211" s="1" t="n">
        <v>46032</v>
      </c>
      <c r="D1211" t="inlineStr">
        <is>
          <t>VÄRMLANDS LÄN</t>
        </is>
      </c>
      <c r="E1211" t="inlineStr">
        <is>
          <t>ÅRJÄNG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8215-2025</t>
        </is>
      </c>
      <c r="B1212" s="1" t="n">
        <v>45708.44832175926</v>
      </c>
      <c r="C1212" s="1" t="n">
        <v>46032</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8230-2025</t>
        </is>
      </c>
      <c r="B1213" s="1" t="n">
        <v>45708.47010416666</v>
      </c>
      <c r="C1213" s="1" t="n">
        <v>46032</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34350-2023</t>
        </is>
      </c>
      <c r="B1214" s="1" t="n">
        <v>45139.40969907407</v>
      </c>
      <c r="C1214" s="1" t="n">
        <v>46032</v>
      </c>
      <c r="D1214" t="inlineStr">
        <is>
          <t>VÄRMLANDS LÄN</t>
        </is>
      </c>
      <c r="E1214" t="inlineStr">
        <is>
          <t>ÅRJÄNG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13726-2024</t>
        </is>
      </c>
      <c r="B1215" s="1" t="n">
        <v>45390.68759259259</v>
      </c>
      <c r="C1215" s="1" t="n">
        <v>46032</v>
      </c>
      <c r="D1215" t="inlineStr">
        <is>
          <t>VÄRMLANDS LÄN</t>
        </is>
      </c>
      <c r="E1215" t="inlineStr">
        <is>
          <t>ÅRJÄNG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15537-2024</t>
        </is>
      </c>
      <c r="B1216" s="1" t="n">
        <v>45401</v>
      </c>
      <c r="C1216" s="1" t="n">
        <v>46032</v>
      </c>
      <c r="D1216" t="inlineStr">
        <is>
          <t>VÄRMLANDS LÄN</t>
        </is>
      </c>
      <c r="E1216" t="inlineStr">
        <is>
          <t>ÅRJÄNG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42576-2021</t>
        </is>
      </c>
      <c r="B1217" s="1" t="n">
        <v>44428</v>
      </c>
      <c r="C1217" s="1" t="n">
        <v>46032</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10510-2023</t>
        </is>
      </c>
      <c r="B1218" s="1" t="n">
        <v>44987.73665509259</v>
      </c>
      <c r="C1218" s="1" t="n">
        <v>46032</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17827-2025</t>
        </is>
      </c>
      <c r="B1219" s="1" t="n">
        <v>45758.57596064815</v>
      </c>
      <c r="C1219" s="1" t="n">
        <v>46032</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56682-2021</t>
        </is>
      </c>
      <c r="B1220" s="1" t="n">
        <v>44481</v>
      </c>
      <c r="C1220" s="1" t="n">
        <v>46032</v>
      </c>
      <c r="D1220" t="inlineStr">
        <is>
          <t>VÄRMLANDS LÄN</t>
        </is>
      </c>
      <c r="E1220" t="inlineStr">
        <is>
          <t>ÅRJÄNG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1665-2023</t>
        </is>
      </c>
      <c r="B1221" s="1" t="n">
        <v>44938</v>
      </c>
      <c r="C1221" s="1" t="n">
        <v>46032</v>
      </c>
      <c r="D1221" t="inlineStr">
        <is>
          <t>VÄRMLANDS LÄN</t>
        </is>
      </c>
      <c r="E1221" t="inlineStr">
        <is>
          <t>ÅRJÄNG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55901-2023</t>
        </is>
      </c>
      <c r="B1222" s="1" t="n">
        <v>45239.86618055555</v>
      </c>
      <c r="C1222" s="1" t="n">
        <v>46032</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12072-2024</t>
        </is>
      </c>
      <c r="B1223" s="1" t="n">
        <v>45377</v>
      </c>
      <c r="C1223" s="1" t="n">
        <v>46032</v>
      </c>
      <c r="D1223" t="inlineStr">
        <is>
          <t>VÄRMLANDS LÄN</t>
        </is>
      </c>
      <c r="E1223" t="inlineStr">
        <is>
          <t>ÅRJÄNG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15547-2025</t>
        </is>
      </c>
      <c r="B1224" s="1" t="n">
        <v>45747</v>
      </c>
      <c r="C1224" s="1" t="n">
        <v>46032</v>
      </c>
      <c r="D1224" t="inlineStr">
        <is>
          <t>VÄRMLANDS LÄN</t>
        </is>
      </c>
      <c r="E1224" t="inlineStr">
        <is>
          <t>ÅRJÄNG</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15548-2025</t>
        </is>
      </c>
      <c r="B1225" s="1" t="n">
        <v>45747</v>
      </c>
      <c r="C1225" s="1" t="n">
        <v>46032</v>
      </c>
      <c r="D1225" t="inlineStr">
        <is>
          <t>VÄRMLANDS LÄN</t>
        </is>
      </c>
      <c r="E1225" t="inlineStr">
        <is>
          <t>ÅRJÄNG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1415-2025</t>
        </is>
      </c>
      <c r="B1226" s="1" t="n">
        <v>45668.32795138889</v>
      </c>
      <c r="C1226" s="1" t="n">
        <v>46032</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74086-2021</t>
        </is>
      </c>
      <c r="B1227" s="1" t="n">
        <v>44557.58112268519</v>
      </c>
      <c r="C1227" s="1" t="n">
        <v>46032</v>
      </c>
      <c r="D1227" t="inlineStr">
        <is>
          <t>VÄRMLANDS LÄN</t>
        </is>
      </c>
      <c r="E1227" t="inlineStr">
        <is>
          <t>ÅRJÄNG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10239-2023</t>
        </is>
      </c>
      <c r="B1228" s="1" t="n">
        <v>44986</v>
      </c>
      <c r="C1228" s="1" t="n">
        <v>46032</v>
      </c>
      <c r="D1228" t="inlineStr">
        <is>
          <t>VÄRMLANDS LÄN</t>
        </is>
      </c>
      <c r="E1228" t="inlineStr">
        <is>
          <t>ÅRJÄNG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48130-2023</t>
        </is>
      </c>
      <c r="B1229" s="1" t="n">
        <v>45201</v>
      </c>
      <c r="C1229" s="1" t="n">
        <v>46032</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17174-2023</t>
        </is>
      </c>
      <c r="B1230" s="1" t="n">
        <v>45034</v>
      </c>
      <c r="C1230" s="1" t="n">
        <v>46032</v>
      </c>
      <c r="D1230" t="inlineStr">
        <is>
          <t>VÄRMLANDS LÄN</t>
        </is>
      </c>
      <c r="E1230" t="inlineStr">
        <is>
          <t>ÅRJÄNG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47833-2023</t>
        </is>
      </c>
      <c r="B1231" s="1" t="n">
        <v>45204.36287037037</v>
      </c>
      <c r="C1231" s="1" t="n">
        <v>46032</v>
      </c>
      <c r="D1231" t="inlineStr">
        <is>
          <t>VÄRMLANDS LÄN</t>
        </is>
      </c>
      <c r="E1231" t="inlineStr">
        <is>
          <t>ÅRJÄNG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55167-2024</t>
        </is>
      </c>
      <c r="B1232" s="1" t="n">
        <v>45621</v>
      </c>
      <c r="C1232" s="1" t="n">
        <v>46032</v>
      </c>
      <c r="D1232" t="inlineStr">
        <is>
          <t>VÄRMLANDS LÄN</t>
        </is>
      </c>
      <c r="E1232" t="inlineStr">
        <is>
          <t>ÅRJÄNG</t>
        </is>
      </c>
      <c r="F1232" t="inlineStr">
        <is>
          <t>Bergvik skog väst AB</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6405-2024</t>
        </is>
      </c>
      <c r="B1233" s="1" t="n">
        <v>45338</v>
      </c>
      <c r="C1233" s="1" t="n">
        <v>46032</v>
      </c>
      <c r="D1233" t="inlineStr">
        <is>
          <t>VÄRMLANDS LÄN</t>
        </is>
      </c>
      <c r="E1233" t="inlineStr">
        <is>
          <t>ÅRJÄNG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52278-2023</t>
        </is>
      </c>
      <c r="B1234" s="1" t="n">
        <v>45224.57358796296</v>
      </c>
      <c r="C1234" s="1" t="n">
        <v>46032</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16010-2024</t>
        </is>
      </c>
      <c r="B1235" s="1" t="n">
        <v>45405</v>
      </c>
      <c r="C1235" s="1" t="n">
        <v>46032</v>
      </c>
      <c r="D1235" t="inlineStr">
        <is>
          <t>VÄRMLANDS LÄN</t>
        </is>
      </c>
      <c r="E1235" t="inlineStr">
        <is>
          <t>ÅRJÄNG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52773-2022</t>
        </is>
      </c>
      <c r="B1236" s="1" t="n">
        <v>44875.35628472222</v>
      </c>
      <c r="C1236" s="1" t="n">
        <v>46032</v>
      </c>
      <c r="D1236" t="inlineStr">
        <is>
          <t>VÄRMLANDS LÄN</t>
        </is>
      </c>
      <c r="E1236" t="inlineStr">
        <is>
          <t>ÅRJÄNG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58152-2024</t>
        </is>
      </c>
      <c r="B1237" s="1" t="n">
        <v>45632.43947916666</v>
      </c>
      <c r="C1237" s="1" t="n">
        <v>46032</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43244-2023</t>
        </is>
      </c>
      <c r="B1238" s="1" t="n">
        <v>45183.48121527778</v>
      </c>
      <c r="C1238" s="1" t="n">
        <v>46032</v>
      </c>
      <c r="D1238" t="inlineStr">
        <is>
          <t>VÄRMLANDS LÄN</t>
        </is>
      </c>
      <c r="E1238" t="inlineStr">
        <is>
          <t>ÅRJÄNG</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23971-2023</t>
        </is>
      </c>
      <c r="B1239" s="1" t="n">
        <v>45078.63996527778</v>
      </c>
      <c r="C1239" s="1" t="n">
        <v>46032</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56566-2022</t>
        </is>
      </c>
      <c r="B1240" s="1" t="n">
        <v>44893.50795138889</v>
      </c>
      <c r="C1240" s="1" t="n">
        <v>46032</v>
      </c>
      <c r="D1240" t="inlineStr">
        <is>
          <t>VÄRMLANDS LÄN</t>
        </is>
      </c>
      <c r="E1240" t="inlineStr">
        <is>
          <t>ÅRJÄNG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55517-2023</t>
        </is>
      </c>
      <c r="B1241" s="1" t="n">
        <v>45232</v>
      </c>
      <c r="C1241" s="1" t="n">
        <v>46032</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8356-2025</t>
        </is>
      </c>
      <c r="B1242" s="1" t="n">
        <v>45708.79752314815</v>
      </c>
      <c r="C1242" s="1" t="n">
        <v>46032</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3471-2023</t>
        </is>
      </c>
      <c r="B1243" s="1" t="n">
        <v>44949</v>
      </c>
      <c r="C1243" s="1" t="n">
        <v>46032</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50918-2023</t>
        </is>
      </c>
      <c r="B1244" s="1" t="n">
        <v>45218.4339699074</v>
      </c>
      <c r="C1244" s="1" t="n">
        <v>46032</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27138-2024</t>
        </is>
      </c>
      <c r="B1245" s="1" t="n">
        <v>45471</v>
      </c>
      <c r="C1245" s="1" t="n">
        <v>46032</v>
      </c>
      <c r="D1245" t="inlineStr">
        <is>
          <t>VÄRMLANDS LÄN</t>
        </is>
      </c>
      <c r="E1245" t="inlineStr">
        <is>
          <t>ÅRJÄNG</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45635-2024</t>
        </is>
      </c>
      <c r="B1246" s="1" t="n">
        <v>45579</v>
      </c>
      <c r="C1246" s="1" t="n">
        <v>46032</v>
      </c>
      <c r="D1246" t="inlineStr">
        <is>
          <t>VÄRMLANDS LÄN</t>
        </is>
      </c>
      <c r="E1246" t="inlineStr">
        <is>
          <t>ÅRJÄNG</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13620-2023</t>
        </is>
      </c>
      <c r="B1247" s="1" t="n">
        <v>45006</v>
      </c>
      <c r="C1247" s="1" t="n">
        <v>46032</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47647-2021</t>
        </is>
      </c>
      <c r="B1248" s="1" t="n">
        <v>44448.40790509259</v>
      </c>
      <c r="C1248" s="1" t="n">
        <v>46032</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3656-2022</t>
        </is>
      </c>
      <c r="B1249" s="1" t="n">
        <v>44586</v>
      </c>
      <c r="C1249" s="1" t="n">
        <v>46032</v>
      </c>
      <c r="D1249" t="inlineStr">
        <is>
          <t>VÄRMLANDS LÄN</t>
        </is>
      </c>
      <c r="E1249" t="inlineStr">
        <is>
          <t>ÅRJÄNG</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5106-2023</t>
        </is>
      </c>
      <c r="B1250" s="1" t="n">
        <v>44953</v>
      </c>
      <c r="C1250" s="1" t="n">
        <v>46032</v>
      </c>
      <c r="D1250" t="inlineStr">
        <is>
          <t>VÄRMLANDS LÄN</t>
        </is>
      </c>
      <c r="E1250" t="inlineStr">
        <is>
          <t>ÅRJÄNG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3463-2025</t>
        </is>
      </c>
      <c r="B1251" s="1" t="n">
        <v>45680.49807870371</v>
      </c>
      <c r="C1251" s="1" t="n">
        <v>46032</v>
      </c>
      <c r="D1251" t="inlineStr">
        <is>
          <t>VÄRMLANDS LÄN</t>
        </is>
      </c>
      <c r="E1251" t="inlineStr">
        <is>
          <t>ÅRJÄNG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3479-2025</t>
        </is>
      </c>
      <c r="B1252" s="1" t="n">
        <v>45680.53805555555</v>
      </c>
      <c r="C1252" s="1" t="n">
        <v>46032</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16666-2025</t>
        </is>
      </c>
      <c r="B1253" s="1" t="n">
        <v>45754</v>
      </c>
      <c r="C1253" s="1" t="n">
        <v>46032</v>
      </c>
      <c r="D1253" t="inlineStr">
        <is>
          <t>VÄRMLANDS LÄN</t>
        </is>
      </c>
      <c r="E1253" t="inlineStr">
        <is>
          <t>ÅRJÄNG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41283-2023</t>
        </is>
      </c>
      <c r="B1254" s="1" t="n">
        <v>45174.57032407408</v>
      </c>
      <c r="C1254" s="1" t="n">
        <v>46032</v>
      </c>
      <c r="D1254" t="inlineStr">
        <is>
          <t>VÄRMLANDS LÄN</t>
        </is>
      </c>
      <c r="E1254" t="inlineStr">
        <is>
          <t>ÅRJÄNG</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21513-2024</t>
        </is>
      </c>
      <c r="B1255" s="1" t="n">
        <v>45441</v>
      </c>
      <c r="C1255" s="1" t="n">
        <v>46032</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49405-2022</t>
        </is>
      </c>
      <c r="B1256" s="1" t="n">
        <v>44861.63182870371</v>
      </c>
      <c r="C1256" s="1" t="n">
        <v>46032</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60377-2023</t>
        </is>
      </c>
      <c r="B1257" s="1" t="n">
        <v>45259.40993055556</v>
      </c>
      <c r="C1257" s="1" t="n">
        <v>46032</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6522-2021</t>
        </is>
      </c>
      <c r="B1258" s="1" t="n">
        <v>44236</v>
      </c>
      <c r="C1258" s="1" t="n">
        <v>46032</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7877-2025</t>
        </is>
      </c>
      <c r="B1259" s="1" t="n">
        <v>45706.76609953704</v>
      </c>
      <c r="C1259" s="1" t="n">
        <v>46032</v>
      </c>
      <c r="D1259" t="inlineStr">
        <is>
          <t>VÄRMLANDS LÄN</t>
        </is>
      </c>
      <c r="E1259" t="inlineStr">
        <is>
          <t>ÅRJÄNG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34181-2024</t>
        </is>
      </c>
      <c r="B1260" s="1" t="n">
        <v>45524</v>
      </c>
      <c r="C1260" s="1" t="n">
        <v>46032</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34184-2024</t>
        </is>
      </c>
      <c r="B1261" s="1" t="n">
        <v>45524</v>
      </c>
      <c r="C1261" s="1" t="n">
        <v>46032</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37382-2024</t>
        </is>
      </c>
      <c r="B1262" s="1" t="n">
        <v>45540</v>
      </c>
      <c r="C1262" s="1" t="n">
        <v>46032</v>
      </c>
      <c r="D1262" t="inlineStr">
        <is>
          <t>VÄRMLANDS LÄN</t>
        </is>
      </c>
      <c r="E1262" t="inlineStr">
        <is>
          <t>ÅRJÄNG</t>
        </is>
      </c>
      <c r="G1262" t="n">
        <v>12.3</v>
      </c>
      <c r="H1262" t="n">
        <v>0</v>
      </c>
      <c r="I1262" t="n">
        <v>0</v>
      </c>
      <c r="J1262" t="n">
        <v>0</v>
      </c>
      <c r="K1262" t="n">
        <v>0</v>
      </c>
      <c r="L1262" t="n">
        <v>0</v>
      </c>
      <c r="M1262" t="n">
        <v>0</v>
      </c>
      <c r="N1262" t="n">
        <v>0</v>
      </c>
      <c r="O1262" t="n">
        <v>0</v>
      </c>
      <c r="P1262" t="n">
        <v>0</v>
      </c>
      <c r="Q1262" t="n">
        <v>0</v>
      </c>
      <c r="R1262" s="2" t="inlineStr"/>
    </row>
    <row r="1263" ht="15" customHeight="1">
      <c r="A1263" t="inlineStr">
        <is>
          <t>A 49057-2024</t>
        </is>
      </c>
      <c r="B1263" s="1" t="n">
        <v>45594</v>
      </c>
      <c r="C1263" s="1" t="n">
        <v>46032</v>
      </c>
      <c r="D1263" t="inlineStr">
        <is>
          <t>VÄRMLANDS LÄN</t>
        </is>
      </c>
      <c r="E1263" t="inlineStr">
        <is>
          <t>ÅRJÄNG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6034-2021</t>
        </is>
      </c>
      <c r="B1264" s="1" t="n">
        <v>44232.33623842592</v>
      </c>
      <c r="C1264" s="1" t="n">
        <v>46032</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59352-2022</t>
        </is>
      </c>
      <c r="B1265" s="1" t="n">
        <v>44904.7077199074</v>
      </c>
      <c r="C1265" s="1" t="n">
        <v>46032</v>
      </c>
      <c r="D1265" t="inlineStr">
        <is>
          <t>VÄRMLANDS LÄN</t>
        </is>
      </c>
      <c r="E1265" t="inlineStr">
        <is>
          <t>ÅRJÄNG</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15164-2023</t>
        </is>
      </c>
      <c r="B1266" s="1" t="n">
        <v>45016.59475694445</v>
      </c>
      <c r="C1266" s="1" t="n">
        <v>46032</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46318-2024</t>
        </is>
      </c>
      <c r="B1267" s="1" t="n">
        <v>45581.75744212963</v>
      </c>
      <c r="C1267" s="1" t="n">
        <v>46032</v>
      </c>
      <c r="D1267" t="inlineStr">
        <is>
          <t>VÄRMLANDS LÄN</t>
        </is>
      </c>
      <c r="E1267" t="inlineStr">
        <is>
          <t>ÅRJÄNG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26265-2024</t>
        </is>
      </c>
      <c r="B1268" s="1" t="n">
        <v>45468</v>
      </c>
      <c r="C1268" s="1" t="n">
        <v>46032</v>
      </c>
      <c r="D1268" t="inlineStr">
        <is>
          <t>VÄRMLANDS LÄN</t>
        </is>
      </c>
      <c r="E1268" t="inlineStr">
        <is>
          <t>ÅRJÄNG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6551-2025</t>
        </is>
      </c>
      <c r="B1269" s="1" t="n">
        <v>45699.71454861111</v>
      </c>
      <c r="C1269" s="1" t="n">
        <v>46032</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26833-2024</t>
        </is>
      </c>
      <c r="B1270" s="1" t="n">
        <v>45470</v>
      </c>
      <c r="C1270" s="1" t="n">
        <v>46032</v>
      </c>
      <c r="D1270" t="inlineStr">
        <is>
          <t>VÄRMLANDS LÄN</t>
        </is>
      </c>
      <c r="E1270" t="inlineStr">
        <is>
          <t>ÅRJÄNG</t>
        </is>
      </c>
      <c r="F1270" t="inlineStr">
        <is>
          <t>Kyrkan</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40349-2024</t>
        </is>
      </c>
      <c r="B1271" s="1" t="n">
        <v>45555.35849537037</v>
      </c>
      <c r="C1271" s="1" t="n">
        <v>46032</v>
      </c>
      <c r="D1271" t="inlineStr">
        <is>
          <t>VÄRMLANDS LÄN</t>
        </is>
      </c>
      <c r="E1271" t="inlineStr">
        <is>
          <t>ÅRJÄNG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7746-2022</t>
        </is>
      </c>
      <c r="B1272" s="1" t="n">
        <v>44608.39331018519</v>
      </c>
      <c r="C1272" s="1" t="n">
        <v>46032</v>
      </c>
      <c r="D1272" t="inlineStr">
        <is>
          <t>VÄRMLANDS LÄN</t>
        </is>
      </c>
      <c r="E1272" t="inlineStr">
        <is>
          <t>ÅRJÄNG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8951-2021</t>
        </is>
      </c>
      <c r="B1273" s="1" t="n">
        <v>44246</v>
      </c>
      <c r="C1273" s="1" t="n">
        <v>46032</v>
      </c>
      <c r="D1273" t="inlineStr">
        <is>
          <t>VÄRMLANDS LÄN</t>
        </is>
      </c>
      <c r="E1273" t="inlineStr">
        <is>
          <t>ÅRJÄNG</t>
        </is>
      </c>
      <c r="F1273" t="inlineStr">
        <is>
          <t>Övriga Aktiebolag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45827-2024</t>
        </is>
      </c>
      <c r="B1274" s="1" t="n">
        <v>45579</v>
      </c>
      <c r="C1274" s="1" t="n">
        <v>46032</v>
      </c>
      <c r="D1274" t="inlineStr">
        <is>
          <t>VÄRMLANDS LÄN</t>
        </is>
      </c>
      <c r="E1274" t="inlineStr">
        <is>
          <t>ÅRJÄNG</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5122-2025</t>
        </is>
      </c>
      <c r="B1275" s="1" t="n">
        <v>45691.55863425926</v>
      </c>
      <c r="C1275" s="1" t="n">
        <v>46032</v>
      </c>
      <c r="D1275" t="inlineStr">
        <is>
          <t>VÄRMLANDS LÄN</t>
        </is>
      </c>
      <c r="E1275" t="inlineStr">
        <is>
          <t>ÅRJÄNG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21519-2024</t>
        </is>
      </c>
      <c r="B1276" s="1" t="n">
        <v>45441</v>
      </c>
      <c r="C1276" s="1" t="n">
        <v>46032</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33525-2023</t>
        </is>
      </c>
      <c r="B1277" s="1" t="n">
        <v>45131.51326388889</v>
      </c>
      <c r="C1277" s="1" t="n">
        <v>46032</v>
      </c>
      <c r="D1277" t="inlineStr">
        <is>
          <t>VÄRMLANDS LÄN</t>
        </is>
      </c>
      <c r="E1277" t="inlineStr">
        <is>
          <t>ÅRJÄNG</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15303-2025</t>
        </is>
      </c>
      <c r="B1278" s="1" t="n">
        <v>45746</v>
      </c>
      <c r="C1278" s="1" t="n">
        <v>46032</v>
      </c>
      <c r="D1278" t="inlineStr">
        <is>
          <t>VÄRMLANDS LÄN</t>
        </is>
      </c>
      <c r="E1278" t="inlineStr">
        <is>
          <t>ÅRJÄNG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38482-2024</t>
        </is>
      </c>
      <c r="B1279" s="1" t="n">
        <v>45546</v>
      </c>
      <c r="C1279" s="1" t="n">
        <v>46032</v>
      </c>
      <c r="D1279" t="inlineStr">
        <is>
          <t>VÄRMLANDS LÄN</t>
        </is>
      </c>
      <c r="E1279" t="inlineStr">
        <is>
          <t>ÅRJÄNG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33017-2022</t>
        </is>
      </c>
      <c r="B1280" s="1" t="n">
        <v>44785.32934027778</v>
      </c>
      <c r="C1280" s="1" t="n">
        <v>46032</v>
      </c>
      <c r="D1280" t="inlineStr">
        <is>
          <t>VÄRMLANDS LÄN</t>
        </is>
      </c>
      <c r="E1280" t="inlineStr">
        <is>
          <t>ÅRJÄNG</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39187-2024</t>
        </is>
      </c>
      <c r="B1281" s="1" t="n">
        <v>45548.66915509259</v>
      </c>
      <c r="C1281" s="1" t="n">
        <v>46032</v>
      </c>
      <c r="D1281" t="inlineStr">
        <is>
          <t>VÄRMLANDS LÄN</t>
        </is>
      </c>
      <c r="E1281" t="inlineStr">
        <is>
          <t>ÅRJÄNG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24477-2022</t>
        </is>
      </c>
      <c r="B1282" s="1" t="n">
        <v>44726.65575231481</v>
      </c>
      <c r="C1282" s="1" t="n">
        <v>46032</v>
      </c>
      <c r="D1282" t="inlineStr">
        <is>
          <t>VÄRMLANDS LÄN</t>
        </is>
      </c>
      <c r="E1282" t="inlineStr">
        <is>
          <t>ÅRJÄNG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4465-2022</t>
        </is>
      </c>
      <c r="B1283" s="1" t="n">
        <v>44589.60690972222</v>
      </c>
      <c r="C1283" s="1" t="n">
        <v>46032</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70591-2021</t>
        </is>
      </c>
      <c r="B1284" s="1" t="n">
        <v>44537.41471064815</v>
      </c>
      <c r="C1284" s="1" t="n">
        <v>46032</v>
      </c>
      <c r="D1284" t="inlineStr">
        <is>
          <t>VÄRMLANDS LÄN</t>
        </is>
      </c>
      <c r="E1284" t="inlineStr">
        <is>
          <t>ÅRJÄNG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36563-2024</t>
        </is>
      </c>
      <c r="B1285" s="1" t="n">
        <v>45537</v>
      </c>
      <c r="C1285" s="1" t="n">
        <v>46032</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37029-2024</t>
        </is>
      </c>
      <c r="B1286" s="1" t="n">
        <v>45539.38806712963</v>
      </c>
      <c r="C1286" s="1" t="n">
        <v>46032</v>
      </c>
      <c r="D1286" t="inlineStr">
        <is>
          <t>VÄRMLANDS LÄN</t>
        </is>
      </c>
      <c r="E1286" t="inlineStr">
        <is>
          <t>ÅRJÄNG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29603-2024</t>
        </is>
      </c>
      <c r="B1287" s="1" t="n">
        <v>45484</v>
      </c>
      <c r="C1287" s="1" t="n">
        <v>46032</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20028-2023</t>
        </is>
      </c>
      <c r="B1288" s="1" t="n">
        <v>45054.64534722222</v>
      </c>
      <c r="C1288" s="1" t="n">
        <v>46032</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52382-2024</t>
        </is>
      </c>
      <c r="B1289" s="1" t="n">
        <v>45608</v>
      </c>
      <c r="C1289" s="1" t="n">
        <v>46032</v>
      </c>
      <c r="D1289" t="inlineStr">
        <is>
          <t>VÄRMLANDS LÄN</t>
        </is>
      </c>
      <c r="E1289" t="inlineStr">
        <is>
          <t>ÅRJÄNG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29558-2024</t>
        </is>
      </c>
      <c r="B1290" s="1" t="n">
        <v>45484</v>
      </c>
      <c r="C1290" s="1" t="n">
        <v>46032</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39557-2023</t>
        </is>
      </c>
      <c r="B1291" s="1" t="n">
        <v>45167.38633101852</v>
      </c>
      <c r="C1291" s="1" t="n">
        <v>46032</v>
      </c>
      <c r="D1291" t="inlineStr">
        <is>
          <t>VÄRMLANDS LÄN</t>
        </is>
      </c>
      <c r="E1291" t="inlineStr">
        <is>
          <t>ÅRJÄNG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49701-2022</t>
        </is>
      </c>
      <c r="B1292" s="1" t="n">
        <v>44862.53201388889</v>
      </c>
      <c r="C1292" s="1" t="n">
        <v>46032</v>
      </c>
      <c r="D1292" t="inlineStr">
        <is>
          <t>VÄRMLANDS LÄN</t>
        </is>
      </c>
      <c r="E1292" t="inlineStr">
        <is>
          <t>ÅRJÄNG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49795-2024</t>
        </is>
      </c>
      <c r="B1293" s="1" t="n">
        <v>45597.3713425926</v>
      </c>
      <c r="C1293" s="1" t="n">
        <v>46032</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36706-2024</t>
        </is>
      </c>
      <c r="B1294" s="1" t="n">
        <v>45537</v>
      </c>
      <c r="C1294" s="1" t="n">
        <v>46032</v>
      </c>
      <c r="D1294" t="inlineStr">
        <is>
          <t>VÄRMLANDS LÄN</t>
        </is>
      </c>
      <c r="E1294" t="inlineStr">
        <is>
          <t>ÅRJÄNG</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32973-2021</t>
        </is>
      </c>
      <c r="B1295" s="1" t="n">
        <v>44376</v>
      </c>
      <c r="C1295" s="1" t="n">
        <v>46032</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8625-2022</t>
        </is>
      </c>
      <c r="B1296" s="1" t="n">
        <v>44613.61064814815</v>
      </c>
      <c r="C1296" s="1" t="n">
        <v>46032</v>
      </c>
      <c r="D1296" t="inlineStr">
        <is>
          <t>VÄRMLANDS LÄN</t>
        </is>
      </c>
      <c r="E1296" t="inlineStr">
        <is>
          <t>ÅRJÄNG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59014-2024</t>
        </is>
      </c>
      <c r="B1297" s="1" t="n">
        <v>45636</v>
      </c>
      <c r="C1297" s="1" t="n">
        <v>46032</v>
      </c>
      <c r="D1297" t="inlineStr">
        <is>
          <t>VÄRMLANDS LÄN</t>
        </is>
      </c>
      <c r="E1297" t="inlineStr">
        <is>
          <t>ÅRJÄNG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45288.71099537037</v>
      </c>
      <c r="C1298" s="1" t="n">
        <v>46032</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34803-2021</t>
        </is>
      </c>
      <c r="B1299" s="1" t="n">
        <v>44383</v>
      </c>
      <c r="C1299" s="1" t="n">
        <v>46032</v>
      </c>
      <c r="D1299" t="inlineStr">
        <is>
          <t>VÄRMLANDS LÄN</t>
        </is>
      </c>
      <c r="E1299" t="inlineStr">
        <is>
          <t>ÅRJÄNG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7700-2023</t>
        </is>
      </c>
      <c r="B1300" s="1" t="n">
        <v>44967</v>
      </c>
      <c r="C1300" s="1" t="n">
        <v>46032</v>
      </c>
      <c r="D1300" t="inlineStr">
        <is>
          <t>VÄRMLANDS LÄN</t>
        </is>
      </c>
      <c r="E1300" t="inlineStr">
        <is>
          <t>ÅRJÄNG</t>
        </is>
      </c>
      <c r="F1300" t="inlineStr">
        <is>
          <t>Övriga Aktiebolag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50537-2023</t>
        </is>
      </c>
      <c r="B1301" s="1" t="n">
        <v>45217</v>
      </c>
      <c r="C1301" s="1" t="n">
        <v>46032</v>
      </c>
      <c r="D1301" t="inlineStr">
        <is>
          <t>VÄRMLANDS LÄN</t>
        </is>
      </c>
      <c r="E1301" t="inlineStr">
        <is>
          <t>ÅRJÄNG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59479-2024</t>
        </is>
      </c>
      <c r="B1302" s="1" t="n">
        <v>45638.52420138889</v>
      </c>
      <c r="C1302" s="1" t="n">
        <v>46032</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46315-2024</t>
        </is>
      </c>
      <c r="B1303" s="1" t="n">
        <v>45581.73703703703</v>
      </c>
      <c r="C1303" s="1" t="n">
        <v>46032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34425-2021</t>
        </is>
      </c>
      <c r="B1304" s="1" t="n">
        <v>44380</v>
      </c>
      <c r="C1304" s="1" t="n">
        <v>46032</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57161-2024</t>
        </is>
      </c>
      <c r="B1305" s="1" t="n">
        <v>45628</v>
      </c>
      <c r="C1305" s="1" t="n">
        <v>46032</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11026-2023</t>
        </is>
      </c>
      <c r="B1306" s="1" t="n">
        <v>44991</v>
      </c>
      <c r="C1306" s="1" t="n">
        <v>46032</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58540-2024</t>
        </is>
      </c>
      <c r="B1307" s="1" t="n">
        <v>45635</v>
      </c>
      <c r="C1307" s="1" t="n">
        <v>46032</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6646-2025</t>
        </is>
      </c>
      <c r="B1308" s="1" t="n">
        <v>45700</v>
      </c>
      <c r="C1308" s="1" t="n">
        <v>46032</v>
      </c>
      <c r="D1308" t="inlineStr">
        <is>
          <t>VÄRMLANDS LÄN</t>
        </is>
      </c>
      <c r="E1308" t="inlineStr">
        <is>
          <t>ÅRJÄNG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2116-2025</t>
        </is>
      </c>
      <c r="B1309" s="1" t="n">
        <v>45672</v>
      </c>
      <c r="C1309" s="1" t="n">
        <v>46032</v>
      </c>
      <c r="D1309" t="inlineStr">
        <is>
          <t>VÄRMLANDS LÄN</t>
        </is>
      </c>
      <c r="E1309" t="inlineStr">
        <is>
          <t>ÅRJÄNG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52579-2024</t>
        </is>
      </c>
      <c r="B1310" s="1" t="n">
        <v>45609</v>
      </c>
      <c r="C1310" s="1" t="n">
        <v>46032</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47223-2021</t>
        </is>
      </c>
      <c r="B1311" s="1" t="n">
        <v>44446</v>
      </c>
      <c r="C1311" s="1" t="n">
        <v>46032</v>
      </c>
      <c r="D1311" t="inlineStr">
        <is>
          <t>VÄRMLANDS LÄN</t>
        </is>
      </c>
      <c r="E1311" t="inlineStr">
        <is>
          <t>ÅRJÄNG</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45962-2021</t>
        </is>
      </c>
      <c r="B1312" s="1" t="n">
        <v>44441</v>
      </c>
      <c r="C1312" s="1" t="n">
        <v>46032</v>
      </c>
      <c r="D1312" t="inlineStr">
        <is>
          <t>VÄRMLANDS LÄN</t>
        </is>
      </c>
      <c r="E1312" t="inlineStr">
        <is>
          <t>ÅRJÄNG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12137-2025</t>
        </is>
      </c>
      <c r="B1313" s="1" t="n">
        <v>45729.39879629629</v>
      </c>
      <c r="C1313" s="1" t="n">
        <v>46032</v>
      </c>
      <c r="D1313" t="inlineStr">
        <is>
          <t>VÄRMLANDS LÄN</t>
        </is>
      </c>
      <c r="E1313" t="inlineStr">
        <is>
          <t>ÅRJÄNG</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42233-2024</t>
        </is>
      </c>
      <c r="B1314" s="1" t="n">
        <v>45562</v>
      </c>
      <c r="C1314" s="1" t="n">
        <v>46032</v>
      </c>
      <c r="D1314" t="inlineStr">
        <is>
          <t>VÄRMLANDS LÄN</t>
        </is>
      </c>
      <c r="E1314" t="inlineStr">
        <is>
          <t>ÅRJÄNG</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14910-2025</t>
        </is>
      </c>
      <c r="B1315" s="1" t="n">
        <v>45743.52327546296</v>
      </c>
      <c r="C1315" s="1" t="n">
        <v>46032</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17178-2021</t>
        </is>
      </c>
      <c r="B1316" s="1" t="n">
        <v>44298.46592592593</v>
      </c>
      <c r="C1316" s="1" t="n">
        <v>46032</v>
      </c>
      <c r="D1316" t="inlineStr">
        <is>
          <t>VÄRMLANDS LÄN</t>
        </is>
      </c>
      <c r="E1316" t="inlineStr">
        <is>
          <t>ÅRJÄNG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44647-2021</t>
        </is>
      </c>
      <c r="B1317" s="1" t="n">
        <v>44437.83967592593</v>
      </c>
      <c r="C1317" s="1" t="n">
        <v>46032</v>
      </c>
      <c r="D1317" t="inlineStr">
        <is>
          <t>VÄRMLANDS LÄN</t>
        </is>
      </c>
      <c r="E1317" t="inlineStr">
        <is>
          <t>ÅRJÄNG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92-2022</t>
        </is>
      </c>
      <c r="B1318" s="1" t="n">
        <v>44564</v>
      </c>
      <c r="C1318" s="1" t="n">
        <v>46032</v>
      </c>
      <c r="D1318" t="inlineStr">
        <is>
          <t>VÄRMLANDS LÄN</t>
        </is>
      </c>
      <c r="E1318" t="inlineStr">
        <is>
          <t>ÅRJÄNG</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30710-2023</t>
        </is>
      </c>
      <c r="B1319" s="1" t="n">
        <v>45112.59900462963</v>
      </c>
      <c r="C1319" s="1" t="n">
        <v>46032</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5095-2022</t>
        </is>
      </c>
      <c r="B1320" s="1" t="n">
        <v>44593.86192129629</v>
      </c>
      <c r="C1320" s="1" t="n">
        <v>46032</v>
      </c>
      <c r="D1320" t="inlineStr">
        <is>
          <t>VÄRMLANDS LÄN</t>
        </is>
      </c>
      <c r="E1320" t="inlineStr">
        <is>
          <t>ÅRJÄNG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4582-2025</t>
        </is>
      </c>
      <c r="B1321" s="1" t="n">
        <v>45687</v>
      </c>
      <c r="C1321" s="1" t="n">
        <v>46032</v>
      </c>
      <c r="D1321" t="inlineStr">
        <is>
          <t>VÄRMLANDS LÄN</t>
        </is>
      </c>
      <c r="E1321" t="inlineStr">
        <is>
          <t>ÅRJÄNG</t>
        </is>
      </c>
      <c r="F1321" t="inlineStr">
        <is>
          <t>Övriga Aktiebolag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14434-2025</t>
        </is>
      </c>
      <c r="B1322" s="1" t="n">
        <v>45741</v>
      </c>
      <c r="C1322" s="1" t="n">
        <v>46032</v>
      </c>
      <c r="D1322" t="inlineStr">
        <is>
          <t>VÄRMLANDS LÄN</t>
        </is>
      </c>
      <c r="E1322" t="inlineStr">
        <is>
          <t>ÅRJÄNG</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21145-2022</t>
        </is>
      </c>
      <c r="B1323" s="1" t="n">
        <v>44704</v>
      </c>
      <c r="C1323" s="1" t="n">
        <v>46032</v>
      </c>
      <c r="D1323" t="inlineStr">
        <is>
          <t>VÄRMLANDS LÄN</t>
        </is>
      </c>
      <c r="E1323" t="inlineStr">
        <is>
          <t>ÅRJÄNG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5127-2025</t>
        </is>
      </c>
      <c r="B1324" s="1" t="n">
        <v>45691.56623842593</v>
      </c>
      <c r="C1324" s="1" t="n">
        <v>46032</v>
      </c>
      <c r="D1324" t="inlineStr">
        <is>
          <t>VÄRMLANDS LÄN</t>
        </is>
      </c>
      <c r="E1324" t="inlineStr">
        <is>
          <t>ÅRJÄNG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13001-2025</t>
        </is>
      </c>
      <c r="B1325" s="1" t="n">
        <v>45734.49777777777</v>
      </c>
      <c r="C1325" s="1" t="n">
        <v>46032</v>
      </c>
      <c r="D1325" t="inlineStr">
        <is>
          <t>VÄRMLANDS LÄN</t>
        </is>
      </c>
      <c r="E1325" t="inlineStr">
        <is>
          <t>ÅRJÄNG</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13002-2025</t>
        </is>
      </c>
      <c r="B1326" s="1" t="n">
        <v>45734.50288194444</v>
      </c>
      <c r="C1326" s="1" t="n">
        <v>46032</v>
      </c>
      <c r="D1326" t="inlineStr">
        <is>
          <t>VÄRMLANDS LÄN</t>
        </is>
      </c>
      <c r="E1326" t="inlineStr">
        <is>
          <t>ÅRJÄNG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15574-2025</t>
        </is>
      </c>
      <c r="B1327" s="1" t="n">
        <v>45747</v>
      </c>
      <c r="C1327" s="1" t="n">
        <v>46032</v>
      </c>
      <c r="D1327" t="inlineStr">
        <is>
          <t>VÄRMLANDS LÄN</t>
        </is>
      </c>
      <c r="E1327" t="inlineStr">
        <is>
          <t>ÅRJÄNG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4763-2023</t>
        </is>
      </c>
      <c r="B1328" s="1" t="n">
        <v>44957.57651620371</v>
      </c>
      <c r="C1328" s="1" t="n">
        <v>46032</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56769-2024</t>
        </is>
      </c>
      <c r="B1329" s="1" t="n">
        <v>45628.41550925926</v>
      </c>
      <c r="C1329" s="1" t="n">
        <v>46032</v>
      </c>
      <c r="D1329" t="inlineStr">
        <is>
          <t>VÄRMLANDS LÄN</t>
        </is>
      </c>
      <c r="E1329" t="inlineStr">
        <is>
          <t>ÅRJÄNG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36018-2024</t>
        </is>
      </c>
      <c r="B1330" s="1" t="n">
        <v>45533</v>
      </c>
      <c r="C1330" s="1" t="n">
        <v>46032</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36035-2024</t>
        </is>
      </c>
      <c r="B1331" s="1" t="n">
        <v>45533.59534722222</v>
      </c>
      <c r="C1331" s="1" t="n">
        <v>46032</v>
      </c>
      <c r="D1331" t="inlineStr">
        <is>
          <t>VÄRMLANDS LÄN</t>
        </is>
      </c>
      <c r="E1331" t="inlineStr">
        <is>
          <t>ÅRJÄNG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33525-2022</t>
        </is>
      </c>
      <c r="B1332" s="1" t="n">
        <v>44789.31077546296</v>
      </c>
      <c r="C1332" s="1" t="n">
        <v>46032</v>
      </c>
      <c r="D1332" t="inlineStr">
        <is>
          <t>VÄRMLANDS LÄN</t>
        </is>
      </c>
      <c r="E1332" t="inlineStr">
        <is>
          <t>ÅRJÄNG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8918-2025</t>
        </is>
      </c>
      <c r="B1333" s="1" t="n">
        <v>45713.43067129629</v>
      </c>
      <c r="C1333" s="1" t="n">
        <v>46032</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59068-2024</t>
        </is>
      </c>
      <c r="B1334" s="1" t="n">
        <v>45636.95376157408</v>
      </c>
      <c r="C1334" s="1" t="n">
        <v>46032</v>
      </c>
      <c r="D1334" t="inlineStr">
        <is>
          <t>VÄRMLANDS LÄN</t>
        </is>
      </c>
      <c r="E1334" t="inlineStr">
        <is>
          <t>ÅRJÄNG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20337-2023</t>
        </is>
      </c>
      <c r="B1335" s="1" t="n">
        <v>45056.48157407407</v>
      </c>
      <c r="C1335" s="1" t="n">
        <v>46032</v>
      </c>
      <c r="D1335" t="inlineStr">
        <is>
          <t>VÄRMLANDS LÄN</t>
        </is>
      </c>
      <c r="E1335" t="inlineStr">
        <is>
          <t>ÅRJÄNG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46473-2024</t>
        </is>
      </c>
      <c r="B1336" s="1" t="n">
        <v>45582</v>
      </c>
      <c r="C1336" s="1" t="n">
        <v>46032</v>
      </c>
      <c r="D1336" t="inlineStr">
        <is>
          <t>VÄRMLANDS LÄN</t>
        </is>
      </c>
      <c r="E1336" t="inlineStr">
        <is>
          <t>ÅRJÄNG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46032</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12209-2023</t>
        </is>
      </c>
      <c r="B1338" s="1" t="n">
        <v>44998</v>
      </c>
      <c r="C1338" s="1" t="n">
        <v>46032</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16562-2024</t>
        </is>
      </c>
      <c r="B1339" s="1" t="n">
        <v>45408.45829861111</v>
      </c>
      <c r="C1339" s="1" t="n">
        <v>46032</v>
      </c>
      <c r="D1339" t="inlineStr">
        <is>
          <t>VÄRMLANDS LÄN</t>
        </is>
      </c>
      <c r="E1339" t="inlineStr">
        <is>
          <t>ÅRJÄNG</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20975-2025</t>
        </is>
      </c>
      <c r="B1340" s="1" t="n">
        <v>45777.45922453704</v>
      </c>
      <c r="C1340" s="1" t="n">
        <v>46032</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20957-2025</t>
        </is>
      </c>
      <c r="B1341" s="1" t="n">
        <v>45777.44613425926</v>
      </c>
      <c r="C1341" s="1" t="n">
        <v>46032</v>
      </c>
      <c r="D1341" t="inlineStr">
        <is>
          <t>VÄRMLANDS LÄN</t>
        </is>
      </c>
      <c r="E1341" t="inlineStr">
        <is>
          <t>ÅRJÄNG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20747-2025</t>
        </is>
      </c>
      <c r="B1342" s="1" t="n">
        <v>45776.56221064815</v>
      </c>
      <c r="C1342" s="1" t="n">
        <v>46032</v>
      </c>
      <c r="D1342" t="inlineStr">
        <is>
          <t>VÄRMLANDS LÄN</t>
        </is>
      </c>
      <c r="E1342" t="inlineStr">
        <is>
          <t>ÅRJÄNG</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21258-2025</t>
        </is>
      </c>
      <c r="B1343" s="1" t="n">
        <v>45779.59001157407</v>
      </c>
      <c r="C1343" s="1" t="n">
        <v>46032</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1467-2025</t>
        </is>
      </c>
      <c r="B1344" s="1" t="n">
        <v>45667</v>
      </c>
      <c r="C1344" s="1" t="n">
        <v>46032</v>
      </c>
      <c r="D1344" t="inlineStr">
        <is>
          <t>VÄRMLANDS LÄN</t>
        </is>
      </c>
      <c r="E1344" t="inlineStr">
        <is>
          <t>ÅRJÄNG</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c r="A1345" t="inlineStr">
        <is>
          <t>A 7193-2024</t>
        </is>
      </c>
      <c r="B1345" s="1" t="n">
        <v>45344</v>
      </c>
      <c r="C1345" s="1" t="n">
        <v>46032</v>
      </c>
      <c r="D1345" t="inlineStr">
        <is>
          <t>VÄRMLANDS LÄN</t>
        </is>
      </c>
      <c r="E1345" t="inlineStr">
        <is>
          <t>ÅRJÄNG</t>
        </is>
      </c>
      <c r="G1345" t="n">
        <v>2</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2026-01-10T10:49:25Z</dcterms:created>
  <dcterms:modified xmlns:dcterms="http://purl.org/dc/terms/" xmlns:xsi="http://www.w3.org/2001/XMLSchema-instance" xsi:type="dcterms:W3CDTF">2026-01-10T10:49:27Z</dcterms:modified>
</cp:coreProperties>
</file>