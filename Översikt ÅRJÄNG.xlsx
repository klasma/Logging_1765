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45924</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45924</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45924</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45924</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45924</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45924</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45924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11156-2024</t>
        </is>
      </c>
      <c r="B12" s="1" t="n">
        <v>45371</v>
      </c>
      <c r="C12" s="1" t="n">
        <v>45924</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45924</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45924</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45924</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45924</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37401-2025</t>
        </is>
      </c>
      <c r="B17" s="1" t="n">
        <v>45877</v>
      </c>
      <c r="C17" s="1" t="n">
        <v>45924</v>
      </c>
      <c r="D17" t="inlineStr">
        <is>
          <t>VÄRMLANDS LÄN</t>
        </is>
      </c>
      <c r="E17" t="inlineStr">
        <is>
          <t>ÅRJÄNG</t>
        </is>
      </c>
      <c r="G17" t="n">
        <v>0.8</v>
      </c>
      <c r="H17" t="n">
        <v>2</v>
      </c>
      <c r="I17" t="n">
        <v>0</v>
      </c>
      <c r="J17" t="n">
        <v>2</v>
      </c>
      <c r="K17" t="n">
        <v>0</v>
      </c>
      <c r="L17" t="n">
        <v>0</v>
      </c>
      <c r="M17" t="n">
        <v>0</v>
      </c>
      <c r="N17" t="n">
        <v>0</v>
      </c>
      <c r="O17" t="n">
        <v>2</v>
      </c>
      <c r="P17" t="n">
        <v>0</v>
      </c>
      <c r="Q17" t="n">
        <v>3</v>
      </c>
      <c r="R17" s="2" t="inlineStr">
        <is>
          <t>Gränsticka
Spillkråka
Gröngöling</t>
        </is>
      </c>
      <c r="S17">
        <f>HYPERLINK("https://klasma.github.io/Logging_1765/artfynd/A 37401-2025 artfynd.xlsx", "A 37401-2025")</f>
        <v/>
      </c>
      <c r="T17">
        <f>HYPERLINK("https://klasma.github.io/Logging_1765/kartor/A 37401-2025 karta.png",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61045-2023</t>
        </is>
      </c>
      <c r="B18" s="1" t="n">
        <v>45260</v>
      </c>
      <c r="C18" s="1" t="n">
        <v>45924</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60668-2023</t>
        </is>
      </c>
      <c r="B19" s="1" t="n">
        <v>45260</v>
      </c>
      <c r="C19" s="1" t="n">
        <v>45924</v>
      </c>
      <c r="D19" t="inlineStr">
        <is>
          <t>VÄRMLANDS LÄN</t>
        </is>
      </c>
      <c r="E19" t="inlineStr">
        <is>
          <t>ÅRJÄNG</t>
        </is>
      </c>
      <c r="G19" t="n">
        <v>4.8</v>
      </c>
      <c r="H19" t="n">
        <v>2</v>
      </c>
      <c r="I19" t="n">
        <v>0</v>
      </c>
      <c r="J19" t="n">
        <v>3</v>
      </c>
      <c r="K19" t="n">
        <v>0</v>
      </c>
      <c r="L19" t="n">
        <v>0</v>
      </c>
      <c r="M19" t="n">
        <v>0</v>
      </c>
      <c r="N19" t="n">
        <v>0</v>
      </c>
      <c r="O19" t="n">
        <v>3</v>
      </c>
      <c r="P19" t="n">
        <v>0</v>
      </c>
      <c r="Q19" t="n">
        <v>3</v>
      </c>
      <c r="R19" s="2" t="inlineStr">
        <is>
          <t>Garnlav
Spillkråka
Tretåig hackspett</t>
        </is>
      </c>
      <c r="S19">
        <f>HYPERLINK("https://klasma.github.io/Logging_1765/artfynd/A 60668-2023 artfynd.xlsx", "A 60668-2023")</f>
        <v/>
      </c>
      <c r="T19">
        <f>HYPERLINK("https://klasma.github.io/Logging_1765/kartor/A 60668-2023 karta.png", "A 60668-2023")</f>
        <v/>
      </c>
      <c r="U19">
        <f>HYPERLINK("https://klasma.github.io/Logging_1765/knärot/A 60668-2023 karta knärot.png", "A 60668-2023")</f>
        <v/>
      </c>
      <c r="V19">
        <f>HYPERLINK("https://klasma.github.io/Logging_1765/klagomål/A 60668-2023 FSC-klagomål.docx", "A 60668-2023")</f>
        <v/>
      </c>
      <c r="W19">
        <f>HYPERLINK("https://klasma.github.io/Logging_1765/klagomålsmail/A 60668-2023 FSC-klagomål mail.docx", "A 60668-2023")</f>
        <v/>
      </c>
      <c r="X19">
        <f>HYPERLINK("https://klasma.github.io/Logging_1765/tillsyn/A 60668-2023 tillsynsbegäran.docx", "A 60668-2023")</f>
        <v/>
      </c>
      <c r="Y19">
        <f>HYPERLINK("https://klasma.github.io/Logging_1765/tillsynsmail/A 60668-2023 tillsynsbegäran mail.docx", "A 60668-2023")</f>
        <v/>
      </c>
      <c r="Z19">
        <f>HYPERLINK("https://klasma.github.io/Logging_1765/fåglar/A 60668-2023 prioriterade fågelarter.docx", "A 60668-2023")</f>
        <v/>
      </c>
    </row>
    <row r="20" ht="15" customHeight="1">
      <c r="A20" t="inlineStr">
        <is>
          <t>A 65319-2021</t>
        </is>
      </c>
      <c r="B20" s="1" t="n">
        <v>44515</v>
      </c>
      <c r="C20" s="1" t="n">
        <v>45924</v>
      </c>
      <c r="D20" t="inlineStr">
        <is>
          <t>VÄRMLANDS LÄN</t>
        </is>
      </c>
      <c r="E20" t="inlineStr">
        <is>
          <t>ÅRJÄNG</t>
        </is>
      </c>
      <c r="G20" t="n">
        <v>4.9</v>
      </c>
      <c r="H20" t="n">
        <v>0</v>
      </c>
      <c r="I20" t="n">
        <v>0</v>
      </c>
      <c r="J20" t="n">
        <v>2</v>
      </c>
      <c r="K20" t="n">
        <v>0</v>
      </c>
      <c r="L20" t="n">
        <v>0</v>
      </c>
      <c r="M20" t="n">
        <v>0</v>
      </c>
      <c r="N20" t="n">
        <v>0</v>
      </c>
      <c r="O20" t="n">
        <v>2</v>
      </c>
      <c r="P20" t="n">
        <v>0</v>
      </c>
      <c r="Q20" t="n">
        <v>2</v>
      </c>
      <c r="R20" s="2" t="inlineStr">
        <is>
          <t>Garnlav
Lunglav</t>
        </is>
      </c>
      <c r="S20">
        <f>HYPERLINK("https://klasma.github.io/Logging_1765/artfynd/A 65319-2021 artfynd.xlsx", "A 65319-2021")</f>
        <v/>
      </c>
      <c r="T20">
        <f>HYPERLINK("https://klasma.github.io/Logging_1765/kartor/A 65319-2021 karta.png", "A 65319-2021")</f>
        <v/>
      </c>
      <c r="U20">
        <f>HYPERLINK("https://klasma.github.io/Logging_1765/knärot/A 65319-2021 karta knärot.png", "A 65319-2021")</f>
        <v/>
      </c>
      <c r="V20">
        <f>HYPERLINK("https://klasma.github.io/Logging_1765/klagomål/A 65319-2021 FSC-klagomål.docx", "A 65319-2021")</f>
        <v/>
      </c>
      <c r="W20">
        <f>HYPERLINK("https://klasma.github.io/Logging_1765/klagomålsmail/A 65319-2021 FSC-klagomål mail.docx", "A 65319-2021")</f>
        <v/>
      </c>
      <c r="X20">
        <f>HYPERLINK("https://klasma.github.io/Logging_1765/tillsyn/A 65319-2021 tillsynsbegäran.docx", "A 65319-2021")</f>
        <v/>
      </c>
      <c r="Y20">
        <f>HYPERLINK("https://klasma.github.io/Logging_1765/tillsynsmail/A 65319-2021 tillsynsbegäran mail.docx", "A 65319-2021")</f>
        <v/>
      </c>
    </row>
    <row r="21" ht="15" customHeight="1">
      <c r="A21" t="inlineStr">
        <is>
          <t>A 39251-2023</t>
        </is>
      </c>
      <c r="B21" s="1" t="n">
        <v>45166.47168981482</v>
      </c>
      <c r="C21" s="1" t="n">
        <v>45924</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60688-2023</t>
        </is>
      </c>
      <c r="B22" s="1" t="n">
        <v>45260</v>
      </c>
      <c r="C22" s="1" t="n">
        <v>45924</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45924</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60741-2023</t>
        </is>
      </c>
      <c r="B24" s="1" t="n">
        <v>45260</v>
      </c>
      <c r="C24" s="1" t="n">
        <v>45924</v>
      </c>
      <c r="D24" t="inlineStr">
        <is>
          <t>VÄRMLANDS LÄN</t>
        </is>
      </c>
      <c r="E24" t="inlineStr">
        <is>
          <t>ÅRJÄNG</t>
        </is>
      </c>
      <c r="G24" t="n">
        <v>2.7</v>
      </c>
      <c r="H24" t="n">
        <v>0</v>
      </c>
      <c r="I24" t="n">
        <v>0</v>
      </c>
      <c r="J24" t="n">
        <v>2</v>
      </c>
      <c r="K24" t="n">
        <v>0</v>
      </c>
      <c r="L24" t="n">
        <v>0</v>
      </c>
      <c r="M24" t="n">
        <v>0</v>
      </c>
      <c r="N24" t="n">
        <v>0</v>
      </c>
      <c r="O24" t="n">
        <v>2</v>
      </c>
      <c r="P24" t="n">
        <v>0</v>
      </c>
      <c r="Q24" t="n">
        <v>2</v>
      </c>
      <c r="R24" s="2" t="inlineStr">
        <is>
          <t>Garnlav
Vedskivlav</t>
        </is>
      </c>
      <c r="S24">
        <f>HYPERLINK("https://klasma.github.io/Logging_1765/artfynd/A 60741-2023 artfynd.xlsx", "A 60741-2023")</f>
        <v/>
      </c>
      <c r="T24">
        <f>HYPERLINK("https://klasma.github.io/Logging_1765/kartor/A 60741-2023 karta.png", "A 60741-2023")</f>
        <v/>
      </c>
      <c r="V24">
        <f>HYPERLINK("https://klasma.github.io/Logging_1765/klagomål/A 60741-2023 FSC-klagomål.docx", "A 60741-2023")</f>
        <v/>
      </c>
      <c r="W24">
        <f>HYPERLINK("https://klasma.github.io/Logging_1765/klagomålsmail/A 60741-2023 FSC-klagomål mail.docx", "A 60741-2023")</f>
        <v/>
      </c>
      <c r="X24">
        <f>HYPERLINK("https://klasma.github.io/Logging_1765/tillsyn/A 60741-2023 tillsynsbegäran.docx", "A 60741-2023")</f>
        <v/>
      </c>
      <c r="Y24">
        <f>HYPERLINK("https://klasma.github.io/Logging_1765/tillsynsmail/A 60741-2023 tillsynsbegäran mail.docx", "A 60741-2023")</f>
        <v/>
      </c>
    </row>
    <row r="25" ht="15" customHeight="1">
      <c r="A25" t="inlineStr">
        <is>
          <t>A 51928-2022</t>
        </is>
      </c>
      <c r="B25" s="1" t="n">
        <v>44872</v>
      </c>
      <c r="C25" s="1" t="n">
        <v>45924</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45924</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45094-2024</t>
        </is>
      </c>
      <c r="B27" s="1" t="n">
        <v>45575</v>
      </c>
      <c r="C27" s="1" t="n">
        <v>45924</v>
      </c>
      <c r="D27" t="inlineStr">
        <is>
          <t>VÄRMLANDS LÄN</t>
        </is>
      </c>
      <c r="E27" t="inlineStr">
        <is>
          <t>ÅRJÄNG</t>
        </is>
      </c>
      <c r="F27" t="inlineStr">
        <is>
          <t>Bergvik skog väst AB</t>
        </is>
      </c>
      <c r="G27" t="n">
        <v>1.5</v>
      </c>
      <c r="H27" t="n">
        <v>1</v>
      </c>
      <c r="I27" t="n">
        <v>0</v>
      </c>
      <c r="J27" t="n">
        <v>0</v>
      </c>
      <c r="K27" t="n">
        <v>1</v>
      </c>
      <c r="L27" t="n">
        <v>0</v>
      </c>
      <c r="M27" t="n">
        <v>0</v>
      </c>
      <c r="N27" t="n">
        <v>0</v>
      </c>
      <c r="O27" t="n">
        <v>1</v>
      </c>
      <c r="P27" t="n">
        <v>1</v>
      </c>
      <c r="Q27" t="n">
        <v>2</v>
      </c>
      <c r="R27" s="2" t="inlineStr">
        <is>
          <t>Slåttergubbe
Fläcknycklar</t>
        </is>
      </c>
      <c r="S27">
        <f>HYPERLINK("https://klasma.github.io/Logging_1765/artfynd/A 45094-2024 artfynd.xlsx", "A 45094-2024")</f>
        <v/>
      </c>
      <c r="T27">
        <f>HYPERLINK("https://klasma.github.io/Logging_1765/kartor/A 45094-2024 karta.png", "A 45094-2024")</f>
        <v/>
      </c>
      <c r="V27">
        <f>HYPERLINK("https://klasma.github.io/Logging_1765/klagomål/A 45094-2024 FSC-klagomål.docx", "A 45094-2024")</f>
        <v/>
      </c>
      <c r="W27">
        <f>HYPERLINK("https://klasma.github.io/Logging_1765/klagomålsmail/A 45094-2024 FSC-klagomål mail.docx", "A 45094-2024")</f>
        <v/>
      </c>
      <c r="X27">
        <f>HYPERLINK("https://klasma.github.io/Logging_1765/tillsyn/A 45094-2024 tillsynsbegäran.docx", "A 45094-2024")</f>
        <v/>
      </c>
      <c r="Y27">
        <f>HYPERLINK("https://klasma.github.io/Logging_1765/tillsynsmail/A 45094-2024 tillsynsbegäran mail.docx", "A 45094-2024")</f>
        <v/>
      </c>
    </row>
    <row r="28" ht="15" customHeight="1">
      <c r="A28" t="inlineStr">
        <is>
          <t>A 28418-2021</t>
        </is>
      </c>
      <c r="B28" s="1" t="n">
        <v>44356</v>
      </c>
      <c r="C28" s="1" t="n">
        <v>45924</v>
      </c>
      <c r="D28" t="inlineStr">
        <is>
          <t>VÄRMLANDS LÄN</t>
        </is>
      </c>
      <c r="E28" t="inlineStr">
        <is>
          <t>ÅRJÄNG</t>
        </is>
      </c>
      <c r="G28" t="n">
        <v>1.6</v>
      </c>
      <c r="H28" t="n">
        <v>0</v>
      </c>
      <c r="I28" t="n">
        <v>1</v>
      </c>
      <c r="J28" t="n">
        <v>0</v>
      </c>
      <c r="K28" t="n">
        <v>0</v>
      </c>
      <c r="L28" t="n">
        <v>0</v>
      </c>
      <c r="M28" t="n">
        <v>0</v>
      </c>
      <c r="N28" t="n">
        <v>0</v>
      </c>
      <c r="O28" t="n">
        <v>0</v>
      </c>
      <c r="P28" t="n">
        <v>0</v>
      </c>
      <c r="Q28" t="n">
        <v>1</v>
      </c>
      <c r="R28" s="2" t="inlineStr">
        <is>
          <t>Stubbspretmossa</t>
        </is>
      </c>
      <c r="S28">
        <f>HYPERLINK("https://klasma.github.io/Logging_1765/artfynd/A 28418-2021 artfynd.xlsx", "A 28418-2021")</f>
        <v/>
      </c>
      <c r="T28">
        <f>HYPERLINK("https://klasma.github.io/Logging_1765/kartor/A 28418-2021 karta.png", "A 28418-2021")</f>
        <v/>
      </c>
      <c r="V28">
        <f>HYPERLINK("https://klasma.github.io/Logging_1765/klagomål/A 28418-2021 FSC-klagomål.docx", "A 28418-2021")</f>
        <v/>
      </c>
      <c r="W28">
        <f>HYPERLINK("https://klasma.github.io/Logging_1765/klagomålsmail/A 28418-2021 FSC-klagomål mail.docx", "A 28418-2021")</f>
        <v/>
      </c>
      <c r="X28">
        <f>HYPERLINK("https://klasma.github.io/Logging_1765/tillsyn/A 28418-2021 tillsynsbegäran.docx", "A 28418-2021")</f>
        <v/>
      </c>
      <c r="Y28">
        <f>HYPERLINK("https://klasma.github.io/Logging_1765/tillsynsmail/A 28418-2021 tillsynsbegäran mail.docx", "A 28418-2021")</f>
        <v/>
      </c>
    </row>
    <row r="29" ht="15" customHeight="1">
      <c r="A29" t="inlineStr">
        <is>
          <t>A 3974-2021</t>
        </is>
      </c>
      <c r="B29" s="1" t="n">
        <v>44217</v>
      </c>
      <c r="C29" s="1" t="n">
        <v>45924</v>
      </c>
      <c r="D29" t="inlineStr">
        <is>
          <t>VÄRMLANDS LÄN</t>
        </is>
      </c>
      <c r="E29" t="inlineStr">
        <is>
          <t>ÅRJÄNG</t>
        </is>
      </c>
      <c r="G29" t="n">
        <v>0.8</v>
      </c>
      <c r="H29" t="n">
        <v>1</v>
      </c>
      <c r="I29" t="n">
        <v>0</v>
      </c>
      <c r="J29" t="n">
        <v>1</v>
      </c>
      <c r="K29" t="n">
        <v>0</v>
      </c>
      <c r="L29" t="n">
        <v>0</v>
      </c>
      <c r="M29" t="n">
        <v>0</v>
      </c>
      <c r="N29" t="n">
        <v>0</v>
      </c>
      <c r="O29" t="n">
        <v>1</v>
      </c>
      <c r="P29" t="n">
        <v>0</v>
      </c>
      <c r="Q29" t="n">
        <v>1</v>
      </c>
      <c r="R29" s="2" t="inlineStr">
        <is>
          <t>Tretåig hackspett</t>
        </is>
      </c>
      <c r="S29">
        <f>HYPERLINK("https://klasma.github.io/Logging_1765/artfynd/A 3974-2021 artfynd.xlsx", "A 3974-2021")</f>
        <v/>
      </c>
      <c r="T29">
        <f>HYPERLINK("https://klasma.github.io/Logging_1765/kartor/A 3974-2021 karta.png", "A 3974-2021")</f>
        <v/>
      </c>
      <c r="V29">
        <f>HYPERLINK("https://klasma.github.io/Logging_1765/klagomål/A 3974-2021 FSC-klagomål.docx", "A 3974-2021")</f>
        <v/>
      </c>
      <c r="W29">
        <f>HYPERLINK("https://klasma.github.io/Logging_1765/klagomålsmail/A 3974-2021 FSC-klagomål mail.docx", "A 3974-2021")</f>
        <v/>
      </c>
      <c r="X29">
        <f>HYPERLINK("https://klasma.github.io/Logging_1765/tillsyn/A 3974-2021 tillsynsbegäran.docx", "A 3974-2021")</f>
        <v/>
      </c>
      <c r="Y29">
        <f>HYPERLINK("https://klasma.github.io/Logging_1765/tillsynsmail/A 3974-2021 tillsynsbegäran mail.docx", "A 3974-2021")</f>
        <v/>
      </c>
      <c r="Z29">
        <f>HYPERLINK("https://klasma.github.io/Logging_1765/fåglar/A 3974-2021 prioriterade fågelarter.docx", "A 3974-2021")</f>
        <v/>
      </c>
    </row>
    <row r="30" ht="15" customHeight="1">
      <c r="A30" t="inlineStr">
        <is>
          <t>A 48449-2021</t>
        </is>
      </c>
      <c r="B30" s="1" t="n">
        <v>44452</v>
      </c>
      <c r="C30" s="1" t="n">
        <v>45924</v>
      </c>
      <c r="D30" t="inlineStr">
        <is>
          <t>VÄRMLANDS LÄN</t>
        </is>
      </c>
      <c r="E30" t="inlineStr">
        <is>
          <t>ÅRJÄNG</t>
        </is>
      </c>
      <c r="G30" t="n">
        <v>0.9</v>
      </c>
      <c r="H30" t="n">
        <v>1</v>
      </c>
      <c r="I30" t="n">
        <v>0</v>
      </c>
      <c r="J30" t="n">
        <v>0</v>
      </c>
      <c r="K30" t="n">
        <v>1</v>
      </c>
      <c r="L30" t="n">
        <v>0</v>
      </c>
      <c r="M30" t="n">
        <v>0</v>
      </c>
      <c r="N30" t="n">
        <v>0</v>
      </c>
      <c r="O30" t="n">
        <v>1</v>
      </c>
      <c r="P30" t="n">
        <v>1</v>
      </c>
      <c r="Q30" t="n">
        <v>1</v>
      </c>
      <c r="R30" s="2" t="inlineStr">
        <is>
          <t>Knärot</t>
        </is>
      </c>
      <c r="S30">
        <f>HYPERLINK("https://klasma.github.io/Logging_1765/artfynd/A 48449-2021 artfynd.xlsx", "A 48449-2021")</f>
        <v/>
      </c>
      <c r="T30">
        <f>HYPERLINK("https://klasma.github.io/Logging_1765/kartor/A 48449-2021 karta.png", "A 48449-2021")</f>
        <v/>
      </c>
      <c r="U30">
        <f>HYPERLINK("https://klasma.github.io/Logging_1765/knärot/A 48449-2021 karta knärot.png", "A 48449-2021")</f>
        <v/>
      </c>
      <c r="V30">
        <f>HYPERLINK("https://klasma.github.io/Logging_1765/klagomål/A 48449-2021 FSC-klagomål.docx", "A 48449-2021")</f>
        <v/>
      </c>
      <c r="W30">
        <f>HYPERLINK("https://klasma.github.io/Logging_1765/klagomålsmail/A 48449-2021 FSC-klagomål mail.docx", "A 48449-2021")</f>
        <v/>
      </c>
      <c r="X30">
        <f>HYPERLINK("https://klasma.github.io/Logging_1765/tillsyn/A 48449-2021 tillsynsbegäran.docx", "A 48449-2021")</f>
        <v/>
      </c>
      <c r="Y30">
        <f>HYPERLINK("https://klasma.github.io/Logging_1765/tillsynsmail/A 48449-2021 tillsynsbegäran mail.docx", "A 48449-2021")</f>
        <v/>
      </c>
    </row>
    <row r="31" ht="15" customHeight="1">
      <c r="A31" t="inlineStr">
        <is>
          <t>A 61846-2020</t>
        </is>
      </c>
      <c r="B31" s="1" t="n">
        <v>44159</v>
      </c>
      <c r="C31" s="1" t="n">
        <v>45924</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45924</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7447-2024</t>
        </is>
      </c>
      <c r="B33" s="1" t="n">
        <v>45345</v>
      </c>
      <c r="C33" s="1" t="n">
        <v>45924</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45924</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27001-2025</t>
        </is>
      </c>
      <c r="B35" s="1" t="n">
        <v>45811</v>
      </c>
      <c r="C35" s="1" t="n">
        <v>45924</v>
      </c>
      <c r="D35" t="inlineStr">
        <is>
          <t>VÄRMLANDS LÄN</t>
        </is>
      </c>
      <c r="E35" t="inlineStr">
        <is>
          <t>ÅRJÄNG</t>
        </is>
      </c>
      <c r="G35" t="n">
        <v>3</v>
      </c>
      <c r="H35" t="n">
        <v>0</v>
      </c>
      <c r="I35" t="n">
        <v>0</v>
      </c>
      <c r="J35" t="n">
        <v>1</v>
      </c>
      <c r="K35" t="n">
        <v>0</v>
      </c>
      <c r="L35" t="n">
        <v>0</v>
      </c>
      <c r="M35" t="n">
        <v>0</v>
      </c>
      <c r="N35" t="n">
        <v>0</v>
      </c>
      <c r="O35" t="n">
        <v>1</v>
      </c>
      <c r="P35" t="n">
        <v>0</v>
      </c>
      <c r="Q35" t="n">
        <v>1</v>
      </c>
      <c r="R35" s="2" t="inlineStr">
        <is>
          <t>Lunglav</t>
        </is>
      </c>
      <c r="S35">
        <f>HYPERLINK("https://klasma.github.io/Logging_1765/artfynd/A 27001-2025 artfynd.xlsx", "A 27001-2025")</f>
        <v/>
      </c>
      <c r="T35">
        <f>HYPERLINK("https://klasma.github.io/Logging_1765/kartor/A 27001-2025 karta.png", "A 27001-2025")</f>
        <v/>
      </c>
      <c r="V35">
        <f>HYPERLINK("https://klasma.github.io/Logging_1765/klagomål/A 27001-2025 FSC-klagomål.docx", "A 27001-2025")</f>
        <v/>
      </c>
      <c r="W35">
        <f>HYPERLINK("https://klasma.github.io/Logging_1765/klagomålsmail/A 27001-2025 FSC-klagomål mail.docx", "A 27001-2025")</f>
        <v/>
      </c>
      <c r="X35">
        <f>HYPERLINK("https://klasma.github.io/Logging_1765/tillsyn/A 27001-2025 tillsynsbegäran.docx", "A 27001-2025")</f>
        <v/>
      </c>
      <c r="Y35">
        <f>HYPERLINK("https://klasma.github.io/Logging_1765/tillsynsmail/A 27001-2025 tillsynsbegäran mail.docx", "A 27001-2025")</f>
        <v/>
      </c>
    </row>
    <row r="36" ht="15" customHeight="1">
      <c r="A36" t="inlineStr">
        <is>
          <t>A 15418-2021</t>
        </is>
      </c>
      <c r="B36" s="1" t="n">
        <v>44285</v>
      </c>
      <c r="C36" s="1" t="n">
        <v>45924</v>
      </c>
      <c r="D36" t="inlineStr">
        <is>
          <t>VÄRMLANDS LÄN</t>
        </is>
      </c>
      <c r="E36" t="inlineStr">
        <is>
          <t>ÅRJÄNG</t>
        </is>
      </c>
      <c r="G36" t="n">
        <v>6.6</v>
      </c>
      <c r="H36" t="n">
        <v>0</v>
      </c>
      <c r="I36" t="n">
        <v>0</v>
      </c>
      <c r="J36" t="n">
        <v>1</v>
      </c>
      <c r="K36" t="n">
        <v>0</v>
      </c>
      <c r="L36" t="n">
        <v>0</v>
      </c>
      <c r="M36" t="n">
        <v>0</v>
      </c>
      <c r="N36" t="n">
        <v>0</v>
      </c>
      <c r="O36" t="n">
        <v>1</v>
      </c>
      <c r="P36" t="n">
        <v>0</v>
      </c>
      <c r="Q36" t="n">
        <v>1</v>
      </c>
      <c r="R36" s="2" t="inlineStr">
        <is>
          <t>Lunglav</t>
        </is>
      </c>
      <c r="S36">
        <f>HYPERLINK("https://klasma.github.io/Logging_1765/artfynd/A 15418-2021 artfynd.xlsx", "A 15418-2021")</f>
        <v/>
      </c>
      <c r="T36">
        <f>HYPERLINK("https://klasma.github.io/Logging_1765/kartor/A 15418-2021 karta.png", "A 15418-2021")</f>
        <v/>
      </c>
      <c r="V36">
        <f>HYPERLINK("https://klasma.github.io/Logging_1765/klagomål/A 15418-2021 FSC-klagomål.docx", "A 15418-2021")</f>
        <v/>
      </c>
      <c r="W36">
        <f>HYPERLINK("https://klasma.github.io/Logging_1765/klagomålsmail/A 15418-2021 FSC-klagomål mail.docx", "A 15418-2021")</f>
        <v/>
      </c>
      <c r="X36">
        <f>HYPERLINK("https://klasma.github.io/Logging_1765/tillsyn/A 15418-2021 tillsynsbegäran.docx", "A 15418-2021")</f>
        <v/>
      </c>
      <c r="Y36">
        <f>HYPERLINK("https://klasma.github.io/Logging_1765/tillsynsmail/A 15418-2021 tillsynsbegäran mail.docx", "A 15418-2021")</f>
        <v/>
      </c>
    </row>
    <row r="37" ht="15" customHeight="1">
      <c r="A37" t="inlineStr">
        <is>
          <t>A 30550-2023</t>
        </is>
      </c>
      <c r="B37" s="1" t="n">
        <v>45111</v>
      </c>
      <c r="C37" s="1" t="n">
        <v>45924</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14898-2025</t>
        </is>
      </c>
      <c r="B38" s="1" t="n">
        <v>45743.47967592593</v>
      </c>
      <c r="C38" s="1" t="n">
        <v>45924</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36385-2025</t>
        </is>
      </c>
      <c r="B39" s="1" t="n">
        <v>45868</v>
      </c>
      <c r="C39" s="1" t="n">
        <v>45924</v>
      </c>
      <c r="D39" t="inlineStr">
        <is>
          <t>VÄRMLANDS LÄN</t>
        </is>
      </c>
      <c r="E39" t="inlineStr">
        <is>
          <t>ÅRJÄNG</t>
        </is>
      </c>
      <c r="G39" t="n">
        <v>2.9</v>
      </c>
      <c r="H39" t="n">
        <v>0</v>
      </c>
      <c r="I39" t="n">
        <v>1</v>
      </c>
      <c r="J39" t="n">
        <v>0</v>
      </c>
      <c r="K39" t="n">
        <v>0</v>
      </c>
      <c r="L39" t="n">
        <v>0</v>
      </c>
      <c r="M39" t="n">
        <v>0</v>
      </c>
      <c r="N39" t="n">
        <v>0</v>
      </c>
      <c r="O39" t="n">
        <v>0</v>
      </c>
      <c r="P39" t="n">
        <v>0</v>
      </c>
      <c r="Q39" t="n">
        <v>1</v>
      </c>
      <c r="R39" s="2" t="inlineStr">
        <is>
          <t>Grönpyrola</t>
        </is>
      </c>
      <c r="S39">
        <f>HYPERLINK("https://klasma.github.io/Logging_1765/artfynd/A 36385-2025 artfynd.xlsx", "A 36385-2025")</f>
        <v/>
      </c>
      <c r="T39">
        <f>HYPERLINK("https://klasma.github.io/Logging_1765/kartor/A 36385-2025 karta.png", "A 36385-2025")</f>
        <v/>
      </c>
      <c r="V39">
        <f>HYPERLINK("https://klasma.github.io/Logging_1765/klagomål/A 36385-2025 FSC-klagomål.docx", "A 36385-2025")</f>
        <v/>
      </c>
      <c r="W39">
        <f>HYPERLINK("https://klasma.github.io/Logging_1765/klagomålsmail/A 36385-2025 FSC-klagomål mail.docx", "A 36385-2025")</f>
        <v/>
      </c>
      <c r="X39">
        <f>HYPERLINK("https://klasma.github.io/Logging_1765/tillsyn/A 36385-2025 tillsynsbegäran.docx", "A 36385-2025")</f>
        <v/>
      </c>
      <c r="Y39">
        <f>HYPERLINK("https://klasma.github.io/Logging_1765/tillsynsmail/A 36385-2025 tillsynsbegäran mail.docx", "A 36385-2025")</f>
        <v/>
      </c>
    </row>
    <row r="40" ht="15" customHeight="1">
      <c r="A40" t="inlineStr">
        <is>
          <t>A 53611-2023</t>
        </is>
      </c>
      <c r="B40" s="1" t="n">
        <v>45230.570625</v>
      </c>
      <c r="C40" s="1" t="n">
        <v>45924</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45230-2025</t>
        </is>
      </c>
      <c r="B41" s="1" t="n">
        <v>45919</v>
      </c>
      <c r="C41" s="1" t="n">
        <v>45924</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2212-2025</t>
        </is>
      </c>
      <c r="B42" s="1" t="n">
        <v>45673</v>
      </c>
      <c r="C42" s="1" t="n">
        <v>45924</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45924</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34188-2021</t>
        </is>
      </c>
      <c r="B44" s="1" t="n">
        <v>44379</v>
      </c>
      <c r="C44" s="1" t="n">
        <v>45924</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45924</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52826-2022</t>
        </is>
      </c>
      <c r="B46" s="1" t="n">
        <v>44875.45353009259</v>
      </c>
      <c r="C46" s="1" t="n">
        <v>45924</v>
      </c>
      <c r="D46" t="inlineStr">
        <is>
          <t>VÄRMLANDS LÄN</t>
        </is>
      </c>
      <c r="E46" t="inlineStr">
        <is>
          <t>ÅRJÄNG</t>
        </is>
      </c>
      <c r="G46" t="n">
        <v>2.2</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45924</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45924</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45924</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45924</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47642-2021</t>
        </is>
      </c>
      <c r="B51" s="1" t="n">
        <v>44448.39857638889</v>
      </c>
      <c r="C51" s="1" t="n">
        <v>45924</v>
      </c>
      <c r="D51" t="inlineStr">
        <is>
          <t>VÄRMLANDS LÄN</t>
        </is>
      </c>
      <c r="E51" t="inlineStr">
        <is>
          <t>ÅRJÄNG</t>
        </is>
      </c>
      <c r="G51" t="n">
        <v>2.3</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45924</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45924</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45924</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45924</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43578-2021</t>
        </is>
      </c>
      <c r="B56" s="1" t="n">
        <v>44433</v>
      </c>
      <c r="C56" s="1" t="n">
        <v>45924</v>
      </c>
      <c r="D56" t="inlineStr">
        <is>
          <t>VÄRMLANDS LÄN</t>
        </is>
      </c>
      <c r="E56" t="inlineStr">
        <is>
          <t>ÅRJÄNG</t>
        </is>
      </c>
      <c r="G56" t="n">
        <v>6.3</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45924</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45924</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45924</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45924</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45924</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45924</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46644-2021</t>
        </is>
      </c>
      <c r="B63" s="1" t="n">
        <v>44445</v>
      </c>
      <c r="C63" s="1" t="n">
        <v>45924</v>
      </c>
      <c r="D63" t="inlineStr">
        <is>
          <t>VÄRMLANDS LÄN</t>
        </is>
      </c>
      <c r="E63" t="inlineStr">
        <is>
          <t>ÅRJÄNG</t>
        </is>
      </c>
      <c r="G63" t="n">
        <v>3.8</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45924</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45924</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45924</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45924</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11156-2021</t>
        </is>
      </c>
      <c r="B68" s="1" t="n">
        <v>44261.8591087963</v>
      </c>
      <c r="C68" s="1" t="n">
        <v>45924</v>
      </c>
      <c r="D68" t="inlineStr">
        <is>
          <t>VÄRMLANDS LÄN</t>
        </is>
      </c>
      <c r="E68" t="inlineStr">
        <is>
          <t>ÅRJÄNG</t>
        </is>
      </c>
      <c r="G68" t="n">
        <v>1.2</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45924</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45924</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45924</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45924</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45924</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45924</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13115-2021</t>
        </is>
      </c>
      <c r="B75" s="1" t="n">
        <v>44272</v>
      </c>
      <c r="C75" s="1" t="n">
        <v>45924</v>
      </c>
      <c r="D75" t="inlineStr">
        <is>
          <t>VÄRMLANDS LÄN</t>
        </is>
      </c>
      <c r="E75" t="inlineStr">
        <is>
          <t>ÅRJÄNG</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45924</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45924</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45924</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45924</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45924</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45924</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45924</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45924</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45924</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45924</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45924</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45924</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45924</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45924</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45924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45924</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45924</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45924</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45924</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45924</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45924</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45924</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45924</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45924</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45924</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45924</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45924</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45924</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45924</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45924</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45924</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45924</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45924</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45924</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45924</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45924</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45924</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45924</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45924</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45924</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45924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45924</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45924</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45924</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45924</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45924</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45924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45924</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45924</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49896-2022</t>
        </is>
      </c>
      <c r="B125" s="1" t="n">
        <v>44864.76736111111</v>
      </c>
      <c r="C125" s="1" t="n">
        <v>45924</v>
      </c>
      <c r="D125" t="inlineStr">
        <is>
          <t>VÄRMLANDS LÄN</t>
        </is>
      </c>
      <c r="E125" t="inlineStr">
        <is>
          <t>ÅRJÄNG</t>
        </is>
      </c>
      <c r="G125" t="n">
        <v>1</v>
      </c>
      <c r="H125" t="n">
        <v>0</v>
      </c>
      <c r="I125" t="n">
        <v>0</v>
      </c>
      <c r="J125" t="n">
        <v>0</v>
      </c>
      <c r="K125" t="n">
        <v>0</v>
      </c>
      <c r="L125" t="n">
        <v>0</v>
      </c>
      <c r="M125" t="n">
        <v>0</v>
      </c>
      <c r="N125" t="n">
        <v>0</v>
      </c>
      <c r="O125" t="n">
        <v>0</v>
      </c>
      <c r="P125" t="n">
        <v>0</v>
      </c>
      <c r="Q125" t="n">
        <v>0</v>
      </c>
      <c r="R125" s="2" t="inlineStr"/>
    </row>
    <row r="126" ht="15" customHeight="1">
      <c r="A126" t="inlineStr">
        <is>
          <t>A 64318-2020</t>
        </is>
      </c>
      <c r="B126" s="1" t="n">
        <v>44168</v>
      </c>
      <c r="C126" s="1" t="n">
        <v>45924</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16399-2022</t>
        </is>
      </c>
      <c r="B127" s="1" t="n">
        <v>44671</v>
      </c>
      <c r="C127" s="1" t="n">
        <v>45924</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47015-2021</t>
        </is>
      </c>
      <c r="B128" s="1" t="n">
        <v>44446</v>
      </c>
      <c r="C128" s="1" t="n">
        <v>45924</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45924</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45924</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45924</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45924</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45924</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45924</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45924</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45924</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45924</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45924</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50664-2020</t>
        </is>
      </c>
      <c r="B139" s="1" t="n">
        <v>44105</v>
      </c>
      <c r="C139" s="1" t="n">
        <v>45924</v>
      </c>
      <c r="D139" t="inlineStr">
        <is>
          <t>VÄRMLANDS LÄN</t>
        </is>
      </c>
      <c r="E139" t="inlineStr">
        <is>
          <t>ÅRJÄNG</t>
        </is>
      </c>
      <c r="G139" t="n">
        <v>2.3</v>
      </c>
      <c r="H139" t="n">
        <v>0</v>
      </c>
      <c r="I139" t="n">
        <v>0</v>
      </c>
      <c r="J139" t="n">
        <v>0</v>
      </c>
      <c r="K139" t="n">
        <v>0</v>
      </c>
      <c r="L139" t="n">
        <v>0</v>
      </c>
      <c r="M139" t="n">
        <v>0</v>
      </c>
      <c r="N139" t="n">
        <v>0</v>
      </c>
      <c r="O139" t="n">
        <v>0</v>
      </c>
      <c r="P139" t="n">
        <v>0</v>
      </c>
      <c r="Q139" t="n">
        <v>0</v>
      </c>
      <c r="R139" s="2" t="inlineStr"/>
    </row>
    <row r="140" ht="15" customHeight="1">
      <c r="A140" t="inlineStr">
        <is>
          <t>A 48374-2020</t>
        </is>
      </c>
      <c r="B140" s="1" t="n">
        <v>44102</v>
      </c>
      <c r="C140" s="1" t="n">
        <v>45924</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10541-2021</t>
        </is>
      </c>
      <c r="B141" s="1" t="n">
        <v>44258</v>
      </c>
      <c r="C141" s="1" t="n">
        <v>45924</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48622-2022</t>
        </is>
      </c>
      <c r="B142" s="1" t="n">
        <v>44859</v>
      </c>
      <c r="C142" s="1" t="n">
        <v>45924</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2141-2022</t>
        </is>
      </c>
      <c r="B143" s="1" t="n">
        <v>44571</v>
      </c>
      <c r="C143" s="1" t="n">
        <v>45924</v>
      </c>
      <c r="D143" t="inlineStr">
        <is>
          <t>VÄRMLANDS LÄN</t>
        </is>
      </c>
      <c r="E143" t="inlineStr">
        <is>
          <t>ÅRJÄNG</t>
        </is>
      </c>
      <c r="G143" t="n">
        <v>1.5</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45924</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61240-2021</t>
        </is>
      </c>
      <c r="B145" s="1" t="n">
        <v>44496</v>
      </c>
      <c r="C145" s="1" t="n">
        <v>45924</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45924</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45924</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45924</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53679-2022</t>
        </is>
      </c>
      <c r="B149" s="1" t="n">
        <v>44879</v>
      </c>
      <c r="C149" s="1" t="n">
        <v>45924</v>
      </c>
      <c r="D149" t="inlineStr">
        <is>
          <t>VÄRMLANDS LÄN</t>
        </is>
      </c>
      <c r="E149" t="inlineStr">
        <is>
          <t>ÅRJÄNG</t>
        </is>
      </c>
      <c r="G149" t="n">
        <v>0.4</v>
      </c>
      <c r="H149" t="n">
        <v>0</v>
      </c>
      <c r="I149" t="n">
        <v>0</v>
      </c>
      <c r="J149" t="n">
        <v>0</v>
      </c>
      <c r="K149" t="n">
        <v>0</v>
      </c>
      <c r="L149" t="n">
        <v>0</v>
      </c>
      <c r="M149" t="n">
        <v>0</v>
      </c>
      <c r="N149" t="n">
        <v>0</v>
      </c>
      <c r="O149" t="n">
        <v>0</v>
      </c>
      <c r="P149" t="n">
        <v>0</v>
      </c>
      <c r="Q149" t="n">
        <v>0</v>
      </c>
      <c r="R149" s="2" t="inlineStr"/>
    </row>
    <row r="150" ht="15" customHeight="1">
      <c r="A150" t="inlineStr">
        <is>
          <t>A 66080-2020</t>
        </is>
      </c>
      <c r="B150" s="1" t="n">
        <v>44175</v>
      </c>
      <c r="C150" s="1" t="n">
        <v>45924</v>
      </c>
      <c r="D150" t="inlineStr">
        <is>
          <t>VÄRMLANDS LÄN</t>
        </is>
      </c>
      <c r="E150" t="inlineStr">
        <is>
          <t>ÅRJÄNG</t>
        </is>
      </c>
      <c r="G150" t="n">
        <v>1.1</v>
      </c>
      <c r="H150" t="n">
        <v>0</v>
      </c>
      <c r="I150" t="n">
        <v>0</v>
      </c>
      <c r="J150" t="n">
        <v>0</v>
      </c>
      <c r="K150" t="n">
        <v>0</v>
      </c>
      <c r="L150" t="n">
        <v>0</v>
      </c>
      <c r="M150" t="n">
        <v>0</v>
      </c>
      <c r="N150" t="n">
        <v>0</v>
      </c>
      <c r="O150" t="n">
        <v>0</v>
      </c>
      <c r="P150" t="n">
        <v>0</v>
      </c>
      <c r="Q150" t="n">
        <v>0</v>
      </c>
      <c r="R150" s="2" t="inlineStr"/>
    </row>
    <row r="151" ht="15" customHeight="1">
      <c r="A151" t="inlineStr">
        <is>
          <t>A 3917-2022</t>
        </is>
      </c>
      <c r="B151" s="1" t="n">
        <v>44587</v>
      </c>
      <c r="C151" s="1" t="n">
        <v>45924</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45924</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45924</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59656-2020</t>
        </is>
      </c>
      <c r="B154" s="1" t="n">
        <v>44151.28799768518</v>
      </c>
      <c r="C154" s="1" t="n">
        <v>45924</v>
      </c>
      <c r="D154" t="inlineStr">
        <is>
          <t>VÄRMLANDS LÄN</t>
        </is>
      </c>
      <c r="E154" t="inlineStr">
        <is>
          <t>ÅRJÄNG</t>
        </is>
      </c>
      <c r="G154" t="n">
        <v>3.9</v>
      </c>
      <c r="H154" t="n">
        <v>0</v>
      </c>
      <c r="I154" t="n">
        <v>0</v>
      </c>
      <c r="J154" t="n">
        <v>0</v>
      </c>
      <c r="K154" t="n">
        <v>0</v>
      </c>
      <c r="L154" t="n">
        <v>0</v>
      </c>
      <c r="M154" t="n">
        <v>0</v>
      </c>
      <c r="N154" t="n">
        <v>0</v>
      </c>
      <c r="O154" t="n">
        <v>0</v>
      </c>
      <c r="P154" t="n">
        <v>0</v>
      </c>
      <c r="Q154" t="n">
        <v>0</v>
      </c>
      <c r="R154" s="2" t="inlineStr"/>
    </row>
    <row r="155" ht="15" customHeight="1">
      <c r="A155" t="inlineStr">
        <is>
          <t>A 64271-2020</t>
        </is>
      </c>
      <c r="B155" s="1" t="n">
        <v>44168</v>
      </c>
      <c r="C155" s="1" t="n">
        <v>45924</v>
      </c>
      <c r="D155" t="inlineStr">
        <is>
          <t>VÄRMLANDS LÄN</t>
        </is>
      </c>
      <c r="E155" t="inlineStr">
        <is>
          <t>ÅRJÄNG</t>
        </is>
      </c>
      <c r="G155" t="n">
        <v>1.6</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45924</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45924</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45924</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3973-2021</t>
        </is>
      </c>
      <c r="B159" s="1" t="n">
        <v>44217</v>
      </c>
      <c r="C159" s="1" t="n">
        <v>45924</v>
      </c>
      <c r="D159" t="inlineStr">
        <is>
          <t>VÄRMLANDS LÄN</t>
        </is>
      </c>
      <c r="E159" t="inlineStr">
        <is>
          <t>ÅRJÄNG</t>
        </is>
      </c>
      <c r="G159" t="n">
        <v>1.1</v>
      </c>
      <c r="H159" t="n">
        <v>0</v>
      </c>
      <c r="I159" t="n">
        <v>0</v>
      </c>
      <c r="J159" t="n">
        <v>0</v>
      </c>
      <c r="K159" t="n">
        <v>0</v>
      </c>
      <c r="L159" t="n">
        <v>0</v>
      </c>
      <c r="M159" t="n">
        <v>0</v>
      </c>
      <c r="N159" t="n">
        <v>0</v>
      </c>
      <c r="O159" t="n">
        <v>0</v>
      </c>
      <c r="P159" t="n">
        <v>0</v>
      </c>
      <c r="Q159" t="n">
        <v>0</v>
      </c>
      <c r="R159" s="2" t="inlineStr"/>
    </row>
    <row r="160" ht="15" customHeight="1">
      <c r="A160" t="inlineStr">
        <is>
          <t>A 33888-2022</t>
        </is>
      </c>
      <c r="B160" s="1" t="n">
        <v>44790</v>
      </c>
      <c r="C160" s="1" t="n">
        <v>45924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45924</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45924</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45924</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45924</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45924</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37697-2021</t>
        </is>
      </c>
      <c r="B166" s="1" t="n">
        <v>44400.50800925926</v>
      </c>
      <c r="C166" s="1" t="n">
        <v>45924</v>
      </c>
      <c r="D166" t="inlineStr">
        <is>
          <t>VÄRMLANDS LÄN</t>
        </is>
      </c>
      <c r="E166" t="inlineStr">
        <is>
          <t>ÅRJÄNG</t>
        </is>
      </c>
      <c r="G166" t="n">
        <v>4.3</v>
      </c>
      <c r="H166" t="n">
        <v>0</v>
      </c>
      <c r="I166" t="n">
        <v>0</v>
      </c>
      <c r="J166" t="n">
        <v>0</v>
      </c>
      <c r="K166" t="n">
        <v>0</v>
      </c>
      <c r="L166" t="n">
        <v>0</v>
      </c>
      <c r="M166" t="n">
        <v>0</v>
      </c>
      <c r="N166" t="n">
        <v>0</v>
      </c>
      <c r="O166" t="n">
        <v>0</v>
      </c>
      <c r="P166" t="n">
        <v>0</v>
      </c>
      <c r="Q166" t="n">
        <v>0</v>
      </c>
      <c r="R166" s="2" t="inlineStr"/>
    </row>
    <row r="167" ht="15" customHeight="1">
      <c r="A167" t="inlineStr">
        <is>
          <t>A 42963-2021</t>
        </is>
      </c>
      <c r="B167" s="1" t="n">
        <v>44431</v>
      </c>
      <c r="C167" s="1" t="n">
        <v>45924</v>
      </c>
      <c r="D167" t="inlineStr">
        <is>
          <t>VÄRMLANDS LÄN</t>
        </is>
      </c>
      <c r="E167" t="inlineStr">
        <is>
          <t>ÅRJÄNG</t>
        </is>
      </c>
      <c r="G167" t="n">
        <v>5.6</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45924</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45924</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45924</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45924</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41982-2022</t>
        </is>
      </c>
      <c r="B172" s="1" t="n">
        <v>44830.43512731481</v>
      </c>
      <c r="C172" s="1" t="n">
        <v>45924</v>
      </c>
      <c r="D172" t="inlineStr">
        <is>
          <t>VÄRMLANDS LÄN</t>
        </is>
      </c>
      <c r="E172" t="inlineStr">
        <is>
          <t>ÅRJÄNG</t>
        </is>
      </c>
      <c r="G172" t="n">
        <v>1.2</v>
      </c>
      <c r="H172" t="n">
        <v>0</v>
      </c>
      <c r="I172" t="n">
        <v>0</v>
      </c>
      <c r="J172" t="n">
        <v>0</v>
      </c>
      <c r="K172" t="n">
        <v>0</v>
      </c>
      <c r="L172" t="n">
        <v>0</v>
      </c>
      <c r="M172" t="n">
        <v>0</v>
      </c>
      <c r="N172" t="n">
        <v>0</v>
      </c>
      <c r="O172" t="n">
        <v>0</v>
      </c>
      <c r="P172" t="n">
        <v>0</v>
      </c>
      <c r="Q172" t="n">
        <v>0</v>
      </c>
      <c r="R172" s="2" t="inlineStr"/>
    </row>
    <row r="173" ht="15" customHeight="1">
      <c r="A173" t="inlineStr">
        <is>
          <t>A 53052-2021</t>
        </is>
      </c>
      <c r="B173" s="1" t="n">
        <v>44467</v>
      </c>
      <c r="C173" s="1" t="n">
        <v>45924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45924</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63205-2021</t>
        </is>
      </c>
      <c r="B175" s="1" t="n">
        <v>44507.79876157407</v>
      </c>
      <c r="C175" s="1" t="n">
        <v>45924</v>
      </c>
      <c r="D175" t="inlineStr">
        <is>
          <t>VÄRMLANDS LÄN</t>
        </is>
      </c>
      <c r="E175" t="inlineStr">
        <is>
          <t>ÅRJÄNG</t>
        </is>
      </c>
      <c r="G175" t="n">
        <v>1.8</v>
      </c>
      <c r="H175" t="n">
        <v>0</v>
      </c>
      <c r="I175" t="n">
        <v>0</v>
      </c>
      <c r="J175" t="n">
        <v>0</v>
      </c>
      <c r="K175" t="n">
        <v>0</v>
      </c>
      <c r="L175" t="n">
        <v>0</v>
      </c>
      <c r="M175" t="n">
        <v>0</v>
      </c>
      <c r="N175" t="n">
        <v>0</v>
      </c>
      <c r="O175" t="n">
        <v>0</v>
      </c>
      <c r="P175" t="n">
        <v>0</v>
      </c>
      <c r="Q175" t="n">
        <v>0</v>
      </c>
      <c r="R175" s="2" t="inlineStr"/>
    </row>
    <row r="176" ht="15" customHeight="1">
      <c r="A176" t="inlineStr">
        <is>
          <t>A 53722-2021</t>
        </is>
      </c>
      <c r="B176" s="1" t="n">
        <v>44469</v>
      </c>
      <c r="C176" s="1" t="n">
        <v>45924</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45924</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45924</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58629-2020</t>
        </is>
      </c>
      <c r="B179" s="1" t="n">
        <v>44145</v>
      </c>
      <c r="C179" s="1" t="n">
        <v>45924</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45924</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60732-2020</t>
        </is>
      </c>
      <c r="B181" s="1" t="n">
        <v>44153.77171296296</v>
      </c>
      <c r="C181" s="1" t="n">
        <v>45924</v>
      </c>
      <c r="D181" t="inlineStr">
        <is>
          <t>VÄRMLANDS LÄN</t>
        </is>
      </c>
      <c r="E181" t="inlineStr">
        <is>
          <t>ÅRJÄNG</t>
        </is>
      </c>
      <c r="G181" t="n">
        <v>2</v>
      </c>
      <c r="H181" t="n">
        <v>0</v>
      </c>
      <c r="I181" t="n">
        <v>0</v>
      </c>
      <c r="J181" t="n">
        <v>0</v>
      </c>
      <c r="K181" t="n">
        <v>0</v>
      </c>
      <c r="L181" t="n">
        <v>0</v>
      </c>
      <c r="M181" t="n">
        <v>0</v>
      </c>
      <c r="N181" t="n">
        <v>0</v>
      </c>
      <c r="O181" t="n">
        <v>0</v>
      </c>
      <c r="P181" t="n">
        <v>0</v>
      </c>
      <c r="Q181" t="n">
        <v>0</v>
      </c>
      <c r="R181" s="2" t="inlineStr"/>
    </row>
    <row r="182" ht="15" customHeight="1">
      <c r="A182" t="inlineStr">
        <is>
          <t>A 36532-2022</t>
        </is>
      </c>
      <c r="B182" s="1" t="n">
        <v>44804</v>
      </c>
      <c r="C182" s="1" t="n">
        <v>45924</v>
      </c>
      <c r="D182" t="inlineStr">
        <is>
          <t>VÄRMLANDS LÄN</t>
        </is>
      </c>
      <c r="E182" t="inlineStr">
        <is>
          <t>ÅRJÄNG</t>
        </is>
      </c>
      <c r="G182" t="n">
        <v>12.7</v>
      </c>
      <c r="H182" t="n">
        <v>0</v>
      </c>
      <c r="I182" t="n">
        <v>0</v>
      </c>
      <c r="J182" t="n">
        <v>0</v>
      </c>
      <c r="K182" t="n">
        <v>0</v>
      </c>
      <c r="L182" t="n">
        <v>0</v>
      </c>
      <c r="M182" t="n">
        <v>0</v>
      </c>
      <c r="N182" t="n">
        <v>0</v>
      </c>
      <c r="O182" t="n">
        <v>0</v>
      </c>
      <c r="P182" t="n">
        <v>0</v>
      </c>
      <c r="Q182" t="n">
        <v>0</v>
      </c>
      <c r="R182" s="2" t="inlineStr"/>
    </row>
    <row r="183" ht="15" customHeight="1">
      <c r="A183" t="inlineStr">
        <is>
          <t>A 48652-2020</t>
        </is>
      </c>
      <c r="B183" s="1" t="n">
        <v>44103</v>
      </c>
      <c r="C183" s="1" t="n">
        <v>45924</v>
      </c>
      <c r="D183" t="inlineStr">
        <is>
          <t>VÄRMLANDS LÄN</t>
        </is>
      </c>
      <c r="E183" t="inlineStr">
        <is>
          <t>ÅRJÄNG</t>
        </is>
      </c>
      <c r="G183" t="n">
        <v>4.9</v>
      </c>
      <c r="H183" t="n">
        <v>0</v>
      </c>
      <c r="I183" t="n">
        <v>0</v>
      </c>
      <c r="J183" t="n">
        <v>0</v>
      </c>
      <c r="K183" t="n">
        <v>0</v>
      </c>
      <c r="L183" t="n">
        <v>0</v>
      </c>
      <c r="M183" t="n">
        <v>0</v>
      </c>
      <c r="N183" t="n">
        <v>0</v>
      </c>
      <c r="O183" t="n">
        <v>0</v>
      </c>
      <c r="P183" t="n">
        <v>0</v>
      </c>
      <c r="Q183" t="n">
        <v>0</v>
      </c>
      <c r="R183" s="2" t="inlineStr"/>
    </row>
    <row r="184" ht="15" customHeight="1">
      <c r="A184" t="inlineStr">
        <is>
          <t>A 6900-2021</t>
        </is>
      </c>
      <c r="B184" s="1" t="n">
        <v>44237</v>
      </c>
      <c r="C184" s="1" t="n">
        <v>45924</v>
      </c>
      <c r="D184" t="inlineStr">
        <is>
          <t>VÄRMLANDS LÄN</t>
        </is>
      </c>
      <c r="E184" t="inlineStr">
        <is>
          <t>ÅRJÄNG</t>
        </is>
      </c>
      <c r="G184" t="n">
        <v>0.5</v>
      </c>
      <c r="H184" t="n">
        <v>0</v>
      </c>
      <c r="I184" t="n">
        <v>0</v>
      </c>
      <c r="J184" t="n">
        <v>0</v>
      </c>
      <c r="K184" t="n">
        <v>0</v>
      </c>
      <c r="L184" t="n">
        <v>0</v>
      </c>
      <c r="M184" t="n">
        <v>0</v>
      </c>
      <c r="N184" t="n">
        <v>0</v>
      </c>
      <c r="O184" t="n">
        <v>0</v>
      </c>
      <c r="P184" t="n">
        <v>0</v>
      </c>
      <c r="Q184" t="n">
        <v>0</v>
      </c>
      <c r="R184" s="2" t="inlineStr"/>
    </row>
    <row r="185" ht="15" customHeight="1">
      <c r="A185" t="inlineStr">
        <is>
          <t>A 6908-2021</t>
        </is>
      </c>
      <c r="B185" s="1" t="n">
        <v>44237</v>
      </c>
      <c r="C185" s="1" t="n">
        <v>45924</v>
      </c>
      <c r="D185" t="inlineStr">
        <is>
          <t>VÄRMLANDS LÄN</t>
        </is>
      </c>
      <c r="E185" t="inlineStr">
        <is>
          <t>ÅRJÄNG</t>
        </is>
      </c>
      <c r="G185" t="n">
        <v>3.3</v>
      </c>
      <c r="H185" t="n">
        <v>0</v>
      </c>
      <c r="I185" t="n">
        <v>0</v>
      </c>
      <c r="J185" t="n">
        <v>0</v>
      </c>
      <c r="K185" t="n">
        <v>0</v>
      </c>
      <c r="L185" t="n">
        <v>0</v>
      </c>
      <c r="M185" t="n">
        <v>0</v>
      </c>
      <c r="N185" t="n">
        <v>0</v>
      </c>
      <c r="O185" t="n">
        <v>0</v>
      </c>
      <c r="P185" t="n">
        <v>0</v>
      </c>
      <c r="Q185" t="n">
        <v>0</v>
      </c>
      <c r="R185" s="2" t="inlineStr"/>
    </row>
    <row r="186" ht="15" customHeight="1">
      <c r="A186" t="inlineStr">
        <is>
          <t>A 51962-2022</t>
        </is>
      </c>
      <c r="B186" s="1" t="n">
        <v>44872.68225694444</v>
      </c>
      <c r="C186" s="1" t="n">
        <v>45924</v>
      </c>
      <c r="D186" t="inlineStr">
        <is>
          <t>VÄRMLANDS LÄN</t>
        </is>
      </c>
      <c r="E186" t="inlineStr">
        <is>
          <t>ÅRJÄNG</t>
        </is>
      </c>
      <c r="G186" t="n">
        <v>1.7</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45924</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10898-2022</t>
        </is>
      </c>
      <c r="B188" s="1" t="n">
        <v>44627</v>
      </c>
      <c r="C188" s="1" t="n">
        <v>45924</v>
      </c>
      <c r="D188" t="inlineStr">
        <is>
          <t>VÄRMLANDS LÄN</t>
        </is>
      </c>
      <c r="E188" t="inlineStr">
        <is>
          <t>ÅRJÄNG</t>
        </is>
      </c>
      <c r="G188" t="n">
        <v>10.2</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45924</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1567-2022</t>
        </is>
      </c>
      <c r="B190" s="1" t="n">
        <v>44573</v>
      </c>
      <c r="C190" s="1" t="n">
        <v>45924</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45924</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4400-2022</t>
        </is>
      </c>
      <c r="B192" s="1" t="n">
        <v>44588</v>
      </c>
      <c r="C192" s="1" t="n">
        <v>45924</v>
      </c>
      <c r="D192" t="inlineStr">
        <is>
          <t>VÄRMLANDS LÄN</t>
        </is>
      </c>
      <c r="E192" t="inlineStr">
        <is>
          <t>ÅRJÄNG</t>
        </is>
      </c>
      <c r="G192" t="n">
        <v>3.4</v>
      </c>
      <c r="H192" t="n">
        <v>0</v>
      </c>
      <c r="I192" t="n">
        <v>0</v>
      </c>
      <c r="J192" t="n">
        <v>0</v>
      </c>
      <c r="K192" t="n">
        <v>0</v>
      </c>
      <c r="L192" t="n">
        <v>0</v>
      </c>
      <c r="M192" t="n">
        <v>0</v>
      </c>
      <c r="N192" t="n">
        <v>0</v>
      </c>
      <c r="O192" t="n">
        <v>0</v>
      </c>
      <c r="P192" t="n">
        <v>0</v>
      </c>
      <c r="Q192" t="n">
        <v>0</v>
      </c>
      <c r="R192" s="2" t="inlineStr"/>
    </row>
    <row r="193" ht="15" customHeight="1">
      <c r="A193" t="inlineStr">
        <is>
          <t>A 70883-2021</t>
        </is>
      </c>
      <c r="B193" s="1" t="n">
        <v>44538.39300925926</v>
      </c>
      <c r="C193" s="1" t="n">
        <v>45924</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57437-2020</t>
        </is>
      </c>
      <c r="B194" s="1" t="n">
        <v>44140</v>
      </c>
      <c r="C194" s="1" t="n">
        <v>45924</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57444-2020</t>
        </is>
      </c>
      <c r="B195" s="1" t="n">
        <v>44140</v>
      </c>
      <c r="C195" s="1" t="n">
        <v>45924</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59143-2021</t>
        </is>
      </c>
      <c r="B196" s="1" t="n">
        <v>44490</v>
      </c>
      <c r="C196" s="1" t="n">
        <v>45924</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50569-2021</t>
        </is>
      </c>
      <c r="B197" s="1" t="n">
        <v>44459</v>
      </c>
      <c r="C197" s="1" t="n">
        <v>45924</v>
      </c>
      <c r="D197" t="inlineStr">
        <is>
          <t>VÄRMLANDS LÄN</t>
        </is>
      </c>
      <c r="E197" t="inlineStr">
        <is>
          <t>ÅRJÄNG</t>
        </is>
      </c>
      <c r="G197" t="n">
        <v>2.9</v>
      </c>
      <c r="H197" t="n">
        <v>0</v>
      </c>
      <c r="I197" t="n">
        <v>0</v>
      </c>
      <c r="J197" t="n">
        <v>0</v>
      </c>
      <c r="K197" t="n">
        <v>0</v>
      </c>
      <c r="L197" t="n">
        <v>0</v>
      </c>
      <c r="M197" t="n">
        <v>0</v>
      </c>
      <c r="N197" t="n">
        <v>0</v>
      </c>
      <c r="O197" t="n">
        <v>0</v>
      </c>
      <c r="P197" t="n">
        <v>0</v>
      </c>
      <c r="Q197" t="n">
        <v>0</v>
      </c>
      <c r="R197" s="2" t="inlineStr"/>
    </row>
    <row r="198" ht="15" customHeight="1">
      <c r="A198" t="inlineStr">
        <is>
          <t>A 55654-2022</t>
        </is>
      </c>
      <c r="B198" s="1" t="n">
        <v>44888</v>
      </c>
      <c r="C198" s="1" t="n">
        <v>45924</v>
      </c>
      <c r="D198" t="inlineStr">
        <is>
          <t>VÄRMLANDS LÄN</t>
        </is>
      </c>
      <c r="E198" t="inlineStr">
        <is>
          <t>ÅRJÄNG</t>
        </is>
      </c>
      <c r="G198" t="n">
        <v>0.6</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45924</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45924</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39661-2022</t>
        </is>
      </c>
      <c r="B201" s="1" t="n">
        <v>44818.79202546296</v>
      </c>
      <c r="C201" s="1" t="n">
        <v>45924</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35543-2021</t>
        </is>
      </c>
      <c r="B202" s="1" t="n">
        <v>44385</v>
      </c>
      <c r="C202" s="1" t="n">
        <v>45924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52761-2022</t>
        </is>
      </c>
      <c r="B203" s="1" t="n">
        <v>44875.3165162037</v>
      </c>
      <c r="C203" s="1" t="n">
        <v>45924</v>
      </c>
      <c r="D203" t="inlineStr">
        <is>
          <t>VÄRMLANDS LÄN</t>
        </is>
      </c>
      <c r="E203" t="inlineStr">
        <is>
          <t>ÅRJÄNG</t>
        </is>
      </c>
      <c r="G203" t="n">
        <v>2.7</v>
      </c>
      <c r="H203" t="n">
        <v>0</v>
      </c>
      <c r="I203" t="n">
        <v>0</v>
      </c>
      <c r="J203" t="n">
        <v>0</v>
      </c>
      <c r="K203" t="n">
        <v>0</v>
      </c>
      <c r="L203" t="n">
        <v>0</v>
      </c>
      <c r="M203" t="n">
        <v>0</v>
      </c>
      <c r="N203" t="n">
        <v>0</v>
      </c>
      <c r="O203" t="n">
        <v>0</v>
      </c>
      <c r="P203" t="n">
        <v>0</v>
      </c>
      <c r="Q203" t="n">
        <v>0</v>
      </c>
      <c r="R203" s="2" t="inlineStr"/>
    </row>
    <row r="204" ht="15" customHeight="1">
      <c r="A204" t="inlineStr">
        <is>
          <t>A 9484-2021</t>
        </is>
      </c>
      <c r="B204" s="1" t="n">
        <v>44251</v>
      </c>
      <c r="C204" s="1" t="n">
        <v>45924</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35015-2021</t>
        </is>
      </c>
      <c r="B205" s="1" t="n">
        <v>44383.69291666667</v>
      </c>
      <c r="C205" s="1" t="n">
        <v>45924</v>
      </c>
      <c r="D205" t="inlineStr">
        <is>
          <t>VÄRMLANDS LÄN</t>
        </is>
      </c>
      <c r="E205" t="inlineStr">
        <is>
          <t>ÅRJÄNG</t>
        </is>
      </c>
      <c r="G205" t="n">
        <v>3.9</v>
      </c>
      <c r="H205" t="n">
        <v>0</v>
      </c>
      <c r="I205" t="n">
        <v>0</v>
      </c>
      <c r="J205" t="n">
        <v>0</v>
      </c>
      <c r="K205" t="n">
        <v>0</v>
      </c>
      <c r="L205" t="n">
        <v>0</v>
      </c>
      <c r="M205" t="n">
        <v>0</v>
      </c>
      <c r="N205" t="n">
        <v>0</v>
      </c>
      <c r="O205" t="n">
        <v>0</v>
      </c>
      <c r="P205" t="n">
        <v>0</v>
      </c>
      <c r="Q205" t="n">
        <v>0</v>
      </c>
      <c r="R205" s="2" t="inlineStr"/>
    </row>
    <row r="206" ht="15" customHeight="1">
      <c r="A206" t="inlineStr">
        <is>
          <t>A 16400-2022</t>
        </is>
      </c>
      <c r="B206" s="1" t="n">
        <v>44671</v>
      </c>
      <c r="C206" s="1" t="n">
        <v>45924</v>
      </c>
      <c r="D206" t="inlineStr">
        <is>
          <t>VÄRMLANDS LÄN</t>
        </is>
      </c>
      <c r="E206" t="inlineStr">
        <is>
          <t>ÅRJÄNG</t>
        </is>
      </c>
      <c r="G206" t="n">
        <v>1</v>
      </c>
      <c r="H206" t="n">
        <v>0</v>
      </c>
      <c r="I206" t="n">
        <v>0</v>
      </c>
      <c r="J206" t="n">
        <v>0</v>
      </c>
      <c r="K206" t="n">
        <v>0</v>
      </c>
      <c r="L206" t="n">
        <v>0</v>
      </c>
      <c r="M206" t="n">
        <v>0</v>
      </c>
      <c r="N206" t="n">
        <v>0</v>
      </c>
      <c r="O206" t="n">
        <v>0</v>
      </c>
      <c r="P206" t="n">
        <v>0</v>
      </c>
      <c r="Q206" t="n">
        <v>0</v>
      </c>
      <c r="R206" s="2" t="inlineStr"/>
    </row>
    <row r="207" ht="15" customHeight="1">
      <c r="A207" t="inlineStr">
        <is>
          <t>A 7555-2021</t>
        </is>
      </c>
      <c r="B207" s="1" t="n">
        <v>44239</v>
      </c>
      <c r="C207" s="1" t="n">
        <v>45924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56849-2020</t>
        </is>
      </c>
      <c r="B208" s="1" t="n">
        <v>44134</v>
      </c>
      <c r="C208" s="1" t="n">
        <v>45924</v>
      </c>
      <c r="D208" t="inlineStr">
        <is>
          <t>VÄRMLANDS LÄN</t>
        </is>
      </c>
      <c r="E208" t="inlineStr">
        <is>
          <t>ÅRJÄNG</t>
        </is>
      </c>
      <c r="G208" t="n">
        <v>5.1</v>
      </c>
      <c r="H208" t="n">
        <v>0</v>
      </c>
      <c r="I208" t="n">
        <v>0</v>
      </c>
      <c r="J208" t="n">
        <v>0</v>
      </c>
      <c r="K208" t="n">
        <v>0</v>
      </c>
      <c r="L208" t="n">
        <v>0</v>
      </c>
      <c r="M208" t="n">
        <v>0</v>
      </c>
      <c r="N208" t="n">
        <v>0</v>
      </c>
      <c r="O208" t="n">
        <v>0</v>
      </c>
      <c r="P208" t="n">
        <v>0</v>
      </c>
      <c r="Q208" t="n">
        <v>0</v>
      </c>
      <c r="R208" s="2" t="inlineStr"/>
    </row>
    <row r="209" ht="15" customHeight="1">
      <c r="A209" t="inlineStr">
        <is>
          <t>A 40439-2022</t>
        </is>
      </c>
      <c r="B209" s="1" t="n">
        <v>44823.4903125</v>
      </c>
      <c r="C209" s="1" t="n">
        <v>45924</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66334-2020</t>
        </is>
      </c>
      <c r="B210" s="1" t="n">
        <v>44174</v>
      </c>
      <c r="C210" s="1" t="n">
        <v>45924</v>
      </c>
      <c r="D210" t="inlineStr">
        <is>
          <t>VÄRMLANDS LÄN</t>
        </is>
      </c>
      <c r="E210" t="inlineStr">
        <is>
          <t>ÅRJÄNG</t>
        </is>
      </c>
      <c r="F210" t="inlineStr">
        <is>
          <t>Övriga Aktiebolag</t>
        </is>
      </c>
      <c r="G210" t="n">
        <v>1.9</v>
      </c>
      <c r="H210" t="n">
        <v>0</v>
      </c>
      <c r="I210" t="n">
        <v>0</v>
      </c>
      <c r="J210" t="n">
        <v>0</v>
      </c>
      <c r="K210" t="n">
        <v>0</v>
      </c>
      <c r="L210" t="n">
        <v>0</v>
      </c>
      <c r="M210" t="n">
        <v>0</v>
      </c>
      <c r="N210" t="n">
        <v>0</v>
      </c>
      <c r="O210" t="n">
        <v>0</v>
      </c>
      <c r="P210" t="n">
        <v>0</v>
      </c>
      <c r="Q210" t="n">
        <v>0</v>
      </c>
      <c r="R210" s="2" t="inlineStr"/>
    </row>
    <row r="211" ht="15" customHeight="1">
      <c r="A211" t="inlineStr">
        <is>
          <t>A 9630-2022</t>
        </is>
      </c>
      <c r="B211" s="1" t="n">
        <v>44617</v>
      </c>
      <c r="C211" s="1" t="n">
        <v>45924</v>
      </c>
      <c r="D211" t="inlineStr">
        <is>
          <t>VÄRMLANDS LÄN</t>
        </is>
      </c>
      <c r="E211" t="inlineStr">
        <is>
          <t>ÅRJÄNG</t>
        </is>
      </c>
      <c r="G211" t="n">
        <v>0.3</v>
      </c>
      <c r="H211" t="n">
        <v>0</v>
      </c>
      <c r="I211" t="n">
        <v>0</v>
      </c>
      <c r="J211" t="n">
        <v>0</v>
      </c>
      <c r="K211" t="n">
        <v>0</v>
      </c>
      <c r="L211" t="n">
        <v>0</v>
      </c>
      <c r="M211" t="n">
        <v>0</v>
      </c>
      <c r="N211" t="n">
        <v>0</v>
      </c>
      <c r="O211" t="n">
        <v>0</v>
      </c>
      <c r="P211" t="n">
        <v>0</v>
      </c>
      <c r="Q211" t="n">
        <v>0</v>
      </c>
      <c r="R211" s="2" t="inlineStr"/>
    </row>
    <row r="212" ht="15" customHeight="1">
      <c r="A212" t="inlineStr">
        <is>
          <t>A 65979-2021</t>
        </is>
      </c>
      <c r="B212" s="1" t="n">
        <v>44517.54078703704</v>
      </c>
      <c r="C212" s="1" t="n">
        <v>45924</v>
      </c>
      <c r="D212" t="inlineStr">
        <is>
          <t>VÄRMLANDS LÄN</t>
        </is>
      </c>
      <c r="E212" t="inlineStr">
        <is>
          <t>ÅRJÄNG</t>
        </is>
      </c>
      <c r="G212" t="n">
        <v>5.1</v>
      </c>
      <c r="H212" t="n">
        <v>0</v>
      </c>
      <c r="I212" t="n">
        <v>0</v>
      </c>
      <c r="J212" t="n">
        <v>0</v>
      </c>
      <c r="K212" t="n">
        <v>0</v>
      </c>
      <c r="L212" t="n">
        <v>0</v>
      </c>
      <c r="M212" t="n">
        <v>0</v>
      </c>
      <c r="N212" t="n">
        <v>0</v>
      </c>
      <c r="O212" t="n">
        <v>0</v>
      </c>
      <c r="P212" t="n">
        <v>0</v>
      </c>
      <c r="Q212" t="n">
        <v>0</v>
      </c>
      <c r="R212" s="2" t="inlineStr"/>
    </row>
    <row r="213" ht="15" customHeight="1">
      <c r="A213" t="inlineStr">
        <is>
          <t>A 10884-2022</t>
        </is>
      </c>
      <c r="B213" s="1" t="n">
        <v>44627.72101851852</v>
      </c>
      <c r="C213" s="1" t="n">
        <v>45924</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63383-2020</t>
        </is>
      </c>
      <c r="B214" s="1" t="n">
        <v>44165.49491898148</v>
      </c>
      <c r="C214" s="1" t="n">
        <v>45924</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71837-2021</t>
        </is>
      </c>
      <c r="B215" s="1" t="n">
        <v>44543</v>
      </c>
      <c r="C215" s="1" t="n">
        <v>45924</v>
      </c>
      <c r="D215" t="inlineStr">
        <is>
          <t>VÄRMLANDS LÄN</t>
        </is>
      </c>
      <c r="E215" t="inlineStr">
        <is>
          <t>ÅRJÄNG</t>
        </is>
      </c>
      <c r="G215" t="n">
        <v>7.2</v>
      </c>
      <c r="H215" t="n">
        <v>0</v>
      </c>
      <c r="I215" t="n">
        <v>0</v>
      </c>
      <c r="J215" t="n">
        <v>0</v>
      </c>
      <c r="K215" t="n">
        <v>0</v>
      </c>
      <c r="L215" t="n">
        <v>0</v>
      </c>
      <c r="M215" t="n">
        <v>0</v>
      </c>
      <c r="N215" t="n">
        <v>0</v>
      </c>
      <c r="O215" t="n">
        <v>0</v>
      </c>
      <c r="P215" t="n">
        <v>0</v>
      </c>
      <c r="Q215" t="n">
        <v>0</v>
      </c>
      <c r="R215" s="2" t="inlineStr"/>
    </row>
    <row r="216" ht="15" customHeight="1">
      <c r="A216" t="inlineStr">
        <is>
          <t>A 36948-2021</t>
        </is>
      </c>
      <c r="B216" s="1" t="n">
        <v>44393.53646990741</v>
      </c>
      <c r="C216" s="1" t="n">
        <v>45924</v>
      </c>
      <c r="D216" t="inlineStr">
        <is>
          <t>VÄRMLANDS LÄN</t>
        </is>
      </c>
      <c r="E216" t="inlineStr">
        <is>
          <t>ÅRJÄNG</t>
        </is>
      </c>
      <c r="G216" t="n">
        <v>4.4</v>
      </c>
      <c r="H216" t="n">
        <v>0</v>
      </c>
      <c r="I216" t="n">
        <v>0</v>
      </c>
      <c r="J216" t="n">
        <v>0</v>
      </c>
      <c r="K216" t="n">
        <v>0</v>
      </c>
      <c r="L216" t="n">
        <v>0</v>
      </c>
      <c r="M216" t="n">
        <v>0</v>
      </c>
      <c r="N216" t="n">
        <v>0</v>
      </c>
      <c r="O216" t="n">
        <v>0</v>
      </c>
      <c r="P216" t="n">
        <v>0</v>
      </c>
      <c r="Q216" t="n">
        <v>0</v>
      </c>
      <c r="R216" s="2" t="inlineStr"/>
    </row>
    <row r="217" ht="15" customHeight="1">
      <c r="A217" t="inlineStr">
        <is>
          <t>A 47013-2021</t>
        </is>
      </c>
      <c r="B217" s="1" t="n">
        <v>44446</v>
      </c>
      <c r="C217" s="1" t="n">
        <v>45924</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5259-2021</t>
        </is>
      </c>
      <c r="B218" s="1" t="n">
        <v>44229</v>
      </c>
      <c r="C218" s="1" t="n">
        <v>45924</v>
      </c>
      <c r="D218" t="inlineStr">
        <is>
          <t>VÄRMLANDS LÄN</t>
        </is>
      </c>
      <c r="E218" t="inlineStr">
        <is>
          <t>ÅRJÄNG</t>
        </is>
      </c>
      <c r="G218" t="n">
        <v>5.5</v>
      </c>
      <c r="H218" t="n">
        <v>0</v>
      </c>
      <c r="I218" t="n">
        <v>0</v>
      </c>
      <c r="J218" t="n">
        <v>0</v>
      </c>
      <c r="K218" t="n">
        <v>0</v>
      </c>
      <c r="L218" t="n">
        <v>0</v>
      </c>
      <c r="M218" t="n">
        <v>0</v>
      </c>
      <c r="N218" t="n">
        <v>0</v>
      </c>
      <c r="O218" t="n">
        <v>0</v>
      </c>
      <c r="P218" t="n">
        <v>0</v>
      </c>
      <c r="Q218" t="n">
        <v>0</v>
      </c>
      <c r="R218" s="2" t="inlineStr"/>
    </row>
    <row r="219" ht="15" customHeight="1">
      <c r="A219" t="inlineStr">
        <is>
          <t>A 2143-2022</t>
        </is>
      </c>
      <c r="B219" s="1" t="n">
        <v>44571</v>
      </c>
      <c r="C219" s="1" t="n">
        <v>45924</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27871-2021</t>
        </is>
      </c>
      <c r="B220" s="1" t="n">
        <v>44354</v>
      </c>
      <c r="C220" s="1" t="n">
        <v>45924</v>
      </c>
      <c r="D220" t="inlineStr">
        <is>
          <t>VÄRMLANDS LÄN</t>
        </is>
      </c>
      <c r="E220" t="inlineStr">
        <is>
          <t>ÅRJÄNG</t>
        </is>
      </c>
      <c r="G220" t="n">
        <v>2.3</v>
      </c>
      <c r="H220" t="n">
        <v>0</v>
      </c>
      <c r="I220" t="n">
        <v>0</v>
      </c>
      <c r="J220" t="n">
        <v>0</v>
      </c>
      <c r="K220" t="n">
        <v>0</v>
      </c>
      <c r="L220" t="n">
        <v>0</v>
      </c>
      <c r="M220" t="n">
        <v>0</v>
      </c>
      <c r="N220" t="n">
        <v>0</v>
      </c>
      <c r="O220" t="n">
        <v>0</v>
      </c>
      <c r="P220" t="n">
        <v>0</v>
      </c>
      <c r="Q220" t="n">
        <v>0</v>
      </c>
      <c r="R220" s="2" t="inlineStr"/>
    </row>
    <row r="221" ht="15" customHeight="1">
      <c r="A221" t="inlineStr">
        <is>
          <t>A 17135-2022</t>
        </is>
      </c>
      <c r="B221" s="1" t="n">
        <v>44677</v>
      </c>
      <c r="C221" s="1" t="n">
        <v>45924</v>
      </c>
      <c r="D221" t="inlineStr">
        <is>
          <t>VÄRMLANDS LÄN</t>
        </is>
      </c>
      <c r="E221" t="inlineStr">
        <is>
          <t>ÅRJÄNG</t>
        </is>
      </c>
      <c r="G221" t="n">
        <v>9</v>
      </c>
      <c r="H221" t="n">
        <v>0</v>
      </c>
      <c r="I221" t="n">
        <v>0</v>
      </c>
      <c r="J221" t="n">
        <v>0</v>
      </c>
      <c r="K221" t="n">
        <v>0</v>
      </c>
      <c r="L221" t="n">
        <v>0</v>
      </c>
      <c r="M221" t="n">
        <v>0</v>
      </c>
      <c r="N221" t="n">
        <v>0</v>
      </c>
      <c r="O221" t="n">
        <v>0</v>
      </c>
      <c r="P221" t="n">
        <v>0</v>
      </c>
      <c r="Q221" t="n">
        <v>0</v>
      </c>
      <c r="R221" s="2" t="inlineStr"/>
    </row>
    <row r="222" ht="15" customHeight="1">
      <c r="A222" t="inlineStr">
        <is>
          <t>A 22158-2021</t>
        </is>
      </c>
      <c r="B222" s="1" t="n">
        <v>44325.57944444445</v>
      </c>
      <c r="C222" s="1" t="n">
        <v>45924</v>
      </c>
      <c r="D222" t="inlineStr">
        <is>
          <t>VÄRMLANDS LÄN</t>
        </is>
      </c>
      <c r="E222" t="inlineStr">
        <is>
          <t>ÅRJÄNG</t>
        </is>
      </c>
      <c r="G222" t="n">
        <v>5</v>
      </c>
      <c r="H222" t="n">
        <v>0</v>
      </c>
      <c r="I222" t="n">
        <v>0</v>
      </c>
      <c r="J222" t="n">
        <v>0</v>
      </c>
      <c r="K222" t="n">
        <v>0</v>
      </c>
      <c r="L222" t="n">
        <v>0</v>
      </c>
      <c r="M222" t="n">
        <v>0</v>
      </c>
      <c r="N222" t="n">
        <v>0</v>
      </c>
      <c r="O222" t="n">
        <v>0</v>
      </c>
      <c r="P222" t="n">
        <v>0</v>
      </c>
      <c r="Q222" t="n">
        <v>0</v>
      </c>
      <c r="R222" s="2" t="inlineStr"/>
    </row>
    <row r="223" ht="15" customHeight="1">
      <c r="A223" t="inlineStr">
        <is>
          <t>A 30817-2021</t>
        </is>
      </c>
      <c r="B223" s="1" t="n">
        <v>44365</v>
      </c>
      <c r="C223" s="1" t="n">
        <v>45924</v>
      </c>
      <c r="D223" t="inlineStr">
        <is>
          <t>VÄRMLANDS LÄN</t>
        </is>
      </c>
      <c r="E223" t="inlineStr">
        <is>
          <t>ÅRJÄNG</t>
        </is>
      </c>
      <c r="G223" t="n">
        <v>5.6</v>
      </c>
      <c r="H223" t="n">
        <v>0</v>
      </c>
      <c r="I223" t="n">
        <v>0</v>
      </c>
      <c r="J223" t="n">
        <v>0</v>
      </c>
      <c r="K223" t="n">
        <v>0</v>
      </c>
      <c r="L223" t="n">
        <v>0</v>
      </c>
      <c r="M223" t="n">
        <v>0</v>
      </c>
      <c r="N223" t="n">
        <v>0</v>
      </c>
      <c r="O223" t="n">
        <v>0</v>
      </c>
      <c r="P223" t="n">
        <v>0</v>
      </c>
      <c r="Q223" t="n">
        <v>0</v>
      </c>
      <c r="R223" s="2" t="inlineStr"/>
    </row>
    <row r="224" ht="15" customHeight="1">
      <c r="A224" t="inlineStr">
        <is>
          <t>A 332-2021</t>
        </is>
      </c>
      <c r="B224" s="1" t="n">
        <v>44201</v>
      </c>
      <c r="C224" s="1" t="n">
        <v>45924</v>
      </c>
      <c r="D224" t="inlineStr">
        <is>
          <t>VÄRMLANDS LÄN</t>
        </is>
      </c>
      <c r="E224" t="inlineStr">
        <is>
          <t>ÅRJÄNG</t>
        </is>
      </c>
      <c r="G224" t="n">
        <v>4.1</v>
      </c>
      <c r="H224" t="n">
        <v>0</v>
      </c>
      <c r="I224" t="n">
        <v>0</v>
      </c>
      <c r="J224" t="n">
        <v>0</v>
      </c>
      <c r="K224" t="n">
        <v>0</v>
      </c>
      <c r="L224" t="n">
        <v>0</v>
      </c>
      <c r="M224" t="n">
        <v>0</v>
      </c>
      <c r="N224" t="n">
        <v>0</v>
      </c>
      <c r="O224" t="n">
        <v>0</v>
      </c>
      <c r="P224" t="n">
        <v>0</v>
      </c>
      <c r="Q224" t="n">
        <v>0</v>
      </c>
      <c r="R224" s="2" t="inlineStr"/>
    </row>
    <row r="225" ht="15" customHeight="1">
      <c r="A225" t="inlineStr">
        <is>
          <t>A 5713-2021</t>
        </is>
      </c>
      <c r="B225" s="1" t="n">
        <v>44230</v>
      </c>
      <c r="C225" s="1" t="n">
        <v>45924</v>
      </c>
      <c r="D225" t="inlineStr">
        <is>
          <t>VÄRMLANDS LÄN</t>
        </is>
      </c>
      <c r="E225" t="inlineStr">
        <is>
          <t>ÅRJÄNG</t>
        </is>
      </c>
      <c r="G225" t="n">
        <v>1.1</v>
      </c>
      <c r="H225" t="n">
        <v>0</v>
      </c>
      <c r="I225" t="n">
        <v>0</v>
      </c>
      <c r="J225" t="n">
        <v>0</v>
      </c>
      <c r="K225" t="n">
        <v>0</v>
      </c>
      <c r="L225" t="n">
        <v>0</v>
      </c>
      <c r="M225" t="n">
        <v>0</v>
      </c>
      <c r="N225" t="n">
        <v>0</v>
      </c>
      <c r="O225" t="n">
        <v>0</v>
      </c>
      <c r="P225" t="n">
        <v>0</v>
      </c>
      <c r="Q225" t="n">
        <v>0</v>
      </c>
      <c r="R225" s="2" t="inlineStr"/>
    </row>
    <row r="226" ht="15" customHeight="1">
      <c r="A226" t="inlineStr">
        <is>
          <t>A 23451-2021</t>
        </is>
      </c>
      <c r="B226" s="1" t="n">
        <v>44333.89180555556</v>
      </c>
      <c r="C226" s="1" t="n">
        <v>45924</v>
      </c>
      <c r="D226" t="inlineStr">
        <is>
          <t>VÄRMLANDS LÄN</t>
        </is>
      </c>
      <c r="E226" t="inlineStr">
        <is>
          <t>ÅRJÄNG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40872-2022</t>
        </is>
      </c>
      <c r="B227" s="1" t="n">
        <v>44825.33496527778</v>
      </c>
      <c r="C227" s="1" t="n">
        <v>45924</v>
      </c>
      <c r="D227" t="inlineStr">
        <is>
          <t>VÄRMLANDS LÄN</t>
        </is>
      </c>
      <c r="E227" t="inlineStr">
        <is>
          <t>ÅRJÄNG</t>
        </is>
      </c>
      <c r="G227" t="n">
        <v>0.5</v>
      </c>
      <c r="H227" t="n">
        <v>0</v>
      </c>
      <c r="I227" t="n">
        <v>0</v>
      </c>
      <c r="J227" t="n">
        <v>0</v>
      </c>
      <c r="K227" t="n">
        <v>0</v>
      </c>
      <c r="L227" t="n">
        <v>0</v>
      </c>
      <c r="M227" t="n">
        <v>0</v>
      </c>
      <c r="N227" t="n">
        <v>0</v>
      </c>
      <c r="O227" t="n">
        <v>0</v>
      </c>
      <c r="P227" t="n">
        <v>0</v>
      </c>
      <c r="Q227" t="n">
        <v>0</v>
      </c>
      <c r="R227" s="2" t="inlineStr"/>
    </row>
    <row r="228" ht="15" customHeight="1">
      <c r="A228" t="inlineStr">
        <is>
          <t>A 7235-2022</t>
        </is>
      </c>
      <c r="B228" s="1" t="n">
        <v>44606</v>
      </c>
      <c r="C228" s="1" t="n">
        <v>45924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72609-2021</t>
        </is>
      </c>
      <c r="B229" s="1" t="n">
        <v>44546.50645833334</v>
      </c>
      <c r="C229" s="1" t="n">
        <v>45924</v>
      </c>
      <c r="D229" t="inlineStr">
        <is>
          <t>VÄRMLANDS LÄN</t>
        </is>
      </c>
      <c r="E229" t="inlineStr">
        <is>
          <t>ÅRJÄNG</t>
        </is>
      </c>
      <c r="F229" t="inlineStr">
        <is>
          <t>Kyrkan</t>
        </is>
      </c>
      <c r="G229" t="n">
        <v>1.8</v>
      </c>
      <c r="H229" t="n">
        <v>0</v>
      </c>
      <c r="I229" t="n">
        <v>0</v>
      </c>
      <c r="J229" t="n">
        <v>0</v>
      </c>
      <c r="K229" t="n">
        <v>0</v>
      </c>
      <c r="L229" t="n">
        <v>0</v>
      </c>
      <c r="M229" t="n">
        <v>0</v>
      </c>
      <c r="N229" t="n">
        <v>0</v>
      </c>
      <c r="O229" t="n">
        <v>0</v>
      </c>
      <c r="P229" t="n">
        <v>0</v>
      </c>
      <c r="Q229" t="n">
        <v>0</v>
      </c>
      <c r="R229" s="2" t="inlineStr"/>
    </row>
    <row r="230" ht="15" customHeight="1">
      <c r="A230" t="inlineStr">
        <is>
          <t>A 59453-2021</t>
        </is>
      </c>
      <c r="B230" s="1" t="n">
        <v>44491</v>
      </c>
      <c r="C230" s="1" t="n">
        <v>45924</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45924</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45924</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53262-2022</t>
        </is>
      </c>
      <c r="B233" s="1" t="n">
        <v>44876</v>
      </c>
      <c r="C233" s="1" t="n">
        <v>45924</v>
      </c>
      <c r="D233" t="inlineStr">
        <is>
          <t>VÄRMLANDS LÄN</t>
        </is>
      </c>
      <c r="E233" t="inlineStr">
        <is>
          <t>ÅRJÄNG</t>
        </is>
      </c>
      <c r="G233" t="n">
        <v>0.7</v>
      </c>
      <c r="H233" t="n">
        <v>0</v>
      </c>
      <c r="I233" t="n">
        <v>0</v>
      </c>
      <c r="J233" t="n">
        <v>0</v>
      </c>
      <c r="K233" t="n">
        <v>0</v>
      </c>
      <c r="L233" t="n">
        <v>0</v>
      </c>
      <c r="M233" t="n">
        <v>0</v>
      </c>
      <c r="N233" t="n">
        <v>0</v>
      </c>
      <c r="O233" t="n">
        <v>0</v>
      </c>
      <c r="P233" t="n">
        <v>0</v>
      </c>
      <c r="Q233" t="n">
        <v>0</v>
      </c>
      <c r="R233" s="2" t="inlineStr"/>
    </row>
    <row r="234" ht="15" customHeight="1">
      <c r="A234" t="inlineStr">
        <is>
          <t>A 5346-2022</t>
        </is>
      </c>
      <c r="B234" s="1" t="n">
        <v>44594.74583333333</v>
      </c>
      <c r="C234" s="1" t="n">
        <v>45924</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51975-2022</t>
        </is>
      </c>
      <c r="B235" s="1" t="n">
        <v>44872.71702546296</v>
      </c>
      <c r="C235" s="1" t="n">
        <v>45924</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48089-2020</t>
        </is>
      </c>
      <c r="B236" s="1" t="n">
        <v>44101</v>
      </c>
      <c r="C236" s="1" t="n">
        <v>45924</v>
      </c>
      <c r="D236" t="inlineStr">
        <is>
          <t>VÄRMLANDS LÄN</t>
        </is>
      </c>
      <c r="E236" t="inlineStr">
        <is>
          <t>ÅRJÄNG</t>
        </is>
      </c>
      <c r="G236" t="n">
        <v>6.7</v>
      </c>
      <c r="H236" t="n">
        <v>0</v>
      </c>
      <c r="I236" t="n">
        <v>0</v>
      </c>
      <c r="J236" t="n">
        <v>0</v>
      </c>
      <c r="K236" t="n">
        <v>0</v>
      </c>
      <c r="L236" t="n">
        <v>0</v>
      </c>
      <c r="M236" t="n">
        <v>0</v>
      </c>
      <c r="N236" t="n">
        <v>0</v>
      </c>
      <c r="O236" t="n">
        <v>0</v>
      </c>
      <c r="P236" t="n">
        <v>0</v>
      </c>
      <c r="Q236" t="n">
        <v>0</v>
      </c>
      <c r="R236" s="2" t="inlineStr"/>
    </row>
    <row r="237" ht="15" customHeight="1">
      <c r="A237" t="inlineStr">
        <is>
          <t>A 41416-2021</t>
        </is>
      </c>
      <c r="B237" s="1" t="n">
        <v>44424</v>
      </c>
      <c r="C237" s="1" t="n">
        <v>45924</v>
      </c>
      <c r="D237" t="inlineStr">
        <is>
          <t>VÄRMLANDS LÄN</t>
        </is>
      </c>
      <c r="E237" t="inlineStr">
        <is>
          <t>ÅRJÄNG</t>
        </is>
      </c>
      <c r="G237" t="n">
        <v>10.4</v>
      </c>
      <c r="H237" t="n">
        <v>0</v>
      </c>
      <c r="I237" t="n">
        <v>0</v>
      </c>
      <c r="J237" t="n">
        <v>0</v>
      </c>
      <c r="K237" t="n">
        <v>0</v>
      </c>
      <c r="L237" t="n">
        <v>0</v>
      </c>
      <c r="M237" t="n">
        <v>0</v>
      </c>
      <c r="N237" t="n">
        <v>0</v>
      </c>
      <c r="O237" t="n">
        <v>0</v>
      </c>
      <c r="P237" t="n">
        <v>0</v>
      </c>
      <c r="Q237" t="n">
        <v>0</v>
      </c>
      <c r="R237" s="2" t="inlineStr"/>
    </row>
    <row r="238" ht="15" customHeight="1">
      <c r="A238" t="inlineStr">
        <is>
          <t>A 17927-2021</t>
        </is>
      </c>
      <c r="B238" s="1" t="n">
        <v>44301</v>
      </c>
      <c r="C238" s="1" t="n">
        <v>45924</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56993-2021</t>
        </is>
      </c>
      <c r="B239" s="1" t="n">
        <v>44482</v>
      </c>
      <c r="C239" s="1" t="n">
        <v>45924</v>
      </c>
      <c r="D239" t="inlineStr">
        <is>
          <t>VÄRMLANDS LÄN</t>
        </is>
      </c>
      <c r="E239" t="inlineStr">
        <is>
          <t>ÅRJÄNG</t>
        </is>
      </c>
      <c r="G239" t="n">
        <v>3.8</v>
      </c>
      <c r="H239" t="n">
        <v>0</v>
      </c>
      <c r="I239" t="n">
        <v>0</v>
      </c>
      <c r="J239" t="n">
        <v>0</v>
      </c>
      <c r="K239" t="n">
        <v>0</v>
      </c>
      <c r="L239" t="n">
        <v>0</v>
      </c>
      <c r="M239" t="n">
        <v>0</v>
      </c>
      <c r="N239" t="n">
        <v>0</v>
      </c>
      <c r="O239" t="n">
        <v>0</v>
      </c>
      <c r="P239" t="n">
        <v>0</v>
      </c>
      <c r="Q239" t="n">
        <v>0</v>
      </c>
      <c r="R239" s="2" t="inlineStr"/>
    </row>
    <row r="240" ht="15" customHeight="1">
      <c r="A240" t="inlineStr">
        <is>
          <t>A 48192-2022</t>
        </is>
      </c>
      <c r="B240" s="1" t="n">
        <v>44853</v>
      </c>
      <c r="C240" s="1" t="n">
        <v>45924</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13654-2022</t>
        </is>
      </c>
      <c r="B241" s="1" t="n">
        <v>44648.65623842592</v>
      </c>
      <c r="C241" s="1" t="n">
        <v>45924</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27862-2021</t>
        </is>
      </c>
      <c r="B242" s="1" t="n">
        <v>44354</v>
      </c>
      <c r="C242" s="1" t="n">
        <v>45924</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43034-2021</t>
        </is>
      </c>
      <c r="B243" s="1" t="n">
        <v>44431</v>
      </c>
      <c r="C243" s="1" t="n">
        <v>45924</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72996-2021</t>
        </is>
      </c>
      <c r="B244" s="1" t="n">
        <v>44549.8596875</v>
      </c>
      <c r="C244" s="1" t="n">
        <v>45924</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71840-2021</t>
        </is>
      </c>
      <c r="B245" s="1" t="n">
        <v>44543</v>
      </c>
      <c r="C245" s="1" t="n">
        <v>45924</v>
      </c>
      <c r="D245" t="inlineStr">
        <is>
          <t>VÄRMLANDS LÄN</t>
        </is>
      </c>
      <c r="E245" t="inlineStr">
        <is>
          <t>ÅRJÄNG</t>
        </is>
      </c>
      <c r="G245" t="n">
        <v>6.5</v>
      </c>
      <c r="H245" t="n">
        <v>0</v>
      </c>
      <c r="I245" t="n">
        <v>0</v>
      </c>
      <c r="J245" t="n">
        <v>0</v>
      </c>
      <c r="K245" t="n">
        <v>0</v>
      </c>
      <c r="L245" t="n">
        <v>0</v>
      </c>
      <c r="M245" t="n">
        <v>0</v>
      </c>
      <c r="N245" t="n">
        <v>0</v>
      </c>
      <c r="O245" t="n">
        <v>0</v>
      </c>
      <c r="P245" t="n">
        <v>0</v>
      </c>
      <c r="Q245" t="n">
        <v>0</v>
      </c>
      <c r="R245" s="2" t="inlineStr"/>
    </row>
    <row r="246" ht="15" customHeight="1">
      <c r="A246" t="inlineStr">
        <is>
          <t>A 60715-2021</t>
        </is>
      </c>
      <c r="B246" s="1" t="n">
        <v>44496.70440972222</v>
      </c>
      <c r="C246" s="1" t="n">
        <v>45924</v>
      </c>
      <c r="D246" t="inlineStr">
        <is>
          <t>VÄRMLANDS LÄN</t>
        </is>
      </c>
      <c r="E246" t="inlineStr">
        <is>
          <t>ÅRJÄNG</t>
        </is>
      </c>
      <c r="G246" t="n">
        <v>7.4</v>
      </c>
      <c r="H246" t="n">
        <v>0</v>
      </c>
      <c r="I246" t="n">
        <v>0</v>
      </c>
      <c r="J246" t="n">
        <v>0</v>
      </c>
      <c r="K246" t="n">
        <v>0</v>
      </c>
      <c r="L246" t="n">
        <v>0</v>
      </c>
      <c r="M246" t="n">
        <v>0</v>
      </c>
      <c r="N246" t="n">
        <v>0</v>
      </c>
      <c r="O246" t="n">
        <v>0</v>
      </c>
      <c r="P246" t="n">
        <v>0</v>
      </c>
      <c r="Q246" t="n">
        <v>0</v>
      </c>
      <c r="R246" s="2" t="inlineStr"/>
    </row>
    <row r="247" ht="15" customHeight="1">
      <c r="A247" t="inlineStr">
        <is>
          <t>A 4915-2022</t>
        </is>
      </c>
      <c r="B247" s="1" t="n">
        <v>44593</v>
      </c>
      <c r="C247" s="1" t="n">
        <v>45924</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36087-2021</t>
        </is>
      </c>
      <c r="B248" s="1" t="n">
        <v>44389</v>
      </c>
      <c r="C248" s="1" t="n">
        <v>45924</v>
      </c>
      <c r="D248" t="inlineStr">
        <is>
          <t>VÄRMLANDS LÄN</t>
        </is>
      </c>
      <c r="E248" t="inlineStr">
        <is>
          <t>ÅRJÄNG</t>
        </is>
      </c>
      <c r="G248" t="n">
        <v>2.2</v>
      </c>
      <c r="H248" t="n">
        <v>0</v>
      </c>
      <c r="I248" t="n">
        <v>0</v>
      </c>
      <c r="J248" t="n">
        <v>0</v>
      </c>
      <c r="K248" t="n">
        <v>0</v>
      </c>
      <c r="L248" t="n">
        <v>0</v>
      </c>
      <c r="M248" t="n">
        <v>0</v>
      </c>
      <c r="N248" t="n">
        <v>0</v>
      </c>
      <c r="O248" t="n">
        <v>0</v>
      </c>
      <c r="P248" t="n">
        <v>0</v>
      </c>
      <c r="Q248" t="n">
        <v>0</v>
      </c>
      <c r="R248" s="2" t="inlineStr"/>
    </row>
    <row r="249" ht="15" customHeight="1">
      <c r="A249" t="inlineStr">
        <is>
          <t>A 10612-2022</t>
        </is>
      </c>
      <c r="B249" s="1" t="n">
        <v>44624</v>
      </c>
      <c r="C249" s="1" t="n">
        <v>45924</v>
      </c>
      <c r="D249" t="inlineStr">
        <is>
          <t>VÄRMLANDS LÄN</t>
        </is>
      </c>
      <c r="E249" t="inlineStr">
        <is>
          <t>ÅRJÄNG</t>
        </is>
      </c>
      <c r="G249" t="n">
        <v>6.8</v>
      </c>
      <c r="H249" t="n">
        <v>0</v>
      </c>
      <c r="I249" t="n">
        <v>0</v>
      </c>
      <c r="J249" t="n">
        <v>0</v>
      </c>
      <c r="K249" t="n">
        <v>0</v>
      </c>
      <c r="L249" t="n">
        <v>0</v>
      </c>
      <c r="M249" t="n">
        <v>0</v>
      </c>
      <c r="N249" t="n">
        <v>0</v>
      </c>
      <c r="O249" t="n">
        <v>0</v>
      </c>
      <c r="P249" t="n">
        <v>0</v>
      </c>
      <c r="Q249" t="n">
        <v>0</v>
      </c>
      <c r="R249" s="2" t="inlineStr"/>
    </row>
    <row r="250" ht="15" customHeight="1">
      <c r="A250" t="inlineStr">
        <is>
          <t>A 29098-2022</t>
        </is>
      </c>
      <c r="B250" s="1" t="n">
        <v>44750</v>
      </c>
      <c r="C250" s="1" t="n">
        <v>45924</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48594-2020</t>
        </is>
      </c>
      <c r="B251" s="1" t="n">
        <v>44103</v>
      </c>
      <c r="C251" s="1" t="n">
        <v>45924</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29174-2022</t>
        </is>
      </c>
      <c r="B252" s="1" t="n">
        <v>44750</v>
      </c>
      <c r="C252" s="1" t="n">
        <v>45924</v>
      </c>
      <c r="D252" t="inlineStr">
        <is>
          <t>VÄRMLANDS LÄN</t>
        </is>
      </c>
      <c r="E252" t="inlineStr">
        <is>
          <t>ÅRJÄNG</t>
        </is>
      </c>
      <c r="G252" t="n">
        <v>0.1</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45924</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13152-2022</t>
        </is>
      </c>
      <c r="B254" s="1" t="n">
        <v>44643</v>
      </c>
      <c r="C254" s="1" t="n">
        <v>45924</v>
      </c>
      <c r="D254" t="inlineStr">
        <is>
          <t>VÄRMLANDS LÄN</t>
        </is>
      </c>
      <c r="E254" t="inlineStr">
        <is>
          <t>ÅRJÄNG</t>
        </is>
      </c>
      <c r="G254" t="n">
        <v>4</v>
      </c>
      <c r="H254" t="n">
        <v>0</v>
      </c>
      <c r="I254" t="n">
        <v>0</v>
      </c>
      <c r="J254" t="n">
        <v>0</v>
      </c>
      <c r="K254" t="n">
        <v>0</v>
      </c>
      <c r="L254" t="n">
        <v>0</v>
      </c>
      <c r="M254" t="n">
        <v>0</v>
      </c>
      <c r="N254" t="n">
        <v>0</v>
      </c>
      <c r="O254" t="n">
        <v>0</v>
      </c>
      <c r="P254" t="n">
        <v>0</v>
      </c>
      <c r="Q254" t="n">
        <v>0</v>
      </c>
      <c r="R254" s="2" t="inlineStr"/>
    </row>
    <row r="255" ht="15" customHeight="1">
      <c r="A255" t="inlineStr">
        <is>
          <t>A 16676-2021</t>
        </is>
      </c>
      <c r="B255" s="1" t="n">
        <v>44294.5668287037</v>
      </c>
      <c r="C255" s="1" t="n">
        <v>45924</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23450-2021</t>
        </is>
      </c>
      <c r="B256" s="1" t="n">
        <v>44333</v>
      </c>
      <c r="C256" s="1" t="n">
        <v>45924</v>
      </c>
      <c r="D256" t="inlineStr">
        <is>
          <t>VÄRMLANDS LÄN</t>
        </is>
      </c>
      <c r="E256" t="inlineStr">
        <is>
          <t>ÅRJÄNG</t>
        </is>
      </c>
      <c r="G256" t="n">
        <v>5.1</v>
      </c>
      <c r="H256" t="n">
        <v>0</v>
      </c>
      <c r="I256" t="n">
        <v>0</v>
      </c>
      <c r="J256" t="n">
        <v>0</v>
      </c>
      <c r="K256" t="n">
        <v>0</v>
      </c>
      <c r="L256" t="n">
        <v>0</v>
      </c>
      <c r="M256" t="n">
        <v>0</v>
      </c>
      <c r="N256" t="n">
        <v>0</v>
      </c>
      <c r="O256" t="n">
        <v>0</v>
      </c>
      <c r="P256" t="n">
        <v>0</v>
      </c>
      <c r="Q256" t="n">
        <v>0</v>
      </c>
      <c r="R256" s="2" t="inlineStr"/>
    </row>
    <row r="257" ht="15" customHeight="1">
      <c r="A257" t="inlineStr">
        <is>
          <t>A 69024-2021</t>
        </is>
      </c>
      <c r="B257" s="1" t="n">
        <v>44530.61547453704</v>
      </c>
      <c r="C257" s="1" t="n">
        <v>45924</v>
      </c>
      <c r="D257" t="inlineStr">
        <is>
          <t>VÄRMLANDS LÄN</t>
        </is>
      </c>
      <c r="E257" t="inlineStr">
        <is>
          <t>ÅRJÄNG</t>
        </is>
      </c>
      <c r="G257" t="n">
        <v>0.3</v>
      </c>
      <c r="H257" t="n">
        <v>0</v>
      </c>
      <c r="I257" t="n">
        <v>0</v>
      </c>
      <c r="J257" t="n">
        <v>0</v>
      </c>
      <c r="K257" t="n">
        <v>0</v>
      </c>
      <c r="L257" t="n">
        <v>0</v>
      </c>
      <c r="M257" t="n">
        <v>0</v>
      </c>
      <c r="N257" t="n">
        <v>0</v>
      </c>
      <c r="O257" t="n">
        <v>0</v>
      </c>
      <c r="P257" t="n">
        <v>0</v>
      </c>
      <c r="Q257" t="n">
        <v>0</v>
      </c>
      <c r="R257" s="2" t="inlineStr"/>
    </row>
    <row r="258" ht="15" customHeight="1">
      <c r="A258" t="inlineStr">
        <is>
          <t>A 40643-2022</t>
        </is>
      </c>
      <c r="B258" s="1" t="n">
        <v>44824.32023148148</v>
      </c>
      <c r="C258" s="1" t="n">
        <v>45924</v>
      </c>
      <c r="D258" t="inlineStr">
        <is>
          <t>VÄRMLANDS LÄN</t>
        </is>
      </c>
      <c r="E258" t="inlineStr">
        <is>
          <t>ÅRJÄNG</t>
        </is>
      </c>
      <c r="G258" t="n">
        <v>0.4</v>
      </c>
      <c r="H258" t="n">
        <v>0</v>
      </c>
      <c r="I258" t="n">
        <v>0</v>
      </c>
      <c r="J258" t="n">
        <v>0</v>
      </c>
      <c r="K258" t="n">
        <v>0</v>
      </c>
      <c r="L258" t="n">
        <v>0</v>
      </c>
      <c r="M258" t="n">
        <v>0</v>
      </c>
      <c r="N258" t="n">
        <v>0</v>
      </c>
      <c r="O258" t="n">
        <v>0</v>
      </c>
      <c r="P258" t="n">
        <v>0</v>
      </c>
      <c r="Q258" t="n">
        <v>0</v>
      </c>
      <c r="R258" s="2" t="inlineStr"/>
    </row>
    <row r="259" ht="15" customHeight="1">
      <c r="A259" t="inlineStr">
        <is>
          <t>A 8408-2022</t>
        </is>
      </c>
      <c r="B259" s="1" t="n">
        <v>44610</v>
      </c>
      <c r="C259" s="1" t="n">
        <v>45924</v>
      </c>
      <c r="D259" t="inlineStr">
        <is>
          <t>VÄRMLANDS LÄN</t>
        </is>
      </c>
      <c r="E259" t="inlineStr">
        <is>
          <t>ÅRJÄNG</t>
        </is>
      </c>
      <c r="G259" t="n">
        <v>3.9</v>
      </c>
      <c r="H259" t="n">
        <v>0</v>
      </c>
      <c r="I259" t="n">
        <v>0</v>
      </c>
      <c r="J259" t="n">
        <v>0</v>
      </c>
      <c r="K259" t="n">
        <v>0</v>
      </c>
      <c r="L259" t="n">
        <v>0</v>
      </c>
      <c r="M259" t="n">
        <v>0</v>
      </c>
      <c r="N259" t="n">
        <v>0</v>
      </c>
      <c r="O259" t="n">
        <v>0</v>
      </c>
      <c r="P259" t="n">
        <v>0</v>
      </c>
      <c r="Q259" t="n">
        <v>0</v>
      </c>
      <c r="R259" s="2" t="inlineStr"/>
    </row>
    <row r="260" ht="15" customHeight="1">
      <c r="A260" t="inlineStr">
        <is>
          <t>A 57833-2021</t>
        </is>
      </c>
      <c r="B260" s="1" t="n">
        <v>44484.71295138889</v>
      </c>
      <c r="C260" s="1" t="n">
        <v>45924</v>
      </c>
      <c r="D260" t="inlineStr">
        <is>
          <t>VÄRMLANDS LÄN</t>
        </is>
      </c>
      <c r="E260" t="inlineStr">
        <is>
          <t>ÅRJÄNG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71819-2021</t>
        </is>
      </c>
      <c r="B261" s="1" t="n">
        <v>44540</v>
      </c>
      <c r="C261" s="1" t="n">
        <v>45924</v>
      </c>
      <c r="D261" t="inlineStr">
        <is>
          <t>VÄRMLANDS LÄN</t>
        </is>
      </c>
      <c r="E261" t="inlineStr">
        <is>
          <t>ÅRJÄNG</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19893-2022</t>
        </is>
      </c>
      <c r="B262" s="1" t="n">
        <v>44697</v>
      </c>
      <c r="C262" s="1" t="n">
        <v>45924</v>
      </c>
      <c r="D262" t="inlineStr">
        <is>
          <t>VÄRMLANDS LÄN</t>
        </is>
      </c>
      <c r="E262" t="inlineStr">
        <is>
          <t>ÅRJÄNG</t>
        </is>
      </c>
      <c r="G262" t="n">
        <v>2.5</v>
      </c>
      <c r="H262" t="n">
        <v>0</v>
      </c>
      <c r="I262" t="n">
        <v>0</v>
      </c>
      <c r="J262" t="n">
        <v>0</v>
      </c>
      <c r="K262" t="n">
        <v>0</v>
      </c>
      <c r="L262" t="n">
        <v>0</v>
      </c>
      <c r="M262" t="n">
        <v>0</v>
      </c>
      <c r="N262" t="n">
        <v>0</v>
      </c>
      <c r="O262" t="n">
        <v>0</v>
      </c>
      <c r="P262" t="n">
        <v>0</v>
      </c>
      <c r="Q262" t="n">
        <v>0</v>
      </c>
      <c r="R262" s="2" t="inlineStr"/>
    </row>
    <row r="263" ht="15" customHeight="1">
      <c r="A263" t="inlineStr">
        <is>
          <t>A 69647-2020</t>
        </is>
      </c>
      <c r="B263" s="1" t="n">
        <v>44195</v>
      </c>
      <c r="C263" s="1" t="n">
        <v>45924</v>
      </c>
      <c r="D263" t="inlineStr">
        <is>
          <t>VÄRMLANDS LÄN</t>
        </is>
      </c>
      <c r="E263" t="inlineStr">
        <is>
          <t>ÅRJÄNG</t>
        </is>
      </c>
      <c r="G263" t="n">
        <v>1.6</v>
      </c>
      <c r="H263" t="n">
        <v>0</v>
      </c>
      <c r="I263" t="n">
        <v>0</v>
      </c>
      <c r="J263" t="n">
        <v>0</v>
      </c>
      <c r="K263" t="n">
        <v>0</v>
      </c>
      <c r="L263" t="n">
        <v>0</v>
      </c>
      <c r="M263" t="n">
        <v>0</v>
      </c>
      <c r="N263" t="n">
        <v>0</v>
      </c>
      <c r="O263" t="n">
        <v>0</v>
      </c>
      <c r="P263" t="n">
        <v>0</v>
      </c>
      <c r="Q263" t="n">
        <v>0</v>
      </c>
      <c r="R263" s="2" t="inlineStr"/>
    </row>
    <row r="264" ht="15" customHeight="1">
      <c r="A264" t="inlineStr">
        <is>
          <t>A 10574-2023</t>
        </is>
      </c>
      <c r="B264" s="1" t="n">
        <v>44984</v>
      </c>
      <c r="C264" s="1" t="n">
        <v>45924</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25654-2024</t>
        </is>
      </c>
      <c r="B265" s="1" t="n">
        <v>45463</v>
      </c>
      <c r="C265" s="1" t="n">
        <v>45924</v>
      </c>
      <c r="D265" t="inlineStr">
        <is>
          <t>VÄRMLANDS LÄN</t>
        </is>
      </c>
      <c r="E265" t="inlineStr">
        <is>
          <t>ÅRJÄNG</t>
        </is>
      </c>
      <c r="G265" t="n">
        <v>16.9</v>
      </c>
      <c r="H265" t="n">
        <v>0</v>
      </c>
      <c r="I265" t="n">
        <v>0</v>
      </c>
      <c r="J265" t="n">
        <v>0</v>
      </c>
      <c r="K265" t="n">
        <v>0</v>
      </c>
      <c r="L265" t="n">
        <v>0</v>
      </c>
      <c r="M265" t="n">
        <v>0</v>
      </c>
      <c r="N265" t="n">
        <v>0</v>
      </c>
      <c r="O265" t="n">
        <v>0</v>
      </c>
      <c r="P265" t="n">
        <v>0</v>
      </c>
      <c r="Q265" t="n">
        <v>0</v>
      </c>
      <c r="R265" s="2" t="inlineStr"/>
    </row>
    <row r="266" ht="15" customHeight="1">
      <c r="A266" t="inlineStr">
        <is>
          <t>A 74166-2021</t>
        </is>
      </c>
      <c r="B266" s="1" t="n">
        <v>44558</v>
      </c>
      <c r="C266" s="1" t="n">
        <v>45924</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68180-2021</t>
        </is>
      </c>
      <c r="B267" s="1" t="n">
        <v>44526.48689814815</v>
      </c>
      <c r="C267" s="1" t="n">
        <v>45924</v>
      </c>
      <c r="D267" t="inlineStr">
        <is>
          <t>VÄRMLANDS LÄN</t>
        </is>
      </c>
      <c r="E267" t="inlineStr">
        <is>
          <t>ÅRJÄNG</t>
        </is>
      </c>
      <c r="F267" t="inlineStr">
        <is>
          <t>Kyrkan</t>
        </is>
      </c>
      <c r="G267" t="n">
        <v>4.1</v>
      </c>
      <c r="H267" t="n">
        <v>0</v>
      </c>
      <c r="I267" t="n">
        <v>0</v>
      </c>
      <c r="J267" t="n">
        <v>0</v>
      </c>
      <c r="K267" t="n">
        <v>0</v>
      </c>
      <c r="L267" t="n">
        <v>0</v>
      </c>
      <c r="M267" t="n">
        <v>0</v>
      </c>
      <c r="N267" t="n">
        <v>0</v>
      </c>
      <c r="O267" t="n">
        <v>0</v>
      </c>
      <c r="P267" t="n">
        <v>0</v>
      </c>
      <c r="Q267" t="n">
        <v>0</v>
      </c>
      <c r="R267" s="2" t="inlineStr"/>
    </row>
    <row r="268" ht="15" customHeight="1">
      <c r="A268" t="inlineStr">
        <is>
          <t>A 10518-2022</t>
        </is>
      </c>
      <c r="B268" s="1" t="n">
        <v>44623.77545138889</v>
      </c>
      <c r="C268" s="1" t="n">
        <v>45924</v>
      </c>
      <c r="D268" t="inlineStr">
        <is>
          <t>VÄRMLANDS LÄN</t>
        </is>
      </c>
      <c r="E268" t="inlineStr">
        <is>
          <t>ÅRJÄNG</t>
        </is>
      </c>
      <c r="G268" t="n">
        <v>0.5</v>
      </c>
      <c r="H268" t="n">
        <v>0</v>
      </c>
      <c r="I268" t="n">
        <v>0</v>
      </c>
      <c r="J268" t="n">
        <v>0</v>
      </c>
      <c r="K268" t="n">
        <v>0</v>
      </c>
      <c r="L268" t="n">
        <v>0</v>
      </c>
      <c r="M268" t="n">
        <v>0</v>
      </c>
      <c r="N268" t="n">
        <v>0</v>
      </c>
      <c r="O268" t="n">
        <v>0</v>
      </c>
      <c r="P268" t="n">
        <v>0</v>
      </c>
      <c r="Q268" t="n">
        <v>0</v>
      </c>
      <c r="R268" s="2" t="inlineStr"/>
    </row>
    <row r="269" ht="15" customHeight="1">
      <c r="A269" t="inlineStr">
        <is>
          <t>A 33831-2023</t>
        </is>
      </c>
      <c r="B269" s="1" t="n">
        <v>45121</v>
      </c>
      <c r="C269" s="1" t="n">
        <v>45924</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30346-2022</t>
        </is>
      </c>
      <c r="B270" s="1" t="n">
        <v>44760.55734953703</v>
      </c>
      <c r="C270" s="1" t="n">
        <v>45924</v>
      </c>
      <c r="D270" t="inlineStr">
        <is>
          <t>VÄRMLANDS LÄN</t>
        </is>
      </c>
      <c r="E270" t="inlineStr">
        <is>
          <t>ÅRJÄNG</t>
        </is>
      </c>
      <c r="G270" t="n">
        <v>6</v>
      </c>
      <c r="H270" t="n">
        <v>0</v>
      </c>
      <c r="I270" t="n">
        <v>0</v>
      </c>
      <c r="J270" t="n">
        <v>0</v>
      </c>
      <c r="K270" t="n">
        <v>0</v>
      </c>
      <c r="L270" t="n">
        <v>0</v>
      </c>
      <c r="M270" t="n">
        <v>0</v>
      </c>
      <c r="N270" t="n">
        <v>0</v>
      </c>
      <c r="O270" t="n">
        <v>0</v>
      </c>
      <c r="P270" t="n">
        <v>0</v>
      </c>
      <c r="Q270" t="n">
        <v>0</v>
      </c>
      <c r="R270" s="2" t="inlineStr"/>
    </row>
    <row r="271" ht="15" customHeight="1">
      <c r="A271" t="inlineStr">
        <is>
          <t>A 60713-2021</t>
        </is>
      </c>
      <c r="B271" s="1" t="n">
        <v>44496</v>
      </c>
      <c r="C271" s="1" t="n">
        <v>45924</v>
      </c>
      <c r="D271" t="inlineStr">
        <is>
          <t>VÄRMLANDS LÄN</t>
        </is>
      </c>
      <c r="E271" t="inlineStr">
        <is>
          <t>ÅRJÄNG</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73138-2021</t>
        </is>
      </c>
      <c r="B272" s="1" t="n">
        <v>44550</v>
      </c>
      <c r="C272" s="1" t="n">
        <v>45924</v>
      </c>
      <c r="D272" t="inlineStr">
        <is>
          <t>VÄRMLANDS LÄN</t>
        </is>
      </c>
      <c r="E272" t="inlineStr">
        <is>
          <t>ÅRJÄNG</t>
        </is>
      </c>
      <c r="G272" t="n">
        <v>4.3</v>
      </c>
      <c r="H272" t="n">
        <v>0</v>
      </c>
      <c r="I272" t="n">
        <v>0</v>
      </c>
      <c r="J272" t="n">
        <v>0</v>
      </c>
      <c r="K272" t="n">
        <v>0</v>
      </c>
      <c r="L272" t="n">
        <v>0</v>
      </c>
      <c r="M272" t="n">
        <v>0</v>
      </c>
      <c r="N272" t="n">
        <v>0</v>
      </c>
      <c r="O272" t="n">
        <v>0</v>
      </c>
      <c r="P272" t="n">
        <v>0</v>
      </c>
      <c r="Q272" t="n">
        <v>0</v>
      </c>
      <c r="R272" s="2" t="inlineStr"/>
    </row>
    <row r="273" ht="15" customHeight="1">
      <c r="A273" t="inlineStr">
        <is>
          <t>A 74189-2021</t>
        </is>
      </c>
      <c r="B273" s="1" t="n">
        <v>44553</v>
      </c>
      <c r="C273" s="1" t="n">
        <v>45924</v>
      </c>
      <c r="D273" t="inlineStr">
        <is>
          <t>VÄRMLANDS LÄN</t>
        </is>
      </c>
      <c r="E273" t="inlineStr">
        <is>
          <t>ÅRJÄNG</t>
        </is>
      </c>
      <c r="G273" t="n">
        <v>1.9</v>
      </c>
      <c r="H273" t="n">
        <v>0</v>
      </c>
      <c r="I273" t="n">
        <v>0</v>
      </c>
      <c r="J273" t="n">
        <v>0</v>
      </c>
      <c r="K273" t="n">
        <v>0</v>
      </c>
      <c r="L273" t="n">
        <v>0</v>
      </c>
      <c r="M273" t="n">
        <v>0</v>
      </c>
      <c r="N273" t="n">
        <v>0</v>
      </c>
      <c r="O273" t="n">
        <v>0</v>
      </c>
      <c r="P273" t="n">
        <v>0</v>
      </c>
      <c r="Q273" t="n">
        <v>0</v>
      </c>
      <c r="R273" s="2" t="inlineStr"/>
    </row>
    <row r="274" ht="15" customHeight="1">
      <c r="A274" t="inlineStr">
        <is>
          <t>A 15579-2025</t>
        </is>
      </c>
      <c r="B274" s="1" t="n">
        <v>45747</v>
      </c>
      <c r="C274" s="1" t="n">
        <v>45924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13156-2022</t>
        </is>
      </c>
      <c r="B275" s="1" t="n">
        <v>44643</v>
      </c>
      <c r="C275" s="1" t="n">
        <v>45924</v>
      </c>
      <c r="D275" t="inlineStr">
        <is>
          <t>VÄRMLANDS LÄN</t>
        </is>
      </c>
      <c r="E275" t="inlineStr">
        <is>
          <t>ÅRJÄNG</t>
        </is>
      </c>
      <c r="G275" t="n">
        <v>7.8</v>
      </c>
      <c r="H275" t="n">
        <v>0</v>
      </c>
      <c r="I275" t="n">
        <v>0</v>
      </c>
      <c r="J275" t="n">
        <v>0</v>
      </c>
      <c r="K275" t="n">
        <v>0</v>
      </c>
      <c r="L275" t="n">
        <v>0</v>
      </c>
      <c r="M275" t="n">
        <v>0</v>
      </c>
      <c r="N275" t="n">
        <v>0</v>
      </c>
      <c r="O275" t="n">
        <v>0</v>
      </c>
      <c r="P275" t="n">
        <v>0</v>
      </c>
      <c r="Q275" t="n">
        <v>0</v>
      </c>
      <c r="R275" s="2" t="inlineStr"/>
    </row>
    <row r="276" ht="15" customHeight="1">
      <c r="A276" t="inlineStr">
        <is>
          <t>A 47005-2021</t>
        </is>
      </c>
      <c r="B276" s="1" t="n">
        <v>44446</v>
      </c>
      <c r="C276" s="1" t="n">
        <v>45924</v>
      </c>
      <c r="D276" t="inlineStr">
        <is>
          <t>VÄRMLANDS LÄN</t>
        </is>
      </c>
      <c r="E276" t="inlineStr">
        <is>
          <t>ÅRJÄNG</t>
        </is>
      </c>
      <c r="G276" t="n">
        <v>6.3</v>
      </c>
      <c r="H276" t="n">
        <v>0</v>
      </c>
      <c r="I276" t="n">
        <v>0</v>
      </c>
      <c r="J276" t="n">
        <v>0</v>
      </c>
      <c r="K276" t="n">
        <v>0</v>
      </c>
      <c r="L276" t="n">
        <v>0</v>
      </c>
      <c r="M276" t="n">
        <v>0</v>
      </c>
      <c r="N276" t="n">
        <v>0</v>
      </c>
      <c r="O276" t="n">
        <v>0</v>
      </c>
      <c r="P276" t="n">
        <v>0</v>
      </c>
      <c r="Q276" t="n">
        <v>0</v>
      </c>
      <c r="R276" s="2" t="inlineStr"/>
    </row>
    <row r="277" ht="15" customHeight="1">
      <c r="A277" t="inlineStr">
        <is>
          <t>A 47033-2021</t>
        </is>
      </c>
      <c r="B277" s="1" t="n">
        <v>44446</v>
      </c>
      <c r="C277" s="1" t="n">
        <v>45924</v>
      </c>
      <c r="D277" t="inlineStr">
        <is>
          <t>VÄRMLANDS LÄN</t>
        </is>
      </c>
      <c r="E277" t="inlineStr">
        <is>
          <t>ÅRJÄNG</t>
        </is>
      </c>
      <c r="G277" t="n">
        <v>0.6</v>
      </c>
      <c r="H277" t="n">
        <v>0</v>
      </c>
      <c r="I277" t="n">
        <v>0</v>
      </c>
      <c r="J277" t="n">
        <v>0</v>
      </c>
      <c r="K277" t="n">
        <v>0</v>
      </c>
      <c r="L277" t="n">
        <v>0</v>
      </c>
      <c r="M277" t="n">
        <v>0</v>
      </c>
      <c r="N277" t="n">
        <v>0</v>
      </c>
      <c r="O277" t="n">
        <v>0</v>
      </c>
      <c r="P277" t="n">
        <v>0</v>
      </c>
      <c r="Q277" t="n">
        <v>0</v>
      </c>
      <c r="R277" s="2" t="inlineStr"/>
    </row>
    <row r="278" ht="15" customHeight="1">
      <c r="A278" t="inlineStr">
        <is>
          <t>A 9407-2022</t>
        </is>
      </c>
      <c r="B278" s="1" t="n">
        <v>44616.65760416666</v>
      </c>
      <c r="C278" s="1" t="n">
        <v>45924</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8938-2022</t>
        </is>
      </c>
      <c r="B279" s="1" t="n">
        <v>44614.7222337963</v>
      </c>
      <c r="C279" s="1" t="n">
        <v>45924</v>
      </c>
      <c r="D279" t="inlineStr">
        <is>
          <t>VÄRMLANDS LÄN</t>
        </is>
      </c>
      <c r="E279" t="inlineStr">
        <is>
          <t>ÅRJÄNG</t>
        </is>
      </c>
      <c r="G279" t="n">
        <v>11.9</v>
      </c>
      <c r="H279" t="n">
        <v>0</v>
      </c>
      <c r="I279" t="n">
        <v>0</v>
      </c>
      <c r="J279" t="n">
        <v>0</v>
      </c>
      <c r="K279" t="n">
        <v>0</v>
      </c>
      <c r="L279" t="n">
        <v>0</v>
      </c>
      <c r="M279" t="n">
        <v>0</v>
      </c>
      <c r="N279" t="n">
        <v>0</v>
      </c>
      <c r="O279" t="n">
        <v>0</v>
      </c>
      <c r="P279" t="n">
        <v>0</v>
      </c>
      <c r="Q279" t="n">
        <v>0</v>
      </c>
      <c r="R279" s="2" t="inlineStr"/>
    </row>
    <row r="280" ht="15" customHeight="1">
      <c r="A280" t="inlineStr">
        <is>
          <t>A 48132-2020</t>
        </is>
      </c>
      <c r="B280" s="1" t="n">
        <v>44102</v>
      </c>
      <c r="C280" s="1" t="n">
        <v>45924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19964-2023</t>
        </is>
      </c>
      <c r="B281" s="1" t="n">
        <v>45051</v>
      </c>
      <c r="C281" s="1" t="n">
        <v>45924</v>
      </c>
      <c r="D281" t="inlineStr">
        <is>
          <t>VÄRMLANDS LÄN</t>
        </is>
      </c>
      <c r="E281" t="inlineStr">
        <is>
          <t>ÅRJÄNG</t>
        </is>
      </c>
      <c r="G281" t="n">
        <v>1.2</v>
      </c>
      <c r="H281" t="n">
        <v>0</v>
      </c>
      <c r="I281" t="n">
        <v>0</v>
      </c>
      <c r="J281" t="n">
        <v>0</v>
      </c>
      <c r="K281" t="n">
        <v>0</v>
      </c>
      <c r="L281" t="n">
        <v>0</v>
      </c>
      <c r="M281" t="n">
        <v>0</v>
      </c>
      <c r="N281" t="n">
        <v>0</v>
      </c>
      <c r="O281" t="n">
        <v>0</v>
      </c>
      <c r="P281" t="n">
        <v>0</v>
      </c>
      <c r="Q281" t="n">
        <v>0</v>
      </c>
      <c r="R281" s="2" t="inlineStr"/>
    </row>
    <row r="282" ht="15" customHeight="1">
      <c r="A282" t="inlineStr">
        <is>
          <t>A 36016-2022</t>
        </is>
      </c>
      <c r="B282" s="1" t="n">
        <v>44802.64721064815</v>
      </c>
      <c r="C282" s="1" t="n">
        <v>45924</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16012-2024</t>
        </is>
      </c>
      <c r="B283" s="1" t="n">
        <v>45405.6524074074</v>
      </c>
      <c r="C283" s="1" t="n">
        <v>45924</v>
      </c>
      <c r="D283" t="inlineStr">
        <is>
          <t>VÄRMLANDS LÄN</t>
        </is>
      </c>
      <c r="E283" t="inlineStr">
        <is>
          <t>ÅRJÄNG</t>
        </is>
      </c>
      <c r="G283" t="n">
        <v>6.1</v>
      </c>
      <c r="H283" t="n">
        <v>0</v>
      </c>
      <c r="I283" t="n">
        <v>0</v>
      </c>
      <c r="J283" t="n">
        <v>0</v>
      </c>
      <c r="K283" t="n">
        <v>0</v>
      </c>
      <c r="L283" t="n">
        <v>0</v>
      </c>
      <c r="M283" t="n">
        <v>0</v>
      </c>
      <c r="N283" t="n">
        <v>0</v>
      </c>
      <c r="O283" t="n">
        <v>0</v>
      </c>
      <c r="P283" t="n">
        <v>0</v>
      </c>
      <c r="Q283" t="n">
        <v>0</v>
      </c>
      <c r="R283" s="2" t="inlineStr"/>
    </row>
    <row r="284" ht="15" customHeight="1">
      <c r="A284" t="inlineStr">
        <is>
          <t>A 36344-2023</t>
        </is>
      </c>
      <c r="B284" s="1" t="n">
        <v>45152</v>
      </c>
      <c r="C284" s="1" t="n">
        <v>45924</v>
      </c>
      <c r="D284" t="inlineStr">
        <is>
          <t>VÄRMLANDS LÄN</t>
        </is>
      </c>
      <c r="E284" t="inlineStr">
        <is>
          <t>ÅRJÄNG</t>
        </is>
      </c>
      <c r="G284" t="n">
        <v>7.7</v>
      </c>
      <c r="H284" t="n">
        <v>0</v>
      </c>
      <c r="I284" t="n">
        <v>0</v>
      </c>
      <c r="J284" t="n">
        <v>0</v>
      </c>
      <c r="K284" t="n">
        <v>0</v>
      </c>
      <c r="L284" t="n">
        <v>0</v>
      </c>
      <c r="M284" t="n">
        <v>0</v>
      </c>
      <c r="N284" t="n">
        <v>0</v>
      </c>
      <c r="O284" t="n">
        <v>0</v>
      </c>
      <c r="P284" t="n">
        <v>0</v>
      </c>
      <c r="Q284" t="n">
        <v>0</v>
      </c>
      <c r="R284" s="2" t="inlineStr"/>
    </row>
    <row r="285" ht="15" customHeight="1">
      <c r="A285" t="inlineStr">
        <is>
          <t>A 53332-2023</t>
        </is>
      </c>
      <c r="B285" s="1" t="n">
        <v>45229</v>
      </c>
      <c r="C285" s="1" t="n">
        <v>45924</v>
      </c>
      <c r="D285" t="inlineStr">
        <is>
          <t>VÄRMLANDS LÄN</t>
        </is>
      </c>
      <c r="E285" t="inlineStr">
        <is>
          <t>ÅRJÄNG</t>
        </is>
      </c>
      <c r="G285" t="n">
        <v>1.9</v>
      </c>
      <c r="H285" t="n">
        <v>0</v>
      </c>
      <c r="I285" t="n">
        <v>0</v>
      </c>
      <c r="J285" t="n">
        <v>0</v>
      </c>
      <c r="K285" t="n">
        <v>0</v>
      </c>
      <c r="L285" t="n">
        <v>0</v>
      </c>
      <c r="M285" t="n">
        <v>0</v>
      </c>
      <c r="N285" t="n">
        <v>0</v>
      </c>
      <c r="O285" t="n">
        <v>0</v>
      </c>
      <c r="P285" t="n">
        <v>0</v>
      </c>
      <c r="Q285" t="n">
        <v>0</v>
      </c>
      <c r="R285" s="2" t="inlineStr"/>
    </row>
    <row r="286" ht="15" customHeight="1">
      <c r="A286" t="inlineStr">
        <is>
          <t>A 30993-2024</t>
        </is>
      </c>
      <c r="B286" s="1" t="n">
        <v>45499</v>
      </c>
      <c r="C286" s="1" t="n">
        <v>45924</v>
      </c>
      <c r="D286" t="inlineStr">
        <is>
          <t>VÄRMLANDS LÄN</t>
        </is>
      </c>
      <c r="E286" t="inlineStr">
        <is>
          <t>ÅRJÄNG</t>
        </is>
      </c>
      <c r="F286" t="inlineStr">
        <is>
          <t>Kyrkan</t>
        </is>
      </c>
      <c r="G286" t="n">
        <v>4.7</v>
      </c>
      <c r="H286" t="n">
        <v>0</v>
      </c>
      <c r="I286" t="n">
        <v>0</v>
      </c>
      <c r="J286" t="n">
        <v>0</v>
      </c>
      <c r="K286" t="n">
        <v>0</v>
      </c>
      <c r="L286" t="n">
        <v>0</v>
      </c>
      <c r="M286" t="n">
        <v>0</v>
      </c>
      <c r="N286" t="n">
        <v>0</v>
      </c>
      <c r="O286" t="n">
        <v>0</v>
      </c>
      <c r="P286" t="n">
        <v>0</v>
      </c>
      <c r="Q286" t="n">
        <v>0</v>
      </c>
      <c r="R286" s="2" t="inlineStr"/>
    </row>
    <row r="287" ht="15" customHeight="1">
      <c r="A287" t="inlineStr">
        <is>
          <t>A 4606-2024</t>
        </is>
      </c>
      <c r="B287" s="1" t="n">
        <v>45328.3225</v>
      </c>
      <c r="C287" s="1" t="n">
        <v>45924</v>
      </c>
      <c r="D287" t="inlineStr">
        <is>
          <t>VÄRMLANDS LÄN</t>
        </is>
      </c>
      <c r="E287" t="inlineStr">
        <is>
          <t>ÅRJÄNG</t>
        </is>
      </c>
      <c r="G287" t="n">
        <v>3.9</v>
      </c>
      <c r="H287" t="n">
        <v>0</v>
      </c>
      <c r="I287" t="n">
        <v>0</v>
      </c>
      <c r="J287" t="n">
        <v>0</v>
      </c>
      <c r="K287" t="n">
        <v>0</v>
      </c>
      <c r="L287" t="n">
        <v>0</v>
      </c>
      <c r="M287" t="n">
        <v>0</v>
      </c>
      <c r="N287" t="n">
        <v>0</v>
      </c>
      <c r="O287" t="n">
        <v>0</v>
      </c>
      <c r="P287" t="n">
        <v>0</v>
      </c>
      <c r="Q287" t="n">
        <v>0</v>
      </c>
      <c r="R287" s="2" t="inlineStr"/>
    </row>
    <row r="288" ht="15" customHeight="1">
      <c r="A288" t="inlineStr">
        <is>
          <t>A 12740-2025</t>
        </is>
      </c>
      <c r="B288" s="1" t="n">
        <v>45733</v>
      </c>
      <c r="C288" s="1" t="n">
        <v>45924</v>
      </c>
      <c r="D288" t="inlineStr">
        <is>
          <t>VÄRMLANDS LÄN</t>
        </is>
      </c>
      <c r="E288" t="inlineStr">
        <is>
          <t>ÅRJÄNG</t>
        </is>
      </c>
      <c r="G288" t="n">
        <v>2.9</v>
      </c>
      <c r="H288" t="n">
        <v>0</v>
      </c>
      <c r="I288" t="n">
        <v>0</v>
      </c>
      <c r="J288" t="n">
        <v>0</v>
      </c>
      <c r="K288" t="n">
        <v>0</v>
      </c>
      <c r="L288" t="n">
        <v>0</v>
      </c>
      <c r="M288" t="n">
        <v>0</v>
      </c>
      <c r="N288" t="n">
        <v>0</v>
      </c>
      <c r="O288" t="n">
        <v>0</v>
      </c>
      <c r="P288" t="n">
        <v>0</v>
      </c>
      <c r="Q288" t="n">
        <v>0</v>
      </c>
      <c r="R288" s="2" t="inlineStr"/>
    </row>
    <row r="289" ht="15" customHeight="1">
      <c r="A289" t="inlineStr">
        <is>
          <t>A 53235-2020</t>
        </is>
      </c>
      <c r="B289" s="1" t="n">
        <v>44123</v>
      </c>
      <c r="C289" s="1" t="n">
        <v>45924</v>
      </c>
      <c r="D289" t="inlineStr">
        <is>
          <t>VÄRMLANDS LÄN</t>
        </is>
      </c>
      <c r="E289" t="inlineStr">
        <is>
          <t>ÅRJÄNG</t>
        </is>
      </c>
      <c r="G289" t="n">
        <v>3.9</v>
      </c>
      <c r="H289" t="n">
        <v>0</v>
      </c>
      <c r="I289" t="n">
        <v>0</v>
      </c>
      <c r="J289" t="n">
        <v>0</v>
      </c>
      <c r="K289" t="n">
        <v>0</v>
      </c>
      <c r="L289" t="n">
        <v>0</v>
      </c>
      <c r="M289" t="n">
        <v>0</v>
      </c>
      <c r="N289" t="n">
        <v>0</v>
      </c>
      <c r="O289" t="n">
        <v>0</v>
      </c>
      <c r="P289" t="n">
        <v>0</v>
      </c>
      <c r="Q289" t="n">
        <v>0</v>
      </c>
      <c r="R289" s="2" t="inlineStr"/>
    </row>
    <row r="290" ht="15" customHeight="1">
      <c r="A290" t="inlineStr">
        <is>
          <t>A 46317-2024</t>
        </is>
      </c>
      <c r="B290" s="1" t="n">
        <v>45581.74462962963</v>
      </c>
      <c r="C290" s="1" t="n">
        <v>45924</v>
      </c>
      <c r="D290" t="inlineStr">
        <is>
          <t>VÄRMLANDS LÄN</t>
        </is>
      </c>
      <c r="E290" t="inlineStr">
        <is>
          <t>ÅRJÄNG</t>
        </is>
      </c>
      <c r="G290" t="n">
        <v>3.5</v>
      </c>
      <c r="H290" t="n">
        <v>0</v>
      </c>
      <c r="I290" t="n">
        <v>0</v>
      </c>
      <c r="J290" t="n">
        <v>0</v>
      </c>
      <c r="K290" t="n">
        <v>0</v>
      </c>
      <c r="L290" t="n">
        <v>0</v>
      </c>
      <c r="M290" t="n">
        <v>0</v>
      </c>
      <c r="N290" t="n">
        <v>0</v>
      </c>
      <c r="O290" t="n">
        <v>0</v>
      </c>
      <c r="P290" t="n">
        <v>0</v>
      </c>
      <c r="Q290" t="n">
        <v>0</v>
      </c>
      <c r="R290" s="2" t="inlineStr"/>
    </row>
    <row r="291" ht="15" customHeight="1">
      <c r="A291" t="inlineStr">
        <is>
          <t>A 57748-2020</t>
        </is>
      </c>
      <c r="B291" s="1" t="n">
        <v>44140</v>
      </c>
      <c r="C291" s="1" t="n">
        <v>45924</v>
      </c>
      <c r="D291" t="inlineStr">
        <is>
          <t>VÄRMLANDS LÄN</t>
        </is>
      </c>
      <c r="E291" t="inlineStr">
        <is>
          <t>ÅRJÄNG</t>
        </is>
      </c>
      <c r="G291" t="n">
        <v>1.4</v>
      </c>
      <c r="H291" t="n">
        <v>0</v>
      </c>
      <c r="I291" t="n">
        <v>0</v>
      </c>
      <c r="J291" t="n">
        <v>0</v>
      </c>
      <c r="K291" t="n">
        <v>0</v>
      </c>
      <c r="L291" t="n">
        <v>0</v>
      </c>
      <c r="M291" t="n">
        <v>0</v>
      </c>
      <c r="N291" t="n">
        <v>0</v>
      </c>
      <c r="O291" t="n">
        <v>0</v>
      </c>
      <c r="P291" t="n">
        <v>0</v>
      </c>
      <c r="Q291" t="n">
        <v>0</v>
      </c>
      <c r="R291" s="2" t="inlineStr"/>
    </row>
    <row r="292" ht="15" customHeight="1">
      <c r="A292" t="inlineStr">
        <is>
          <t>A 60011-2020</t>
        </is>
      </c>
      <c r="B292" s="1" t="n">
        <v>44151</v>
      </c>
      <c r="C292" s="1" t="n">
        <v>45924</v>
      </c>
      <c r="D292" t="inlineStr">
        <is>
          <t>VÄRMLANDS LÄN</t>
        </is>
      </c>
      <c r="E292" t="inlineStr">
        <is>
          <t>ÅRJÄNG</t>
        </is>
      </c>
      <c r="G292" t="n">
        <v>2</v>
      </c>
      <c r="H292" t="n">
        <v>0</v>
      </c>
      <c r="I292" t="n">
        <v>0</v>
      </c>
      <c r="J292" t="n">
        <v>0</v>
      </c>
      <c r="K292" t="n">
        <v>0</v>
      </c>
      <c r="L292" t="n">
        <v>0</v>
      </c>
      <c r="M292" t="n">
        <v>0</v>
      </c>
      <c r="N292" t="n">
        <v>0</v>
      </c>
      <c r="O292" t="n">
        <v>0</v>
      </c>
      <c r="P292" t="n">
        <v>0</v>
      </c>
      <c r="Q292" t="n">
        <v>0</v>
      </c>
      <c r="R292" s="2" t="inlineStr"/>
    </row>
    <row r="293" ht="15" customHeight="1">
      <c r="A293" t="inlineStr">
        <is>
          <t>A 23203-2023</t>
        </is>
      </c>
      <c r="B293" s="1" t="n">
        <v>45075.61314814815</v>
      </c>
      <c r="C293" s="1" t="n">
        <v>45924</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23212-2023</t>
        </is>
      </c>
      <c r="B294" s="1" t="n">
        <v>45075.63211805555</v>
      </c>
      <c r="C294" s="1" t="n">
        <v>45924</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26880-2023</t>
        </is>
      </c>
      <c r="B295" s="1" t="n">
        <v>45093.58373842593</v>
      </c>
      <c r="C295" s="1" t="n">
        <v>45924</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57761-2020</t>
        </is>
      </c>
      <c r="B296" s="1" t="n">
        <v>44140</v>
      </c>
      <c r="C296" s="1" t="n">
        <v>45924</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9425-2025</t>
        </is>
      </c>
      <c r="B297" s="1" t="n">
        <v>45715.40350694444</v>
      </c>
      <c r="C297" s="1" t="n">
        <v>45924</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61913-2024</t>
        </is>
      </c>
      <c r="B298" s="1" t="n">
        <v>45653.38708333333</v>
      </c>
      <c r="C298" s="1" t="n">
        <v>45924</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54950-2022</t>
        </is>
      </c>
      <c r="B299" s="1" t="n">
        <v>44886</v>
      </c>
      <c r="C299" s="1" t="n">
        <v>45924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6962-2025</t>
        </is>
      </c>
      <c r="B300" s="1" t="n">
        <v>45701</v>
      </c>
      <c r="C300" s="1" t="n">
        <v>45924</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54335-2021</t>
        </is>
      </c>
      <c r="B301" s="1" t="n">
        <v>44472.93063657408</v>
      </c>
      <c r="C301" s="1" t="n">
        <v>45924</v>
      </c>
      <c r="D301" t="inlineStr">
        <is>
          <t>VÄRMLANDS LÄN</t>
        </is>
      </c>
      <c r="E301" t="inlineStr">
        <is>
          <t>ÅRJÄNG</t>
        </is>
      </c>
      <c r="G301" t="n">
        <v>5.5</v>
      </c>
      <c r="H301" t="n">
        <v>0</v>
      </c>
      <c r="I301" t="n">
        <v>0</v>
      </c>
      <c r="J301" t="n">
        <v>0</v>
      </c>
      <c r="K301" t="n">
        <v>0</v>
      </c>
      <c r="L301" t="n">
        <v>0</v>
      </c>
      <c r="M301" t="n">
        <v>0</v>
      </c>
      <c r="N301" t="n">
        <v>0</v>
      </c>
      <c r="O301" t="n">
        <v>0</v>
      </c>
      <c r="P301" t="n">
        <v>0</v>
      </c>
      <c r="Q301" t="n">
        <v>0</v>
      </c>
      <c r="R301" s="2" t="inlineStr"/>
    </row>
    <row r="302" ht="15" customHeight="1">
      <c r="A302" t="inlineStr">
        <is>
          <t>A 38433-2024</t>
        </is>
      </c>
      <c r="B302" s="1" t="n">
        <v>45546</v>
      </c>
      <c r="C302" s="1" t="n">
        <v>45924</v>
      </c>
      <c r="D302" t="inlineStr">
        <is>
          <t>VÄRMLANDS LÄN</t>
        </is>
      </c>
      <c r="E302" t="inlineStr">
        <is>
          <t>ÅRJÄNG</t>
        </is>
      </c>
      <c r="G302" t="n">
        <v>0.3</v>
      </c>
      <c r="H302" t="n">
        <v>0</v>
      </c>
      <c r="I302" t="n">
        <v>0</v>
      </c>
      <c r="J302" t="n">
        <v>0</v>
      </c>
      <c r="K302" t="n">
        <v>0</v>
      </c>
      <c r="L302" t="n">
        <v>0</v>
      </c>
      <c r="M302" t="n">
        <v>0</v>
      </c>
      <c r="N302" t="n">
        <v>0</v>
      </c>
      <c r="O302" t="n">
        <v>0</v>
      </c>
      <c r="P302" t="n">
        <v>0</v>
      </c>
      <c r="Q302" t="n">
        <v>0</v>
      </c>
      <c r="R302" s="2" t="inlineStr"/>
    </row>
    <row r="303" ht="15" customHeight="1">
      <c r="A303" t="inlineStr">
        <is>
          <t>A 935-2021</t>
        </is>
      </c>
      <c r="B303" s="1" t="n">
        <v>44207</v>
      </c>
      <c r="C303" s="1" t="n">
        <v>45924</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1289-2025</t>
        </is>
      </c>
      <c r="B304" s="1" t="n">
        <v>45667.51412037037</v>
      </c>
      <c r="C304" s="1" t="n">
        <v>45924</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28437-2021</t>
        </is>
      </c>
      <c r="B305" s="1" t="n">
        <v>44356.53327546296</v>
      </c>
      <c r="C305" s="1" t="n">
        <v>45924</v>
      </c>
      <c r="D305" t="inlineStr">
        <is>
          <t>VÄRMLANDS LÄN</t>
        </is>
      </c>
      <c r="E305" t="inlineStr">
        <is>
          <t>ÅRJÄNG</t>
        </is>
      </c>
      <c r="G305" t="n">
        <v>2.9</v>
      </c>
      <c r="H305" t="n">
        <v>0</v>
      </c>
      <c r="I305" t="n">
        <v>0</v>
      </c>
      <c r="J305" t="n">
        <v>0</v>
      </c>
      <c r="K305" t="n">
        <v>0</v>
      </c>
      <c r="L305" t="n">
        <v>0</v>
      </c>
      <c r="M305" t="n">
        <v>0</v>
      </c>
      <c r="N305" t="n">
        <v>0</v>
      </c>
      <c r="O305" t="n">
        <v>0</v>
      </c>
      <c r="P305" t="n">
        <v>0</v>
      </c>
      <c r="Q305" t="n">
        <v>0</v>
      </c>
      <c r="R305" s="2" t="inlineStr"/>
    </row>
    <row r="306" ht="15" customHeight="1">
      <c r="A306" t="inlineStr">
        <is>
          <t>A 12137-2021</t>
        </is>
      </c>
      <c r="B306" s="1" t="n">
        <v>44266</v>
      </c>
      <c r="C306" s="1" t="n">
        <v>45924</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15249-2021</t>
        </is>
      </c>
      <c r="B307" s="1" t="n">
        <v>44282</v>
      </c>
      <c r="C307" s="1" t="n">
        <v>45924</v>
      </c>
      <c r="D307" t="inlineStr">
        <is>
          <t>VÄRMLANDS LÄN</t>
        </is>
      </c>
      <c r="E307" t="inlineStr">
        <is>
          <t>ÅRJÄNG</t>
        </is>
      </c>
      <c r="F307" t="inlineStr">
        <is>
          <t>Övriga Aktiebolag</t>
        </is>
      </c>
      <c r="G307" t="n">
        <v>1.3</v>
      </c>
      <c r="H307" t="n">
        <v>0</v>
      </c>
      <c r="I307" t="n">
        <v>0</v>
      </c>
      <c r="J307" t="n">
        <v>0</v>
      </c>
      <c r="K307" t="n">
        <v>0</v>
      </c>
      <c r="L307" t="n">
        <v>0</v>
      </c>
      <c r="M307" t="n">
        <v>0</v>
      </c>
      <c r="N307" t="n">
        <v>0</v>
      </c>
      <c r="O307" t="n">
        <v>0</v>
      </c>
      <c r="P307" t="n">
        <v>0</v>
      </c>
      <c r="Q307" t="n">
        <v>0</v>
      </c>
      <c r="R307" s="2" t="inlineStr"/>
    </row>
    <row r="308" ht="15" customHeight="1">
      <c r="A308" t="inlineStr">
        <is>
          <t>A 24483-2024</t>
        </is>
      </c>
      <c r="B308" s="1" t="n">
        <v>45459</v>
      </c>
      <c r="C308" s="1" t="n">
        <v>45924</v>
      </c>
      <c r="D308" t="inlineStr">
        <is>
          <t>VÄRMLANDS LÄN</t>
        </is>
      </c>
      <c r="E308" t="inlineStr">
        <is>
          <t>ÅRJÄNG</t>
        </is>
      </c>
      <c r="G308" t="n">
        <v>3.6</v>
      </c>
      <c r="H308" t="n">
        <v>0</v>
      </c>
      <c r="I308" t="n">
        <v>0</v>
      </c>
      <c r="J308" t="n">
        <v>0</v>
      </c>
      <c r="K308" t="n">
        <v>0</v>
      </c>
      <c r="L308" t="n">
        <v>0</v>
      </c>
      <c r="M308" t="n">
        <v>0</v>
      </c>
      <c r="N308" t="n">
        <v>0</v>
      </c>
      <c r="O308" t="n">
        <v>0</v>
      </c>
      <c r="P308" t="n">
        <v>0</v>
      </c>
      <c r="Q308" t="n">
        <v>0</v>
      </c>
      <c r="R308" s="2" t="inlineStr"/>
    </row>
    <row r="309" ht="15" customHeight="1">
      <c r="A309" t="inlineStr">
        <is>
          <t>A 7444-2024</t>
        </is>
      </c>
      <c r="B309" s="1" t="n">
        <v>45345.72637731482</v>
      </c>
      <c r="C309" s="1" t="n">
        <v>45924</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34643-2024</t>
        </is>
      </c>
      <c r="B310" s="1" t="n">
        <v>45526</v>
      </c>
      <c r="C310" s="1" t="n">
        <v>45924</v>
      </c>
      <c r="D310" t="inlineStr">
        <is>
          <t>VÄRMLANDS LÄN</t>
        </is>
      </c>
      <c r="E310" t="inlineStr">
        <is>
          <t>ÅRJÄNG</t>
        </is>
      </c>
      <c r="G310" t="n">
        <v>3.4</v>
      </c>
      <c r="H310" t="n">
        <v>0</v>
      </c>
      <c r="I310" t="n">
        <v>0</v>
      </c>
      <c r="J310" t="n">
        <v>0</v>
      </c>
      <c r="K310" t="n">
        <v>0</v>
      </c>
      <c r="L310" t="n">
        <v>0</v>
      </c>
      <c r="M310" t="n">
        <v>0</v>
      </c>
      <c r="N310" t="n">
        <v>0</v>
      </c>
      <c r="O310" t="n">
        <v>0</v>
      </c>
      <c r="P310" t="n">
        <v>0</v>
      </c>
      <c r="Q310" t="n">
        <v>0</v>
      </c>
      <c r="R310" s="2" t="inlineStr"/>
    </row>
    <row r="311" ht="15" customHeight="1">
      <c r="A311" t="inlineStr">
        <is>
          <t>A 14094-2021</t>
        </is>
      </c>
      <c r="B311" s="1" t="n">
        <v>44278.29547453704</v>
      </c>
      <c r="C311" s="1" t="n">
        <v>45924</v>
      </c>
      <c r="D311" t="inlineStr">
        <is>
          <t>VÄRMLANDS LÄN</t>
        </is>
      </c>
      <c r="E311" t="inlineStr">
        <is>
          <t>ÅRJÄNG</t>
        </is>
      </c>
      <c r="G311" t="n">
        <v>2</v>
      </c>
      <c r="H311" t="n">
        <v>0</v>
      </c>
      <c r="I311" t="n">
        <v>0</v>
      </c>
      <c r="J311" t="n">
        <v>0</v>
      </c>
      <c r="K311" t="n">
        <v>0</v>
      </c>
      <c r="L311" t="n">
        <v>0</v>
      </c>
      <c r="M311" t="n">
        <v>0</v>
      </c>
      <c r="N311" t="n">
        <v>0</v>
      </c>
      <c r="O311" t="n">
        <v>0</v>
      </c>
      <c r="P311" t="n">
        <v>0</v>
      </c>
      <c r="Q311" t="n">
        <v>0</v>
      </c>
      <c r="R311" s="2" t="inlineStr"/>
    </row>
    <row r="312" ht="15" customHeight="1">
      <c r="A312" t="inlineStr">
        <is>
          <t>A 63393-2020</t>
        </is>
      </c>
      <c r="B312" s="1" t="n">
        <v>44165.51438657408</v>
      </c>
      <c r="C312" s="1" t="n">
        <v>45924</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53739-2021</t>
        </is>
      </c>
      <c r="B313" s="1" t="n">
        <v>44469</v>
      </c>
      <c r="C313" s="1" t="n">
        <v>45924</v>
      </c>
      <c r="D313" t="inlineStr">
        <is>
          <t>VÄRMLANDS LÄN</t>
        </is>
      </c>
      <c r="E313" t="inlineStr">
        <is>
          <t>ÅRJÄNG</t>
        </is>
      </c>
      <c r="G313" t="n">
        <v>15.9</v>
      </c>
      <c r="H313" t="n">
        <v>0</v>
      </c>
      <c r="I313" t="n">
        <v>0</v>
      </c>
      <c r="J313" t="n">
        <v>0</v>
      </c>
      <c r="K313" t="n">
        <v>0</v>
      </c>
      <c r="L313" t="n">
        <v>0</v>
      </c>
      <c r="M313" t="n">
        <v>0</v>
      </c>
      <c r="N313" t="n">
        <v>0</v>
      </c>
      <c r="O313" t="n">
        <v>0</v>
      </c>
      <c r="P313" t="n">
        <v>0</v>
      </c>
      <c r="Q313" t="n">
        <v>0</v>
      </c>
      <c r="R313" s="2" t="inlineStr"/>
    </row>
    <row r="314" ht="15" customHeight="1">
      <c r="A314" t="inlineStr">
        <is>
          <t>A 15237-2025</t>
        </is>
      </c>
      <c r="B314" s="1" t="n">
        <v>45744</v>
      </c>
      <c r="C314" s="1" t="n">
        <v>45924</v>
      </c>
      <c r="D314" t="inlineStr">
        <is>
          <t>VÄRMLANDS LÄN</t>
        </is>
      </c>
      <c r="E314" t="inlineStr">
        <is>
          <t>ÅRJÄNG</t>
        </is>
      </c>
      <c r="G314" t="n">
        <v>29.5</v>
      </c>
      <c r="H314" t="n">
        <v>0</v>
      </c>
      <c r="I314" t="n">
        <v>0</v>
      </c>
      <c r="J314" t="n">
        <v>0</v>
      </c>
      <c r="K314" t="n">
        <v>0</v>
      </c>
      <c r="L314" t="n">
        <v>0</v>
      </c>
      <c r="M314" t="n">
        <v>0</v>
      </c>
      <c r="N314" t="n">
        <v>0</v>
      </c>
      <c r="O314" t="n">
        <v>0</v>
      </c>
      <c r="P314" t="n">
        <v>0</v>
      </c>
      <c r="Q314" t="n">
        <v>0</v>
      </c>
      <c r="R314" s="2" t="inlineStr"/>
    </row>
    <row r="315" ht="15" customHeight="1">
      <c r="A315" t="inlineStr">
        <is>
          <t>A 42455-2024</t>
        </is>
      </c>
      <c r="B315" s="1" t="n">
        <v>45565</v>
      </c>
      <c r="C315" s="1" t="n">
        <v>45924</v>
      </c>
      <c r="D315" t="inlineStr">
        <is>
          <t>VÄRMLANDS LÄN</t>
        </is>
      </c>
      <c r="E315" t="inlineStr">
        <is>
          <t>ÅRJÄNG</t>
        </is>
      </c>
      <c r="G315" t="n">
        <v>0.7</v>
      </c>
      <c r="H315" t="n">
        <v>0</v>
      </c>
      <c r="I315" t="n">
        <v>0</v>
      </c>
      <c r="J315" t="n">
        <v>0</v>
      </c>
      <c r="K315" t="n">
        <v>0</v>
      </c>
      <c r="L315" t="n">
        <v>0</v>
      </c>
      <c r="M315" t="n">
        <v>0</v>
      </c>
      <c r="N315" t="n">
        <v>0</v>
      </c>
      <c r="O315" t="n">
        <v>0</v>
      </c>
      <c r="P315" t="n">
        <v>0</v>
      </c>
      <c r="Q315" t="n">
        <v>0</v>
      </c>
      <c r="R315" s="2" t="inlineStr"/>
    </row>
    <row r="316" ht="15" customHeight="1">
      <c r="A316" t="inlineStr">
        <is>
          <t>A 47035-2021</t>
        </is>
      </c>
      <c r="B316" s="1" t="n">
        <v>44446</v>
      </c>
      <c r="C316" s="1" t="n">
        <v>45924</v>
      </c>
      <c r="D316" t="inlineStr">
        <is>
          <t>VÄRMLANDS LÄN</t>
        </is>
      </c>
      <c r="E316" t="inlineStr">
        <is>
          <t>ÅRJÄNG</t>
        </is>
      </c>
      <c r="G316" t="n">
        <v>2.6</v>
      </c>
      <c r="H316" t="n">
        <v>0</v>
      </c>
      <c r="I316" t="n">
        <v>0</v>
      </c>
      <c r="J316" t="n">
        <v>0</v>
      </c>
      <c r="K316" t="n">
        <v>0</v>
      </c>
      <c r="L316" t="n">
        <v>0</v>
      </c>
      <c r="M316" t="n">
        <v>0</v>
      </c>
      <c r="N316" t="n">
        <v>0</v>
      </c>
      <c r="O316" t="n">
        <v>0</v>
      </c>
      <c r="P316" t="n">
        <v>0</v>
      </c>
      <c r="Q316" t="n">
        <v>0</v>
      </c>
      <c r="R316" s="2" t="inlineStr"/>
    </row>
    <row r="317" ht="15" customHeight="1">
      <c r="A317" t="inlineStr">
        <is>
          <t>A 16295-2025</t>
        </is>
      </c>
      <c r="B317" s="1" t="n">
        <v>45750</v>
      </c>
      <c r="C317" s="1" t="n">
        <v>45924</v>
      </c>
      <c r="D317" t="inlineStr">
        <is>
          <t>VÄRMLANDS LÄN</t>
        </is>
      </c>
      <c r="E317" t="inlineStr">
        <is>
          <t>ÅRJÄNG</t>
        </is>
      </c>
      <c r="G317" t="n">
        <v>3.7</v>
      </c>
      <c r="H317" t="n">
        <v>0</v>
      </c>
      <c r="I317" t="n">
        <v>0</v>
      </c>
      <c r="J317" t="n">
        <v>0</v>
      </c>
      <c r="K317" t="n">
        <v>0</v>
      </c>
      <c r="L317" t="n">
        <v>0</v>
      </c>
      <c r="M317" t="n">
        <v>0</v>
      </c>
      <c r="N317" t="n">
        <v>0</v>
      </c>
      <c r="O317" t="n">
        <v>0</v>
      </c>
      <c r="P317" t="n">
        <v>0</v>
      </c>
      <c r="Q317" t="n">
        <v>0</v>
      </c>
      <c r="R317" s="2" t="inlineStr"/>
    </row>
    <row r="318" ht="15" customHeight="1">
      <c r="A318" t="inlineStr">
        <is>
          <t>A 15570-2025</t>
        </is>
      </c>
      <c r="B318" s="1" t="n">
        <v>45747</v>
      </c>
      <c r="C318" s="1" t="n">
        <v>45924</v>
      </c>
      <c r="D318" t="inlineStr">
        <is>
          <t>VÄRMLANDS LÄN</t>
        </is>
      </c>
      <c r="E318" t="inlineStr">
        <is>
          <t>ÅRJÄNG</t>
        </is>
      </c>
      <c r="G318" t="n">
        <v>1.1</v>
      </c>
      <c r="H318" t="n">
        <v>0</v>
      </c>
      <c r="I318" t="n">
        <v>0</v>
      </c>
      <c r="J318" t="n">
        <v>0</v>
      </c>
      <c r="K318" t="n">
        <v>0</v>
      </c>
      <c r="L318" t="n">
        <v>0</v>
      </c>
      <c r="M318" t="n">
        <v>0</v>
      </c>
      <c r="N318" t="n">
        <v>0</v>
      </c>
      <c r="O318" t="n">
        <v>0</v>
      </c>
      <c r="P318" t="n">
        <v>0</v>
      </c>
      <c r="Q318" t="n">
        <v>0</v>
      </c>
      <c r="R318" s="2" t="inlineStr"/>
    </row>
    <row r="319" ht="15" customHeight="1">
      <c r="A319" t="inlineStr">
        <is>
          <t>A 15572-2025</t>
        </is>
      </c>
      <c r="B319" s="1" t="n">
        <v>45747</v>
      </c>
      <c r="C319" s="1" t="n">
        <v>45924</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15578-2025</t>
        </is>
      </c>
      <c r="B320" s="1" t="n">
        <v>45747</v>
      </c>
      <c r="C320" s="1" t="n">
        <v>45924</v>
      </c>
      <c r="D320" t="inlineStr">
        <is>
          <t>VÄRMLANDS LÄN</t>
        </is>
      </c>
      <c r="E320" t="inlineStr">
        <is>
          <t>ÅRJÄNG</t>
        </is>
      </c>
      <c r="G320" t="n">
        <v>4.6</v>
      </c>
      <c r="H320" t="n">
        <v>0</v>
      </c>
      <c r="I320" t="n">
        <v>0</v>
      </c>
      <c r="J320" t="n">
        <v>0</v>
      </c>
      <c r="K320" t="n">
        <v>0</v>
      </c>
      <c r="L320" t="n">
        <v>0</v>
      </c>
      <c r="M320" t="n">
        <v>0</v>
      </c>
      <c r="N320" t="n">
        <v>0</v>
      </c>
      <c r="O320" t="n">
        <v>0</v>
      </c>
      <c r="P320" t="n">
        <v>0</v>
      </c>
      <c r="Q320" t="n">
        <v>0</v>
      </c>
      <c r="R320" s="2" t="inlineStr"/>
    </row>
    <row r="321" ht="15" customHeight="1">
      <c r="A321" t="inlineStr">
        <is>
          <t>A 21701-2021</t>
        </is>
      </c>
      <c r="B321" s="1" t="n">
        <v>44322</v>
      </c>
      <c r="C321" s="1" t="n">
        <v>45924</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521-2025</t>
        </is>
      </c>
      <c r="B322" s="1" t="n">
        <v>45664.48826388889</v>
      </c>
      <c r="C322" s="1" t="n">
        <v>45924</v>
      </c>
      <c r="D322" t="inlineStr">
        <is>
          <t>VÄRMLANDS LÄN</t>
        </is>
      </c>
      <c r="E322" t="inlineStr">
        <is>
          <t>ÅRJÄNG</t>
        </is>
      </c>
      <c r="G322" t="n">
        <v>2.7</v>
      </c>
      <c r="H322" t="n">
        <v>0</v>
      </c>
      <c r="I322" t="n">
        <v>0</v>
      </c>
      <c r="J322" t="n">
        <v>0</v>
      </c>
      <c r="K322" t="n">
        <v>0</v>
      </c>
      <c r="L322" t="n">
        <v>0</v>
      </c>
      <c r="M322" t="n">
        <v>0</v>
      </c>
      <c r="N322" t="n">
        <v>0</v>
      </c>
      <c r="O322" t="n">
        <v>0</v>
      </c>
      <c r="P322" t="n">
        <v>0</v>
      </c>
      <c r="Q322" t="n">
        <v>0</v>
      </c>
      <c r="R322" s="2" t="inlineStr"/>
    </row>
    <row r="323" ht="15" customHeight="1">
      <c r="A323" t="inlineStr">
        <is>
          <t>A 24252-2025</t>
        </is>
      </c>
      <c r="B323" s="1" t="n">
        <v>45797.40376157407</v>
      </c>
      <c r="C323" s="1" t="n">
        <v>45924</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33025-2021</t>
        </is>
      </c>
      <c r="B324" s="1" t="n">
        <v>44376</v>
      </c>
      <c r="C324" s="1" t="n">
        <v>45924</v>
      </c>
      <c r="D324" t="inlineStr">
        <is>
          <t>VÄRMLANDS LÄN</t>
        </is>
      </c>
      <c r="E324" t="inlineStr">
        <is>
          <t>ÅRJÄNG</t>
        </is>
      </c>
      <c r="G324" t="n">
        <v>0.9</v>
      </c>
      <c r="H324" t="n">
        <v>0</v>
      </c>
      <c r="I324" t="n">
        <v>0</v>
      </c>
      <c r="J324" t="n">
        <v>0</v>
      </c>
      <c r="K324" t="n">
        <v>0</v>
      </c>
      <c r="L324" t="n">
        <v>0</v>
      </c>
      <c r="M324" t="n">
        <v>0</v>
      </c>
      <c r="N324" t="n">
        <v>0</v>
      </c>
      <c r="O324" t="n">
        <v>0</v>
      </c>
      <c r="P324" t="n">
        <v>0</v>
      </c>
      <c r="Q324" t="n">
        <v>0</v>
      </c>
      <c r="R324" s="2" t="inlineStr"/>
    </row>
    <row r="325" ht="15" customHeight="1">
      <c r="A325" t="inlineStr">
        <is>
          <t>A 28925-2022</t>
        </is>
      </c>
      <c r="B325" s="1" t="n">
        <v>44749.57684027778</v>
      </c>
      <c r="C325" s="1" t="n">
        <v>45924</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8438-2022</t>
        </is>
      </c>
      <c r="B326" s="1" t="n">
        <v>44612</v>
      </c>
      <c r="C326" s="1" t="n">
        <v>45924</v>
      </c>
      <c r="D326" t="inlineStr">
        <is>
          <t>VÄRMLANDS LÄN</t>
        </is>
      </c>
      <c r="E326" t="inlineStr">
        <is>
          <t>ÅRJÄNG</t>
        </is>
      </c>
      <c r="G326" t="n">
        <v>3.4</v>
      </c>
      <c r="H326" t="n">
        <v>0</v>
      </c>
      <c r="I326" t="n">
        <v>0</v>
      </c>
      <c r="J326" t="n">
        <v>0</v>
      </c>
      <c r="K326" t="n">
        <v>0</v>
      </c>
      <c r="L326" t="n">
        <v>0</v>
      </c>
      <c r="M326" t="n">
        <v>0</v>
      </c>
      <c r="N326" t="n">
        <v>0</v>
      </c>
      <c r="O326" t="n">
        <v>0</v>
      </c>
      <c r="P326" t="n">
        <v>0</v>
      </c>
      <c r="Q326" t="n">
        <v>0</v>
      </c>
      <c r="R326" s="2" t="inlineStr"/>
    </row>
    <row r="327" ht="15" customHeight="1">
      <c r="A327" t="inlineStr">
        <is>
          <t>A 60930-2021</t>
        </is>
      </c>
      <c r="B327" s="1" t="n">
        <v>44497.46921296296</v>
      </c>
      <c r="C327" s="1" t="n">
        <v>45924</v>
      </c>
      <c r="D327" t="inlineStr">
        <is>
          <t>VÄRMLANDS LÄN</t>
        </is>
      </c>
      <c r="E327" t="inlineStr">
        <is>
          <t>ÅRJÄNG</t>
        </is>
      </c>
      <c r="G327" t="n">
        <v>1.7</v>
      </c>
      <c r="H327" t="n">
        <v>0</v>
      </c>
      <c r="I327" t="n">
        <v>0</v>
      </c>
      <c r="J327" t="n">
        <v>0</v>
      </c>
      <c r="K327" t="n">
        <v>0</v>
      </c>
      <c r="L327" t="n">
        <v>0</v>
      </c>
      <c r="M327" t="n">
        <v>0</v>
      </c>
      <c r="N327" t="n">
        <v>0</v>
      </c>
      <c r="O327" t="n">
        <v>0</v>
      </c>
      <c r="P327" t="n">
        <v>0</v>
      </c>
      <c r="Q327" t="n">
        <v>0</v>
      </c>
      <c r="R327" s="2" t="inlineStr"/>
    </row>
    <row r="328" ht="15" customHeight="1">
      <c r="A328" t="inlineStr">
        <is>
          <t>A 10899-2022</t>
        </is>
      </c>
      <c r="B328" s="1" t="n">
        <v>44627</v>
      </c>
      <c r="C328" s="1" t="n">
        <v>45924</v>
      </c>
      <c r="D328" t="inlineStr">
        <is>
          <t>VÄRMLANDS LÄN</t>
        </is>
      </c>
      <c r="E328" t="inlineStr">
        <is>
          <t>ÅRJÄNG</t>
        </is>
      </c>
      <c r="G328" t="n">
        <v>2.9</v>
      </c>
      <c r="H328" t="n">
        <v>0</v>
      </c>
      <c r="I328" t="n">
        <v>0</v>
      </c>
      <c r="J328" t="n">
        <v>0</v>
      </c>
      <c r="K328" t="n">
        <v>0</v>
      </c>
      <c r="L328" t="n">
        <v>0</v>
      </c>
      <c r="M328" t="n">
        <v>0</v>
      </c>
      <c r="N328" t="n">
        <v>0</v>
      </c>
      <c r="O328" t="n">
        <v>0</v>
      </c>
      <c r="P328" t="n">
        <v>0</v>
      </c>
      <c r="Q328" t="n">
        <v>0</v>
      </c>
      <c r="R328" s="2" t="inlineStr"/>
    </row>
    <row r="329" ht="15" customHeight="1">
      <c r="A329" t="inlineStr">
        <is>
          <t>A 50044-2022</t>
        </is>
      </c>
      <c r="B329" s="1" t="n">
        <v>44865</v>
      </c>
      <c r="C329" s="1" t="n">
        <v>45924</v>
      </c>
      <c r="D329" t="inlineStr">
        <is>
          <t>VÄRMLANDS LÄN</t>
        </is>
      </c>
      <c r="E329" t="inlineStr">
        <is>
          <t>ÅRJÄNG</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1279-2025</t>
        </is>
      </c>
      <c r="B330" s="1" t="n">
        <v>45667.48987268518</v>
      </c>
      <c r="C330" s="1" t="n">
        <v>45924</v>
      </c>
      <c r="D330" t="inlineStr">
        <is>
          <t>VÄRMLANDS LÄN</t>
        </is>
      </c>
      <c r="E330" t="inlineStr">
        <is>
          <t>ÅRJÄNG</t>
        </is>
      </c>
      <c r="G330" t="n">
        <v>2.6</v>
      </c>
      <c r="H330" t="n">
        <v>0</v>
      </c>
      <c r="I330" t="n">
        <v>0</v>
      </c>
      <c r="J330" t="n">
        <v>0</v>
      </c>
      <c r="K330" t="n">
        <v>0</v>
      </c>
      <c r="L330" t="n">
        <v>0</v>
      </c>
      <c r="M330" t="n">
        <v>0</v>
      </c>
      <c r="N330" t="n">
        <v>0</v>
      </c>
      <c r="O330" t="n">
        <v>0</v>
      </c>
      <c r="P330" t="n">
        <v>0</v>
      </c>
      <c r="Q330" t="n">
        <v>0</v>
      </c>
      <c r="R330" s="2" t="inlineStr"/>
    </row>
    <row r="331" ht="15" customHeight="1">
      <c r="A331" t="inlineStr">
        <is>
          <t>A 4088-2025</t>
        </is>
      </c>
      <c r="B331" s="1" t="n">
        <v>45684.66329861111</v>
      </c>
      <c r="C331" s="1" t="n">
        <v>45924</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15616-2023</t>
        </is>
      </c>
      <c r="B332" s="1" t="n">
        <v>45020.88847222222</v>
      </c>
      <c r="C332" s="1" t="n">
        <v>45924</v>
      </c>
      <c r="D332" t="inlineStr">
        <is>
          <t>VÄRMLANDS LÄN</t>
        </is>
      </c>
      <c r="E332" t="inlineStr">
        <is>
          <t>ÅRJÄNG</t>
        </is>
      </c>
      <c r="G332" t="n">
        <v>0.8</v>
      </c>
      <c r="H332" t="n">
        <v>0</v>
      </c>
      <c r="I332" t="n">
        <v>0</v>
      </c>
      <c r="J332" t="n">
        <v>0</v>
      </c>
      <c r="K332" t="n">
        <v>0</v>
      </c>
      <c r="L332" t="n">
        <v>0</v>
      </c>
      <c r="M332" t="n">
        <v>0</v>
      </c>
      <c r="N332" t="n">
        <v>0</v>
      </c>
      <c r="O332" t="n">
        <v>0</v>
      </c>
      <c r="P332" t="n">
        <v>0</v>
      </c>
      <c r="Q332" t="n">
        <v>0</v>
      </c>
      <c r="R332" s="2" t="inlineStr"/>
    </row>
    <row r="333" ht="15" customHeight="1">
      <c r="A333" t="inlineStr">
        <is>
          <t>A 5741-2025</t>
        </is>
      </c>
      <c r="B333" s="1" t="n">
        <v>45694.52100694444</v>
      </c>
      <c r="C333" s="1" t="n">
        <v>45924</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15299-2025</t>
        </is>
      </c>
      <c r="B334" s="1" t="n">
        <v>45746.42309027778</v>
      </c>
      <c r="C334" s="1" t="n">
        <v>45924</v>
      </c>
      <c r="D334" t="inlineStr">
        <is>
          <t>VÄRMLANDS LÄN</t>
        </is>
      </c>
      <c r="E334" t="inlineStr">
        <is>
          <t>ÅRJÄNG</t>
        </is>
      </c>
      <c r="G334" t="n">
        <v>3.2</v>
      </c>
      <c r="H334" t="n">
        <v>0</v>
      </c>
      <c r="I334" t="n">
        <v>0</v>
      </c>
      <c r="J334" t="n">
        <v>0</v>
      </c>
      <c r="K334" t="n">
        <v>0</v>
      </c>
      <c r="L334" t="n">
        <v>0</v>
      </c>
      <c r="M334" t="n">
        <v>0</v>
      </c>
      <c r="N334" t="n">
        <v>0</v>
      </c>
      <c r="O334" t="n">
        <v>0</v>
      </c>
      <c r="P334" t="n">
        <v>0</v>
      </c>
      <c r="Q334" t="n">
        <v>0</v>
      </c>
      <c r="R334" s="2" t="inlineStr"/>
    </row>
    <row r="335" ht="15" customHeight="1">
      <c r="A335" t="inlineStr">
        <is>
          <t>A 18309-2025</t>
        </is>
      </c>
      <c r="B335" s="1" t="n">
        <v>45762.44186342593</v>
      </c>
      <c r="C335" s="1" t="n">
        <v>45924</v>
      </c>
      <c r="D335" t="inlineStr">
        <is>
          <t>VÄRMLANDS LÄN</t>
        </is>
      </c>
      <c r="E335" t="inlineStr">
        <is>
          <t>ÅRJÄNG</t>
        </is>
      </c>
      <c r="G335" t="n">
        <v>6.2</v>
      </c>
      <c r="H335" t="n">
        <v>0</v>
      </c>
      <c r="I335" t="n">
        <v>0</v>
      </c>
      <c r="J335" t="n">
        <v>0</v>
      </c>
      <c r="K335" t="n">
        <v>0</v>
      </c>
      <c r="L335" t="n">
        <v>0</v>
      </c>
      <c r="M335" t="n">
        <v>0</v>
      </c>
      <c r="N335" t="n">
        <v>0</v>
      </c>
      <c r="O335" t="n">
        <v>0</v>
      </c>
      <c r="P335" t="n">
        <v>0</v>
      </c>
      <c r="Q335" t="n">
        <v>0</v>
      </c>
      <c r="R335" s="2" t="inlineStr"/>
    </row>
    <row r="336" ht="15" customHeight="1">
      <c r="A336" t="inlineStr">
        <is>
          <t>A 2-2024</t>
        </is>
      </c>
      <c r="B336" s="1" t="n">
        <v>45292.54944444444</v>
      </c>
      <c r="C336" s="1" t="n">
        <v>45924</v>
      </c>
      <c r="D336" t="inlineStr">
        <is>
          <t>VÄRMLANDS LÄN</t>
        </is>
      </c>
      <c r="E336" t="inlineStr">
        <is>
          <t>ÅRJÄNG</t>
        </is>
      </c>
      <c r="G336" t="n">
        <v>2.1</v>
      </c>
      <c r="H336" t="n">
        <v>0</v>
      </c>
      <c r="I336" t="n">
        <v>0</v>
      </c>
      <c r="J336" t="n">
        <v>0</v>
      </c>
      <c r="K336" t="n">
        <v>0</v>
      </c>
      <c r="L336" t="n">
        <v>0</v>
      </c>
      <c r="M336" t="n">
        <v>0</v>
      </c>
      <c r="N336" t="n">
        <v>0</v>
      </c>
      <c r="O336" t="n">
        <v>0</v>
      </c>
      <c r="P336" t="n">
        <v>0</v>
      </c>
      <c r="Q336" t="n">
        <v>0</v>
      </c>
      <c r="R336" s="2" t="inlineStr"/>
    </row>
    <row r="337" ht="15" customHeight="1">
      <c r="A337" t="inlineStr">
        <is>
          <t>A 43253-2023</t>
        </is>
      </c>
      <c r="B337" s="1" t="n">
        <v>45183.49578703703</v>
      </c>
      <c r="C337" s="1" t="n">
        <v>45924</v>
      </c>
      <c r="D337" t="inlineStr">
        <is>
          <t>VÄRMLANDS LÄN</t>
        </is>
      </c>
      <c r="E337" t="inlineStr">
        <is>
          <t>ÅRJÄNG</t>
        </is>
      </c>
      <c r="G337" t="n">
        <v>5.5</v>
      </c>
      <c r="H337" t="n">
        <v>0</v>
      </c>
      <c r="I337" t="n">
        <v>0</v>
      </c>
      <c r="J337" t="n">
        <v>0</v>
      </c>
      <c r="K337" t="n">
        <v>0</v>
      </c>
      <c r="L337" t="n">
        <v>0</v>
      </c>
      <c r="M337" t="n">
        <v>0</v>
      </c>
      <c r="N337" t="n">
        <v>0</v>
      </c>
      <c r="O337" t="n">
        <v>0</v>
      </c>
      <c r="P337" t="n">
        <v>0</v>
      </c>
      <c r="Q337" t="n">
        <v>0</v>
      </c>
      <c r="R337" s="2" t="inlineStr"/>
    </row>
    <row r="338" ht="15" customHeight="1">
      <c r="A338" t="inlineStr">
        <is>
          <t>A 62963-2023</t>
        </is>
      </c>
      <c r="B338" s="1" t="n">
        <v>45271</v>
      </c>
      <c r="C338" s="1" t="n">
        <v>45924</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60207-2023</t>
        </is>
      </c>
      <c r="B339" s="1" t="n">
        <v>45257</v>
      </c>
      <c r="C339" s="1" t="n">
        <v>45924</v>
      </c>
      <c r="D339" t="inlineStr">
        <is>
          <t>VÄRMLANDS LÄN</t>
        </is>
      </c>
      <c r="E339" t="inlineStr">
        <is>
          <t>ÅRJÄNG</t>
        </is>
      </c>
      <c r="G339" t="n">
        <v>1.5</v>
      </c>
      <c r="H339" t="n">
        <v>0</v>
      </c>
      <c r="I339" t="n">
        <v>0</v>
      </c>
      <c r="J339" t="n">
        <v>0</v>
      </c>
      <c r="K339" t="n">
        <v>0</v>
      </c>
      <c r="L339" t="n">
        <v>0</v>
      </c>
      <c r="M339" t="n">
        <v>0</v>
      </c>
      <c r="N339" t="n">
        <v>0</v>
      </c>
      <c r="O339" t="n">
        <v>0</v>
      </c>
      <c r="P339" t="n">
        <v>0</v>
      </c>
      <c r="Q339" t="n">
        <v>0</v>
      </c>
      <c r="R339" s="2" t="inlineStr"/>
    </row>
    <row r="340" ht="15" customHeight="1">
      <c r="A340" t="inlineStr">
        <is>
          <t>A 23048-2024</t>
        </is>
      </c>
      <c r="B340" s="1" t="n">
        <v>45450.42488425926</v>
      </c>
      <c r="C340" s="1" t="n">
        <v>45924</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38158-2023</t>
        </is>
      </c>
      <c r="B341" s="1" t="n">
        <v>45161</v>
      </c>
      <c r="C341" s="1" t="n">
        <v>45924</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41201-2024</t>
        </is>
      </c>
      <c r="B342" s="1" t="n">
        <v>45559</v>
      </c>
      <c r="C342" s="1" t="n">
        <v>45924</v>
      </c>
      <c r="D342" t="inlineStr">
        <is>
          <t>VÄRMLANDS LÄN</t>
        </is>
      </c>
      <c r="E342" t="inlineStr">
        <is>
          <t>ÅRJÄNG</t>
        </is>
      </c>
      <c r="G342" t="n">
        <v>4.1</v>
      </c>
      <c r="H342" t="n">
        <v>0</v>
      </c>
      <c r="I342" t="n">
        <v>0</v>
      </c>
      <c r="J342" t="n">
        <v>0</v>
      </c>
      <c r="K342" t="n">
        <v>0</v>
      </c>
      <c r="L342" t="n">
        <v>0</v>
      </c>
      <c r="M342" t="n">
        <v>0</v>
      </c>
      <c r="N342" t="n">
        <v>0</v>
      </c>
      <c r="O342" t="n">
        <v>0</v>
      </c>
      <c r="P342" t="n">
        <v>0</v>
      </c>
      <c r="Q342" t="n">
        <v>0</v>
      </c>
      <c r="R342" s="2" t="inlineStr"/>
    </row>
    <row r="343" ht="15" customHeight="1">
      <c r="A343" t="inlineStr">
        <is>
          <t>A 70461-2021</t>
        </is>
      </c>
      <c r="B343" s="1" t="n">
        <v>44536</v>
      </c>
      <c r="C343" s="1" t="n">
        <v>45924</v>
      </c>
      <c r="D343" t="inlineStr">
        <is>
          <t>VÄRMLANDS LÄN</t>
        </is>
      </c>
      <c r="E343" t="inlineStr">
        <is>
          <t>ÅRJÄNG</t>
        </is>
      </c>
      <c r="G343" t="n">
        <v>3.8</v>
      </c>
      <c r="H343" t="n">
        <v>0</v>
      </c>
      <c r="I343" t="n">
        <v>0</v>
      </c>
      <c r="J343" t="n">
        <v>0</v>
      </c>
      <c r="K343" t="n">
        <v>0</v>
      </c>
      <c r="L343" t="n">
        <v>0</v>
      </c>
      <c r="M343" t="n">
        <v>0</v>
      </c>
      <c r="N343" t="n">
        <v>0</v>
      </c>
      <c r="O343" t="n">
        <v>0</v>
      </c>
      <c r="P343" t="n">
        <v>0</v>
      </c>
      <c r="Q343" t="n">
        <v>0</v>
      </c>
      <c r="R343" s="2" t="inlineStr"/>
    </row>
    <row r="344" ht="15" customHeight="1">
      <c r="A344" t="inlineStr">
        <is>
          <t>A 62901-2021</t>
        </is>
      </c>
      <c r="B344" s="1" t="n">
        <v>44504</v>
      </c>
      <c r="C344" s="1" t="n">
        <v>45924</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28733-2024</t>
        </is>
      </c>
      <c r="B345" s="1" t="n">
        <v>45478</v>
      </c>
      <c r="C345" s="1" t="n">
        <v>45924</v>
      </c>
      <c r="D345" t="inlineStr">
        <is>
          <t>VÄRMLANDS LÄN</t>
        </is>
      </c>
      <c r="E345" t="inlineStr">
        <is>
          <t>ÅRJÄNG</t>
        </is>
      </c>
      <c r="F345" t="inlineStr">
        <is>
          <t>Bergvik skog väst AB</t>
        </is>
      </c>
      <c r="G345" t="n">
        <v>1.8</v>
      </c>
      <c r="H345" t="n">
        <v>0</v>
      </c>
      <c r="I345" t="n">
        <v>0</v>
      </c>
      <c r="J345" t="n">
        <v>0</v>
      </c>
      <c r="K345" t="n">
        <v>0</v>
      </c>
      <c r="L345" t="n">
        <v>0</v>
      </c>
      <c r="M345" t="n">
        <v>0</v>
      </c>
      <c r="N345" t="n">
        <v>0</v>
      </c>
      <c r="O345" t="n">
        <v>0</v>
      </c>
      <c r="P345" t="n">
        <v>0</v>
      </c>
      <c r="Q345" t="n">
        <v>0</v>
      </c>
      <c r="R345" s="2" t="inlineStr"/>
    </row>
    <row r="346" ht="15" customHeight="1">
      <c r="A346" t="inlineStr">
        <is>
          <t>A 36642-2021</t>
        </is>
      </c>
      <c r="B346" s="1" t="n">
        <v>44392</v>
      </c>
      <c r="C346" s="1" t="n">
        <v>45924</v>
      </c>
      <c r="D346" t="inlineStr">
        <is>
          <t>VÄRMLANDS LÄN</t>
        </is>
      </c>
      <c r="E346" t="inlineStr">
        <is>
          <t>ÅRJÄNG</t>
        </is>
      </c>
      <c r="G346" t="n">
        <v>6.1</v>
      </c>
      <c r="H346" t="n">
        <v>0</v>
      </c>
      <c r="I346" t="n">
        <v>0</v>
      </c>
      <c r="J346" t="n">
        <v>0</v>
      </c>
      <c r="K346" t="n">
        <v>0</v>
      </c>
      <c r="L346" t="n">
        <v>0</v>
      </c>
      <c r="M346" t="n">
        <v>0</v>
      </c>
      <c r="N346" t="n">
        <v>0</v>
      </c>
      <c r="O346" t="n">
        <v>0</v>
      </c>
      <c r="P346" t="n">
        <v>0</v>
      </c>
      <c r="Q346" t="n">
        <v>0</v>
      </c>
      <c r="R346" s="2" t="inlineStr"/>
    </row>
    <row r="347" ht="15" customHeight="1">
      <c r="A347" t="inlineStr">
        <is>
          <t>A 3980-2021</t>
        </is>
      </c>
      <c r="B347" s="1" t="n">
        <v>44217</v>
      </c>
      <c r="C347" s="1" t="n">
        <v>45924</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65837-2021</t>
        </is>
      </c>
      <c r="B348" s="1" t="n">
        <v>44517.35402777778</v>
      </c>
      <c r="C348" s="1" t="n">
        <v>45924</v>
      </c>
      <c r="D348" t="inlineStr">
        <is>
          <t>VÄRMLANDS LÄN</t>
        </is>
      </c>
      <c r="E348" t="inlineStr">
        <is>
          <t>ÅRJÄNG</t>
        </is>
      </c>
      <c r="G348" t="n">
        <v>6.8</v>
      </c>
      <c r="H348" t="n">
        <v>0</v>
      </c>
      <c r="I348" t="n">
        <v>0</v>
      </c>
      <c r="J348" t="n">
        <v>0</v>
      </c>
      <c r="K348" t="n">
        <v>0</v>
      </c>
      <c r="L348" t="n">
        <v>0</v>
      </c>
      <c r="M348" t="n">
        <v>0</v>
      </c>
      <c r="N348" t="n">
        <v>0</v>
      </c>
      <c r="O348" t="n">
        <v>0</v>
      </c>
      <c r="P348" t="n">
        <v>0</v>
      </c>
      <c r="Q348" t="n">
        <v>0</v>
      </c>
      <c r="R348" s="2" t="inlineStr"/>
    </row>
    <row r="349" ht="15" customHeight="1">
      <c r="A349" t="inlineStr">
        <is>
          <t>A 73623-2021</t>
        </is>
      </c>
      <c r="B349" s="1" t="n">
        <v>44552</v>
      </c>
      <c r="C349" s="1" t="n">
        <v>45924</v>
      </c>
      <c r="D349" t="inlineStr">
        <is>
          <t>VÄRMLANDS LÄN</t>
        </is>
      </c>
      <c r="E349" t="inlineStr">
        <is>
          <t>ÅRJÄNG</t>
        </is>
      </c>
      <c r="G349" t="n">
        <v>7.4</v>
      </c>
      <c r="H349" t="n">
        <v>0</v>
      </c>
      <c r="I349" t="n">
        <v>0</v>
      </c>
      <c r="J349" t="n">
        <v>0</v>
      </c>
      <c r="K349" t="n">
        <v>0</v>
      </c>
      <c r="L349" t="n">
        <v>0</v>
      </c>
      <c r="M349" t="n">
        <v>0</v>
      </c>
      <c r="N349" t="n">
        <v>0</v>
      </c>
      <c r="O349" t="n">
        <v>0</v>
      </c>
      <c r="P349" t="n">
        <v>0</v>
      </c>
      <c r="Q349" t="n">
        <v>0</v>
      </c>
      <c r="R349" s="2" t="inlineStr"/>
    </row>
    <row r="350" ht="15" customHeight="1">
      <c r="A350" t="inlineStr">
        <is>
          <t>A 24983-2025</t>
        </is>
      </c>
      <c r="B350" s="1" t="n">
        <v>45799.59841435185</v>
      </c>
      <c r="C350" s="1" t="n">
        <v>45924</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23878-2023</t>
        </is>
      </c>
      <c r="B351" s="1" t="n">
        <v>45078</v>
      </c>
      <c r="C351" s="1" t="n">
        <v>45924</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23945-2023</t>
        </is>
      </c>
      <c r="B352" s="1" t="n">
        <v>45075</v>
      </c>
      <c r="C352" s="1" t="n">
        <v>45924</v>
      </c>
      <c r="D352" t="inlineStr">
        <is>
          <t>VÄRMLANDS LÄN</t>
        </is>
      </c>
      <c r="E352" t="inlineStr">
        <is>
          <t>ÅRJÄNG</t>
        </is>
      </c>
      <c r="G352" t="n">
        <v>1.7</v>
      </c>
      <c r="H352" t="n">
        <v>0</v>
      </c>
      <c r="I352" t="n">
        <v>0</v>
      </c>
      <c r="J352" t="n">
        <v>0</v>
      </c>
      <c r="K352" t="n">
        <v>0</v>
      </c>
      <c r="L352" t="n">
        <v>0</v>
      </c>
      <c r="M352" t="n">
        <v>0</v>
      </c>
      <c r="N352" t="n">
        <v>0</v>
      </c>
      <c r="O352" t="n">
        <v>0</v>
      </c>
      <c r="P352" t="n">
        <v>0</v>
      </c>
      <c r="Q352" t="n">
        <v>0</v>
      </c>
      <c r="R352" s="2" t="inlineStr"/>
    </row>
    <row r="353" ht="15" customHeight="1">
      <c r="A353" t="inlineStr">
        <is>
          <t>A 34580-2023</t>
        </is>
      </c>
      <c r="B353" s="1" t="n">
        <v>45135</v>
      </c>
      <c r="C353" s="1" t="n">
        <v>45924</v>
      </c>
      <c r="D353" t="inlineStr">
        <is>
          <t>VÄRMLANDS LÄN</t>
        </is>
      </c>
      <c r="E353" t="inlineStr">
        <is>
          <t>ÅRJÄNG</t>
        </is>
      </c>
      <c r="F353" t="inlineStr">
        <is>
          <t>Övriga Aktiebolag</t>
        </is>
      </c>
      <c r="G353" t="n">
        <v>4</v>
      </c>
      <c r="H353" t="n">
        <v>0</v>
      </c>
      <c r="I353" t="n">
        <v>0</v>
      </c>
      <c r="J353" t="n">
        <v>0</v>
      </c>
      <c r="K353" t="n">
        <v>0</v>
      </c>
      <c r="L353" t="n">
        <v>0</v>
      </c>
      <c r="M353" t="n">
        <v>0</v>
      </c>
      <c r="N353" t="n">
        <v>0</v>
      </c>
      <c r="O353" t="n">
        <v>0</v>
      </c>
      <c r="P353" t="n">
        <v>0</v>
      </c>
      <c r="Q353" t="n">
        <v>0</v>
      </c>
      <c r="R353" s="2" t="inlineStr"/>
    </row>
    <row r="354" ht="15" customHeight="1">
      <c r="A354" t="inlineStr">
        <is>
          <t>A 5416-2025</t>
        </is>
      </c>
      <c r="B354" s="1" t="n">
        <v>45692.67990740741</v>
      </c>
      <c r="C354" s="1" t="n">
        <v>45924</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60975-2022</t>
        </is>
      </c>
      <c r="B355" s="1" t="n">
        <v>44914</v>
      </c>
      <c r="C355" s="1" t="n">
        <v>45924</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33304-2021</t>
        </is>
      </c>
      <c r="B356" s="1" t="n">
        <v>44377.43040509259</v>
      </c>
      <c r="C356" s="1" t="n">
        <v>45924</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53726-2021</t>
        </is>
      </c>
      <c r="B357" s="1" t="n">
        <v>44469.51079861111</v>
      </c>
      <c r="C357" s="1" t="n">
        <v>45924</v>
      </c>
      <c r="D357" t="inlineStr">
        <is>
          <t>VÄRMLANDS LÄN</t>
        </is>
      </c>
      <c r="E357" t="inlineStr">
        <is>
          <t>ÅRJÄNG</t>
        </is>
      </c>
      <c r="G357" t="n">
        <v>3.2</v>
      </c>
      <c r="H357" t="n">
        <v>0</v>
      </c>
      <c r="I357" t="n">
        <v>0</v>
      </c>
      <c r="J357" t="n">
        <v>0</v>
      </c>
      <c r="K357" t="n">
        <v>0</v>
      </c>
      <c r="L357" t="n">
        <v>0</v>
      </c>
      <c r="M357" t="n">
        <v>0</v>
      </c>
      <c r="N357" t="n">
        <v>0</v>
      </c>
      <c r="O357" t="n">
        <v>0</v>
      </c>
      <c r="P357" t="n">
        <v>0</v>
      </c>
      <c r="Q357" t="n">
        <v>0</v>
      </c>
      <c r="R357" s="2" t="inlineStr"/>
    </row>
    <row r="358" ht="15" customHeight="1">
      <c r="A358" t="inlineStr">
        <is>
          <t>A 61295-2022</t>
        </is>
      </c>
      <c r="B358" s="1" t="n">
        <v>44915</v>
      </c>
      <c r="C358" s="1" t="n">
        <v>45924</v>
      </c>
      <c r="D358" t="inlineStr">
        <is>
          <t>VÄRMLANDS LÄN</t>
        </is>
      </c>
      <c r="E358" t="inlineStr">
        <is>
          <t>ÅRJÄNG</t>
        </is>
      </c>
      <c r="G358" t="n">
        <v>0.4</v>
      </c>
      <c r="H358" t="n">
        <v>0</v>
      </c>
      <c r="I358" t="n">
        <v>0</v>
      </c>
      <c r="J358" t="n">
        <v>0</v>
      </c>
      <c r="K358" t="n">
        <v>0</v>
      </c>
      <c r="L358" t="n">
        <v>0</v>
      </c>
      <c r="M358" t="n">
        <v>0</v>
      </c>
      <c r="N358" t="n">
        <v>0</v>
      </c>
      <c r="O358" t="n">
        <v>0</v>
      </c>
      <c r="P358" t="n">
        <v>0</v>
      </c>
      <c r="Q358" t="n">
        <v>0</v>
      </c>
      <c r="R358" s="2" t="inlineStr"/>
    </row>
    <row r="359" ht="15" customHeight="1">
      <c r="A359" t="inlineStr">
        <is>
          <t>A 11704-2025</t>
        </is>
      </c>
      <c r="B359" s="1" t="n">
        <v>45727.57896990741</v>
      </c>
      <c r="C359" s="1" t="n">
        <v>45924</v>
      </c>
      <c r="D359" t="inlineStr">
        <is>
          <t>VÄRMLANDS LÄN</t>
        </is>
      </c>
      <c r="E359" t="inlineStr">
        <is>
          <t>ÅRJÄNG</t>
        </is>
      </c>
      <c r="G359" t="n">
        <v>1.8</v>
      </c>
      <c r="H359" t="n">
        <v>0</v>
      </c>
      <c r="I359" t="n">
        <v>0</v>
      </c>
      <c r="J359" t="n">
        <v>0</v>
      </c>
      <c r="K359" t="n">
        <v>0</v>
      </c>
      <c r="L359" t="n">
        <v>0</v>
      </c>
      <c r="M359" t="n">
        <v>0</v>
      </c>
      <c r="N359" t="n">
        <v>0</v>
      </c>
      <c r="O359" t="n">
        <v>0</v>
      </c>
      <c r="P359" t="n">
        <v>0</v>
      </c>
      <c r="Q359" t="n">
        <v>0</v>
      </c>
      <c r="R359" s="2" t="inlineStr"/>
    </row>
    <row r="360" ht="15" customHeight="1">
      <c r="A360" t="inlineStr">
        <is>
          <t>A 59385-2023</t>
        </is>
      </c>
      <c r="B360" s="1" t="n">
        <v>45253</v>
      </c>
      <c r="C360" s="1" t="n">
        <v>45924</v>
      </c>
      <c r="D360" t="inlineStr">
        <is>
          <t>VÄRMLANDS LÄN</t>
        </is>
      </c>
      <c r="E360" t="inlineStr">
        <is>
          <t>ÅRJÄNG</t>
        </is>
      </c>
      <c r="G360" t="n">
        <v>2.2</v>
      </c>
      <c r="H360" t="n">
        <v>0</v>
      </c>
      <c r="I360" t="n">
        <v>0</v>
      </c>
      <c r="J360" t="n">
        <v>0</v>
      </c>
      <c r="K360" t="n">
        <v>0</v>
      </c>
      <c r="L360" t="n">
        <v>0</v>
      </c>
      <c r="M360" t="n">
        <v>0</v>
      </c>
      <c r="N360" t="n">
        <v>0</v>
      </c>
      <c r="O360" t="n">
        <v>0</v>
      </c>
      <c r="P360" t="n">
        <v>0</v>
      </c>
      <c r="Q360" t="n">
        <v>0</v>
      </c>
      <c r="R360" s="2" t="inlineStr"/>
    </row>
    <row r="361" ht="15" customHeight="1">
      <c r="A361" t="inlineStr">
        <is>
          <t>A 45929-2024</t>
        </is>
      </c>
      <c r="B361" s="1" t="n">
        <v>45580</v>
      </c>
      <c r="C361" s="1" t="n">
        <v>45924</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10338-2024</t>
        </is>
      </c>
      <c r="B362" s="1" t="n">
        <v>45365.58712962963</v>
      </c>
      <c r="C362" s="1" t="n">
        <v>45924</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48453-2023</t>
        </is>
      </c>
      <c r="B363" s="1" t="n">
        <v>45206.4346412037</v>
      </c>
      <c r="C363" s="1" t="n">
        <v>45924</v>
      </c>
      <c r="D363" t="inlineStr">
        <is>
          <t>VÄRMLANDS LÄN</t>
        </is>
      </c>
      <c r="E363" t="inlineStr">
        <is>
          <t>ÅRJÄNG</t>
        </is>
      </c>
      <c r="G363" t="n">
        <v>3.5</v>
      </c>
      <c r="H363" t="n">
        <v>0</v>
      </c>
      <c r="I363" t="n">
        <v>0</v>
      </c>
      <c r="J363" t="n">
        <v>0</v>
      </c>
      <c r="K363" t="n">
        <v>0</v>
      </c>
      <c r="L363" t="n">
        <v>0</v>
      </c>
      <c r="M363" t="n">
        <v>0</v>
      </c>
      <c r="N363" t="n">
        <v>0</v>
      </c>
      <c r="O363" t="n">
        <v>0</v>
      </c>
      <c r="P363" t="n">
        <v>0</v>
      </c>
      <c r="Q363" t="n">
        <v>0</v>
      </c>
      <c r="R363" s="2" t="inlineStr"/>
    </row>
    <row r="364" ht="15" customHeight="1">
      <c r="A364" t="inlineStr">
        <is>
          <t>A 27001-2021</t>
        </is>
      </c>
      <c r="B364" s="1" t="n">
        <v>44350.35271990741</v>
      </c>
      <c r="C364" s="1" t="n">
        <v>45924</v>
      </c>
      <c r="D364" t="inlineStr">
        <is>
          <t>VÄRMLANDS LÄN</t>
        </is>
      </c>
      <c r="E364" t="inlineStr">
        <is>
          <t>ÅRJÄNG</t>
        </is>
      </c>
      <c r="G364" t="n">
        <v>3.7</v>
      </c>
      <c r="H364" t="n">
        <v>0</v>
      </c>
      <c r="I364" t="n">
        <v>0</v>
      </c>
      <c r="J364" t="n">
        <v>0</v>
      </c>
      <c r="K364" t="n">
        <v>0</v>
      </c>
      <c r="L364" t="n">
        <v>0</v>
      </c>
      <c r="M364" t="n">
        <v>0</v>
      </c>
      <c r="N364" t="n">
        <v>0</v>
      </c>
      <c r="O364" t="n">
        <v>0</v>
      </c>
      <c r="P364" t="n">
        <v>0</v>
      </c>
      <c r="Q364" t="n">
        <v>0</v>
      </c>
      <c r="R364" s="2" t="inlineStr"/>
    </row>
    <row r="365" ht="15" customHeight="1">
      <c r="A365" t="inlineStr">
        <is>
          <t>A 32950-2024</t>
        </is>
      </c>
      <c r="B365" s="1" t="n">
        <v>45517.36038194445</v>
      </c>
      <c r="C365" s="1" t="n">
        <v>45924</v>
      </c>
      <c r="D365" t="inlineStr">
        <is>
          <t>VÄRMLANDS LÄN</t>
        </is>
      </c>
      <c r="E365" t="inlineStr">
        <is>
          <t>ÅRJÄNG</t>
        </is>
      </c>
      <c r="G365" t="n">
        <v>1</v>
      </c>
      <c r="H365" t="n">
        <v>0</v>
      </c>
      <c r="I365" t="n">
        <v>0</v>
      </c>
      <c r="J365" t="n">
        <v>0</v>
      </c>
      <c r="K365" t="n">
        <v>0</v>
      </c>
      <c r="L365" t="n">
        <v>0</v>
      </c>
      <c r="M365" t="n">
        <v>0</v>
      </c>
      <c r="N365" t="n">
        <v>0</v>
      </c>
      <c r="O365" t="n">
        <v>0</v>
      </c>
      <c r="P365" t="n">
        <v>0</v>
      </c>
      <c r="Q365" t="n">
        <v>0</v>
      </c>
      <c r="R365" s="2" t="inlineStr"/>
    </row>
    <row r="366" ht="15" customHeight="1">
      <c r="A366" t="inlineStr">
        <is>
          <t>A 21443-2022</t>
        </is>
      </c>
      <c r="B366" s="1" t="n">
        <v>44706.35293981482</v>
      </c>
      <c r="C366" s="1" t="n">
        <v>45924</v>
      </c>
      <c r="D366" t="inlineStr">
        <is>
          <t>VÄRMLANDS LÄN</t>
        </is>
      </c>
      <c r="E366" t="inlineStr">
        <is>
          <t>ÅRJÄNG</t>
        </is>
      </c>
      <c r="G366" t="n">
        <v>3.5</v>
      </c>
      <c r="H366" t="n">
        <v>0</v>
      </c>
      <c r="I366" t="n">
        <v>0</v>
      </c>
      <c r="J366" t="n">
        <v>0</v>
      </c>
      <c r="K366" t="n">
        <v>0</v>
      </c>
      <c r="L366" t="n">
        <v>0</v>
      </c>
      <c r="M366" t="n">
        <v>0</v>
      </c>
      <c r="N366" t="n">
        <v>0</v>
      </c>
      <c r="O366" t="n">
        <v>0</v>
      </c>
      <c r="P366" t="n">
        <v>0</v>
      </c>
      <c r="Q366" t="n">
        <v>0</v>
      </c>
      <c r="R366" s="2" t="inlineStr"/>
    </row>
    <row r="367" ht="15" customHeight="1">
      <c r="A367" t="inlineStr">
        <is>
          <t>A 43027-2021</t>
        </is>
      </c>
      <c r="B367" s="1" t="n">
        <v>44431.49119212963</v>
      </c>
      <c r="C367" s="1" t="n">
        <v>45924</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43029-2021</t>
        </is>
      </c>
      <c r="B368" s="1" t="n">
        <v>44431.49302083333</v>
      </c>
      <c r="C368" s="1" t="n">
        <v>45924</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1912-2024</t>
        </is>
      </c>
      <c r="B369" s="1" t="n">
        <v>45308</v>
      </c>
      <c r="C369" s="1" t="n">
        <v>45924</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53554-2023</t>
        </is>
      </c>
      <c r="B370" s="1" t="n">
        <v>45230</v>
      </c>
      <c r="C370" s="1" t="n">
        <v>45924</v>
      </c>
      <c r="D370" t="inlineStr">
        <is>
          <t>VÄRMLANDS LÄN</t>
        </is>
      </c>
      <c r="E370" t="inlineStr">
        <is>
          <t>ÅRJÄNG</t>
        </is>
      </c>
      <c r="G370" t="n">
        <v>0.5</v>
      </c>
      <c r="H370" t="n">
        <v>0</v>
      </c>
      <c r="I370" t="n">
        <v>0</v>
      </c>
      <c r="J370" t="n">
        <v>0</v>
      </c>
      <c r="K370" t="n">
        <v>0</v>
      </c>
      <c r="L370" t="n">
        <v>0</v>
      </c>
      <c r="M370" t="n">
        <v>0</v>
      </c>
      <c r="N370" t="n">
        <v>0</v>
      </c>
      <c r="O370" t="n">
        <v>0</v>
      </c>
      <c r="P370" t="n">
        <v>0</v>
      </c>
      <c r="Q370" t="n">
        <v>0</v>
      </c>
      <c r="R370" s="2" t="inlineStr"/>
    </row>
    <row r="371" ht="15" customHeight="1">
      <c r="A371" t="inlineStr">
        <is>
          <t>A 37220-2024</t>
        </is>
      </c>
      <c r="B371" s="1" t="n">
        <v>45539.84837962963</v>
      </c>
      <c r="C371" s="1" t="n">
        <v>45924</v>
      </c>
      <c r="D371" t="inlineStr">
        <is>
          <t>VÄRMLANDS LÄN</t>
        </is>
      </c>
      <c r="E371" t="inlineStr">
        <is>
          <t>ÅRJÄNG</t>
        </is>
      </c>
      <c r="G371" t="n">
        <v>3.5</v>
      </c>
      <c r="H371" t="n">
        <v>0</v>
      </c>
      <c r="I371" t="n">
        <v>0</v>
      </c>
      <c r="J371" t="n">
        <v>0</v>
      </c>
      <c r="K371" t="n">
        <v>0</v>
      </c>
      <c r="L371" t="n">
        <v>0</v>
      </c>
      <c r="M371" t="n">
        <v>0</v>
      </c>
      <c r="N371" t="n">
        <v>0</v>
      </c>
      <c r="O371" t="n">
        <v>0</v>
      </c>
      <c r="P371" t="n">
        <v>0</v>
      </c>
      <c r="Q371" t="n">
        <v>0</v>
      </c>
      <c r="R371" s="2" t="inlineStr"/>
    </row>
    <row r="372" ht="15" customHeight="1">
      <c r="A372" t="inlineStr">
        <is>
          <t>A 11176-2023</t>
        </is>
      </c>
      <c r="B372" s="1" t="n">
        <v>44987</v>
      </c>
      <c r="C372" s="1" t="n">
        <v>45924</v>
      </c>
      <c r="D372" t="inlineStr">
        <is>
          <t>VÄRMLANDS LÄN</t>
        </is>
      </c>
      <c r="E372" t="inlineStr">
        <is>
          <t>ÅRJÄNG</t>
        </is>
      </c>
      <c r="G372" t="n">
        <v>5.2</v>
      </c>
      <c r="H372" t="n">
        <v>0</v>
      </c>
      <c r="I372" t="n">
        <v>0</v>
      </c>
      <c r="J372" t="n">
        <v>0</v>
      </c>
      <c r="K372" t="n">
        <v>0</v>
      </c>
      <c r="L372" t="n">
        <v>0</v>
      </c>
      <c r="M372" t="n">
        <v>0</v>
      </c>
      <c r="N372" t="n">
        <v>0</v>
      </c>
      <c r="O372" t="n">
        <v>0</v>
      </c>
      <c r="P372" t="n">
        <v>0</v>
      </c>
      <c r="Q372" t="n">
        <v>0</v>
      </c>
      <c r="R372" s="2" t="inlineStr"/>
    </row>
    <row r="373" ht="15" customHeight="1">
      <c r="A373" t="inlineStr">
        <is>
          <t>A 40490-2022</t>
        </is>
      </c>
      <c r="B373" s="1" t="n">
        <v>44823.58560185185</v>
      </c>
      <c r="C373" s="1" t="n">
        <v>45924</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39096-2023</t>
        </is>
      </c>
      <c r="B374" s="1" t="n">
        <v>45164.55570601852</v>
      </c>
      <c r="C374" s="1" t="n">
        <v>45924</v>
      </c>
      <c r="D374" t="inlineStr">
        <is>
          <t>VÄRMLANDS LÄN</t>
        </is>
      </c>
      <c r="E374" t="inlineStr">
        <is>
          <t>ÅRJÄNG</t>
        </is>
      </c>
      <c r="G374" t="n">
        <v>5.1</v>
      </c>
      <c r="H374" t="n">
        <v>0</v>
      </c>
      <c r="I374" t="n">
        <v>0</v>
      </c>
      <c r="J374" t="n">
        <v>0</v>
      </c>
      <c r="K374" t="n">
        <v>0</v>
      </c>
      <c r="L374" t="n">
        <v>0</v>
      </c>
      <c r="M374" t="n">
        <v>0</v>
      </c>
      <c r="N374" t="n">
        <v>0</v>
      </c>
      <c r="O374" t="n">
        <v>0</v>
      </c>
      <c r="P374" t="n">
        <v>0</v>
      </c>
      <c r="Q374" t="n">
        <v>0</v>
      </c>
      <c r="R374" s="2" t="inlineStr"/>
    </row>
    <row r="375" ht="15" customHeight="1">
      <c r="A375" t="inlineStr">
        <is>
          <t>A 2969-2022</t>
        </is>
      </c>
      <c r="B375" s="1" t="n">
        <v>44581.70811342593</v>
      </c>
      <c r="C375" s="1" t="n">
        <v>45924</v>
      </c>
      <c r="D375" t="inlineStr">
        <is>
          <t>VÄRMLANDS LÄN</t>
        </is>
      </c>
      <c r="E375" t="inlineStr">
        <is>
          <t>ÅRJÄNG</t>
        </is>
      </c>
      <c r="G375" t="n">
        <v>1.6</v>
      </c>
      <c r="H375" t="n">
        <v>0</v>
      </c>
      <c r="I375" t="n">
        <v>0</v>
      </c>
      <c r="J375" t="n">
        <v>0</v>
      </c>
      <c r="K375" t="n">
        <v>0</v>
      </c>
      <c r="L375" t="n">
        <v>0</v>
      </c>
      <c r="M375" t="n">
        <v>0</v>
      </c>
      <c r="N375" t="n">
        <v>0</v>
      </c>
      <c r="O375" t="n">
        <v>0</v>
      </c>
      <c r="P375" t="n">
        <v>0</v>
      </c>
      <c r="Q375" t="n">
        <v>0</v>
      </c>
      <c r="R375" s="2" t="inlineStr"/>
    </row>
    <row r="376" ht="15" customHeight="1">
      <c r="A376" t="inlineStr">
        <is>
          <t>A 19621-2025</t>
        </is>
      </c>
      <c r="B376" s="1" t="n">
        <v>45770</v>
      </c>
      <c r="C376" s="1" t="n">
        <v>45924</v>
      </c>
      <c r="D376" t="inlineStr">
        <is>
          <t>VÄRMLANDS LÄN</t>
        </is>
      </c>
      <c r="E376" t="inlineStr">
        <is>
          <t>ÅRJÄNG</t>
        </is>
      </c>
      <c r="F376" t="inlineStr">
        <is>
          <t>Övriga Aktiebolag</t>
        </is>
      </c>
      <c r="G376" t="n">
        <v>7.7</v>
      </c>
      <c r="H376" t="n">
        <v>0</v>
      </c>
      <c r="I376" t="n">
        <v>0</v>
      </c>
      <c r="J376" t="n">
        <v>0</v>
      </c>
      <c r="K376" t="n">
        <v>0</v>
      </c>
      <c r="L376" t="n">
        <v>0</v>
      </c>
      <c r="M376" t="n">
        <v>0</v>
      </c>
      <c r="N376" t="n">
        <v>0</v>
      </c>
      <c r="O376" t="n">
        <v>0</v>
      </c>
      <c r="P376" t="n">
        <v>0</v>
      </c>
      <c r="Q376" t="n">
        <v>0</v>
      </c>
      <c r="R376" s="2" t="inlineStr"/>
    </row>
    <row r="377" ht="15" customHeight="1">
      <c r="A377" t="inlineStr">
        <is>
          <t>A 8255-2025</t>
        </is>
      </c>
      <c r="B377" s="1" t="n">
        <v>45708.49788194444</v>
      </c>
      <c r="C377" s="1" t="n">
        <v>45924</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18256-2024</t>
        </is>
      </c>
      <c r="B378" s="1" t="n">
        <v>45421.52498842592</v>
      </c>
      <c r="C378" s="1" t="n">
        <v>45924</v>
      </c>
      <c r="D378" t="inlineStr">
        <is>
          <t>VÄRMLANDS LÄN</t>
        </is>
      </c>
      <c r="E378" t="inlineStr">
        <is>
          <t>ÅRJÄNG</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9489-2023</t>
        </is>
      </c>
      <c r="B379" s="1" t="n">
        <v>44981</v>
      </c>
      <c r="C379" s="1" t="n">
        <v>45924</v>
      </c>
      <c r="D379" t="inlineStr">
        <is>
          <t>VÄRMLANDS LÄN</t>
        </is>
      </c>
      <c r="E379" t="inlineStr">
        <is>
          <t>ÅRJÄNG</t>
        </is>
      </c>
      <c r="G379" t="n">
        <v>0.8</v>
      </c>
      <c r="H379" t="n">
        <v>0</v>
      </c>
      <c r="I379" t="n">
        <v>0</v>
      </c>
      <c r="J379" t="n">
        <v>0</v>
      </c>
      <c r="K379" t="n">
        <v>0</v>
      </c>
      <c r="L379" t="n">
        <v>0</v>
      </c>
      <c r="M379" t="n">
        <v>0</v>
      </c>
      <c r="N379" t="n">
        <v>0</v>
      </c>
      <c r="O379" t="n">
        <v>0</v>
      </c>
      <c r="P379" t="n">
        <v>0</v>
      </c>
      <c r="Q379" t="n">
        <v>0</v>
      </c>
      <c r="R379" s="2" t="inlineStr"/>
    </row>
    <row r="380" ht="15" customHeight="1">
      <c r="A380" t="inlineStr">
        <is>
          <t>A 16806-2024</t>
        </is>
      </c>
      <c r="B380" s="1" t="n">
        <v>45411.45510416666</v>
      </c>
      <c r="C380" s="1" t="n">
        <v>45924</v>
      </c>
      <c r="D380" t="inlineStr">
        <is>
          <t>VÄRMLANDS LÄN</t>
        </is>
      </c>
      <c r="E380" t="inlineStr">
        <is>
          <t>ÅRJÄNG</t>
        </is>
      </c>
      <c r="G380" t="n">
        <v>0.7</v>
      </c>
      <c r="H380" t="n">
        <v>0</v>
      </c>
      <c r="I380" t="n">
        <v>0</v>
      </c>
      <c r="J380" t="n">
        <v>0</v>
      </c>
      <c r="K380" t="n">
        <v>0</v>
      </c>
      <c r="L380" t="n">
        <v>0</v>
      </c>
      <c r="M380" t="n">
        <v>0</v>
      </c>
      <c r="N380" t="n">
        <v>0</v>
      </c>
      <c r="O380" t="n">
        <v>0</v>
      </c>
      <c r="P380" t="n">
        <v>0</v>
      </c>
      <c r="Q380" t="n">
        <v>0</v>
      </c>
      <c r="R380" s="2" t="inlineStr"/>
    </row>
    <row r="381" ht="15" customHeight="1">
      <c r="A381" t="inlineStr">
        <is>
          <t>A 51260-2024</t>
        </is>
      </c>
      <c r="B381" s="1" t="n">
        <v>45602</v>
      </c>
      <c r="C381" s="1" t="n">
        <v>45924</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26258-2025</t>
        </is>
      </c>
      <c r="B382" s="1" t="n">
        <v>45805.58349537037</v>
      </c>
      <c r="C382" s="1" t="n">
        <v>45924</v>
      </c>
      <c r="D382" t="inlineStr">
        <is>
          <t>VÄRMLANDS LÄN</t>
        </is>
      </c>
      <c r="E382" t="inlineStr">
        <is>
          <t>ÅRJÄNG</t>
        </is>
      </c>
      <c r="G382" t="n">
        <v>2.3</v>
      </c>
      <c r="H382" t="n">
        <v>0</v>
      </c>
      <c r="I382" t="n">
        <v>0</v>
      </c>
      <c r="J382" t="n">
        <v>0</v>
      </c>
      <c r="K382" t="n">
        <v>0</v>
      </c>
      <c r="L382" t="n">
        <v>0</v>
      </c>
      <c r="M382" t="n">
        <v>0</v>
      </c>
      <c r="N382" t="n">
        <v>0</v>
      </c>
      <c r="O382" t="n">
        <v>0</v>
      </c>
      <c r="P382" t="n">
        <v>0</v>
      </c>
      <c r="Q382" t="n">
        <v>0</v>
      </c>
      <c r="R382" s="2" t="inlineStr"/>
    </row>
    <row r="383" ht="15" customHeight="1">
      <c r="A383" t="inlineStr">
        <is>
          <t>A 56644-2024</t>
        </is>
      </c>
      <c r="B383" s="1" t="n">
        <v>45625</v>
      </c>
      <c r="C383" s="1" t="n">
        <v>45924</v>
      </c>
      <c r="D383" t="inlineStr">
        <is>
          <t>VÄRMLANDS LÄN</t>
        </is>
      </c>
      <c r="E383" t="inlineStr">
        <is>
          <t>ÅRJÄNG</t>
        </is>
      </c>
      <c r="G383" t="n">
        <v>12.6</v>
      </c>
      <c r="H383" t="n">
        <v>0</v>
      </c>
      <c r="I383" t="n">
        <v>0</v>
      </c>
      <c r="J383" t="n">
        <v>0</v>
      </c>
      <c r="K383" t="n">
        <v>0</v>
      </c>
      <c r="L383" t="n">
        <v>0</v>
      </c>
      <c r="M383" t="n">
        <v>0</v>
      </c>
      <c r="N383" t="n">
        <v>0</v>
      </c>
      <c r="O383" t="n">
        <v>0</v>
      </c>
      <c r="P383" t="n">
        <v>0</v>
      </c>
      <c r="Q383" t="n">
        <v>0</v>
      </c>
      <c r="R383" s="2" t="inlineStr"/>
    </row>
    <row r="384" ht="15" customHeight="1">
      <c r="A384" t="inlineStr">
        <is>
          <t>A 54382-2024</t>
        </is>
      </c>
      <c r="B384" s="1" t="n">
        <v>45617.44510416667</v>
      </c>
      <c r="C384" s="1" t="n">
        <v>45924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51455-2020</t>
        </is>
      </c>
      <c r="B385" s="1" t="n">
        <v>44113</v>
      </c>
      <c r="C385" s="1" t="n">
        <v>45924</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30699-2021</t>
        </is>
      </c>
      <c r="B386" s="1" t="n">
        <v>44365.42443287037</v>
      </c>
      <c r="C386" s="1" t="n">
        <v>45924</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26758-2025</t>
        </is>
      </c>
      <c r="B387" s="1" t="n">
        <v>45807</v>
      </c>
      <c r="C387" s="1" t="n">
        <v>45924</v>
      </c>
      <c r="D387" t="inlineStr">
        <is>
          <t>VÄRMLANDS LÄN</t>
        </is>
      </c>
      <c r="E387" t="inlineStr">
        <is>
          <t>ÅRJÄNG</t>
        </is>
      </c>
      <c r="G387" t="n">
        <v>1.5</v>
      </c>
      <c r="H387" t="n">
        <v>0</v>
      </c>
      <c r="I387" t="n">
        <v>0</v>
      </c>
      <c r="J387" t="n">
        <v>0</v>
      </c>
      <c r="K387" t="n">
        <v>0</v>
      </c>
      <c r="L387" t="n">
        <v>0</v>
      </c>
      <c r="M387" t="n">
        <v>0</v>
      </c>
      <c r="N387" t="n">
        <v>0</v>
      </c>
      <c r="O387" t="n">
        <v>0</v>
      </c>
      <c r="P387" t="n">
        <v>0</v>
      </c>
      <c r="Q387" t="n">
        <v>0</v>
      </c>
      <c r="R387" s="2" t="inlineStr"/>
    </row>
    <row r="388" ht="15" customHeight="1">
      <c r="A388" t="inlineStr">
        <is>
          <t>A 24971-2025</t>
        </is>
      </c>
      <c r="B388" s="1" t="n">
        <v>45799</v>
      </c>
      <c r="C388" s="1" t="n">
        <v>45924</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59624-2022</t>
        </is>
      </c>
      <c r="B389" s="1" t="n">
        <v>44907.90521990741</v>
      </c>
      <c r="C389" s="1" t="n">
        <v>45924</v>
      </c>
      <c r="D389" t="inlineStr">
        <is>
          <t>VÄRMLANDS LÄN</t>
        </is>
      </c>
      <c r="E389" t="inlineStr">
        <is>
          <t>ÅRJÄNG</t>
        </is>
      </c>
      <c r="G389" t="n">
        <v>1</v>
      </c>
      <c r="H389" t="n">
        <v>0</v>
      </c>
      <c r="I389" t="n">
        <v>0</v>
      </c>
      <c r="J389" t="n">
        <v>0</v>
      </c>
      <c r="K389" t="n">
        <v>0</v>
      </c>
      <c r="L389" t="n">
        <v>0</v>
      </c>
      <c r="M389" t="n">
        <v>0</v>
      </c>
      <c r="N389" t="n">
        <v>0</v>
      </c>
      <c r="O389" t="n">
        <v>0</v>
      </c>
      <c r="P389" t="n">
        <v>0</v>
      </c>
      <c r="Q389" t="n">
        <v>0</v>
      </c>
      <c r="R389" s="2" t="inlineStr"/>
    </row>
    <row r="390" ht="15" customHeight="1">
      <c r="A390" t="inlineStr">
        <is>
          <t>A 48357-2023</t>
        </is>
      </c>
      <c r="B390" s="1" t="n">
        <v>45202</v>
      </c>
      <c r="C390" s="1" t="n">
        <v>45924</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58769-2024</t>
        </is>
      </c>
      <c r="B391" s="1" t="n">
        <v>45635.75688657408</v>
      </c>
      <c r="C391" s="1" t="n">
        <v>45924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26434-2025</t>
        </is>
      </c>
      <c r="B392" s="1" t="n">
        <v>45807.39797453704</v>
      </c>
      <c r="C392" s="1" t="n">
        <v>45924</v>
      </c>
      <c r="D392" t="inlineStr">
        <is>
          <t>VÄRMLANDS LÄN</t>
        </is>
      </c>
      <c r="E392" t="inlineStr">
        <is>
          <t>ÅRJÄNG</t>
        </is>
      </c>
      <c r="G392" t="n">
        <v>2.2</v>
      </c>
      <c r="H392" t="n">
        <v>0</v>
      </c>
      <c r="I392" t="n">
        <v>0</v>
      </c>
      <c r="J392" t="n">
        <v>0</v>
      </c>
      <c r="K392" t="n">
        <v>0</v>
      </c>
      <c r="L392" t="n">
        <v>0</v>
      </c>
      <c r="M392" t="n">
        <v>0</v>
      </c>
      <c r="N392" t="n">
        <v>0</v>
      </c>
      <c r="O392" t="n">
        <v>0</v>
      </c>
      <c r="P392" t="n">
        <v>0</v>
      </c>
      <c r="Q392" t="n">
        <v>0</v>
      </c>
      <c r="R392" s="2" t="inlineStr"/>
    </row>
    <row r="393" ht="15" customHeight="1">
      <c r="A393" t="inlineStr">
        <is>
          <t>A 51895-2022</t>
        </is>
      </c>
      <c r="B393" s="1" t="n">
        <v>44872.61237268519</v>
      </c>
      <c r="C393" s="1" t="n">
        <v>45924</v>
      </c>
      <c r="D393" t="inlineStr">
        <is>
          <t>VÄRMLANDS LÄN</t>
        </is>
      </c>
      <c r="E393" t="inlineStr">
        <is>
          <t>ÅRJÄNG</t>
        </is>
      </c>
      <c r="F393" t="inlineStr">
        <is>
          <t>Kyrkan</t>
        </is>
      </c>
      <c r="G393" t="n">
        <v>3.1</v>
      </c>
      <c r="H393" t="n">
        <v>0</v>
      </c>
      <c r="I393" t="n">
        <v>0</v>
      </c>
      <c r="J393" t="n">
        <v>0</v>
      </c>
      <c r="K393" t="n">
        <v>0</v>
      </c>
      <c r="L393" t="n">
        <v>0</v>
      </c>
      <c r="M393" t="n">
        <v>0</v>
      </c>
      <c r="N393" t="n">
        <v>0</v>
      </c>
      <c r="O393" t="n">
        <v>0</v>
      </c>
      <c r="P393" t="n">
        <v>0</v>
      </c>
      <c r="Q393" t="n">
        <v>0</v>
      </c>
      <c r="R393" s="2" t="inlineStr"/>
    </row>
    <row r="394" ht="15" customHeight="1">
      <c r="A394" t="inlineStr">
        <is>
          <t>A 4865-2024</t>
        </is>
      </c>
      <c r="B394" s="1" t="n">
        <v>45329</v>
      </c>
      <c r="C394" s="1" t="n">
        <v>45924</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15323-2025</t>
        </is>
      </c>
      <c r="B395" s="1" t="n">
        <v>45747.32385416667</v>
      </c>
      <c r="C395" s="1" t="n">
        <v>45924</v>
      </c>
      <c r="D395" t="inlineStr">
        <is>
          <t>VÄRMLANDS LÄN</t>
        </is>
      </c>
      <c r="E395" t="inlineStr">
        <is>
          <t>ÅRJÄNG</t>
        </is>
      </c>
      <c r="G395" t="n">
        <v>5.5</v>
      </c>
      <c r="H395" t="n">
        <v>0</v>
      </c>
      <c r="I395" t="n">
        <v>0</v>
      </c>
      <c r="J395" t="n">
        <v>0</v>
      </c>
      <c r="K395" t="n">
        <v>0</v>
      </c>
      <c r="L395" t="n">
        <v>0</v>
      </c>
      <c r="M395" t="n">
        <v>0</v>
      </c>
      <c r="N395" t="n">
        <v>0</v>
      </c>
      <c r="O395" t="n">
        <v>0</v>
      </c>
      <c r="P395" t="n">
        <v>0</v>
      </c>
      <c r="Q395" t="n">
        <v>0</v>
      </c>
      <c r="R395" s="2" t="inlineStr"/>
    </row>
    <row r="396" ht="15" customHeight="1">
      <c r="A396" t="inlineStr">
        <is>
          <t>A 53123-2024</t>
        </is>
      </c>
      <c r="B396" s="1" t="n">
        <v>45611.58819444444</v>
      </c>
      <c r="C396" s="1" t="n">
        <v>45924</v>
      </c>
      <c r="D396" t="inlineStr">
        <is>
          <t>VÄRMLANDS LÄN</t>
        </is>
      </c>
      <c r="E396" t="inlineStr">
        <is>
          <t>ÅRJÄNG</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26959-2025</t>
        </is>
      </c>
      <c r="B397" s="1" t="n">
        <v>45811.45909722222</v>
      </c>
      <c r="C397" s="1" t="n">
        <v>45924</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55432-2024</t>
        </is>
      </c>
      <c r="B398" s="1" t="n">
        <v>45622</v>
      </c>
      <c r="C398" s="1" t="n">
        <v>45924</v>
      </c>
      <c r="D398" t="inlineStr">
        <is>
          <t>VÄRMLANDS LÄN</t>
        </is>
      </c>
      <c r="E398" t="inlineStr">
        <is>
          <t>ÅRJÄNG</t>
        </is>
      </c>
      <c r="G398" t="n">
        <v>6.9</v>
      </c>
      <c r="H398" t="n">
        <v>0</v>
      </c>
      <c r="I398" t="n">
        <v>0</v>
      </c>
      <c r="J398" t="n">
        <v>0</v>
      </c>
      <c r="K398" t="n">
        <v>0</v>
      </c>
      <c r="L398" t="n">
        <v>0</v>
      </c>
      <c r="M398" t="n">
        <v>0</v>
      </c>
      <c r="N398" t="n">
        <v>0</v>
      </c>
      <c r="O398" t="n">
        <v>0</v>
      </c>
      <c r="P398" t="n">
        <v>0</v>
      </c>
      <c r="Q398" t="n">
        <v>0</v>
      </c>
      <c r="R398" s="2" t="inlineStr"/>
    </row>
    <row r="399" ht="15" customHeight="1">
      <c r="A399" t="inlineStr">
        <is>
          <t>A 15730-2023</t>
        </is>
      </c>
      <c r="B399" s="1" t="n">
        <v>45021</v>
      </c>
      <c r="C399" s="1" t="n">
        <v>45924</v>
      </c>
      <c r="D399" t="inlineStr">
        <is>
          <t>VÄRMLANDS LÄN</t>
        </is>
      </c>
      <c r="E399" t="inlineStr">
        <is>
          <t>ÅRJÄNG</t>
        </is>
      </c>
      <c r="G399" t="n">
        <v>1</v>
      </c>
      <c r="H399" t="n">
        <v>0</v>
      </c>
      <c r="I399" t="n">
        <v>0</v>
      </c>
      <c r="J399" t="n">
        <v>0</v>
      </c>
      <c r="K399" t="n">
        <v>0</v>
      </c>
      <c r="L399" t="n">
        <v>0</v>
      </c>
      <c r="M399" t="n">
        <v>0</v>
      </c>
      <c r="N399" t="n">
        <v>0</v>
      </c>
      <c r="O399" t="n">
        <v>0</v>
      </c>
      <c r="P399" t="n">
        <v>0</v>
      </c>
      <c r="Q399" t="n">
        <v>0</v>
      </c>
      <c r="R399" s="2" t="inlineStr"/>
    </row>
    <row r="400" ht="15" customHeight="1">
      <c r="A400" t="inlineStr">
        <is>
          <t>A 71812-2021</t>
        </is>
      </c>
      <c r="B400" s="1" t="n">
        <v>44539</v>
      </c>
      <c r="C400" s="1" t="n">
        <v>45924</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56348-2024</t>
        </is>
      </c>
      <c r="B401" s="1" t="n">
        <v>45624</v>
      </c>
      <c r="C401" s="1" t="n">
        <v>45924</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5319-2025</t>
        </is>
      </c>
      <c r="B402" s="1" t="n">
        <v>45692.52384259259</v>
      </c>
      <c r="C402" s="1" t="n">
        <v>45924</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19313-2023</t>
        </is>
      </c>
      <c r="B403" s="1" t="n">
        <v>45049</v>
      </c>
      <c r="C403" s="1" t="n">
        <v>45924</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48911-2024</t>
        </is>
      </c>
      <c r="B404" s="1" t="n">
        <v>45594.36512731481</v>
      </c>
      <c r="C404" s="1" t="n">
        <v>45924</v>
      </c>
      <c r="D404" t="inlineStr">
        <is>
          <t>VÄRMLANDS LÄN</t>
        </is>
      </c>
      <c r="E404" t="inlineStr">
        <is>
          <t>ÅRJÄNG</t>
        </is>
      </c>
      <c r="G404" t="n">
        <v>2.3</v>
      </c>
      <c r="H404" t="n">
        <v>0</v>
      </c>
      <c r="I404" t="n">
        <v>0</v>
      </c>
      <c r="J404" t="n">
        <v>0</v>
      </c>
      <c r="K404" t="n">
        <v>0</v>
      </c>
      <c r="L404" t="n">
        <v>0</v>
      </c>
      <c r="M404" t="n">
        <v>0</v>
      </c>
      <c r="N404" t="n">
        <v>0</v>
      </c>
      <c r="O404" t="n">
        <v>0</v>
      </c>
      <c r="P404" t="n">
        <v>0</v>
      </c>
      <c r="Q404" t="n">
        <v>0</v>
      </c>
      <c r="R404" s="2" t="inlineStr"/>
    </row>
    <row r="405" ht="15" customHeight="1">
      <c r="A405" t="inlineStr">
        <is>
          <t>A 56342-2024</t>
        </is>
      </c>
      <c r="B405" s="1" t="n">
        <v>45624</v>
      </c>
      <c r="C405" s="1" t="n">
        <v>45924</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10625-2025</t>
        </is>
      </c>
      <c r="B406" s="1" t="n">
        <v>45721</v>
      </c>
      <c r="C406" s="1" t="n">
        <v>45924</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10627-2025</t>
        </is>
      </c>
      <c r="B407" s="1" t="n">
        <v>45721</v>
      </c>
      <c r="C407" s="1" t="n">
        <v>45924</v>
      </c>
      <c r="D407" t="inlineStr">
        <is>
          <t>VÄRMLANDS LÄN</t>
        </is>
      </c>
      <c r="E407" t="inlineStr">
        <is>
          <t>ÅRJÄNG</t>
        </is>
      </c>
      <c r="G407" t="n">
        <v>1.3</v>
      </c>
      <c r="H407" t="n">
        <v>0</v>
      </c>
      <c r="I407" t="n">
        <v>0</v>
      </c>
      <c r="J407" t="n">
        <v>0</v>
      </c>
      <c r="K407" t="n">
        <v>0</v>
      </c>
      <c r="L407" t="n">
        <v>0</v>
      </c>
      <c r="M407" t="n">
        <v>0</v>
      </c>
      <c r="N407" t="n">
        <v>0</v>
      </c>
      <c r="O407" t="n">
        <v>0</v>
      </c>
      <c r="P407" t="n">
        <v>0</v>
      </c>
      <c r="Q407" t="n">
        <v>0</v>
      </c>
      <c r="R407" s="2" t="inlineStr"/>
    </row>
    <row r="408" ht="15" customHeight="1">
      <c r="A408" t="inlineStr">
        <is>
          <t>A 13196-2023</t>
        </is>
      </c>
      <c r="B408" s="1" t="n">
        <v>45002</v>
      </c>
      <c r="C408" s="1" t="n">
        <v>45924</v>
      </c>
      <c r="D408" t="inlineStr">
        <is>
          <t>VÄRMLANDS LÄN</t>
        </is>
      </c>
      <c r="E408" t="inlineStr">
        <is>
          <t>ÅRJÄNG</t>
        </is>
      </c>
      <c r="F408" t="inlineStr">
        <is>
          <t>Kyrkan</t>
        </is>
      </c>
      <c r="G408" t="n">
        <v>4.5</v>
      </c>
      <c r="H408" t="n">
        <v>0</v>
      </c>
      <c r="I408" t="n">
        <v>0</v>
      </c>
      <c r="J408" t="n">
        <v>0</v>
      </c>
      <c r="K408" t="n">
        <v>0</v>
      </c>
      <c r="L408" t="n">
        <v>0</v>
      </c>
      <c r="M408" t="n">
        <v>0</v>
      </c>
      <c r="N408" t="n">
        <v>0</v>
      </c>
      <c r="O408" t="n">
        <v>0</v>
      </c>
      <c r="P408" t="n">
        <v>0</v>
      </c>
      <c r="Q408" t="n">
        <v>0</v>
      </c>
      <c r="R408" s="2" t="inlineStr"/>
    </row>
    <row r="409" ht="15" customHeight="1">
      <c r="A409" t="inlineStr">
        <is>
          <t>A 56347-2024</t>
        </is>
      </c>
      <c r="B409" s="1" t="n">
        <v>45624</v>
      </c>
      <c r="C409" s="1" t="n">
        <v>45924</v>
      </c>
      <c r="D409" t="inlineStr">
        <is>
          <t>VÄRMLANDS LÄN</t>
        </is>
      </c>
      <c r="E409" t="inlineStr">
        <is>
          <t>ÅRJÄNG</t>
        </is>
      </c>
      <c r="G409" t="n">
        <v>4.7</v>
      </c>
      <c r="H409" t="n">
        <v>0</v>
      </c>
      <c r="I409" t="n">
        <v>0</v>
      </c>
      <c r="J409" t="n">
        <v>0</v>
      </c>
      <c r="K409" t="n">
        <v>0</v>
      </c>
      <c r="L409" t="n">
        <v>0</v>
      </c>
      <c r="M409" t="n">
        <v>0</v>
      </c>
      <c r="N409" t="n">
        <v>0</v>
      </c>
      <c r="O409" t="n">
        <v>0</v>
      </c>
      <c r="P409" t="n">
        <v>0</v>
      </c>
      <c r="Q409" t="n">
        <v>0</v>
      </c>
      <c r="R409" s="2" t="inlineStr"/>
    </row>
    <row r="410" ht="15" customHeight="1">
      <c r="A410" t="inlineStr">
        <is>
          <t>A 26766-2025</t>
        </is>
      </c>
      <c r="B410" s="1" t="n">
        <v>45810.56712962963</v>
      </c>
      <c r="C410" s="1" t="n">
        <v>45924</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26783-2024</t>
        </is>
      </c>
      <c r="B411" s="1" t="n">
        <v>45470</v>
      </c>
      <c r="C411" s="1" t="n">
        <v>45924</v>
      </c>
      <c r="D411" t="inlineStr">
        <is>
          <t>VÄRMLANDS LÄN</t>
        </is>
      </c>
      <c r="E411" t="inlineStr">
        <is>
          <t>ÅRJÄNG</t>
        </is>
      </c>
      <c r="F411" t="inlineStr">
        <is>
          <t>Övriga Aktiebolag</t>
        </is>
      </c>
      <c r="G411" t="n">
        <v>1.6</v>
      </c>
      <c r="H411" t="n">
        <v>0</v>
      </c>
      <c r="I411" t="n">
        <v>0</v>
      </c>
      <c r="J411" t="n">
        <v>0</v>
      </c>
      <c r="K411" t="n">
        <v>0</v>
      </c>
      <c r="L411" t="n">
        <v>0</v>
      </c>
      <c r="M411" t="n">
        <v>0</v>
      </c>
      <c r="N411" t="n">
        <v>0</v>
      </c>
      <c r="O411" t="n">
        <v>0</v>
      </c>
      <c r="P411" t="n">
        <v>0</v>
      </c>
      <c r="Q411" t="n">
        <v>0</v>
      </c>
      <c r="R411" s="2" t="inlineStr"/>
    </row>
    <row r="412" ht="15" customHeight="1">
      <c r="A412" t="inlineStr">
        <is>
          <t>A 43517-2024</t>
        </is>
      </c>
      <c r="B412" s="1" t="n">
        <v>45569.32800925926</v>
      </c>
      <c r="C412" s="1" t="n">
        <v>45924</v>
      </c>
      <c r="D412" t="inlineStr">
        <is>
          <t>VÄRMLANDS LÄN</t>
        </is>
      </c>
      <c r="E412" t="inlineStr">
        <is>
          <t>ÅRJÄNG</t>
        </is>
      </c>
      <c r="G412" t="n">
        <v>5.9</v>
      </c>
      <c r="H412" t="n">
        <v>0</v>
      </c>
      <c r="I412" t="n">
        <v>0</v>
      </c>
      <c r="J412" t="n">
        <v>0</v>
      </c>
      <c r="K412" t="n">
        <v>0</v>
      </c>
      <c r="L412" t="n">
        <v>0</v>
      </c>
      <c r="M412" t="n">
        <v>0</v>
      </c>
      <c r="N412" t="n">
        <v>0</v>
      </c>
      <c r="O412" t="n">
        <v>0</v>
      </c>
      <c r="P412" t="n">
        <v>0</v>
      </c>
      <c r="Q412" t="n">
        <v>0</v>
      </c>
      <c r="R412" s="2" t="inlineStr"/>
    </row>
    <row r="413" ht="15" customHeight="1">
      <c r="A413" t="inlineStr">
        <is>
          <t>A 7443-2024</t>
        </is>
      </c>
      <c r="B413" s="1" t="n">
        <v>45345.72207175926</v>
      </c>
      <c r="C413" s="1" t="n">
        <v>45924</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15903-2022</t>
        </is>
      </c>
      <c r="B414" s="1" t="n">
        <v>44664.57841435185</v>
      </c>
      <c r="C414" s="1" t="n">
        <v>45924</v>
      </c>
      <c r="D414" t="inlineStr">
        <is>
          <t>VÄRMLANDS LÄN</t>
        </is>
      </c>
      <c r="E414" t="inlineStr">
        <is>
          <t>ÅRJÄNG</t>
        </is>
      </c>
      <c r="G414" t="n">
        <v>5</v>
      </c>
      <c r="H414" t="n">
        <v>0</v>
      </c>
      <c r="I414" t="n">
        <v>0</v>
      </c>
      <c r="J414" t="n">
        <v>0</v>
      </c>
      <c r="K414" t="n">
        <v>0</v>
      </c>
      <c r="L414" t="n">
        <v>0</v>
      </c>
      <c r="M414" t="n">
        <v>0</v>
      </c>
      <c r="N414" t="n">
        <v>0</v>
      </c>
      <c r="O414" t="n">
        <v>0</v>
      </c>
      <c r="P414" t="n">
        <v>0</v>
      </c>
      <c r="Q414" t="n">
        <v>0</v>
      </c>
      <c r="R414" s="2" t="inlineStr"/>
    </row>
    <row r="415" ht="15" customHeight="1">
      <c r="A415" t="inlineStr">
        <is>
          <t>A 8146-2024</t>
        </is>
      </c>
      <c r="B415" s="1" t="n">
        <v>45351.57671296296</v>
      </c>
      <c r="C415" s="1" t="n">
        <v>45924</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18718-2023</t>
        </is>
      </c>
      <c r="B416" s="1" t="n">
        <v>45043.65459490741</v>
      </c>
      <c r="C416" s="1" t="n">
        <v>45924</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3492-2024</t>
        </is>
      </c>
      <c r="B417" s="1" t="n">
        <v>45317</v>
      </c>
      <c r="C417" s="1" t="n">
        <v>45924</v>
      </c>
      <c r="D417" t="inlineStr">
        <is>
          <t>VÄRMLANDS LÄN</t>
        </is>
      </c>
      <c r="E417" t="inlineStr">
        <is>
          <t>ÅRJÄNG</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45124-2024</t>
        </is>
      </c>
      <c r="B418" s="1" t="n">
        <v>45575</v>
      </c>
      <c r="C418" s="1" t="n">
        <v>45924</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26728-2025</t>
        </is>
      </c>
      <c r="B419" s="1" t="n">
        <v>45810.50186342592</v>
      </c>
      <c r="C419" s="1" t="n">
        <v>45924</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40352-2023</t>
        </is>
      </c>
      <c r="B420" s="1" t="n">
        <v>45168</v>
      </c>
      <c r="C420" s="1" t="n">
        <v>45924</v>
      </c>
      <c r="D420" t="inlineStr">
        <is>
          <t>VÄRMLANDS LÄN</t>
        </is>
      </c>
      <c r="E420" t="inlineStr">
        <is>
          <t>ÅRJÄNG</t>
        </is>
      </c>
      <c r="G420" t="n">
        <v>3.4</v>
      </c>
      <c r="H420" t="n">
        <v>0</v>
      </c>
      <c r="I420" t="n">
        <v>0</v>
      </c>
      <c r="J420" t="n">
        <v>0</v>
      </c>
      <c r="K420" t="n">
        <v>0</v>
      </c>
      <c r="L420" t="n">
        <v>0</v>
      </c>
      <c r="M420" t="n">
        <v>0</v>
      </c>
      <c r="N420" t="n">
        <v>0</v>
      </c>
      <c r="O420" t="n">
        <v>0</v>
      </c>
      <c r="P420" t="n">
        <v>0</v>
      </c>
      <c r="Q420" t="n">
        <v>0</v>
      </c>
      <c r="R420" s="2" t="inlineStr"/>
    </row>
    <row r="421" ht="15" customHeight="1">
      <c r="A421" t="inlineStr">
        <is>
          <t>A 43040-2023</t>
        </is>
      </c>
      <c r="B421" s="1" t="n">
        <v>45182.68716435185</v>
      </c>
      <c r="C421" s="1" t="n">
        <v>45924</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32550-2024</t>
        </is>
      </c>
      <c r="B422" s="1" t="n">
        <v>45513.50606481481</v>
      </c>
      <c r="C422" s="1" t="n">
        <v>45924</v>
      </c>
      <c r="D422" t="inlineStr">
        <is>
          <t>VÄRMLANDS LÄN</t>
        </is>
      </c>
      <c r="E422" t="inlineStr">
        <is>
          <t>ÅRJÄNG</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26998-2025</t>
        </is>
      </c>
      <c r="B423" s="1" t="n">
        <v>45811</v>
      </c>
      <c r="C423" s="1" t="n">
        <v>45924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13160-2022</t>
        </is>
      </c>
      <c r="B424" s="1" t="n">
        <v>44644.43545138889</v>
      </c>
      <c r="C424" s="1" t="n">
        <v>45924</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43794-2024</t>
        </is>
      </c>
      <c r="B425" s="1" t="n">
        <v>45571.53519675926</v>
      </c>
      <c r="C425" s="1" t="n">
        <v>45924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65751-2020</t>
        </is>
      </c>
      <c r="B426" s="1" t="n">
        <v>44174</v>
      </c>
      <c r="C426" s="1" t="n">
        <v>45924</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4137-2025</t>
        </is>
      </c>
      <c r="B427" s="1" t="n">
        <v>45685.35232638889</v>
      </c>
      <c r="C427" s="1" t="n">
        <v>45924</v>
      </c>
      <c r="D427" t="inlineStr">
        <is>
          <t>VÄRMLANDS LÄN</t>
        </is>
      </c>
      <c r="E427" t="inlineStr">
        <is>
          <t>ÅRJÄNG</t>
        </is>
      </c>
      <c r="G427" t="n">
        <v>3.3</v>
      </c>
      <c r="H427" t="n">
        <v>0</v>
      </c>
      <c r="I427" t="n">
        <v>0</v>
      </c>
      <c r="J427" t="n">
        <v>0</v>
      </c>
      <c r="K427" t="n">
        <v>0</v>
      </c>
      <c r="L427" t="n">
        <v>0</v>
      </c>
      <c r="M427" t="n">
        <v>0</v>
      </c>
      <c r="N427" t="n">
        <v>0</v>
      </c>
      <c r="O427" t="n">
        <v>0</v>
      </c>
      <c r="P427" t="n">
        <v>0</v>
      </c>
      <c r="Q427" t="n">
        <v>0</v>
      </c>
      <c r="R427" s="2" t="inlineStr"/>
    </row>
    <row r="428" ht="15" customHeight="1">
      <c r="A428" t="inlineStr">
        <is>
          <t>A 12840-2025</t>
        </is>
      </c>
      <c r="B428" s="1" t="n">
        <v>45733</v>
      </c>
      <c r="C428" s="1" t="n">
        <v>45924</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24789-2024</t>
        </is>
      </c>
      <c r="B429" s="1" t="n">
        <v>45460</v>
      </c>
      <c r="C429" s="1" t="n">
        <v>45924</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20372-2025</t>
        </is>
      </c>
      <c r="B430" s="1" t="n">
        <v>45775.42027777778</v>
      </c>
      <c r="C430" s="1" t="n">
        <v>45924</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41205-2024</t>
        </is>
      </c>
      <c r="B431" s="1" t="n">
        <v>45559</v>
      </c>
      <c r="C431" s="1" t="n">
        <v>45924</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13647-2025</t>
        </is>
      </c>
      <c r="B432" s="1" t="n">
        <v>45736.69149305556</v>
      </c>
      <c r="C432" s="1" t="n">
        <v>45924</v>
      </c>
      <c r="D432" t="inlineStr">
        <is>
          <t>VÄRMLANDS LÄN</t>
        </is>
      </c>
      <c r="E432" t="inlineStr">
        <is>
          <t>ÅRJÄNG</t>
        </is>
      </c>
      <c r="G432" t="n">
        <v>1</v>
      </c>
      <c r="H432" t="n">
        <v>0</v>
      </c>
      <c r="I432" t="n">
        <v>0</v>
      </c>
      <c r="J432" t="n">
        <v>0</v>
      </c>
      <c r="K432" t="n">
        <v>0</v>
      </c>
      <c r="L432" t="n">
        <v>0</v>
      </c>
      <c r="M432" t="n">
        <v>0</v>
      </c>
      <c r="N432" t="n">
        <v>0</v>
      </c>
      <c r="O432" t="n">
        <v>0</v>
      </c>
      <c r="P432" t="n">
        <v>0</v>
      </c>
      <c r="Q432" t="n">
        <v>0</v>
      </c>
      <c r="R432" s="2" t="inlineStr"/>
    </row>
    <row r="433" ht="15" customHeight="1">
      <c r="A433" t="inlineStr">
        <is>
          <t>A 11813-2025</t>
        </is>
      </c>
      <c r="B433" s="1" t="n">
        <v>45728.28122685185</v>
      </c>
      <c r="C433" s="1" t="n">
        <v>45924</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3458-2025</t>
        </is>
      </c>
      <c r="B434" s="1" t="n">
        <v>45680.48917824074</v>
      </c>
      <c r="C434" s="1" t="n">
        <v>45924</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8601-2022</t>
        </is>
      </c>
      <c r="B435" s="1" t="n">
        <v>44613.57193287037</v>
      </c>
      <c r="C435" s="1" t="n">
        <v>45924</v>
      </c>
      <c r="D435" t="inlineStr">
        <is>
          <t>VÄRMLANDS LÄN</t>
        </is>
      </c>
      <c r="E435" t="inlineStr">
        <is>
          <t>ÅRJÄNG</t>
        </is>
      </c>
      <c r="G435" t="n">
        <v>1.3</v>
      </c>
      <c r="H435" t="n">
        <v>0</v>
      </c>
      <c r="I435" t="n">
        <v>0</v>
      </c>
      <c r="J435" t="n">
        <v>0</v>
      </c>
      <c r="K435" t="n">
        <v>0</v>
      </c>
      <c r="L435" t="n">
        <v>0</v>
      </c>
      <c r="M435" t="n">
        <v>0</v>
      </c>
      <c r="N435" t="n">
        <v>0</v>
      </c>
      <c r="O435" t="n">
        <v>0</v>
      </c>
      <c r="P435" t="n">
        <v>0</v>
      </c>
      <c r="Q435" t="n">
        <v>0</v>
      </c>
      <c r="R435" s="2" t="inlineStr"/>
    </row>
    <row r="436" ht="15" customHeight="1">
      <c r="A436" t="inlineStr">
        <is>
          <t>A 18388-2025</t>
        </is>
      </c>
      <c r="B436" s="1" t="n">
        <v>45762</v>
      </c>
      <c r="C436" s="1" t="n">
        <v>45924</v>
      </c>
      <c r="D436" t="inlineStr">
        <is>
          <t>VÄRMLANDS LÄN</t>
        </is>
      </c>
      <c r="E436" t="inlineStr">
        <is>
          <t>ÅRJÄNG</t>
        </is>
      </c>
      <c r="G436" t="n">
        <v>0.5</v>
      </c>
      <c r="H436" t="n">
        <v>0</v>
      </c>
      <c r="I436" t="n">
        <v>0</v>
      </c>
      <c r="J436" t="n">
        <v>0</v>
      </c>
      <c r="K436" t="n">
        <v>0</v>
      </c>
      <c r="L436" t="n">
        <v>0</v>
      </c>
      <c r="M436" t="n">
        <v>0</v>
      </c>
      <c r="N436" t="n">
        <v>0</v>
      </c>
      <c r="O436" t="n">
        <v>0</v>
      </c>
      <c r="P436" t="n">
        <v>0</v>
      </c>
      <c r="Q436" t="n">
        <v>0</v>
      </c>
      <c r="R436" s="2" t="inlineStr"/>
    </row>
    <row r="437" ht="15" customHeight="1">
      <c r="A437" t="inlineStr">
        <is>
          <t>A 51265-2024</t>
        </is>
      </c>
      <c r="B437" s="1" t="n">
        <v>45602</v>
      </c>
      <c r="C437" s="1" t="n">
        <v>45924</v>
      </c>
      <c r="D437" t="inlineStr">
        <is>
          <t>VÄRMLANDS LÄN</t>
        </is>
      </c>
      <c r="E437" t="inlineStr">
        <is>
          <t>ÅRJÄNG</t>
        </is>
      </c>
      <c r="G437" t="n">
        <v>2.5</v>
      </c>
      <c r="H437" t="n">
        <v>0</v>
      </c>
      <c r="I437" t="n">
        <v>0</v>
      </c>
      <c r="J437" t="n">
        <v>0</v>
      </c>
      <c r="K437" t="n">
        <v>0</v>
      </c>
      <c r="L437" t="n">
        <v>0</v>
      </c>
      <c r="M437" t="n">
        <v>0</v>
      </c>
      <c r="N437" t="n">
        <v>0</v>
      </c>
      <c r="O437" t="n">
        <v>0</v>
      </c>
      <c r="P437" t="n">
        <v>0</v>
      </c>
      <c r="Q437" t="n">
        <v>0</v>
      </c>
      <c r="R437" s="2" t="inlineStr"/>
    </row>
    <row r="438" ht="15" customHeight="1">
      <c r="A438" t="inlineStr">
        <is>
          <t>A 26781-2025</t>
        </is>
      </c>
      <c r="B438" s="1" t="n">
        <v>45810.58258101852</v>
      </c>
      <c r="C438" s="1" t="n">
        <v>45924</v>
      </c>
      <c r="D438" t="inlineStr">
        <is>
          <t>VÄRMLANDS LÄN</t>
        </is>
      </c>
      <c r="E438" t="inlineStr">
        <is>
          <t>ÅRJÄNG</t>
        </is>
      </c>
      <c r="G438" t="n">
        <v>4.2</v>
      </c>
      <c r="H438" t="n">
        <v>0</v>
      </c>
      <c r="I438" t="n">
        <v>0</v>
      </c>
      <c r="J438" t="n">
        <v>0</v>
      </c>
      <c r="K438" t="n">
        <v>0</v>
      </c>
      <c r="L438" t="n">
        <v>0</v>
      </c>
      <c r="M438" t="n">
        <v>0</v>
      </c>
      <c r="N438" t="n">
        <v>0</v>
      </c>
      <c r="O438" t="n">
        <v>0</v>
      </c>
      <c r="P438" t="n">
        <v>0</v>
      </c>
      <c r="Q438" t="n">
        <v>0</v>
      </c>
      <c r="R438" s="2" t="inlineStr"/>
    </row>
    <row r="439" ht="15" customHeight="1">
      <c r="A439" t="inlineStr">
        <is>
          <t>A 27120-2025</t>
        </is>
      </c>
      <c r="B439" s="1" t="n">
        <v>45811.76232638889</v>
      </c>
      <c r="C439" s="1" t="n">
        <v>45924</v>
      </c>
      <c r="D439" t="inlineStr">
        <is>
          <t>VÄRMLANDS LÄN</t>
        </is>
      </c>
      <c r="E439" t="inlineStr">
        <is>
          <t>ÅRJÄNG</t>
        </is>
      </c>
      <c r="G439" t="n">
        <v>4.3</v>
      </c>
      <c r="H439" t="n">
        <v>0</v>
      </c>
      <c r="I439" t="n">
        <v>0</v>
      </c>
      <c r="J439" t="n">
        <v>0</v>
      </c>
      <c r="K439" t="n">
        <v>0</v>
      </c>
      <c r="L439" t="n">
        <v>0</v>
      </c>
      <c r="M439" t="n">
        <v>0</v>
      </c>
      <c r="N439" t="n">
        <v>0</v>
      </c>
      <c r="O439" t="n">
        <v>0</v>
      </c>
      <c r="P439" t="n">
        <v>0</v>
      </c>
      <c r="Q439" t="n">
        <v>0</v>
      </c>
      <c r="R439" s="2" t="inlineStr"/>
    </row>
    <row r="440" ht="15" customHeight="1">
      <c r="A440" t="inlineStr">
        <is>
          <t>A 8357-2025</t>
        </is>
      </c>
      <c r="B440" s="1" t="n">
        <v>45708.79896990741</v>
      </c>
      <c r="C440" s="1" t="n">
        <v>45924</v>
      </c>
      <c r="D440" t="inlineStr">
        <is>
          <t>VÄRMLANDS LÄN</t>
        </is>
      </c>
      <c r="E440" t="inlineStr">
        <is>
          <t>ÅRJÄNG</t>
        </is>
      </c>
      <c r="G440" t="n">
        <v>3.4</v>
      </c>
      <c r="H440" t="n">
        <v>0</v>
      </c>
      <c r="I440" t="n">
        <v>0</v>
      </c>
      <c r="J440" t="n">
        <v>0</v>
      </c>
      <c r="K440" t="n">
        <v>0</v>
      </c>
      <c r="L440" t="n">
        <v>0</v>
      </c>
      <c r="M440" t="n">
        <v>0</v>
      </c>
      <c r="N440" t="n">
        <v>0</v>
      </c>
      <c r="O440" t="n">
        <v>0</v>
      </c>
      <c r="P440" t="n">
        <v>0</v>
      </c>
      <c r="Q440" t="n">
        <v>0</v>
      </c>
      <c r="R440" s="2" t="inlineStr"/>
    </row>
    <row r="441" ht="15" customHeight="1">
      <c r="A441" t="inlineStr">
        <is>
          <t>A 10321-2025</t>
        </is>
      </c>
      <c r="B441" s="1" t="n">
        <v>45720</v>
      </c>
      <c r="C441" s="1" t="n">
        <v>45924</v>
      </c>
      <c r="D441" t="inlineStr">
        <is>
          <t>VÄRMLANDS LÄN</t>
        </is>
      </c>
      <c r="E441" t="inlineStr">
        <is>
          <t>ÅRJÄNG</t>
        </is>
      </c>
      <c r="G441" t="n">
        <v>3.4</v>
      </c>
      <c r="H441" t="n">
        <v>0</v>
      </c>
      <c r="I441" t="n">
        <v>0</v>
      </c>
      <c r="J441" t="n">
        <v>0</v>
      </c>
      <c r="K441" t="n">
        <v>0</v>
      </c>
      <c r="L441" t="n">
        <v>0</v>
      </c>
      <c r="M441" t="n">
        <v>0</v>
      </c>
      <c r="N441" t="n">
        <v>0</v>
      </c>
      <c r="O441" t="n">
        <v>0</v>
      </c>
      <c r="P441" t="n">
        <v>0</v>
      </c>
      <c r="Q441" t="n">
        <v>0</v>
      </c>
      <c r="R441" s="2" t="inlineStr"/>
    </row>
    <row r="442" ht="15" customHeight="1">
      <c r="A442" t="inlineStr">
        <is>
          <t>A 1580-2025</t>
        </is>
      </c>
      <c r="B442" s="1" t="n">
        <v>45670</v>
      </c>
      <c r="C442" s="1" t="n">
        <v>45924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61119-2024</t>
        </is>
      </c>
      <c r="B443" s="1" t="n">
        <v>45645.57</v>
      </c>
      <c r="C443" s="1" t="n">
        <v>45924</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56535-2023</t>
        </is>
      </c>
      <c r="B444" s="1" t="n">
        <v>45243.5708912037</v>
      </c>
      <c r="C444" s="1" t="n">
        <v>45924</v>
      </c>
      <c r="D444" t="inlineStr">
        <is>
          <t>VÄRMLANDS LÄN</t>
        </is>
      </c>
      <c r="E444" t="inlineStr">
        <is>
          <t>ÅRJÄNG</t>
        </is>
      </c>
      <c r="G444" t="n">
        <v>5.8</v>
      </c>
      <c r="H444" t="n">
        <v>0</v>
      </c>
      <c r="I444" t="n">
        <v>0</v>
      </c>
      <c r="J444" t="n">
        <v>0</v>
      </c>
      <c r="K444" t="n">
        <v>0</v>
      </c>
      <c r="L444" t="n">
        <v>0</v>
      </c>
      <c r="M444" t="n">
        <v>0</v>
      </c>
      <c r="N444" t="n">
        <v>0</v>
      </c>
      <c r="O444" t="n">
        <v>0</v>
      </c>
      <c r="P444" t="n">
        <v>0</v>
      </c>
      <c r="Q444" t="n">
        <v>0</v>
      </c>
      <c r="R444" s="2" t="inlineStr"/>
    </row>
    <row r="445" ht="15" customHeight="1">
      <c r="A445" t="inlineStr">
        <is>
          <t>A 23754-2024</t>
        </is>
      </c>
      <c r="B445" s="1" t="n">
        <v>45455</v>
      </c>
      <c r="C445" s="1" t="n">
        <v>45924</v>
      </c>
      <c r="D445" t="inlineStr">
        <is>
          <t>VÄRMLANDS LÄN</t>
        </is>
      </c>
      <c r="E445" t="inlineStr">
        <is>
          <t>ÅRJÄNG</t>
        </is>
      </c>
      <c r="G445" t="n">
        <v>0.9</v>
      </c>
      <c r="H445" t="n">
        <v>0</v>
      </c>
      <c r="I445" t="n">
        <v>0</v>
      </c>
      <c r="J445" t="n">
        <v>0</v>
      </c>
      <c r="K445" t="n">
        <v>0</v>
      </c>
      <c r="L445" t="n">
        <v>0</v>
      </c>
      <c r="M445" t="n">
        <v>0</v>
      </c>
      <c r="N445" t="n">
        <v>0</v>
      </c>
      <c r="O445" t="n">
        <v>0</v>
      </c>
      <c r="P445" t="n">
        <v>0</v>
      </c>
      <c r="Q445" t="n">
        <v>0</v>
      </c>
      <c r="R445" s="2" t="inlineStr"/>
    </row>
    <row r="446" ht="15" customHeight="1">
      <c r="A446" t="inlineStr">
        <is>
          <t>A 29263-2023</t>
        </is>
      </c>
      <c r="B446" s="1" t="n">
        <v>45105</v>
      </c>
      <c r="C446" s="1" t="n">
        <v>45924</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60909-2024</t>
        </is>
      </c>
      <c r="B447" s="1" t="n">
        <v>45645</v>
      </c>
      <c r="C447" s="1" t="n">
        <v>45924</v>
      </c>
      <c r="D447" t="inlineStr">
        <is>
          <t>VÄRMLANDS LÄN</t>
        </is>
      </c>
      <c r="E447" t="inlineStr">
        <is>
          <t>ÅRJÄNG</t>
        </is>
      </c>
      <c r="G447" t="n">
        <v>1.1</v>
      </c>
      <c r="H447" t="n">
        <v>0</v>
      </c>
      <c r="I447" t="n">
        <v>0</v>
      </c>
      <c r="J447" t="n">
        <v>0</v>
      </c>
      <c r="K447" t="n">
        <v>0</v>
      </c>
      <c r="L447" t="n">
        <v>0</v>
      </c>
      <c r="M447" t="n">
        <v>0</v>
      </c>
      <c r="N447" t="n">
        <v>0</v>
      </c>
      <c r="O447" t="n">
        <v>0</v>
      </c>
      <c r="P447" t="n">
        <v>0</v>
      </c>
      <c r="Q447" t="n">
        <v>0</v>
      </c>
      <c r="R447" s="2" t="inlineStr"/>
    </row>
    <row r="448" ht="15" customHeight="1">
      <c r="A448" t="inlineStr">
        <is>
          <t>A 24964-2025</t>
        </is>
      </c>
      <c r="B448" s="1" t="n">
        <v>45799</v>
      </c>
      <c r="C448" s="1" t="n">
        <v>45924</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55686-2024</t>
        </is>
      </c>
      <c r="B449" s="1" t="n">
        <v>45622</v>
      </c>
      <c r="C449" s="1" t="n">
        <v>45924</v>
      </c>
      <c r="D449" t="inlineStr">
        <is>
          <t>VÄRMLANDS LÄN</t>
        </is>
      </c>
      <c r="E449" t="inlineStr">
        <is>
          <t>ÅRJÄNG</t>
        </is>
      </c>
      <c r="G449" t="n">
        <v>1.9</v>
      </c>
      <c r="H449" t="n">
        <v>0</v>
      </c>
      <c r="I449" t="n">
        <v>0</v>
      </c>
      <c r="J449" t="n">
        <v>0</v>
      </c>
      <c r="K449" t="n">
        <v>0</v>
      </c>
      <c r="L449" t="n">
        <v>0</v>
      </c>
      <c r="M449" t="n">
        <v>0</v>
      </c>
      <c r="N449" t="n">
        <v>0</v>
      </c>
      <c r="O449" t="n">
        <v>0</v>
      </c>
      <c r="P449" t="n">
        <v>0</v>
      </c>
      <c r="Q449" t="n">
        <v>0</v>
      </c>
      <c r="R449" s="2" t="inlineStr"/>
    </row>
    <row r="450" ht="15" customHeight="1">
      <c r="A450" t="inlineStr">
        <is>
          <t>A 56060-2023</t>
        </is>
      </c>
      <c r="B450" s="1" t="n">
        <v>45233</v>
      </c>
      <c r="C450" s="1" t="n">
        <v>45924</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27247-2025</t>
        </is>
      </c>
      <c r="B451" s="1" t="n">
        <v>45812.46612268518</v>
      </c>
      <c r="C451" s="1" t="n">
        <v>45924</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14788-2025</t>
        </is>
      </c>
      <c r="B452" s="1" t="n">
        <v>45742.78112268518</v>
      </c>
      <c r="C452" s="1" t="n">
        <v>45924</v>
      </c>
      <c r="D452" t="inlineStr">
        <is>
          <t>VÄRMLANDS LÄN</t>
        </is>
      </c>
      <c r="E452" t="inlineStr">
        <is>
          <t>ÅRJÄNG</t>
        </is>
      </c>
      <c r="G452" t="n">
        <v>2.5</v>
      </c>
      <c r="H452" t="n">
        <v>0</v>
      </c>
      <c r="I452" t="n">
        <v>0</v>
      </c>
      <c r="J452" t="n">
        <v>0</v>
      </c>
      <c r="K452" t="n">
        <v>0</v>
      </c>
      <c r="L452" t="n">
        <v>0</v>
      </c>
      <c r="M452" t="n">
        <v>0</v>
      </c>
      <c r="N452" t="n">
        <v>0</v>
      </c>
      <c r="O452" t="n">
        <v>0</v>
      </c>
      <c r="P452" t="n">
        <v>0</v>
      </c>
      <c r="Q452" t="n">
        <v>0</v>
      </c>
      <c r="R452" s="2" t="inlineStr"/>
    </row>
    <row r="453" ht="15" customHeight="1">
      <c r="A453" t="inlineStr">
        <is>
          <t>A 15546-2025</t>
        </is>
      </c>
      <c r="B453" s="1" t="n">
        <v>45747</v>
      </c>
      <c r="C453" s="1" t="n">
        <v>45924</v>
      </c>
      <c r="D453" t="inlineStr">
        <is>
          <t>VÄRMLANDS LÄN</t>
        </is>
      </c>
      <c r="E453" t="inlineStr">
        <is>
          <t>ÅRJÄNG</t>
        </is>
      </c>
      <c r="G453" t="n">
        <v>2.2</v>
      </c>
      <c r="H453" t="n">
        <v>0</v>
      </c>
      <c r="I453" t="n">
        <v>0</v>
      </c>
      <c r="J453" t="n">
        <v>0</v>
      </c>
      <c r="K453" t="n">
        <v>0</v>
      </c>
      <c r="L453" t="n">
        <v>0</v>
      </c>
      <c r="M453" t="n">
        <v>0</v>
      </c>
      <c r="N453" t="n">
        <v>0</v>
      </c>
      <c r="O453" t="n">
        <v>0</v>
      </c>
      <c r="P453" t="n">
        <v>0</v>
      </c>
      <c r="Q453" t="n">
        <v>0</v>
      </c>
      <c r="R453" s="2" t="inlineStr"/>
    </row>
    <row r="454" ht="15" customHeight="1">
      <c r="A454" t="inlineStr">
        <is>
          <t>A 56940-2024</t>
        </is>
      </c>
      <c r="B454" s="1" t="n">
        <v>45628.61755787037</v>
      </c>
      <c r="C454" s="1" t="n">
        <v>45924</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52741-2024</t>
        </is>
      </c>
      <c r="B455" s="1" t="n">
        <v>45610</v>
      </c>
      <c r="C455" s="1" t="n">
        <v>45924</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11776-2025</t>
        </is>
      </c>
      <c r="B456" s="1" t="n">
        <v>45727.70334490741</v>
      </c>
      <c r="C456" s="1" t="n">
        <v>45924</v>
      </c>
      <c r="D456" t="inlineStr">
        <is>
          <t>VÄRMLANDS LÄN</t>
        </is>
      </c>
      <c r="E456" t="inlineStr">
        <is>
          <t>ÅRJÄNG</t>
        </is>
      </c>
      <c r="G456" t="n">
        <v>7.2</v>
      </c>
      <c r="H456" t="n">
        <v>0</v>
      </c>
      <c r="I456" t="n">
        <v>0</v>
      </c>
      <c r="J456" t="n">
        <v>0</v>
      </c>
      <c r="K456" t="n">
        <v>0</v>
      </c>
      <c r="L456" t="n">
        <v>0</v>
      </c>
      <c r="M456" t="n">
        <v>0</v>
      </c>
      <c r="N456" t="n">
        <v>0</v>
      </c>
      <c r="O456" t="n">
        <v>0</v>
      </c>
      <c r="P456" t="n">
        <v>0</v>
      </c>
      <c r="Q456" t="n">
        <v>0</v>
      </c>
      <c r="R456" s="2" t="inlineStr"/>
    </row>
    <row r="457" ht="15" customHeight="1">
      <c r="A457" t="inlineStr">
        <is>
          <t>A 36017-2024</t>
        </is>
      </c>
      <c r="B457" s="1" t="n">
        <v>45533</v>
      </c>
      <c r="C457" s="1" t="n">
        <v>45924</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4976-2025</t>
        </is>
      </c>
      <c r="B458" s="1" t="n">
        <v>45690.86565972222</v>
      </c>
      <c r="C458" s="1" t="n">
        <v>45924</v>
      </c>
      <c r="D458" t="inlineStr">
        <is>
          <t>VÄRMLANDS LÄN</t>
        </is>
      </c>
      <c r="E458" t="inlineStr">
        <is>
          <t>ÅRJÄNG</t>
        </is>
      </c>
      <c r="G458" t="n">
        <v>4.5</v>
      </c>
      <c r="H458" t="n">
        <v>0</v>
      </c>
      <c r="I458" t="n">
        <v>0</v>
      </c>
      <c r="J458" t="n">
        <v>0</v>
      </c>
      <c r="K458" t="n">
        <v>0</v>
      </c>
      <c r="L458" t="n">
        <v>0</v>
      </c>
      <c r="M458" t="n">
        <v>0</v>
      </c>
      <c r="N458" t="n">
        <v>0</v>
      </c>
      <c r="O458" t="n">
        <v>0</v>
      </c>
      <c r="P458" t="n">
        <v>0</v>
      </c>
      <c r="Q458" t="n">
        <v>0</v>
      </c>
      <c r="R458" s="2" t="inlineStr"/>
    </row>
    <row r="459" ht="15" customHeight="1">
      <c r="A459" t="inlineStr">
        <is>
          <t>A 50339-2024</t>
        </is>
      </c>
      <c r="B459" s="1" t="n">
        <v>45600.73030092593</v>
      </c>
      <c r="C459" s="1" t="n">
        <v>45924</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19242-2025</t>
        </is>
      </c>
      <c r="B460" s="1" t="n">
        <v>45769.47761574074</v>
      </c>
      <c r="C460" s="1" t="n">
        <v>45924</v>
      </c>
      <c r="D460" t="inlineStr">
        <is>
          <t>VÄRMLANDS LÄN</t>
        </is>
      </c>
      <c r="E460" t="inlineStr">
        <is>
          <t>ÅRJÄNG</t>
        </is>
      </c>
      <c r="G460" t="n">
        <v>17.5</v>
      </c>
      <c r="H460" t="n">
        <v>0</v>
      </c>
      <c r="I460" t="n">
        <v>0</v>
      </c>
      <c r="J460" t="n">
        <v>0</v>
      </c>
      <c r="K460" t="n">
        <v>0</v>
      </c>
      <c r="L460" t="n">
        <v>0</v>
      </c>
      <c r="M460" t="n">
        <v>0</v>
      </c>
      <c r="N460" t="n">
        <v>0</v>
      </c>
      <c r="O460" t="n">
        <v>0</v>
      </c>
      <c r="P460" t="n">
        <v>0</v>
      </c>
      <c r="Q460" t="n">
        <v>0</v>
      </c>
      <c r="R460" s="2" t="inlineStr"/>
    </row>
    <row r="461" ht="15" customHeight="1">
      <c r="A461" t="inlineStr">
        <is>
          <t>A 50301-2024</t>
        </is>
      </c>
      <c r="B461" s="1" t="n">
        <v>45600</v>
      </c>
      <c r="C461" s="1" t="n">
        <v>45924</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14509-2022</t>
        </is>
      </c>
      <c r="B462" s="1" t="n">
        <v>44655</v>
      </c>
      <c r="C462" s="1" t="n">
        <v>45924</v>
      </c>
      <c r="D462" t="inlineStr">
        <is>
          <t>VÄRMLANDS LÄN</t>
        </is>
      </c>
      <c r="E462" t="inlineStr">
        <is>
          <t>ÅRJÄNG</t>
        </is>
      </c>
      <c r="G462" t="n">
        <v>0.2</v>
      </c>
      <c r="H462" t="n">
        <v>0</v>
      </c>
      <c r="I462" t="n">
        <v>0</v>
      </c>
      <c r="J462" t="n">
        <v>0</v>
      </c>
      <c r="K462" t="n">
        <v>0</v>
      </c>
      <c r="L462" t="n">
        <v>0</v>
      </c>
      <c r="M462" t="n">
        <v>0</v>
      </c>
      <c r="N462" t="n">
        <v>0</v>
      </c>
      <c r="O462" t="n">
        <v>0</v>
      </c>
      <c r="P462" t="n">
        <v>0</v>
      </c>
      <c r="Q462" t="n">
        <v>0</v>
      </c>
      <c r="R462" s="2" t="inlineStr"/>
    </row>
    <row r="463" ht="15" customHeight="1">
      <c r="A463" t="inlineStr">
        <is>
          <t>A 13157-2024</t>
        </is>
      </c>
      <c r="B463" s="1" t="n">
        <v>45386</v>
      </c>
      <c r="C463" s="1" t="n">
        <v>45924</v>
      </c>
      <c r="D463" t="inlineStr">
        <is>
          <t>VÄRMLANDS LÄN</t>
        </is>
      </c>
      <c r="E463" t="inlineStr">
        <is>
          <t>ÅRJÄNG</t>
        </is>
      </c>
      <c r="G463" t="n">
        <v>1.8</v>
      </c>
      <c r="H463" t="n">
        <v>0</v>
      </c>
      <c r="I463" t="n">
        <v>0</v>
      </c>
      <c r="J463" t="n">
        <v>0</v>
      </c>
      <c r="K463" t="n">
        <v>0</v>
      </c>
      <c r="L463" t="n">
        <v>0</v>
      </c>
      <c r="M463" t="n">
        <v>0</v>
      </c>
      <c r="N463" t="n">
        <v>0</v>
      </c>
      <c r="O463" t="n">
        <v>0</v>
      </c>
      <c r="P463" t="n">
        <v>0</v>
      </c>
      <c r="Q463" t="n">
        <v>0</v>
      </c>
      <c r="R463" s="2" t="inlineStr"/>
    </row>
    <row r="464" ht="15" customHeight="1">
      <c r="A464" t="inlineStr">
        <is>
          <t>A 62720-2023</t>
        </is>
      </c>
      <c r="B464" s="1" t="n">
        <v>45271.5799537037</v>
      </c>
      <c r="C464" s="1" t="n">
        <v>45924</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4408-2025</t>
        </is>
      </c>
      <c r="B465" s="1" t="n">
        <v>45686</v>
      </c>
      <c r="C465" s="1" t="n">
        <v>45924</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12006-2023</t>
        </is>
      </c>
      <c r="B466" s="1" t="n">
        <v>44995.61495370371</v>
      </c>
      <c r="C466" s="1" t="n">
        <v>45924</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37191-2023</t>
        </is>
      </c>
      <c r="B467" s="1" t="n">
        <v>45154</v>
      </c>
      <c r="C467" s="1" t="n">
        <v>45924</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16079-2024</t>
        </is>
      </c>
      <c r="B468" s="1" t="n">
        <v>45406</v>
      </c>
      <c r="C468" s="1" t="n">
        <v>45924</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13859-2023</t>
        </is>
      </c>
      <c r="B469" s="1" t="n">
        <v>45007.63384259259</v>
      </c>
      <c r="C469" s="1" t="n">
        <v>45924</v>
      </c>
      <c r="D469" t="inlineStr">
        <is>
          <t>VÄRMLANDS LÄN</t>
        </is>
      </c>
      <c r="E469" t="inlineStr">
        <is>
          <t>ÅRJÄNG</t>
        </is>
      </c>
      <c r="G469" t="n">
        <v>3</v>
      </c>
      <c r="H469" t="n">
        <v>0</v>
      </c>
      <c r="I469" t="n">
        <v>0</v>
      </c>
      <c r="J469" t="n">
        <v>0</v>
      </c>
      <c r="K469" t="n">
        <v>0</v>
      </c>
      <c r="L469" t="n">
        <v>0</v>
      </c>
      <c r="M469" t="n">
        <v>0</v>
      </c>
      <c r="N469" t="n">
        <v>0</v>
      </c>
      <c r="O469" t="n">
        <v>0</v>
      </c>
      <c r="P469" t="n">
        <v>0</v>
      </c>
      <c r="Q469" t="n">
        <v>0</v>
      </c>
      <c r="R469" s="2" t="inlineStr"/>
    </row>
    <row r="470" ht="15" customHeight="1">
      <c r="A470" t="inlineStr">
        <is>
          <t>A 23904-2023</t>
        </is>
      </c>
      <c r="B470" s="1" t="n">
        <v>45078.55413194445</v>
      </c>
      <c r="C470" s="1" t="n">
        <v>45924</v>
      </c>
      <c r="D470" t="inlineStr">
        <is>
          <t>VÄRMLANDS LÄN</t>
        </is>
      </c>
      <c r="E470" t="inlineStr">
        <is>
          <t>ÅRJÄNG</t>
        </is>
      </c>
      <c r="G470" t="n">
        <v>2.4</v>
      </c>
      <c r="H470" t="n">
        <v>0</v>
      </c>
      <c r="I470" t="n">
        <v>0</v>
      </c>
      <c r="J470" t="n">
        <v>0</v>
      </c>
      <c r="K470" t="n">
        <v>0</v>
      </c>
      <c r="L470" t="n">
        <v>0</v>
      </c>
      <c r="M470" t="n">
        <v>0</v>
      </c>
      <c r="N470" t="n">
        <v>0</v>
      </c>
      <c r="O470" t="n">
        <v>0</v>
      </c>
      <c r="P470" t="n">
        <v>0</v>
      </c>
      <c r="Q470" t="n">
        <v>0</v>
      </c>
      <c r="R470" s="2" t="inlineStr"/>
    </row>
    <row r="471" ht="15" customHeight="1">
      <c r="A471" t="inlineStr">
        <is>
          <t>A 28554-2025</t>
        </is>
      </c>
      <c r="B471" s="1" t="n">
        <v>45819.53761574074</v>
      </c>
      <c r="C471" s="1" t="n">
        <v>45924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59384-2023</t>
        </is>
      </c>
      <c r="B472" s="1" t="n">
        <v>45253</v>
      </c>
      <c r="C472" s="1" t="n">
        <v>45924</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12352-2021</t>
        </is>
      </c>
      <c r="B473" s="1" t="n">
        <v>44267.44386574074</v>
      </c>
      <c r="C473" s="1" t="n">
        <v>45924</v>
      </c>
      <c r="D473" t="inlineStr">
        <is>
          <t>VÄRMLANDS LÄN</t>
        </is>
      </c>
      <c r="E473" t="inlineStr">
        <is>
          <t>ÅRJÄNG</t>
        </is>
      </c>
      <c r="G473" t="n">
        <v>7.1</v>
      </c>
      <c r="H473" t="n">
        <v>0</v>
      </c>
      <c r="I473" t="n">
        <v>0</v>
      </c>
      <c r="J473" t="n">
        <v>0</v>
      </c>
      <c r="K473" t="n">
        <v>0</v>
      </c>
      <c r="L473" t="n">
        <v>0</v>
      </c>
      <c r="M473" t="n">
        <v>0</v>
      </c>
      <c r="N473" t="n">
        <v>0</v>
      </c>
      <c r="O473" t="n">
        <v>0</v>
      </c>
      <c r="P473" t="n">
        <v>0</v>
      </c>
      <c r="Q473" t="n">
        <v>0</v>
      </c>
      <c r="R473" s="2" t="inlineStr"/>
    </row>
    <row r="474" ht="15" customHeight="1">
      <c r="A474" t="inlineStr">
        <is>
          <t>A 59976-2022</t>
        </is>
      </c>
      <c r="B474" s="1" t="n">
        <v>44901</v>
      </c>
      <c r="C474" s="1" t="n">
        <v>45924</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16519-2025</t>
        </is>
      </c>
      <c r="B475" s="1" t="n">
        <v>45751</v>
      </c>
      <c r="C475" s="1" t="n">
        <v>45924</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15954-2025</t>
        </is>
      </c>
      <c r="B476" s="1" t="n">
        <v>45749</v>
      </c>
      <c r="C476" s="1" t="n">
        <v>45924</v>
      </c>
      <c r="D476" t="inlineStr">
        <is>
          <t>VÄRMLANDS LÄN</t>
        </is>
      </c>
      <c r="E476" t="inlineStr">
        <is>
          <t>ÅRJÄNG</t>
        </is>
      </c>
      <c r="F476" t="inlineStr">
        <is>
          <t>Bergvik skog väst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36195-2023</t>
        </is>
      </c>
      <c r="B477" s="1" t="n">
        <v>45149</v>
      </c>
      <c r="C477" s="1" t="n">
        <v>45924</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14917-2025</t>
        </is>
      </c>
      <c r="B478" s="1" t="n">
        <v>45743.53748842593</v>
      </c>
      <c r="C478" s="1" t="n">
        <v>45924</v>
      </c>
      <c r="D478" t="inlineStr">
        <is>
          <t>VÄRMLANDS LÄN</t>
        </is>
      </c>
      <c r="E478" t="inlineStr">
        <is>
          <t>ÅRJÄNG</t>
        </is>
      </c>
      <c r="G478" t="n">
        <v>2.2</v>
      </c>
      <c r="H478" t="n">
        <v>0</v>
      </c>
      <c r="I478" t="n">
        <v>0</v>
      </c>
      <c r="J478" t="n">
        <v>0</v>
      </c>
      <c r="K478" t="n">
        <v>0</v>
      </c>
      <c r="L478" t="n">
        <v>0</v>
      </c>
      <c r="M478" t="n">
        <v>0</v>
      </c>
      <c r="N478" t="n">
        <v>0</v>
      </c>
      <c r="O478" t="n">
        <v>0</v>
      </c>
      <c r="P478" t="n">
        <v>0</v>
      </c>
      <c r="Q478" t="n">
        <v>0</v>
      </c>
      <c r="R478" s="2" t="inlineStr"/>
    </row>
    <row r="479" ht="15" customHeight="1">
      <c r="A479" t="inlineStr">
        <is>
          <t>A 10648-2023</t>
        </is>
      </c>
      <c r="B479" s="1" t="n">
        <v>44984</v>
      </c>
      <c r="C479" s="1" t="n">
        <v>45924</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37325-2024</t>
        </is>
      </c>
      <c r="B480" s="1" t="n">
        <v>45540</v>
      </c>
      <c r="C480" s="1" t="n">
        <v>45924</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37353-2024</t>
        </is>
      </c>
      <c r="B481" s="1" t="n">
        <v>45540</v>
      </c>
      <c r="C481" s="1" t="n">
        <v>45924</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24342-2024</t>
        </is>
      </c>
      <c r="B482" s="1" t="n">
        <v>45457</v>
      </c>
      <c r="C482" s="1" t="n">
        <v>45924</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32773-2024</t>
        </is>
      </c>
      <c r="B483" s="1" t="n">
        <v>45516.49834490741</v>
      </c>
      <c r="C483" s="1" t="n">
        <v>45924</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32776-2024</t>
        </is>
      </c>
      <c r="B484" s="1" t="n">
        <v>45516</v>
      </c>
      <c r="C484" s="1" t="n">
        <v>45924</v>
      </c>
      <c r="D484" t="inlineStr">
        <is>
          <t>VÄRMLANDS LÄN</t>
        </is>
      </c>
      <c r="E484" t="inlineStr">
        <is>
          <t>ÅRJÄNG</t>
        </is>
      </c>
      <c r="G484" t="n">
        <v>1</v>
      </c>
      <c r="H484" t="n">
        <v>0</v>
      </c>
      <c r="I484" t="n">
        <v>0</v>
      </c>
      <c r="J484" t="n">
        <v>0</v>
      </c>
      <c r="K484" t="n">
        <v>0</v>
      </c>
      <c r="L484" t="n">
        <v>0</v>
      </c>
      <c r="M484" t="n">
        <v>0</v>
      </c>
      <c r="N484" t="n">
        <v>0</v>
      </c>
      <c r="O484" t="n">
        <v>0</v>
      </c>
      <c r="P484" t="n">
        <v>0</v>
      </c>
      <c r="Q484" t="n">
        <v>0</v>
      </c>
      <c r="R484" s="2" t="inlineStr"/>
    </row>
    <row r="485" ht="15" customHeight="1">
      <c r="A485" t="inlineStr">
        <is>
          <t>A 28690-2025</t>
        </is>
      </c>
      <c r="B485" s="1" t="n">
        <v>45819.73236111111</v>
      </c>
      <c r="C485" s="1" t="n">
        <v>45924</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9427-2025</t>
        </is>
      </c>
      <c r="B486" s="1" t="n">
        <v>45715</v>
      </c>
      <c r="C486" s="1" t="n">
        <v>45924</v>
      </c>
      <c r="D486" t="inlineStr">
        <is>
          <t>VÄRMLANDS LÄN</t>
        </is>
      </c>
      <c r="E486" t="inlineStr">
        <is>
          <t>ÅRJÄNG</t>
        </is>
      </c>
      <c r="G486" t="n">
        <v>4.5</v>
      </c>
      <c r="H486" t="n">
        <v>0</v>
      </c>
      <c r="I486" t="n">
        <v>0</v>
      </c>
      <c r="J486" t="n">
        <v>0</v>
      </c>
      <c r="K486" t="n">
        <v>0</v>
      </c>
      <c r="L486" t="n">
        <v>0</v>
      </c>
      <c r="M486" t="n">
        <v>0</v>
      </c>
      <c r="N486" t="n">
        <v>0</v>
      </c>
      <c r="O486" t="n">
        <v>0</v>
      </c>
      <c r="P486" t="n">
        <v>0</v>
      </c>
      <c r="Q486" t="n">
        <v>0</v>
      </c>
      <c r="R486" s="2" t="inlineStr"/>
    </row>
    <row r="487" ht="15" customHeight="1">
      <c r="A487" t="inlineStr">
        <is>
          <t>A 28115-2025</t>
        </is>
      </c>
      <c r="B487" s="1" t="n">
        <v>45818</v>
      </c>
      <c r="C487" s="1" t="n">
        <v>45924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7114-2023</t>
        </is>
      </c>
      <c r="B488" s="1" t="n">
        <v>44970.39068287037</v>
      </c>
      <c r="C488" s="1" t="n">
        <v>45924</v>
      </c>
      <c r="D488" t="inlineStr">
        <is>
          <t>VÄRMLANDS LÄN</t>
        </is>
      </c>
      <c r="E488" t="inlineStr">
        <is>
          <t>ÅRJÄNG</t>
        </is>
      </c>
      <c r="G488" t="n">
        <v>4.7</v>
      </c>
      <c r="H488" t="n">
        <v>0</v>
      </c>
      <c r="I488" t="n">
        <v>0</v>
      </c>
      <c r="J488" t="n">
        <v>0</v>
      </c>
      <c r="K488" t="n">
        <v>0</v>
      </c>
      <c r="L488" t="n">
        <v>0</v>
      </c>
      <c r="M488" t="n">
        <v>0</v>
      </c>
      <c r="N488" t="n">
        <v>0</v>
      </c>
      <c r="O488" t="n">
        <v>0</v>
      </c>
      <c r="P488" t="n">
        <v>0</v>
      </c>
      <c r="Q488" t="n">
        <v>0</v>
      </c>
      <c r="R488" s="2" t="inlineStr"/>
    </row>
    <row r="489" ht="15" customHeight="1">
      <c r="A489" t="inlineStr">
        <is>
          <t>A 60191-2023</t>
        </is>
      </c>
      <c r="B489" s="1" t="n">
        <v>45257</v>
      </c>
      <c r="C489" s="1" t="n">
        <v>45924</v>
      </c>
      <c r="D489" t="inlineStr">
        <is>
          <t>VÄRMLANDS LÄN</t>
        </is>
      </c>
      <c r="E489" t="inlineStr">
        <is>
          <t>ÅRJÄNG</t>
        </is>
      </c>
      <c r="G489" t="n">
        <v>7.6</v>
      </c>
      <c r="H489" t="n">
        <v>0</v>
      </c>
      <c r="I489" t="n">
        <v>0</v>
      </c>
      <c r="J489" t="n">
        <v>0</v>
      </c>
      <c r="K489" t="n">
        <v>0</v>
      </c>
      <c r="L489" t="n">
        <v>0</v>
      </c>
      <c r="M489" t="n">
        <v>0</v>
      </c>
      <c r="N489" t="n">
        <v>0</v>
      </c>
      <c r="O489" t="n">
        <v>0</v>
      </c>
      <c r="P489" t="n">
        <v>0</v>
      </c>
      <c r="Q489" t="n">
        <v>0</v>
      </c>
      <c r="R489" s="2" t="inlineStr"/>
    </row>
    <row r="490" ht="15" customHeight="1">
      <c r="A490" t="inlineStr">
        <is>
          <t>A 1602-2025</t>
        </is>
      </c>
      <c r="B490" s="1" t="n">
        <v>45670.59069444444</v>
      </c>
      <c r="C490" s="1" t="n">
        <v>45924</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18389-2022</t>
        </is>
      </c>
      <c r="B491" s="1" t="n">
        <v>44685</v>
      </c>
      <c r="C491" s="1" t="n">
        <v>45924</v>
      </c>
      <c r="D491" t="inlineStr">
        <is>
          <t>VÄRMLANDS LÄN</t>
        </is>
      </c>
      <c r="E491" t="inlineStr">
        <is>
          <t>ÅRJÄNG</t>
        </is>
      </c>
      <c r="G491" t="n">
        <v>11.1</v>
      </c>
      <c r="H491" t="n">
        <v>0</v>
      </c>
      <c r="I491" t="n">
        <v>0</v>
      </c>
      <c r="J491" t="n">
        <v>0</v>
      </c>
      <c r="K491" t="n">
        <v>0</v>
      </c>
      <c r="L491" t="n">
        <v>0</v>
      </c>
      <c r="M491" t="n">
        <v>0</v>
      </c>
      <c r="N491" t="n">
        <v>0</v>
      </c>
      <c r="O491" t="n">
        <v>0</v>
      </c>
      <c r="P491" t="n">
        <v>0</v>
      </c>
      <c r="Q491" t="n">
        <v>0</v>
      </c>
      <c r="R491" s="2" t="inlineStr"/>
    </row>
    <row r="492" ht="15" customHeight="1">
      <c r="A492" t="inlineStr">
        <is>
          <t>A 57651-2024</t>
        </is>
      </c>
      <c r="B492" s="1" t="n">
        <v>45630</v>
      </c>
      <c r="C492" s="1" t="n">
        <v>45924</v>
      </c>
      <c r="D492" t="inlineStr">
        <is>
          <t>VÄRMLANDS LÄN</t>
        </is>
      </c>
      <c r="E492" t="inlineStr">
        <is>
          <t>ÅRJÄNG</t>
        </is>
      </c>
      <c r="G492" t="n">
        <v>1.6</v>
      </c>
      <c r="H492" t="n">
        <v>0</v>
      </c>
      <c r="I492" t="n">
        <v>0</v>
      </c>
      <c r="J492" t="n">
        <v>0</v>
      </c>
      <c r="K492" t="n">
        <v>0</v>
      </c>
      <c r="L492" t="n">
        <v>0</v>
      </c>
      <c r="M492" t="n">
        <v>0</v>
      </c>
      <c r="N492" t="n">
        <v>0</v>
      </c>
      <c r="O492" t="n">
        <v>0</v>
      </c>
      <c r="P492" t="n">
        <v>0</v>
      </c>
      <c r="Q492" t="n">
        <v>0</v>
      </c>
      <c r="R492" s="2" t="inlineStr"/>
    </row>
    <row r="493" ht="15" customHeight="1">
      <c r="A493" t="inlineStr">
        <is>
          <t>A 42149-2024</t>
        </is>
      </c>
      <c r="B493" s="1" t="n">
        <v>45562.44591435185</v>
      </c>
      <c r="C493" s="1" t="n">
        <v>45924</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45924</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36282-2024</t>
        </is>
      </c>
      <c r="B495" s="1" t="n">
        <v>45534.5887962963</v>
      </c>
      <c r="C495" s="1" t="n">
        <v>45924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13060-2022</t>
        </is>
      </c>
      <c r="B496" s="1" t="n">
        <v>44643</v>
      </c>
      <c r="C496" s="1" t="n">
        <v>45924</v>
      </c>
      <c r="D496" t="inlineStr">
        <is>
          <t>VÄRMLANDS LÄN</t>
        </is>
      </c>
      <c r="E496" t="inlineStr">
        <is>
          <t>ÅRJÄNG</t>
        </is>
      </c>
      <c r="G496" t="n">
        <v>2.6</v>
      </c>
      <c r="H496" t="n">
        <v>0</v>
      </c>
      <c r="I496" t="n">
        <v>0</v>
      </c>
      <c r="J496" t="n">
        <v>0</v>
      </c>
      <c r="K496" t="n">
        <v>0</v>
      </c>
      <c r="L496" t="n">
        <v>0</v>
      </c>
      <c r="M496" t="n">
        <v>0</v>
      </c>
      <c r="N496" t="n">
        <v>0</v>
      </c>
      <c r="O496" t="n">
        <v>0</v>
      </c>
      <c r="P496" t="n">
        <v>0</v>
      </c>
      <c r="Q496" t="n">
        <v>0</v>
      </c>
      <c r="R496" s="2" t="inlineStr"/>
    </row>
    <row r="497" ht="15" customHeight="1">
      <c r="A497" t="inlineStr">
        <is>
          <t>A 39434-2023</t>
        </is>
      </c>
      <c r="B497" s="1" t="n">
        <v>45166.69690972222</v>
      </c>
      <c r="C497" s="1" t="n">
        <v>45924</v>
      </c>
      <c r="D497" t="inlineStr">
        <is>
          <t>VÄRMLANDS LÄN</t>
        </is>
      </c>
      <c r="E497" t="inlineStr">
        <is>
          <t>ÅRJÄNG</t>
        </is>
      </c>
      <c r="G497" t="n">
        <v>0.3</v>
      </c>
      <c r="H497" t="n">
        <v>0</v>
      </c>
      <c r="I497" t="n">
        <v>0</v>
      </c>
      <c r="J497" t="n">
        <v>0</v>
      </c>
      <c r="K497" t="n">
        <v>0</v>
      </c>
      <c r="L497" t="n">
        <v>0</v>
      </c>
      <c r="M497" t="n">
        <v>0</v>
      </c>
      <c r="N497" t="n">
        <v>0</v>
      </c>
      <c r="O497" t="n">
        <v>0</v>
      </c>
      <c r="P497" t="n">
        <v>0</v>
      </c>
      <c r="Q497" t="n">
        <v>0</v>
      </c>
      <c r="R497" s="2" t="inlineStr"/>
    </row>
    <row r="498" ht="15" customHeight="1">
      <c r="A498" t="inlineStr">
        <is>
          <t>A 1571-2025</t>
        </is>
      </c>
      <c r="B498" s="1" t="n">
        <v>45670.55496527778</v>
      </c>
      <c r="C498" s="1" t="n">
        <v>45924</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55091-2023</t>
        </is>
      </c>
      <c r="B499" s="1" t="n">
        <v>45237</v>
      </c>
      <c r="C499" s="1" t="n">
        <v>45924</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23051-2024</t>
        </is>
      </c>
      <c r="B500" s="1" t="n">
        <v>45450.42902777778</v>
      </c>
      <c r="C500" s="1" t="n">
        <v>45924</v>
      </c>
      <c r="D500" t="inlineStr">
        <is>
          <t>VÄRMLANDS LÄN</t>
        </is>
      </c>
      <c r="E500" t="inlineStr">
        <is>
          <t>ÅRJÄNG</t>
        </is>
      </c>
      <c r="G500" t="n">
        <v>2.4</v>
      </c>
      <c r="H500" t="n">
        <v>0</v>
      </c>
      <c r="I500" t="n">
        <v>0</v>
      </c>
      <c r="J500" t="n">
        <v>0</v>
      </c>
      <c r="K500" t="n">
        <v>0</v>
      </c>
      <c r="L500" t="n">
        <v>0</v>
      </c>
      <c r="M500" t="n">
        <v>0</v>
      </c>
      <c r="N500" t="n">
        <v>0</v>
      </c>
      <c r="O500" t="n">
        <v>0</v>
      </c>
      <c r="P500" t="n">
        <v>0</v>
      </c>
      <c r="Q500" t="n">
        <v>0</v>
      </c>
      <c r="R500" s="2" t="inlineStr"/>
    </row>
    <row r="501" ht="15" customHeight="1">
      <c r="A501" t="inlineStr">
        <is>
          <t>A 45876-2024</t>
        </is>
      </c>
      <c r="B501" s="1" t="n">
        <v>45580</v>
      </c>
      <c r="C501" s="1" t="n">
        <v>45924</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47623-2024</t>
        </is>
      </c>
      <c r="B502" s="1" t="n">
        <v>45588.33216435185</v>
      </c>
      <c r="C502" s="1" t="n">
        <v>45924</v>
      </c>
      <c r="D502" t="inlineStr">
        <is>
          <t>VÄRMLANDS LÄN</t>
        </is>
      </c>
      <c r="E502" t="inlineStr">
        <is>
          <t>ÅRJÄNG</t>
        </is>
      </c>
      <c r="F502" t="inlineStr">
        <is>
          <t>Kommuner</t>
        </is>
      </c>
      <c r="G502" t="n">
        <v>2.7</v>
      </c>
      <c r="H502" t="n">
        <v>0</v>
      </c>
      <c r="I502" t="n">
        <v>0</v>
      </c>
      <c r="J502" t="n">
        <v>0</v>
      </c>
      <c r="K502" t="n">
        <v>0</v>
      </c>
      <c r="L502" t="n">
        <v>0</v>
      </c>
      <c r="M502" t="n">
        <v>0</v>
      </c>
      <c r="N502" t="n">
        <v>0</v>
      </c>
      <c r="O502" t="n">
        <v>0</v>
      </c>
      <c r="P502" t="n">
        <v>0</v>
      </c>
      <c r="Q502" t="n">
        <v>0</v>
      </c>
      <c r="R502" s="2" t="inlineStr"/>
    </row>
    <row r="503" ht="15" customHeight="1">
      <c r="A503" t="inlineStr">
        <is>
          <t>A 29136-2025</t>
        </is>
      </c>
      <c r="B503" s="1" t="n">
        <v>45821</v>
      </c>
      <c r="C503" s="1" t="n">
        <v>45924</v>
      </c>
      <c r="D503" t="inlineStr">
        <is>
          <t>VÄRMLANDS LÄN</t>
        </is>
      </c>
      <c r="E503" t="inlineStr">
        <is>
          <t>ÅRJÄNG</t>
        </is>
      </c>
      <c r="G503" t="n">
        <v>0.9</v>
      </c>
      <c r="H503" t="n">
        <v>0</v>
      </c>
      <c r="I503" t="n">
        <v>0</v>
      </c>
      <c r="J503" t="n">
        <v>0</v>
      </c>
      <c r="K503" t="n">
        <v>0</v>
      </c>
      <c r="L503" t="n">
        <v>0</v>
      </c>
      <c r="M503" t="n">
        <v>0</v>
      </c>
      <c r="N503" t="n">
        <v>0</v>
      </c>
      <c r="O503" t="n">
        <v>0</v>
      </c>
      <c r="P503" t="n">
        <v>0</v>
      </c>
      <c r="Q503" t="n">
        <v>0</v>
      </c>
      <c r="R503" s="2" t="inlineStr"/>
    </row>
    <row r="504" ht="15" customHeight="1">
      <c r="A504" t="inlineStr">
        <is>
          <t>A 29146-2025</t>
        </is>
      </c>
      <c r="B504" s="1" t="n">
        <v>45821</v>
      </c>
      <c r="C504" s="1" t="n">
        <v>45924</v>
      </c>
      <c r="D504" t="inlineStr">
        <is>
          <t>VÄRMLANDS LÄN</t>
        </is>
      </c>
      <c r="E504" t="inlineStr">
        <is>
          <t>ÅRJÄNG</t>
        </is>
      </c>
      <c r="G504" t="n">
        <v>1.4</v>
      </c>
      <c r="H504" t="n">
        <v>0</v>
      </c>
      <c r="I504" t="n">
        <v>0</v>
      </c>
      <c r="J504" t="n">
        <v>0</v>
      </c>
      <c r="K504" t="n">
        <v>0</v>
      </c>
      <c r="L504" t="n">
        <v>0</v>
      </c>
      <c r="M504" t="n">
        <v>0</v>
      </c>
      <c r="N504" t="n">
        <v>0</v>
      </c>
      <c r="O504" t="n">
        <v>0</v>
      </c>
      <c r="P504" t="n">
        <v>0</v>
      </c>
      <c r="Q504" t="n">
        <v>0</v>
      </c>
      <c r="R504" s="2" t="inlineStr"/>
    </row>
    <row r="505" ht="15" customHeight="1">
      <c r="A505" t="inlineStr">
        <is>
          <t>A 29166-2025</t>
        </is>
      </c>
      <c r="B505" s="1" t="n">
        <v>45821.68682870371</v>
      </c>
      <c r="C505" s="1" t="n">
        <v>45924</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480-2025</t>
        </is>
      </c>
      <c r="B506" s="1" t="n">
        <v>45664</v>
      </c>
      <c r="C506" s="1" t="n">
        <v>45924</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29100-2025</t>
        </is>
      </c>
      <c r="B507" s="1" t="n">
        <v>45821</v>
      </c>
      <c r="C507" s="1" t="n">
        <v>45924</v>
      </c>
      <c r="D507" t="inlineStr">
        <is>
          <t>VÄRMLANDS LÄN</t>
        </is>
      </c>
      <c r="E507" t="inlineStr">
        <is>
          <t>ÅRJÄNG</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29139-2025</t>
        </is>
      </c>
      <c r="B508" s="1" t="n">
        <v>45821</v>
      </c>
      <c r="C508" s="1" t="n">
        <v>45924</v>
      </c>
      <c r="D508" t="inlineStr">
        <is>
          <t>VÄRMLANDS LÄN</t>
        </is>
      </c>
      <c r="E508" t="inlineStr">
        <is>
          <t>ÅRJÄNG</t>
        </is>
      </c>
      <c r="G508" t="n">
        <v>0.5</v>
      </c>
      <c r="H508" t="n">
        <v>0</v>
      </c>
      <c r="I508" t="n">
        <v>0</v>
      </c>
      <c r="J508" t="n">
        <v>0</v>
      </c>
      <c r="K508" t="n">
        <v>0</v>
      </c>
      <c r="L508" t="n">
        <v>0</v>
      </c>
      <c r="M508" t="n">
        <v>0</v>
      </c>
      <c r="N508" t="n">
        <v>0</v>
      </c>
      <c r="O508" t="n">
        <v>0</v>
      </c>
      <c r="P508" t="n">
        <v>0</v>
      </c>
      <c r="Q508" t="n">
        <v>0</v>
      </c>
      <c r="R508" s="2" t="inlineStr"/>
    </row>
    <row r="509" ht="15" customHeight="1">
      <c r="A509" t="inlineStr">
        <is>
          <t>A 28711-2025</t>
        </is>
      </c>
      <c r="B509" s="1" t="n">
        <v>45820.33701388889</v>
      </c>
      <c r="C509" s="1" t="n">
        <v>45924</v>
      </c>
      <c r="D509" t="inlineStr">
        <is>
          <t>VÄRMLANDS LÄN</t>
        </is>
      </c>
      <c r="E509" t="inlineStr">
        <is>
          <t>ÅRJÄNG</t>
        </is>
      </c>
      <c r="G509" t="n">
        <v>2</v>
      </c>
      <c r="H509" t="n">
        <v>0</v>
      </c>
      <c r="I509" t="n">
        <v>0</v>
      </c>
      <c r="J509" t="n">
        <v>0</v>
      </c>
      <c r="K509" t="n">
        <v>0</v>
      </c>
      <c r="L509" t="n">
        <v>0</v>
      </c>
      <c r="M509" t="n">
        <v>0</v>
      </c>
      <c r="N509" t="n">
        <v>0</v>
      </c>
      <c r="O509" t="n">
        <v>0</v>
      </c>
      <c r="P509" t="n">
        <v>0</v>
      </c>
      <c r="Q509" t="n">
        <v>0</v>
      </c>
      <c r="R509" s="2" t="inlineStr"/>
    </row>
    <row r="510" ht="15" customHeight="1">
      <c r="A510" t="inlineStr">
        <is>
          <t>A 7995-2025</t>
        </is>
      </c>
      <c r="B510" s="1" t="n">
        <v>45707.515625</v>
      </c>
      <c r="C510" s="1" t="n">
        <v>45924</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7996-2025</t>
        </is>
      </c>
      <c r="B511" s="1" t="n">
        <v>45707.52001157407</v>
      </c>
      <c r="C511" s="1" t="n">
        <v>45924</v>
      </c>
      <c r="D511" t="inlineStr">
        <is>
          <t>VÄRMLANDS LÄN</t>
        </is>
      </c>
      <c r="E511" t="inlineStr">
        <is>
          <t>ÅRJÄNG</t>
        </is>
      </c>
      <c r="G511" t="n">
        <v>7.3</v>
      </c>
      <c r="H511" t="n">
        <v>0</v>
      </c>
      <c r="I511" t="n">
        <v>0</v>
      </c>
      <c r="J511" t="n">
        <v>0</v>
      </c>
      <c r="K511" t="n">
        <v>0</v>
      </c>
      <c r="L511" t="n">
        <v>0</v>
      </c>
      <c r="M511" t="n">
        <v>0</v>
      </c>
      <c r="N511" t="n">
        <v>0</v>
      </c>
      <c r="O511" t="n">
        <v>0</v>
      </c>
      <c r="P511" t="n">
        <v>0</v>
      </c>
      <c r="Q511" t="n">
        <v>0</v>
      </c>
      <c r="R511" s="2" t="inlineStr"/>
    </row>
    <row r="512" ht="15" customHeight="1">
      <c r="A512" t="inlineStr">
        <is>
          <t>A 28992-2025</t>
        </is>
      </c>
      <c r="B512" s="1" t="n">
        <v>45821</v>
      </c>
      <c r="C512" s="1" t="n">
        <v>45924</v>
      </c>
      <c r="D512" t="inlineStr">
        <is>
          <t>VÄRMLANDS LÄN</t>
        </is>
      </c>
      <c r="E512" t="inlineStr">
        <is>
          <t>ÅRJÄNG</t>
        </is>
      </c>
      <c r="F512" t="inlineStr">
        <is>
          <t>Bergvik skog väst AB</t>
        </is>
      </c>
      <c r="G512" t="n">
        <v>2.2</v>
      </c>
      <c r="H512" t="n">
        <v>0</v>
      </c>
      <c r="I512" t="n">
        <v>0</v>
      </c>
      <c r="J512" t="n">
        <v>0</v>
      </c>
      <c r="K512" t="n">
        <v>0</v>
      </c>
      <c r="L512" t="n">
        <v>0</v>
      </c>
      <c r="M512" t="n">
        <v>0</v>
      </c>
      <c r="N512" t="n">
        <v>0</v>
      </c>
      <c r="O512" t="n">
        <v>0</v>
      </c>
      <c r="P512" t="n">
        <v>0</v>
      </c>
      <c r="Q512" t="n">
        <v>0</v>
      </c>
      <c r="R512" s="2" t="inlineStr"/>
    </row>
    <row r="513" ht="15" customHeight="1">
      <c r="A513" t="inlineStr">
        <is>
          <t>A 28874-2025</t>
        </is>
      </c>
      <c r="B513" s="1" t="n">
        <v>45820</v>
      </c>
      <c r="C513" s="1" t="n">
        <v>45924</v>
      </c>
      <c r="D513" t="inlineStr">
        <is>
          <t>VÄRMLANDS LÄN</t>
        </is>
      </c>
      <c r="E513" t="inlineStr">
        <is>
          <t>ÅRJÄNG</t>
        </is>
      </c>
      <c r="G513" t="n">
        <v>0.4</v>
      </c>
      <c r="H513" t="n">
        <v>0</v>
      </c>
      <c r="I513" t="n">
        <v>0</v>
      </c>
      <c r="J513" t="n">
        <v>0</v>
      </c>
      <c r="K513" t="n">
        <v>0</v>
      </c>
      <c r="L513" t="n">
        <v>0</v>
      </c>
      <c r="M513" t="n">
        <v>0</v>
      </c>
      <c r="N513" t="n">
        <v>0</v>
      </c>
      <c r="O513" t="n">
        <v>0</v>
      </c>
      <c r="P513" t="n">
        <v>0</v>
      </c>
      <c r="Q513" t="n">
        <v>0</v>
      </c>
      <c r="R513" s="2" t="inlineStr"/>
    </row>
    <row r="514" ht="15" customHeight="1">
      <c r="A514" t="inlineStr">
        <is>
          <t>A 28793-2025</t>
        </is>
      </c>
      <c r="B514" s="1" t="n">
        <v>45820.47452546296</v>
      </c>
      <c r="C514" s="1" t="n">
        <v>45924</v>
      </c>
      <c r="D514" t="inlineStr">
        <is>
          <t>VÄRMLANDS LÄN</t>
        </is>
      </c>
      <c r="E514" t="inlineStr">
        <is>
          <t>ÅRJÄNG</t>
        </is>
      </c>
      <c r="G514" t="n">
        <v>2.6</v>
      </c>
      <c r="H514" t="n">
        <v>0</v>
      </c>
      <c r="I514" t="n">
        <v>0</v>
      </c>
      <c r="J514" t="n">
        <v>0</v>
      </c>
      <c r="K514" t="n">
        <v>0</v>
      </c>
      <c r="L514" t="n">
        <v>0</v>
      </c>
      <c r="M514" t="n">
        <v>0</v>
      </c>
      <c r="N514" t="n">
        <v>0</v>
      </c>
      <c r="O514" t="n">
        <v>0</v>
      </c>
      <c r="P514" t="n">
        <v>0</v>
      </c>
      <c r="Q514" t="n">
        <v>0</v>
      </c>
      <c r="R514" s="2" t="inlineStr"/>
    </row>
    <row r="515" ht="15" customHeight="1">
      <c r="A515" t="inlineStr">
        <is>
          <t>A 28710-2025</t>
        </is>
      </c>
      <c r="B515" s="1" t="n">
        <v>45820.32953703704</v>
      </c>
      <c r="C515" s="1" t="n">
        <v>45924</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28797-2025</t>
        </is>
      </c>
      <c r="B516" s="1" t="n">
        <v>45820.48179398148</v>
      </c>
      <c r="C516" s="1" t="n">
        <v>45924</v>
      </c>
      <c r="D516" t="inlineStr">
        <is>
          <t>VÄRMLANDS LÄN</t>
        </is>
      </c>
      <c r="E516" t="inlineStr">
        <is>
          <t>ÅRJÄNG</t>
        </is>
      </c>
      <c r="G516" t="n">
        <v>3</v>
      </c>
      <c r="H516" t="n">
        <v>0</v>
      </c>
      <c r="I516" t="n">
        <v>0</v>
      </c>
      <c r="J516" t="n">
        <v>0</v>
      </c>
      <c r="K516" t="n">
        <v>0</v>
      </c>
      <c r="L516" t="n">
        <v>0</v>
      </c>
      <c r="M516" t="n">
        <v>0</v>
      </c>
      <c r="N516" t="n">
        <v>0</v>
      </c>
      <c r="O516" t="n">
        <v>0</v>
      </c>
      <c r="P516" t="n">
        <v>0</v>
      </c>
      <c r="Q516" t="n">
        <v>0</v>
      </c>
      <c r="R516" s="2" t="inlineStr"/>
    </row>
    <row r="517" ht="15" customHeight="1">
      <c r="A517" t="inlineStr">
        <is>
          <t>A 32367-2023</t>
        </is>
      </c>
      <c r="B517" s="1" t="n">
        <v>45120.57167824074</v>
      </c>
      <c r="C517" s="1" t="n">
        <v>45924</v>
      </c>
      <c r="D517" t="inlineStr">
        <is>
          <t>VÄRMLANDS LÄN</t>
        </is>
      </c>
      <c r="E517" t="inlineStr">
        <is>
          <t>ÅRJÄNG</t>
        </is>
      </c>
      <c r="G517" t="n">
        <v>2.8</v>
      </c>
      <c r="H517" t="n">
        <v>0</v>
      </c>
      <c r="I517" t="n">
        <v>0</v>
      </c>
      <c r="J517" t="n">
        <v>0</v>
      </c>
      <c r="K517" t="n">
        <v>0</v>
      </c>
      <c r="L517" t="n">
        <v>0</v>
      </c>
      <c r="M517" t="n">
        <v>0</v>
      </c>
      <c r="N517" t="n">
        <v>0</v>
      </c>
      <c r="O517" t="n">
        <v>0</v>
      </c>
      <c r="P517" t="n">
        <v>0</v>
      </c>
      <c r="Q517" t="n">
        <v>0</v>
      </c>
      <c r="R517" s="2" t="inlineStr"/>
    </row>
    <row r="518" ht="15" customHeight="1">
      <c r="A518" t="inlineStr">
        <is>
          <t>A 29007-2025</t>
        </is>
      </c>
      <c r="B518" s="1" t="n">
        <v>45821</v>
      </c>
      <c r="C518" s="1" t="n">
        <v>45924</v>
      </c>
      <c r="D518" t="inlineStr">
        <is>
          <t>VÄRMLANDS LÄN</t>
        </is>
      </c>
      <c r="E518" t="inlineStr">
        <is>
          <t>ÅRJÄNG</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32373-2023</t>
        </is>
      </c>
      <c r="B519" s="1" t="n">
        <v>45120.58025462963</v>
      </c>
      <c r="C519" s="1" t="n">
        <v>45924</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11793-2023</t>
        </is>
      </c>
      <c r="B520" s="1" t="n">
        <v>44993</v>
      </c>
      <c r="C520" s="1" t="n">
        <v>45924</v>
      </c>
      <c r="D520" t="inlineStr">
        <is>
          <t>VÄRMLANDS LÄN</t>
        </is>
      </c>
      <c r="E520" t="inlineStr">
        <is>
          <t>ÅRJÄNG</t>
        </is>
      </c>
      <c r="G520" t="n">
        <v>1.7</v>
      </c>
      <c r="H520" t="n">
        <v>0</v>
      </c>
      <c r="I520" t="n">
        <v>0</v>
      </c>
      <c r="J520" t="n">
        <v>0</v>
      </c>
      <c r="K520" t="n">
        <v>0</v>
      </c>
      <c r="L520" t="n">
        <v>0</v>
      </c>
      <c r="M520" t="n">
        <v>0</v>
      </c>
      <c r="N520" t="n">
        <v>0</v>
      </c>
      <c r="O520" t="n">
        <v>0</v>
      </c>
      <c r="P520" t="n">
        <v>0</v>
      </c>
      <c r="Q520" t="n">
        <v>0</v>
      </c>
      <c r="R520" s="2" t="inlineStr"/>
    </row>
    <row r="521" ht="15" customHeight="1">
      <c r="A521" t="inlineStr">
        <is>
          <t>A 56314-2024</t>
        </is>
      </c>
      <c r="B521" s="1" t="n">
        <v>45624.72149305556</v>
      </c>
      <c r="C521" s="1" t="n">
        <v>45924</v>
      </c>
      <c r="D521" t="inlineStr">
        <is>
          <t>VÄRMLANDS LÄN</t>
        </is>
      </c>
      <c r="E521" t="inlineStr">
        <is>
          <t>ÅRJÄNG</t>
        </is>
      </c>
      <c r="G521" t="n">
        <v>0.5</v>
      </c>
      <c r="H521" t="n">
        <v>0</v>
      </c>
      <c r="I521" t="n">
        <v>0</v>
      </c>
      <c r="J521" t="n">
        <v>0</v>
      </c>
      <c r="K521" t="n">
        <v>0</v>
      </c>
      <c r="L521" t="n">
        <v>0</v>
      </c>
      <c r="M521" t="n">
        <v>0</v>
      </c>
      <c r="N521" t="n">
        <v>0</v>
      </c>
      <c r="O521" t="n">
        <v>0</v>
      </c>
      <c r="P521" t="n">
        <v>0</v>
      </c>
      <c r="Q521" t="n">
        <v>0</v>
      </c>
      <c r="R521" s="2" t="inlineStr"/>
    </row>
    <row r="522" ht="15" customHeight="1">
      <c r="A522" t="inlineStr">
        <is>
          <t>A 56333-2024</t>
        </is>
      </c>
      <c r="B522" s="1" t="n">
        <v>45624.8005324074</v>
      </c>
      <c r="C522" s="1" t="n">
        <v>45924</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29026-2025</t>
        </is>
      </c>
      <c r="B523" s="1" t="n">
        <v>45821</v>
      </c>
      <c r="C523" s="1" t="n">
        <v>45924</v>
      </c>
      <c r="D523" t="inlineStr">
        <is>
          <t>VÄRMLANDS LÄN</t>
        </is>
      </c>
      <c r="E523" t="inlineStr">
        <is>
          <t>ÅRJÄNG</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29169-2025</t>
        </is>
      </c>
      <c r="B524" s="1" t="n">
        <v>45821.69650462963</v>
      </c>
      <c r="C524" s="1" t="n">
        <v>45924</v>
      </c>
      <c r="D524" t="inlineStr">
        <is>
          <t>VÄRMLANDS LÄN</t>
        </is>
      </c>
      <c r="E524" t="inlineStr">
        <is>
          <t>ÅRJÄNG</t>
        </is>
      </c>
      <c r="G524" t="n">
        <v>3.6</v>
      </c>
      <c r="H524" t="n">
        <v>0</v>
      </c>
      <c r="I524" t="n">
        <v>0</v>
      </c>
      <c r="J524" t="n">
        <v>0</v>
      </c>
      <c r="K524" t="n">
        <v>0</v>
      </c>
      <c r="L524" t="n">
        <v>0</v>
      </c>
      <c r="M524" t="n">
        <v>0</v>
      </c>
      <c r="N524" t="n">
        <v>0</v>
      </c>
      <c r="O524" t="n">
        <v>0</v>
      </c>
      <c r="P524" t="n">
        <v>0</v>
      </c>
      <c r="Q524" t="n">
        <v>0</v>
      </c>
      <c r="R524" s="2" t="inlineStr"/>
    </row>
    <row r="525" ht="15" customHeight="1">
      <c r="A525" t="inlineStr">
        <is>
          <t>A 29082-2025</t>
        </is>
      </c>
      <c r="B525" s="1" t="n">
        <v>45821</v>
      </c>
      <c r="C525" s="1" t="n">
        <v>45924</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14446-2025</t>
        </is>
      </c>
      <c r="B526" s="1" t="n">
        <v>45741.53552083333</v>
      </c>
      <c r="C526" s="1" t="n">
        <v>45924</v>
      </c>
      <c r="D526" t="inlineStr">
        <is>
          <t>VÄRMLANDS LÄN</t>
        </is>
      </c>
      <c r="E526" t="inlineStr">
        <is>
          <t>ÅRJÄNG</t>
        </is>
      </c>
      <c r="G526" t="n">
        <v>4.3</v>
      </c>
      <c r="H526" t="n">
        <v>0</v>
      </c>
      <c r="I526" t="n">
        <v>0</v>
      </c>
      <c r="J526" t="n">
        <v>0</v>
      </c>
      <c r="K526" t="n">
        <v>0</v>
      </c>
      <c r="L526" t="n">
        <v>0</v>
      </c>
      <c r="M526" t="n">
        <v>0</v>
      </c>
      <c r="N526" t="n">
        <v>0</v>
      </c>
      <c r="O526" t="n">
        <v>0</v>
      </c>
      <c r="P526" t="n">
        <v>0</v>
      </c>
      <c r="Q526" t="n">
        <v>0</v>
      </c>
      <c r="R526" s="2" t="inlineStr"/>
    </row>
    <row r="527" ht="15" customHeight="1">
      <c r="A527" t="inlineStr">
        <is>
          <t>A 28948-2025</t>
        </is>
      </c>
      <c r="B527" s="1" t="n">
        <v>45820</v>
      </c>
      <c r="C527" s="1" t="n">
        <v>45924</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28949-2025</t>
        </is>
      </c>
      <c r="B528" s="1" t="n">
        <v>45820</v>
      </c>
      <c r="C528" s="1" t="n">
        <v>45924</v>
      </c>
      <c r="D528" t="inlineStr">
        <is>
          <t>VÄRMLANDS LÄN</t>
        </is>
      </c>
      <c r="E528" t="inlineStr">
        <is>
          <t>ÅRJÄNG</t>
        </is>
      </c>
      <c r="G528" t="n">
        <v>0.3</v>
      </c>
      <c r="H528" t="n">
        <v>0</v>
      </c>
      <c r="I528" t="n">
        <v>0</v>
      </c>
      <c r="J528" t="n">
        <v>0</v>
      </c>
      <c r="K528" t="n">
        <v>0</v>
      </c>
      <c r="L528" t="n">
        <v>0</v>
      </c>
      <c r="M528" t="n">
        <v>0</v>
      </c>
      <c r="N528" t="n">
        <v>0</v>
      </c>
      <c r="O528" t="n">
        <v>0</v>
      </c>
      <c r="P528" t="n">
        <v>0</v>
      </c>
      <c r="Q528" t="n">
        <v>0</v>
      </c>
      <c r="R528" s="2" t="inlineStr"/>
    </row>
    <row r="529" ht="15" customHeight="1">
      <c r="A529" t="inlineStr">
        <is>
          <t>A 99-2025</t>
        </is>
      </c>
      <c r="B529" s="1" t="n">
        <v>45649</v>
      </c>
      <c r="C529" s="1" t="n">
        <v>45924</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28790-2025</t>
        </is>
      </c>
      <c r="B530" s="1" t="n">
        <v>45820.47377314815</v>
      </c>
      <c r="C530" s="1" t="n">
        <v>45924</v>
      </c>
      <c r="D530" t="inlineStr">
        <is>
          <t>VÄRMLANDS LÄN</t>
        </is>
      </c>
      <c r="E530" t="inlineStr">
        <is>
          <t>ÅRJÄNG</t>
        </is>
      </c>
      <c r="G530" t="n">
        <v>2.6</v>
      </c>
      <c r="H530" t="n">
        <v>0</v>
      </c>
      <c r="I530" t="n">
        <v>0</v>
      </c>
      <c r="J530" t="n">
        <v>0</v>
      </c>
      <c r="K530" t="n">
        <v>0</v>
      </c>
      <c r="L530" t="n">
        <v>0</v>
      </c>
      <c r="M530" t="n">
        <v>0</v>
      </c>
      <c r="N530" t="n">
        <v>0</v>
      </c>
      <c r="O530" t="n">
        <v>0</v>
      </c>
      <c r="P530" t="n">
        <v>0</v>
      </c>
      <c r="Q530" t="n">
        <v>0</v>
      </c>
      <c r="R530" s="2" t="inlineStr"/>
    </row>
    <row r="531" ht="15" customHeight="1">
      <c r="A531" t="inlineStr">
        <is>
          <t>A 28384-2022</t>
        </is>
      </c>
      <c r="B531" s="1" t="n">
        <v>44747</v>
      </c>
      <c r="C531" s="1" t="n">
        <v>45924</v>
      </c>
      <c r="D531" t="inlineStr">
        <is>
          <t>VÄRMLANDS LÄN</t>
        </is>
      </c>
      <c r="E531" t="inlineStr">
        <is>
          <t>ÅRJÄNG</t>
        </is>
      </c>
      <c r="F531" t="inlineStr">
        <is>
          <t>Naturvårdsverket</t>
        </is>
      </c>
      <c r="G531" t="n">
        <v>1.7</v>
      </c>
      <c r="H531" t="n">
        <v>0</v>
      </c>
      <c r="I531" t="n">
        <v>0</v>
      </c>
      <c r="J531" t="n">
        <v>0</v>
      </c>
      <c r="K531" t="n">
        <v>0</v>
      </c>
      <c r="L531" t="n">
        <v>0</v>
      </c>
      <c r="M531" t="n">
        <v>0</v>
      </c>
      <c r="N531" t="n">
        <v>0</v>
      </c>
      <c r="O531" t="n">
        <v>0</v>
      </c>
      <c r="P531" t="n">
        <v>0</v>
      </c>
      <c r="Q531" t="n">
        <v>0</v>
      </c>
      <c r="R531" s="2" t="inlineStr"/>
    </row>
    <row r="532" ht="15" customHeight="1">
      <c r="A532" t="inlineStr">
        <is>
          <t>A 29138-2025</t>
        </is>
      </c>
      <c r="B532" s="1" t="n">
        <v>45821</v>
      </c>
      <c r="C532" s="1" t="n">
        <v>45924</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59887-2023</t>
        </is>
      </c>
      <c r="B533" s="1" t="n">
        <v>45257.59917824074</v>
      </c>
      <c r="C533" s="1" t="n">
        <v>45924</v>
      </c>
      <c r="D533" t="inlineStr">
        <is>
          <t>VÄRMLANDS LÄN</t>
        </is>
      </c>
      <c r="E533" t="inlineStr">
        <is>
          <t>ÅRJÄNG</t>
        </is>
      </c>
      <c r="G533" t="n">
        <v>3.9</v>
      </c>
      <c r="H533" t="n">
        <v>0</v>
      </c>
      <c r="I533" t="n">
        <v>0</v>
      </c>
      <c r="J533" t="n">
        <v>0</v>
      </c>
      <c r="K533" t="n">
        <v>0</v>
      </c>
      <c r="L533" t="n">
        <v>0</v>
      </c>
      <c r="M533" t="n">
        <v>0</v>
      </c>
      <c r="N533" t="n">
        <v>0</v>
      </c>
      <c r="O533" t="n">
        <v>0</v>
      </c>
      <c r="P533" t="n">
        <v>0</v>
      </c>
      <c r="Q533" t="n">
        <v>0</v>
      </c>
      <c r="R533" s="2" t="inlineStr"/>
    </row>
    <row r="534" ht="15" customHeight="1">
      <c r="A534" t="inlineStr">
        <is>
          <t>A 29783-2025</t>
        </is>
      </c>
      <c r="B534" s="1" t="n">
        <v>45825</v>
      </c>
      <c r="C534" s="1" t="n">
        <v>45924</v>
      </c>
      <c r="D534" t="inlineStr">
        <is>
          <t>VÄRMLANDS LÄN</t>
        </is>
      </c>
      <c r="E534" t="inlineStr">
        <is>
          <t>ÅRJÄNG</t>
        </is>
      </c>
      <c r="G534" t="n">
        <v>3</v>
      </c>
      <c r="H534" t="n">
        <v>0</v>
      </c>
      <c r="I534" t="n">
        <v>0</v>
      </c>
      <c r="J534" t="n">
        <v>0</v>
      </c>
      <c r="K534" t="n">
        <v>0</v>
      </c>
      <c r="L534" t="n">
        <v>0</v>
      </c>
      <c r="M534" t="n">
        <v>0</v>
      </c>
      <c r="N534" t="n">
        <v>0</v>
      </c>
      <c r="O534" t="n">
        <v>0</v>
      </c>
      <c r="P534" t="n">
        <v>0</v>
      </c>
      <c r="Q534" t="n">
        <v>0</v>
      </c>
      <c r="R534" s="2" t="inlineStr"/>
    </row>
    <row r="535" ht="15" customHeight="1">
      <c r="A535" t="inlineStr">
        <is>
          <t>A 29624-2025</t>
        </is>
      </c>
      <c r="B535" s="1" t="n">
        <v>45825.44246527777</v>
      </c>
      <c r="C535" s="1" t="n">
        <v>45924</v>
      </c>
      <c r="D535" t="inlineStr">
        <is>
          <t>VÄRMLANDS LÄN</t>
        </is>
      </c>
      <c r="E535" t="inlineStr">
        <is>
          <t>ÅRJÄNG</t>
        </is>
      </c>
      <c r="G535" t="n">
        <v>6.2</v>
      </c>
      <c r="H535" t="n">
        <v>0</v>
      </c>
      <c r="I535" t="n">
        <v>0</v>
      </c>
      <c r="J535" t="n">
        <v>0</v>
      </c>
      <c r="K535" t="n">
        <v>0</v>
      </c>
      <c r="L535" t="n">
        <v>0</v>
      </c>
      <c r="M535" t="n">
        <v>0</v>
      </c>
      <c r="N535" t="n">
        <v>0</v>
      </c>
      <c r="O535" t="n">
        <v>0</v>
      </c>
      <c r="P535" t="n">
        <v>0</v>
      </c>
      <c r="Q535" t="n">
        <v>0</v>
      </c>
      <c r="R535" s="2" t="inlineStr"/>
    </row>
    <row r="536" ht="15" customHeight="1">
      <c r="A536" t="inlineStr">
        <is>
          <t>A 27045-2021</t>
        </is>
      </c>
      <c r="B536" s="1" t="n">
        <v>44350.43223379629</v>
      </c>
      <c r="C536" s="1" t="n">
        <v>45924</v>
      </c>
      <c r="D536" t="inlineStr">
        <is>
          <t>VÄRMLANDS LÄN</t>
        </is>
      </c>
      <c r="E536" t="inlineStr">
        <is>
          <t>ÅRJÄNG</t>
        </is>
      </c>
      <c r="G536" t="n">
        <v>2</v>
      </c>
      <c r="H536" t="n">
        <v>0</v>
      </c>
      <c r="I536" t="n">
        <v>0</v>
      </c>
      <c r="J536" t="n">
        <v>0</v>
      </c>
      <c r="K536" t="n">
        <v>0</v>
      </c>
      <c r="L536" t="n">
        <v>0</v>
      </c>
      <c r="M536" t="n">
        <v>0</v>
      </c>
      <c r="N536" t="n">
        <v>0</v>
      </c>
      <c r="O536" t="n">
        <v>0</v>
      </c>
      <c r="P536" t="n">
        <v>0</v>
      </c>
      <c r="Q536" t="n">
        <v>0</v>
      </c>
      <c r="R536" s="2" t="inlineStr"/>
    </row>
    <row r="537" ht="15" customHeight="1">
      <c r="A537" t="inlineStr">
        <is>
          <t>A 12687-2025</t>
        </is>
      </c>
      <c r="B537" s="1" t="n">
        <v>45733.44953703704</v>
      </c>
      <c r="C537" s="1" t="n">
        <v>45924</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15951-2025</t>
        </is>
      </c>
      <c r="B538" s="1" t="n">
        <v>45749</v>
      </c>
      <c r="C538" s="1" t="n">
        <v>45924</v>
      </c>
      <c r="D538" t="inlineStr">
        <is>
          <t>VÄRMLANDS LÄN</t>
        </is>
      </c>
      <c r="E538" t="inlineStr">
        <is>
          <t>ÅRJÄNG</t>
        </is>
      </c>
      <c r="F538" t="inlineStr">
        <is>
          <t>Bergvik skog väst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29208-2025</t>
        </is>
      </c>
      <c r="B539" s="1" t="n">
        <v>45823.80380787037</v>
      </c>
      <c r="C539" s="1" t="n">
        <v>45924</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58014-2022</t>
        </is>
      </c>
      <c r="B540" s="1" t="n">
        <v>44893</v>
      </c>
      <c r="C540" s="1" t="n">
        <v>45924</v>
      </c>
      <c r="D540" t="inlineStr">
        <is>
          <t>VÄRMLANDS LÄN</t>
        </is>
      </c>
      <c r="E540" t="inlineStr">
        <is>
          <t>ÅRJÄNG</t>
        </is>
      </c>
      <c r="G540" t="n">
        <v>1.9</v>
      </c>
      <c r="H540" t="n">
        <v>0</v>
      </c>
      <c r="I540" t="n">
        <v>0</v>
      </c>
      <c r="J540" t="n">
        <v>0</v>
      </c>
      <c r="K540" t="n">
        <v>0</v>
      </c>
      <c r="L540" t="n">
        <v>0</v>
      </c>
      <c r="M540" t="n">
        <v>0</v>
      </c>
      <c r="N540" t="n">
        <v>0</v>
      </c>
      <c r="O540" t="n">
        <v>0</v>
      </c>
      <c r="P540" t="n">
        <v>0</v>
      </c>
      <c r="Q540" t="n">
        <v>0</v>
      </c>
      <c r="R540" s="2" t="inlineStr"/>
    </row>
    <row r="541" ht="15" customHeight="1">
      <c r="A541" t="inlineStr">
        <is>
          <t>A 57126-2024</t>
        </is>
      </c>
      <c r="B541" s="1" t="n">
        <v>45629.37579861111</v>
      </c>
      <c r="C541" s="1" t="n">
        <v>45924</v>
      </c>
      <c r="D541" t="inlineStr">
        <is>
          <t>VÄRMLANDS LÄN</t>
        </is>
      </c>
      <c r="E541" t="inlineStr">
        <is>
          <t>ÅRJÄNG</t>
        </is>
      </c>
      <c r="G541" t="n">
        <v>1.4</v>
      </c>
      <c r="H541" t="n">
        <v>0</v>
      </c>
      <c r="I541" t="n">
        <v>0</v>
      </c>
      <c r="J541" t="n">
        <v>0</v>
      </c>
      <c r="K541" t="n">
        <v>0</v>
      </c>
      <c r="L541" t="n">
        <v>0</v>
      </c>
      <c r="M541" t="n">
        <v>0</v>
      </c>
      <c r="N541" t="n">
        <v>0</v>
      </c>
      <c r="O541" t="n">
        <v>0</v>
      </c>
      <c r="P541" t="n">
        <v>0</v>
      </c>
      <c r="Q541" t="n">
        <v>0</v>
      </c>
      <c r="R541" s="2" t="inlineStr"/>
    </row>
    <row r="542" ht="15" customHeight="1">
      <c r="A542" t="inlineStr">
        <is>
          <t>A 40458-2023</t>
        </is>
      </c>
      <c r="B542" s="1" t="n">
        <v>45170.32993055556</v>
      </c>
      <c r="C542" s="1" t="n">
        <v>45924</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3729-2025</t>
        </is>
      </c>
      <c r="B543" s="1" t="n">
        <v>45681.5497800926</v>
      </c>
      <c r="C543" s="1" t="n">
        <v>45924</v>
      </c>
      <c r="D543" t="inlineStr">
        <is>
          <t>VÄRMLANDS LÄN</t>
        </is>
      </c>
      <c r="E543" t="inlineStr">
        <is>
          <t>ÅRJÄNG</t>
        </is>
      </c>
      <c r="G543" t="n">
        <v>1.9</v>
      </c>
      <c r="H543" t="n">
        <v>0</v>
      </c>
      <c r="I543" t="n">
        <v>0</v>
      </c>
      <c r="J543" t="n">
        <v>0</v>
      </c>
      <c r="K543" t="n">
        <v>0</v>
      </c>
      <c r="L543" t="n">
        <v>0</v>
      </c>
      <c r="M543" t="n">
        <v>0</v>
      </c>
      <c r="N543" t="n">
        <v>0</v>
      </c>
      <c r="O543" t="n">
        <v>0</v>
      </c>
      <c r="P543" t="n">
        <v>0</v>
      </c>
      <c r="Q543" t="n">
        <v>0</v>
      </c>
      <c r="R543" s="2" t="inlineStr"/>
    </row>
    <row r="544" ht="15" customHeight="1">
      <c r="A544" t="inlineStr">
        <is>
          <t>A 5342-2022</t>
        </is>
      </c>
      <c r="B544" s="1" t="n">
        <v>44594.72582175926</v>
      </c>
      <c r="C544" s="1" t="n">
        <v>45924</v>
      </c>
      <c r="D544" t="inlineStr">
        <is>
          <t>VÄRMLANDS LÄN</t>
        </is>
      </c>
      <c r="E544" t="inlineStr">
        <is>
          <t>ÅRJÄNG</t>
        </is>
      </c>
      <c r="G544" t="n">
        <v>1.5</v>
      </c>
      <c r="H544" t="n">
        <v>0</v>
      </c>
      <c r="I544" t="n">
        <v>0</v>
      </c>
      <c r="J544" t="n">
        <v>0</v>
      </c>
      <c r="K544" t="n">
        <v>0</v>
      </c>
      <c r="L544" t="n">
        <v>0</v>
      </c>
      <c r="M544" t="n">
        <v>0</v>
      </c>
      <c r="N544" t="n">
        <v>0</v>
      </c>
      <c r="O544" t="n">
        <v>0</v>
      </c>
      <c r="P544" t="n">
        <v>0</v>
      </c>
      <c r="Q544" t="n">
        <v>0</v>
      </c>
      <c r="R544" s="2" t="inlineStr"/>
    </row>
    <row r="545" ht="15" customHeight="1">
      <c r="A545" t="inlineStr">
        <is>
          <t>A 2222-2023</t>
        </is>
      </c>
      <c r="B545" s="1" t="n">
        <v>44942.4250462963</v>
      </c>
      <c r="C545" s="1" t="n">
        <v>45924</v>
      </c>
      <c r="D545" t="inlineStr">
        <is>
          <t>VÄRMLANDS LÄN</t>
        </is>
      </c>
      <c r="E545" t="inlineStr">
        <is>
          <t>ÅRJÄNG</t>
        </is>
      </c>
      <c r="G545" t="n">
        <v>5.7</v>
      </c>
      <c r="H545" t="n">
        <v>0</v>
      </c>
      <c r="I545" t="n">
        <v>0</v>
      </c>
      <c r="J545" t="n">
        <v>0</v>
      </c>
      <c r="K545" t="n">
        <v>0</v>
      </c>
      <c r="L545" t="n">
        <v>0</v>
      </c>
      <c r="M545" t="n">
        <v>0</v>
      </c>
      <c r="N545" t="n">
        <v>0</v>
      </c>
      <c r="O545" t="n">
        <v>0</v>
      </c>
      <c r="P545" t="n">
        <v>0</v>
      </c>
      <c r="Q545" t="n">
        <v>0</v>
      </c>
      <c r="R545" s="2" t="inlineStr"/>
    </row>
    <row r="546" ht="15" customHeight="1">
      <c r="A546" t="inlineStr">
        <is>
          <t>A 30134-2025</t>
        </is>
      </c>
      <c r="B546" s="1" t="n">
        <v>45826</v>
      </c>
      <c r="C546" s="1" t="n">
        <v>45924</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13481-2025</t>
        </is>
      </c>
      <c r="B547" s="1" t="n">
        <v>45736</v>
      </c>
      <c r="C547" s="1" t="n">
        <v>45924</v>
      </c>
      <c r="D547" t="inlineStr">
        <is>
          <t>VÄRMLANDS LÄN</t>
        </is>
      </c>
      <c r="E547" t="inlineStr">
        <is>
          <t>ÅRJÄNG</t>
        </is>
      </c>
      <c r="G547" t="n">
        <v>5.2</v>
      </c>
      <c r="H547" t="n">
        <v>0</v>
      </c>
      <c r="I547" t="n">
        <v>0</v>
      </c>
      <c r="J547" t="n">
        <v>0</v>
      </c>
      <c r="K547" t="n">
        <v>0</v>
      </c>
      <c r="L547" t="n">
        <v>0</v>
      </c>
      <c r="M547" t="n">
        <v>0</v>
      </c>
      <c r="N547" t="n">
        <v>0</v>
      </c>
      <c r="O547" t="n">
        <v>0</v>
      </c>
      <c r="P547" t="n">
        <v>0</v>
      </c>
      <c r="Q547" t="n">
        <v>0</v>
      </c>
      <c r="R547" s="2" t="inlineStr"/>
    </row>
    <row r="548" ht="15" customHeight="1">
      <c r="A548" t="inlineStr">
        <is>
          <t>A 13504-2025</t>
        </is>
      </c>
      <c r="B548" s="1" t="n">
        <v>45736.46400462963</v>
      </c>
      <c r="C548" s="1" t="n">
        <v>45924</v>
      </c>
      <c r="D548" t="inlineStr">
        <is>
          <t>VÄRMLANDS LÄN</t>
        </is>
      </c>
      <c r="E548" t="inlineStr">
        <is>
          <t>ÅRJÄNG</t>
        </is>
      </c>
      <c r="G548" t="n">
        <v>7.2</v>
      </c>
      <c r="H548" t="n">
        <v>0</v>
      </c>
      <c r="I548" t="n">
        <v>0</v>
      </c>
      <c r="J548" t="n">
        <v>0</v>
      </c>
      <c r="K548" t="n">
        <v>0</v>
      </c>
      <c r="L548" t="n">
        <v>0</v>
      </c>
      <c r="M548" t="n">
        <v>0</v>
      </c>
      <c r="N548" t="n">
        <v>0</v>
      </c>
      <c r="O548" t="n">
        <v>0</v>
      </c>
      <c r="P548" t="n">
        <v>0</v>
      </c>
      <c r="Q548" t="n">
        <v>0</v>
      </c>
      <c r="R548" s="2" t="inlineStr"/>
    </row>
    <row r="549" ht="15" customHeight="1">
      <c r="A549" t="inlineStr">
        <is>
          <t>A 14917-2024</t>
        </is>
      </c>
      <c r="B549" s="1" t="n">
        <v>45398</v>
      </c>
      <c r="C549" s="1" t="n">
        <v>45924</v>
      </c>
      <c r="D549" t="inlineStr">
        <is>
          <t>VÄRMLANDS LÄN</t>
        </is>
      </c>
      <c r="E549" t="inlineStr">
        <is>
          <t>ÅRJÄNG</t>
        </is>
      </c>
      <c r="G549" t="n">
        <v>19.9</v>
      </c>
      <c r="H549" t="n">
        <v>0</v>
      </c>
      <c r="I549" t="n">
        <v>0</v>
      </c>
      <c r="J549" t="n">
        <v>0</v>
      </c>
      <c r="K549" t="n">
        <v>0</v>
      </c>
      <c r="L549" t="n">
        <v>0</v>
      </c>
      <c r="M549" t="n">
        <v>0</v>
      </c>
      <c r="N549" t="n">
        <v>0</v>
      </c>
      <c r="O549" t="n">
        <v>0</v>
      </c>
      <c r="P549" t="n">
        <v>0</v>
      </c>
      <c r="Q549" t="n">
        <v>0</v>
      </c>
      <c r="R549" s="2" t="inlineStr"/>
    </row>
    <row r="550" ht="15" customHeight="1">
      <c r="A550" t="inlineStr">
        <is>
          <t>A 50388-2024</t>
        </is>
      </c>
      <c r="B550" s="1" t="n">
        <v>45600</v>
      </c>
      <c r="C550" s="1" t="n">
        <v>45924</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15210-2025</t>
        </is>
      </c>
      <c r="B551" s="1" t="n">
        <v>45744</v>
      </c>
      <c r="C551" s="1" t="n">
        <v>45924</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40360-2024</t>
        </is>
      </c>
      <c r="B552" s="1" t="n">
        <v>45555</v>
      </c>
      <c r="C552" s="1" t="n">
        <v>45924</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11815-2025</t>
        </is>
      </c>
      <c r="B553" s="1" t="n">
        <v>45728.28719907408</v>
      </c>
      <c r="C553" s="1" t="n">
        <v>45924</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30604-2025</t>
        </is>
      </c>
      <c r="B554" s="1" t="n">
        <v>45831.45185185185</v>
      </c>
      <c r="C554" s="1" t="n">
        <v>45924</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31111-2025</t>
        </is>
      </c>
      <c r="B555" s="1" t="n">
        <v>45831</v>
      </c>
      <c r="C555" s="1" t="n">
        <v>45924</v>
      </c>
      <c r="D555" t="inlineStr">
        <is>
          <t>VÄRMLANDS LÄN</t>
        </is>
      </c>
      <c r="E555" t="inlineStr">
        <is>
          <t>ÅRJÄNG</t>
        </is>
      </c>
      <c r="G555" t="n">
        <v>6</v>
      </c>
      <c r="H555" t="n">
        <v>0</v>
      </c>
      <c r="I555" t="n">
        <v>0</v>
      </c>
      <c r="J555" t="n">
        <v>0</v>
      </c>
      <c r="K555" t="n">
        <v>0</v>
      </c>
      <c r="L555" t="n">
        <v>0</v>
      </c>
      <c r="M555" t="n">
        <v>0</v>
      </c>
      <c r="N555" t="n">
        <v>0</v>
      </c>
      <c r="O555" t="n">
        <v>0</v>
      </c>
      <c r="P555" t="n">
        <v>0</v>
      </c>
      <c r="Q555" t="n">
        <v>0</v>
      </c>
      <c r="R555" s="2" t="inlineStr"/>
    </row>
    <row r="556" ht="15" customHeight="1">
      <c r="A556" t="inlineStr">
        <is>
          <t>A 15718-2023</t>
        </is>
      </c>
      <c r="B556" s="1" t="n">
        <v>45021.55432870371</v>
      </c>
      <c r="C556" s="1" t="n">
        <v>45924</v>
      </c>
      <c r="D556" t="inlineStr">
        <is>
          <t>VÄRMLANDS LÄN</t>
        </is>
      </c>
      <c r="E556" t="inlineStr">
        <is>
          <t>ÅRJÄNG</t>
        </is>
      </c>
      <c r="G556" t="n">
        <v>2.9</v>
      </c>
      <c r="H556" t="n">
        <v>0</v>
      </c>
      <c r="I556" t="n">
        <v>0</v>
      </c>
      <c r="J556" t="n">
        <v>0</v>
      </c>
      <c r="K556" t="n">
        <v>0</v>
      </c>
      <c r="L556" t="n">
        <v>0</v>
      </c>
      <c r="M556" t="n">
        <v>0</v>
      </c>
      <c r="N556" t="n">
        <v>0</v>
      </c>
      <c r="O556" t="n">
        <v>0</v>
      </c>
      <c r="P556" t="n">
        <v>0</v>
      </c>
      <c r="Q556" t="n">
        <v>0</v>
      </c>
      <c r="R556" s="2" t="inlineStr"/>
    </row>
    <row r="557" ht="15" customHeight="1">
      <c r="A557" t="inlineStr">
        <is>
          <t>A 30579-2025</t>
        </is>
      </c>
      <c r="B557" s="1" t="n">
        <v>45831.41965277777</v>
      </c>
      <c r="C557" s="1" t="n">
        <v>45924</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46957-2024</t>
        </is>
      </c>
      <c r="B558" s="1" t="n">
        <v>45586</v>
      </c>
      <c r="C558" s="1" t="n">
        <v>45924</v>
      </c>
      <c r="D558" t="inlineStr">
        <is>
          <t>VÄRMLANDS LÄN</t>
        </is>
      </c>
      <c r="E558" t="inlineStr">
        <is>
          <t>ÅRJÄNG</t>
        </is>
      </c>
      <c r="G558" t="n">
        <v>3.1</v>
      </c>
      <c r="H558" t="n">
        <v>0</v>
      </c>
      <c r="I558" t="n">
        <v>0</v>
      </c>
      <c r="J558" t="n">
        <v>0</v>
      </c>
      <c r="K558" t="n">
        <v>0</v>
      </c>
      <c r="L558" t="n">
        <v>0</v>
      </c>
      <c r="M558" t="n">
        <v>0</v>
      </c>
      <c r="N558" t="n">
        <v>0</v>
      </c>
      <c r="O558" t="n">
        <v>0</v>
      </c>
      <c r="P558" t="n">
        <v>0</v>
      </c>
      <c r="Q558" t="n">
        <v>0</v>
      </c>
      <c r="R558" s="2" t="inlineStr"/>
    </row>
    <row r="559" ht="15" customHeight="1">
      <c r="A559" t="inlineStr">
        <is>
          <t>A 30658-2025</t>
        </is>
      </c>
      <c r="B559" s="1" t="n">
        <v>45831.5072337963</v>
      </c>
      <c r="C559" s="1" t="n">
        <v>45924</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30761-2025</t>
        </is>
      </c>
      <c r="B560" s="1" t="n">
        <v>45831</v>
      </c>
      <c r="C560" s="1" t="n">
        <v>45924</v>
      </c>
      <c r="D560" t="inlineStr">
        <is>
          <t>VÄRMLANDS LÄN</t>
        </is>
      </c>
      <c r="E560" t="inlineStr">
        <is>
          <t>ÅRJÄNG</t>
        </is>
      </c>
      <c r="G560" t="n">
        <v>1.5</v>
      </c>
      <c r="H560" t="n">
        <v>0</v>
      </c>
      <c r="I560" t="n">
        <v>0</v>
      </c>
      <c r="J560" t="n">
        <v>0</v>
      </c>
      <c r="K560" t="n">
        <v>0</v>
      </c>
      <c r="L560" t="n">
        <v>0</v>
      </c>
      <c r="M560" t="n">
        <v>0</v>
      </c>
      <c r="N560" t="n">
        <v>0</v>
      </c>
      <c r="O560" t="n">
        <v>0</v>
      </c>
      <c r="P560" t="n">
        <v>0</v>
      </c>
      <c r="Q560" t="n">
        <v>0</v>
      </c>
      <c r="R560" s="2" t="inlineStr"/>
    </row>
    <row r="561" ht="15" customHeight="1">
      <c r="A561" t="inlineStr">
        <is>
          <t>A 30611-2025</t>
        </is>
      </c>
      <c r="B561" s="1" t="n">
        <v>45831.46104166667</v>
      </c>
      <c r="C561" s="1" t="n">
        <v>45924</v>
      </c>
      <c r="D561" t="inlineStr">
        <is>
          <t>VÄRMLANDS LÄN</t>
        </is>
      </c>
      <c r="E561" t="inlineStr">
        <is>
          <t>ÅRJÄNG</t>
        </is>
      </c>
      <c r="G561" t="n">
        <v>5.5</v>
      </c>
      <c r="H561" t="n">
        <v>0</v>
      </c>
      <c r="I561" t="n">
        <v>0</v>
      </c>
      <c r="J561" t="n">
        <v>0</v>
      </c>
      <c r="K561" t="n">
        <v>0</v>
      </c>
      <c r="L561" t="n">
        <v>0</v>
      </c>
      <c r="M561" t="n">
        <v>0</v>
      </c>
      <c r="N561" t="n">
        <v>0</v>
      </c>
      <c r="O561" t="n">
        <v>0</v>
      </c>
      <c r="P561" t="n">
        <v>0</v>
      </c>
      <c r="Q561" t="n">
        <v>0</v>
      </c>
      <c r="R561" s="2" t="inlineStr"/>
    </row>
    <row r="562" ht="15" customHeight="1">
      <c r="A562" t="inlineStr">
        <is>
          <t>A 29570-2023</t>
        </is>
      </c>
      <c r="B562" s="1" t="n">
        <v>45106.6989699074</v>
      </c>
      <c r="C562" s="1" t="n">
        <v>45924</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38840-2023</t>
        </is>
      </c>
      <c r="B563" s="1" t="n">
        <v>45163.48267361111</v>
      </c>
      <c r="C563" s="1" t="n">
        <v>45924</v>
      </c>
      <c r="D563" t="inlineStr">
        <is>
          <t>VÄRMLANDS LÄN</t>
        </is>
      </c>
      <c r="E563" t="inlineStr">
        <is>
          <t>ÅRJÄNG</t>
        </is>
      </c>
      <c r="G563" t="n">
        <v>2.4</v>
      </c>
      <c r="H563" t="n">
        <v>0</v>
      </c>
      <c r="I563" t="n">
        <v>0</v>
      </c>
      <c r="J563" t="n">
        <v>0</v>
      </c>
      <c r="K563" t="n">
        <v>0</v>
      </c>
      <c r="L563" t="n">
        <v>0</v>
      </c>
      <c r="M563" t="n">
        <v>0</v>
      </c>
      <c r="N563" t="n">
        <v>0</v>
      </c>
      <c r="O563" t="n">
        <v>0</v>
      </c>
      <c r="P563" t="n">
        <v>0</v>
      </c>
      <c r="Q563" t="n">
        <v>0</v>
      </c>
      <c r="R563" s="2" t="inlineStr"/>
    </row>
    <row r="564" ht="15" customHeight="1">
      <c r="A564" t="inlineStr">
        <is>
          <t>A 31063-2025</t>
        </is>
      </c>
      <c r="B564" s="1" t="n">
        <v>45831</v>
      </c>
      <c r="C564" s="1" t="n">
        <v>45924</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31073-2025</t>
        </is>
      </c>
      <c r="B565" s="1" t="n">
        <v>45831</v>
      </c>
      <c r="C565" s="1" t="n">
        <v>45924</v>
      </c>
      <c r="D565" t="inlineStr">
        <is>
          <t>VÄRMLANDS LÄN</t>
        </is>
      </c>
      <c r="E565" t="inlineStr">
        <is>
          <t>ÅRJÄNG</t>
        </is>
      </c>
      <c r="G565" t="n">
        <v>0.9</v>
      </c>
      <c r="H565" t="n">
        <v>0</v>
      </c>
      <c r="I565" t="n">
        <v>0</v>
      </c>
      <c r="J565" t="n">
        <v>0</v>
      </c>
      <c r="K565" t="n">
        <v>0</v>
      </c>
      <c r="L565" t="n">
        <v>0</v>
      </c>
      <c r="M565" t="n">
        <v>0</v>
      </c>
      <c r="N565" t="n">
        <v>0</v>
      </c>
      <c r="O565" t="n">
        <v>0</v>
      </c>
      <c r="P565" t="n">
        <v>0</v>
      </c>
      <c r="Q565" t="n">
        <v>0</v>
      </c>
      <c r="R565" s="2" t="inlineStr"/>
    </row>
    <row r="566" ht="15" customHeight="1">
      <c r="A566" t="inlineStr">
        <is>
          <t>A 32095-2024</t>
        </is>
      </c>
      <c r="B566" s="1" t="n">
        <v>45511.39107638889</v>
      </c>
      <c r="C566" s="1" t="n">
        <v>45924</v>
      </c>
      <c r="D566" t="inlineStr">
        <is>
          <t>VÄRMLANDS LÄN</t>
        </is>
      </c>
      <c r="E566" t="inlineStr">
        <is>
          <t>ÅRJÄNG</t>
        </is>
      </c>
      <c r="G566" t="n">
        <v>4.6</v>
      </c>
      <c r="H566" t="n">
        <v>0</v>
      </c>
      <c r="I566" t="n">
        <v>0</v>
      </c>
      <c r="J566" t="n">
        <v>0</v>
      </c>
      <c r="K566" t="n">
        <v>0</v>
      </c>
      <c r="L566" t="n">
        <v>0</v>
      </c>
      <c r="M566" t="n">
        <v>0</v>
      </c>
      <c r="N566" t="n">
        <v>0</v>
      </c>
      <c r="O566" t="n">
        <v>0</v>
      </c>
      <c r="P566" t="n">
        <v>0</v>
      </c>
      <c r="Q566" t="n">
        <v>0</v>
      </c>
      <c r="R566" s="2" t="inlineStr"/>
    </row>
    <row r="567" ht="15" customHeight="1">
      <c r="A567" t="inlineStr">
        <is>
          <t>A 10126-2023</t>
        </is>
      </c>
      <c r="B567" s="1" t="n">
        <v>44980</v>
      </c>
      <c r="C567" s="1" t="n">
        <v>45924</v>
      </c>
      <c r="D567" t="inlineStr">
        <is>
          <t>VÄRMLANDS LÄN</t>
        </is>
      </c>
      <c r="E567" t="inlineStr">
        <is>
          <t>ÅRJÄNG</t>
        </is>
      </c>
      <c r="G567" t="n">
        <v>2</v>
      </c>
      <c r="H567" t="n">
        <v>0</v>
      </c>
      <c r="I567" t="n">
        <v>0</v>
      </c>
      <c r="J567" t="n">
        <v>0</v>
      </c>
      <c r="K567" t="n">
        <v>0</v>
      </c>
      <c r="L567" t="n">
        <v>0</v>
      </c>
      <c r="M567" t="n">
        <v>0</v>
      </c>
      <c r="N567" t="n">
        <v>0</v>
      </c>
      <c r="O567" t="n">
        <v>0</v>
      </c>
      <c r="P567" t="n">
        <v>0</v>
      </c>
      <c r="Q567" t="n">
        <v>0</v>
      </c>
      <c r="R567" s="2" t="inlineStr"/>
    </row>
    <row r="568" ht="15" customHeight="1">
      <c r="A568" t="inlineStr">
        <is>
          <t>A 34526-2023</t>
        </is>
      </c>
      <c r="B568" s="1" t="n">
        <v>45140.41518518519</v>
      </c>
      <c r="C568" s="1" t="n">
        <v>45924</v>
      </c>
      <c r="D568" t="inlineStr">
        <is>
          <t>VÄRMLANDS LÄN</t>
        </is>
      </c>
      <c r="E568" t="inlineStr">
        <is>
          <t>ÅRJÄNG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54437-2021</t>
        </is>
      </c>
      <c r="B569" s="1" t="n">
        <v>44459</v>
      </c>
      <c r="C569" s="1" t="n">
        <v>45924</v>
      </c>
      <c r="D569" t="inlineStr">
        <is>
          <t>VÄRMLANDS LÄN</t>
        </is>
      </c>
      <c r="E569" t="inlineStr">
        <is>
          <t>ÅRJÄNG</t>
        </is>
      </c>
      <c r="G569" t="n">
        <v>3.5</v>
      </c>
      <c r="H569" t="n">
        <v>0</v>
      </c>
      <c r="I569" t="n">
        <v>0</v>
      </c>
      <c r="J569" t="n">
        <v>0</v>
      </c>
      <c r="K569" t="n">
        <v>0</v>
      </c>
      <c r="L569" t="n">
        <v>0</v>
      </c>
      <c r="M569" t="n">
        <v>0</v>
      </c>
      <c r="N569" t="n">
        <v>0</v>
      </c>
      <c r="O569" t="n">
        <v>0</v>
      </c>
      <c r="P569" t="n">
        <v>0</v>
      </c>
      <c r="Q569" t="n">
        <v>0</v>
      </c>
      <c r="R569" s="2" t="inlineStr"/>
    </row>
    <row r="570" ht="15" customHeight="1">
      <c r="A570" t="inlineStr">
        <is>
          <t>A 19843-2025</t>
        </is>
      </c>
      <c r="B570" s="1" t="n">
        <v>45771</v>
      </c>
      <c r="C570" s="1" t="n">
        <v>45924</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31433-2025</t>
        </is>
      </c>
      <c r="B571" s="1" t="n">
        <v>45833</v>
      </c>
      <c r="C571" s="1" t="n">
        <v>45924</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31282-2025</t>
        </is>
      </c>
      <c r="B572" s="1" t="n">
        <v>45833</v>
      </c>
      <c r="C572" s="1" t="n">
        <v>45924</v>
      </c>
      <c r="D572" t="inlineStr">
        <is>
          <t>VÄRMLANDS LÄN</t>
        </is>
      </c>
      <c r="E572" t="inlineStr">
        <is>
          <t>ÅRJÄNG</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31393-2025</t>
        </is>
      </c>
      <c r="B573" s="1" t="n">
        <v>45833.46305555556</v>
      </c>
      <c r="C573" s="1" t="n">
        <v>45924</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46441-2023</t>
        </is>
      </c>
      <c r="B574" s="1" t="n">
        <v>45197</v>
      </c>
      <c r="C574" s="1" t="n">
        <v>45924</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65844-2021</t>
        </is>
      </c>
      <c r="B575" s="1" t="n">
        <v>44517.36067129629</v>
      </c>
      <c r="C575" s="1" t="n">
        <v>45924</v>
      </c>
      <c r="D575" t="inlineStr">
        <is>
          <t>VÄRMLANDS LÄN</t>
        </is>
      </c>
      <c r="E575" t="inlineStr">
        <is>
          <t>ÅRJÄNG</t>
        </is>
      </c>
      <c r="G575" t="n">
        <v>4.6</v>
      </c>
      <c r="H575" t="n">
        <v>0</v>
      </c>
      <c r="I575" t="n">
        <v>0</v>
      </c>
      <c r="J575" t="n">
        <v>0</v>
      </c>
      <c r="K575" t="n">
        <v>0</v>
      </c>
      <c r="L575" t="n">
        <v>0</v>
      </c>
      <c r="M575" t="n">
        <v>0</v>
      </c>
      <c r="N575" t="n">
        <v>0</v>
      </c>
      <c r="O575" t="n">
        <v>0</v>
      </c>
      <c r="P575" t="n">
        <v>0</v>
      </c>
      <c r="Q575" t="n">
        <v>0</v>
      </c>
      <c r="R575" s="2" t="inlineStr"/>
    </row>
    <row r="576" ht="15" customHeight="1">
      <c r="A576" t="inlineStr">
        <is>
          <t>A 31591-2025</t>
        </is>
      </c>
      <c r="B576" s="1" t="n">
        <v>45833</v>
      </c>
      <c r="C576" s="1" t="n">
        <v>45924</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34032-2021</t>
        </is>
      </c>
      <c r="B577" s="1" t="n">
        <v>44378</v>
      </c>
      <c r="C577" s="1" t="n">
        <v>45924</v>
      </c>
      <c r="D577" t="inlineStr">
        <is>
          <t>VÄRMLANDS LÄN</t>
        </is>
      </c>
      <c r="E577" t="inlineStr">
        <is>
          <t>ÅRJÄNG</t>
        </is>
      </c>
      <c r="F577" t="inlineStr">
        <is>
          <t>Övriga Aktiebolag</t>
        </is>
      </c>
      <c r="G577" t="n">
        <v>1.4</v>
      </c>
      <c r="H577" t="n">
        <v>0</v>
      </c>
      <c r="I577" t="n">
        <v>0</v>
      </c>
      <c r="J577" t="n">
        <v>0</v>
      </c>
      <c r="K577" t="n">
        <v>0</v>
      </c>
      <c r="L577" t="n">
        <v>0</v>
      </c>
      <c r="M577" t="n">
        <v>0</v>
      </c>
      <c r="N577" t="n">
        <v>0</v>
      </c>
      <c r="O577" t="n">
        <v>0</v>
      </c>
      <c r="P577" t="n">
        <v>0</v>
      </c>
      <c r="Q577" t="n">
        <v>0</v>
      </c>
      <c r="R577" s="2" t="inlineStr"/>
    </row>
    <row r="578" ht="15" customHeight="1">
      <c r="A578" t="inlineStr">
        <is>
          <t>A 32778-2024</t>
        </is>
      </c>
      <c r="B578" s="1" t="n">
        <v>45516.5083912037</v>
      </c>
      <c r="C578" s="1" t="n">
        <v>45924</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50509-2024</t>
        </is>
      </c>
      <c r="B579" s="1" t="n">
        <v>45601</v>
      </c>
      <c r="C579" s="1" t="n">
        <v>45924</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17361-2022</t>
        </is>
      </c>
      <c r="B580" s="1" t="n">
        <v>44678.6044675926</v>
      </c>
      <c r="C580" s="1" t="n">
        <v>45924</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8835-2025</t>
        </is>
      </c>
      <c r="B581" s="1" t="n">
        <v>45712.92547453703</v>
      </c>
      <c r="C581" s="1" t="n">
        <v>45924</v>
      </c>
      <c r="D581" t="inlineStr">
        <is>
          <t>VÄRMLANDS LÄN</t>
        </is>
      </c>
      <c r="E581" t="inlineStr">
        <is>
          <t>ÅRJÄNG</t>
        </is>
      </c>
      <c r="G581" t="n">
        <v>7.3</v>
      </c>
      <c r="H581" t="n">
        <v>0</v>
      </c>
      <c r="I581" t="n">
        <v>0</v>
      </c>
      <c r="J581" t="n">
        <v>0</v>
      </c>
      <c r="K581" t="n">
        <v>0</v>
      </c>
      <c r="L581" t="n">
        <v>0</v>
      </c>
      <c r="M581" t="n">
        <v>0</v>
      </c>
      <c r="N581" t="n">
        <v>0</v>
      </c>
      <c r="O581" t="n">
        <v>0</v>
      </c>
      <c r="P581" t="n">
        <v>0</v>
      </c>
      <c r="Q581" t="n">
        <v>0</v>
      </c>
      <c r="R581" s="2" t="inlineStr"/>
    </row>
    <row r="582" ht="15" customHeight="1">
      <c r="A582" t="inlineStr">
        <is>
          <t>A 29792-2022</t>
        </is>
      </c>
      <c r="B582" s="1" t="n">
        <v>44755.67122685185</v>
      </c>
      <c r="C582" s="1" t="n">
        <v>45924</v>
      </c>
      <c r="D582" t="inlineStr">
        <is>
          <t>VÄRMLANDS LÄN</t>
        </is>
      </c>
      <c r="E582" t="inlineStr">
        <is>
          <t>ÅRJÄNG</t>
        </is>
      </c>
      <c r="G582" t="n">
        <v>1.9</v>
      </c>
      <c r="H582" t="n">
        <v>0</v>
      </c>
      <c r="I582" t="n">
        <v>0</v>
      </c>
      <c r="J582" t="n">
        <v>0</v>
      </c>
      <c r="K582" t="n">
        <v>0</v>
      </c>
      <c r="L582" t="n">
        <v>0</v>
      </c>
      <c r="M582" t="n">
        <v>0</v>
      </c>
      <c r="N582" t="n">
        <v>0</v>
      </c>
      <c r="O582" t="n">
        <v>0</v>
      </c>
      <c r="P582" t="n">
        <v>0</v>
      </c>
      <c r="Q582" t="n">
        <v>0</v>
      </c>
      <c r="R582" s="2" t="inlineStr"/>
    </row>
    <row r="583" ht="15" customHeight="1">
      <c r="A583" t="inlineStr">
        <is>
          <t>A 11401-2025</t>
        </is>
      </c>
      <c r="B583" s="1" t="n">
        <v>45726</v>
      </c>
      <c r="C583" s="1" t="n">
        <v>45924</v>
      </c>
      <c r="D583" t="inlineStr">
        <is>
          <t>VÄRMLANDS LÄN</t>
        </is>
      </c>
      <c r="E583" t="inlineStr">
        <is>
          <t>ÅRJÄNG</t>
        </is>
      </c>
      <c r="G583" t="n">
        <v>0.4</v>
      </c>
      <c r="H583" t="n">
        <v>0</v>
      </c>
      <c r="I583" t="n">
        <v>0</v>
      </c>
      <c r="J583" t="n">
        <v>0</v>
      </c>
      <c r="K583" t="n">
        <v>0</v>
      </c>
      <c r="L583" t="n">
        <v>0</v>
      </c>
      <c r="M583" t="n">
        <v>0</v>
      </c>
      <c r="N583" t="n">
        <v>0</v>
      </c>
      <c r="O583" t="n">
        <v>0</v>
      </c>
      <c r="P583" t="n">
        <v>0</v>
      </c>
      <c r="Q583" t="n">
        <v>0</v>
      </c>
      <c r="R583" s="2" t="inlineStr"/>
    </row>
    <row r="584" ht="15" customHeight="1">
      <c r="A584" t="inlineStr">
        <is>
          <t>A 61764-2022</t>
        </is>
      </c>
      <c r="B584" s="1" t="n">
        <v>44911</v>
      </c>
      <c r="C584" s="1" t="n">
        <v>45924</v>
      </c>
      <c r="D584" t="inlineStr">
        <is>
          <t>VÄRMLANDS LÄN</t>
        </is>
      </c>
      <c r="E584" t="inlineStr">
        <is>
          <t>ÅRJÄNG</t>
        </is>
      </c>
      <c r="F584" t="inlineStr">
        <is>
          <t>Övriga Aktiebolag</t>
        </is>
      </c>
      <c r="G584" t="n">
        <v>1.9</v>
      </c>
      <c r="H584" t="n">
        <v>0</v>
      </c>
      <c r="I584" t="n">
        <v>0</v>
      </c>
      <c r="J584" t="n">
        <v>0</v>
      </c>
      <c r="K584" t="n">
        <v>0</v>
      </c>
      <c r="L584" t="n">
        <v>0</v>
      </c>
      <c r="M584" t="n">
        <v>0</v>
      </c>
      <c r="N584" t="n">
        <v>0</v>
      </c>
      <c r="O584" t="n">
        <v>0</v>
      </c>
      <c r="P584" t="n">
        <v>0</v>
      </c>
      <c r="Q584" t="n">
        <v>0</v>
      </c>
      <c r="R584" s="2" t="inlineStr"/>
    </row>
    <row r="585" ht="15" customHeight="1">
      <c r="A585" t="inlineStr">
        <is>
          <t>A 62966-2023</t>
        </is>
      </c>
      <c r="B585" s="1" t="n">
        <v>45272.57006944445</v>
      </c>
      <c r="C585" s="1" t="n">
        <v>45924</v>
      </c>
      <c r="D585" t="inlineStr">
        <is>
          <t>VÄRMLANDS LÄN</t>
        </is>
      </c>
      <c r="E585" t="inlineStr">
        <is>
          <t>ÅRJÄNG</t>
        </is>
      </c>
      <c r="G585" t="n">
        <v>4.5</v>
      </c>
      <c r="H585" t="n">
        <v>0</v>
      </c>
      <c r="I585" t="n">
        <v>0</v>
      </c>
      <c r="J585" t="n">
        <v>0</v>
      </c>
      <c r="K585" t="n">
        <v>0</v>
      </c>
      <c r="L585" t="n">
        <v>0</v>
      </c>
      <c r="M585" t="n">
        <v>0</v>
      </c>
      <c r="N585" t="n">
        <v>0</v>
      </c>
      <c r="O585" t="n">
        <v>0</v>
      </c>
      <c r="P585" t="n">
        <v>0</v>
      </c>
      <c r="Q585" t="n">
        <v>0</v>
      </c>
      <c r="R585" s="2" t="inlineStr"/>
    </row>
    <row r="586" ht="15" customHeight="1">
      <c r="A586" t="inlineStr">
        <is>
          <t>A 4189-2025</t>
        </is>
      </c>
      <c r="B586" s="1" t="n">
        <v>45685</v>
      </c>
      <c r="C586" s="1" t="n">
        <v>45924</v>
      </c>
      <c r="D586" t="inlineStr">
        <is>
          <t>VÄRMLANDS LÄN</t>
        </is>
      </c>
      <c r="E586" t="inlineStr">
        <is>
          <t>ÅRJÄNG</t>
        </is>
      </c>
      <c r="G586" t="n">
        <v>3.1</v>
      </c>
      <c r="H586" t="n">
        <v>0</v>
      </c>
      <c r="I586" t="n">
        <v>0</v>
      </c>
      <c r="J586" t="n">
        <v>0</v>
      </c>
      <c r="K586" t="n">
        <v>0</v>
      </c>
      <c r="L586" t="n">
        <v>0</v>
      </c>
      <c r="M586" t="n">
        <v>0</v>
      </c>
      <c r="N586" t="n">
        <v>0</v>
      </c>
      <c r="O586" t="n">
        <v>0</v>
      </c>
      <c r="P586" t="n">
        <v>0</v>
      </c>
      <c r="Q586" t="n">
        <v>0</v>
      </c>
      <c r="R586" s="2" t="inlineStr"/>
    </row>
    <row r="587" ht="15" customHeight="1">
      <c r="A587" t="inlineStr">
        <is>
          <t>A 11805-2024</t>
        </is>
      </c>
      <c r="B587" s="1" t="n">
        <v>45375.76523148148</v>
      </c>
      <c r="C587" s="1" t="n">
        <v>45924</v>
      </c>
      <c r="D587" t="inlineStr">
        <is>
          <t>VÄRMLANDS LÄN</t>
        </is>
      </c>
      <c r="E587" t="inlineStr">
        <is>
          <t>ÅRJÄNG</t>
        </is>
      </c>
      <c r="G587" t="n">
        <v>4.4</v>
      </c>
      <c r="H587" t="n">
        <v>0</v>
      </c>
      <c r="I587" t="n">
        <v>0</v>
      </c>
      <c r="J587" t="n">
        <v>0</v>
      </c>
      <c r="K587" t="n">
        <v>0</v>
      </c>
      <c r="L587" t="n">
        <v>0</v>
      </c>
      <c r="M587" t="n">
        <v>0</v>
      </c>
      <c r="N587" t="n">
        <v>0</v>
      </c>
      <c r="O587" t="n">
        <v>0</v>
      </c>
      <c r="P587" t="n">
        <v>0</v>
      </c>
      <c r="Q587" t="n">
        <v>0</v>
      </c>
      <c r="R587" s="2" t="inlineStr"/>
    </row>
    <row r="588" ht="15" customHeight="1">
      <c r="A588" t="inlineStr">
        <is>
          <t>A 31710-2025</t>
        </is>
      </c>
      <c r="B588" s="1" t="n">
        <v>45834.4325462963</v>
      </c>
      <c r="C588" s="1" t="n">
        <v>45924</v>
      </c>
      <c r="D588" t="inlineStr">
        <is>
          <t>VÄRMLANDS LÄN</t>
        </is>
      </c>
      <c r="E588" t="inlineStr">
        <is>
          <t>ÅRJÄNG</t>
        </is>
      </c>
      <c r="G588" t="n">
        <v>1.6</v>
      </c>
      <c r="H588" t="n">
        <v>0</v>
      </c>
      <c r="I588" t="n">
        <v>0</v>
      </c>
      <c r="J588" t="n">
        <v>0</v>
      </c>
      <c r="K588" t="n">
        <v>0</v>
      </c>
      <c r="L588" t="n">
        <v>0</v>
      </c>
      <c r="M588" t="n">
        <v>0</v>
      </c>
      <c r="N588" t="n">
        <v>0</v>
      </c>
      <c r="O588" t="n">
        <v>0</v>
      </c>
      <c r="P588" t="n">
        <v>0</v>
      </c>
      <c r="Q588" t="n">
        <v>0</v>
      </c>
      <c r="R588" s="2" t="inlineStr"/>
    </row>
    <row r="589" ht="15" customHeight="1">
      <c r="A589" t="inlineStr">
        <is>
          <t>A 30459-2022</t>
        </is>
      </c>
      <c r="B589" s="1" t="n">
        <v>44761</v>
      </c>
      <c r="C589" s="1" t="n">
        <v>45924</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24216-2024</t>
        </is>
      </c>
      <c r="B590" s="1" t="n">
        <v>45457</v>
      </c>
      <c r="C590" s="1" t="n">
        <v>45924</v>
      </c>
      <c r="D590" t="inlineStr">
        <is>
          <t>VÄRMLANDS LÄN</t>
        </is>
      </c>
      <c r="E590" t="inlineStr">
        <is>
          <t>ÅRJÄNG</t>
        </is>
      </c>
      <c r="G590" t="n">
        <v>2</v>
      </c>
      <c r="H590" t="n">
        <v>0</v>
      </c>
      <c r="I590" t="n">
        <v>0</v>
      </c>
      <c r="J590" t="n">
        <v>0</v>
      </c>
      <c r="K590" t="n">
        <v>0</v>
      </c>
      <c r="L590" t="n">
        <v>0</v>
      </c>
      <c r="M590" t="n">
        <v>0</v>
      </c>
      <c r="N590" t="n">
        <v>0</v>
      </c>
      <c r="O590" t="n">
        <v>0</v>
      </c>
      <c r="P590" t="n">
        <v>0</v>
      </c>
      <c r="Q590" t="n">
        <v>0</v>
      </c>
      <c r="R590" s="2" t="inlineStr"/>
    </row>
    <row r="591" ht="15" customHeight="1">
      <c r="A591" t="inlineStr">
        <is>
          <t>A 40366-2022</t>
        </is>
      </c>
      <c r="B591" s="1" t="n">
        <v>44823.38884259259</v>
      </c>
      <c r="C591" s="1" t="n">
        <v>45924</v>
      </c>
      <c r="D591" t="inlineStr">
        <is>
          <t>VÄRMLANDS LÄN</t>
        </is>
      </c>
      <c r="E591" t="inlineStr">
        <is>
          <t>ÅRJÄNG</t>
        </is>
      </c>
      <c r="G591" t="n">
        <v>3.2</v>
      </c>
      <c r="H591" t="n">
        <v>0</v>
      </c>
      <c r="I591" t="n">
        <v>0</v>
      </c>
      <c r="J591" t="n">
        <v>0</v>
      </c>
      <c r="K591" t="n">
        <v>0</v>
      </c>
      <c r="L591" t="n">
        <v>0</v>
      </c>
      <c r="M591" t="n">
        <v>0</v>
      </c>
      <c r="N591" t="n">
        <v>0</v>
      </c>
      <c r="O591" t="n">
        <v>0</v>
      </c>
      <c r="P591" t="n">
        <v>0</v>
      </c>
      <c r="Q591" t="n">
        <v>0</v>
      </c>
      <c r="R591" s="2" t="inlineStr"/>
    </row>
    <row r="592" ht="15" customHeight="1">
      <c r="A592" t="inlineStr">
        <is>
          <t>A 37347-2024</t>
        </is>
      </c>
      <c r="B592" s="1" t="n">
        <v>45540</v>
      </c>
      <c r="C592" s="1" t="n">
        <v>45924</v>
      </c>
      <c r="D592" t="inlineStr">
        <is>
          <t>VÄRMLANDS LÄN</t>
        </is>
      </c>
      <c r="E592" t="inlineStr">
        <is>
          <t>ÅRJÄNG</t>
        </is>
      </c>
      <c r="G592" t="n">
        <v>1.9</v>
      </c>
      <c r="H592" t="n">
        <v>0</v>
      </c>
      <c r="I592" t="n">
        <v>0</v>
      </c>
      <c r="J592" t="n">
        <v>0</v>
      </c>
      <c r="K592" t="n">
        <v>0</v>
      </c>
      <c r="L592" t="n">
        <v>0</v>
      </c>
      <c r="M592" t="n">
        <v>0</v>
      </c>
      <c r="N592" t="n">
        <v>0</v>
      </c>
      <c r="O592" t="n">
        <v>0</v>
      </c>
      <c r="P592" t="n">
        <v>0</v>
      </c>
      <c r="Q592" t="n">
        <v>0</v>
      </c>
      <c r="R592" s="2" t="inlineStr"/>
    </row>
    <row r="593" ht="15" customHeight="1">
      <c r="A593" t="inlineStr">
        <is>
          <t>A 32730-2025</t>
        </is>
      </c>
      <c r="B593" s="1" t="n">
        <v>45839.40315972222</v>
      </c>
      <c r="C593" s="1" t="n">
        <v>45924</v>
      </c>
      <c r="D593" t="inlineStr">
        <is>
          <t>VÄRMLANDS LÄN</t>
        </is>
      </c>
      <c r="E593" t="inlineStr">
        <is>
          <t>ÅRJÄNG</t>
        </is>
      </c>
      <c r="F593" t="inlineStr">
        <is>
          <t>Kyrkan</t>
        </is>
      </c>
      <c r="G593" t="n">
        <v>5.9</v>
      </c>
      <c r="H593" t="n">
        <v>0</v>
      </c>
      <c r="I593" t="n">
        <v>0</v>
      </c>
      <c r="J593" t="n">
        <v>0</v>
      </c>
      <c r="K593" t="n">
        <v>0</v>
      </c>
      <c r="L593" t="n">
        <v>0</v>
      </c>
      <c r="M593" t="n">
        <v>0</v>
      </c>
      <c r="N593" t="n">
        <v>0</v>
      </c>
      <c r="O593" t="n">
        <v>0</v>
      </c>
      <c r="P593" t="n">
        <v>0</v>
      </c>
      <c r="Q593" t="n">
        <v>0</v>
      </c>
      <c r="R593" s="2" t="inlineStr"/>
    </row>
    <row r="594" ht="15" customHeight="1">
      <c r="A594" t="inlineStr">
        <is>
          <t>A 48203-2023</t>
        </is>
      </c>
      <c r="B594" s="1" t="n">
        <v>45200</v>
      </c>
      <c r="C594" s="1" t="n">
        <v>45924</v>
      </c>
      <c r="D594" t="inlineStr">
        <is>
          <t>VÄRMLANDS LÄN</t>
        </is>
      </c>
      <c r="E594" t="inlineStr">
        <is>
          <t>ÅRJÄNG</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3848-2025</t>
        </is>
      </c>
      <c r="B595" s="1" t="n">
        <v>45683</v>
      </c>
      <c r="C595" s="1" t="n">
        <v>45924</v>
      </c>
      <c r="D595" t="inlineStr">
        <is>
          <t>VÄRMLANDS LÄN</t>
        </is>
      </c>
      <c r="E595" t="inlineStr">
        <is>
          <t>ÅRJÄNG</t>
        </is>
      </c>
      <c r="G595" t="n">
        <v>0.9</v>
      </c>
      <c r="H595" t="n">
        <v>0</v>
      </c>
      <c r="I595" t="n">
        <v>0</v>
      </c>
      <c r="J595" t="n">
        <v>0</v>
      </c>
      <c r="K595" t="n">
        <v>0</v>
      </c>
      <c r="L595" t="n">
        <v>0</v>
      </c>
      <c r="M595" t="n">
        <v>0</v>
      </c>
      <c r="N595" t="n">
        <v>0</v>
      </c>
      <c r="O595" t="n">
        <v>0</v>
      </c>
      <c r="P595" t="n">
        <v>0</v>
      </c>
      <c r="Q595" t="n">
        <v>0</v>
      </c>
      <c r="R595" s="2" t="inlineStr"/>
    </row>
    <row r="596" ht="15" customHeight="1">
      <c r="A596" t="inlineStr">
        <is>
          <t>A 27240-2023</t>
        </is>
      </c>
      <c r="B596" s="1" t="n">
        <v>45096</v>
      </c>
      <c r="C596" s="1" t="n">
        <v>45924</v>
      </c>
      <c r="D596" t="inlineStr">
        <is>
          <t>VÄRMLANDS LÄN</t>
        </is>
      </c>
      <c r="E596" t="inlineStr">
        <is>
          <t>ÅRJÄNG</t>
        </is>
      </c>
      <c r="G596" t="n">
        <v>2.1</v>
      </c>
      <c r="H596" t="n">
        <v>0</v>
      </c>
      <c r="I596" t="n">
        <v>0</v>
      </c>
      <c r="J596" t="n">
        <v>0</v>
      </c>
      <c r="K596" t="n">
        <v>0</v>
      </c>
      <c r="L596" t="n">
        <v>0</v>
      </c>
      <c r="M596" t="n">
        <v>0</v>
      </c>
      <c r="N596" t="n">
        <v>0</v>
      </c>
      <c r="O596" t="n">
        <v>0</v>
      </c>
      <c r="P596" t="n">
        <v>0</v>
      </c>
      <c r="Q596" t="n">
        <v>0</v>
      </c>
      <c r="R596" s="2" t="inlineStr"/>
    </row>
    <row r="597" ht="15" customHeight="1">
      <c r="A597" t="inlineStr">
        <is>
          <t>A 32330-2025</t>
        </is>
      </c>
      <c r="B597" s="1" t="n">
        <v>45836.50547453704</v>
      </c>
      <c r="C597" s="1" t="n">
        <v>45924</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32324-2025</t>
        </is>
      </c>
      <c r="B598" s="1" t="n">
        <v>45836.43634259259</v>
      </c>
      <c r="C598" s="1" t="n">
        <v>45924</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38536-2024</t>
        </is>
      </c>
      <c r="B599" s="1" t="n">
        <v>45546.59431712963</v>
      </c>
      <c r="C599" s="1" t="n">
        <v>45924</v>
      </c>
      <c r="D599" t="inlineStr">
        <is>
          <t>VÄRMLANDS LÄN</t>
        </is>
      </c>
      <c r="E599" t="inlineStr">
        <is>
          <t>ÅRJÄNG</t>
        </is>
      </c>
      <c r="F599" t="inlineStr">
        <is>
          <t>Bergvik skog väst AB</t>
        </is>
      </c>
      <c r="G599" t="n">
        <v>0.4</v>
      </c>
      <c r="H599" t="n">
        <v>0</v>
      </c>
      <c r="I599" t="n">
        <v>0</v>
      </c>
      <c r="J599" t="n">
        <v>0</v>
      </c>
      <c r="K599" t="n">
        <v>0</v>
      </c>
      <c r="L599" t="n">
        <v>0</v>
      </c>
      <c r="M599" t="n">
        <v>0</v>
      </c>
      <c r="N599" t="n">
        <v>0</v>
      </c>
      <c r="O599" t="n">
        <v>0</v>
      </c>
      <c r="P599" t="n">
        <v>0</v>
      </c>
      <c r="Q599" t="n">
        <v>0</v>
      </c>
      <c r="R599" s="2" t="inlineStr"/>
    </row>
    <row r="600" ht="15" customHeight="1">
      <c r="A600" t="inlineStr">
        <is>
          <t>A 32321-2025</t>
        </is>
      </c>
      <c r="B600" s="1" t="n">
        <v>45836</v>
      </c>
      <c r="C600" s="1" t="n">
        <v>45924</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32924-2025</t>
        </is>
      </c>
      <c r="B601" s="1" t="n">
        <v>45839.65589120371</v>
      </c>
      <c r="C601" s="1" t="n">
        <v>45924</v>
      </c>
      <c r="D601" t="inlineStr">
        <is>
          <t>VÄRMLANDS LÄN</t>
        </is>
      </c>
      <c r="E601" t="inlineStr">
        <is>
          <t>ÅRJÄNG</t>
        </is>
      </c>
      <c r="G601" t="n">
        <v>4.5</v>
      </c>
      <c r="H601" t="n">
        <v>0</v>
      </c>
      <c r="I601" t="n">
        <v>0</v>
      </c>
      <c r="J601" t="n">
        <v>0</v>
      </c>
      <c r="K601" t="n">
        <v>0</v>
      </c>
      <c r="L601" t="n">
        <v>0</v>
      </c>
      <c r="M601" t="n">
        <v>0</v>
      </c>
      <c r="N601" t="n">
        <v>0</v>
      </c>
      <c r="O601" t="n">
        <v>0</v>
      </c>
      <c r="P601" t="n">
        <v>0</v>
      </c>
      <c r="Q601" t="n">
        <v>0</v>
      </c>
      <c r="R601" s="2" t="inlineStr"/>
    </row>
    <row r="602" ht="15" customHeight="1">
      <c r="A602" t="inlineStr">
        <is>
          <t>A 32920-2025</t>
        </is>
      </c>
      <c r="B602" s="1" t="n">
        <v>45839</v>
      </c>
      <c r="C602" s="1" t="n">
        <v>45924</v>
      </c>
      <c r="D602" t="inlineStr">
        <is>
          <t>VÄRMLANDS LÄN</t>
        </is>
      </c>
      <c r="E602" t="inlineStr">
        <is>
          <t>ÅRJÄNG</t>
        </is>
      </c>
      <c r="G602" t="n">
        <v>4.8</v>
      </c>
      <c r="H602" t="n">
        <v>0</v>
      </c>
      <c r="I602" t="n">
        <v>0</v>
      </c>
      <c r="J602" t="n">
        <v>0</v>
      </c>
      <c r="K602" t="n">
        <v>0</v>
      </c>
      <c r="L602" t="n">
        <v>0</v>
      </c>
      <c r="M602" t="n">
        <v>0</v>
      </c>
      <c r="N602" t="n">
        <v>0</v>
      </c>
      <c r="O602" t="n">
        <v>0</v>
      </c>
      <c r="P602" t="n">
        <v>0</v>
      </c>
      <c r="Q602" t="n">
        <v>0</v>
      </c>
      <c r="R602" s="2" t="inlineStr"/>
    </row>
    <row r="603" ht="15" customHeight="1">
      <c r="A603" t="inlineStr">
        <is>
          <t>A 32326-2025</t>
        </is>
      </c>
      <c r="B603" s="1" t="n">
        <v>45836.44392361111</v>
      </c>
      <c r="C603" s="1" t="n">
        <v>45924</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33237-2025</t>
        </is>
      </c>
      <c r="B604" s="1" t="n">
        <v>45840</v>
      </c>
      <c r="C604" s="1" t="n">
        <v>45924</v>
      </c>
      <c r="D604" t="inlineStr">
        <is>
          <t>VÄRMLANDS LÄN</t>
        </is>
      </c>
      <c r="E604" t="inlineStr">
        <is>
          <t>ÅRJÄNG</t>
        </is>
      </c>
      <c r="G604" t="n">
        <v>5.2</v>
      </c>
      <c r="H604" t="n">
        <v>0</v>
      </c>
      <c r="I604" t="n">
        <v>0</v>
      </c>
      <c r="J604" t="n">
        <v>0</v>
      </c>
      <c r="K604" t="n">
        <v>0</v>
      </c>
      <c r="L604" t="n">
        <v>0</v>
      </c>
      <c r="M604" t="n">
        <v>0</v>
      </c>
      <c r="N604" t="n">
        <v>0</v>
      </c>
      <c r="O604" t="n">
        <v>0</v>
      </c>
      <c r="P604" t="n">
        <v>0</v>
      </c>
      <c r="Q604" t="n">
        <v>0</v>
      </c>
      <c r="R604" s="2" t="inlineStr"/>
    </row>
    <row r="605" ht="15" customHeight="1">
      <c r="A605" t="inlineStr">
        <is>
          <t>A 7184-2024</t>
        </is>
      </c>
      <c r="B605" s="1" t="n">
        <v>45344</v>
      </c>
      <c r="C605" s="1" t="n">
        <v>45924</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36587-2024</t>
        </is>
      </c>
      <c r="B606" s="1" t="n">
        <v>45537</v>
      </c>
      <c r="C606" s="1" t="n">
        <v>45924</v>
      </c>
      <c r="D606" t="inlineStr">
        <is>
          <t>VÄRMLANDS LÄN</t>
        </is>
      </c>
      <c r="E606" t="inlineStr">
        <is>
          <t>ÅRJÄNG</t>
        </is>
      </c>
      <c r="G606" t="n">
        <v>2.6</v>
      </c>
      <c r="H606" t="n">
        <v>0</v>
      </c>
      <c r="I606" t="n">
        <v>0</v>
      </c>
      <c r="J606" t="n">
        <v>0</v>
      </c>
      <c r="K606" t="n">
        <v>0</v>
      </c>
      <c r="L606" t="n">
        <v>0</v>
      </c>
      <c r="M606" t="n">
        <v>0</v>
      </c>
      <c r="N606" t="n">
        <v>0</v>
      </c>
      <c r="O606" t="n">
        <v>0</v>
      </c>
      <c r="P606" t="n">
        <v>0</v>
      </c>
      <c r="Q606" t="n">
        <v>0</v>
      </c>
      <c r="R606" s="2" t="inlineStr"/>
    </row>
    <row r="607" ht="15" customHeight="1">
      <c r="A607" t="inlineStr">
        <is>
          <t>A 15828-2024</t>
        </is>
      </c>
      <c r="B607" s="1" t="n">
        <v>45404</v>
      </c>
      <c r="C607" s="1" t="n">
        <v>45924</v>
      </c>
      <c r="D607" t="inlineStr">
        <is>
          <t>VÄRMLANDS LÄN</t>
        </is>
      </c>
      <c r="E607" t="inlineStr">
        <is>
          <t>ÅRJÄNG</t>
        </is>
      </c>
      <c r="G607" t="n">
        <v>1.5</v>
      </c>
      <c r="H607" t="n">
        <v>0</v>
      </c>
      <c r="I607" t="n">
        <v>0</v>
      </c>
      <c r="J607" t="n">
        <v>0</v>
      </c>
      <c r="K607" t="n">
        <v>0</v>
      </c>
      <c r="L607" t="n">
        <v>0</v>
      </c>
      <c r="M607" t="n">
        <v>0</v>
      </c>
      <c r="N607" t="n">
        <v>0</v>
      </c>
      <c r="O607" t="n">
        <v>0</v>
      </c>
      <c r="P607" t="n">
        <v>0</v>
      </c>
      <c r="Q607" t="n">
        <v>0</v>
      </c>
      <c r="R607" s="2" t="inlineStr"/>
    </row>
    <row r="608" ht="15" customHeight="1">
      <c r="A608" t="inlineStr">
        <is>
          <t>A 44934-2024</t>
        </is>
      </c>
      <c r="B608" s="1" t="n">
        <v>45575</v>
      </c>
      <c r="C608" s="1" t="n">
        <v>45924</v>
      </c>
      <c r="D608" t="inlineStr">
        <is>
          <t>VÄRMLANDS LÄN</t>
        </is>
      </c>
      <c r="E608" t="inlineStr">
        <is>
          <t>ÅRJÄNG</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33600-2025</t>
        </is>
      </c>
      <c r="B609" s="1" t="n">
        <v>45841.60918981482</v>
      </c>
      <c r="C609" s="1" t="n">
        <v>45924</v>
      </c>
      <c r="D609" t="inlineStr">
        <is>
          <t>VÄRMLANDS LÄN</t>
        </is>
      </c>
      <c r="E609" t="inlineStr">
        <is>
          <t>ÅRJÄNG</t>
        </is>
      </c>
      <c r="G609" t="n">
        <v>1.3</v>
      </c>
      <c r="H609" t="n">
        <v>0</v>
      </c>
      <c r="I609" t="n">
        <v>0</v>
      </c>
      <c r="J609" t="n">
        <v>0</v>
      </c>
      <c r="K609" t="n">
        <v>0</v>
      </c>
      <c r="L609" t="n">
        <v>0</v>
      </c>
      <c r="M609" t="n">
        <v>0</v>
      </c>
      <c r="N609" t="n">
        <v>0</v>
      </c>
      <c r="O609" t="n">
        <v>0</v>
      </c>
      <c r="P609" t="n">
        <v>0</v>
      </c>
      <c r="Q609" t="n">
        <v>0</v>
      </c>
      <c r="R609" s="2" t="inlineStr"/>
    </row>
    <row r="610" ht="15" customHeight="1">
      <c r="A610" t="inlineStr">
        <is>
          <t>A 33412-2025</t>
        </is>
      </c>
      <c r="B610" s="1" t="n">
        <v>45841</v>
      </c>
      <c r="C610" s="1" t="n">
        <v>45924</v>
      </c>
      <c r="D610" t="inlineStr">
        <is>
          <t>VÄRMLANDS LÄN</t>
        </is>
      </c>
      <c r="E610" t="inlineStr">
        <is>
          <t>ÅRJÄNG</t>
        </is>
      </c>
      <c r="G610" t="n">
        <v>4.1</v>
      </c>
      <c r="H610" t="n">
        <v>0</v>
      </c>
      <c r="I610" t="n">
        <v>0</v>
      </c>
      <c r="J610" t="n">
        <v>0</v>
      </c>
      <c r="K610" t="n">
        <v>0</v>
      </c>
      <c r="L610" t="n">
        <v>0</v>
      </c>
      <c r="M610" t="n">
        <v>0</v>
      </c>
      <c r="N610" t="n">
        <v>0</v>
      </c>
      <c r="O610" t="n">
        <v>0</v>
      </c>
      <c r="P610" t="n">
        <v>0</v>
      </c>
      <c r="Q610" t="n">
        <v>0</v>
      </c>
      <c r="R610" s="2" t="inlineStr"/>
    </row>
    <row r="611" ht="15" customHeight="1">
      <c r="A611" t="inlineStr">
        <is>
          <t>A 13824-2024</t>
        </is>
      </c>
      <c r="B611" s="1" t="n">
        <v>45391.42951388889</v>
      </c>
      <c r="C611" s="1" t="n">
        <v>45924</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32541-2023</t>
        </is>
      </c>
      <c r="B612" s="1" t="n">
        <v>45121.39616898148</v>
      </c>
      <c r="C612" s="1" t="n">
        <v>45924</v>
      </c>
      <c r="D612" t="inlineStr">
        <is>
          <t>VÄRMLANDS LÄN</t>
        </is>
      </c>
      <c r="E612" t="inlineStr">
        <is>
          <t>ÅRJÄNG</t>
        </is>
      </c>
      <c r="G612" t="n">
        <v>0.4</v>
      </c>
      <c r="H612" t="n">
        <v>0</v>
      </c>
      <c r="I612" t="n">
        <v>0</v>
      </c>
      <c r="J612" t="n">
        <v>0</v>
      </c>
      <c r="K612" t="n">
        <v>0</v>
      </c>
      <c r="L612" t="n">
        <v>0</v>
      </c>
      <c r="M612" t="n">
        <v>0</v>
      </c>
      <c r="N612" t="n">
        <v>0</v>
      </c>
      <c r="O612" t="n">
        <v>0</v>
      </c>
      <c r="P612" t="n">
        <v>0</v>
      </c>
      <c r="Q612" t="n">
        <v>0</v>
      </c>
      <c r="R612" s="2" t="inlineStr"/>
    </row>
    <row r="613" ht="15" customHeight="1">
      <c r="A613" t="inlineStr">
        <is>
          <t>A 24281-2024</t>
        </is>
      </c>
      <c r="B613" s="1" t="n">
        <v>45457</v>
      </c>
      <c r="C613" s="1" t="n">
        <v>45924</v>
      </c>
      <c r="D613" t="inlineStr">
        <is>
          <t>VÄRMLANDS LÄN</t>
        </is>
      </c>
      <c r="E613" t="inlineStr">
        <is>
          <t>ÅRJÄNG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33526-2025</t>
        </is>
      </c>
      <c r="B614" s="1" t="n">
        <v>45841.54869212963</v>
      </c>
      <c r="C614" s="1" t="n">
        <v>45924</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3734-2023</t>
        </is>
      </c>
      <c r="B615" s="1" t="n">
        <v>44948</v>
      </c>
      <c r="C615" s="1" t="n">
        <v>45924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61814-2024</t>
        </is>
      </c>
      <c r="B616" s="1" t="n">
        <v>45646</v>
      </c>
      <c r="C616" s="1" t="n">
        <v>45924</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4798-2022</t>
        </is>
      </c>
      <c r="B617" s="1" t="n">
        <v>44592.6534375</v>
      </c>
      <c r="C617" s="1" t="n">
        <v>45924</v>
      </c>
      <c r="D617" t="inlineStr">
        <is>
          <t>VÄRMLANDS LÄN</t>
        </is>
      </c>
      <c r="E617" t="inlineStr">
        <is>
          <t>ÅRJÄNG</t>
        </is>
      </c>
      <c r="G617" t="n">
        <v>4.1</v>
      </c>
      <c r="H617" t="n">
        <v>0</v>
      </c>
      <c r="I617" t="n">
        <v>0</v>
      </c>
      <c r="J617" t="n">
        <v>0</v>
      </c>
      <c r="K617" t="n">
        <v>0</v>
      </c>
      <c r="L617" t="n">
        <v>0</v>
      </c>
      <c r="M617" t="n">
        <v>0</v>
      </c>
      <c r="N617" t="n">
        <v>0</v>
      </c>
      <c r="O617" t="n">
        <v>0</v>
      </c>
      <c r="P617" t="n">
        <v>0</v>
      </c>
      <c r="Q617" t="n">
        <v>0</v>
      </c>
      <c r="R617" s="2" t="inlineStr"/>
    </row>
    <row r="618" ht="15" customHeight="1">
      <c r="A618" t="inlineStr">
        <is>
          <t>A 14310-2022</t>
        </is>
      </c>
      <c r="B618" s="1" t="n">
        <v>44652</v>
      </c>
      <c r="C618" s="1" t="n">
        <v>45924</v>
      </c>
      <c r="D618" t="inlineStr">
        <is>
          <t>VÄRMLANDS LÄN</t>
        </is>
      </c>
      <c r="E618" t="inlineStr">
        <is>
          <t>ÅRJÄNG</t>
        </is>
      </c>
      <c r="G618" t="n">
        <v>2.5</v>
      </c>
      <c r="H618" t="n">
        <v>0</v>
      </c>
      <c r="I618" t="n">
        <v>0</v>
      </c>
      <c r="J618" t="n">
        <v>0</v>
      </c>
      <c r="K618" t="n">
        <v>0</v>
      </c>
      <c r="L618" t="n">
        <v>0</v>
      </c>
      <c r="M618" t="n">
        <v>0</v>
      </c>
      <c r="N618" t="n">
        <v>0</v>
      </c>
      <c r="O618" t="n">
        <v>0</v>
      </c>
      <c r="P618" t="n">
        <v>0</v>
      </c>
      <c r="Q618" t="n">
        <v>0</v>
      </c>
      <c r="R618" s="2" t="inlineStr"/>
    </row>
    <row r="619" ht="15" customHeight="1">
      <c r="A619" t="inlineStr">
        <is>
          <t>A 57142-2024</t>
        </is>
      </c>
      <c r="B619" s="1" t="n">
        <v>45628</v>
      </c>
      <c r="C619" s="1" t="n">
        <v>45924</v>
      </c>
      <c r="D619" t="inlineStr">
        <is>
          <t>VÄRMLANDS LÄN</t>
        </is>
      </c>
      <c r="E619" t="inlineStr">
        <is>
          <t>ÅRJÄNG</t>
        </is>
      </c>
      <c r="G619" t="n">
        <v>5.4</v>
      </c>
      <c r="H619" t="n">
        <v>0</v>
      </c>
      <c r="I619" t="n">
        <v>0</v>
      </c>
      <c r="J619" t="n">
        <v>0</v>
      </c>
      <c r="K619" t="n">
        <v>0</v>
      </c>
      <c r="L619" t="n">
        <v>0</v>
      </c>
      <c r="M619" t="n">
        <v>0</v>
      </c>
      <c r="N619" t="n">
        <v>0</v>
      </c>
      <c r="O619" t="n">
        <v>0</v>
      </c>
      <c r="P619" t="n">
        <v>0</v>
      </c>
      <c r="Q619" t="n">
        <v>0</v>
      </c>
      <c r="R619" s="2" t="inlineStr"/>
    </row>
    <row r="620" ht="15" customHeight="1">
      <c r="A620" t="inlineStr">
        <is>
          <t>A 33481-2025</t>
        </is>
      </c>
      <c r="B620" s="1" t="n">
        <v>45841</v>
      </c>
      <c r="C620" s="1" t="n">
        <v>45924</v>
      </c>
      <c r="D620" t="inlineStr">
        <is>
          <t>VÄRMLANDS LÄN</t>
        </is>
      </c>
      <c r="E620" t="inlineStr">
        <is>
          <t>ÅRJÄNG</t>
        </is>
      </c>
      <c r="G620" t="n">
        <v>10.3</v>
      </c>
      <c r="H620" t="n">
        <v>0</v>
      </c>
      <c r="I620" t="n">
        <v>0</v>
      </c>
      <c r="J620" t="n">
        <v>0</v>
      </c>
      <c r="K620" t="n">
        <v>0</v>
      </c>
      <c r="L620" t="n">
        <v>0</v>
      </c>
      <c r="M620" t="n">
        <v>0</v>
      </c>
      <c r="N620" t="n">
        <v>0</v>
      </c>
      <c r="O620" t="n">
        <v>0</v>
      </c>
      <c r="P620" t="n">
        <v>0</v>
      </c>
      <c r="Q620" t="n">
        <v>0</v>
      </c>
      <c r="R620" s="2" t="inlineStr"/>
    </row>
    <row r="621" ht="15" customHeight="1">
      <c r="A621" t="inlineStr">
        <is>
          <t>A 33998-2025</t>
        </is>
      </c>
      <c r="B621" s="1" t="n">
        <v>45843.99453703704</v>
      </c>
      <c r="C621" s="1" t="n">
        <v>45924</v>
      </c>
      <c r="D621" t="inlineStr">
        <is>
          <t>VÄRMLANDS LÄN</t>
        </is>
      </c>
      <c r="E621" t="inlineStr">
        <is>
          <t>ÅRJÄNG</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26866-2024</t>
        </is>
      </c>
      <c r="B622" s="1" t="n">
        <v>45470</v>
      </c>
      <c r="C622" s="1" t="n">
        <v>45924</v>
      </c>
      <c r="D622" t="inlineStr">
        <is>
          <t>VÄRMLANDS LÄN</t>
        </is>
      </c>
      <c r="E622" t="inlineStr">
        <is>
          <t>ÅRJÄNG</t>
        </is>
      </c>
      <c r="F622" t="inlineStr">
        <is>
          <t>Kyrkan</t>
        </is>
      </c>
      <c r="G622" t="n">
        <v>3.3</v>
      </c>
      <c r="H622" t="n">
        <v>0</v>
      </c>
      <c r="I622" t="n">
        <v>0</v>
      </c>
      <c r="J622" t="n">
        <v>0</v>
      </c>
      <c r="K622" t="n">
        <v>0</v>
      </c>
      <c r="L622" t="n">
        <v>0</v>
      </c>
      <c r="M622" t="n">
        <v>0</v>
      </c>
      <c r="N622" t="n">
        <v>0</v>
      </c>
      <c r="O622" t="n">
        <v>0</v>
      </c>
      <c r="P622" t="n">
        <v>0</v>
      </c>
      <c r="Q622" t="n">
        <v>0</v>
      </c>
      <c r="R622" s="2" t="inlineStr"/>
    </row>
    <row r="623" ht="15" customHeight="1">
      <c r="A623" t="inlineStr">
        <is>
          <t>A 34248-2025</t>
        </is>
      </c>
      <c r="B623" s="1" t="n">
        <v>45845</v>
      </c>
      <c r="C623" s="1" t="n">
        <v>45924</v>
      </c>
      <c r="D623" t="inlineStr">
        <is>
          <t>VÄRMLANDS LÄN</t>
        </is>
      </c>
      <c r="E623" t="inlineStr">
        <is>
          <t>ÅRJÄNG</t>
        </is>
      </c>
      <c r="G623" t="n">
        <v>2.7</v>
      </c>
      <c r="H623" t="n">
        <v>0</v>
      </c>
      <c r="I623" t="n">
        <v>0</v>
      </c>
      <c r="J623" t="n">
        <v>0</v>
      </c>
      <c r="K623" t="n">
        <v>0</v>
      </c>
      <c r="L623" t="n">
        <v>0</v>
      </c>
      <c r="M623" t="n">
        <v>0</v>
      </c>
      <c r="N623" t="n">
        <v>0</v>
      </c>
      <c r="O623" t="n">
        <v>0</v>
      </c>
      <c r="P623" t="n">
        <v>0</v>
      </c>
      <c r="Q623" t="n">
        <v>0</v>
      </c>
      <c r="R623" s="2" t="inlineStr"/>
    </row>
    <row r="624" ht="15" customHeight="1">
      <c r="A624" t="inlineStr">
        <is>
          <t>A 38742-2025</t>
        </is>
      </c>
      <c r="B624" s="1" t="n">
        <v>45887.37425925926</v>
      </c>
      <c r="C624" s="1" t="n">
        <v>45924</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34243-2025</t>
        </is>
      </c>
      <c r="B625" s="1" t="n">
        <v>45845</v>
      </c>
      <c r="C625" s="1" t="n">
        <v>45924</v>
      </c>
      <c r="D625" t="inlineStr">
        <is>
          <t>VÄRMLANDS LÄN</t>
        </is>
      </c>
      <c r="E625" t="inlineStr">
        <is>
          <t>ÅRJÄNG</t>
        </is>
      </c>
      <c r="G625" t="n">
        <v>2.6</v>
      </c>
      <c r="H625" t="n">
        <v>0</v>
      </c>
      <c r="I625" t="n">
        <v>0</v>
      </c>
      <c r="J625" t="n">
        <v>0</v>
      </c>
      <c r="K625" t="n">
        <v>0</v>
      </c>
      <c r="L625" t="n">
        <v>0</v>
      </c>
      <c r="M625" t="n">
        <v>0</v>
      </c>
      <c r="N625" t="n">
        <v>0</v>
      </c>
      <c r="O625" t="n">
        <v>0</v>
      </c>
      <c r="P625" t="n">
        <v>0</v>
      </c>
      <c r="Q625" t="n">
        <v>0</v>
      </c>
      <c r="R625" s="2" t="inlineStr"/>
    </row>
    <row r="626" ht="15" customHeight="1">
      <c r="A626" t="inlineStr">
        <is>
          <t>A 33993-2025</t>
        </is>
      </c>
      <c r="B626" s="1" t="n">
        <v>45843.61189814815</v>
      </c>
      <c r="C626" s="1" t="n">
        <v>45924</v>
      </c>
      <c r="D626" t="inlineStr">
        <is>
          <t>VÄRMLANDS LÄN</t>
        </is>
      </c>
      <c r="E626" t="inlineStr">
        <is>
          <t>ÅRJÄNG</t>
        </is>
      </c>
      <c r="G626" t="n">
        <v>2.4</v>
      </c>
      <c r="H626" t="n">
        <v>0</v>
      </c>
      <c r="I626" t="n">
        <v>0</v>
      </c>
      <c r="J626" t="n">
        <v>0</v>
      </c>
      <c r="K626" t="n">
        <v>0</v>
      </c>
      <c r="L626" t="n">
        <v>0</v>
      </c>
      <c r="M626" t="n">
        <v>0</v>
      </c>
      <c r="N626" t="n">
        <v>0</v>
      </c>
      <c r="O626" t="n">
        <v>0</v>
      </c>
      <c r="P626" t="n">
        <v>0</v>
      </c>
      <c r="Q626" t="n">
        <v>0</v>
      </c>
      <c r="R626" s="2" t="inlineStr"/>
    </row>
    <row r="627" ht="15" customHeight="1">
      <c r="A627" t="inlineStr">
        <is>
          <t>A 5256-2023</t>
        </is>
      </c>
      <c r="B627" s="1" t="n">
        <v>44959.45520833333</v>
      </c>
      <c r="C627" s="1" t="n">
        <v>45924</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34230-2025</t>
        </is>
      </c>
      <c r="B628" s="1" t="n">
        <v>45845</v>
      </c>
      <c r="C628" s="1" t="n">
        <v>45924</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34235-2025</t>
        </is>
      </c>
      <c r="B629" s="1" t="n">
        <v>45845</v>
      </c>
      <c r="C629" s="1" t="n">
        <v>45924</v>
      </c>
      <c r="D629" t="inlineStr">
        <is>
          <t>VÄRMLANDS LÄN</t>
        </is>
      </c>
      <c r="E629" t="inlineStr">
        <is>
          <t>ÅRJÄNG</t>
        </is>
      </c>
      <c r="G629" t="n">
        <v>3.5</v>
      </c>
      <c r="H629" t="n">
        <v>0</v>
      </c>
      <c r="I629" t="n">
        <v>0</v>
      </c>
      <c r="J629" t="n">
        <v>0</v>
      </c>
      <c r="K629" t="n">
        <v>0</v>
      </c>
      <c r="L629" t="n">
        <v>0</v>
      </c>
      <c r="M629" t="n">
        <v>0</v>
      </c>
      <c r="N629" t="n">
        <v>0</v>
      </c>
      <c r="O629" t="n">
        <v>0</v>
      </c>
      <c r="P629" t="n">
        <v>0</v>
      </c>
      <c r="Q629" t="n">
        <v>0</v>
      </c>
      <c r="R629" s="2" t="inlineStr"/>
    </row>
    <row r="630" ht="15" customHeight="1">
      <c r="A630" t="inlineStr">
        <is>
          <t>A 13784-2024</t>
        </is>
      </c>
      <c r="B630" s="1" t="n">
        <v>45391.33817129629</v>
      </c>
      <c r="C630" s="1" t="n">
        <v>45924</v>
      </c>
      <c r="D630" t="inlineStr">
        <is>
          <t>VÄRMLANDS LÄN</t>
        </is>
      </c>
      <c r="E630" t="inlineStr">
        <is>
          <t>ÅRJÄNG</t>
        </is>
      </c>
      <c r="G630" t="n">
        <v>2.1</v>
      </c>
      <c r="H630" t="n">
        <v>0</v>
      </c>
      <c r="I630" t="n">
        <v>0</v>
      </c>
      <c r="J630" t="n">
        <v>0</v>
      </c>
      <c r="K630" t="n">
        <v>0</v>
      </c>
      <c r="L630" t="n">
        <v>0</v>
      </c>
      <c r="M630" t="n">
        <v>0</v>
      </c>
      <c r="N630" t="n">
        <v>0</v>
      </c>
      <c r="O630" t="n">
        <v>0</v>
      </c>
      <c r="P630" t="n">
        <v>0</v>
      </c>
      <c r="Q630" t="n">
        <v>0</v>
      </c>
      <c r="R630" s="2" t="inlineStr"/>
    </row>
    <row r="631" ht="15" customHeight="1">
      <c r="A631" t="inlineStr">
        <is>
          <t>A 57546-2024</t>
        </is>
      </c>
      <c r="B631" s="1" t="n">
        <v>45629</v>
      </c>
      <c r="C631" s="1" t="n">
        <v>45924</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19511-2024</t>
        </is>
      </c>
      <c r="B632" s="1" t="n">
        <v>45429.6099537037</v>
      </c>
      <c r="C632" s="1" t="n">
        <v>45924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19516-2024</t>
        </is>
      </c>
      <c r="B633" s="1" t="n">
        <v>45429.61491898148</v>
      </c>
      <c r="C633" s="1" t="n">
        <v>45924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44385-2022</t>
        </is>
      </c>
      <c r="B634" s="1" t="n">
        <v>44839</v>
      </c>
      <c r="C634" s="1" t="n">
        <v>45924</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33832-2025</t>
        </is>
      </c>
      <c r="B635" s="1" t="n">
        <v>45842.47506944444</v>
      </c>
      <c r="C635" s="1" t="n">
        <v>45924</v>
      </c>
      <c r="D635" t="inlineStr">
        <is>
          <t>VÄRMLANDS LÄN</t>
        </is>
      </c>
      <c r="E635" t="inlineStr">
        <is>
          <t>ÅRJÄNG</t>
        </is>
      </c>
      <c r="G635" t="n">
        <v>2</v>
      </c>
      <c r="H635" t="n">
        <v>0</v>
      </c>
      <c r="I635" t="n">
        <v>0</v>
      </c>
      <c r="J635" t="n">
        <v>0</v>
      </c>
      <c r="K635" t="n">
        <v>0</v>
      </c>
      <c r="L635" t="n">
        <v>0</v>
      </c>
      <c r="M635" t="n">
        <v>0</v>
      </c>
      <c r="N635" t="n">
        <v>0</v>
      </c>
      <c r="O635" t="n">
        <v>0</v>
      </c>
      <c r="P635" t="n">
        <v>0</v>
      </c>
      <c r="Q635" t="n">
        <v>0</v>
      </c>
      <c r="R635" s="2" t="inlineStr"/>
    </row>
    <row r="636" ht="15" customHeight="1">
      <c r="A636" t="inlineStr">
        <is>
          <t>A 51109-2022</t>
        </is>
      </c>
      <c r="B636" s="1" t="n">
        <v>44868.43569444444</v>
      </c>
      <c r="C636" s="1" t="n">
        <v>45924</v>
      </c>
      <c r="D636" t="inlineStr">
        <is>
          <t>VÄRMLANDS LÄN</t>
        </is>
      </c>
      <c r="E636" t="inlineStr">
        <is>
          <t>ÅRJÄNG</t>
        </is>
      </c>
      <c r="G636" t="n">
        <v>4.3</v>
      </c>
      <c r="H636" t="n">
        <v>0</v>
      </c>
      <c r="I636" t="n">
        <v>0</v>
      </c>
      <c r="J636" t="n">
        <v>0</v>
      </c>
      <c r="K636" t="n">
        <v>0</v>
      </c>
      <c r="L636" t="n">
        <v>0</v>
      </c>
      <c r="M636" t="n">
        <v>0</v>
      </c>
      <c r="N636" t="n">
        <v>0</v>
      </c>
      <c r="O636" t="n">
        <v>0</v>
      </c>
      <c r="P636" t="n">
        <v>0</v>
      </c>
      <c r="Q636" t="n">
        <v>0</v>
      </c>
      <c r="R636" s="2" t="inlineStr"/>
    </row>
    <row r="637" ht="15" customHeight="1">
      <c r="A637" t="inlineStr">
        <is>
          <t>A 17015-2023</t>
        </is>
      </c>
      <c r="B637" s="1" t="n">
        <v>45030</v>
      </c>
      <c r="C637" s="1" t="n">
        <v>45924</v>
      </c>
      <c r="D637" t="inlineStr">
        <is>
          <t>VÄRMLANDS LÄN</t>
        </is>
      </c>
      <c r="E637" t="inlineStr">
        <is>
          <t>ÅRJÄNG</t>
        </is>
      </c>
      <c r="F637" t="inlineStr">
        <is>
          <t>Övriga Aktiebolag</t>
        </is>
      </c>
      <c r="G637" t="n">
        <v>13.9</v>
      </c>
      <c r="H637" t="n">
        <v>0</v>
      </c>
      <c r="I637" t="n">
        <v>0</v>
      </c>
      <c r="J637" t="n">
        <v>0</v>
      </c>
      <c r="K637" t="n">
        <v>0</v>
      </c>
      <c r="L637" t="n">
        <v>0</v>
      </c>
      <c r="M637" t="n">
        <v>0</v>
      </c>
      <c r="N637" t="n">
        <v>0</v>
      </c>
      <c r="O637" t="n">
        <v>0</v>
      </c>
      <c r="P637" t="n">
        <v>0</v>
      </c>
      <c r="Q637" t="n">
        <v>0</v>
      </c>
      <c r="R637" s="2" t="inlineStr"/>
    </row>
    <row r="638" ht="15" customHeight="1">
      <c r="A638" t="inlineStr">
        <is>
          <t>A 34252-2025</t>
        </is>
      </c>
      <c r="B638" s="1" t="n">
        <v>45845</v>
      </c>
      <c r="C638" s="1" t="n">
        <v>45924</v>
      </c>
      <c r="D638" t="inlineStr">
        <is>
          <t>VÄRMLANDS LÄN</t>
        </is>
      </c>
      <c r="E638" t="inlineStr">
        <is>
          <t>ÅRJÄNG</t>
        </is>
      </c>
      <c r="G638" t="n">
        <v>7.1</v>
      </c>
      <c r="H638" t="n">
        <v>0</v>
      </c>
      <c r="I638" t="n">
        <v>0</v>
      </c>
      <c r="J638" t="n">
        <v>0</v>
      </c>
      <c r="K638" t="n">
        <v>0</v>
      </c>
      <c r="L638" t="n">
        <v>0</v>
      </c>
      <c r="M638" t="n">
        <v>0</v>
      </c>
      <c r="N638" t="n">
        <v>0</v>
      </c>
      <c r="O638" t="n">
        <v>0</v>
      </c>
      <c r="P638" t="n">
        <v>0</v>
      </c>
      <c r="Q638" t="n">
        <v>0</v>
      </c>
      <c r="R638" s="2" t="inlineStr"/>
      <c r="U638">
        <f>HYPERLINK("https://klasma.github.io/Logging_1765/knärot/A 34252-2025 karta knärot.png", "A 34252-2025")</f>
        <v/>
      </c>
      <c r="V638">
        <f>HYPERLINK("https://klasma.github.io/Logging_1765/klagomål/A 34252-2025 FSC-klagomål.docx", "A 34252-2025")</f>
        <v/>
      </c>
      <c r="W638">
        <f>HYPERLINK("https://klasma.github.io/Logging_1765/klagomålsmail/A 34252-2025 FSC-klagomål mail.docx", "A 34252-2025")</f>
        <v/>
      </c>
      <c r="X638">
        <f>HYPERLINK("https://klasma.github.io/Logging_1765/tillsyn/A 34252-2025 tillsynsbegäran.docx", "A 34252-2025")</f>
        <v/>
      </c>
      <c r="Y638">
        <f>HYPERLINK("https://klasma.github.io/Logging_1765/tillsynsmail/A 34252-2025 tillsynsbegäran mail.docx", "A 34252-2025")</f>
        <v/>
      </c>
    </row>
    <row r="639" ht="15" customHeight="1">
      <c r="A639" t="inlineStr">
        <is>
          <t>A 42667-2023</t>
        </is>
      </c>
      <c r="B639" s="1" t="n">
        <v>45176</v>
      </c>
      <c r="C639" s="1" t="n">
        <v>45924</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69862-2021</t>
        </is>
      </c>
      <c r="B640" s="1" t="n">
        <v>44532</v>
      </c>
      <c r="C640" s="1" t="n">
        <v>45924</v>
      </c>
      <c r="D640" t="inlineStr">
        <is>
          <t>VÄRMLANDS LÄN</t>
        </is>
      </c>
      <c r="E640" t="inlineStr">
        <is>
          <t>ÅRJÄNG</t>
        </is>
      </c>
      <c r="G640" t="n">
        <v>1.6</v>
      </c>
      <c r="H640" t="n">
        <v>0</v>
      </c>
      <c r="I640" t="n">
        <v>0</v>
      </c>
      <c r="J640" t="n">
        <v>0</v>
      </c>
      <c r="K640" t="n">
        <v>0</v>
      </c>
      <c r="L640" t="n">
        <v>0</v>
      </c>
      <c r="M640" t="n">
        <v>0</v>
      </c>
      <c r="N640" t="n">
        <v>0</v>
      </c>
      <c r="O640" t="n">
        <v>0</v>
      </c>
      <c r="P640" t="n">
        <v>0</v>
      </c>
      <c r="Q640" t="n">
        <v>0</v>
      </c>
      <c r="R640" s="2" t="inlineStr"/>
    </row>
    <row r="641" ht="15" customHeight="1">
      <c r="A641" t="inlineStr">
        <is>
          <t>A 38867-2025</t>
        </is>
      </c>
      <c r="B641" s="1" t="n">
        <v>45887</v>
      </c>
      <c r="C641" s="1" t="n">
        <v>45924</v>
      </c>
      <c r="D641" t="inlineStr">
        <is>
          <t>VÄRMLANDS LÄN</t>
        </is>
      </c>
      <c r="E641" t="inlineStr">
        <is>
          <t>ÅRJÄNG</t>
        </is>
      </c>
      <c r="G641" t="n">
        <v>5.7</v>
      </c>
      <c r="H641" t="n">
        <v>0</v>
      </c>
      <c r="I641" t="n">
        <v>0</v>
      </c>
      <c r="J641" t="n">
        <v>0</v>
      </c>
      <c r="K641" t="n">
        <v>0</v>
      </c>
      <c r="L641" t="n">
        <v>0</v>
      </c>
      <c r="M641" t="n">
        <v>0</v>
      </c>
      <c r="N641" t="n">
        <v>0</v>
      </c>
      <c r="O641" t="n">
        <v>0</v>
      </c>
      <c r="P641" t="n">
        <v>0</v>
      </c>
      <c r="Q641" t="n">
        <v>0</v>
      </c>
      <c r="R641" s="2" t="inlineStr"/>
    </row>
    <row r="642" ht="15" customHeight="1">
      <c r="A642" t="inlineStr">
        <is>
          <t>A 14710-2025</t>
        </is>
      </c>
      <c r="B642" s="1" t="n">
        <v>45742.60868055555</v>
      </c>
      <c r="C642" s="1" t="n">
        <v>45924</v>
      </c>
      <c r="D642" t="inlineStr">
        <is>
          <t>VÄRMLANDS LÄN</t>
        </is>
      </c>
      <c r="E642" t="inlineStr">
        <is>
          <t>ÅRJÄNG</t>
        </is>
      </c>
      <c r="G642" t="n">
        <v>1.2</v>
      </c>
      <c r="H642" t="n">
        <v>0</v>
      </c>
      <c r="I642" t="n">
        <v>0</v>
      </c>
      <c r="J642" t="n">
        <v>0</v>
      </c>
      <c r="K642" t="n">
        <v>0</v>
      </c>
      <c r="L642" t="n">
        <v>0</v>
      </c>
      <c r="M642" t="n">
        <v>0</v>
      </c>
      <c r="N642" t="n">
        <v>0</v>
      </c>
      <c r="O642" t="n">
        <v>0</v>
      </c>
      <c r="P642" t="n">
        <v>0</v>
      </c>
      <c r="Q642" t="n">
        <v>0</v>
      </c>
      <c r="R642" s="2" t="inlineStr"/>
    </row>
    <row r="643" ht="15" customHeight="1">
      <c r="A643" t="inlineStr">
        <is>
          <t>A 13036-2025</t>
        </is>
      </c>
      <c r="B643" s="1" t="n">
        <v>45734.57474537037</v>
      </c>
      <c r="C643" s="1" t="n">
        <v>45924</v>
      </c>
      <c r="D643" t="inlineStr">
        <is>
          <t>VÄRMLANDS LÄN</t>
        </is>
      </c>
      <c r="E643" t="inlineStr">
        <is>
          <t>ÅRJÄNG</t>
        </is>
      </c>
      <c r="G643" t="n">
        <v>5.6</v>
      </c>
      <c r="H643" t="n">
        <v>0</v>
      </c>
      <c r="I643" t="n">
        <v>0</v>
      </c>
      <c r="J643" t="n">
        <v>0</v>
      </c>
      <c r="K643" t="n">
        <v>0</v>
      </c>
      <c r="L643" t="n">
        <v>0</v>
      </c>
      <c r="M643" t="n">
        <v>0</v>
      </c>
      <c r="N643" t="n">
        <v>0</v>
      </c>
      <c r="O643" t="n">
        <v>0</v>
      </c>
      <c r="P643" t="n">
        <v>0</v>
      </c>
      <c r="Q643" t="n">
        <v>0</v>
      </c>
      <c r="R643" s="2" t="inlineStr"/>
    </row>
    <row r="644" ht="15" customHeight="1">
      <c r="A644" t="inlineStr">
        <is>
          <t>A 236-2025</t>
        </is>
      </c>
      <c r="B644" s="1" t="n">
        <v>45653</v>
      </c>
      <c r="C644" s="1" t="n">
        <v>45924</v>
      </c>
      <c r="D644" t="inlineStr">
        <is>
          <t>VÄRMLANDS LÄN</t>
        </is>
      </c>
      <c r="E644" t="inlineStr">
        <is>
          <t>ÅRJÄNG</t>
        </is>
      </c>
      <c r="F644" t="inlineStr">
        <is>
          <t>Övriga Aktiebolag</t>
        </is>
      </c>
      <c r="G644" t="n">
        <v>3</v>
      </c>
      <c r="H644" t="n">
        <v>0</v>
      </c>
      <c r="I644" t="n">
        <v>0</v>
      </c>
      <c r="J644" t="n">
        <v>0</v>
      </c>
      <c r="K644" t="n">
        <v>0</v>
      </c>
      <c r="L644" t="n">
        <v>0</v>
      </c>
      <c r="M644" t="n">
        <v>0</v>
      </c>
      <c r="N644" t="n">
        <v>0</v>
      </c>
      <c r="O644" t="n">
        <v>0</v>
      </c>
      <c r="P644" t="n">
        <v>0</v>
      </c>
      <c r="Q644" t="n">
        <v>0</v>
      </c>
      <c r="R644" s="2" t="inlineStr"/>
    </row>
    <row r="645" ht="15" customHeight="1">
      <c r="A645" t="inlineStr">
        <is>
          <t>A 45651-2024</t>
        </is>
      </c>
      <c r="B645" s="1" t="n">
        <v>45579</v>
      </c>
      <c r="C645" s="1" t="n">
        <v>45924</v>
      </c>
      <c r="D645" t="inlineStr">
        <is>
          <t>VÄRMLANDS LÄN</t>
        </is>
      </c>
      <c r="E645" t="inlineStr">
        <is>
          <t>ÅRJÄNG</t>
        </is>
      </c>
      <c r="G645" t="n">
        <v>1.1</v>
      </c>
      <c r="H645" t="n">
        <v>0</v>
      </c>
      <c r="I645" t="n">
        <v>0</v>
      </c>
      <c r="J645" t="n">
        <v>0</v>
      </c>
      <c r="K645" t="n">
        <v>0</v>
      </c>
      <c r="L645" t="n">
        <v>0</v>
      </c>
      <c r="M645" t="n">
        <v>0</v>
      </c>
      <c r="N645" t="n">
        <v>0</v>
      </c>
      <c r="O645" t="n">
        <v>0</v>
      </c>
      <c r="P645" t="n">
        <v>0</v>
      </c>
      <c r="Q645" t="n">
        <v>0</v>
      </c>
      <c r="R645" s="2" t="inlineStr"/>
    </row>
    <row r="646" ht="15" customHeight="1">
      <c r="A646" t="inlineStr">
        <is>
          <t>A 34077-2025</t>
        </is>
      </c>
      <c r="B646" s="1" t="n">
        <v>45845.45206018518</v>
      </c>
      <c r="C646" s="1" t="n">
        <v>45924</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16613-2022</t>
        </is>
      </c>
      <c r="B647" s="1" t="n">
        <v>44672</v>
      </c>
      <c r="C647" s="1" t="n">
        <v>45924</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42241-2024</t>
        </is>
      </c>
      <c r="B648" s="1" t="n">
        <v>45562</v>
      </c>
      <c r="C648" s="1" t="n">
        <v>45924</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34148-2025</t>
        </is>
      </c>
      <c r="B649" s="1" t="n">
        <v>45844</v>
      </c>
      <c r="C649" s="1" t="n">
        <v>45924</v>
      </c>
      <c r="D649" t="inlineStr">
        <is>
          <t>VÄRMLANDS LÄN</t>
        </is>
      </c>
      <c r="E649" t="inlineStr">
        <is>
          <t>ÅRJÄNG</t>
        </is>
      </c>
      <c r="G649" t="n">
        <v>1.2</v>
      </c>
      <c r="H649" t="n">
        <v>0</v>
      </c>
      <c r="I649" t="n">
        <v>0</v>
      </c>
      <c r="J649" t="n">
        <v>0</v>
      </c>
      <c r="K649" t="n">
        <v>0</v>
      </c>
      <c r="L649" t="n">
        <v>0</v>
      </c>
      <c r="M649" t="n">
        <v>0</v>
      </c>
      <c r="N649" t="n">
        <v>0</v>
      </c>
      <c r="O649" t="n">
        <v>0</v>
      </c>
      <c r="P649" t="n">
        <v>0</v>
      </c>
      <c r="Q649" t="n">
        <v>0</v>
      </c>
      <c r="R649" s="2" t="inlineStr"/>
    </row>
    <row r="650" ht="15" customHeight="1">
      <c r="A650" t="inlineStr">
        <is>
          <t>A 19248-2025</t>
        </is>
      </c>
      <c r="B650" s="1" t="n">
        <v>45769.48710648148</v>
      </c>
      <c r="C650" s="1" t="n">
        <v>45924</v>
      </c>
      <c r="D650" t="inlineStr">
        <is>
          <t>VÄRMLANDS LÄN</t>
        </is>
      </c>
      <c r="E650" t="inlineStr">
        <is>
          <t>ÅRJÄNG</t>
        </is>
      </c>
      <c r="G650" t="n">
        <v>5.3</v>
      </c>
      <c r="H650" t="n">
        <v>0</v>
      </c>
      <c r="I650" t="n">
        <v>0</v>
      </c>
      <c r="J650" t="n">
        <v>0</v>
      </c>
      <c r="K650" t="n">
        <v>0</v>
      </c>
      <c r="L650" t="n">
        <v>0</v>
      </c>
      <c r="M650" t="n">
        <v>0</v>
      </c>
      <c r="N650" t="n">
        <v>0</v>
      </c>
      <c r="O650" t="n">
        <v>0</v>
      </c>
      <c r="P650" t="n">
        <v>0</v>
      </c>
      <c r="Q650" t="n">
        <v>0</v>
      </c>
      <c r="R650" s="2" t="inlineStr"/>
    </row>
    <row r="651" ht="15" customHeight="1">
      <c r="A651" t="inlineStr">
        <is>
          <t>A 39079-2025</t>
        </is>
      </c>
      <c r="B651" s="1" t="n">
        <v>45888.48422453704</v>
      </c>
      <c r="C651" s="1" t="n">
        <v>45924</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39094-2025</t>
        </is>
      </c>
      <c r="B652" s="1" t="n">
        <v>45888.4933912037</v>
      </c>
      <c r="C652" s="1" t="n">
        <v>45924</v>
      </c>
      <c r="D652" t="inlineStr">
        <is>
          <t>VÄRMLANDS LÄN</t>
        </is>
      </c>
      <c r="E652" t="inlineStr">
        <is>
          <t>ÅRJÄNG</t>
        </is>
      </c>
      <c r="G652" t="n">
        <v>0.9</v>
      </c>
      <c r="H652" t="n">
        <v>0</v>
      </c>
      <c r="I652" t="n">
        <v>0</v>
      </c>
      <c r="J652" t="n">
        <v>0</v>
      </c>
      <c r="K652" t="n">
        <v>0</v>
      </c>
      <c r="L652" t="n">
        <v>0</v>
      </c>
      <c r="M652" t="n">
        <v>0</v>
      </c>
      <c r="N652" t="n">
        <v>0</v>
      </c>
      <c r="O652" t="n">
        <v>0</v>
      </c>
      <c r="P652" t="n">
        <v>0</v>
      </c>
      <c r="Q652" t="n">
        <v>0</v>
      </c>
      <c r="R652" s="2" t="inlineStr"/>
    </row>
    <row r="653" ht="15" customHeight="1">
      <c r="A653" t="inlineStr">
        <is>
          <t>A 1377-2023</t>
        </is>
      </c>
      <c r="B653" s="1" t="n">
        <v>44936.67111111111</v>
      </c>
      <c r="C653" s="1" t="n">
        <v>45924</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21081-2023</t>
        </is>
      </c>
      <c r="B654" s="1" t="n">
        <v>45057</v>
      </c>
      <c r="C654" s="1" t="n">
        <v>45924</v>
      </c>
      <c r="D654" t="inlineStr">
        <is>
          <t>VÄRMLANDS LÄN</t>
        </is>
      </c>
      <c r="E654" t="inlineStr">
        <is>
          <t>ÅRJÄNG</t>
        </is>
      </c>
      <c r="G654" t="n">
        <v>5.1</v>
      </c>
      <c r="H654" t="n">
        <v>0</v>
      </c>
      <c r="I654" t="n">
        <v>0</v>
      </c>
      <c r="J654" t="n">
        <v>0</v>
      </c>
      <c r="K654" t="n">
        <v>0</v>
      </c>
      <c r="L654" t="n">
        <v>0</v>
      </c>
      <c r="M654" t="n">
        <v>0</v>
      </c>
      <c r="N654" t="n">
        <v>0</v>
      </c>
      <c r="O654" t="n">
        <v>0</v>
      </c>
      <c r="P654" t="n">
        <v>0</v>
      </c>
      <c r="Q654" t="n">
        <v>0</v>
      </c>
      <c r="R654" s="2" t="inlineStr"/>
    </row>
    <row r="655" ht="15" customHeight="1">
      <c r="A655" t="inlineStr">
        <is>
          <t>A 39096-2025</t>
        </is>
      </c>
      <c r="B655" s="1" t="n">
        <v>45888.50145833333</v>
      </c>
      <c r="C655" s="1" t="n">
        <v>45924</v>
      </c>
      <c r="D655" t="inlineStr">
        <is>
          <t>VÄRMLANDS LÄN</t>
        </is>
      </c>
      <c r="E655" t="inlineStr">
        <is>
          <t>ÅRJÄNG</t>
        </is>
      </c>
      <c r="G655" t="n">
        <v>0.9</v>
      </c>
      <c r="H655" t="n">
        <v>0</v>
      </c>
      <c r="I655" t="n">
        <v>0</v>
      </c>
      <c r="J655" t="n">
        <v>0</v>
      </c>
      <c r="K655" t="n">
        <v>0</v>
      </c>
      <c r="L655" t="n">
        <v>0</v>
      </c>
      <c r="M655" t="n">
        <v>0</v>
      </c>
      <c r="N655" t="n">
        <v>0</v>
      </c>
      <c r="O655" t="n">
        <v>0</v>
      </c>
      <c r="P655" t="n">
        <v>0</v>
      </c>
      <c r="Q655" t="n">
        <v>0</v>
      </c>
      <c r="R655" s="2" t="inlineStr"/>
    </row>
    <row r="656" ht="15" customHeight="1">
      <c r="A656" t="inlineStr">
        <is>
          <t>A 8818-2022</t>
        </is>
      </c>
      <c r="B656" s="1" t="n">
        <v>44614.45849537037</v>
      </c>
      <c r="C656" s="1" t="n">
        <v>45924</v>
      </c>
      <c r="D656" t="inlineStr">
        <is>
          <t>VÄRMLANDS LÄN</t>
        </is>
      </c>
      <c r="E656" t="inlineStr">
        <is>
          <t>ÅRJÄNG</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19877-2025</t>
        </is>
      </c>
      <c r="B657" s="1" t="n">
        <v>45771.55351851852</v>
      </c>
      <c r="C657" s="1" t="n">
        <v>45924</v>
      </c>
      <c r="D657" t="inlineStr">
        <is>
          <t>VÄRMLANDS LÄN</t>
        </is>
      </c>
      <c r="E657" t="inlineStr">
        <is>
          <t>ÅRJÄNG</t>
        </is>
      </c>
      <c r="G657" t="n">
        <v>6.3</v>
      </c>
      <c r="H657" t="n">
        <v>0</v>
      </c>
      <c r="I657" t="n">
        <v>0</v>
      </c>
      <c r="J657" t="n">
        <v>0</v>
      </c>
      <c r="K657" t="n">
        <v>0</v>
      </c>
      <c r="L657" t="n">
        <v>0</v>
      </c>
      <c r="M657" t="n">
        <v>0</v>
      </c>
      <c r="N657" t="n">
        <v>0</v>
      </c>
      <c r="O657" t="n">
        <v>0</v>
      </c>
      <c r="P657" t="n">
        <v>0</v>
      </c>
      <c r="Q657" t="n">
        <v>0</v>
      </c>
      <c r="R657" s="2" t="inlineStr"/>
    </row>
    <row r="658" ht="15" customHeight="1">
      <c r="A658" t="inlineStr">
        <is>
          <t>A 39369-2025</t>
        </is>
      </c>
      <c r="B658" s="1" t="n">
        <v>45889.57848379629</v>
      </c>
      <c r="C658" s="1" t="n">
        <v>45924</v>
      </c>
      <c r="D658" t="inlineStr">
        <is>
          <t>VÄRMLANDS LÄN</t>
        </is>
      </c>
      <c r="E658" t="inlineStr">
        <is>
          <t>ÅRJÄNG</t>
        </is>
      </c>
      <c r="G658" t="n">
        <v>2.6</v>
      </c>
      <c r="H658" t="n">
        <v>0</v>
      </c>
      <c r="I658" t="n">
        <v>0</v>
      </c>
      <c r="J658" t="n">
        <v>0</v>
      </c>
      <c r="K658" t="n">
        <v>0</v>
      </c>
      <c r="L658" t="n">
        <v>0</v>
      </c>
      <c r="M658" t="n">
        <v>0</v>
      </c>
      <c r="N658" t="n">
        <v>0</v>
      </c>
      <c r="O658" t="n">
        <v>0</v>
      </c>
      <c r="P658" t="n">
        <v>0</v>
      </c>
      <c r="Q658" t="n">
        <v>0</v>
      </c>
      <c r="R658" s="2" t="inlineStr"/>
    </row>
    <row r="659" ht="15" customHeight="1">
      <c r="A659" t="inlineStr">
        <is>
          <t>A 33728-2021</t>
        </is>
      </c>
      <c r="B659" s="1" t="n">
        <v>44378.47640046296</v>
      </c>
      <c r="C659" s="1" t="n">
        <v>45924</v>
      </c>
      <c r="D659" t="inlineStr">
        <is>
          <t>VÄRMLANDS LÄN</t>
        </is>
      </c>
      <c r="E659" t="inlineStr">
        <is>
          <t>ÅRJÄNG</t>
        </is>
      </c>
      <c r="G659" t="n">
        <v>1.7</v>
      </c>
      <c r="H659" t="n">
        <v>0</v>
      </c>
      <c r="I659" t="n">
        <v>0</v>
      </c>
      <c r="J659" t="n">
        <v>0</v>
      </c>
      <c r="K659" t="n">
        <v>0</v>
      </c>
      <c r="L659" t="n">
        <v>0</v>
      </c>
      <c r="M659" t="n">
        <v>0</v>
      </c>
      <c r="N659" t="n">
        <v>0</v>
      </c>
      <c r="O659" t="n">
        <v>0</v>
      </c>
      <c r="P659" t="n">
        <v>0</v>
      </c>
      <c r="Q659" t="n">
        <v>0</v>
      </c>
      <c r="R659" s="2" t="inlineStr"/>
    </row>
    <row r="660" ht="15" customHeight="1">
      <c r="A660" t="inlineStr">
        <is>
          <t>A 62357-2021</t>
        </is>
      </c>
      <c r="B660" s="1" t="n">
        <v>44503.45271990741</v>
      </c>
      <c r="C660" s="1" t="n">
        <v>45924</v>
      </c>
      <c r="D660" t="inlineStr">
        <is>
          <t>VÄRMLANDS LÄN</t>
        </is>
      </c>
      <c r="E660" t="inlineStr">
        <is>
          <t>ÅRJÄNG</t>
        </is>
      </c>
      <c r="G660" t="n">
        <v>1.9</v>
      </c>
      <c r="H660" t="n">
        <v>0</v>
      </c>
      <c r="I660" t="n">
        <v>0</v>
      </c>
      <c r="J660" t="n">
        <v>0</v>
      </c>
      <c r="K660" t="n">
        <v>0</v>
      </c>
      <c r="L660" t="n">
        <v>0</v>
      </c>
      <c r="M660" t="n">
        <v>0</v>
      </c>
      <c r="N660" t="n">
        <v>0</v>
      </c>
      <c r="O660" t="n">
        <v>0</v>
      </c>
      <c r="P660" t="n">
        <v>0</v>
      </c>
      <c r="Q660" t="n">
        <v>0</v>
      </c>
      <c r="R660" s="2" t="inlineStr"/>
    </row>
    <row r="661" ht="15" customHeight="1">
      <c r="A661" t="inlineStr">
        <is>
          <t>A 57605-2020</t>
        </is>
      </c>
      <c r="B661" s="1" t="n">
        <v>44140</v>
      </c>
      <c r="C661" s="1" t="n">
        <v>45924</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55377-2024</t>
        </is>
      </c>
      <c r="B662" s="1" t="n">
        <v>45621.9885300926</v>
      </c>
      <c r="C662" s="1" t="n">
        <v>45924</v>
      </c>
      <c r="D662" t="inlineStr">
        <is>
          <t>VÄRMLANDS LÄN</t>
        </is>
      </c>
      <c r="E662" t="inlineStr">
        <is>
          <t>ÅRJÄNG</t>
        </is>
      </c>
      <c r="G662" t="n">
        <v>2.5</v>
      </c>
      <c r="H662" t="n">
        <v>0</v>
      </c>
      <c r="I662" t="n">
        <v>0</v>
      </c>
      <c r="J662" t="n">
        <v>0</v>
      </c>
      <c r="K662" t="n">
        <v>0</v>
      </c>
      <c r="L662" t="n">
        <v>0</v>
      </c>
      <c r="M662" t="n">
        <v>0</v>
      </c>
      <c r="N662" t="n">
        <v>0</v>
      </c>
      <c r="O662" t="n">
        <v>0</v>
      </c>
      <c r="P662" t="n">
        <v>0</v>
      </c>
      <c r="Q662" t="n">
        <v>0</v>
      </c>
      <c r="R662" s="2" t="inlineStr"/>
    </row>
    <row r="663" ht="15" customHeight="1">
      <c r="A663" t="inlineStr">
        <is>
          <t>A 23871-2023</t>
        </is>
      </c>
      <c r="B663" s="1" t="n">
        <v>45078</v>
      </c>
      <c r="C663" s="1" t="n">
        <v>45924</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34831-2025</t>
        </is>
      </c>
      <c r="B664" s="1" t="n">
        <v>45849</v>
      </c>
      <c r="C664" s="1" t="n">
        <v>45924</v>
      </c>
      <c r="D664" t="inlineStr">
        <is>
          <t>VÄRMLANDS LÄN</t>
        </is>
      </c>
      <c r="E664" t="inlineStr">
        <is>
          <t>ÅRJÄNG</t>
        </is>
      </c>
      <c r="G664" t="n">
        <v>5.4</v>
      </c>
      <c r="H664" t="n">
        <v>0</v>
      </c>
      <c r="I664" t="n">
        <v>0</v>
      </c>
      <c r="J664" t="n">
        <v>0</v>
      </c>
      <c r="K664" t="n">
        <v>0</v>
      </c>
      <c r="L664" t="n">
        <v>0</v>
      </c>
      <c r="M664" t="n">
        <v>0</v>
      </c>
      <c r="N664" t="n">
        <v>0</v>
      </c>
      <c r="O664" t="n">
        <v>0</v>
      </c>
      <c r="P664" t="n">
        <v>0</v>
      </c>
      <c r="Q664" t="n">
        <v>0</v>
      </c>
      <c r="R664" s="2" t="inlineStr"/>
    </row>
    <row r="665" ht="15" customHeight="1">
      <c r="A665" t="inlineStr">
        <is>
          <t>A 39779-2025</t>
        </is>
      </c>
      <c r="B665" s="1" t="n">
        <v>45891</v>
      </c>
      <c r="C665" s="1" t="n">
        <v>45924</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39781-2025</t>
        </is>
      </c>
      <c r="B666" s="1" t="n">
        <v>45891</v>
      </c>
      <c r="C666" s="1" t="n">
        <v>45924</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39578-2025</t>
        </is>
      </c>
      <c r="B667" s="1" t="n">
        <v>45890.49292824074</v>
      </c>
      <c r="C667" s="1" t="n">
        <v>45924</v>
      </c>
      <c r="D667" t="inlineStr">
        <is>
          <t>VÄRMLANDS LÄN</t>
        </is>
      </c>
      <c r="E667" t="inlineStr">
        <is>
          <t>ÅRJÄNG</t>
        </is>
      </c>
      <c r="G667" t="n">
        <v>5.5</v>
      </c>
      <c r="H667" t="n">
        <v>0</v>
      </c>
      <c r="I667" t="n">
        <v>0</v>
      </c>
      <c r="J667" t="n">
        <v>0</v>
      </c>
      <c r="K667" t="n">
        <v>0</v>
      </c>
      <c r="L667" t="n">
        <v>0</v>
      </c>
      <c r="M667" t="n">
        <v>0</v>
      </c>
      <c r="N667" t="n">
        <v>0</v>
      </c>
      <c r="O667" t="n">
        <v>0</v>
      </c>
      <c r="P667" t="n">
        <v>0</v>
      </c>
      <c r="Q667" t="n">
        <v>0</v>
      </c>
      <c r="R667" s="2" t="inlineStr"/>
    </row>
    <row r="668" ht="15" customHeight="1">
      <c r="A668" t="inlineStr">
        <is>
          <t>A 65773-2020</t>
        </is>
      </c>
      <c r="B668" s="1" t="n">
        <v>44174</v>
      </c>
      <c r="C668" s="1" t="n">
        <v>45924</v>
      </c>
      <c r="D668" t="inlineStr">
        <is>
          <t>VÄRMLANDS LÄN</t>
        </is>
      </c>
      <c r="E668" t="inlineStr">
        <is>
          <t>ÅRJÄNG</t>
        </is>
      </c>
      <c r="G668" t="n">
        <v>0.4</v>
      </c>
      <c r="H668" t="n">
        <v>0</v>
      </c>
      <c r="I668" t="n">
        <v>0</v>
      </c>
      <c r="J668" t="n">
        <v>0</v>
      </c>
      <c r="K668" t="n">
        <v>0</v>
      </c>
      <c r="L668" t="n">
        <v>0</v>
      </c>
      <c r="M668" t="n">
        <v>0</v>
      </c>
      <c r="N668" t="n">
        <v>0</v>
      </c>
      <c r="O668" t="n">
        <v>0</v>
      </c>
      <c r="P668" t="n">
        <v>0</v>
      </c>
      <c r="Q668" t="n">
        <v>0</v>
      </c>
      <c r="R668" s="2" t="inlineStr"/>
    </row>
    <row r="669" ht="15" customHeight="1">
      <c r="A669" t="inlineStr">
        <is>
          <t>A 65781-2020</t>
        </is>
      </c>
      <c r="B669" s="1" t="n">
        <v>44174</v>
      </c>
      <c r="C669" s="1" t="n">
        <v>45924</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7445-2024</t>
        </is>
      </c>
      <c r="B670" s="1" t="n">
        <v>45345.73023148148</v>
      </c>
      <c r="C670" s="1" t="n">
        <v>45924</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28382-2022</t>
        </is>
      </c>
      <c r="B671" s="1" t="n">
        <v>44747</v>
      </c>
      <c r="C671" s="1" t="n">
        <v>45924</v>
      </c>
      <c r="D671" t="inlineStr">
        <is>
          <t>VÄRMLANDS LÄN</t>
        </is>
      </c>
      <c r="E671" t="inlineStr">
        <is>
          <t>ÅRJÄNG</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28439-2022</t>
        </is>
      </c>
      <c r="B672" s="1" t="n">
        <v>44747</v>
      </c>
      <c r="C672" s="1" t="n">
        <v>45924</v>
      </c>
      <c r="D672" t="inlineStr">
        <is>
          <t>VÄRMLANDS LÄN</t>
        </is>
      </c>
      <c r="E672" t="inlineStr">
        <is>
          <t>ÅRJÄNG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19245-2024</t>
        </is>
      </c>
      <c r="B673" s="1" t="n">
        <v>45428</v>
      </c>
      <c r="C673" s="1" t="n">
        <v>45924</v>
      </c>
      <c r="D673" t="inlineStr">
        <is>
          <t>VÄRMLANDS LÄN</t>
        </is>
      </c>
      <c r="E673" t="inlineStr">
        <is>
          <t>ÅRJÄNG</t>
        </is>
      </c>
      <c r="F673" t="inlineStr">
        <is>
          <t>Bergvik skog väst AB</t>
        </is>
      </c>
      <c r="G673" t="n">
        <v>3</v>
      </c>
      <c r="H673" t="n">
        <v>0</v>
      </c>
      <c r="I673" t="n">
        <v>0</v>
      </c>
      <c r="J673" t="n">
        <v>0</v>
      </c>
      <c r="K673" t="n">
        <v>0</v>
      </c>
      <c r="L673" t="n">
        <v>0</v>
      </c>
      <c r="M673" t="n">
        <v>0</v>
      </c>
      <c r="N673" t="n">
        <v>0</v>
      </c>
      <c r="O673" t="n">
        <v>0</v>
      </c>
      <c r="P673" t="n">
        <v>0</v>
      </c>
      <c r="Q673" t="n">
        <v>0</v>
      </c>
      <c r="R673" s="2" t="inlineStr"/>
    </row>
    <row r="674" ht="15" customHeight="1">
      <c r="A674" t="inlineStr">
        <is>
          <t>A 38707-2023</t>
        </is>
      </c>
      <c r="B674" s="1" t="n">
        <v>45163.34018518519</v>
      </c>
      <c r="C674" s="1" t="n">
        <v>45924</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57062-2022</t>
        </is>
      </c>
      <c r="B675" s="1" t="n">
        <v>44895.40797453704</v>
      </c>
      <c r="C675" s="1" t="n">
        <v>45924</v>
      </c>
      <c r="D675" t="inlineStr">
        <is>
          <t>VÄRMLANDS LÄN</t>
        </is>
      </c>
      <c r="E675" t="inlineStr">
        <is>
          <t>ÅRJÄNG</t>
        </is>
      </c>
      <c r="G675" t="n">
        <v>2.2</v>
      </c>
      <c r="H675" t="n">
        <v>0</v>
      </c>
      <c r="I675" t="n">
        <v>0</v>
      </c>
      <c r="J675" t="n">
        <v>0</v>
      </c>
      <c r="K675" t="n">
        <v>0</v>
      </c>
      <c r="L675" t="n">
        <v>0</v>
      </c>
      <c r="M675" t="n">
        <v>0</v>
      </c>
      <c r="N675" t="n">
        <v>0</v>
      </c>
      <c r="O675" t="n">
        <v>0</v>
      </c>
      <c r="P675" t="n">
        <v>0</v>
      </c>
      <c r="Q675" t="n">
        <v>0</v>
      </c>
      <c r="R675" s="2" t="inlineStr"/>
    </row>
    <row r="676" ht="15" customHeight="1">
      <c r="A676" t="inlineStr">
        <is>
          <t>A 8678-2022</t>
        </is>
      </c>
      <c r="B676" s="1" t="n">
        <v>44613.68043981482</v>
      </c>
      <c r="C676" s="1" t="n">
        <v>45924</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56168-2024</t>
        </is>
      </c>
      <c r="B677" s="1" t="n">
        <v>45623</v>
      </c>
      <c r="C677" s="1" t="n">
        <v>45924</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4784-2023</t>
        </is>
      </c>
      <c r="B678" s="1" t="n">
        <v>44957.59476851852</v>
      </c>
      <c r="C678" s="1" t="n">
        <v>45924</v>
      </c>
      <c r="D678" t="inlineStr">
        <is>
          <t>VÄRMLANDS LÄN</t>
        </is>
      </c>
      <c r="E678" t="inlineStr">
        <is>
          <t>ÅRJÄNG</t>
        </is>
      </c>
      <c r="G678" t="n">
        <v>0.9</v>
      </c>
      <c r="H678" t="n">
        <v>0</v>
      </c>
      <c r="I678" t="n">
        <v>0</v>
      </c>
      <c r="J678" t="n">
        <v>0</v>
      </c>
      <c r="K678" t="n">
        <v>0</v>
      </c>
      <c r="L678" t="n">
        <v>0</v>
      </c>
      <c r="M678" t="n">
        <v>0</v>
      </c>
      <c r="N678" t="n">
        <v>0</v>
      </c>
      <c r="O678" t="n">
        <v>0</v>
      </c>
      <c r="P678" t="n">
        <v>0</v>
      </c>
      <c r="Q678" t="n">
        <v>0</v>
      </c>
      <c r="R678" s="2" t="inlineStr"/>
    </row>
    <row r="679" ht="15" customHeight="1">
      <c r="A679" t="inlineStr">
        <is>
          <t>A 21177-2023</t>
        </is>
      </c>
      <c r="B679" s="1" t="n">
        <v>45062</v>
      </c>
      <c r="C679" s="1" t="n">
        <v>45924</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39776-2025</t>
        </is>
      </c>
      <c r="B680" s="1" t="n">
        <v>45891</v>
      </c>
      <c r="C680" s="1" t="n">
        <v>45924</v>
      </c>
      <c r="D680" t="inlineStr">
        <is>
          <t>VÄRMLANDS LÄN</t>
        </is>
      </c>
      <c r="E680" t="inlineStr">
        <is>
          <t>ÅRJÄNG</t>
        </is>
      </c>
      <c r="G680" t="n">
        <v>2.7</v>
      </c>
      <c r="H680" t="n">
        <v>0</v>
      </c>
      <c r="I680" t="n">
        <v>0</v>
      </c>
      <c r="J680" t="n">
        <v>0</v>
      </c>
      <c r="K680" t="n">
        <v>0</v>
      </c>
      <c r="L680" t="n">
        <v>0</v>
      </c>
      <c r="M680" t="n">
        <v>0</v>
      </c>
      <c r="N680" t="n">
        <v>0</v>
      </c>
      <c r="O680" t="n">
        <v>0</v>
      </c>
      <c r="P680" t="n">
        <v>0</v>
      </c>
      <c r="Q680" t="n">
        <v>0</v>
      </c>
      <c r="R680" s="2" t="inlineStr"/>
    </row>
    <row r="681" ht="15" customHeight="1">
      <c r="A681" t="inlineStr">
        <is>
          <t>A 4668-2025</t>
        </is>
      </c>
      <c r="B681" s="1" t="n">
        <v>45687.76229166667</v>
      </c>
      <c r="C681" s="1" t="n">
        <v>45924</v>
      </c>
      <c r="D681" t="inlineStr">
        <is>
          <t>VÄRMLANDS LÄN</t>
        </is>
      </c>
      <c r="E681" t="inlineStr">
        <is>
          <t>ÅRJÄNG</t>
        </is>
      </c>
      <c r="G681" t="n">
        <v>8.5</v>
      </c>
      <c r="H681" t="n">
        <v>0</v>
      </c>
      <c r="I681" t="n">
        <v>0</v>
      </c>
      <c r="J681" t="n">
        <v>0</v>
      </c>
      <c r="K681" t="n">
        <v>0</v>
      </c>
      <c r="L681" t="n">
        <v>0</v>
      </c>
      <c r="M681" t="n">
        <v>0</v>
      </c>
      <c r="N681" t="n">
        <v>0</v>
      </c>
      <c r="O681" t="n">
        <v>0</v>
      </c>
      <c r="P681" t="n">
        <v>0</v>
      </c>
      <c r="Q681" t="n">
        <v>0</v>
      </c>
      <c r="R681" s="2" t="inlineStr"/>
    </row>
    <row r="682" ht="15" customHeight="1">
      <c r="A682" t="inlineStr">
        <is>
          <t>A 47332-2022</t>
        </is>
      </c>
      <c r="B682" s="1" t="n">
        <v>44853</v>
      </c>
      <c r="C682" s="1" t="n">
        <v>45924</v>
      </c>
      <c r="D682" t="inlineStr">
        <is>
          <t>VÄRMLANDS LÄN</t>
        </is>
      </c>
      <c r="E682" t="inlineStr">
        <is>
          <t>ÅRJÄNG</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34840-2025</t>
        </is>
      </c>
      <c r="B683" s="1" t="n">
        <v>45849</v>
      </c>
      <c r="C683" s="1" t="n">
        <v>45924</v>
      </c>
      <c r="D683" t="inlineStr">
        <is>
          <t>VÄRMLANDS LÄN</t>
        </is>
      </c>
      <c r="E683" t="inlineStr">
        <is>
          <t>ÅRJÄNG</t>
        </is>
      </c>
      <c r="G683" t="n">
        <v>2.3</v>
      </c>
      <c r="H683" t="n">
        <v>0</v>
      </c>
      <c r="I683" t="n">
        <v>0</v>
      </c>
      <c r="J683" t="n">
        <v>0</v>
      </c>
      <c r="K683" t="n">
        <v>0</v>
      </c>
      <c r="L683" t="n">
        <v>0</v>
      </c>
      <c r="M683" t="n">
        <v>0</v>
      </c>
      <c r="N683" t="n">
        <v>0</v>
      </c>
      <c r="O683" t="n">
        <v>0</v>
      </c>
      <c r="P683" t="n">
        <v>0</v>
      </c>
      <c r="Q683" t="n">
        <v>0</v>
      </c>
      <c r="R683" s="2" t="inlineStr"/>
    </row>
    <row r="684" ht="15" customHeight="1">
      <c r="A684" t="inlineStr">
        <is>
          <t>A 4404-2025</t>
        </is>
      </c>
      <c r="B684" s="1" t="n">
        <v>45686</v>
      </c>
      <c r="C684" s="1" t="n">
        <v>45924</v>
      </c>
      <c r="D684" t="inlineStr">
        <is>
          <t>VÄRMLANDS LÄN</t>
        </is>
      </c>
      <c r="E684" t="inlineStr">
        <is>
          <t>ÅRJÄNG</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2253-2025</t>
        </is>
      </c>
      <c r="B685" s="1" t="n">
        <v>45673</v>
      </c>
      <c r="C685" s="1" t="n">
        <v>45924</v>
      </c>
      <c r="D685" t="inlineStr">
        <is>
          <t>VÄRMLANDS LÄN</t>
        </is>
      </c>
      <c r="E685" t="inlineStr">
        <is>
          <t>ÅRJÄNG</t>
        </is>
      </c>
      <c r="G685" t="n">
        <v>12.4</v>
      </c>
      <c r="H685" t="n">
        <v>0</v>
      </c>
      <c r="I685" t="n">
        <v>0</v>
      </c>
      <c r="J685" t="n">
        <v>0</v>
      </c>
      <c r="K685" t="n">
        <v>0</v>
      </c>
      <c r="L685" t="n">
        <v>0</v>
      </c>
      <c r="M685" t="n">
        <v>0</v>
      </c>
      <c r="N685" t="n">
        <v>0</v>
      </c>
      <c r="O685" t="n">
        <v>0</v>
      </c>
      <c r="P685" t="n">
        <v>0</v>
      </c>
      <c r="Q685" t="n">
        <v>0</v>
      </c>
      <c r="R685" s="2" t="inlineStr"/>
    </row>
    <row r="686" ht="15" customHeight="1">
      <c r="A686" t="inlineStr">
        <is>
          <t>A 68687-2020</t>
        </is>
      </c>
      <c r="B686" s="1" t="n">
        <v>44187</v>
      </c>
      <c r="C686" s="1" t="n">
        <v>45924</v>
      </c>
      <c r="D686" t="inlineStr">
        <is>
          <t>VÄRMLANDS LÄN</t>
        </is>
      </c>
      <c r="E686" t="inlineStr">
        <is>
          <t>ÅRJÄNG</t>
        </is>
      </c>
      <c r="G686" t="n">
        <v>7.6</v>
      </c>
      <c r="H686" t="n">
        <v>0</v>
      </c>
      <c r="I686" t="n">
        <v>0</v>
      </c>
      <c r="J686" t="n">
        <v>0</v>
      </c>
      <c r="K686" t="n">
        <v>0</v>
      </c>
      <c r="L686" t="n">
        <v>0</v>
      </c>
      <c r="M686" t="n">
        <v>0</v>
      </c>
      <c r="N686" t="n">
        <v>0</v>
      </c>
      <c r="O686" t="n">
        <v>0</v>
      </c>
      <c r="P686" t="n">
        <v>0</v>
      </c>
      <c r="Q686" t="n">
        <v>0</v>
      </c>
      <c r="R686" s="2" t="inlineStr"/>
    </row>
    <row r="687" ht="15" customHeight="1">
      <c r="A687" t="inlineStr">
        <is>
          <t>A 39905-2025</t>
        </is>
      </c>
      <c r="B687" s="1" t="n">
        <v>45891.63949074074</v>
      </c>
      <c r="C687" s="1" t="n">
        <v>45924</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39725-2025</t>
        </is>
      </c>
      <c r="B688" s="1" t="n">
        <v>45891</v>
      </c>
      <c r="C688" s="1" t="n">
        <v>45924</v>
      </c>
      <c r="D688" t="inlineStr">
        <is>
          <t>VÄRMLANDS LÄN</t>
        </is>
      </c>
      <c r="E688" t="inlineStr">
        <is>
          <t>ÅRJÄNG</t>
        </is>
      </c>
      <c r="G688" t="n">
        <v>4.2</v>
      </c>
      <c r="H688" t="n">
        <v>0</v>
      </c>
      <c r="I688" t="n">
        <v>0</v>
      </c>
      <c r="J688" t="n">
        <v>0</v>
      </c>
      <c r="K688" t="n">
        <v>0</v>
      </c>
      <c r="L688" t="n">
        <v>0</v>
      </c>
      <c r="M688" t="n">
        <v>0</v>
      </c>
      <c r="N688" t="n">
        <v>0</v>
      </c>
      <c r="O688" t="n">
        <v>0</v>
      </c>
      <c r="P688" t="n">
        <v>0</v>
      </c>
      <c r="Q688" t="n">
        <v>0</v>
      </c>
      <c r="R688" s="2" t="inlineStr"/>
    </row>
    <row r="689" ht="15" customHeight="1">
      <c r="A689" t="inlineStr">
        <is>
          <t>A 11265-2021</t>
        </is>
      </c>
      <c r="B689" s="1" t="n">
        <v>44263.44670138889</v>
      </c>
      <c r="C689" s="1" t="n">
        <v>45924</v>
      </c>
      <c r="D689" t="inlineStr">
        <is>
          <t>VÄRMLANDS LÄN</t>
        </is>
      </c>
      <c r="E689" t="inlineStr">
        <is>
          <t>ÅRJÄNG</t>
        </is>
      </c>
      <c r="G689" t="n">
        <v>2.2</v>
      </c>
      <c r="H689" t="n">
        <v>0</v>
      </c>
      <c r="I689" t="n">
        <v>0</v>
      </c>
      <c r="J689" t="n">
        <v>0</v>
      </c>
      <c r="K689" t="n">
        <v>0</v>
      </c>
      <c r="L689" t="n">
        <v>0</v>
      </c>
      <c r="M689" t="n">
        <v>0</v>
      </c>
      <c r="N689" t="n">
        <v>0</v>
      </c>
      <c r="O689" t="n">
        <v>0</v>
      </c>
      <c r="P689" t="n">
        <v>0</v>
      </c>
      <c r="Q689" t="n">
        <v>0</v>
      </c>
      <c r="R689" s="2" t="inlineStr"/>
    </row>
    <row r="690" ht="15" customHeight="1">
      <c r="A690" t="inlineStr">
        <is>
          <t>A 34839-2025</t>
        </is>
      </c>
      <c r="B690" s="1" t="n">
        <v>45849.39505787037</v>
      </c>
      <c r="C690" s="1" t="n">
        <v>45924</v>
      </c>
      <c r="D690" t="inlineStr">
        <is>
          <t>VÄRMLANDS LÄN</t>
        </is>
      </c>
      <c r="E690" t="inlineStr">
        <is>
          <t>ÅRJÄNG</t>
        </is>
      </c>
      <c r="G690" t="n">
        <v>3.7</v>
      </c>
      <c r="H690" t="n">
        <v>0</v>
      </c>
      <c r="I690" t="n">
        <v>0</v>
      </c>
      <c r="J690" t="n">
        <v>0</v>
      </c>
      <c r="K690" t="n">
        <v>0</v>
      </c>
      <c r="L690" t="n">
        <v>0</v>
      </c>
      <c r="M690" t="n">
        <v>0</v>
      </c>
      <c r="N690" t="n">
        <v>0</v>
      </c>
      <c r="O690" t="n">
        <v>0</v>
      </c>
      <c r="P690" t="n">
        <v>0</v>
      </c>
      <c r="Q690" t="n">
        <v>0</v>
      </c>
      <c r="R690" s="2" t="inlineStr"/>
    </row>
    <row r="691" ht="15" customHeight="1">
      <c r="A691" t="inlineStr">
        <is>
          <t>A 40219-2025</t>
        </is>
      </c>
      <c r="B691" s="1" t="n">
        <v>45894.69025462963</v>
      </c>
      <c r="C691" s="1" t="n">
        <v>45924</v>
      </c>
      <c r="D691" t="inlineStr">
        <is>
          <t>VÄRMLANDS LÄN</t>
        </is>
      </c>
      <c r="E691" t="inlineStr">
        <is>
          <t>ÅRJÄNG</t>
        </is>
      </c>
      <c r="F691" t="inlineStr">
        <is>
          <t>Bergvik skog väst AB</t>
        </is>
      </c>
      <c r="G691" t="n">
        <v>2.5</v>
      </c>
      <c r="H691" t="n">
        <v>0</v>
      </c>
      <c r="I691" t="n">
        <v>0</v>
      </c>
      <c r="J691" t="n">
        <v>0</v>
      </c>
      <c r="K691" t="n">
        <v>0</v>
      </c>
      <c r="L691" t="n">
        <v>0</v>
      </c>
      <c r="M691" t="n">
        <v>0</v>
      </c>
      <c r="N691" t="n">
        <v>0</v>
      </c>
      <c r="O691" t="n">
        <v>0</v>
      </c>
      <c r="P691" t="n">
        <v>0</v>
      </c>
      <c r="Q691" t="n">
        <v>0</v>
      </c>
      <c r="R691" s="2" t="inlineStr"/>
    </row>
    <row r="692" ht="15" customHeight="1">
      <c r="A692" t="inlineStr">
        <is>
          <t>A 34159-2025</t>
        </is>
      </c>
      <c r="B692" s="1" t="n">
        <v>45844</v>
      </c>
      <c r="C692" s="1" t="n">
        <v>45924</v>
      </c>
      <c r="D692" t="inlineStr">
        <is>
          <t>VÄRMLANDS LÄN</t>
        </is>
      </c>
      <c r="E692" t="inlineStr">
        <is>
          <t>ÅRJÄNG</t>
        </is>
      </c>
      <c r="G692" t="n">
        <v>0.6</v>
      </c>
      <c r="H692" t="n">
        <v>0</v>
      </c>
      <c r="I692" t="n">
        <v>0</v>
      </c>
      <c r="J692" t="n">
        <v>0</v>
      </c>
      <c r="K692" t="n">
        <v>0</v>
      </c>
      <c r="L692" t="n">
        <v>0</v>
      </c>
      <c r="M692" t="n">
        <v>0</v>
      </c>
      <c r="N692" t="n">
        <v>0</v>
      </c>
      <c r="O692" t="n">
        <v>0</v>
      </c>
      <c r="P692" t="n">
        <v>0</v>
      </c>
      <c r="Q692" t="n">
        <v>0</v>
      </c>
      <c r="R692" s="2" t="inlineStr"/>
    </row>
    <row r="693" ht="15" customHeight="1">
      <c r="A693" t="inlineStr">
        <is>
          <t>A 35104-2025</t>
        </is>
      </c>
      <c r="B693" s="1" t="n">
        <v>45852.57070601852</v>
      </c>
      <c r="C693" s="1" t="n">
        <v>45924</v>
      </c>
      <c r="D693" t="inlineStr">
        <is>
          <t>VÄRMLANDS LÄN</t>
        </is>
      </c>
      <c r="E693" t="inlineStr">
        <is>
          <t>ÅRJÄNG</t>
        </is>
      </c>
      <c r="G693" t="n">
        <v>0.8</v>
      </c>
      <c r="H693" t="n">
        <v>0</v>
      </c>
      <c r="I693" t="n">
        <v>0</v>
      </c>
      <c r="J693" t="n">
        <v>0</v>
      </c>
      <c r="K693" t="n">
        <v>0</v>
      </c>
      <c r="L693" t="n">
        <v>0</v>
      </c>
      <c r="M693" t="n">
        <v>0</v>
      </c>
      <c r="N693" t="n">
        <v>0</v>
      </c>
      <c r="O693" t="n">
        <v>0</v>
      </c>
      <c r="P693" t="n">
        <v>0</v>
      </c>
      <c r="Q693" t="n">
        <v>0</v>
      </c>
      <c r="R693" s="2" t="inlineStr"/>
    </row>
    <row r="694" ht="15" customHeight="1">
      <c r="A694" t="inlineStr">
        <is>
          <t>A 5931-2023</t>
        </is>
      </c>
      <c r="B694" s="1" t="n">
        <v>44963</v>
      </c>
      <c r="C694" s="1" t="n">
        <v>45924</v>
      </c>
      <c r="D694" t="inlineStr">
        <is>
          <t>VÄRMLANDS LÄN</t>
        </is>
      </c>
      <c r="E694" t="inlineStr">
        <is>
          <t>ÅRJÄNG</t>
        </is>
      </c>
      <c r="G694" t="n">
        <v>0.8</v>
      </c>
      <c r="H694" t="n">
        <v>0</v>
      </c>
      <c r="I694" t="n">
        <v>0</v>
      </c>
      <c r="J694" t="n">
        <v>0</v>
      </c>
      <c r="K694" t="n">
        <v>0</v>
      </c>
      <c r="L694" t="n">
        <v>0</v>
      </c>
      <c r="M694" t="n">
        <v>0</v>
      </c>
      <c r="N694" t="n">
        <v>0</v>
      </c>
      <c r="O694" t="n">
        <v>0</v>
      </c>
      <c r="P694" t="n">
        <v>0</v>
      </c>
      <c r="Q694" t="n">
        <v>0</v>
      </c>
      <c r="R694" s="2" t="inlineStr"/>
    </row>
    <row r="695" ht="15" customHeight="1">
      <c r="A695" t="inlineStr">
        <is>
          <t>A 56115-2024</t>
        </is>
      </c>
      <c r="B695" s="1" t="n">
        <v>45624.45351851852</v>
      </c>
      <c r="C695" s="1" t="n">
        <v>45924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56116-2024</t>
        </is>
      </c>
      <c r="B696" s="1" t="n">
        <v>45624.45506944445</v>
      </c>
      <c r="C696" s="1" t="n">
        <v>45924</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12068-2022</t>
        </is>
      </c>
      <c r="B697" s="1" t="n">
        <v>44636</v>
      </c>
      <c r="C697" s="1" t="n">
        <v>45924</v>
      </c>
      <c r="D697" t="inlineStr">
        <is>
          <t>VÄRMLANDS LÄN</t>
        </is>
      </c>
      <c r="E697" t="inlineStr">
        <is>
          <t>ÅRJÄNG</t>
        </is>
      </c>
      <c r="G697" t="n">
        <v>4.3</v>
      </c>
      <c r="H697" t="n">
        <v>0</v>
      </c>
      <c r="I697" t="n">
        <v>0</v>
      </c>
      <c r="J697" t="n">
        <v>0</v>
      </c>
      <c r="K697" t="n">
        <v>0</v>
      </c>
      <c r="L697" t="n">
        <v>0</v>
      </c>
      <c r="M697" t="n">
        <v>0</v>
      </c>
      <c r="N697" t="n">
        <v>0</v>
      </c>
      <c r="O697" t="n">
        <v>0</v>
      </c>
      <c r="P697" t="n">
        <v>0</v>
      </c>
      <c r="Q697" t="n">
        <v>0</v>
      </c>
      <c r="R697" s="2" t="inlineStr"/>
    </row>
    <row r="698" ht="15" customHeight="1">
      <c r="A698" t="inlineStr">
        <is>
          <t>A 34163-2025</t>
        </is>
      </c>
      <c r="B698" s="1" t="n">
        <v>45844</v>
      </c>
      <c r="C698" s="1" t="n">
        <v>45924</v>
      </c>
      <c r="D698" t="inlineStr">
        <is>
          <t>VÄRMLANDS LÄN</t>
        </is>
      </c>
      <c r="E698" t="inlineStr">
        <is>
          <t>ÅRJÄNG</t>
        </is>
      </c>
      <c r="G698" t="n">
        <v>4.5</v>
      </c>
      <c r="H698" t="n">
        <v>0</v>
      </c>
      <c r="I698" t="n">
        <v>0</v>
      </c>
      <c r="J698" t="n">
        <v>0</v>
      </c>
      <c r="K698" t="n">
        <v>0</v>
      </c>
      <c r="L698" t="n">
        <v>0</v>
      </c>
      <c r="M698" t="n">
        <v>0</v>
      </c>
      <c r="N698" t="n">
        <v>0</v>
      </c>
      <c r="O698" t="n">
        <v>0</v>
      </c>
      <c r="P698" t="n">
        <v>0</v>
      </c>
      <c r="Q698" t="n">
        <v>0</v>
      </c>
      <c r="R698" s="2" t="inlineStr"/>
    </row>
    <row r="699" ht="15" customHeight="1">
      <c r="A699" t="inlineStr">
        <is>
          <t>A 3861-2025</t>
        </is>
      </c>
      <c r="B699" s="1" t="n">
        <v>45683</v>
      </c>
      <c r="C699" s="1" t="n">
        <v>45924</v>
      </c>
      <c r="D699" t="inlineStr">
        <is>
          <t>VÄRMLANDS LÄN</t>
        </is>
      </c>
      <c r="E699" t="inlineStr">
        <is>
          <t>ÅRJÄNG</t>
        </is>
      </c>
      <c r="G699" t="n">
        <v>2.4</v>
      </c>
      <c r="H699" t="n">
        <v>0</v>
      </c>
      <c r="I699" t="n">
        <v>0</v>
      </c>
      <c r="J699" t="n">
        <v>0</v>
      </c>
      <c r="K699" t="n">
        <v>0</v>
      </c>
      <c r="L699" t="n">
        <v>0</v>
      </c>
      <c r="M699" t="n">
        <v>0</v>
      </c>
      <c r="N699" t="n">
        <v>0</v>
      </c>
      <c r="O699" t="n">
        <v>0</v>
      </c>
      <c r="P699" t="n">
        <v>0</v>
      </c>
      <c r="Q699" t="n">
        <v>0</v>
      </c>
      <c r="R699" s="2" t="inlineStr"/>
    </row>
    <row r="700" ht="15" customHeight="1">
      <c r="A700" t="inlineStr">
        <is>
          <t>A 37061-2023</t>
        </is>
      </c>
      <c r="B700" s="1" t="n">
        <v>45155</v>
      </c>
      <c r="C700" s="1" t="n">
        <v>45924</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23870-2023</t>
        </is>
      </c>
      <c r="B701" s="1" t="n">
        <v>45078</v>
      </c>
      <c r="C701" s="1" t="n">
        <v>45924</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74448-2021</t>
        </is>
      </c>
      <c r="B702" s="1" t="n">
        <v>44560.47202546296</v>
      </c>
      <c r="C702" s="1" t="n">
        <v>45924</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12907-2022</t>
        </is>
      </c>
      <c r="B703" s="1" t="n">
        <v>44642.62002314815</v>
      </c>
      <c r="C703" s="1" t="n">
        <v>45924</v>
      </c>
      <c r="D703" t="inlineStr">
        <is>
          <t>VÄRMLANDS LÄN</t>
        </is>
      </c>
      <c r="E703" t="inlineStr">
        <is>
          <t>ÅRJÄNG</t>
        </is>
      </c>
      <c r="G703" t="n">
        <v>7.3</v>
      </c>
      <c r="H703" t="n">
        <v>0</v>
      </c>
      <c r="I703" t="n">
        <v>0</v>
      </c>
      <c r="J703" t="n">
        <v>0</v>
      </c>
      <c r="K703" t="n">
        <v>0</v>
      </c>
      <c r="L703" t="n">
        <v>0</v>
      </c>
      <c r="M703" t="n">
        <v>0</v>
      </c>
      <c r="N703" t="n">
        <v>0</v>
      </c>
      <c r="O703" t="n">
        <v>0</v>
      </c>
      <c r="P703" t="n">
        <v>0</v>
      </c>
      <c r="Q703" t="n">
        <v>0</v>
      </c>
      <c r="R703" s="2" t="inlineStr"/>
    </row>
    <row r="704" ht="15" customHeight="1">
      <c r="A704" t="inlineStr">
        <is>
          <t>A 57178-2023</t>
        </is>
      </c>
      <c r="B704" s="1" t="n">
        <v>45240</v>
      </c>
      <c r="C704" s="1" t="n">
        <v>45924</v>
      </c>
      <c r="D704" t="inlineStr">
        <is>
          <t>VÄRMLANDS LÄN</t>
        </is>
      </c>
      <c r="E704" t="inlineStr">
        <is>
          <t>ÅRJÄNG</t>
        </is>
      </c>
      <c r="G704" t="n">
        <v>1.6</v>
      </c>
      <c r="H704" t="n">
        <v>0</v>
      </c>
      <c r="I704" t="n">
        <v>0</v>
      </c>
      <c r="J704" t="n">
        <v>0</v>
      </c>
      <c r="K704" t="n">
        <v>0</v>
      </c>
      <c r="L704" t="n">
        <v>0</v>
      </c>
      <c r="M704" t="n">
        <v>0</v>
      </c>
      <c r="N704" t="n">
        <v>0</v>
      </c>
      <c r="O704" t="n">
        <v>0</v>
      </c>
      <c r="P704" t="n">
        <v>0</v>
      </c>
      <c r="Q704" t="n">
        <v>0</v>
      </c>
      <c r="R704" s="2" t="inlineStr"/>
    </row>
    <row r="705" ht="15" customHeight="1">
      <c r="A705" t="inlineStr">
        <is>
          <t>A 45634-2023</t>
        </is>
      </c>
      <c r="B705" s="1" t="n">
        <v>45194</v>
      </c>
      <c r="C705" s="1" t="n">
        <v>45924</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45643-2023</t>
        </is>
      </c>
      <c r="B706" s="1" t="n">
        <v>45194.69827546296</v>
      </c>
      <c r="C706" s="1" t="n">
        <v>45924</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40232-2025</t>
        </is>
      </c>
      <c r="B707" s="1" t="n">
        <v>45894.7147800926</v>
      </c>
      <c r="C707" s="1" t="n">
        <v>45924</v>
      </c>
      <c r="D707" t="inlineStr">
        <is>
          <t>VÄRMLANDS LÄN</t>
        </is>
      </c>
      <c r="E707" t="inlineStr">
        <is>
          <t>ÅRJÄNG</t>
        </is>
      </c>
      <c r="F707" t="inlineStr">
        <is>
          <t>Bergvik skog väst AB</t>
        </is>
      </c>
      <c r="G707" t="n">
        <v>1</v>
      </c>
      <c r="H707" t="n">
        <v>0</v>
      </c>
      <c r="I707" t="n">
        <v>0</v>
      </c>
      <c r="J707" t="n">
        <v>0</v>
      </c>
      <c r="K707" t="n">
        <v>0</v>
      </c>
      <c r="L707" t="n">
        <v>0</v>
      </c>
      <c r="M707" t="n">
        <v>0</v>
      </c>
      <c r="N707" t="n">
        <v>0</v>
      </c>
      <c r="O707" t="n">
        <v>0</v>
      </c>
      <c r="P707" t="n">
        <v>0</v>
      </c>
      <c r="Q707" t="n">
        <v>0</v>
      </c>
      <c r="R707" s="2" t="inlineStr"/>
    </row>
    <row r="708" ht="15" customHeight="1">
      <c r="A708" t="inlineStr">
        <is>
          <t>A 5332-2025</t>
        </is>
      </c>
      <c r="B708" s="1" t="n">
        <v>45692.53978009259</v>
      </c>
      <c r="C708" s="1" t="n">
        <v>45924</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35414-2025</t>
        </is>
      </c>
      <c r="B709" s="1" t="n">
        <v>45855</v>
      </c>
      <c r="C709" s="1" t="n">
        <v>45924</v>
      </c>
      <c r="D709" t="inlineStr">
        <is>
          <t>VÄRMLANDS LÄN</t>
        </is>
      </c>
      <c r="E709" t="inlineStr">
        <is>
          <t>ÅRJÄNG</t>
        </is>
      </c>
      <c r="F709" t="inlineStr">
        <is>
          <t>Bergvik skog väst AB</t>
        </is>
      </c>
      <c r="G709" t="n">
        <v>6.8</v>
      </c>
      <c r="H709" t="n">
        <v>0</v>
      </c>
      <c r="I709" t="n">
        <v>0</v>
      </c>
      <c r="J709" t="n">
        <v>0</v>
      </c>
      <c r="K709" t="n">
        <v>0</v>
      </c>
      <c r="L709" t="n">
        <v>0</v>
      </c>
      <c r="M709" t="n">
        <v>0</v>
      </c>
      <c r="N709" t="n">
        <v>0</v>
      </c>
      <c r="O709" t="n">
        <v>0</v>
      </c>
      <c r="P709" t="n">
        <v>0</v>
      </c>
      <c r="Q709" t="n">
        <v>0</v>
      </c>
      <c r="R709" s="2" t="inlineStr"/>
    </row>
    <row r="710" ht="15" customHeight="1">
      <c r="A710" t="inlineStr">
        <is>
          <t>A 35295-2025</t>
        </is>
      </c>
      <c r="B710" s="1" t="n">
        <v>45854.40325231481</v>
      </c>
      <c r="C710" s="1" t="n">
        <v>45924</v>
      </c>
      <c r="D710" t="inlineStr">
        <is>
          <t>VÄRMLANDS LÄN</t>
        </is>
      </c>
      <c r="E710" t="inlineStr">
        <is>
          <t>ÅRJÄNG</t>
        </is>
      </c>
      <c r="G710" t="n">
        <v>6.2</v>
      </c>
      <c r="H710" t="n">
        <v>0</v>
      </c>
      <c r="I710" t="n">
        <v>0</v>
      </c>
      <c r="J710" t="n">
        <v>0</v>
      </c>
      <c r="K710" t="n">
        <v>0</v>
      </c>
      <c r="L710" t="n">
        <v>0</v>
      </c>
      <c r="M710" t="n">
        <v>0</v>
      </c>
      <c r="N710" t="n">
        <v>0</v>
      </c>
      <c r="O710" t="n">
        <v>0</v>
      </c>
      <c r="P710" t="n">
        <v>0</v>
      </c>
      <c r="Q710" t="n">
        <v>0</v>
      </c>
      <c r="R710" s="2" t="inlineStr"/>
    </row>
    <row r="711" ht="15" customHeight="1">
      <c r="A711" t="inlineStr">
        <is>
          <t>A 34387-2023</t>
        </is>
      </c>
      <c r="B711" s="1" t="n">
        <v>45139.50744212963</v>
      </c>
      <c r="C711" s="1" t="n">
        <v>45924</v>
      </c>
      <c r="D711" t="inlineStr">
        <is>
          <t>VÄRMLANDS LÄN</t>
        </is>
      </c>
      <c r="E711" t="inlineStr">
        <is>
          <t>ÅRJÄNG</t>
        </is>
      </c>
      <c r="G711" t="n">
        <v>2.6</v>
      </c>
      <c r="H711" t="n">
        <v>0</v>
      </c>
      <c r="I711" t="n">
        <v>0</v>
      </c>
      <c r="J711" t="n">
        <v>0</v>
      </c>
      <c r="K711" t="n">
        <v>0</v>
      </c>
      <c r="L711" t="n">
        <v>0</v>
      </c>
      <c r="M711" t="n">
        <v>0</v>
      </c>
      <c r="N711" t="n">
        <v>0</v>
      </c>
      <c r="O711" t="n">
        <v>0</v>
      </c>
      <c r="P711" t="n">
        <v>0</v>
      </c>
      <c r="Q711" t="n">
        <v>0</v>
      </c>
      <c r="R711" s="2" t="inlineStr"/>
    </row>
    <row r="712" ht="15" customHeight="1">
      <c r="A712" t="inlineStr">
        <is>
          <t>A 34075-2025</t>
        </is>
      </c>
      <c r="B712" s="1" t="n">
        <v>45845</v>
      </c>
      <c r="C712" s="1" t="n">
        <v>45924</v>
      </c>
      <c r="D712" t="inlineStr">
        <is>
          <t>VÄRMLANDS LÄN</t>
        </is>
      </c>
      <c r="E712" t="inlineStr">
        <is>
          <t>ÅRJÄNG</t>
        </is>
      </c>
      <c r="G712" t="n">
        <v>3.4</v>
      </c>
      <c r="H712" t="n">
        <v>0</v>
      </c>
      <c r="I712" t="n">
        <v>0</v>
      </c>
      <c r="J712" t="n">
        <v>0</v>
      </c>
      <c r="K712" t="n">
        <v>0</v>
      </c>
      <c r="L712" t="n">
        <v>0</v>
      </c>
      <c r="M712" t="n">
        <v>0</v>
      </c>
      <c r="N712" t="n">
        <v>0</v>
      </c>
      <c r="O712" t="n">
        <v>0</v>
      </c>
      <c r="P712" t="n">
        <v>0</v>
      </c>
      <c r="Q712" t="n">
        <v>0</v>
      </c>
      <c r="R712" s="2" t="inlineStr"/>
    </row>
    <row r="713" ht="15" customHeight="1">
      <c r="A713" t="inlineStr">
        <is>
          <t>A 34410-2023</t>
        </is>
      </c>
      <c r="B713" s="1" t="n">
        <v>45139.56870370371</v>
      </c>
      <c r="C713" s="1" t="n">
        <v>45924</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34889-2022</t>
        </is>
      </c>
      <c r="B714" s="1" t="n">
        <v>44796</v>
      </c>
      <c r="C714" s="1" t="n">
        <v>45924</v>
      </c>
      <c r="D714" t="inlineStr">
        <is>
          <t>VÄRMLANDS LÄN</t>
        </is>
      </c>
      <c r="E714" t="inlineStr">
        <is>
          <t>ÅRJÄNG</t>
        </is>
      </c>
      <c r="G714" t="n">
        <v>0.8</v>
      </c>
      <c r="H714" t="n">
        <v>0</v>
      </c>
      <c r="I714" t="n">
        <v>0</v>
      </c>
      <c r="J714" t="n">
        <v>0</v>
      </c>
      <c r="K714" t="n">
        <v>0</v>
      </c>
      <c r="L714" t="n">
        <v>0</v>
      </c>
      <c r="M714" t="n">
        <v>0</v>
      </c>
      <c r="N714" t="n">
        <v>0</v>
      </c>
      <c r="O714" t="n">
        <v>0</v>
      </c>
      <c r="P714" t="n">
        <v>0</v>
      </c>
      <c r="Q714" t="n">
        <v>0</v>
      </c>
      <c r="R714" s="2" t="inlineStr"/>
    </row>
    <row r="715" ht="15" customHeight="1">
      <c r="A715" t="inlineStr">
        <is>
          <t>A 40601-2025</t>
        </is>
      </c>
      <c r="B715" s="1" t="n">
        <v>45896</v>
      </c>
      <c r="C715" s="1" t="n">
        <v>45924</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54900-2024</t>
        </is>
      </c>
      <c r="B716" s="1" t="n">
        <v>45618.64770833333</v>
      </c>
      <c r="C716" s="1" t="n">
        <v>45924</v>
      </c>
      <c r="D716" t="inlineStr">
        <is>
          <t>VÄRMLANDS LÄN</t>
        </is>
      </c>
      <c r="E716" t="inlineStr">
        <is>
          <t>ÅRJÄNG</t>
        </is>
      </c>
      <c r="G716" t="n">
        <v>1.4</v>
      </c>
      <c r="H716" t="n">
        <v>0</v>
      </c>
      <c r="I716" t="n">
        <v>0</v>
      </c>
      <c r="J716" t="n">
        <v>0</v>
      </c>
      <c r="K716" t="n">
        <v>0</v>
      </c>
      <c r="L716" t="n">
        <v>0</v>
      </c>
      <c r="M716" t="n">
        <v>0</v>
      </c>
      <c r="N716" t="n">
        <v>0</v>
      </c>
      <c r="O716" t="n">
        <v>0</v>
      </c>
      <c r="P716" t="n">
        <v>0</v>
      </c>
      <c r="Q716" t="n">
        <v>0</v>
      </c>
      <c r="R716" s="2" t="inlineStr"/>
    </row>
    <row r="717" ht="15" customHeight="1">
      <c r="A717" t="inlineStr">
        <is>
          <t>A 9441-2021</t>
        </is>
      </c>
      <c r="B717" s="1" t="n">
        <v>44251</v>
      </c>
      <c r="C717" s="1" t="n">
        <v>45924</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40699-2025</t>
        </is>
      </c>
      <c r="B718" s="1" t="n">
        <v>45897.31958333333</v>
      </c>
      <c r="C718" s="1" t="n">
        <v>45924</v>
      </c>
      <c r="D718" t="inlineStr">
        <is>
          <t>VÄRMLANDS LÄN</t>
        </is>
      </c>
      <c r="E718" t="inlineStr">
        <is>
          <t>ÅRJÄNG</t>
        </is>
      </c>
      <c r="F718" t="inlineStr">
        <is>
          <t>Bergvik skog väst AB</t>
        </is>
      </c>
      <c r="G718" t="n">
        <v>1.3</v>
      </c>
      <c r="H718" t="n">
        <v>0</v>
      </c>
      <c r="I718" t="n">
        <v>0</v>
      </c>
      <c r="J718" t="n">
        <v>0</v>
      </c>
      <c r="K718" t="n">
        <v>0</v>
      </c>
      <c r="L718" t="n">
        <v>0</v>
      </c>
      <c r="M718" t="n">
        <v>0</v>
      </c>
      <c r="N718" t="n">
        <v>0</v>
      </c>
      <c r="O718" t="n">
        <v>0</v>
      </c>
      <c r="P718" t="n">
        <v>0</v>
      </c>
      <c r="Q718" t="n">
        <v>0</v>
      </c>
      <c r="R718" s="2" t="inlineStr"/>
    </row>
    <row r="719" ht="15" customHeight="1">
      <c r="A719" t="inlineStr">
        <is>
          <t>A 40497-2025</t>
        </is>
      </c>
      <c r="B719" s="1" t="n">
        <v>45896.32087962963</v>
      </c>
      <c r="C719" s="1" t="n">
        <v>45924</v>
      </c>
      <c r="D719" t="inlineStr">
        <is>
          <t>VÄRMLANDS LÄN</t>
        </is>
      </c>
      <c r="E719" t="inlineStr">
        <is>
          <t>ÅRJÄNG</t>
        </is>
      </c>
      <c r="G719" t="n">
        <v>1.8</v>
      </c>
      <c r="H719" t="n">
        <v>0</v>
      </c>
      <c r="I719" t="n">
        <v>0</v>
      </c>
      <c r="J719" t="n">
        <v>0</v>
      </c>
      <c r="K719" t="n">
        <v>0</v>
      </c>
      <c r="L719" t="n">
        <v>0</v>
      </c>
      <c r="M719" t="n">
        <v>0</v>
      </c>
      <c r="N719" t="n">
        <v>0</v>
      </c>
      <c r="O719" t="n">
        <v>0</v>
      </c>
      <c r="P719" t="n">
        <v>0</v>
      </c>
      <c r="Q719" t="n">
        <v>0</v>
      </c>
      <c r="R719" s="2" t="inlineStr"/>
    </row>
    <row r="720" ht="15" customHeight="1">
      <c r="A720" t="inlineStr">
        <is>
          <t>A 40602-2025</t>
        </is>
      </c>
      <c r="B720" s="1" t="n">
        <v>45896</v>
      </c>
      <c r="C720" s="1" t="n">
        <v>45924</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35304-2025</t>
        </is>
      </c>
      <c r="B721" s="1" t="n">
        <v>45854.43931712963</v>
      </c>
      <c r="C721" s="1" t="n">
        <v>45924</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6577-2025</t>
        </is>
      </c>
      <c r="B722" s="1" t="n">
        <v>45699.87793981482</v>
      </c>
      <c r="C722" s="1" t="n">
        <v>45924</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47981-2023</t>
        </is>
      </c>
      <c r="B723" s="1" t="n">
        <v>45198</v>
      </c>
      <c r="C723" s="1" t="n">
        <v>45924</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34574-2023</t>
        </is>
      </c>
      <c r="B724" s="1" t="n">
        <v>45135</v>
      </c>
      <c r="C724" s="1" t="n">
        <v>45924</v>
      </c>
      <c r="D724" t="inlineStr">
        <is>
          <t>VÄRMLANDS LÄN</t>
        </is>
      </c>
      <c r="E724" t="inlineStr">
        <is>
          <t>ÅRJÄNG</t>
        </is>
      </c>
      <c r="F724" t="inlineStr">
        <is>
          <t>Övriga Aktiebolag</t>
        </is>
      </c>
      <c r="G724" t="n">
        <v>5.9</v>
      </c>
      <c r="H724" t="n">
        <v>0</v>
      </c>
      <c r="I724" t="n">
        <v>0</v>
      </c>
      <c r="J724" t="n">
        <v>0</v>
      </c>
      <c r="K724" t="n">
        <v>0</v>
      </c>
      <c r="L724" t="n">
        <v>0</v>
      </c>
      <c r="M724" t="n">
        <v>0</v>
      </c>
      <c r="N724" t="n">
        <v>0</v>
      </c>
      <c r="O724" t="n">
        <v>0</v>
      </c>
      <c r="P724" t="n">
        <v>0</v>
      </c>
      <c r="Q724" t="n">
        <v>0</v>
      </c>
      <c r="R724" s="2" t="inlineStr"/>
    </row>
    <row r="725" ht="15" customHeight="1">
      <c r="A725" t="inlineStr">
        <is>
          <t>A 58435-2024</t>
        </is>
      </c>
      <c r="B725" s="1" t="n">
        <v>45634</v>
      </c>
      <c r="C725" s="1" t="n">
        <v>45924</v>
      </c>
      <c r="D725" t="inlineStr">
        <is>
          <t>VÄRMLANDS LÄN</t>
        </is>
      </c>
      <c r="E725" t="inlineStr">
        <is>
          <t>ÅRJÄNG</t>
        </is>
      </c>
      <c r="G725" t="n">
        <v>6.7</v>
      </c>
      <c r="H725" t="n">
        <v>0</v>
      </c>
      <c r="I725" t="n">
        <v>0</v>
      </c>
      <c r="J725" t="n">
        <v>0</v>
      </c>
      <c r="K725" t="n">
        <v>0</v>
      </c>
      <c r="L725" t="n">
        <v>0</v>
      </c>
      <c r="M725" t="n">
        <v>0</v>
      </c>
      <c r="N725" t="n">
        <v>0</v>
      </c>
      <c r="O725" t="n">
        <v>0</v>
      </c>
      <c r="P725" t="n">
        <v>0</v>
      </c>
      <c r="Q725" t="n">
        <v>0</v>
      </c>
      <c r="R725" s="2" t="inlineStr"/>
    </row>
    <row r="726" ht="15" customHeight="1">
      <c r="A726" t="inlineStr">
        <is>
          <t>A 41467-2025</t>
        </is>
      </c>
      <c r="B726" s="1" t="n">
        <v>45901.45755787037</v>
      </c>
      <c r="C726" s="1" t="n">
        <v>45924</v>
      </c>
      <c r="D726" t="inlineStr">
        <is>
          <t>VÄRMLANDS LÄN</t>
        </is>
      </c>
      <c r="E726" t="inlineStr">
        <is>
          <t>ÅRJÄNG</t>
        </is>
      </c>
      <c r="G726" t="n">
        <v>2</v>
      </c>
      <c r="H726" t="n">
        <v>0</v>
      </c>
      <c r="I726" t="n">
        <v>0</v>
      </c>
      <c r="J726" t="n">
        <v>0</v>
      </c>
      <c r="K726" t="n">
        <v>0</v>
      </c>
      <c r="L726" t="n">
        <v>0</v>
      </c>
      <c r="M726" t="n">
        <v>0</v>
      </c>
      <c r="N726" t="n">
        <v>0</v>
      </c>
      <c r="O726" t="n">
        <v>0</v>
      </c>
      <c r="P726" t="n">
        <v>0</v>
      </c>
      <c r="Q726" t="n">
        <v>0</v>
      </c>
      <c r="R726" s="2" t="inlineStr"/>
    </row>
    <row r="727" ht="15" customHeight="1">
      <c r="A727" t="inlineStr">
        <is>
          <t>A 41499-2025</t>
        </is>
      </c>
      <c r="B727" s="1" t="n">
        <v>45901</v>
      </c>
      <c r="C727" s="1" t="n">
        <v>45924</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41488-2025</t>
        </is>
      </c>
      <c r="B728" s="1" t="n">
        <v>45901.48288194444</v>
      </c>
      <c r="C728" s="1" t="n">
        <v>45924</v>
      </c>
      <c r="D728" t="inlineStr">
        <is>
          <t>VÄRMLANDS LÄN</t>
        </is>
      </c>
      <c r="E728" t="inlineStr">
        <is>
          <t>ÅRJÄNG</t>
        </is>
      </c>
      <c r="G728" t="n">
        <v>0.8</v>
      </c>
      <c r="H728" t="n">
        <v>0</v>
      </c>
      <c r="I728" t="n">
        <v>0</v>
      </c>
      <c r="J728" t="n">
        <v>0</v>
      </c>
      <c r="K728" t="n">
        <v>0</v>
      </c>
      <c r="L728" t="n">
        <v>0</v>
      </c>
      <c r="M728" t="n">
        <v>0</v>
      </c>
      <c r="N728" t="n">
        <v>0</v>
      </c>
      <c r="O728" t="n">
        <v>0</v>
      </c>
      <c r="P728" t="n">
        <v>0</v>
      </c>
      <c r="Q728" t="n">
        <v>0</v>
      </c>
      <c r="R728" s="2" t="inlineStr"/>
    </row>
    <row r="729" ht="15" customHeight="1">
      <c r="A729" t="inlineStr">
        <is>
          <t>A 51258-2022</t>
        </is>
      </c>
      <c r="B729" s="1" t="n">
        <v>44868.67460648148</v>
      </c>
      <c r="C729" s="1" t="n">
        <v>45924</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51269-2022</t>
        </is>
      </c>
      <c r="B730" s="1" t="n">
        <v>44868</v>
      </c>
      <c r="C730" s="1" t="n">
        <v>45924</v>
      </c>
      <c r="D730" t="inlineStr">
        <is>
          <t>VÄRMLANDS LÄN</t>
        </is>
      </c>
      <c r="E730" t="inlineStr">
        <is>
          <t>ÅRJÄNG</t>
        </is>
      </c>
      <c r="G730" t="n">
        <v>2.1</v>
      </c>
      <c r="H730" t="n">
        <v>0</v>
      </c>
      <c r="I730" t="n">
        <v>0</v>
      </c>
      <c r="J730" t="n">
        <v>0</v>
      </c>
      <c r="K730" t="n">
        <v>0</v>
      </c>
      <c r="L730" t="n">
        <v>0</v>
      </c>
      <c r="M730" t="n">
        <v>0</v>
      </c>
      <c r="N730" t="n">
        <v>0</v>
      </c>
      <c r="O730" t="n">
        <v>0</v>
      </c>
      <c r="P730" t="n">
        <v>0</v>
      </c>
      <c r="Q730" t="n">
        <v>0</v>
      </c>
      <c r="R730" s="2" t="inlineStr"/>
    </row>
    <row r="731" ht="15" customHeight="1">
      <c r="A731" t="inlineStr">
        <is>
          <t>A 61009-2022</t>
        </is>
      </c>
      <c r="B731" s="1" t="n">
        <v>44914.7541550926</v>
      </c>
      <c r="C731" s="1" t="n">
        <v>45924</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58491-2023</t>
        </is>
      </c>
      <c r="B732" s="1" t="n">
        <v>45246</v>
      </c>
      <c r="C732" s="1" t="n">
        <v>45924</v>
      </c>
      <c r="D732" t="inlineStr">
        <is>
          <t>VÄRMLANDS LÄN</t>
        </is>
      </c>
      <c r="E732" t="inlineStr">
        <is>
          <t>ÅRJÄNG</t>
        </is>
      </c>
      <c r="G732" t="n">
        <v>11.4</v>
      </c>
      <c r="H732" t="n">
        <v>0</v>
      </c>
      <c r="I732" t="n">
        <v>0</v>
      </c>
      <c r="J732" t="n">
        <v>0</v>
      </c>
      <c r="K732" t="n">
        <v>0</v>
      </c>
      <c r="L732" t="n">
        <v>0</v>
      </c>
      <c r="M732" t="n">
        <v>0</v>
      </c>
      <c r="N732" t="n">
        <v>0</v>
      </c>
      <c r="O732" t="n">
        <v>0</v>
      </c>
      <c r="P732" t="n">
        <v>0</v>
      </c>
      <c r="Q732" t="n">
        <v>0</v>
      </c>
      <c r="R732" s="2" t="inlineStr"/>
    </row>
    <row r="733" ht="15" customHeight="1">
      <c r="A733" t="inlineStr">
        <is>
          <t>A 40437-2025</t>
        </is>
      </c>
      <c r="B733" s="1" t="n">
        <v>45895</v>
      </c>
      <c r="C733" s="1" t="n">
        <v>45924</v>
      </c>
      <c r="D733" t="inlineStr">
        <is>
          <t>VÄRMLANDS LÄN</t>
        </is>
      </c>
      <c r="E733" t="inlineStr">
        <is>
          <t>ÅRJÄNG</t>
        </is>
      </c>
      <c r="G733" t="n">
        <v>8.1</v>
      </c>
      <c r="H733" t="n">
        <v>0</v>
      </c>
      <c r="I733" t="n">
        <v>0</v>
      </c>
      <c r="J733" t="n">
        <v>0</v>
      </c>
      <c r="K733" t="n">
        <v>0</v>
      </c>
      <c r="L733" t="n">
        <v>0</v>
      </c>
      <c r="M733" t="n">
        <v>0</v>
      </c>
      <c r="N733" t="n">
        <v>0</v>
      </c>
      <c r="O733" t="n">
        <v>0</v>
      </c>
      <c r="P733" t="n">
        <v>0</v>
      </c>
      <c r="Q733" t="n">
        <v>0</v>
      </c>
      <c r="R733" s="2" t="inlineStr"/>
    </row>
    <row r="734" ht="15" customHeight="1">
      <c r="A734" t="inlineStr">
        <is>
          <t>A 41496-2025</t>
        </is>
      </c>
      <c r="B734" s="1" t="n">
        <v>45901</v>
      </c>
      <c r="C734" s="1" t="n">
        <v>45924</v>
      </c>
      <c r="D734" t="inlineStr">
        <is>
          <t>VÄRMLANDS LÄN</t>
        </is>
      </c>
      <c r="E734" t="inlineStr">
        <is>
          <t>ÅRJÄNG</t>
        </is>
      </c>
      <c r="G734" t="n">
        <v>5.8</v>
      </c>
      <c r="H734" t="n">
        <v>0</v>
      </c>
      <c r="I734" t="n">
        <v>0</v>
      </c>
      <c r="J734" t="n">
        <v>0</v>
      </c>
      <c r="K734" t="n">
        <v>0</v>
      </c>
      <c r="L734" t="n">
        <v>0</v>
      </c>
      <c r="M734" t="n">
        <v>0</v>
      </c>
      <c r="N734" t="n">
        <v>0</v>
      </c>
      <c r="O734" t="n">
        <v>0</v>
      </c>
      <c r="P734" t="n">
        <v>0</v>
      </c>
      <c r="Q734" t="n">
        <v>0</v>
      </c>
      <c r="R734" s="2" t="inlineStr"/>
    </row>
    <row r="735" ht="15" customHeight="1">
      <c r="A735" t="inlineStr">
        <is>
          <t>A 40449-2025</t>
        </is>
      </c>
      <c r="B735" s="1" t="n">
        <v>45895</v>
      </c>
      <c r="C735" s="1" t="n">
        <v>45924</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41229-2025</t>
        </is>
      </c>
      <c r="B736" s="1" t="n">
        <v>45898.59108796297</v>
      </c>
      <c r="C736" s="1" t="n">
        <v>45924</v>
      </c>
      <c r="D736" t="inlineStr">
        <is>
          <t>VÄRMLANDS LÄN</t>
        </is>
      </c>
      <c r="E736" t="inlineStr">
        <is>
          <t>ÅRJÄNG</t>
        </is>
      </c>
      <c r="G736" t="n">
        <v>2.6</v>
      </c>
      <c r="H736" t="n">
        <v>0</v>
      </c>
      <c r="I736" t="n">
        <v>0</v>
      </c>
      <c r="J736" t="n">
        <v>0</v>
      </c>
      <c r="K736" t="n">
        <v>0</v>
      </c>
      <c r="L736" t="n">
        <v>0</v>
      </c>
      <c r="M736" t="n">
        <v>0</v>
      </c>
      <c r="N736" t="n">
        <v>0</v>
      </c>
      <c r="O736" t="n">
        <v>0</v>
      </c>
      <c r="P736" t="n">
        <v>0</v>
      </c>
      <c r="Q736" t="n">
        <v>0</v>
      </c>
      <c r="R736" s="2" t="inlineStr"/>
    </row>
    <row r="737" ht="15" customHeight="1">
      <c r="A737" t="inlineStr">
        <is>
          <t>A 33738-2021</t>
        </is>
      </c>
      <c r="B737" s="1" t="n">
        <v>44378.48505787037</v>
      </c>
      <c r="C737" s="1" t="n">
        <v>45924</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61873-2023</t>
        </is>
      </c>
      <c r="B738" s="1" t="n">
        <v>45266.40989583333</v>
      </c>
      <c r="C738" s="1" t="n">
        <v>45924</v>
      </c>
      <c r="D738" t="inlineStr">
        <is>
          <t>VÄRMLANDS LÄN</t>
        </is>
      </c>
      <c r="E738" t="inlineStr">
        <is>
          <t>ÅRJÄNG</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41772-2025</t>
        </is>
      </c>
      <c r="B739" s="1" t="n">
        <v>45902.55828703703</v>
      </c>
      <c r="C739" s="1" t="n">
        <v>45924</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41763-2025</t>
        </is>
      </c>
      <c r="B740" s="1" t="n">
        <v>45902.54175925926</v>
      </c>
      <c r="C740" s="1" t="n">
        <v>45924</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25495-2024</t>
        </is>
      </c>
      <c r="B741" s="1" t="n">
        <v>45463</v>
      </c>
      <c r="C741" s="1" t="n">
        <v>45924</v>
      </c>
      <c r="D741" t="inlineStr">
        <is>
          <t>VÄRMLANDS LÄN</t>
        </is>
      </c>
      <c r="E741" t="inlineStr">
        <is>
          <t>ÅRJÄNG</t>
        </is>
      </c>
      <c r="F741" t="inlineStr">
        <is>
          <t>Kyrkan</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1115-2024</t>
        </is>
      </c>
      <c r="B742" s="1" t="n">
        <v>45302</v>
      </c>
      <c r="C742" s="1" t="n">
        <v>45924</v>
      </c>
      <c r="D742" t="inlineStr">
        <is>
          <t>VÄRMLANDS LÄN</t>
        </is>
      </c>
      <c r="E742" t="inlineStr">
        <is>
          <t>ÅRJÄNG</t>
        </is>
      </c>
      <c r="G742" t="n">
        <v>0.6</v>
      </c>
      <c r="H742" t="n">
        <v>0</v>
      </c>
      <c r="I742" t="n">
        <v>0</v>
      </c>
      <c r="J742" t="n">
        <v>0</v>
      </c>
      <c r="K742" t="n">
        <v>0</v>
      </c>
      <c r="L742" t="n">
        <v>0</v>
      </c>
      <c r="M742" t="n">
        <v>0</v>
      </c>
      <c r="N742" t="n">
        <v>0</v>
      </c>
      <c r="O742" t="n">
        <v>0</v>
      </c>
      <c r="P742" t="n">
        <v>0</v>
      </c>
      <c r="Q742" t="n">
        <v>0</v>
      </c>
      <c r="R742" s="2" t="inlineStr"/>
    </row>
    <row r="743" ht="15" customHeight="1">
      <c r="A743" t="inlineStr">
        <is>
          <t>A 47028-2024</t>
        </is>
      </c>
      <c r="B743" s="1" t="n">
        <v>45586</v>
      </c>
      <c r="C743" s="1" t="n">
        <v>45924</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41725-2025</t>
        </is>
      </c>
      <c r="B744" s="1" t="n">
        <v>45902.45458333333</v>
      </c>
      <c r="C744" s="1" t="n">
        <v>45924</v>
      </c>
      <c r="D744" t="inlineStr">
        <is>
          <t>VÄRMLANDS LÄN</t>
        </is>
      </c>
      <c r="E744" t="inlineStr">
        <is>
          <t>ÅRJÄNG</t>
        </is>
      </c>
      <c r="G744" t="n">
        <v>1.2</v>
      </c>
      <c r="H744" t="n">
        <v>0</v>
      </c>
      <c r="I744" t="n">
        <v>0</v>
      </c>
      <c r="J744" t="n">
        <v>0</v>
      </c>
      <c r="K744" t="n">
        <v>0</v>
      </c>
      <c r="L744" t="n">
        <v>0</v>
      </c>
      <c r="M744" t="n">
        <v>0</v>
      </c>
      <c r="N744" t="n">
        <v>0</v>
      </c>
      <c r="O744" t="n">
        <v>0</v>
      </c>
      <c r="P744" t="n">
        <v>0</v>
      </c>
      <c r="Q744" t="n">
        <v>0</v>
      </c>
      <c r="R744" s="2" t="inlineStr"/>
    </row>
    <row r="745" ht="15" customHeight="1">
      <c r="A745" t="inlineStr">
        <is>
          <t>A 38167-2022</t>
        </is>
      </c>
      <c r="B745" s="1" t="n">
        <v>44812</v>
      </c>
      <c r="C745" s="1" t="n">
        <v>45924</v>
      </c>
      <c r="D745" t="inlineStr">
        <is>
          <t>VÄRMLANDS LÄN</t>
        </is>
      </c>
      <c r="E745" t="inlineStr">
        <is>
          <t>ÅRJÄNG</t>
        </is>
      </c>
      <c r="G745" t="n">
        <v>10.5</v>
      </c>
      <c r="H745" t="n">
        <v>0</v>
      </c>
      <c r="I745" t="n">
        <v>0</v>
      </c>
      <c r="J745" t="n">
        <v>0</v>
      </c>
      <c r="K745" t="n">
        <v>0</v>
      </c>
      <c r="L745" t="n">
        <v>0</v>
      </c>
      <c r="M745" t="n">
        <v>0</v>
      </c>
      <c r="N745" t="n">
        <v>0</v>
      </c>
      <c r="O745" t="n">
        <v>0</v>
      </c>
      <c r="P745" t="n">
        <v>0</v>
      </c>
      <c r="Q745" t="n">
        <v>0</v>
      </c>
      <c r="R745" s="2" t="inlineStr"/>
    </row>
    <row r="746" ht="15" customHeight="1">
      <c r="A746" t="inlineStr">
        <is>
          <t>A 60903-2023</t>
        </is>
      </c>
      <c r="B746" s="1" t="n">
        <v>45261</v>
      </c>
      <c r="C746" s="1" t="n">
        <v>45924</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22274-2024</t>
        </is>
      </c>
      <c r="B747" s="1" t="n">
        <v>45446</v>
      </c>
      <c r="C747" s="1" t="n">
        <v>45924</v>
      </c>
      <c r="D747" t="inlineStr">
        <is>
          <t>VÄRMLANDS LÄN</t>
        </is>
      </c>
      <c r="E747" t="inlineStr">
        <is>
          <t>ÅRJÄNG</t>
        </is>
      </c>
      <c r="G747" t="n">
        <v>8.6</v>
      </c>
      <c r="H747" t="n">
        <v>0</v>
      </c>
      <c r="I747" t="n">
        <v>0</v>
      </c>
      <c r="J747" t="n">
        <v>0</v>
      </c>
      <c r="K747" t="n">
        <v>0</v>
      </c>
      <c r="L747" t="n">
        <v>0</v>
      </c>
      <c r="M747" t="n">
        <v>0</v>
      </c>
      <c r="N747" t="n">
        <v>0</v>
      </c>
      <c r="O747" t="n">
        <v>0</v>
      </c>
      <c r="P747" t="n">
        <v>0</v>
      </c>
      <c r="Q747" t="n">
        <v>0</v>
      </c>
      <c r="R747" s="2" t="inlineStr"/>
    </row>
    <row r="748" ht="15" customHeight="1">
      <c r="A748" t="inlineStr">
        <is>
          <t>A 35726-2022</t>
        </is>
      </c>
      <c r="B748" s="1" t="n">
        <v>44799</v>
      </c>
      <c r="C748" s="1" t="n">
        <v>45924</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15248-2025</t>
        </is>
      </c>
      <c r="B749" s="1" t="n">
        <v>45744</v>
      </c>
      <c r="C749" s="1" t="n">
        <v>45924</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19410-2024</t>
        </is>
      </c>
      <c r="B750" s="1" t="n">
        <v>45429</v>
      </c>
      <c r="C750" s="1" t="n">
        <v>45924</v>
      </c>
      <c r="D750" t="inlineStr">
        <is>
          <t>VÄRMLANDS LÄN</t>
        </is>
      </c>
      <c r="E750" t="inlineStr">
        <is>
          <t>ÅRJÄNG</t>
        </is>
      </c>
      <c r="G750" t="n">
        <v>7.9</v>
      </c>
      <c r="H750" t="n">
        <v>0</v>
      </c>
      <c r="I750" t="n">
        <v>0</v>
      </c>
      <c r="J750" t="n">
        <v>0</v>
      </c>
      <c r="K750" t="n">
        <v>0</v>
      </c>
      <c r="L750" t="n">
        <v>0</v>
      </c>
      <c r="M750" t="n">
        <v>0</v>
      </c>
      <c r="N750" t="n">
        <v>0</v>
      </c>
      <c r="O750" t="n">
        <v>0</v>
      </c>
      <c r="P750" t="n">
        <v>0</v>
      </c>
      <c r="Q750" t="n">
        <v>0</v>
      </c>
      <c r="R750" s="2" t="inlineStr"/>
    </row>
    <row r="751" ht="15" customHeight="1">
      <c r="A751" t="inlineStr">
        <is>
          <t>A 49780-2024</t>
        </is>
      </c>
      <c r="B751" s="1" t="n">
        <v>45597</v>
      </c>
      <c r="C751" s="1" t="n">
        <v>45924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41729-2025</t>
        </is>
      </c>
      <c r="B752" s="1" t="n">
        <v>45902.45789351852</v>
      </c>
      <c r="C752" s="1" t="n">
        <v>45924</v>
      </c>
      <c r="D752" t="inlineStr">
        <is>
          <t>VÄRMLANDS LÄN</t>
        </is>
      </c>
      <c r="E752" t="inlineStr">
        <is>
          <t>ÅRJÄNG</t>
        </is>
      </c>
      <c r="G752" t="n">
        <v>5</v>
      </c>
      <c r="H752" t="n">
        <v>0</v>
      </c>
      <c r="I752" t="n">
        <v>0</v>
      </c>
      <c r="J752" t="n">
        <v>0</v>
      </c>
      <c r="K752" t="n">
        <v>0</v>
      </c>
      <c r="L752" t="n">
        <v>0</v>
      </c>
      <c r="M752" t="n">
        <v>0</v>
      </c>
      <c r="N752" t="n">
        <v>0</v>
      </c>
      <c r="O752" t="n">
        <v>0</v>
      </c>
      <c r="P752" t="n">
        <v>0</v>
      </c>
      <c r="Q752" t="n">
        <v>0</v>
      </c>
      <c r="R752" s="2" t="inlineStr"/>
    </row>
    <row r="753" ht="15" customHeight="1">
      <c r="A753" t="inlineStr">
        <is>
          <t>A 41771-2025</t>
        </is>
      </c>
      <c r="B753" s="1" t="n">
        <v>45902.55228009259</v>
      </c>
      <c r="C753" s="1" t="n">
        <v>45924</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61154-2021</t>
        </is>
      </c>
      <c r="B754" s="1" t="n">
        <v>44497</v>
      </c>
      <c r="C754" s="1" t="n">
        <v>45924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57306-2023</t>
        </is>
      </c>
      <c r="B755" s="1" t="n">
        <v>45245.62431712963</v>
      </c>
      <c r="C755" s="1" t="n">
        <v>45924</v>
      </c>
      <c r="D755" t="inlineStr">
        <is>
          <t>VÄRMLANDS LÄN</t>
        </is>
      </c>
      <c r="E755" t="inlineStr">
        <is>
          <t>ÅRJÄNG</t>
        </is>
      </c>
      <c r="G755" t="n">
        <v>1.1</v>
      </c>
      <c r="H755" t="n">
        <v>0</v>
      </c>
      <c r="I755" t="n">
        <v>0</v>
      </c>
      <c r="J755" t="n">
        <v>0</v>
      </c>
      <c r="K755" t="n">
        <v>0</v>
      </c>
      <c r="L755" t="n">
        <v>0</v>
      </c>
      <c r="M755" t="n">
        <v>0</v>
      </c>
      <c r="N755" t="n">
        <v>0</v>
      </c>
      <c r="O755" t="n">
        <v>0</v>
      </c>
      <c r="P755" t="n">
        <v>0</v>
      </c>
      <c r="Q755" t="n">
        <v>0</v>
      </c>
      <c r="R755" s="2" t="inlineStr"/>
    </row>
    <row r="756" ht="15" customHeight="1">
      <c r="A756" t="inlineStr">
        <is>
          <t>A 59784-2023</t>
        </is>
      </c>
      <c r="B756" s="1" t="n">
        <v>45257</v>
      </c>
      <c r="C756" s="1" t="n">
        <v>45924</v>
      </c>
      <c r="D756" t="inlineStr">
        <is>
          <t>VÄRMLANDS LÄN</t>
        </is>
      </c>
      <c r="E756" t="inlineStr">
        <is>
          <t>ÅRJÄNG</t>
        </is>
      </c>
      <c r="G756" t="n">
        <v>3.1</v>
      </c>
      <c r="H756" t="n">
        <v>0</v>
      </c>
      <c r="I756" t="n">
        <v>0</v>
      </c>
      <c r="J756" t="n">
        <v>0</v>
      </c>
      <c r="K756" t="n">
        <v>0</v>
      </c>
      <c r="L756" t="n">
        <v>0</v>
      </c>
      <c r="M756" t="n">
        <v>0</v>
      </c>
      <c r="N756" t="n">
        <v>0</v>
      </c>
      <c r="O756" t="n">
        <v>0</v>
      </c>
      <c r="P756" t="n">
        <v>0</v>
      </c>
      <c r="Q756" t="n">
        <v>0</v>
      </c>
      <c r="R756" s="2" t="inlineStr"/>
    </row>
    <row r="757" ht="15" customHeight="1">
      <c r="A757" t="inlineStr">
        <is>
          <t>A 56030-2024</t>
        </is>
      </c>
      <c r="B757" s="1" t="n">
        <v>45624.31178240741</v>
      </c>
      <c r="C757" s="1" t="n">
        <v>45924</v>
      </c>
      <c r="D757" t="inlineStr">
        <is>
          <t>VÄRMLANDS LÄN</t>
        </is>
      </c>
      <c r="E757" t="inlineStr">
        <is>
          <t>ÅRJÄNG</t>
        </is>
      </c>
      <c r="G757" t="n">
        <v>2</v>
      </c>
      <c r="H757" t="n">
        <v>0</v>
      </c>
      <c r="I757" t="n">
        <v>0</v>
      </c>
      <c r="J757" t="n">
        <v>0</v>
      </c>
      <c r="K757" t="n">
        <v>0</v>
      </c>
      <c r="L757" t="n">
        <v>0</v>
      </c>
      <c r="M757" t="n">
        <v>0</v>
      </c>
      <c r="N757" t="n">
        <v>0</v>
      </c>
      <c r="O757" t="n">
        <v>0</v>
      </c>
      <c r="P757" t="n">
        <v>0</v>
      </c>
      <c r="Q757" t="n">
        <v>0</v>
      </c>
      <c r="R757" s="2" t="inlineStr"/>
    </row>
    <row r="758" ht="15" customHeight="1">
      <c r="A758" t="inlineStr">
        <is>
          <t>A 52574-2024</t>
        </is>
      </c>
      <c r="B758" s="1" t="n">
        <v>45609</v>
      </c>
      <c r="C758" s="1" t="n">
        <v>45924</v>
      </c>
      <c r="D758" t="inlineStr">
        <is>
          <t>VÄRMLANDS LÄN</t>
        </is>
      </c>
      <c r="E758" t="inlineStr">
        <is>
          <t>ÅRJÄNG</t>
        </is>
      </c>
      <c r="G758" t="n">
        <v>0.2</v>
      </c>
      <c r="H758" t="n">
        <v>0</v>
      </c>
      <c r="I758" t="n">
        <v>0</v>
      </c>
      <c r="J758" t="n">
        <v>0</v>
      </c>
      <c r="K758" t="n">
        <v>0</v>
      </c>
      <c r="L758" t="n">
        <v>0</v>
      </c>
      <c r="M758" t="n">
        <v>0</v>
      </c>
      <c r="N758" t="n">
        <v>0</v>
      </c>
      <c r="O758" t="n">
        <v>0</v>
      </c>
      <c r="P758" t="n">
        <v>0</v>
      </c>
      <c r="Q758" t="n">
        <v>0</v>
      </c>
      <c r="R758" s="2" t="inlineStr"/>
    </row>
    <row r="759" ht="15" customHeight="1">
      <c r="A759" t="inlineStr">
        <is>
          <t>A 64151-2023</t>
        </is>
      </c>
      <c r="B759" s="1" t="n">
        <v>45279.58803240741</v>
      </c>
      <c r="C759" s="1" t="n">
        <v>45924</v>
      </c>
      <c r="D759" t="inlineStr">
        <is>
          <t>VÄRMLANDS LÄN</t>
        </is>
      </c>
      <c r="E759" t="inlineStr">
        <is>
          <t>ÅRJÄNG</t>
        </is>
      </c>
      <c r="G759" t="n">
        <v>24.5</v>
      </c>
      <c r="H759" t="n">
        <v>0</v>
      </c>
      <c r="I759" t="n">
        <v>0</v>
      </c>
      <c r="J759" t="n">
        <v>0</v>
      </c>
      <c r="K759" t="n">
        <v>0</v>
      </c>
      <c r="L759" t="n">
        <v>0</v>
      </c>
      <c r="M759" t="n">
        <v>0</v>
      </c>
      <c r="N759" t="n">
        <v>0</v>
      </c>
      <c r="O759" t="n">
        <v>0</v>
      </c>
      <c r="P759" t="n">
        <v>0</v>
      </c>
      <c r="Q759" t="n">
        <v>0</v>
      </c>
      <c r="R759" s="2" t="inlineStr"/>
    </row>
    <row r="760" ht="15" customHeight="1">
      <c r="A760" t="inlineStr">
        <is>
          <t>A 47688-2023</t>
        </is>
      </c>
      <c r="B760" s="1" t="n">
        <v>45203</v>
      </c>
      <c r="C760" s="1" t="n">
        <v>45924</v>
      </c>
      <c r="D760" t="inlineStr">
        <is>
          <t>VÄRMLANDS LÄN</t>
        </is>
      </c>
      <c r="E760" t="inlineStr">
        <is>
          <t>ÅRJÄNG</t>
        </is>
      </c>
      <c r="F760" t="inlineStr">
        <is>
          <t>Övriga Aktiebolag</t>
        </is>
      </c>
      <c r="G760" t="n">
        <v>20.3</v>
      </c>
      <c r="H760" t="n">
        <v>0</v>
      </c>
      <c r="I760" t="n">
        <v>0</v>
      </c>
      <c r="J760" t="n">
        <v>0</v>
      </c>
      <c r="K760" t="n">
        <v>0</v>
      </c>
      <c r="L760" t="n">
        <v>0</v>
      </c>
      <c r="M760" t="n">
        <v>0</v>
      </c>
      <c r="N760" t="n">
        <v>0</v>
      </c>
      <c r="O760" t="n">
        <v>0</v>
      </c>
      <c r="P760" t="n">
        <v>0</v>
      </c>
      <c r="Q760" t="n">
        <v>0</v>
      </c>
      <c r="R760" s="2" t="inlineStr"/>
    </row>
    <row r="761" ht="15" customHeight="1">
      <c r="A761" t="inlineStr">
        <is>
          <t>A 42333-2025</t>
        </is>
      </c>
      <c r="B761" s="1" t="n">
        <v>45904</v>
      </c>
      <c r="C761" s="1" t="n">
        <v>45924</v>
      </c>
      <c r="D761" t="inlineStr">
        <is>
          <t>VÄRMLANDS LÄN</t>
        </is>
      </c>
      <c r="E761" t="inlineStr">
        <is>
          <t>ÅRJÄNG</t>
        </is>
      </c>
      <c r="G761" t="n">
        <v>3.8</v>
      </c>
      <c r="H761" t="n">
        <v>0</v>
      </c>
      <c r="I761" t="n">
        <v>0</v>
      </c>
      <c r="J761" t="n">
        <v>0</v>
      </c>
      <c r="K761" t="n">
        <v>0</v>
      </c>
      <c r="L761" t="n">
        <v>0</v>
      </c>
      <c r="M761" t="n">
        <v>0</v>
      </c>
      <c r="N761" t="n">
        <v>0</v>
      </c>
      <c r="O761" t="n">
        <v>0</v>
      </c>
      <c r="P761" t="n">
        <v>0</v>
      </c>
      <c r="Q761" t="n">
        <v>0</v>
      </c>
      <c r="R761" s="2" t="inlineStr"/>
    </row>
    <row r="762" ht="15" customHeight="1">
      <c r="A762" t="inlineStr">
        <is>
          <t>A 48805-2022</t>
        </is>
      </c>
      <c r="B762" s="1" t="n">
        <v>44854</v>
      </c>
      <c r="C762" s="1" t="n">
        <v>45924</v>
      </c>
      <c r="D762" t="inlineStr">
        <is>
          <t>VÄRMLANDS LÄN</t>
        </is>
      </c>
      <c r="E762" t="inlineStr">
        <is>
          <t>ÅRJÄNG</t>
        </is>
      </c>
      <c r="G762" t="n">
        <v>4</v>
      </c>
      <c r="H762" t="n">
        <v>0</v>
      </c>
      <c r="I762" t="n">
        <v>0</v>
      </c>
      <c r="J762" t="n">
        <v>0</v>
      </c>
      <c r="K762" t="n">
        <v>0</v>
      </c>
      <c r="L762" t="n">
        <v>0</v>
      </c>
      <c r="M762" t="n">
        <v>0</v>
      </c>
      <c r="N762" t="n">
        <v>0</v>
      </c>
      <c r="O762" t="n">
        <v>0</v>
      </c>
      <c r="P762" t="n">
        <v>0</v>
      </c>
      <c r="Q762" t="n">
        <v>0</v>
      </c>
      <c r="R762" s="2" t="inlineStr"/>
    </row>
    <row r="763" ht="15" customHeight="1">
      <c r="A763" t="inlineStr">
        <is>
          <t>A 56917-2024</t>
        </is>
      </c>
      <c r="B763" s="1" t="n">
        <v>45628</v>
      </c>
      <c r="C763" s="1" t="n">
        <v>45924</v>
      </c>
      <c r="D763" t="inlineStr">
        <is>
          <t>VÄRMLANDS LÄN</t>
        </is>
      </c>
      <c r="E763" t="inlineStr">
        <is>
          <t>ÅRJÄNG</t>
        </is>
      </c>
      <c r="G763" t="n">
        <v>2.5</v>
      </c>
      <c r="H763" t="n">
        <v>0</v>
      </c>
      <c r="I763" t="n">
        <v>0</v>
      </c>
      <c r="J763" t="n">
        <v>0</v>
      </c>
      <c r="K763" t="n">
        <v>0</v>
      </c>
      <c r="L763" t="n">
        <v>0</v>
      </c>
      <c r="M763" t="n">
        <v>0</v>
      </c>
      <c r="N763" t="n">
        <v>0</v>
      </c>
      <c r="O763" t="n">
        <v>0</v>
      </c>
      <c r="P763" t="n">
        <v>0</v>
      </c>
      <c r="Q763" t="n">
        <v>0</v>
      </c>
      <c r="R763" s="2" t="inlineStr"/>
    </row>
    <row r="764" ht="15" customHeight="1">
      <c r="A764" t="inlineStr">
        <is>
          <t>A 69839-2021</t>
        </is>
      </c>
      <c r="B764" s="1" t="n">
        <v>44532</v>
      </c>
      <c r="C764" s="1" t="n">
        <v>45924</v>
      </c>
      <c r="D764" t="inlineStr">
        <is>
          <t>VÄRMLANDS LÄN</t>
        </is>
      </c>
      <c r="E764" t="inlineStr">
        <is>
          <t>ÅRJÄNG</t>
        </is>
      </c>
      <c r="G764" t="n">
        <v>3.1</v>
      </c>
      <c r="H764" t="n">
        <v>0</v>
      </c>
      <c r="I764" t="n">
        <v>0</v>
      </c>
      <c r="J764" t="n">
        <v>0</v>
      </c>
      <c r="K764" t="n">
        <v>0</v>
      </c>
      <c r="L764" t="n">
        <v>0</v>
      </c>
      <c r="M764" t="n">
        <v>0</v>
      </c>
      <c r="N764" t="n">
        <v>0</v>
      </c>
      <c r="O764" t="n">
        <v>0</v>
      </c>
      <c r="P764" t="n">
        <v>0</v>
      </c>
      <c r="Q764" t="n">
        <v>0</v>
      </c>
      <c r="R764" s="2" t="inlineStr"/>
    </row>
    <row r="765" ht="15" customHeight="1">
      <c r="A765" t="inlineStr">
        <is>
          <t>A 9909-2024</t>
        </is>
      </c>
      <c r="B765" s="1" t="n">
        <v>45363.53642361111</v>
      </c>
      <c r="C765" s="1" t="n">
        <v>45924</v>
      </c>
      <c r="D765" t="inlineStr">
        <is>
          <t>VÄRMLANDS LÄN</t>
        </is>
      </c>
      <c r="E765" t="inlineStr">
        <is>
          <t>ÅRJÄNG</t>
        </is>
      </c>
      <c r="G765" t="n">
        <v>3</v>
      </c>
      <c r="H765" t="n">
        <v>0</v>
      </c>
      <c r="I765" t="n">
        <v>0</v>
      </c>
      <c r="J765" t="n">
        <v>0</v>
      </c>
      <c r="K765" t="n">
        <v>0</v>
      </c>
      <c r="L765" t="n">
        <v>0</v>
      </c>
      <c r="M765" t="n">
        <v>0</v>
      </c>
      <c r="N765" t="n">
        <v>0</v>
      </c>
      <c r="O765" t="n">
        <v>0</v>
      </c>
      <c r="P765" t="n">
        <v>0</v>
      </c>
      <c r="Q765" t="n">
        <v>0</v>
      </c>
      <c r="R765" s="2" t="inlineStr"/>
    </row>
    <row r="766" ht="15" customHeight="1">
      <c r="A766" t="inlineStr">
        <is>
          <t>A 42045-2024</t>
        </is>
      </c>
      <c r="B766" s="1" t="n">
        <v>45561</v>
      </c>
      <c r="C766" s="1" t="n">
        <v>45924</v>
      </c>
      <c r="D766" t="inlineStr">
        <is>
          <t>VÄRMLANDS LÄN</t>
        </is>
      </c>
      <c r="E766" t="inlineStr">
        <is>
          <t>ÅRJÄNG</t>
        </is>
      </c>
      <c r="G766" t="n">
        <v>1.9</v>
      </c>
      <c r="H766" t="n">
        <v>0</v>
      </c>
      <c r="I766" t="n">
        <v>0</v>
      </c>
      <c r="J766" t="n">
        <v>0</v>
      </c>
      <c r="K766" t="n">
        <v>0</v>
      </c>
      <c r="L766" t="n">
        <v>0</v>
      </c>
      <c r="M766" t="n">
        <v>0</v>
      </c>
      <c r="N766" t="n">
        <v>0</v>
      </c>
      <c r="O766" t="n">
        <v>0</v>
      </c>
      <c r="P766" t="n">
        <v>0</v>
      </c>
      <c r="Q766" t="n">
        <v>0</v>
      </c>
      <c r="R766" s="2" t="inlineStr"/>
    </row>
    <row r="767" ht="15" customHeight="1">
      <c r="A767" t="inlineStr">
        <is>
          <t>A 44004-2023</t>
        </is>
      </c>
      <c r="B767" s="1" t="n">
        <v>45188.30134259259</v>
      </c>
      <c r="C767" s="1" t="n">
        <v>45924</v>
      </c>
      <c r="D767" t="inlineStr">
        <is>
          <t>VÄRMLANDS LÄN</t>
        </is>
      </c>
      <c r="E767" t="inlineStr">
        <is>
          <t>ÅRJÄNG</t>
        </is>
      </c>
      <c r="G767" t="n">
        <v>1.8</v>
      </c>
      <c r="H767" t="n">
        <v>0</v>
      </c>
      <c r="I767" t="n">
        <v>0</v>
      </c>
      <c r="J767" t="n">
        <v>0</v>
      </c>
      <c r="K767" t="n">
        <v>0</v>
      </c>
      <c r="L767" t="n">
        <v>0</v>
      </c>
      <c r="M767" t="n">
        <v>0</v>
      </c>
      <c r="N767" t="n">
        <v>0</v>
      </c>
      <c r="O767" t="n">
        <v>0</v>
      </c>
      <c r="P767" t="n">
        <v>0</v>
      </c>
      <c r="Q767" t="n">
        <v>0</v>
      </c>
      <c r="R767" s="2" t="inlineStr"/>
    </row>
    <row r="768" ht="15" customHeight="1">
      <c r="A768" t="inlineStr">
        <is>
          <t>A 44007-2023</t>
        </is>
      </c>
      <c r="B768" s="1" t="n">
        <v>45188.31231481482</v>
      </c>
      <c r="C768" s="1" t="n">
        <v>45924</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42562-2025</t>
        </is>
      </c>
      <c r="B769" s="1" t="n">
        <v>45905.59986111111</v>
      </c>
      <c r="C769" s="1" t="n">
        <v>45924</v>
      </c>
      <c r="D769" t="inlineStr">
        <is>
          <t>VÄRMLANDS LÄN</t>
        </is>
      </c>
      <c r="E769" t="inlineStr">
        <is>
          <t>ÅRJÄNG</t>
        </is>
      </c>
      <c r="G769" t="n">
        <v>2.3</v>
      </c>
      <c r="H769" t="n">
        <v>0</v>
      </c>
      <c r="I769" t="n">
        <v>0</v>
      </c>
      <c r="J769" t="n">
        <v>0</v>
      </c>
      <c r="K769" t="n">
        <v>0</v>
      </c>
      <c r="L769" t="n">
        <v>0</v>
      </c>
      <c r="M769" t="n">
        <v>0</v>
      </c>
      <c r="N769" t="n">
        <v>0</v>
      </c>
      <c r="O769" t="n">
        <v>0</v>
      </c>
      <c r="P769" t="n">
        <v>0</v>
      </c>
      <c r="Q769" t="n">
        <v>0</v>
      </c>
      <c r="R769" s="2" t="inlineStr"/>
    </row>
    <row r="770" ht="15" customHeight="1">
      <c r="A770" t="inlineStr">
        <is>
          <t>A 35869-2025</t>
        </is>
      </c>
      <c r="B770" s="1" t="n">
        <v>45862</v>
      </c>
      <c r="C770" s="1" t="n">
        <v>45924</v>
      </c>
      <c r="D770" t="inlineStr">
        <is>
          <t>VÄRMLANDS LÄN</t>
        </is>
      </c>
      <c r="E770" t="inlineStr">
        <is>
          <t>ÅRJÄNG</t>
        </is>
      </c>
      <c r="F770" t="inlineStr">
        <is>
          <t>Bergvik skog väst AB</t>
        </is>
      </c>
      <c r="G770" t="n">
        <v>4.1</v>
      </c>
      <c r="H770" t="n">
        <v>0</v>
      </c>
      <c r="I770" t="n">
        <v>0</v>
      </c>
      <c r="J770" t="n">
        <v>0</v>
      </c>
      <c r="K770" t="n">
        <v>0</v>
      </c>
      <c r="L770" t="n">
        <v>0</v>
      </c>
      <c r="M770" t="n">
        <v>0</v>
      </c>
      <c r="N770" t="n">
        <v>0</v>
      </c>
      <c r="O770" t="n">
        <v>0</v>
      </c>
      <c r="P770" t="n">
        <v>0</v>
      </c>
      <c r="Q770" t="n">
        <v>0</v>
      </c>
      <c r="R770" s="2" t="inlineStr"/>
    </row>
    <row r="771" ht="15" customHeight="1">
      <c r="A771" t="inlineStr">
        <is>
          <t>A 5095-2023</t>
        </is>
      </c>
      <c r="B771" s="1" t="n">
        <v>44953</v>
      </c>
      <c r="C771" s="1" t="n">
        <v>45924</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57708-2024</t>
        </is>
      </c>
      <c r="B772" s="1" t="n">
        <v>45630</v>
      </c>
      <c r="C772" s="1" t="n">
        <v>45924</v>
      </c>
      <c r="D772" t="inlineStr">
        <is>
          <t>VÄRMLANDS LÄN</t>
        </is>
      </c>
      <c r="E772" t="inlineStr">
        <is>
          <t>ÅRJÄNG</t>
        </is>
      </c>
      <c r="G772" t="n">
        <v>2</v>
      </c>
      <c r="H772" t="n">
        <v>0</v>
      </c>
      <c r="I772" t="n">
        <v>0</v>
      </c>
      <c r="J772" t="n">
        <v>0</v>
      </c>
      <c r="K772" t="n">
        <v>0</v>
      </c>
      <c r="L772" t="n">
        <v>0</v>
      </c>
      <c r="M772" t="n">
        <v>0</v>
      </c>
      <c r="N772" t="n">
        <v>0</v>
      </c>
      <c r="O772" t="n">
        <v>0</v>
      </c>
      <c r="P772" t="n">
        <v>0</v>
      </c>
      <c r="Q772" t="n">
        <v>0</v>
      </c>
      <c r="R772" s="2" t="inlineStr"/>
    </row>
    <row r="773" ht="15" customHeight="1">
      <c r="A773" t="inlineStr">
        <is>
          <t>A 3298-2025</t>
        </is>
      </c>
      <c r="B773" s="1" t="n">
        <v>45679.64770833333</v>
      </c>
      <c r="C773" s="1" t="n">
        <v>45924</v>
      </c>
      <c r="D773" t="inlineStr">
        <is>
          <t>VÄRMLANDS LÄN</t>
        </is>
      </c>
      <c r="E773" t="inlineStr">
        <is>
          <t>ÅRJÄNG</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41206-2024</t>
        </is>
      </c>
      <c r="B774" s="1" t="n">
        <v>45559</v>
      </c>
      <c r="C774" s="1" t="n">
        <v>45924</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40465-2023</t>
        </is>
      </c>
      <c r="B775" s="1" t="n">
        <v>45170.34325231481</v>
      </c>
      <c r="C775" s="1" t="n">
        <v>45924</v>
      </c>
      <c r="D775" t="inlineStr">
        <is>
          <t>VÄRMLANDS LÄN</t>
        </is>
      </c>
      <c r="E775" t="inlineStr">
        <is>
          <t>ÅRJÄNG</t>
        </is>
      </c>
      <c r="G775" t="n">
        <v>1.7</v>
      </c>
      <c r="H775" t="n">
        <v>0</v>
      </c>
      <c r="I775" t="n">
        <v>0</v>
      </c>
      <c r="J775" t="n">
        <v>0</v>
      </c>
      <c r="K775" t="n">
        <v>0</v>
      </c>
      <c r="L775" t="n">
        <v>0</v>
      </c>
      <c r="M775" t="n">
        <v>0</v>
      </c>
      <c r="N775" t="n">
        <v>0</v>
      </c>
      <c r="O775" t="n">
        <v>0</v>
      </c>
      <c r="P775" t="n">
        <v>0</v>
      </c>
      <c r="Q775" t="n">
        <v>0</v>
      </c>
      <c r="R775" s="2" t="inlineStr"/>
    </row>
    <row r="776" ht="15" customHeight="1">
      <c r="A776" t="inlineStr">
        <is>
          <t>A 36143-2025</t>
        </is>
      </c>
      <c r="B776" s="1" t="n">
        <v>45866.68708333333</v>
      </c>
      <c r="C776" s="1" t="n">
        <v>45924</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43047-2025</t>
        </is>
      </c>
      <c r="B777" s="1" t="n">
        <v>45909.56127314815</v>
      </c>
      <c r="C777" s="1" t="n">
        <v>45924</v>
      </c>
      <c r="D777" t="inlineStr">
        <is>
          <t>VÄRMLANDS LÄN</t>
        </is>
      </c>
      <c r="E777" t="inlineStr">
        <is>
          <t>ÅRJÄNG</t>
        </is>
      </c>
      <c r="G777" t="n">
        <v>6.3</v>
      </c>
      <c r="H777" t="n">
        <v>0</v>
      </c>
      <c r="I777" t="n">
        <v>0</v>
      </c>
      <c r="J777" t="n">
        <v>0</v>
      </c>
      <c r="K777" t="n">
        <v>0</v>
      </c>
      <c r="L777" t="n">
        <v>0</v>
      </c>
      <c r="M777" t="n">
        <v>0</v>
      </c>
      <c r="N777" t="n">
        <v>0</v>
      </c>
      <c r="O777" t="n">
        <v>0</v>
      </c>
      <c r="P777" t="n">
        <v>0</v>
      </c>
      <c r="Q777" t="n">
        <v>0</v>
      </c>
      <c r="R777" s="2" t="inlineStr"/>
    </row>
    <row r="778" ht="15" customHeight="1">
      <c r="A778" t="inlineStr">
        <is>
          <t>A 43050-2025</t>
        </is>
      </c>
      <c r="B778" s="1" t="n">
        <v>45909.56809027777</v>
      </c>
      <c r="C778" s="1" t="n">
        <v>45924</v>
      </c>
      <c r="D778" t="inlineStr">
        <is>
          <t>VÄRMLANDS LÄN</t>
        </is>
      </c>
      <c r="E778" t="inlineStr">
        <is>
          <t>ÅRJÄNG</t>
        </is>
      </c>
      <c r="G778" t="n">
        <v>4.8</v>
      </c>
      <c r="H778" t="n">
        <v>0</v>
      </c>
      <c r="I778" t="n">
        <v>0</v>
      </c>
      <c r="J778" t="n">
        <v>0</v>
      </c>
      <c r="K778" t="n">
        <v>0</v>
      </c>
      <c r="L778" t="n">
        <v>0</v>
      </c>
      <c r="M778" t="n">
        <v>0</v>
      </c>
      <c r="N778" t="n">
        <v>0</v>
      </c>
      <c r="O778" t="n">
        <v>0</v>
      </c>
      <c r="P778" t="n">
        <v>0</v>
      </c>
      <c r="Q778" t="n">
        <v>0</v>
      </c>
      <c r="R778" s="2" t="inlineStr"/>
    </row>
    <row r="779" ht="15" customHeight="1">
      <c r="A779" t="inlineStr">
        <is>
          <t>A 23216-2023</t>
        </is>
      </c>
      <c r="B779" s="1" t="n">
        <v>45075</v>
      </c>
      <c r="C779" s="1" t="n">
        <v>45924</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24339-2024</t>
        </is>
      </c>
      <c r="B780" s="1" t="n">
        <v>45457</v>
      </c>
      <c r="C780" s="1" t="n">
        <v>45924</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24916-2024</t>
        </is>
      </c>
      <c r="B781" s="1" t="n">
        <v>45461.6058449074</v>
      </c>
      <c r="C781" s="1" t="n">
        <v>45924</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47228-2023</t>
        </is>
      </c>
      <c r="B782" s="1" t="n">
        <v>45202.3709837963</v>
      </c>
      <c r="C782" s="1" t="n">
        <v>45924</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60377-2022</t>
        </is>
      </c>
      <c r="B783" s="1" t="n">
        <v>44904</v>
      </c>
      <c r="C783" s="1" t="n">
        <v>45924</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42971-2025</t>
        </is>
      </c>
      <c r="B784" s="1" t="n">
        <v>45909.41502314815</v>
      </c>
      <c r="C784" s="1" t="n">
        <v>45924</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8685-2024</t>
        </is>
      </c>
      <c r="B785" s="1" t="n">
        <v>45356</v>
      </c>
      <c r="C785" s="1" t="n">
        <v>45924</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8838-2023</t>
        </is>
      </c>
      <c r="B786" s="1" t="n">
        <v>44978</v>
      </c>
      <c r="C786" s="1" t="n">
        <v>45924</v>
      </c>
      <c r="D786" t="inlineStr">
        <is>
          <t>VÄRMLANDS LÄN</t>
        </is>
      </c>
      <c r="E786" t="inlineStr">
        <is>
          <t>ÅRJÄNG</t>
        </is>
      </c>
      <c r="G786" t="n">
        <v>7</v>
      </c>
      <c r="H786" t="n">
        <v>0</v>
      </c>
      <c r="I786" t="n">
        <v>0</v>
      </c>
      <c r="J786" t="n">
        <v>0</v>
      </c>
      <c r="K786" t="n">
        <v>0</v>
      </c>
      <c r="L786" t="n">
        <v>0</v>
      </c>
      <c r="M786" t="n">
        <v>0</v>
      </c>
      <c r="N786" t="n">
        <v>0</v>
      </c>
      <c r="O786" t="n">
        <v>0</v>
      </c>
      <c r="P786" t="n">
        <v>0</v>
      </c>
      <c r="Q786" t="n">
        <v>0</v>
      </c>
      <c r="R786" s="2" t="inlineStr"/>
    </row>
    <row r="787" ht="15" customHeight="1">
      <c r="A787" t="inlineStr">
        <is>
          <t>A 26259-2024</t>
        </is>
      </c>
      <c r="B787" s="1" t="n">
        <v>45468</v>
      </c>
      <c r="C787" s="1" t="n">
        <v>45924</v>
      </c>
      <c r="D787" t="inlineStr">
        <is>
          <t>VÄRMLANDS LÄN</t>
        </is>
      </c>
      <c r="E787" t="inlineStr">
        <is>
          <t>ÅRJÄNG</t>
        </is>
      </c>
      <c r="G787" t="n">
        <v>4.3</v>
      </c>
      <c r="H787" t="n">
        <v>0</v>
      </c>
      <c r="I787" t="n">
        <v>0</v>
      </c>
      <c r="J787" t="n">
        <v>0</v>
      </c>
      <c r="K787" t="n">
        <v>0</v>
      </c>
      <c r="L787" t="n">
        <v>0</v>
      </c>
      <c r="M787" t="n">
        <v>0</v>
      </c>
      <c r="N787" t="n">
        <v>0</v>
      </c>
      <c r="O787" t="n">
        <v>0</v>
      </c>
      <c r="P787" t="n">
        <v>0</v>
      </c>
      <c r="Q787" t="n">
        <v>0</v>
      </c>
      <c r="R787" s="2" t="inlineStr"/>
    </row>
    <row r="788" ht="15" customHeight="1">
      <c r="A788" t="inlineStr">
        <is>
          <t>A 42677-2025</t>
        </is>
      </c>
      <c r="B788" s="1" t="n">
        <v>45908.32836805555</v>
      </c>
      <c r="C788" s="1" t="n">
        <v>45924</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36862-2025</t>
        </is>
      </c>
      <c r="B789" s="1" t="n">
        <v>45874</v>
      </c>
      <c r="C789" s="1" t="n">
        <v>45924</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43012-2025</t>
        </is>
      </c>
      <c r="B790" s="1" t="n">
        <v>45909.48989583334</v>
      </c>
      <c r="C790" s="1" t="n">
        <v>45924</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43025-2025</t>
        </is>
      </c>
      <c r="B791" s="1" t="n">
        <v>45909.53126157408</v>
      </c>
      <c r="C791" s="1" t="n">
        <v>45924</v>
      </c>
      <c r="D791" t="inlineStr">
        <is>
          <t>VÄRMLANDS LÄN</t>
        </is>
      </c>
      <c r="E791" t="inlineStr">
        <is>
          <t>ÅRJÄNG</t>
        </is>
      </c>
      <c r="G791" t="n">
        <v>3.8</v>
      </c>
      <c r="H791" t="n">
        <v>0</v>
      </c>
      <c r="I791" t="n">
        <v>0</v>
      </c>
      <c r="J791" t="n">
        <v>0</v>
      </c>
      <c r="K791" t="n">
        <v>0</v>
      </c>
      <c r="L791" t="n">
        <v>0</v>
      </c>
      <c r="M791" t="n">
        <v>0</v>
      </c>
      <c r="N791" t="n">
        <v>0</v>
      </c>
      <c r="O791" t="n">
        <v>0</v>
      </c>
      <c r="P791" t="n">
        <v>0</v>
      </c>
      <c r="Q791" t="n">
        <v>0</v>
      </c>
      <c r="R791" s="2" t="inlineStr"/>
    </row>
    <row r="792" ht="15" customHeight="1">
      <c r="A792" t="inlineStr">
        <is>
          <t>A 58486-2023</t>
        </is>
      </c>
      <c r="B792" s="1" t="n">
        <v>45246</v>
      </c>
      <c r="C792" s="1" t="n">
        <v>45924</v>
      </c>
      <c r="D792" t="inlineStr">
        <is>
          <t>VÄRMLANDS LÄN</t>
        </is>
      </c>
      <c r="E792" t="inlineStr">
        <is>
          <t>ÅRJÄNG</t>
        </is>
      </c>
      <c r="G792" t="n">
        <v>8.5</v>
      </c>
      <c r="H792" t="n">
        <v>0</v>
      </c>
      <c r="I792" t="n">
        <v>0</v>
      </c>
      <c r="J792" t="n">
        <v>0</v>
      </c>
      <c r="K792" t="n">
        <v>0</v>
      </c>
      <c r="L792" t="n">
        <v>0</v>
      </c>
      <c r="M792" t="n">
        <v>0</v>
      </c>
      <c r="N792" t="n">
        <v>0</v>
      </c>
      <c r="O792" t="n">
        <v>0</v>
      </c>
      <c r="P792" t="n">
        <v>0</v>
      </c>
      <c r="Q792" t="n">
        <v>0</v>
      </c>
      <c r="R792" s="2" t="inlineStr"/>
    </row>
    <row r="793" ht="15" customHeight="1">
      <c r="A793" t="inlineStr">
        <is>
          <t>A 12082-2023</t>
        </is>
      </c>
      <c r="B793" s="1" t="n">
        <v>44997.78215277778</v>
      </c>
      <c r="C793" s="1" t="n">
        <v>45924</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43434-2025</t>
        </is>
      </c>
      <c r="B794" s="1" t="n">
        <v>45911.42743055556</v>
      </c>
      <c r="C794" s="1" t="n">
        <v>45924</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15953-2025</t>
        </is>
      </c>
      <c r="B795" s="1" t="n">
        <v>45749</v>
      </c>
      <c r="C795" s="1" t="n">
        <v>45924</v>
      </c>
      <c r="D795" t="inlineStr">
        <is>
          <t>VÄRMLANDS LÄN</t>
        </is>
      </c>
      <c r="E795" t="inlineStr">
        <is>
          <t>ÅRJÄNG</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43484-2025</t>
        </is>
      </c>
      <c r="B796" s="1" t="n">
        <v>45911.5033912037</v>
      </c>
      <c r="C796" s="1" t="n">
        <v>45924</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24893-2024</t>
        </is>
      </c>
      <c r="B797" s="1" t="n">
        <v>45461.57194444445</v>
      </c>
      <c r="C797" s="1" t="n">
        <v>45924</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32338-2024</t>
        </is>
      </c>
      <c r="B798" s="1" t="n">
        <v>45512</v>
      </c>
      <c r="C798" s="1" t="n">
        <v>45924</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43426-2025</t>
        </is>
      </c>
      <c r="B799" s="1" t="n">
        <v>45911.41869212963</v>
      </c>
      <c r="C799" s="1" t="n">
        <v>45924</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26284-2021</t>
        </is>
      </c>
      <c r="B800" s="1" t="n">
        <v>44347</v>
      </c>
      <c r="C800" s="1" t="n">
        <v>45924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43162-2025</t>
        </is>
      </c>
      <c r="B801" s="1" t="n">
        <v>45910</v>
      </c>
      <c r="C801" s="1" t="n">
        <v>45924</v>
      </c>
      <c r="D801" t="inlineStr">
        <is>
          <t>VÄRMLANDS LÄN</t>
        </is>
      </c>
      <c r="E801" t="inlineStr">
        <is>
          <t>ÅRJÄNG</t>
        </is>
      </c>
      <c r="F801" t="inlineStr">
        <is>
          <t>Bergvik skog väst AB</t>
        </is>
      </c>
      <c r="G801" t="n">
        <v>12.9</v>
      </c>
      <c r="H801" t="n">
        <v>0</v>
      </c>
      <c r="I801" t="n">
        <v>0</v>
      </c>
      <c r="J801" t="n">
        <v>0</v>
      </c>
      <c r="K801" t="n">
        <v>0</v>
      </c>
      <c r="L801" t="n">
        <v>0</v>
      </c>
      <c r="M801" t="n">
        <v>0</v>
      </c>
      <c r="N801" t="n">
        <v>0</v>
      </c>
      <c r="O801" t="n">
        <v>0</v>
      </c>
      <c r="P801" t="n">
        <v>0</v>
      </c>
      <c r="Q801" t="n">
        <v>0</v>
      </c>
      <c r="R801" s="2" t="inlineStr"/>
    </row>
    <row r="802" ht="15" customHeight="1">
      <c r="A802" t="inlineStr">
        <is>
          <t>A 1560-2025</t>
        </is>
      </c>
      <c r="B802" s="1" t="n">
        <v>45670.53878472222</v>
      </c>
      <c r="C802" s="1" t="n">
        <v>45924</v>
      </c>
      <c r="D802" t="inlineStr">
        <is>
          <t>VÄRMLANDS LÄN</t>
        </is>
      </c>
      <c r="E802" t="inlineStr">
        <is>
          <t>ÅRJÄNG</t>
        </is>
      </c>
      <c r="G802" t="n">
        <v>2.7</v>
      </c>
      <c r="H802" t="n">
        <v>0</v>
      </c>
      <c r="I802" t="n">
        <v>0</v>
      </c>
      <c r="J802" t="n">
        <v>0</v>
      </c>
      <c r="K802" t="n">
        <v>0</v>
      </c>
      <c r="L802" t="n">
        <v>0</v>
      </c>
      <c r="M802" t="n">
        <v>0</v>
      </c>
      <c r="N802" t="n">
        <v>0</v>
      </c>
      <c r="O802" t="n">
        <v>0</v>
      </c>
      <c r="P802" t="n">
        <v>0</v>
      </c>
      <c r="Q802" t="n">
        <v>0</v>
      </c>
      <c r="R802" s="2" t="inlineStr"/>
    </row>
    <row r="803" ht="15" customHeight="1">
      <c r="A803" t="inlineStr">
        <is>
          <t>A 62261-2023</t>
        </is>
      </c>
      <c r="B803" s="1" t="n">
        <v>45266</v>
      </c>
      <c r="C803" s="1" t="n">
        <v>45924</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36461-2025</t>
        </is>
      </c>
      <c r="B804" s="1" t="n">
        <v>45869</v>
      </c>
      <c r="C804" s="1" t="n">
        <v>45924</v>
      </c>
      <c r="D804" t="inlineStr">
        <is>
          <t>VÄRMLANDS LÄN</t>
        </is>
      </c>
      <c r="E804" t="inlineStr">
        <is>
          <t>ÅRJÄNG</t>
        </is>
      </c>
      <c r="G804" t="n">
        <v>3.7</v>
      </c>
      <c r="H804" t="n">
        <v>0</v>
      </c>
      <c r="I804" t="n">
        <v>0</v>
      </c>
      <c r="J804" t="n">
        <v>0</v>
      </c>
      <c r="K804" t="n">
        <v>0</v>
      </c>
      <c r="L804" t="n">
        <v>0</v>
      </c>
      <c r="M804" t="n">
        <v>0</v>
      </c>
      <c r="N804" t="n">
        <v>0</v>
      </c>
      <c r="O804" t="n">
        <v>0</v>
      </c>
      <c r="P804" t="n">
        <v>0</v>
      </c>
      <c r="Q804" t="n">
        <v>0</v>
      </c>
      <c r="R804" s="2" t="inlineStr"/>
    </row>
    <row r="805" ht="15" customHeight="1">
      <c r="A805" t="inlineStr">
        <is>
          <t>A 19052-2023</t>
        </is>
      </c>
      <c r="B805" s="1" t="n">
        <v>45047</v>
      </c>
      <c r="C805" s="1" t="n">
        <v>45924</v>
      </c>
      <c r="D805" t="inlineStr">
        <is>
          <t>VÄRMLANDS LÄN</t>
        </is>
      </c>
      <c r="E805" t="inlineStr">
        <is>
          <t>ÅRJÄNG</t>
        </is>
      </c>
      <c r="G805" t="n">
        <v>3.5</v>
      </c>
      <c r="H805" t="n">
        <v>0</v>
      </c>
      <c r="I805" t="n">
        <v>0</v>
      </c>
      <c r="J805" t="n">
        <v>0</v>
      </c>
      <c r="K805" t="n">
        <v>0</v>
      </c>
      <c r="L805" t="n">
        <v>0</v>
      </c>
      <c r="M805" t="n">
        <v>0</v>
      </c>
      <c r="N805" t="n">
        <v>0</v>
      </c>
      <c r="O805" t="n">
        <v>0</v>
      </c>
      <c r="P805" t="n">
        <v>0</v>
      </c>
      <c r="Q805" t="n">
        <v>0</v>
      </c>
      <c r="R805" s="2" t="inlineStr"/>
    </row>
    <row r="806" ht="15" customHeight="1">
      <c r="A806" t="inlineStr">
        <is>
          <t>A 21706-2024</t>
        </is>
      </c>
      <c r="B806" s="1" t="n">
        <v>45442</v>
      </c>
      <c r="C806" s="1" t="n">
        <v>45924</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60000-2024</t>
        </is>
      </c>
      <c r="B807" s="1" t="n">
        <v>45642</v>
      </c>
      <c r="C807" s="1" t="n">
        <v>45924</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15165-2025</t>
        </is>
      </c>
      <c r="B808" s="1" t="n">
        <v>45744.48599537037</v>
      </c>
      <c r="C808" s="1" t="n">
        <v>45924</v>
      </c>
      <c r="D808" t="inlineStr">
        <is>
          <t>VÄRMLANDS LÄN</t>
        </is>
      </c>
      <c r="E808" t="inlineStr">
        <is>
          <t>ÅRJÄNG</t>
        </is>
      </c>
      <c r="G808" t="n">
        <v>3</v>
      </c>
      <c r="H808" t="n">
        <v>0</v>
      </c>
      <c r="I808" t="n">
        <v>0</v>
      </c>
      <c r="J808" t="n">
        <v>0</v>
      </c>
      <c r="K808" t="n">
        <v>0</v>
      </c>
      <c r="L808" t="n">
        <v>0</v>
      </c>
      <c r="M808" t="n">
        <v>0</v>
      </c>
      <c r="N808" t="n">
        <v>0</v>
      </c>
      <c r="O808" t="n">
        <v>0</v>
      </c>
      <c r="P808" t="n">
        <v>0</v>
      </c>
      <c r="Q808" t="n">
        <v>0</v>
      </c>
      <c r="R808" s="2" t="inlineStr"/>
    </row>
    <row r="809" ht="15" customHeight="1">
      <c r="A809" t="inlineStr">
        <is>
          <t>A 34205-2025</t>
        </is>
      </c>
      <c r="B809" s="1" t="n">
        <v>45845</v>
      </c>
      <c r="C809" s="1" t="n">
        <v>45924</v>
      </c>
      <c r="D809" t="inlineStr">
        <is>
          <t>VÄRMLANDS LÄN</t>
        </is>
      </c>
      <c r="E809" t="inlineStr">
        <is>
          <t>ÅRJÄNG</t>
        </is>
      </c>
      <c r="G809" t="n">
        <v>4.4</v>
      </c>
      <c r="H809" t="n">
        <v>0</v>
      </c>
      <c r="I809" t="n">
        <v>0</v>
      </c>
      <c r="J809" t="n">
        <v>0</v>
      </c>
      <c r="K809" t="n">
        <v>0</v>
      </c>
      <c r="L809" t="n">
        <v>0</v>
      </c>
      <c r="M809" t="n">
        <v>0</v>
      </c>
      <c r="N809" t="n">
        <v>0</v>
      </c>
      <c r="O809" t="n">
        <v>0</v>
      </c>
      <c r="P809" t="n">
        <v>0</v>
      </c>
      <c r="Q809" t="n">
        <v>0</v>
      </c>
      <c r="R809" s="2" t="inlineStr"/>
    </row>
    <row r="810" ht="15" customHeight="1">
      <c r="A810" t="inlineStr">
        <is>
          <t>A 42236-2024</t>
        </is>
      </c>
      <c r="B810" s="1" t="n">
        <v>45562</v>
      </c>
      <c r="C810" s="1" t="n">
        <v>45924</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60020-2024</t>
        </is>
      </c>
      <c r="B811" s="1" t="n">
        <v>45642.44655092592</v>
      </c>
      <c r="C811" s="1" t="n">
        <v>45924</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36751-2025</t>
        </is>
      </c>
      <c r="B812" s="1" t="n">
        <v>45873</v>
      </c>
      <c r="C812" s="1" t="n">
        <v>45924</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36780-2025</t>
        </is>
      </c>
      <c r="B813" s="1" t="n">
        <v>45873</v>
      </c>
      <c r="C813" s="1" t="n">
        <v>45924</v>
      </c>
      <c r="D813" t="inlineStr">
        <is>
          <t>VÄRMLANDS LÄN</t>
        </is>
      </c>
      <c r="E813" t="inlineStr">
        <is>
          <t>ÅRJÄNG</t>
        </is>
      </c>
      <c r="G813" t="n">
        <v>0.7</v>
      </c>
      <c r="H813" t="n">
        <v>0</v>
      </c>
      <c r="I813" t="n">
        <v>0</v>
      </c>
      <c r="J813" t="n">
        <v>0</v>
      </c>
      <c r="K813" t="n">
        <v>0</v>
      </c>
      <c r="L813" t="n">
        <v>0</v>
      </c>
      <c r="M813" t="n">
        <v>0</v>
      </c>
      <c r="N813" t="n">
        <v>0</v>
      </c>
      <c r="O813" t="n">
        <v>0</v>
      </c>
      <c r="P813" t="n">
        <v>0</v>
      </c>
      <c r="Q813" t="n">
        <v>0</v>
      </c>
      <c r="R813" s="2" t="inlineStr"/>
    </row>
    <row r="814" ht="15" customHeight="1">
      <c r="A814" t="inlineStr">
        <is>
          <t>A 59622-2022</t>
        </is>
      </c>
      <c r="B814" s="1" t="n">
        <v>44907.89939814815</v>
      </c>
      <c r="C814" s="1" t="n">
        <v>45924</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50112-2024</t>
        </is>
      </c>
      <c r="B815" s="1" t="n">
        <v>45600</v>
      </c>
      <c r="C815" s="1" t="n">
        <v>45924</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12659-2025</t>
        </is>
      </c>
      <c r="B816" s="1" t="n">
        <v>45733.42350694445</v>
      </c>
      <c r="C816" s="1" t="n">
        <v>45924</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4135-2025</t>
        </is>
      </c>
      <c r="B817" s="1" t="n">
        <v>45685</v>
      </c>
      <c r="C817" s="1" t="n">
        <v>45924</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4748-2023</t>
        </is>
      </c>
      <c r="B818" s="1" t="n">
        <v>44957</v>
      </c>
      <c r="C818" s="1" t="n">
        <v>45924</v>
      </c>
      <c r="D818" t="inlineStr">
        <is>
          <t>VÄRMLANDS LÄN</t>
        </is>
      </c>
      <c r="E818" t="inlineStr">
        <is>
          <t>ÅRJÄNG</t>
        </is>
      </c>
      <c r="G818" t="n">
        <v>2.6</v>
      </c>
      <c r="H818" t="n">
        <v>0</v>
      </c>
      <c r="I818" t="n">
        <v>0</v>
      </c>
      <c r="J818" t="n">
        <v>0</v>
      </c>
      <c r="K818" t="n">
        <v>0</v>
      </c>
      <c r="L818" t="n">
        <v>0</v>
      </c>
      <c r="M818" t="n">
        <v>0</v>
      </c>
      <c r="N818" t="n">
        <v>0</v>
      </c>
      <c r="O818" t="n">
        <v>0</v>
      </c>
      <c r="P818" t="n">
        <v>0</v>
      </c>
      <c r="Q818" t="n">
        <v>0</v>
      </c>
      <c r="R818" s="2" t="inlineStr"/>
    </row>
    <row r="819" ht="15" customHeight="1">
      <c r="A819" t="inlineStr">
        <is>
          <t>A 35157-2021</t>
        </is>
      </c>
      <c r="B819" s="1" t="n">
        <v>44383</v>
      </c>
      <c r="C819" s="1" t="n">
        <v>45924</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43650-2024</t>
        </is>
      </c>
      <c r="B820" s="1" t="n">
        <v>45569.53091435185</v>
      </c>
      <c r="C820" s="1" t="n">
        <v>45924</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6559-2025</t>
        </is>
      </c>
      <c r="B821" s="1" t="n">
        <v>45699.73678240741</v>
      </c>
      <c r="C821" s="1" t="n">
        <v>45924</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12993-2025</t>
        </is>
      </c>
      <c r="B822" s="1" t="n">
        <v>45734.48583333333</v>
      </c>
      <c r="C822" s="1" t="n">
        <v>45924</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59801-2023</t>
        </is>
      </c>
      <c r="B823" s="1" t="n">
        <v>45254</v>
      </c>
      <c r="C823" s="1" t="n">
        <v>45924</v>
      </c>
      <c r="D823" t="inlineStr">
        <is>
          <t>VÄRMLANDS LÄN</t>
        </is>
      </c>
      <c r="E823" t="inlineStr">
        <is>
          <t>ÅRJÄNG</t>
        </is>
      </c>
      <c r="G823" t="n">
        <v>13.8</v>
      </c>
      <c r="H823" t="n">
        <v>0</v>
      </c>
      <c r="I823" t="n">
        <v>0</v>
      </c>
      <c r="J823" t="n">
        <v>0</v>
      </c>
      <c r="K823" t="n">
        <v>0</v>
      </c>
      <c r="L823" t="n">
        <v>0</v>
      </c>
      <c r="M823" t="n">
        <v>0</v>
      </c>
      <c r="N823" t="n">
        <v>0</v>
      </c>
      <c r="O823" t="n">
        <v>0</v>
      </c>
      <c r="P823" t="n">
        <v>0</v>
      </c>
      <c r="Q823" t="n">
        <v>0</v>
      </c>
      <c r="R823" s="2" t="inlineStr"/>
    </row>
    <row r="824" ht="15" customHeight="1">
      <c r="A824" t="inlineStr">
        <is>
          <t>A 59811-2023</t>
        </is>
      </c>
      <c r="B824" s="1" t="n">
        <v>45254</v>
      </c>
      <c r="C824" s="1" t="n">
        <v>45924</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57152-2024</t>
        </is>
      </c>
      <c r="B825" s="1" t="n">
        <v>45628</v>
      </c>
      <c r="C825" s="1" t="n">
        <v>45924</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57158-2024</t>
        </is>
      </c>
      <c r="B826" s="1" t="n">
        <v>45628</v>
      </c>
      <c r="C826" s="1" t="n">
        <v>45924</v>
      </c>
      <c r="D826" t="inlineStr">
        <is>
          <t>VÄRMLANDS LÄN</t>
        </is>
      </c>
      <c r="E826" t="inlineStr">
        <is>
          <t>ÅRJÄNG</t>
        </is>
      </c>
      <c r="G826" t="n">
        <v>6.3</v>
      </c>
      <c r="H826" t="n">
        <v>0</v>
      </c>
      <c r="I826" t="n">
        <v>0</v>
      </c>
      <c r="J826" t="n">
        <v>0</v>
      </c>
      <c r="K826" t="n">
        <v>0</v>
      </c>
      <c r="L826" t="n">
        <v>0</v>
      </c>
      <c r="M826" t="n">
        <v>0</v>
      </c>
      <c r="N826" t="n">
        <v>0</v>
      </c>
      <c r="O826" t="n">
        <v>0</v>
      </c>
      <c r="P826" t="n">
        <v>0</v>
      </c>
      <c r="Q826" t="n">
        <v>0</v>
      </c>
      <c r="R826" s="2" t="inlineStr"/>
    </row>
    <row r="827" ht="15" customHeight="1">
      <c r="A827" t="inlineStr">
        <is>
          <t>A 13029-2025</t>
        </is>
      </c>
      <c r="B827" s="1" t="n">
        <v>45734.5703125</v>
      </c>
      <c r="C827" s="1" t="n">
        <v>45924</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36752-2025</t>
        </is>
      </c>
      <c r="B828" s="1" t="n">
        <v>45873</v>
      </c>
      <c r="C828" s="1" t="n">
        <v>45924</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65854-2021</t>
        </is>
      </c>
      <c r="B829" s="1" t="n">
        <v>44517.37467592592</v>
      </c>
      <c r="C829" s="1" t="n">
        <v>45924</v>
      </c>
      <c r="D829" t="inlineStr">
        <is>
          <t>VÄRMLANDS LÄN</t>
        </is>
      </c>
      <c r="E829" t="inlineStr">
        <is>
          <t>ÅRJÄNG</t>
        </is>
      </c>
      <c r="G829" t="n">
        <v>11.1</v>
      </c>
      <c r="H829" t="n">
        <v>0</v>
      </c>
      <c r="I829" t="n">
        <v>0</v>
      </c>
      <c r="J829" t="n">
        <v>0</v>
      </c>
      <c r="K829" t="n">
        <v>0</v>
      </c>
      <c r="L829" t="n">
        <v>0</v>
      </c>
      <c r="M829" t="n">
        <v>0</v>
      </c>
      <c r="N829" t="n">
        <v>0</v>
      </c>
      <c r="O829" t="n">
        <v>0</v>
      </c>
      <c r="P829" t="n">
        <v>0</v>
      </c>
      <c r="Q829" t="n">
        <v>0</v>
      </c>
      <c r="R829" s="2" t="inlineStr"/>
    </row>
    <row r="830" ht="15" customHeight="1">
      <c r="A830" t="inlineStr">
        <is>
          <t>A 36450-2025</t>
        </is>
      </c>
      <c r="B830" s="1" t="n">
        <v>45869</v>
      </c>
      <c r="C830" s="1" t="n">
        <v>45924</v>
      </c>
      <c r="D830" t="inlineStr">
        <is>
          <t>VÄRMLANDS LÄN</t>
        </is>
      </c>
      <c r="E830" t="inlineStr">
        <is>
          <t>ÅRJÄNG</t>
        </is>
      </c>
      <c r="G830" t="n">
        <v>4.6</v>
      </c>
      <c r="H830" t="n">
        <v>0</v>
      </c>
      <c r="I830" t="n">
        <v>0</v>
      </c>
      <c r="J830" t="n">
        <v>0</v>
      </c>
      <c r="K830" t="n">
        <v>0</v>
      </c>
      <c r="L830" t="n">
        <v>0</v>
      </c>
      <c r="M830" t="n">
        <v>0</v>
      </c>
      <c r="N830" t="n">
        <v>0</v>
      </c>
      <c r="O830" t="n">
        <v>0</v>
      </c>
      <c r="P830" t="n">
        <v>0</v>
      </c>
      <c r="Q830" t="n">
        <v>0</v>
      </c>
      <c r="R830" s="2" t="inlineStr"/>
    </row>
    <row r="831" ht="15" customHeight="1">
      <c r="A831" t="inlineStr">
        <is>
          <t>A 34409-2023</t>
        </is>
      </c>
      <c r="B831" s="1" t="n">
        <v>45139.56662037037</v>
      </c>
      <c r="C831" s="1" t="n">
        <v>45924</v>
      </c>
      <c r="D831" t="inlineStr">
        <is>
          <t>VÄRMLANDS LÄN</t>
        </is>
      </c>
      <c r="E831" t="inlineStr">
        <is>
          <t>ÅRJÄNG</t>
        </is>
      </c>
      <c r="G831" t="n">
        <v>4.6</v>
      </c>
      <c r="H831" t="n">
        <v>0</v>
      </c>
      <c r="I831" t="n">
        <v>0</v>
      </c>
      <c r="J831" t="n">
        <v>0</v>
      </c>
      <c r="K831" t="n">
        <v>0</v>
      </c>
      <c r="L831" t="n">
        <v>0</v>
      </c>
      <c r="M831" t="n">
        <v>0</v>
      </c>
      <c r="N831" t="n">
        <v>0</v>
      </c>
      <c r="O831" t="n">
        <v>0</v>
      </c>
      <c r="P831" t="n">
        <v>0</v>
      </c>
      <c r="Q831" t="n">
        <v>0</v>
      </c>
      <c r="R831" s="2" t="inlineStr"/>
    </row>
    <row r="832" ht="15" customHeight="1">
      <c r="A832" t="inlineStr">
        <is>
          <t>A 56655-2024</t>
        </is>
      </c>
      <c r="B832" s="1" t="n">
        <v>45625</v>
      </c>
      <c r="C832" s="1" t="n">
        <v>45924</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58436-2023</t>
        </is>
      </c>
      <c r="B833" s="1" t="n">
        <v>45250</v>
      </c>
      <c r="C833" s="1" t="n">
        <v>45924</v>
      </c>
      <c r="D833" t="inlineStr">
        <is>
          <t>VÄRMLANDS LÄN</t>
        </is>
      </c>
      <c r="E833" t="inlineStr">
        <is>
          <t>ÅRJÄNG</t>
        </is>
      </c>
      <c r="G833" t="n">
        <v>0.9</v>
      </c>
      <c r="H833" t="n">
        <v>0</v>
      </c>
      <c r="I833" t="n">
        <v>0</v>
      </c>
      <c r="J833" t="n">
        <v>0</v>
      </c>
      <c r="K833" t="n">
        <v>0</v>
      </c>
      <c r="L833" t="n">
        <v>0</v>
      </c>
      <c r="M833" t="n">
        <v>0</v>
      </c>
      <c r="N833" t="n">
        <v>0</v>
      </c>
      <c r="O833" t="n">
        <v>0</v>
      </c>
      <c r="P833" t="n">
        <v>0</v>
      </c>
      <c r="Q833" t="n">
        <v>0</v>
      </c>
      <c r="R833" s="2" t="inlineStr"/>
    </row>
    <row r="834" ht="15" customHeight="1">
      <c r="A834" t="inlineStr">
        <is>
          <t>A 44451-2025</t>
        </is>
      </c>
      <c r="B834" s="1" t="n">
        <v>45916</v>
      </c>
      <c r="C834" s="1" t="n">
        <v>45924</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44452-2025</t>
        </is>
      </c>
      <c r="B835" s="1" t="n">
        <v>45916</v>
      </c>
      <c r="C835" s="1" t="n">
        <v>45924</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44456-2025</t>
        </is>
      </c>
      <c r="B836" s="1" t="n">
        <v>45916</v>
      </c>
      <c r="C836" s="1" t="n">
        <v>45924</v>
      </c>
      <c r="D836" t="inlineStr">
        <is>
          <t>VÄRMLANDS LÄN</t>
        </is>
      </c>
      <c r="E836" t="inlineStr">
        <is>
          <t>ÅRJÄNG</t>
        </is>
      </c>
      <c r="G836" t="n">
        <v>1.8</v>
      </c>
      <c r="H836" t="n">
        <v>0</v>
      </c>
      <c r="I836" t="n">
        <v>0</v>
      </c>
      <c r="J836" t="n">
        <v>0</v>
      </c>
      <c r="K836" t="n">
        <v>0</v>
      </c>
      <c r="L836" t="n">
        <v>0</v>
      </c>
      <c r="M836" t="n">
        <v>0</v>
      </c>
      <c r="N836" t="n">
        <v>0</v>
      </c>
      <c r="O836" t="n">
        <v>0</v>
      </c>
      <c r="P836" t="n">
        <v>0</v>
      </c>
      <c r="Q836" t="n">
        <v>0</v>
      </c>
      <c r="R836" s="2" t="inlineStr"/>
    </row>
    <row r="837" ht="15" customHeight="1">
      <c r="A837" t="inlineStr">
        <is>
          <t>A 39008-2023</t>
        </is>
      </c>
      <c r="B837" s="1" t="n">
        <v>45162</v>
      </c>
      <c r="C837" s="1" t="n">
        <v>45924</v>
      </c>
      <c r="D837" t="inlineStr">
        <is>
          <t>VÄRMLANDS LÄN</t>
        </is>
      </c>
      <c r="E837" t="inlineStr">
        <is>
          <t>ÅRJÄNG</t>
        </is>
      </c>
      <c r="G837" t="n">
        <v>5.1</v>
      </c>
      <c r="H837" t="n">
        <v>0</v>
      </c>
      <c r="I837" t="n">
        <v>0</v>
      </c>
      <c r="J837" t="n">
        <v>0</v>
      </c>
      <c r="K837" t="n">
        <v>0</v>
      </c>
      <c r="L837" t="n">
        <v>0</v>
      </c>
      <c r="M837" t="n">
        <v>0</v>
      </c>
      <c r="N837" t="n">
        <v>0</v>
      </c>
      <c r="O837" t="n">
        <v>0</v>
      </c>
      <c r="P837" t="n">
        <v>0</v>
      </c>
      <c r="Q837" t="n">
        <v>0</v>
      </c>
      <c r="R837" s="2" t="inlineStr"/>
    </row>
    <row r="838" ht="15" customHeight="1">
      <c r="A838" t="inlineStr">
        <is>
          <t>A 53793-2024</t>
        </is>
      </c>
      <c r="B838" s="1" t="n">
        <v>45615</v>
      </c>
      <c r="C838" s="1" t="n">
        <v>45924</v>
      </c>
      <c r="D838" t="inlineStr">
        <is>
          <t>VÄRMLANDS LÄN</t>
        </is>
      </c>
      <c r="E838" t="inlineStr">
        <is>
          <t>ÅRJÄNG</t>
        </is>
      </c>
      <c r="G838" t="n">
        <v>4.9</v>
      </c>
      <c r="H838" t="n">
        <v>0</v>
      </c>
      <c r="I838" t="n">
        <v>0</v>
      </c>
      <c r="J838" t="n">
        <v>0</v>
      </c>
      <c r="K838" t="n">
        <v>0</v>
      </c>
      <c r="L838" t="n">
        <v>0</v>
      </c>
      <c r="M838" t="n">
        <v>0</v>
      </c>
      <c r="N838" t="n">
        <v>0</v>
      </c>
      <c r="O838" t="n">
        <v>0</v>
      </c>
      <c r="P838" t="n">
        <v>0</v>
      </c>
      <c r="Q838" t="n">
        <v>0</v>
      </c>
      <c r="R838" s="2" t="inlineStr"/>
    </row>
    <row r="839" ht="15" customHeight="1">
      <c r="A839" t="inlineStr">
        <is>
          <t>A 49133-2024</t>
        </is>
      </c>
      <c r="B839" s="1" t="n">
        <v>45594</v>
      </c>
      <c r="C839" s="1" t="n">
        <v>45924</v>
      </c>
      <c r="D839" t="inlineStr">
        <is>
          <t>VÄRMLANDS LÄN</t>
        </is>
      </c>
      <c r="E839" t="inlineStr">
        <is>
          <t>ÅRJÄNG</t>
        </is>
      </c>
      <c r="G839" t="n">
        <v>7.5</v>
      </c>
      <c r="H839" t="n">
        <v>0</v>
      </c>
      <c r="I839" t="n">
        <v>0</v>
      </c>
      <c r="J839" t="n">
        <v>0</v>
      </c>
      <c r="K839" t="n">
        <v>0</v>
      </c>
      <c r="L839" t="n">
        <v>0</v>
      </c>
      <c r="M839" t="n">
        <v>0</v>
      </c>
      <c r="N839" t="n">
        <v>0</v>
      </c>
      <c r="O839" t="n">
        <v>0</v>
      </c>
      <c r="P839" t="n">
        <v>0</v>
      </c>
      <c r="Q839" t="n">
        <v>0</v>
      </c>
      <c r="R839" s="2" t="inlineStr"/>
    </row>
    <row r="840" ht="15" customHeight="1">
      <c r="A840" t="inlineStr">
        <is>
          <t>A 37071-2025</t>
        </is>
      </c>
      <c r="B840" s="1" t="n">
        <v>45875.40101851852</v>
      </c>
      <c r="C840" s="1" t="n">
        <v>45924</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44768-2025</t>
        </is>
      </c>
      <c r="B841" s="1" t="n">
        <v>45917.74274305555</v>
      </c>
      <c r="C841" s="1" t="n">
        <v>45924</v>
      </c>
      <c r="D841" t="inlineStr">
        <is>
          <t>VÄRMLANDS LÄN</t>
        </is>
      </c>
      <c r="E841" t="inlineStr">
        <is>
          <t>ÅRJÄNG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24445-2025</t>
        </is>
      </c>
      <c r="B842" s="1" t="n">
        <v>45798</v>
      </c>
      <c r="C842" s="1" t="n">
        <v>45924</v>
      </c>
      <c r="D842" t="inlineStr">
        <is>
          <t>VÄRMLANDS LÄN</t>
        </is>
      </c>
      <c r="E842" t="inlineStr">
        <is>
          <t>ÅRJÄNG</t>
        </is>
      </c>
      <c r="G842" t="n">
        <v>6.4</v>
      </c>
      <c r="H842" t="n">
        <v>0</v>
      </c>
      <c r="I842" t="n">
        <v>0</v>
      </c>
      <c r="J842" t="n">
        <v>0</v>
      </c>
      <c r="K842" t="n">
        <v>0</v>
      </c>
      <c r="L842" t="n">
        <v>0</v>
      </c>
      <c r="M842" t="n">
        <v>0</v>
      </c>
      <c r="N842" t="n">
        <v>0</v>
      </c>
      <c r="O842" t="n">
        <v>0</v>
      </c>
      <c r="P842" t="n">
        <v>0</v>
      </c>
      <c r="Q842" t="n">
        <v>0</v>
      </c>
      <c r="R842" s="2" t="inlineStr"/>
    </row>
    <row r="843" ht="15" customHeight="1">
      <c r="A843" t="inlineStr">
        <is>
          <t>A 36827-2025</t>
        </is>
      </c>
      <c r="B843" s="1" t="n">
        <v>45874</v>
      </c>
      <c r="C843" s="1" t="n">
        <v>45924</v>
      </c>
      <c r="D843" t="inlineStr">
        <is>
          <t>VÄRMLANDS LÄN</t>
        </is>
      </c>
      <c r="E843" t="inlineStr">
        <is>
          <t>ÅRJÄNG</t>
        </is>
      </c>
      <c r="G843" t="n">
        <v>0.7</v>
      </c>
      <c r="H843" t="n">
        <v>0</v>
      </c>
      <c r="I843" t="n">
        <v>0</v>
      </c>
      <c r="J843" t="n">
        <v>0</v>
      </c>
      <c r="K843" t="n">
        <v>0</v>
      </c>
      <c r="L843" t="n">
        <v>0</v>
      </c>
      <c r="M843" t="n">
        <v>0</v>
      </c>
      <c r="N843" t="n">
        <v>0</v>
      </c>
      <c r="O843" t="n">
        <v>0</v>
      </c>
      <c r="P843" t="n">
        <v>0</v>
      </c>
      <c r="Q843" t="n">
        <v>0</v>
      </c>
      <c r="R843" s="2" t="inlineStr"/>
    </row>
    <row r="844" ht="15" customHeight="1">
      <c r="A844" t="inlineStr">
        <is>
          <t>A 540-2024</t>
        </is>
      </c>
      <c r="B844" s="1" t="n">
        <v>45299</v>
      </c>
      <c r="C844" s="1" t="n">
        <v>45924</v>
      </c>
      <c r="D844" t="inlineStr">
        <is>
          <t>VÄRMLANDS LÄN</t>
        </is>
      </c>
      <c r="E844" t="inlineStr">
        <is>
          <t>ÅRJÄNG</t>
        </is>
      </c>
      <c r="F844" t="inlineStr">
        <is>
          <t>Kyrkan</t>
        </is>
      </c>
      <c r="G844" t="n">
        <v>7</v>
      </c>
      <c r="H844" t="n">
        <v>0</v>
      </c>
      <c r="I844" t="n">
        <v>0</v>
      </c>
      <c r="J844" t="n">
        <v>0</v>
      </c>
      <c r="K844" t="n">
        <v>0</v>
      </c>
      <c r="L844" t="n">
        <v>0</v>
      </c>
      <c r="M844" t="n">
        <v>0</v>
      </c>
      <c r="N844" t="n">
        <v>0</v>
      </c>
      <c r="O844" t="n">
        <v>0</v>
      </c>
      <c r="P844" t="n">
        <v>0</v>
      </c>
      <c r="Q844" t="n">
        <v>0</v>
      </c>
      <c r="R844" s="2" t="inlineStr"/>
    </row>
    <row r="845" ht="15" customHeight="1">
      <c r="A845" t="inlineStr">
        <is>
          <t>A 20463-2024</t>
        </is>
      </c>
      <c r="B845" s="1" t="n">
        <v>45435</v>
      </c>
      <c r="C845" s="1" t="n">
        <v>45924</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46351-2023</t>
        </is>
      </c>
      <c r="B846" s="1" t="n">
        <v>45197.42811342593</v>
      </c>
      <c r="C846" s="1" t="n">
        <v>45924</v>
      </c>
      <c r="D846" t="inlineStr">
        <is>
          <t>VÄRMLANDS LÄN</t>
        </is>
      </c>
      <c r="E846" t="inlineStr">
        <is>
          <t>ÅRJÄNG</t>
        </is>
      </c>
      <c r="G846" t="n">
        <v>0.7</v>
      </c>
      <c r="H846" t="n">
        <v>0</v>
      </c>
      <c r="I846" t="n">
        <v>0</v>
      </c>
      <c r="J846" t="n">
        <v>0</v>
      </c>
      <c r="K846" t="n">
        <v>0</v>
      </c>
      <c r="L846" t="n">
        <v>0</v>
      </c>
      <c r="M846" t="n">
        <v>0</v>
      </c>
      <c r="N846" t="n">
        <v>0</v>
      </c>
      <c r="O846" t="n">
        <v>0</v>
      </c>
      <c r="P846" t="n">
        <v>0</v>
      </c>
      <c r="Q846" t="n">
        <v>0</v>
      </c>
      <c r="R846" s="2" t="inlineStr"/>
    </row>
    <row r="847" ht="15" customHeight="1">
      <c r="A847" t="inlineStr">
        <is>
          <t>A 24444-2025</t>
        </is>
      </c>
      <c r="B847" s="1" t="n">
        <v>45798</v>
      </c>
      <c r="C847" s="1" t="n">
        <v>45924</v>
      </c>
      <c r="D847" t="inlineStr">
        <is>
          <t>VÄRMLANDS LÄN</t>
        </is>
      </c>
      <c r="E847" t="inlineStr">
        <is>
          <t>ÅRJÄNG</t>
        </is>
      </c>
      <c r="G847" t="n">
        <v>5.1</v>
      </c>
      <c r="H847" t="n">
        <v>0</v>
      </c>
      <c r="I847" t="n">
        <v>0</v>
      </c>
      <c r="J847" t="n">
        <v>0</v>
      </c>
      <c r="K847" t="n">
        <v>0</v>
      </c>
      <c r="L847" t="n">
        <v>0</v>
      </c>
      <c r="M847" t="n">
        <v>0</v>
      </c>
      <c r="N847" t="n">
        <v>0</v>
      </c>
      <c r="O847" t="n">
        <v>0</v>
      </c>
      <c r="P847" t="n">
        <v>0</v>
      </c>
      <c r="Q847" t="n">
        <v>0</v>
      </c>
      <c r="R847" s="2" t="inlineStr"/>
    </row>
    <row r="848" ht="15" customHeight="1">
      <c r="A848" t="inlineStr">
        <is>
          <t>A 16112-2025</t>
        </is>
      </c>
      <c r="B848" s="1" t="n">
        <v>45750.37240740741</v>
      </c>
      <c r="C848" s="1" t="n">
        <v>45924</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29204-2023</t>
        </is>
      </c>
      <c r="B849" s="1" t="n">
        <v>45105.5669212963</v>
      </c>
      <c r="C849" s="1" t="n">
        <v>45924</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36839-2025</t>
        </is>
      </c>
      <c r="B850" s="1" t="n">
        <v>45874</v>
      </c>
      <c r="C850" s="1" t="n">
        <v>45924</v>
      </c>
      <c r="D850" t="inlineStr">
        <is>
          <t>VÄRMLANDS LÄN</t>
        </is>
      </c>
      <c r="E850" t="inlineStr">
        <is>
          <t>ÅRJÄNG</t>
        </is>
      </c>
      <c r="G850" t="n">
        <v>2.2</v>
      </c>
      <c r="H850" t="n">
        <v>0</v>
      </c>
      <c r="I850" t="n">
        <v>0</v>
      </c>
      <c r="J850" t="n">
        <v>0</v>
      </c>
      <c r="K850" t="n">
        <v>0</v>
      </c>
      <c r="L850" t="n">
        <v>0</v>
      </c>
      <c r="M850" t="n">
        <v>0</v>
      </c>
      <c r="N850" t="n">
        <v>0</v>
      </c>
      <c r="O850" t="n">
        <v>0</v>
      </c>
      <c r="P850" t="n">
        <v>0</v>
      </c>
      <c r="Q850" t="n">
        <v>0</v>
      </c>
      <c r="R850" s="2" t="inlineStr"/>
    </row>
    <row r="851" ht="15" customHeight="1">
      <c r="A851" t="inlineStr">
        <is>
          <t>A 74463-2021</t>
        </is>
      </c>
      <c r="B851" s="1" t="n">
        <v>44560.5255787037</v>
      </c>
      <c r="C851" s="1" t="n">
        <v>45924</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36834-2025</t>
        </is>
      </c>
      <c r="B852" s="1" t="n">
        <v>45874.35965277778</v>
      </c>
      <c r="C852" s="1" t="n">
        <v>45924</v>
      </c>
      <c r="D852" t="inlineStr">
        <is>
          <t>VÄRMLANDS LÄN</t>
        </is>
      </c>
      <c r="E852" t="inlineStr">
        <is>
          <t>ÅRJÄNG</t>
        </is>
      </c>
      <c r="G852" t="n">
        <v>2.9</v>
      </c>
      <c r="H852" t="n">
        <v>0</v>
      </c>
      <c r="I852" t="n">
        <v>0</v>
      </c>
      <c r="J852" t="n">
        <v>0</v>
      </c>
      <c r="K852" t="n">
        <v>0</v>
      </c>
      <c r="L852" t="n">
        <v>0</v>
      </c>
      <c r="M852" t="n">
        <v>0</v>
      </c>
      <c r="N852" t="n">
        <v>0</v>
      </c>
      <c r="O852" t="n">
        <v>0</v>
      </c>
      <c r="P852" t="n">
        <v>0</v>
      </c>
      <c r="Q852" t="n">
        <v>0</v>
      </c>
      <c r="R852" s="2" t="inlineStr"/>
    </row>
    <row r="853" ht="15" customHeight="1">
      <c r="A853" t="inlineStr">
        <is>
          <t>A 36857-2025</t>
        </is>
      </c>
      <c r="B853" s="1" t="n">
        <v>45874.40488425926</v>
      </c>
      <c r="C853" s="1" t="n">
        <v>45924</v>
      </c>
      <c r="D853" t="inlineStr">
        <is>
          <t>VÄRMLANDS LÄN</t>
        </is>
      </c>
      <c r="E853" t="inlineStr">
        <is>
          <t>ÅRJÄNG</t>
        </is>
      </c>
      <c r="G853" t="n">
        <v>5.2</v>
      </c>
      <c r="H853" t="n">
        <v>0</v>
      </c>
      <c r="I853" t="n">
        <v>0</v>
      </c>
      <c r="J853" t="n">
        <v>0</v>
      </c>
      <c r="K853" t="n">
        <v>0</v>
      </c>
      <c r="L853" t="n">
        <v>0</v>
      </c>
      <c r="M853" t="n">
        <v>0</v>
      </c>
      <c r="N853" t="n">
        <v>0</v>
      </c>
      <c r="O853" t="n">
        <v>0</v>
      </c>
      <c r="P853" t="n">
        <v>0</v>
      </c>
      <c r="Q853" t="n">
        <v>0</v>
      </c>
      <c r="R853" s="2" t="inlineStr"/>
    </row>
    <row r="854" ht="15" customHeight="1">
      <c r="A854" t="inlineStr">
        <is>
          <t>A 36865-2025</t>
        </is>
      </c>
      <c r="B854" s="1" t="n">
        <v>45874.41655092593</v>
      </c>
      <c r="C854" s="1" t="n">
        <v>45924</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49641-2021</t>
        </is>
      </c>
      <c r="B855" s="1" t="n">
        <v>44455.44327546296</v>
      </c>
      <c r="C855" s="1" t="n">
        <v>45924</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44300-2025</t>
        </is>
      </c>
      <c r="B856" s="1" t="n">
        <v>45916.3702662037</v>
      </c>
      <c r="C856" s="1" t="n">
        <v>45924</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59070-2024</t>
        </is>
      </c>
      <c r="B857" s="1" t="n">
        <v>45636.95711805556</v>
      </c>
      <c r="C857" s="1" t="n">
        <v>45924</v>
      </c>
      <c r="D857" t="inlineStr">
        <is>
          <t>VÄRMLANDS LÄN</t>
        </is>
      </c>
      <c r="E857" t="inlineStr">
        <is>
          <t>ÅRJÄNG</t>
        </is>
      </c>
      <c r="G857" t="n">
        <v>1.1</v>
      </c>
      <c r="H857" t="n">
        <v>0</v>
      </c>
      <c r="I857" t="n">
        <v>0</v>
      </c>
      <c r="J857" t="n">
        <v>0</v>
      </c>
      <c r="K857" t="n">
        <v>0</v>
      </c>
      <c r="L857" t="n">
        <v>0</v>
      </c>
      <c r="M857" t="n">
        <v>0</v>
      </c>
      <c r="N857" t="n">
        <v>0</v>
      </c>
      <c r="O857" t="n">
        <v>0</v>
      </c>
      <c r="P857" t="n">
        <v>0</v>
      </c>
      <c r="Q857" t="n">
        <v>0</v>
      </c>
      <c r="R857" s="2" t="inlineStr"/>
    </row>
    <row r="858" ht="15" customHeight="1">
      <c r="A858" t="inlineStr">
        <is>
          <t>A 36831-2025</t>
        </is>
      </c>
      <c r="B858" s="1" t="n">
        <v>45874</v>
      </c>
      <c r="C858" s="1" t="n">
        <v>45924</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37409-2025</t>
        </is>
      </c>
      <c r="B859" s="1" t="n">
        <v>45877</v>
      </c>
      <c r="C859" s="1" t="n">
        <v>45924</v>
      </c>
      <c r="D859" t="inlineStr">
        <is>
          <t>VÄRMLANDS LÄN</t>
        </is>
      </c>
      <c r="E859" t="inlineStr">
        <is>
          <t>ÅRJÄNG</t>
        </is>
      </c>
      <c r="G859" t="n">
        <v>4.8</v>
      </c>
      <c r="H859" t="n">
        <v>0</v>
      </c>
      <c r="I859" t="n">
        <v>0</v>
      </c>
      <c r="J859" t="n">
        <v>0</v>
      </c>
      <c r="K859" t="n">
        <v>0</v>
      </c>
      <c r="L859" t="n">
        <v>0</v>
      </c>
      <c r="M859" t="n">
        <v>0</v>
      </c>
      <c r="N859" t="n">
        <v>0</v>
      </c>
      <c r="O859" t="n">
        <v>0</v>
      </c>
      <c r="P859" t="n">
        <v>0</v>
      </c>
      <c r="Q859" t="n">
        <v>0</v>
      </c>
      <c r="R859" s="2" t="inlineStr"/>
    </row>
    <row r="860" ht="15" customHeight="1">
      <c r="A860" t="inlineStr">
        <is>
          <t>A 8232-2025</t>
        </is>
      </c>
      <c r="B860" s="1" t="n">
        <v>45708.47144675926</v>
      </c>
      <c r="C860" s="1" t="n">
        <v>45924</v>
      </c>
      <c r="D860" t="inlineStr">
        <is>
          <t>VÄRMLANDS LÄN</t>
        </is>
      </c>
      <c r="E860" t="inlineStr">
        <is>
          <t>ÅRJÄNG</t>
        </is>
      </c>
      <c r="G860" t="n">
        <v>1.5</v>
      </c>
      <c r="H860" t="n">
        <v>0</v>
      </c>
      <c r="I860" t="n">
        <v>0</v>
      </c>
      <c r="J860" t="n">
        <v>0</v>
      </c>
      <c r="K860" t="n">
        <v>0</v>
      </c>
      <c r="L860" t="n">
        <v>0</v>
      </c>
      <c r="M860" t="n">
        <v>0</v>
      </c>
      <c r="N860" t="n">
        <v>0</v>
      </c>
      <c r="O860" t="n">
        <v>0</v>
      </c>
      <c r="P860" t="n">
        <v>0</v>
      </c>
      <c r="Q860" t="n">
        <v>0</v>
      </c>
      <c r="R860" s="2" t="inlineStr"/>
    </row>
    <row r="861" ht="15" customHeight="1">
      <c r="A861" t="inlineStr">
        <is>
          <t>A 36819-2025</t>
        </is>
      </c>
      <c r="B861" s="1" t="n">
        <v>45873.84164351852</v>
      </c>
      <c r="C861" s="1" t="n">
        <v>45924</v>
      </c>
      <c r="D861" t="inlineStr">
        <is>
          <t>VÄRMLANDS LÄN</t>
        </is>
      </c>
      <c r="E861" t="inlineStr">
        <is>
          <t>ÅRJÄNG</t>
        </is>
      </c>
      <c r="G861" t="n">
        <v>2.3</v>
      </c>
      <c r="H861" t="n">
        <v>0</v>
      </c>
      <c r="I861" t="n">
        <v>0</v>
      </c>
      <c r="J861" t="n">
        <v>0</v>
      </c>
      <c r="K861" t="n">
        <v>0</v>
      </c>
      <c r="L861" t="n">
        <v>0</v>
      </c>
      <c r="M861" t="n">
        <v>0</v>
      </c>
      <c r="N861" t="n">
        <v>0</v>
      </c>
      <c r="O861" t="n">
        <v>0</v>
      </c>
      <c r="P861" t="n">
        <v>0</v>
      </c>
      <c r="Q861" t="n">
        <v>0</v>
      </c>
      <c r="R861" s="2" t="inlineStr"/>
    </row>
    <row r="862" ht="15" customHeight="1">
      <c r="A862" t="inlineStr">
        <is>
          <t>A 55574-2023</t>
        </is>
      </c>
      <c r="B862" s="1" t="n">
        <v>45232</v>
      </c>
      <c r="C862" s="1" t="n">
        <v>45924</v>
      </c>
      <c r="D862" t="inlineStr">
        <is>
          <t>VÄRMLANDS LÄN</t>
        </is>
      </c>
      <c r="E862" t="inlineStr">
        <is>
          <t>ÅRJÄNG</t>
        </is>
      </c>
      <c r="G862" t="n">
        <v>9.1</v>
      </c>
      <c r="H862" t="n">
        <v>0</v>
      </c>
      <c r="I862" t="n">
        <v>0</v>
      </c>
      <c r="J862" t="n">
        <v>0</v>
      </c>
      <c r="K862" t="n">
        <v>0</v>
      </c>
      <c r="L862" t="n">
        <v>0</v>
      </c>
      <c r="M862" t="n">
        <v>0</v>
      </c>
      <c r="N862" t="n">
        <v>0</v>
      </c>
      <c r="O862" t="n">
        <v>0</v>
      </c>
      <c r="P862" t="n">
        <v>0</v>
      </c>
      <c r="Q862" t="n">
        <v>0</v>
      </c>
      <c r="R862" s="2" t="inlineStr"/>
    </row>
    <row r="863" ht="15" customHeight="1">
      <c r="A863" t="inlineStr">
        <is>
          <t>A 37484-2025</t>
        </is>
      </c>
      <c r="B863" s="1" t="n">
        <v>45877</v>
      </c>
      <c r="C863" s="1" t="n">
        <v>45924</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45162-2025</t>
        </is>
      </c>
      <c r="B864" s="1" t="n">
        <v>45919</v>
      </c>
      <c r="C864" s="1" t="n">
        <v>45924</v>
      </c>
      <c r="D864" t="inlineStr">
        <is>
          <t>VÄRMLANDS LÄN</t>
        </is>
      </c>
      <c r="E864" t="inlineStr">
        <is>
          <t>ÅRJÄNG</t>
        </is>
      </c>
      <c r="G864" t="n">
        <v>3.3</v>
      </c>
      <c r="H864" t="n">
        <v>0</v>
      </c>
      <c r="I864" t="n">
        <v>0</v>
      </c>
      <c r="J864" t="n">
        <v>0</v>
      </c>
      <c r="K864" t="n">
        <v>0</v>
      </c>
      <c r="L864" t="n">
        <v>0</v>
      </c>
      <c r="M864" t="n">
        <v>0</v>
      </c>
      <c r="N864" t="n">
        <v>0</v>
      </c>
      <c r="O864" t="n">
        <v>0</v>
      </c>
      <c r="P864" t="n">
        <v>0</v>
      </c>
      <c r="Q864" t="n">
        <v>0</v>
      </c>
      <c r="R864" s="2" t="inlineStr"/>
    </row>
    <row r="865" ht="15" customHeight="1">
      <c r="A865" t="inlineStr">
        <is>
          <t>A 45166-2025</t>
        </is>
      </c>
      <c r="B865" s="1" t="n">
        <v>45919</v>
      </c>
      <c r="C865" s="1" t="n">
        <v>45924</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37507-2025</t>
        </is>
      </c>
      <c r="B866" s="1" t="n">
        <v>45877</v>
      </c>
      <c r="C866" s="1" t="n">
        <v>45924</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37247-2025</t>
        </is>
      </c>
      <c r="B867" s="1" t="n">
        <v>45876.40268518519</v>
      </c>
      <c r="C867" s="1" t="n">
        <v>45924</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46249-2023</t>
        </is>
      </c>
      <c r="B868" s="1" t="n">
        <v>45196.89337962963</v>
      </c>
      <c r="C868" s="1" t="n">
        <v>45924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64690-2023</t>
        </is>
      </c>
      <c r="B869" s="1" t="n">
        <v>45281.63434027778</v>
      </c>
      <c r="C869" s="1" t="n">
        <v>45924</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60202-2023</t>
        </is>
      </c>
      <c r="B870" s="1" t="n">
        <v>45257</v>
      </c>
      <c r="C870" s="1" t="n">
        <v>45924</v>
      </c>
      <c r="D870" t="inlineStr">
        <is>
          <t>VÄRMLANDS LÄN</t>
        </is>
      </c>
      <c r="E870" t="inlineStr">
        <is>
          <t>ÅRJÄNG</t>
        </is>
      </c>
      <c r="G870" t="n">
        <v>1.2</v>
      </c>
      <c r="H870" t="n">
        <v>0</v>
      </c>
      <c r="I870" t="n">
        <v>0</v>
      </c>
      <c r="J870" t="n">
        <v>0</v>
      </c>
      <c r="K870" t="n">
        <v>0</v>
      </c>
      <c r="L870" t="n">
        <v>0</v>
      </c>
      <c r="M870" t="n">
        <v>0</v>
      </c>
      <c r="N870" t="n">
        <v>0</v>
      </c>
      <c r="O870" t="n">
        <v>0</v>
      </c>
      <c r="P870" t="n">
        <v>0</v>
      </c>
      <c r="Q870" t="n">
        <v>0</v>
      </c>
      <c r="R870" s="2" t="inlineStr"/>
    </row>
    <row r="871" ht="15" customHeight="1">
      <c r="A871" t="inlineStr">
        <is>
          <t>A 41986-2022</t>
        </is>
      </c>
      <c r="B871" s="1" t="n">
        <v>44830.4380787037</v>
      </c>
      <c r="C871" s="1" t="n">
        <v>45924</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37402-2025</t>
        </is>
      </c>
      <c r="B872" s="1" t="n">
        <v>45877</v>
      </c>
      <c r="C872" s="1" t="n">
        <v>45924</v>
      </c>
      <c r="D872" t="inlineStr">
        <is>
          <t>VÄRMLANDS LÄN</t>
        </is>
      </c>
      <c r="E872" t="inlineStr">
        <is>
          <t>ÅRJÄNG</t>
        </is>
      </c>
      <c r="G872" t="n">
        <v>2.5</v>
      </c>
      <c r="H872" t="n">
        <v>0</v>
      </c>
      <c r="I872" t="n">
        <v>0</v>
      </c>
      <c r="J872" t="n">
        <v>0</v>
      </c>
      <c r="K872" t="n">
        <v>0</v>
      </c>
      <c r="L872" t="n">
        <v>0</v>
      </c>
      <c r="M872" t="n">
        <v>0</v>
      </c>
      <c r="N872" t="n">
        <v>0</v>
      </c>
      <c r="O872" t="n">
        <v>0</v>
      </c>
      <c r="P872" t="n">
        <v>0</v>
      </c>
      <c r="Q872" t="n">
        <v>0</v>
      </c>
      <c r="R872" s="2" t="inlineStr"/>
    </row>
    <row r="873" ht="15" customHeight="1">
      <c r="A873" t="inlineStr">
        <is>
          <t>A 37418-2025</t>
        </is>
      </c>
      <c r="B873" s="1" t="n">
        <v>45877</v>
      </c>
      <c r="C873" s="1" t="n">
        <v>45924</v>
      </c>
      <c r="D873" t="inlineStr">
        <is>
          <t>VÄRMLANDS LÄN</t>
        </is>
      </c>
      <c r="E873" t="inlineStr">
        <is>
          <t>ÅRJÄNG</t>
        </is>
      </c>
      <c r="G873" t="n">
        <v>1.7</v>
      </c>
      <c r="H873" t="n">
        <v>0</v>
      </c>
      <c r="I873" t="n">
        <v>0</v>
      </c>
      <c r="J873" t="n">
        <v>0</v>
      </c>
      <c r="K873" t="n">
        <v>0</v>
      </c>
      <c r="L873" t="n">
        <v>0</v>
      </c>
      <c r="M873" t="n">
        <v>0</v>
      </c>
      <c r="N873" t="n">
        <v>0</v>
      </c>
      <c r="O873" t="n">
        <v>0</v>
      </c>
      <c r="P873" t="n">
        <v>0</v>
      </c>
      <c r="Q873" t="n">
        <v>0</v>
      </c>
      <c r="R873" s="2" t="inlineStr"/>
    </row>
    <row r="874" ht="15" customHeight="1">
      <c r="A874" t="inlineStr">
        <is>
          <t>A 37420-2025</t>
        </is>
      </c>
      <c r="B874" s="1" t="n">
        <v>45877</v>
      </c>
      <c r="C874" s="1" t="n">
        <v>45924</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45130-2025</t>
        </is>
      </c>
      <c r="B875" s="1" t="n">
        <v>45919</v>
      </c>
      <c r="C875" s="1" t="n">
        <v>45924</v>
      </c>
      <c r="D875" t="inlineStr">
        <is>
          <t>VÄRMLANDS LÄN</t>
        </is>
      </c>
      <c r="E875" t="inlineStr">
        <is>
          <t>ÅRJÄNG</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5507-2024</t>
        </is>
      </c>
      <c r="B876" s="1" t="n">
        <v>45334.36188657407</v>
      </c>
      <c r="C876" s="1" t="n">
        <v>45924</v>
      </c>
      <c r="D876" t="inlineStr">
        <is>
          <t>VÄRMLANDS LÄN</t>
        </is>
      </c>
      <c r="E876" t="inlineStr">
        <is>
          <t>ÅRJÄNG</t>
        </is>
      </c>
      <c r="G876" t="n">
        <v>4.8</v>
      </c>
      <c r="H876" t="n">
        <v>0</v>
      </c>
      <c r="I876" t="n">
        <v>0</v>
      </c>
      <c r="J876" t="n">
        <v>0</v>
      </c>
      <c r="K876" t="n">
        <v>0</v>
      </c>
      <c r="L876" t="n">
        <v>0</v>
      </c>
      <c r="M876" t="n">
        <v>0</v>
      </c>
      <c r="N876" t="n">
        <v>0</v>
      </c>
      <c r="O876" t="n">
        <v>0</v>
      </c>
      <c r="P876" t="n">
        <v>0</v>
      </c>
      <c r="Q876" t="n">
        <v>0</v>
      </c>
      <c r="R876" s="2" t="inlineStr"/>
    </row>
    <row r="877" ht="15" customHeight="1">
      <c r="A877" t="inlineStr">
        <is>
          <t>A 8885-2021</t>
        </is>
      </c>
      <c r="B877" s="1" t="n">
        <v>44248</v>
      </c>
      <c r="C877" s="1" t="n">
        <v>45924</v>
      </c>
      <c r="D877" t="inlineStr">
        <is>
          <t>VÄRMLANDS LÄN</t>
        </is>
      </c>
      <c r="E877" t="inlineStr">
        <is>
          <t>ÅRJÄNG</t>
        </is>
      </c>
      <c r="G877" t="n">
        <v>1.5</v>
      </c>
      <c r="H877" t="n">
        <v>0</v>
      </c>
      <c r="I877" t="n">
        <v>0</v>
      </c>
      <c r="J877" t="n">
        <v>0</v>
      </c>
      <c r="K877" t="n">
        <v>0</v>
      </c>
      <c r="L877" t="n">
        <v>0</v>
      </c>
      <c r="M877" t="n">
        <v>0</v>
      </c>
      <c r="N877" t="n">
        <v>0</v>
      </c>
      <c r="O877" t="n">
        <v>0</v>
      </c>
      <c r="P877" t="n">
        <v>0</v>
      </c>
      <c r="Q877" t="n">
        <v>0</v>
      </c>
      <c r="R877" s="2" t="inlineStr"/>
    </row>
    <row r="878" ht="15" customHeight="1">
      <c r="A878" t="inlineStr">
        <is>
          <t>A 44924-2025</t>
        </is>
      </c>
      <c r="B878" s="1" t="n">
        <v>45918</v>
      </c>
      <c r="C878" s="1" t="n">
        <v>45924</v>
      </c>
      <c r="D878" t="inlineStr">
        <is>
          <t>VÄRMLANDS LÄN</t>
        </is>
      </c>
      <c r="E878" t="inlineStr">
        <is>
          <t>ÅRJÄNG</t>
        </is>
      </c>
      <c r="G878" t="n">
        <v>0.8</v>
      </c>
      <c r="H878" t="n">
        <v>0</v>
      </c>
      <c r="I878" t="n">
        <v>0</v>
      </c>
      <c r="J878" t="n">
        <v>0</v>
      </c>
      <c r="K878" t="n">
        <v>0</v>
      </c>
      <c r="L878" t="n">
        <v>0</v>
      </c>
      <c r="M878" t="n">
        <v>0</v>
      </c>
      <c r="N878" t="n">
        <v>0</v>
      </c>
      <c r="O878" t="n">
        <v>0</v>
      </c>
      <c r="P878" t="n">
        <v>0</v>
      </c>
      <c r="Q878" t="n">
        <v>0</v>
      </c>
      <c r="R878" s="2" t="inlineStr"/>
    </row>
    <row r="879" ht="15" customHeight="1">
      <c r="A879" t="inlineStr">
        <is>
          <t>A 37765-2023</t>
        </is>
      </c>
      <c r="B879" s="1" t="n">
        <v>45159</v>
      </c>
      <c r="C879" s="1" t="n">
        <v>45924</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283-2025</t>
        </is>
      </c>
      <c r="B880" s="1" t="n">
        <v>45656</v>
      </c>
      <c r="C880" s="1" t="n">
        <v>45924</v>
      </c>
      <c r="D880" t="inlineStr">
        <is>
          <t>VÄRMLANDS LÄN</t>
        </is>
      </c>
      <c r="E880" t="inlineStr">
        <is>
          <t>ÅRJÄNG</t>
        </is>
      </c>
      <c r="F880" t="inlineStr">
        <is>
          <t>Övriga Aktiebolag</t>
        </is>
      </c>
      <c r="G880" t="n">
        <v>3.9</v>
      </c>
      <c r="H880" t="n">
        <v>0</v>
      </c>
      <c r="I880" t="n">
        <v>0</v>
      </c>
      <c r="J880" t="n">
        <v>0</v>
      </c>
      <c r="K880" t="n">
        <v>0</v>
      </c>
      <c r="L880" t="n">
        <v>0</v>
      </c>
      <c r="M880" t="n">
        <v>0</v>
      </c>
      <c r="N880" t="n">
        <v>0</v>
      </c>
      <c r="O880" t="n">
        <v>0</v>
      </c>
      <c r="P880" t="n">
        <v>0</v>
      </c>
      <c r="Q880" t="n">
        <v>0</v>
      </c>
      <c r="R880" s="2" t="inlineStr"/>
    </row>
    <row r="881" ht="15" customHeight="1">
      <c r="A881" t="inlineStr">
        <is>
          <t>A 301-2025</t>
        </is>
      </c>
      <c r="B881" s="1" t="n">
        <v>45660.56</v>
      </c>
      <c r="C881" s="1" t="n">
        <v>45924</v>
      </c>
      <c r="D881" t="inlineStr">
        <is>
          <t>VÄRMLANDS LÄN</t>
        </is>
      </c>
      <c r="E881" t="inlineStr">
        <is>
          <t>ÅRJÄNG</t>
        </is>
      </c>
      <c r="G881" t="n">
        <v>2.5</v>
      </c>
      <c r="H881" t="n">
        <v>0</v>
      </c>
      <c r="I881" t="n">
        <v>0</v>
      </c>
      <c r="J881" t="n">
        <v>0</v>
      </c>
      <c r="K881" t="n">
        <v>0</v>
      </c>
      <c r="L881" t="n">
        <v>0</v>
      </c>
      <c r="M881" t="n">
        <v>0</v>
      </c>
      <c r="N881" t="n">
        <v>0</v>
      </c>
      <c r="O881" t="n">
        <v>0</v>
      </c>
      <c r="P881" t="n">
        <v>0</v>
      </c>
      <c r="Q881" t="n">
        <v>0</v>
      </c>
      <c r="R881" s="2" t="inlineStr"/>
    </row>
    <row r="882" ht="15" customHeight="1">
      <c r="A882" t="inlineStr">
        <is>
          <t>A 45203-2025</t>
        </is>
      </c>
      <c r="B882" s="1" t="n">
        <v>45919</v>
      </c>
      <c r="C882" s="1" t="n">
        <v>45924</v>
      </c>
      <c r="D882" t="inlineStr">
        <is>
          <t>VÄRMLANDS LÄN</t>
        </is>
      </c>
      <c r="E882" t="inlineStr">
        <is>
          <t>ÅRJÄNG</t>
        </is>
      </c>
      <c r="G882" t="n">
        <v>0.8</v>
      </c>
      <c r="H882" t="n">
        <v>0</v>
      </c>
      <c r="I882" t="n">
        <v>0</v>
      </c>
      <c r="J882" t="n">
        <v>0</v>
      </c>
      <c r="K882" t="n">
        <v>0</v>
      </c>
      <c r="L882" t="n">
        <v>0</v>
      </c>
      <c r="M882" t="n">
        <v>0</v>
      </c>
      <c r="N882" t="n">
        <v>0</v>
      </c>
      <c r="O882" t="n">
        <v>0</v>
      </c>
      <c r="P882" t="n">
        <v>0</v>
      </c>
      <c r="Q882" t="n">
        <v>0</v>
      </c>
      <c r="R882" s="2" t="inlineStr"/>
    </row>
    <row r="883" ht="15" customHeight="1">
      <c r="A883" t="inlineStr">
        <is>
          <t>A 28314-2025</t>
        </is>
      </c>
      <c r="B883" s="1" t="n">
        <v>45818.62592592592</v>
      </c>
      <c r="C883" s="1" t="n">
        <v>45924</v>
      </c>
      <c r="D883" t="inlineStr">
        <is>
          <t>VÄRMLANDS LÄN</t>
        </is>
      </c>
      <c r="E883" t="inlineStr">
        <is>
          <t>ÅRJÄNG</t>
        </is>
      </c>
      <c r="G883" t="n">
        <v>2.5</v>
      </c>
      <c r="H883" t="n">
        <v>0</v>
      </c>
      <c r="I883" t="n">
        <v>0</v>
      </c>
      <c r="J883" t="n">
        <v>0</v>
      </c>
      <c r="K883" t="n">
        <v>0</v>
      </c>
      <c r="L883" t="n">
        <v>0</v>
      </c>
      <c r="M883" t="n">
        <v>0</v>
      </c>
      <c r="N883" t="n">
        <v>0</v>
      </c>
      <c r="O883" t="n">
        <v>0</v>
      </c>
      <c r="P883" t="n">
        <v>0</v>
      </c>
      <c r="Q883" t="n">
        <v>0</v>
      </c>
      <c r="R883" s="2" t="inlineStr"/>
    </row>
    <row r="884" ht="15" customHeight="1">
      <c r="A884" t="inlineStr">
        <is>
          <t>A 45161-2025</t>
        </is>
      </c>
      <c r="B884" s="1" t="n">
        <v>45919</v>
      </c>
      <c r="C884" s="1" t="n">
        <v>45924</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45137-2025</t>
        </is>
      </c>
      <c r="B885" s="1" t="n">
        <v>45919</v>
      </c>
      <c r="C885" s="1" t="n">
        <v>45924</v>
      </c>
      <c r="D885" t="inlineStr">
        <is>
          <t>VÄRMLANDS LÄN</t>
        </is>
      </c>
      <c r="E885" t="inlineStr">
        <is>
          <t>ÅRJÄNG</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40447-2022</t>
        </is>
      </c>
      <c r="B886" s="1" t="n">
        <v>44823</v>
      </c>
      <c r="C886" s="1" t="n">
        <v>45924</v>
      </c>
      <c r="D886" t="inlineStr">
        <is>
          <t>VÄRMLANDS LÄN</t>
        </is>
      </c>
      <c r="E886" t="inlineStr">
        <is>
          <t>ÅRJÄNG</t>
        </is>
      </c>
      <c r="G886" t="n">
        <v>10.4</v>
      </c>
      <c r="H886" t="n">
        <v>0</v>
      </c>
      <c r="I886" t="n">
        <v>0</v>
      </c>
      <c r="J886" t="n">
        <v>0</v>
      </c>
      <c r="K886" t="n">
        <v>0</v>
      </c>
      <c r="L886" t="n">
        <v>0</v>
      </c>
      <c r="M886" t="n">
        <v>0</v>
      </c>
      <c r="N886" t="n">
        <v>0</v>
      </c>
      <c r="O886" t="n">
        <v>0</v>
      </c>
      <c r="P886" t="n">
        <v>0</v>
      </c>
      <c r="Q886" t="n">
        <v>0</v>
      </c>
      <c r="R886" s="2" t="inlineStr"/>
    </row>
    <row r="887" ht="15" customHeight="1">
      <c r="A887" t="inlineStr">
        <is>
          <t>A 37419-2025</t>
        </is>
      </c>
      <c r="B887" s="1" t="n">
        <v>45877</v>
      </c>
      <c r="C887" s="1" t="n">
        <v>45924</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27692-2024</t>
        </is>
      </c>
      <c r="B888" s="1" t="n">
        <v>45474</v>
      </c>
      <c r="C888" s="1" t="n">
        <v>45924</v>
      </c>
      <c r="D888" t="inlineStr">
        <is>
          <t>VÄRMLANDS LÄN</t>
        </is>
      </c>
      <c r="E888" t="inlineStr">
        <is>
          <t>ÅRJÄNG</t>
        </is>
      </c>
      <c r="F888" t="inlineStr">
        <is>
          <t>Övriga Aktiebolag</t>
        </is>
      </c>
      <c r="G888" t="n">
        <v>1</v>
      </c>
      <c r="H888" t="n">
        <v>0</v>
      </c>
      <c r="I888" t="n">
        <v>0</v>
      </c>
      <c r="J888" t="n">
        <v>0</v>
      </c>
      <c r="K888" t="n">
        <v>0</v>
      </c>
      <c r="L888" t="n">
        <v>0</v>
      </c>
      <c r="M888" t="n">
        <v>0</v>
      </c>
      <c r="N888" t="n">
        <v>0</v>
      </c>
      <c r="O888" t="n">
        <v>0</v>
      </c>
      <c r="P888" t="n">
        <v>0</v>
      </c>
      <c r="Q888" t="n">
        <v>0</v>
      </c>
      <c r="R888" s="2" t="inlineStr"/>
    </row>
    <row r="889" ht="15" customHeight="1">
      <c r="A889" t="inlineStr">
        <is>
          <t>A 37510-2025</t>
        </is>
      </c>
      <c r="B889" s="1" t="n">
        <v>45877</v>
      </c>
      <c r="C889" s="1" t="n">
        <v>45924</v>
      </c>
      <c r="D889" t="inlineStr">
        <is>
          <t>VÄRMLANDS LÄN</t>
        </is>
      </c>
      <c r="E889" t="inlineStr">
        <is>
          <t>ÅRJÄNG</t>
        </is>
      </c>
      <c r="G889" t="n">
        <v>10.4</v>
      </c>
      <c r="H889" t="n">
        <v>0</v>
      </c>
      <c r="I889" t="n">
        <v>0</v>
      </c>
      <c r="J889" t="n">
        <v>0</v>
      </c>
      <c r="K889" t="n">
        <v>0</v>
      </c>
      <c r="L889" t="n">
        <v>0</v>
      </c>
      <c r="M889" t="n">
        <v>0</v>
      </c>
      <c r="N889" t="n">
        <v>0</v>
      </c>
      <c r="O889" t="n">
        <v>0</v>
      </c>
      <c r="P889" t="n">
        <v>0</v>
      </c>
      <c r="Q889" t="n">
        <v>0</v>
      </c>
      <c r="R889" s="2" t="inlineStr"/>
    </row>
    <row r="890" ht="15" customHeight="1">
      <c r="A890" t="inlineStr">
        <is>
          <t>A 44257-2025</t>
        </is>
      </c>
      <c r="B890" s="1" t="n">
        <v>45915</v>
      </c>
      <c r="C890" s="1" t="n">
        <v>45924</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60172-2023</t>
        </is>
      </c>
      <c r="B891" s="1" t="n">
        <v>45257</v>
      </c>
      <c r="C891" s="1" t="n">
        <v>45924</v>
      </c>
      <c r="D891" t="inlineStr">
        <is>
          <t>VÄRMLANDS LÄN</t>
        </is>
      </c>
      <c r="E891" t="inlineStr">
        <is>
          <t>ÅRJÄNG</t>
        </is>
      </c>
      <c r="G891" t="n">
        <v>2.1</v>
      </c>
      <c r="H891" t="n">
        <v>0</v>
      </c>
      <c r="I891" t="n">
        <v>0</v>
      </c>
      <c r="J891" t="n">
        <v>0</v>
      </c>
      <c r="K891" t="n">
        <v>0</v>
      </c>
      <c r="L891" t="n">
        <v>0</v>
      </c>
      <c r="M891" t="n">
        <v>0</v>
      </c>
      <c r="N891" t="n">
        <v>0</v>
      </c>
      <c r="O891" t="n">
        <v>0</v>
      </c>
      <c r="P891" t="n">
        <v>0</v>
      </c>
      <c r="Q891" t="n">
        <v>0</v>
      </c>
      <c r="R891" s="2" t="inlineStr"/>
    </row>
    <row r="892" ht="15" customHeight="1">
      <c r="A892" t="inlineStr">
        <is>
          <t>A 19246-2024</t>
        </is>
      </c>
      <c r="B892" s="1" t="n">
        <v>45428</v>
      </c>
      <c r="C892" s="1" t="n">
        <v>45924</v>
      </c>
      <c r="D892" t="inlineStr">
        <is>
          <t>VÄRMLANDS LÄN</t>
        </is>
      </c>
      <c r="E892" t="inlineStr">
        <is>
          <t>ÅRJÄNG</t>
        </is>
      </c>
      <c r="F892" t="inlineStr">
        <is>
          <t>Bergvik skog väst AB</t>
        </is>
      </c>
      <c r="G892" t="n">
        <v>2.9</v>
      </c>
      <c r="H892" t="n">
        <v>0</v>
      </c>
      <c r="I892" t="n">
        <v>0</v>
      </c>
      <c r="J892" t="n">
        <v>0</v>
      </c>
      <c r="K892" t="n">
        <v>0</v>
      </c>
      <c r="L892" t="n">
        <v>0</v>
      </c>
      <c r="M892" t="n">
        <v>0</v>
      </c>
      <c r="N892" t="n">
        <v>0</v>
      </c>
      <c r="O892" t="n">
        <v>0</v>
      </c>
      <c r="P892" t="n">
        <v>0</v>
      </c>
      <c r="Q892" t="n">
        <v>0</v>
      </c>
      <c r="R892" s="2" t="inlineStr"/>
    </row>
    <row r="893" ht="15" customHeight="1">
      <c r="A893" t="inlineStr">
        <is>
          <t>A 11874-2025</t>
        </is>
      </c>
      <c r="B893" s="1" t="n">
        <v>45728.43699074074</v>
      </c>
      <c r="C893" s="1" t="n">
        <v>45924</v>
      </c>
      <c r="D893" t="inlineStr">
        <is>
          <t>VÄRMLANDS LÄN</t>
        </is>
      </c>
      <c r="E893" t="inlineStr">
        <is>
          <t>ÅRJÄNG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50941-2023</t>
        </is>
      </c>
      <c r="B894" s="1" t="n">
        <v>45218</v>
      </c>
      <c r="C894" s="1" t="n">
        <v>45924</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14768-2024</t>
        </is>
      </c>
      <c r="B895" s="1" t="n">
        <v>45397</v>
      </c>
      <c r="C895" s="1" t="n">
        <v>45924</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21365-2022</t>
        </is>
      </c>
      <c r="B896" s="1" t="n">
        <v>44705</v>
      </c>
      <c r="C896" s="1" t="n">
        <v>45924</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40628-2024</t>
        </is>
      </c>
      <c r="B897" s="1" t="n">
        <v>45557.61668981481</v>
      </c>
      <c r="C897" s="1" t="n">
        <v>45924</v>
      </c>
      <c r="D897" t="inlineStr">
        <is>
          <t>VÄRMLANDS LÄN</t>
        </is>
      </c>
      <c r="E897" t="inlineStr">
        <is>
          <t>ÅRJÄNG</t>
        </is>
      </c>
      <c r="G897" t="n">
        <v>3.3</v>
      </c>
      <c r="H897" t="n">
        <v>0</v>
      </c>
      <c r="I897" t="n">
        <v>0</v>
      </c>
      <c r="J897" t="n">
        <v>0</v>
      </c>
      <c r="K897" t="n">
        <v>0</v>
      </c>
      <c r="L897" t="n">
        <v>0</v>
      </c>
      <c r="M897" t="n">
        <v>0</v>
      </c>
      <c r="N897" t="n">
        <v>0</v>
      </c>
      <c r="O897" t="n">
        <v>0</v>
      </c>
      <c r="P897" t="n">
        <v>0</v>
      </c>
      <c r="Q897" t="n">
        <v>0</v>
      </c>
      <c r="R897" s="2" t="inlineStr"/>
    </row>
    <row r="898" ht="15" customHeight="1">
      <c r="A898" t="inlineStr">
        <is>
          <t>A 8002-2025</t>
        </is>
      </c>
      <c r="B898" s="1" t="n">
        <v>45707.52704861111</v>
      </c>
      <c r="C898" s="1" t="n">
        <v>45924</v>
      </c>
      <c r="D898" t="inlineStr">
        <is>
          <t>VÄRMLANDS LÄN</t>
        </is>
      </c>
      <c r="E898" t="inlineStr">
        <is>
          <t>ÅRJÄNG</t>
        </is>
      </c>
      <c r="G898" t="n">
        <v>1.7</v>
      </c>
      <c r="H898" t="n">
        <v>0</v>
      </c>
      <c r="I898" t="n">
        <v>0</v>
      </c>
      <c r="J898" t="n">
        <v>0</v>
      </c>
      <c r="K898" t="n">
        <v>0</v>
      </c>
      <c r="L898" t="n">
        <v>0</v>
      </c>
      <c r="M898" t="n">
        <v>0</v>
      </c>
      <c r="N898" t="n">
        <v>0</v>
      </c>
      <c r="O898" t="n">
        <v>0</v>
      </c>
      <c r="P898" t="n">
        <v>0</v>
      </c>
      <c r="Q898" t="n">
        <v>0</v>
      </c>
      <c r="R898" s="2" t="inlineStr"/>
    </row>
    <row r="899" ht="15" customHeight="1">
      <c r="A899" t="inlineStr">
        <is>
          <t>A 37416-2025</t>
        </is>
      </c>
      <c r="B899" s="1" t="n">
        <v>45877</v>
      </c>
      <c r="C899" s="1" t="n">
        <v>45924</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44956-2025</t>
        </is>
      </c>
      <c r="B900" s="1" t="n">
        <v>45918.61452546297</v>
      </c>
      <c r="C900" s="1" t="n">
        <v>45924</v>
      </c>
      <c r="D900" t="inlineStr">
        <is>
          <t>VÄRMLANDS LÄN</t>
        </is>
      </c>
      <c r="E900" t="inlineStr">
        <is>
          <t>ÅRJÄNG</t>
        </is>
      </c>
      <c r="G900" t="n">
        <v>3.7</v>
      </c>
      <c r="H900" t="n">
        <v>0</v>
      </c>
      <c r="I900" t="n">
        <v>0</v>
      </c>
      <c r="J900" t="n">
        <v>0</v>
      </c>
      <c r="K900" t="n">
        <v>0</v>
      </c>
      <c r="L900" t="n">
        <v>0</v>
      </c>
      <c r="M900" t="n">
        <v>0</v>
      </c>
      <c r="N900" t="n">
        <v>0</v>
      </c>
      <c r="O900" t="n">
        <v>0</v>
      </c>
      <c r="P900" t="n">
        <v>0</v>
      </c>
      <c r="Q900" t="n">
        <v>0</v>
      </c>
      <c r="R900" s="2" t="inlineStr"/>
    </row>
    <row r="901" ht="15" customHeight="1">
      <c r="A901" t="inlineStr">
        <is>
          <t>A 24505-2023</t>
        </is>
      </c>
      <c r="B901" s="1" t="n">
        <v>45082</v>
      </c>
      <c r="C901" s="1" t="n">
        <v>45924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45515-2025</t>
        </is>
      </c>
      <c r="B902" s="1" t="n">
        <v>45922</v>
      </c>
      <c r="C902" s="1" t="n">
        <v>45924</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36641-2021</t>
        </is>
      </c>
      <c r="B903" s="1" t="n">
        <v>44392.31038194444</v>
      </c>
      <c r="C903" s="1" t="n">
        <v>45924</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36592-2024</t>
        </is>
      </c>
      <c r="B904" s="1" t="n">
        <v>45537</v>
      </c>
      <c r="C904" s="1" t="n">
        <v>45924</v>
      </c>
      <c r="D904" t="inlineStr">
        <is>
          <t>VÄRMLANDS LÄN</t>
        </is>
      </c>
      <c r="E904" t="inlineStr">
        <is>
          <t>ÅRJÄNG</t>
        </is>
      </c>
      <c r="G904" t="n">
        <v>4.4</v>
      </c>
      <c r="H904" t="n">
        <v>0</v>
      </c>
      <c r="I904" t="n">
        <v>0</v>
      </c>
      <c r="J904" t="n">
        <v>0</v>
      </c>
      <c r="K904" t="n">
        <v>0</v>
      </c>
      <c r="L904" t="n">
        <v>0</v>
      </c>
      <c r="M904" t="n">
        <v>0</v>
      </c>
      <c r="N904" t="n">
        <v>0</v>
      </c>
      <c r="O904" t="n">
        <v>0</v>
      </c>
      <c r="P904" t="n">
        <v>0</v>
      </c>
      <c r="Q904" t="n">
        <v>0</v>
      </c>
      <c r="R904" s="2" t="inlineStr"/>
    </row>
    <row r="905" ht="15" customHeight="1">
      <c r="A905" t="inlineStr">
        <is>
          <t>A 53468-2021</t>
        </is>
      </c>
      <c r="B905" s="1" t="n">
        <v>44468.74127314815</v>
      </c>
      <c r="C905" s="1" t="n">
        <v>45924</v>
      </c>
      <c r="D905" t="inlineStr">
        <is>
          <t>VÄRMLANDS LÄN</t>
        </is>
      </c>
      <c r="E905" t="inlineStr">
        <is>
          <t>ÅRJÄNG</t>
        </is>
      </c>
      <c r="G905" t="n">
        <v>2.1</v>
      </c>
      <c r="H905" t="n">
        <v>0</v>
      </c>
      <c r="I905" t="n">
        <v>0</v>
      </c>
      <c r="J905" t="n">
        <v>0</v>
      </c>
      <c r="K905" t="n">
        <v>0</v>
      </c>
      <c r="L905" t="n">
        <v>0</v>
      </c>
      <c r="M905" t="n">
        <v>0</v>
      </c>
      <c r="N905" t="n">
        <v>0</v>
      </c>
      <c r="O905" t="n">
        <v>0</v>
      </c>
      <c r="P905" t="n">
        <v>0</v>
      </c>
      <c r="Q905" t="n">
        <v>0</v>
      </c>
      <c r="R905" s="2" t="inlineStr"/>
    </row>
    <row r="906" ht="15" customHeight="1">
      <c r="A906" t="inlineStr">
        <is>
          <t>A 61226-2024</t>
        </is>
      </c>
      <c r="B906" s="1" t="n">
        <v>45645.66853009259</v>
      </c>
      <c r="C906" s="1" t="n">
        <v>45924</v>
      </c>
      <c r="D906" t="inlineStr">
        <is>
          <t>VÄRMLANDS LÄN</t>
        </is>
      </c>
      <c r="E906" t="inlineStr">
        <is>
          <t>ÅRJÄNG</t>
        </is>
      </c>
      <c r="G906" t="n">
        <v>0.8</v>
      </c>
      <c r="H906" t="n">
        <v>0</v>
      </c>
      <c r="I906" t="n">
        <v>0</v>
      </c>
      <c r="J906" t="n">
        <v>0</v>
      </c>
      <c r="K906" t="n">
        <v>0</v>
      </c>
      <c r="L906" t="n">
        <v>0</v>
      </c>
      <c r="M906" t="n">
        <v>0</v>
      </c>
      <c r="N906" t="n">
        <v>0</v>
      </c>
      <c r="O906" t="n">
        <v>0</v>
      </c>
      <c r="P906" t="n">
        <v>0</v>
      </c>
      <c r="Q906" t="n">
        <v>0</v>
      </c>
      <c r="R906" s="2" t="inlineStr"/>
    </row>
    <row r="907" ht="15" customHeight="1">
      <c r="A907" t="inlineStr">
        <is>
          <t>A 45581-2025</t>
        </is>
      </c>
      <c r="B907" s="1" t="n">
        <v>45922</v>
      </c>
      <c r="C907" s="1" t="n">
        <v>45924</v>
      </c>
      <c r="D907" t="inlineStr">
        <is>
          <t>VÄRMLANDS LÄN</t>
        </is>
      </c>
      <c r="E907" t="inlineStr">
        <is>
          <t>ÅRJÄNG</t>
        </is>
      </c>
      <c r="G907" t="n">
        <v>1.2</v>
      </c>
      <c r="H907" t="n">
        <v>0</v>
      </c>
      <c r="I907" t="n">
        <v>0</v>
      </c>
      <c r="J907" t="n">
        <v>0</v>
      </c>
      <c r="K907" t="n">
        <v>0</v>
      </c>
      <c r="L907" t="n">
        <v>0</v>
      </c>
      <c r="M907" t="n">
        <v>0</v>
      </c>
      <c r="N907" t="n">
        <v>0</v>
      </c>
      <c r="O907" t="n">
        <v>0</v>
      </c>
      <c r="P907" t="n">
        <v>0</v>
      </c>
      <c r="Q907" t="n">
        <v>0</v>
      </c>
      <c r="R907" s="2" t="inlineStr"/>
    </row>
    <row r="908" ht="15" customHeight="1">
      <c r="A908" t="inlineStr">
        <is>
          <t>A 71472-2021</t>
        </is>
      </c>
      <c r="B908" s="1" t="n">
        <v>44540</v>
      </c>
      <c r="C908" s="1" t="n">
        <v>45924</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23690-2024</t>
        </is>
      </c>
      <c r="B909" s="1" t="n">
        <v>45454.65612268518</v>
      </c>
      <c r="C909" s="1" t="n">
        <v>45924</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37655-2025</t>
        </is>
      </c>
      <c r="B910" s="1" t="n">
        <v>45880</v>
      </c>
      <c r="C910" s="1" t="n">
        <v>45924</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64381-2023</t>
        </is>
      </c>
      <c r="B911" s="1" t="n">
        <v>45280</v>
      </c>
      <c r="C911" s="1" t="n">
        <v>45924</v>
      </c>
      <c r="D911" t="inlineStr">
        <is>
          <t>VÄRMLANDS LÄN</t>
        </is>
      </c>
      <c r="E911" t="inlineStr">
        <is>
          <t>ÅRJÄNG</t>
        </is>
      </c>
      <c r="G911" t="n">
        <v>1.1</v>
      </c>
      <c r="H911" t="n">
        <v>0</v>
      </c>
      <c r="I911" t="n">
        <v>0</v>
      </c>
      <c r="J911" t="n">
        <v>0</v>
      </c>
      <c r="K911" t="n">
        <v>0</v>
      </c>
      <c r="L911" t="n">
        <v>0</v>
      </c>
      <c r="M911" t="n">
        <v>0</v>
      </c>
      <c r="N911" t="n">
        <v>0</v>
      </c>
      <c r="O911" t="n">
        <v>0</v>
      </c>
      <c r="P911" t="n">
        <v>0</v>
      </c>
      <c r="Q911" t="n">
        <v>0</v>
      </c>
      <c r="R911" s="2" t="inlineStr"/>
    </row>
    <row r="912" ht="15" customHeight="1">
      <c r="A912" t="inlineStr">
        <is>
          <t>A 27311-2022</t>
        </is>
      </c>
      <c r="B912" s="1" t="n">
        <v>44728</v>
      </c>
      <c r="C912" s="1" t="n">
        <v>45924</v>
      </c>
      <c r="D912" t="inlineStr">
        <is>
          <t>VÄRMLANDS LÄN</t>
        </is>
      </c>
      <c r="E912" t="inlineStr">
        <is>
          <t>ÅRJÄNG</t>
        </is>
      </c>
      <c r="G912" t="n">
        <v>3.5</v>
      </c>
      <c r="H912" t="n">
        <v>0</v>
      </c>
      <c r="I912" t="n">
        <v>0</v>
      </c>
      <c r="J912" t="n">
        <v>0</v>
      </c>
      <c r="K912" t="n">
        <v>0</v>
      </c>
      <c r="L912" t="n">
        <v>0</v>
      </c>
      <c r="M912" t="n">
        <v>0</v>
      </c>
      <c r="N912" t="n">
        <v>0</v>
      </c>
      <c r="O912" t="n">
        <v>0</v>
      </c>
      <c r="P912" t="n">
        <v>0</v>
      </c>
      <c r="Q912" t="n">
        <v>0</v>
      </c>
      <c r="R912" s="2" t="inlineStr"/>
    </row>
    <row r="913" ht="15" customHeight="1">
      <c r="A913" t="inlineStr">
        <is>
          <t>A 21392-2023</t>
        </is>
      </c>
      <c r="B913" s="1" t="n">
        <v>45061</v>
      </c>
      <c r="C913" s="1" t="n">
        <v>45924</v>
      </c>
      <c r="D913" t="inlineStr">
        <is>
          <t>VÄRMLANDS LÄN</t>
        </is>
      </c>
      <c r="E913" t="inlineStr">
        <is>
          <t>ÅRJÄNG</t>
        </is>
      </c>
      <c r="G913" t="n">
        <v>11.7</v>
      </c>
      <c r="H913" t="n">
        <v>0</v>
      </c>
      <c r="I913" t="n">
        <v>0</v>
      </c>
      <c r="J913" t="n">
        <v>0</v>
      </c>
      <c r="K913" t="n">
        <v>0</v>
      </c>
      <c r="L913" t="n">
        <v>0</v>
      </c>
      <c r="M913" t="n">
        <v>0</v>
      </c>
      <c r="N913" t="n">
        <v>0</v>
      </c>
      <c r="O913" t="n">
        <v>0</v>
      </c>
      <c r="P913" t="n">
        <v>0</v>
      </c>
      <c r="Q913" t="n">
        <v>0</v>
      </c>
      <c r="R913" s="2" t="inlineStr"/>
    </row>
    <row r="914" ht="15" customHeight="1">
      <c r="A914" t="inlineStr">
        <is>
          <t>A 45411-2025</t>
        </is>
      </c>
      <c r="B914" s="1" t="n">
        <v>45922.43773148148</v>
      </c>
      <c r="C914" s="1" t="n">
        <v>45924</v>
      </c>
      <c r="D914" t="inlineStr">
        <is>
          <t>VÄRMLANDS LÄN</t>
        </is>
      </c>
      <c r="E914" t="inlineStr">
        <is>
          <t>ÅRJÄNG</t>
        </is>
      </c>
      <c r="G914" t="n">
        <v>1.3</v>
      </c>
      <c r="H914" t="n">
        <v>0</v>
      </c>
      <c r="I914" t="n">
        <v>0</v>
      </c>
      <c r="J914" t="n">
        <v>0</v>
      </c>
      <c r="K914" t="n">
        <v>0</v>
      </c>
      <c r="L914" t="n">
        <v>0</v>
      </c>
      <c r="M914" t="n">
        <v>0</v>
      </c>
      <c r="N914" t="n">
        <v>0</v>
      </c>
      <c r="O914" t="n">
        <v>0</v>
      </c>
      <c r="P914" t="n">
        <v>0</v>
      </c>
      <c r="Q914" t="n">
        <v>0</v>
      </c>
      <c r="R914" s="2" t="inlineStr"/>
    </row>
    <row r="915" ht="15" customHeight="1">
      <c r="A915" t="inlineStr">
        <is>
          <t>A 7660-2025</t>
        </is>
      </c>
      <c r="B915" s="1" t="n">
        <v>45706.32505787037</v>
      </c>
      <c r="C915" s="1" t="n">
        <v>45924</v>
      </c>
      <c r="D915" t="inlineStr">
        <is>
          <t>VÄRMLANDS LÄN</t>
        </is>
      </c>
      <c r="E915" t="inlineStr">
        <is>
          <t>ÅRJÄNG</t>
        </is>
      </c>
      <c r="G915" t="n">
        <v>2</v>
      </c>
      <c r="H915" t="n">
        <v>0</v>
      </c>
      <c r="I915" t="n">
        <v>0</v>
      </c>
      <c r="J915" t="n">
        <v>0</v>
      </c>
      <c r="K915" t="n">
        <v>0</v>
      </c>
      <c r="L915" t="n">
        <v>0</v>
      </c>
      <c r="M915" t="n">
        <v>0</v>
      </c>
      <c r="N915" t="n">
        <v>0</v>
      </c>
      <c r="O915" t="n">
        <v>0</v>
      </c>
      <c r="P915" t="n">
        <v>0</v>
      </c>
      <c r="Q915" t="n">
        <v>0</v>
      </c>
      <c r="R915" s="2" t="inlineStr"/>
    </row>
    <row r="916" ht="15" customHeight="1">
      <c r="A916" t="inlineStr">
        <is>
          <t>A 45599-2025</t>
        </is>
      </c>
      <c r="B916" s="1" t="n">
        <v>45922</v>
      </c>
      <c r="C916" s="1" t="n">
        <v>45924</v>
      </c>
      <c r="D916" t="inlineStr">
        <is>
          <t>VÄRMLANDS LÄN</t>
        </is>
      </c>
      <c r="E916" t="inlineStr">
        <is>
          <t>ÅRJÄNG</t>
        </is>
      </c>
      <c r="G916" t="n">
        <v>6.7</v>
      </c>
      <c r="H916" t="n">
        <v>0</v>
      </c>
      <c r="I916" t="n">
        <v>0</v>
      </c>
      <c r="J916" t="n">
        <v>0</v>
      </c>
      <c r="K916" t="n">
        <v>0</v>
      </c>
      <c r="L916" t="n">
        <v>0</v>
      </c>
      <c r="M916" t="n">
        <v>0</v>
      </c>
      <c r="N916" t="n">
        <v>0</v>
      </c>
      <c r="O916" t="n">
        <v>0</v>
      </c>
      <c r="P916" t="n">
        <v>0</v>
      </c>
      <c r="Q916" t="n">
        <v>0</v>
      </c>
      <c r="R916" s="2" t="inlineStr"/>
    </row>
    <row r="917" ht="15" customHeight="1">
      <c r="A917" t="inlineStr">
        <is>
          <t>A 38057-2024</t>
        </is>
      </c>
      <c r="B917" s="1" t="n">
        <v>45544.73293981481</v>
      </c>
      <c r="C917" s="1" t="n">
        <v>45924</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3796-2021</t>
        </is>
      </c>
      <c r="B918" s="1" t="n">
        <v>44221</v>
      </c>
      <c r="C918" s="1" t="n">
        <v>45924</v>
      </c>
      <c r="D918" t="inlineStr">
        <is>
          <t>VÄRMLANDS LÄN</t>
        </is>
      </c>
      <c r="E918" t="inlineStr">
        <is>
          <t>ÅRJÄNG</t>
        </is>
      </c>
      <c r="G918" t="n">
        <v>4</v>
      </c>
      <c r="H918" t="n">
        <v>0</v>
      </c>
      <c r="I918" t="n">
        <v>0</v>
      </c>
      <c r="J918" t="n">
        <v>0</v>
      </c>
      <c r="K918" t="n">
        <v>0</v>
      </c>
      <c r="L918" t="n">
        <v>0</v>
      </c>
      <c r="M918" t="n">
        <v>0</v>
      </c>
      <c r="N918" t="n">
        <v>0</v>
      </c>
      <c r="O918" t="n">
        <v>0</v>
      </c>
      <c r="P918" t="n">
        <v>0</v>
      </c>
      <c r="Q918" t="n">
        <v>0</v>
      </c>
      <c r="R918" s="2" t="inlineStr"/>
    </row>
    <row r="919" ht="15" customHeight="1">
      <c r="A919" t="inlineStr">
        <is>
          <t>A 16791-2025</t>
        </is>
      </c>
      <c r="B919" s="1" t="n">
        <v>45754</v>
      </c>
      <c r="C919" s="1" t="n">
        <v>45924</v>
      </c>
      <c r="D919" t="inlineStr">
        <is>
          <t>VÄRMLANDS LÄN</t>
        </is>
      </c>
      <c r="E919" t="inlineStr">
        <is>
          <t>ÅRJÄNG</t>
        </is>
      </c>
      <c r="G919" t="n">
        <v>1.5</v>
      </c>
      <c r="H919" t="n">
        <v>0</v>
      </c>
      <c r="I919" t="n">
        <v>0</v>
      </c>
      <c r="J919" t="n">
        <v>0</v>
      </c>
      <c r="K919" t="n">
        <v>0</v>
      </c>
      <c r="L919" t="n">
        <v>0</v>
      </c>
      <c r="M919" t="n">
        <v>0</v>
      </c>
      <c r="N919" t="n">
        <v>0</v>
      </c>
      <c r="O919" t="n">
        <v>0</v>
      </c>
      <c r="P919" t="n">
        <v>0</v>
      </c>
      <c r="Q919" t="n">
        <v>0</v>
      </c>
      <c r="R919" s="2" t="inlineStr"/>
    </row>
    <row r="920" ht="15" customHeight="1">
      <c r="A920" t="inlineStr">
        <is>
          <t>A 37662-2025</t>
        </is>
      </c>
      <c r="B920" s="1" t="n">
        <v>45880</v>
      </c>
      <c r="C920" s="1" t="n">
        <v>45924</v>
      </c>
      <c r="D920" t="inlineStr">
        <is>
          <t>VÄRMLANDS LÄN</t>
        </is>
      </c>
      <c r="E920" t="inlineStr">
        <is>
          <t>ÅRJÄNG</t>
        </is>
      </c>
      <c r="G920" t="n">
        <v>1.8</v>
      </c>
      <c r="H920" t="n">
        <v>0</v>
      </c>
      <c r="I920" t="n">
        <v>0</v>
      </c>
      <c r="J920" t="n">
        <v>0</v>
      </c>
      <c r="K920" t="n">
        <v>0</v>
      </c>
      <c r="L920" t="n">
        <v>0</v>
      </c>
      <c r="M920" t="n">
        <v>0</v>
      </c>
      <c r="N920" t="n">
        <v>0</v>
      </c>
      <c r="O920" t="n">
        <v>0</v>
      </c>
      <c r="P920" t="n">
        <v>0</v>
      </c>
      <c r="Q920" t="n">
        <v>0</v>
      </c>
      <c r="R920" s="2" t="inlineStr"/>
    </row>
    <row r="921" ht="15" customHeight="1">
      <c r="A921" t="inlineStr">
        <is>
          <t>A 59071-2024</t>
        </is>
      </c>
      <c r="B921" s="1" t="n">
        <v>45636.96637731481</v>
      </c>
      <c r="C921" s="1" t="n">
        <v>45924</v>
      </c>
      <c r="D921" t="inlineStr">
        <is>
          <t>VÄRMLANDS LÄN</t>
        </is>
      </c>
      <c r="E921" t="inlineStr">
        <is>
          <t>ÅRJÄNG</t>
        </is>
      </c>
      <c r="G921" t="n">
        <v>4.2</v>
      </c>
      <c r="H921" t="n">
        <v>0</v>
      </c>
      <c r="I921" t="n">
        <v>0</v>
      </c>
      <c r="J921" t="n">
        <v>0</v>
      </c>
      <c r="K921" t="n">
        <v>0</v>
      </c>
      <c r="L921" t="n">
        <v>0</v>
      </c>
      <c r="M921" t="n">
        <v>0</v>
      </c>
      <c r="N921" t="n">
        <v>0</v>
      </c>
      <c r="O921" t="n">
        <v>0</v>
      </c>
      <c r="P921" t="n">
        <v>0</v>
      </c>
      <c r="Q921" t="n">
        <v>0</v>
      </c>
      <c r="R921" s="2" t="inlineStr"/>
    </row>
    <row r="922" ht="15" customHeight="1">
      <c r="A922" t="inlineStr">
        <is>
          <t>A 59073-2024</t>
        </is>
      </c>
      <c r="B922" s="1" t="n">
        <v>45636.97232638889</v>
      </c>
      <c r="C922" s="1" t="n">
        <v>45924</v>
      </c>
      <c r="D922" t="inlineStr">
        <is>
          <t>VÄRMLANDS LÄN</t>
        </is>
      </c>
      <c r="E922" t="inlineStr">
        <is>
          <t>ÅRJÄNG</t>
        </is>
      </c>
      <c r="G922" t="n">
        <v>3</v>
      </c>
      <c r="H922" t="n">
        <v>0</v>
      </c>
      <c r="I922" t="n">
        <v>0</v>
      </c>
      <c r="J922" t="n">
        <v>0</v>
      </c>
      <c r="K922" t="n">
        <v>0</v>
      </c>
      <c r="L922" t="n">
        <v>0</v>
      </c>
      <c r="M922" t="n">
        <v>0</v>
      </c>
      <c r="N922" t="n">
        <v>0</v>
      </c>
      <c r="O922" t="n">
        <v>0</v>
      </c>
      <c r="P922" t="n">
        <v>0</v>
      </c>
      <c r="Q922" t="n">
        <v>0</v>
      </c>
      <c r="R922" s="2" t="inlineStr"/>
    </row>
    <row r="923" ht="15" customHeight="1">
      <c r="A923" t="inlineStr">
        <is>
          <t>A 45906-2025</t>
        </is>
      </c>
      <c r="B923" s="1" t="n">
        <v>45923.70627314815</v>
      </c>
      <c r="C923" s="1" t="n">
        <v>45924</v>
      </c>
      <c r="D923" t="inlineStr">
        <is>
          <t>VÄRMLANDS LÄN</t>
        </is>
      </c>
      <c r="E923" t="inlineStr">
        <is>
          <t>ÅRJÄNG</t>
        </is>
      </c>
      <c r="G923" t="n">
        <v>3.1</v>
      </c>
      <c r="H923" t="n">
        <v>0</v>
      </c>
      <c r="I923" t="n">
        <v>0</v>
      </c>
      <c r="J923" t="n">
        <v>0</v>
      </c>
      <c r="K923" t="n">
        <v>0</v>
      </c>
      <c r="L923" t="n">
        <v>0</v>
      </c>
      <c r="M923" t="n">
        <v>0</v>
      </c>
      <c r="N923" t="n">
        <v>0</v>
      </c>
      <c r="O923" t="n">
        <v>0</v>
      </c>
      <c r="P923" t="n">
        <v>0</v>
      </c>
      <c r="Q923" t="n">
        <v>0</v>
      </c>
      <c r="R923" s="2" t="inlineStr"/>
    </row>
    <row r="924" ht="15" customHeight="1">
      <c r="A924" t="inlineStr">
        <is>
          <t>A 45590-2025</t>
        </is>
      </c>
      <c r="B924" s="1" t="n">
        <v>45922</v>
      </c>
      <c r="C924" s="1" t="n">
        <v>45924</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45192-2025</t>
        </is>
      </c>
      <c r="B925" s="1" t="n">
        <v>45919</v>
      </c>
      <c r="C925" s="1" t="n">
        <v>45924</v>
      </c>
      <c r="D925" t="inlineStr">
        <is>
          <t>VÄRMLANDS LÄN</t>
        </is>
      </c>
      <c r="E925" t="inlineStr">
        <is>
          <t>ÅRJÄNG</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39536-2022</t>
        </is>
      </c>
      <c r="B926" s="1" t="n">
        <v>44818</v>
      </c>
      <c r="C926" s="1" t="n">
        <v>45924</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37555-2025</t>
        </is>
      </c>
      <c r="B927" s="1" t="n">
        <v>45880</v>
      </c>
      <c r="C927" s="1" t="n">
        <v>45924</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45524-2025</t>
        </is>
      </c>
      <c r="B928" s="1" t="n">
        <v>45922</v>
      </c>
      <c r="C928" s="1" t="n">
        <v>45924</v>
      </c>
      <c r="D928" t="inlineStr">
        <is>
          <t>VÄRMLANDS LÄN</t>
        </is>
      </c>
      <c r="E928" t="inlineStr">
        <is>
          <t>ÅRJÄNG</t>
        </is>
      </c>
      <c r="G928" t="n">
        <v>2.6</v>
      </c>
      <c r="H928" t="n">
        <v>0</v>
      </c>
      <c r="I928" t="n">
        <v>0</v>
      </c>
      <c r="J928" t="n">
        <v>0</v>
      </c>
      <c r="K928" t="n">
        <v>0</v>
      </c>
      <c r="L928" t="n">
        <v>0</v>
      </c>
      <c r="M928" t="n">
        <v>0</v>
      </c>
      <c r="N928" t="n">
        <v>0</v>
      </c>
      <c r="O928" t="n">
        <v>0</v>
      </c>
      <c r="P928" t="n">
        <v>0</v>
      </c>
      <c r="Q928" t="n">
        <v>0</v>
      </c>
      <c r="R928" s="2" t="inlineStr"/>
    </row>
    <row r="929" ht="15" customHeight="1">
      <c r="A929" t="inlineStr">
        <is>
          <t>A 34144-2022</t>
        </is>
      </c>
      <c r="B929" s="1" t="n">
        <v>44791.55983796297</v>
      </c>
      <c r="C929" s="1" t="n">
        <v>45924</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72476-2021</t>
        </is>
      </c>
      <c r="B930" s="1" t="n">
        <v>44545.86997685185</v>
      </c>
      <c r="C930" s="1" t="n">
        <v>45924</v>
      </c>
      <c r="D930" t="inlineStr">
        <is>
          <t>VÄRMLANDS LÄN</t>
        </is>
      </c>
      <c r="E930" t="inlineStr">
        <is>
          <t>ÅRJÄNG</t>
        </is>
      </c>
      <c r="G930" t="n">
        <v>1.9</v>
      </c>
      <c r="H930" t="n">
        <v>0</v>
      </c>
      <c r="I930" t="n">
        <v>0</v>
      </c>
      <c r="J930" t="n">
        <v>0</v>
      </c>
      <c r="K930" t="n">
        <v>0</v>
      </c>
      <c r="L930" t="n">
        <v>0</v>
      </c>
      <c r="M930" t="n">
        <v>0</v>
      </c>
      <c r="N930" t="n">
        <v>0</v>
      </c>
      <c r="O930" t="n">
        <v>0</v>
      </c>
      <c r="P930" t="n">
        <v>0</v>
      </c>
      <c r="Q930" t="n">
        <v>0</v>
      </c>
      <c r="R930" s="2" t="inlineStr"/>
    </row>
    <row r="931" ht="15" customHeight="1">
      <c r="A931" t="inlineStr">
        <is>
          <t>A 45907-2025</t>
        </is>
      </c>
      <c r="B931" s="1" t="n">
        <v>45923.70748842593</v>
      </c>
      <c r="C931" s="1" t="n">
        <v>45924</v>
      </c>
      <c r="D931" t="inlineStr">
        <is>
          <t>VÄRMLANDS LÄN</t>
        </is>
      </c>
      <c r="E931" t="inlineStr">
        <is>
          <t>ÅRJÄNG</t>
        </is>
      </c>
      <c r="G931" t="n">
        <v>2.9</v>
      </c>
      <c r="H931" t="n">
        <v>0</v>
      </c>
      <c r="I931" t="n">
        <v>0</v>
      </c>
      <c r="J931" t="n">
        <v>0</v>
      </c>
      <c r="K931" t="n">
        <v>0</v>
      </c>
      <c r="L931" t="n">
        <v>0</v>
      </c>
      <c r="M931" t="n">
        <v>0</v>
      </c>
      <c r="N931" t="n">
        <v>0</v>
      </c>
      <c r="O931" t="n">
        <v>0</v>
      </c>
      <c r="P931" t="n">
        <v>0</v>
      </c>
      <c r="Q931" t="n">
        <v>0</v>
      </c>
      <c r="R931" s="2" t="inlineStr"/>
    </row>
    <row r="932" ht="15" customHeight="1">
      <c r="A932" t="inlineStr">
        <is>
          <t>A 37681-2025</t>
        </is>
      </c>
      <c r="B932" s="1" t="n">
        <v>45880</v>
      </c>
      <c r="C932" s="1" t="n">
        <v>45924</v>
      </c>
      <c r="D932" t="inlineStr">
        <is>
          <t>VÄRMLANDS LÄN</t>
        </is>
      </c>
      <c r="E932" t="inlineStr">
        <is>
          <t>ÅRJÄNG</t>
        </is>
      </c>
      <c r="G932" t="n">
        <v>1.9</v>
      </c>
      <c r="H932" t="n">
        <v>0</v>
      </c>
      <c r="I932" t="n">
        <v>0</v>
      </c>
      <c r="J932" t="n">
        <v>0</v>
      </c>
      <c r="K932" t="n">
        <v>0</v>
      </c>
      <c r="L932" t="n">
        <v>0</v>
      </c>
      <c r="M932" t="n">
        <v>0</v>
      </c>
      <c r="N932" t="n">
        <v>0</v>
      </c>
      <c r="O932" t="n">
        <v>0</v>
      </c>
      <c r="P932" t="n">
        <v>0</v>
      </c>
      <c r="Q932" t="n">
        <v>0</v>
      </c>
      <c r="R932" s="2" t="inlineStr"/>
    </row>
    <row r="933" ht="15" customHeight="1">
      <c r="A933" t="inlineStr">
        <is>
          <t>A 39178-2023</t>
        </is>
      </c>
      <c r="B933" s="1" t="n">
        <v>45166.38395833333</v>
      </c>
      <c r="C933" s="1" t="n">
        <v>45924</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58141-2023</t>
        </is>
      </c>
      <c r="B934" s="1" t="n">
        <v>45245</v>
      </c>
      <c r="C934" s="1" t="n">
        <v>45924</v>
      </c>
      <c r="D934" t="inlineStr">
        <is>
          <t>VÄRMLANDS LÄN</t>
        </is>
      </c>
      <c r="E934" t="inlineStr">
        <is>
          <t>ÅRJÄNG</t>
        </is>
      </c>
      <c r="G934" t="n">
        <v>6.2</v>
      </c>
      <c r="H934" t="n">
        <v>0</v>
      </c>
      <c r="I934" t="n">
        <v>0</v>
      </c>
      <c r="J934" t="n">
        <v>0</v>
      </c>
      <c r="K934" t="n">
        <v>0</v>
      </c>
      <c r="L934" t="n">
        <v>0</v>
      </c>
      <c r="M934" t="n">
        <v>0</v>
      </c>
      <c r="N934" t="n">
        <v>0</v>
      </c>
      <c r="O934" t="n">
        <v>0</v>
      </c>
      <c r="P934" t="n">
        <v>0</v>
      </c>
      <c r="Q934" t="n">
        <v>0</v>
      </c>
      <c r="R934" s="2" t="inlineStr"/>
    </row>
    <row r="935" ht="15" customHeight="1">
      <c r="A935" t="inlineStr">
        <is>
          <t>A 37680-2025</t>
        </is>
      </c>
      <c r="B935" s="1" t="n">
        <v>45880.54208333333</v>
      </c>
      <c r="C935" s="1" t="n">
        <v>45924</v>
      </c>
      <c r="D935" t="inlineStr">
        <is>
          <t>VÄRMLANDS LÄN</t>
        </is>
      </c>
      <c r="E935" t="inlineStr">
        <is>
          <t>ÅRJÄNG</t>
        </is>
      </c>
      <c r="G935" t="n">
        <v>2</v>
      </c>
      <c r="H935" t="n">
        <v>0</v>
      </c>
      <c r="I935" t="n">
        <v>0</v>
      </c>
      <c r="J935" t="n">
        <v>0</v>
      </c>
      <c r="K935" t="n">
        <v>0</v>
      </c>
      <c r="L935" t="n">
        <v>0</v>
      </c>
      <c r="M935" t="n">
        <v>0</v>
      </c>
      <c r="N935" t="n">
        <v>0</v>
      </c>
      <c r="O935" t="n">
        <v>0</v>
      </c>
      <c r="P935" t="n">
        <v>0</v>
      </c>
      <c r="Q935" t="n">
        <v>0</v>
      </c>
      <c r="R935" s="2" t="inlineStr"/>
    </row>
    <row r="936" ht="15" customHeight="1">
      <c r="A936" t="inlineStr">
        <is>
          <t>A 45159-2025</t>
        </is>
      </c>
      <c r="B936" s="1" t="n">
        <v>45919</v>
      </c>
      <c r="C936" s="1" t="n">
        <v>45924</v>
      </c>
      <c r="D936" t="inlineStr">
        <is>
          <t>VÄRMLANDS LÄN</t>
        </is>
      </c>
      <c r="E936" t="inlineStr">
        <is>
          <t>ÅRJÄNG</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59484-2024</t>
        </is>
      </c>
      <c r="B937" s="1" t="n">
        <v>45638</v>
      </c>
      <c r="C937" s="1" t="n">
        <v>45924</v>
      </c>
      <c r="D937" t="inlineStr">
        <is>
          <t>VÄRMLANDS LÄN</t>
        </is>
      </c>
      <c r="E937" t="inlineStr">
        <is>
          <t>ÅRJÄNG</t>
        </is>
      </c>
      <c r="G937" t="n">
        <v>2.9</v>
      </c>
      <c r="H937" t="n">
        <v>0</v>
      </c>
      <c r="I937" t="n">
        <v>0</v>
      </c>
      <c r="J937" t="n">
        <v>0</v>
      </c>
      <c r="K937" t="n">
        <v>0</v>
      </c>
      <c r="L937" t="n">
        <v>0</v>
      </c>
      <c r="M937" t="n">
        <v>0</v>
      </c>
      <c r="N937" t="n">
        <v>0</v>
      </c>
      <c r="O937" t="n">
        <v>0</v>
      </c>
      <c r="P937" t="n">
        <v>0</v>
      </c>
      <c r="Q937" t="n">
        <v>0</v>
      </c>
      <c r="R937" s="2" t="inlineStr"/>
    </row>
    <row r="938" ht="15" customHeight="1">
      <c r="A938" t="inlineStr">
        <is>
          <t>A 45332-2025</t>
        </is>
      </c>
      <c r="B938" s="1" t="n">
        <v>45922</v>
      </c>
      <c r="C938" s="1" t="n">
        <v>45924</v>
      </c>
      <c r="D938" t="inlineStr">
        <is>
          <t>VÄRMLANDS LÄN</t>
        </is>
      </c>
      <c r="E938" t="inlineStr">
        <is>
          <t>ÅRJÄNG</t>
        </is>
      </c>
      <c r="F938" t="inlineStr">
        <is>
          <t>Bergvik skog väst AB</t>
        </is>
      </c>
      <c r="G938" t="n">
        <v>1.8</v>
      </c>
      <c r="H938" t="n">
        <v>0</v>
      </c>
      <c r="I938" t="n">
        <v>0</v>
      </c>
      <c r="J938" t="n">
        <v>0</v>
      </c>
      <c r="K938" t="n">
        <v>0</v>
      </c>
      <c r="L938" t="n">
        <v>0</v>
      </c>
      <c r="M938" t="n">
        <v>0</v>
      </c>
      <c r="N938" t="n">
        <v>0</v>
      </c>
      <c r="O938" t="n">
        <v>0</v>
      </c>
      <c r="P938" t="n">
        <v>0</v>
      </c>
      <c r="Q938" t="n">
        <v>0</v>
      </c>
      <c r="R938" s="2" t="inlineStr"/>
    </row>
    <row r="939" ht="15" customHeight="1">
      <c r="A939" t="inlineStr">
        <is>
          <t>A 45329-2025</t>
        </is>
      </c>
      <c r="B939" s="1" t="n">
        <v>45922</v>
      </c>
      <c r="C939" s="1" t="n">
        <v>45924</v>
      </c>
      <c r="D939" t="inlineStr">
        <is>
          <t>VÄRMLANDS LÄN</t>
        </is>
      </c>
      <c r="E939" t="inlineStr">
        <is>
          <t>ÅRJÄNG</t>
        </is>
      </c>
      <c r="F939" t="inlineStr">
        <is>
          <t>Bergvik skog väst AB</t>
        </is>
      </c>
      <c r="G939" t="n">
        <v>1.3</v>
      </c>
      <c r="H939" t="n">
        <v>0</v>
      </c>
      <c r="I939" t="n">
        <v>0</v>
      </c>
      <c r="J939" t="n">
        <v>0</v>
      </c>
      <c r="K939" t="n">
        <v>0</v>
      </c>
      <c r="L939" t="n">
        <v>0</v>
      </c>
      <c r="M939" t="n">
        <v>0</v>
      </c>
      <c r="N939" t="n">
        <v>0</v>
      </c>
      <c r="O939" t="n">
        <v>0</v>
      </c>
      <c r="P939" t="n">
        <v>0</v>
      </c>
      <c r="Q939" t="n">
        <v>0</v>
      </c>
      <c r="R939" s="2" t="inlineStr"/>
    </row>
    <row r="940" ht="15" customHeight="1">
      <c r="A940" t="inlineStr">
        <is>
          <t>A 14340-2023</t>
        </is>
      </c>
      <c r="B940" s="1" t="n">
        <v>45012.36368055556</v>
      </c>
      <c r="C940" s="1" t="n">
        <v>45924</v>
      </c>
      <c r="D940" t="inlineStr">
        <is>
          <t>VÄRMLANDS LÄN</t>
        </is>
      </c>
      <c r="E940" t="inlineStr">
        <is>
          <t>ÅRJÄNG</t>
        </is>
      </c>
      <c r="G940" t="n">
        <v>3.1</v>
      </c>
      <c r="H940" t="n">
        <v>0</v>
      </c>
      <c r="I940" t="n">
        <v>0</v>
      </c>
      <c r="J940" t="n">
        <v>0</v>
      </c>
      <c r="K940" t="n">
        <v>0</v>
      </c>
      <c r="L940" t="n">
        <v>0</v>
      </c>
      <c r="M940" t="n">
        <v>0</v>
      </c>
      <c r="N940" t="n">
        <v>0</v>
      </c>
      <c r="O940" t="n">
        <v>0</v>
      </c>
      <c r="P940" t="n">
        <v>0</v>
      </c>
      <c r="Q940" t="n">
        <v>0</v>
      </c>
      <c r="R940" s="2" t="inlineStr"/>
    </row>
    <row r="941" ht="15" customHeight="1">
      <c r="A941" t="inlineStr">
        <is>
          <t>A 22032-2023</t>
        </is>
      </c>
      <c r="B941" s="1" t="n">
        <v>45069.35378472223</v>
      </c>
      <c r="C941" s="1" t="n">
        <v>45924</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55422-2023</t>
        </is>
      </c>
      <c r="B942" s="1" t="n">
        <v>45238.41858796297</v>
      </c>
      <c r="C942" s="1" t="n">
        <v>45924</v>
      </c>
      <c r="D942" t="inlineStr">
        <is>
          <t>VÄRMLANDS LÄN</t>
        </is>
      </c>
      <c r="E942" t="inlineStr">
        <is>
          <t>ÅRJÄNG</t>
        </is>
      </c>
      <c r="F942" t="inlineStr">
        <is>
          <t>Kyrkan</t>
        </is>
      </c>
      <c r="G942" t="n">
        <v>2.3</v>
      </c>
      <c r="H942" t="n">
        <v>0</v>
      </c>
      <c r="I942" t="n">
        <v>0</v>
      </c>
      <c r="J942" t="n">
        <v>0</v>
      </c>
      <c r="K942" t="n">
        <v>0</v>
      </c>
      <c r="L942" t="n">
        <v>0</v>
      </c>
      <c r="M942" t="n">
        <v>0</v>
      </c>
      <c r="N942" t="n">
        <v>0</v>
      </c>
      <c r="O942" t="n">
        <v>0</v>
      </c>
      <c r="P942" t="n">
        <v>0</v>
      </c>
      <c r="Q942" t="n">
        <v>0</v>
      </c>
      <c r="R942" s="2" t="inlineStr"/>
    </row>
    <row r="943" ht="15" customHeight="1">
      <c r="A943" t="inlineStr">
        <is>
          <t>A 34172-2024</t>
        </is>
      </c>
      <c r="B943" s="1" t="n">
        <v>45524</v>
      </c>
      <c r="C943" s="1" t="n">
        <v>45924</v>
      </c>
      <c r="D943" t="inlineStr">
        <is>
          <t>VÄRMLANDS LÄN</t>
        </is>
      </c>
      <c r="E943" t="inlineStr">
        <is>
          <t>ÅRJÄNG</t>
        </is>
      </c>
      <c r="G943" t="n">
        <v>0.9</v>
      </c>
      <c r="H943" t="n">
        <v>0</v>
      </c>
      <c r="I943" t="n">
        <v>0</v>
      </c>
      <c r="J943" t="n">
        <v>0</v>
      </c>
      <c r="K943" t="n">
        <v>0</v>
      </c>
      <c r="L943" t="n">
        <v>0</v>
      </c>
      <c r="M943" t="n">
        <v>0</v>
      </c>
      <c r="N943" t="n">
        <v>0</v>
      </c>
      <c r="O943" t="n">
        <v>0</v>
      </c>
      <c r="P943" t="n">
        <v>0</v>
      </c>
      <c r="Q943" t="n">
        <v>0</v>
      </c>
      <c r="R943" s="2" t="inlineStr"/>
    </row>
    <row r="944" ht="15" customHeight="1">
      <c r="A944" t="inlineStr">
        <is>
          <t>A 58874-2023</t>
        </is>
      </c>
      <c r="B944" s="1" t="n">
        <v>45252</v>
      </c>
      <c r="C944" s="1" t="n">
        <v>45924</v>
      </c>
      <c r="D944" t="inlineStr">
        <is>
          <t>VÄRMLANDS LÄN</t>
        </is>
      </c>
      <c r="E944" t="inlineStr">
        <is>
          <t>ÅRJÄNG</t>
        </is>
      </c>
      <c r="G944" t="n">
        <v>2.5</v>
      </c>
      <c r="H944" t="n">
        <v>0</v>
      </c>
      <c r="I944" t="n">
        <v>0</v>
      </c>
      <c r="J944" t="n">
        <v>0</v>
      </c>
      <c r="K944" t="n">
        <v>0</v>
      </c>
      <c r="L944" t="n">
        <v>0</v>
      </c>
      <c r="M944" t="n">
        <v>0</v>
      </c>
      <c r="N944" t="n">
        <v>0</v>
      </c>
      <c r="O944" t="n">
        <v>0</v>
      </c>
      <c r="P944" t="n">
        <v>0</v>
      </c>
      <c r="Q944" t="n">
        <v>0</v>
      </c>
      <c r="R944" s="2" t="inlineStr"/>
    </row>
    <row r="945" ht="15" customHeight="1">
      <c r="A945" t="inlineStr">
        <is>
          <t>A 54961-2024</t>
        </is>
      </c>
      <c r="B945" s="1" t="n">
        <v>45619.9753125</v>
      </c>
      <c r="C945" s="1" t="n">
        <v>45924</v>
      </c>
      <c r="D945" t="inlineStr">
        <is>
          <t>VÄRMLANDS LÄN</t>
        </is>
      </c>
      <c r="E945" t="inlineStr">
        <is>
          <t>ÅRJÄNG</t>
        </is>
      </c>
      <c r="G945" t="n">
        <v>0.9</v>
      </c>
      <c r="H945" t="n">
        <v>0</v>
      </c>
      <c r="I945" t="n">
        <v>0</v>
      </c>
      <c r="J945" t="n">
        <v>0</v>
      </c>
      <c r="K945" t="n">
        <v>0</v>
      </c>
      <c r="L945" t="n">
        <v>0</v>
      </c>
      <c r="M945" t="n">
        <v>0</v>
      </c>
      <c r="N945" t="n">
        <v>0</v>
      </c>
      <c r="O945" t="n">
        <v>0</v>
      </c>
      <c r="P945" t="n">
        <v>0</v>
      </c>
      <c r="Q945" t="n">
        <v>0</v>
      </c>
      <c r="R945" s="2" t="inlineStr"/>
    </row>
    <row r="946" ht="15" customHeight="1">
      <c r="A946" t="inlineStr">
        <is>
          <t>A 61868-2024</t>
        </is>
      </c>
      <c r="B946" s="1" t="n">
        <v>45651.47393518518</v>
      </c>
      <c r="C946" s="1" t="n">
        <v>45924</v>
      </c>
      <c r="D946" t="inlineStr">
        <is>
          <t>VÄRMLANDS LÄN</t>
        </is>
      </c>
      <c r="E946" t="inlineStr">
        <is>
          <t>ÅRJÄNG</t>
        </is>
      </c>
      <c r="G946" t="n">
        <v>0.8</v>
      </c>
      <c r="H946" t="n">
        <v>0</v>
      </c>
      <c r="I946" t="n">
        <v>0</v>
      </c>
      <c r="J946" t="n">
        <v>0</v>
      </c>
      <c r="K946" t="n">
        <v>0</v>
      </c>
      <c r="L946" t="n">
        <v>0</v>
      </c>
      <c r="M946" t="n">
        <v>0</v>
      </c>
      <c r="N946" t="n">
        <v>0</v>
      </c>
      <c r="O946" t="n">
        <v>0</v>
      </c>
      <c r="P946" t="n">
        <v>0</v>
      </c>
      <c r="Q946" t="n">
        <v>0</v>
      </c>
      <c r="R946" s="2" t="inlineStr"/>
    </row>
    <row r="947" ht="15" customHeight="1">
      <c r="A947" t="inlineStr">
        <is>
          <t>A 37356-2024</t>
        </is>
      </c>
      <c r="B947" s="1" t="n">
        <v>45540</v>
      </c>
      <c r="C947" s="1" t="n">
        <v>45924</v>
      </c>
      <c r="D947" t="inlineStr">
        <is>
          <t>VÄRMLANDS LÄN</t>
        </is>
      </c>
      <c r="E947" t="inlineStr">
        <is>
          <t>ÅRJÄNG</t>
        </is>
      </c>
      <c r="G947" t="n">
        <v>3.4</v>
      </c>
      <c r="H947" t="n">
        <v>0</v>
      </c>
      <c r="I947" t="n">
        <v>0</v>
      </c>
      <c r="J947" t="n">
        <v>0</v>
      </c>
      <c r="K947" t="n">
        <v>0</v>
      </c>
      <c r="L947" t="n">
        <v>0</v>
      </c>
      <c r="M947" t="n">
        <v>0</v>
      </c>
      <c r="N947" t="n">
        <v>0</v>
      </c>
      <c r="O947" t="n">
        <v>0</v>
      </c>
      <c r="P947" t="n">
        <v>0</v>
      </c>
      <c r="Q947" t="n">
        <v>0</v>
      </c>
      <c r="R947" s="2" t="inlineStr"/>
    </row>
    <row r="948" ht="15" customHeight="1">
      <c r="A948" t="inlineStr">
        <is>
          <t>A 13317-2025</t>
        </is>
      </c>
      <c r="B948" s="1" t="n">
        <v>45735.59452546296</v>
      </c>
      <c r="C948" s="1" t="n">
        <v>45924</v>
      </c>
      <c r="D948" t="inlineStr">
        <is>
          <t>VÄRMLANDS LÄN</t>
        </is>
      </c>
      <c r="E948" t="inlineStr">
        <is>
          <t>ÅRJÄNG</t>
        </is>
      </c>
      <c r="G948" t="n">
        <v>3.7</v>
      </c>
      <c r="H948" t="n">
        <v>0</v>
      </c>
      <c r="I948" t="n">
        <v>0</v>
      </c>
      <c r="J948" t="n">
        <v>0</v>
      </c>
      <c r="K948" t="n">
        <v>0</v>
      </c>
      <c r="L948" t="n">
        <v>0</v>
      </c>
      <c r="M948" t="n">
        <v>0</v>
      </c>
      <c r="N948" t="n">
        <v>0</v>
      </c>
      <c r="O948" t="n">
        <v>0</v>
      </c>
      <c r="P948" t="n">
        <v>0</v>
      </c>
      <c r="Q948" t="n">
        <v>0</v>
      </c>
      <c r="R948" s="2" t="inlineStr"/>
    </row>
    <row r="949" ht="15" customHeight="1">
      <c r="A949" t="inlineStr">
        <is>
          <t>A 49891-2022</t>
        </is>
      </c>
      <c r="B949" s="1" t="n">
        <v>44864</v>
      </c>
      <c r="C949" s="1" t="n">
        <v>45924</v>
      </c>
      <c r="D949" t="inlineStr">
        <is>
          <t>VÄRMLANDS LÄN</t>
        </is>
      </c>
      <c r="E949" t="inlineStr">
        <is>
          <t>ÅRJÄNG</t>
        </is>
      </c>
      <c r="G949" t="n">
        <v>5.6</v>
      </c>
      <c r="H949" t="n">
        <v>0</v>
      </c>
      <c r="I949" t="n">
        <v>0</v>
      </c>
      <c r="J949" t="n">
        <v>0</v>
      </c>
      <c r="K949" t="n">
        <v>0</v>
      </c>
      <c r="L949" t="n">
        <v>0</v>
      </c>
      <c r="M949" t="n">
        <v>0</v>
      </c>
      <c r="N949" t="n">
        <v>0</v>
      </c>
      <c r="O949" t="n">
        <v>0</v>
      </c>
      <c r="P949" t="n">
        <v>0</v>
      </c>
      <c r="Q949" t="n">
        <v>0</v>
      </c>
      <c r="R949" s="2" t="inlineStr"/>
    </row>
    <row r="950" ht="15" customHeight="1">
      <c r="A950" t="inlineStr">
        <is>
          <t>A 59746-2023</t>
        </is>
      </c>
      <c r="B950" s="1" t="n">
        <v>45254</v>
      </c>
      <c r="C950" s="1" t="n">
        <v>45924</v>
      </c>
      <c r="D950" t="inlineStr">
        <is>
          <t>VÄRMLANDS LÄN</t>
        </is>
      </c>
      <c r="E950" t="inlineStr">
        <is>
          <t>ÅRJÄNG</t>
        </is>
      </c>
      <c r="G950" t="n">
        <v>4.4</v>
      </c>
      <c r="H950" t="n">
        <v>0</v>
      </c>
      <c r="I950" t="n">
        <v>0</v>
      </c>
      <c r="J950" t="n">
        <v>0</v>
      </c>
      <c r="K950" t="n">
        <v>0</v>
      </c>
      <c r="L950" t="n">
        <v>0</v>
      </c>
      <c r="M950" t="n">
        <v>0</v>
      </c>
      <c r="N950" t="n">
        <v>0</v>
      </c>
      <c r="O950" t="n">
        <v>0</v>
      </c>
      <c r="P950" t="n">
        <v>0</v>
      </c>
      <c r="Q950" t="n">
        <v>0</v>
      </c>
      <c r="R950" s="2" t="inlineStr"/>
    </row>
    <row r="951" ht="15" customHeight="1">
      <c r="A951" t="inlineStr">
        <is>
          <t>A 13998-2024</t>
        </is>
      </c>
      <c r="B951" s="1" t="n">
        <v>45392</v>
      </c>
      <c r="C951" s="1" t="n">
        <v>45924</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1153-2023</t>
        </is>
      </c>
      <c r="B952" s="1" t="n">
        <v>44935</v>
      </c>
      <c r="C952" s="1" t="n">
        <v>45924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62240-2022</t>
        </is>
      </c>
      <c r="B953" s="1" t="n">
        <v>44922</v>
      </c>
      <c r="C953" s="1" t="n">
        <v>45924</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48014-2023</t>
        </is>
      </c>
      <c r="B954" s="1" t="n">
        <v>45198</v>
      </c>
      <c r="C954" s="1" t="n">
        <v>45924</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1717-2025</t>
        </is>
      </c>
      <c r="B955" s="1" t="n">
        <v>45671.32938657407</v>
      </c>
      <c r="C955" s="1" t="n">
        <v>45924</v>
      </c>
      <c r="D955" t="inlineStr">
        <is>
          <t>VÄRMLANDS LÄN</t>
        </is>
      </c>
      <c r="E955" t="inlineStr">
        <is>
          <t>ÅRJÄNG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6562-2023</t>
        </is>
      </c>
      <c r="B956" s="1" t="n">
        <v>44966</v>
      </c>
      <c r="C956" s="1" t="n">
        <v>45924</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31794-2023</t>
        </is>
      </c>
      <c r="B957" s="1" t="n">
        <v>45118.43856481482</v>
      </c>
      <c r="C957" s="1" t="n">
        <v>45924</v>
      </c>
      <c r="D957" t="inlineStr">
        <is>
          <t>VÄRMLANDS LÄN</t>
        </is>
      </c>
      <c r="E957" t="inlineStr">
        <is>
          <t>ÅRJÄNG</t>
        </is>
      </c>
      <c r="G957" t="n">
        <v>2.3</v>
      </c>
      <c r="H957" t="n">
        <v>0</v>
      </c>
      <c r="I957" t="n">
        <v>0</v>
      </c>
      <c r="J957" t="n">
        <v>0</v>
      </c>
      <c r="K957" t="n">
        <v>0</v>
      </c>
      <c r="L957" t="n">
        <v>0</v>
      </c>
      <c r="M957" t="n">
        <v>0</v>
      </c>
      <c r="N957" t="n">
        <v>0</v>
      </c>
      <c r="O957" t="n">
        <v>0</v>
      </c>
      <c r="P957" t="n">
        <v>0</v>
      </c>
      <c r="Q957" t="n">
        <v>0</v>
      </c>
      <c r="R957" s="2" t="inlineStr"/>
    </row>
    <row r="958" ht="15" customHeight="1">
      <c r="A958" t="inlineStr">
        <is>
          <t>A 1200-2023</t>
        </is>
      </c>
      <c r="B958" s="1" t="n">
        <v>44935</v>
      </c>
      <c r="C958" s="1" t="n">
        <v>45924</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7619-2023</t>
        </is>
      </c>
      <c r="B959" s="1" t="n">
        <v>44967</v>
      </c>
      <c r="C959" s="1" t="n">
        <v>45924</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61545-2024</t>
        </is>
      </c>
      <c r="B960" s="1" t="n">
        <v>45646.59966435185</v>
      </c>
      <c r="C960" s="1" t="n">
        <v>45924</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58434-2023</t>
        </is>
      </c>
      <c r="B961" s="1" t="n">
        <v>45250</v>
      </c>
      <c r="C961" s="1" t="n">
        <v>45924</v>
      </c>
      <c r="D961" t="inlineStr">
        <is>
          <t>VÄRMLANDS LÄN</t>
        </is>
      </c>
      <c r="E961" t="inlineStr">
        <is>
          <t>ÅRJÄNG</t>
        </is>
      </c>
      <c r="F961" t="inlineStr">
        <is>
          <t>Naturvårdsverket</t>
        </is>
      </c>
      <c r="G961" t="n">
        <v>3</v>
      </c>
      <c r="H961" t="n">
        <v>0</v>
      </c>
      <c r="I961" t="n">
        <v>0</v>
      </c>
      <c r="J961" t="n">
        <v>0</v>
      </c>
      <c r="K961" t="n">
        <v>0</v>
      </c>
      <c r="L961" t="n">
        <v>0</v>
      </c>
      <c r="M961" t="n">
        <v>0</v>
      </c>
      <c r="N961" t="n">
        <v>0</v>
      </c>
      <c r="O961" t="n">
        <v>0</v>
      </c>
      <c r="P961" t="n">
        <v>0</v>
      </c>
      <c r="Q961" t="n">
        <v>0</v>
      </c>
      <c r="R961" s="2" t="inlineStr"/>
    </row>
    <row r="962" ht="15" customHeight="1">
      <c r="A962" t="inlineStr">
        <is>
          <t>A 30548-2023</t>
        </is>
      </c>
      <c r="B962" s="1" t="n">
        <v>45111.77894675926</v>
      </c>
      <c r="C962" s="1" t="n">
        <v>45924</v>
      </c>
      <c r="D962" t="inlineStr">
        <is>
          <t>VÄRMLANDS LÄN</t>
        </is>
      </c>
      <c r="E962" t="inlineStr">
        <is>
          <t>ÅRJÄNG</t>
        </is>
      </c>
      <c r="G962" t="n">
        <v>4.7</v>
      </c>
      <c r="H962" t="n">
        <v>0</v>
      </c>
      <c r="I962" t="n">
        <v>0</v>
      </c>
      <c r="J962" t="n">
        <v>0</v>
      </c>
      <c r="K962" t="n">
        <v>0</v>
      </c>
      <c r="L962" t="n">
        <v>0</v>
      </c>
      <c r="M962" t="n">
        <v>0</v>
      </c>
      <c r="N962" t="n">
        <v>0</v>
      </c>
      <c r="O962" t="n">
        <v>0</v>
      </c>
      <c r="P962" t="n">
        <v>0</v>
      </c>
      <c r="Q962" t="n">
        <v>0</v>
      </c>
      <c r="R962" s="2" t="inlineStr"/>
    </row>
    <row r="963" ht="15" customHeight="1">
      <c r="A963" t="inlineStr">
        <is>
          <t>A 8614-2023</t>
        </is>
      </c>
      <c r="B963" s="1" t="n">
        <v>44977</v>
      </c>
      <c r="C963" s="1" t="n">
        <v>45924</v>
      </c>
      <c r="D963" t="inlineStr">
        <is>
          <t>VÄRMLANDS LÄN</t>
        </is>
      </c>
      <c r="E963" t="inlineStr">
        <is>
          <t>ÅRJÄNG</t>
        </is>
      </c>
      <c r="G963" t="n">
        <v>3.8</v>
      </c>
      <c r="H963" t="n">
        <v>0</v>
      </c>
      <c r="I963" t="n">
        <v>0</v>
      </c>
      <c r="J963" t="n">
        <v>0</v>
      </c>
      <c r="K963" t="n">
        <v>0</v>
      </c>
      <c r="L963" t="n">
        <v>0</v>
      </c>
      <c r="M963" t="n">
        <v>0</v>
      </c>
      <c r="N963" t="n">
        <v>0</v>
      </c>
      <c r="O963" t="n">
        <v>0</v>
      </c>
      <c r="P963" t="n">
        <v>0</v>
      </c>
      <c r="Q963" t="n">
        <v>0</v>
      </c>
      <c r="R963" s="2" t="inlineStr"/>
    </row>
    <row r="964" ht="15" customHeight="1">
      <c r="A964" t="inlineStr">
        <is>
          <t>A 30693-2021</t>
        </is>
      </c>
      <c r="B964" s="1" t="n">
        <v>44365</v>
      </c>
      <c r="C964" s="1" t="n">
        <v>45924</v>
      </c>
      <c r="D964" t="inlineStr">
        <is>
          <t>VÄRMLANDS LÄN</t>
        </is>
      </c>
      <c r="E964" t="inlineStr">
        <is>
          <t>ÅRJÄNG</t>
        </is>
      </c>
      <c r="G964" t="n">
        <v>8.4</v>
      </c>
      <c r="H964" t="n">
        <v>0</v>
      </c>
      <c r="I964" t="n">
        <v>0</v>
      </c>
      <c r="J964" t="n">
        <v>0</v>
      </c>
      <c r="K964" t="n">
        <v>0</v>
      </c>
      <c r="L964" t="n">
        <v>0</v>
      </c>
      <c r="M964" t="n">
        <v>0</v>
      </c>
      <c r="N964" t="n">
        <v>0</v>
      </c>
      <c r="O964" t="n">
        <v>0</v>
      </c>
      <c r="P964" t="n">
        <v>0</v>
      </c>
      <c r="Q964" t="n">
        <v>0</v>
      </c>
      <c r="R964" s="2" t="inlineStr"/>
    </row>
    <row r="965" ht="15" customHeight="1">
      <c r="A965" t="inlineStr">
        <is>
          <t>A 42141-2024</t>
        </is>
      </c>
      <c r="B965" s="1" t="n">
        <v>45562.43354166667</v>
      </c>
      <c r="C965" s="1" t="n">
        <v>45924</v>
      </c>
      <c r="D965" t="inlineStr">
        <is>
          <t>VÄRMLANDS LÄN</t>
        </is>
      </c>
      <c r="E965" t="inlineStr">
        <is>
          <t>ÅRJÄNG</t>
        </is>
      </c>
      <c r="G965" t="n">
        <v>2.5</v>
      </c>
      <c r="H965" t="n">
        <v>0</v>
      </c>
      <c r="I965" t="n">
        <v>0</v>
      </c>
      <c r="J965" t="n">
        <v>0</v>
      </c>
      <c r="K965" t="n">
        <v>0</v>
      </c>
      <c r="L965" t="n">
        <v>0</v>
      </c>
      <c r="M965" t="n">
        <v>0</v>
      </c>
      <c r="N965" t="n">
        <v>0</v>
      </c>
      <c r="O965" t="n">
        <v>0</v>
      </c>
      <c r="P965" t="n">
        <v>0</v>
      </c>
      <c r="Q965" t="n">
        <v>0</v>
      </c>
      <c r="R965" s="2" t="inlineStr"/>
    </row>
    <row r="966" ht="15" customHeight="1">
      <c r="A966" t="inlineStr">
        <is>
          <t>A 52803-2024</t>
        </is>
      </c>
      <c r="B966" s="1" t="n">
        <v>45610</v>
      </c>
      <c r="C966" s="1" t="n">
        <v>45924</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38065-2024</t>
        </is>
      </c>
      <c r="B967" s="1" t="n">
        <v>45544.8249537037</v>
      </c>
      <c r="C967" s="1" t="n">
        <v>45924</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44986.34331018518</v>
      </c>
      <c r="C968" s="1" t="n">
        <v>45924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7098-2024</t>
        </is>
      </c>
      <c r="B969" s="1" t="n">
        <v>45343</v>
      </c>
      <c r="C969" s="1" t="n">
        <v>45924</v>
      </c>
      <c r="D969" t="inlineStr">
        <is>
          <t>VÄRMLANDS LÄN</t>
        </is>
      </c>
      <c r="E969" t="inlineStr">
        <is>
          <t>ÅRJÄNG</t>
        </is>
      </c>
      <c r="G969" t="n">
        <v>5</v>
      </c>
      <c r="H969" t="n">
        <v>0</v>
      </c>
      <c r="I969" t="n">
        <v>0</v>
      </c>
      <c r="J969" t="n">
        <v>0</v>
      </c>
      <c r="K969" t="n">
        <v>0</v>
      </c>
      <c r="L969" t="n">
        <v>0</v>
      </c>
      <c r="M969" t="n">
        <v>0</v>
      </c>
      <c r="N969" t="n">
        <v>0</v>
      </c>
      <c r="O969" t="n">
        <v>0</v>
      </c>
      <c r="P969" t="n">
        <v>0</v>
      </c>
      <c r="Q969" t="n">
        <v>0</v>
      </c>
      <c r="R969" s="2" t="inlineStr"/>
    </row>
    <row r="970" ht="15" customHeight="1">
      <c r="A970" t="inlineStr">
        <is>
          <t>A 7100-2024</t>
        </is>
      </c>
      <c r="B970" s="1" t="n">
        <v>45343</v>
      </c>
      <c r="C970" s="1" t="n">
        <v>45924</v>
      </c>
      <c r="D970" t="inlineStr">
        <is>
          <t>VÄRMLANDS LÄN</t>
        </is>
      </c>
      <c r="E970" t="inlineStr">
        <is>
          <t>ÅRJÄNG</t>
        </is>
      </c>
      <c r="G970" t="n">
        <v>6.5</v>
      </c>
      <c r="H970" t="n">
        <v>0</v>
      </c>
      <c r="I970" t="n">
        <v>0</v>
      </c>
      <c r="J970" t="n">
        <v>0</v>
      </c>
      <c r="K970" t="n">
        <v>0</v>
      </c>
      <c r="L970" t="n">
        <v>0</v>
      </c>
      <c r="M970" t="n">
        <v>0</v>
      </c>
      <c r="N970" t="n">
        <v>0</v>
      </c>
      <c r="O970" t="n">
        <v>0</v>
      </c>
      <c r="P970" t="n">
        <v>0</v>
      </c>
      <c r="Q970" t="n">
        <v>0</v>
      </c>
      <c r="R970" s="2" t="inlineStr"/>
    </row>
    <row r="971" ht="15" customHeight="1">
      <c r="A971" t="inlineStr">
        <is>
          <t>A 8833-2025</t>
        </is>
      </c>
      <c r="B971" s="1" t="n">
        <v>45712.91263888889</v>
      </c>
      <c r="C971" s="1" t="n">
        <v>45924</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4545-2024</t>
        </is>
      </c>
      <c r="B972" s="1" t="n">
        <v>45327</v>
      </c>
      <c r="C972" s="1" t="n">
        <v>45924</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9990-2025</t>
        </is>
      </c>
      <c r="B973" s="1" t="n">
        <v>45719</v>
      </c>
      <c r="C973" s="1" t="n">
        <v>45924</v>
      </c>
      <c r="D973" t="inlineStr">
        <is>
          <t>VÄRMLANDS LÄN</t>
        </is>
      </c>
      <c r="E973" t="inlineStr">
        <is>
          <t>ÅRJÄNG</t>
        </is>
      </c>
      <c r="G973" t="n">
        <v>1.2</v>
      </c>
      <c r="H973" t="n">
        <v>0</v>
      </c>
      <c r="I973" t="n">
        <v>0</v>
      </c>
      <c r="J973" t="n">
        <v>0</v>
      </c>
      <c r="K973" t="n">
        <v>0</v>
      </c>
      <c r="L973" t="n">
        <v>0</v>
      </c>
      <c r="M973" t="n">
        <v>0</v>
      </c>
      <c r="N973" t="n">
        <v>0</v>
      </c>
      <c r="O973" t="n">
        <v>0</v>
      </c>
      <c r="P973" t="n">
        <v>0</v>
      </c>
      <c r="Q973" t="n">
        <v>0</v>
      </c>
      <c r="R973" s="2" t="inlineStr"/>
    </row>
    <row r="974" ht="15" customHeight="1">
      <c r="A974" t="inlineStr">
        <is>
          <t>A 9992-2025</t>
        </is>
      </c>
      <c r="B974" s="1" t="n">
        <v>45719.43708333333</v>
      </c>
      <c r="C974" s="1" t="n">
        <v>45924</v>
      </c>
      <c r="D974" t="inlineStr">
        <is>
          <t>VÄRMLANDS LÄN</t>
        </is>
      </c>
      <c r="E974" t="inlineStr">
        <is>
          <t>ÅRJÄNG</t>
        </is>
      </c>
      <c r="G974" t="n">
        <v>1.5</v>
      </c>
      <c r="H974" t="n">
        <v>0</v>
      </c>
      <c r="I974" t="n">
        <v>0</v>
      </c>
      <c r="J974" t="n">
        <v>0</v>
      </c>
      <c r="K974" t="n">
        <v>0</v>
      </c>
      <c r="L974" t="n">
        <v>0</v>
      </c>
      <c r="M974" t="n">
        <v>0</v>
      </c>
      <c r="N974" t="n">
        <v>0</v>
      </c>
      <c r="O974" t="n">
        <v>0</v>
      </c>
      <c r="P974" t="n">
        <v>0</v>
      </c>
      <c r="Q974" t="n">
        <v>0</v>
      </c>
      <c r="R974" s="2" t="inlineStr"/>
    </row>
    <row r="975" ht="15" customHeight="1">
      <c r="A975" t="inlineStr">
        <is>
          <t>A 64229-2023</t>
        </is>
      </c>
      <c r="B975" s="1" t="n">
        <v>45279</v>
      </c>
      <c r="C975" s="1" t="n">
        <v>45924</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57992-2023</t>
        </is>
      </c>
      <c r="B976" s="1" t="n">
        <v>45244</v>
      </c>
      <c r="C976" s="1" t="n">
        <v>45924</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687-2024</t>
        </is>
      </c>
      <c r="B977" s="1" t="n">
        <v>45300.37333333334</v>
      </c>
      <c r="C977" s="1" t="n">
        <v>45924</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713-2024</t>
        </is>
      </c>
      <c r="B978" s="1" t="n">
        <v>45300.4261574074</v>
      </c>
      <c r="C978" s="1" t="n">
        <v>45924</v>
      </c>
      <c r="D978" t="inlineStr">
        <is>
          <t>VÄRMLANDS LÄN</t>
        </is>
      </c>
      <c r="E978" t="inlineStr">
        <is>
          <t>ÅRJÄNG</t>
        </is>
      </c>
      <c r="F978" t="inlineStr">
        <is>
          <t>Kyrkan</t>
        </is>
      </c>
      <c r="G978" t="n">
        <v>4.4</v>
      </c>
      <c r="H978" t="n">
        <v>0</v>
      </c>
      <c r="I978" t="n">
        <v>0</v>
      </c>
      <c r="J978" t="n">
        <v>0</v>
      </c>
      <c r="K978" t="n">
        <v>0</v>
      </c>
      <c r="L978" t="n">
        <v>0</v>
      </c>
      <c r="M978" t="n">
        <v>0</v>
      </c>
      <c r="N978" t="n">
        <v>0</v>
      </c>
      <c r="O978" t="n">
        <v>0</v>
      </c>
      <c r="P978" t="n">
        <v>0</v>
      </c>
      <c r="Q978" t="n">
        <v>0</v>
      </c>
      <c r="R978" s="2" t="inlineStr"/>
    </row>
    <row r="979" ht="15" customHeight="1">
      <c r="A979" t="inlineStr">
        <is>
          <t>A 10180-2023</t>
        </is>
      </c>
      <c r="B979" s="1" t="n">
        <v>44986</v>
      </c>
      <c r="C979" s="1" t="n">
        <v>45924</v>
      </c>
      <c r="D979" t="inlineStr">
        <is>
          <t>VÄRMLANDS LÄN</t>
        </is>
      </c>
      <c r="E979" t="inlineStr">
        <is>
          <t>ÅRJÄNG</t>
        </is>
      </c>
      <c r="G979" t="n">
        <v>4.6</v>
      </c>
      <c r="H979" t="n">
        <v>0</v>
      </c>
      <c r="I979" t="n">
        <v>0</v>
      </c>
      <c r="J979" t="n">
        <v>0</v>
      </c>
      <c r="K979" t="n">
        <v>0</v>
      </c>
      <c r="L979" t="n">
        <v>0</v>
      </c>
      <c r="M979" t="n">
        <v>0</v>
      </c>
      <c r="N979" t="n">
        <v>0</v>
      </c>
      <c r="O979" t="n">
        <v>0</v>
      </c>
      <c r="P979" t="n">
        <v>0</v>
      </c>
      <c r="Q979" t="n">
        <v>0</v>
      </c>
      <c r="R979" s="2" t="inlineStr"/>
    </row>
    <row r="980" ht="15" customHeight="1">
      <c r="A980" t="inlineStr">
        <is>
          <t>A 64903-2023</t>
        </is>
      </c>
      <c r="B980" s="1" t="n">
        <v>45282</v>
      </c>
      <c r="C980" s="1" t="n">
        <v>45924</v>
      </c>
      <c r="D980" t="inlineStr">
        <is>
          <t>VÄRMLANDS LÄN</t>
        </is>
      </c>
      <c r="E980" t="inlineStr">
        <is>
          <t>ÅRJÄNG</t>
        </is>
      </c>
      <c r="G980" t="n">
        <v>7.5</v>
      </c>
      <c r="H980" t="n">
        <v>0</v>
      </c>
      <c r="I980" t="n">
        <v>0</v>
      </c>
      <c r="J980" t="n">
        <v>0</v>
      </c>
      <c r="K980" t="n">
        <v>0</v>
      </c>
      <c r="L980" t="n">
        <v>0</v>
      </c>
      <c r="M980" t="n">
        <v>0</v>
      </c>
      <c r="N980" t="n">
        <v>0</v>
      </c>
      <c r="O980" t="n">
        <v>0</v>
      </c>
      <c r="P980" t="n">
        <v>0</v>
      </c>
      <c r="Q980" t="n">
        <v>0</v>
      </c>
      <c r="R980" s="2" t="inlineStr"/>
    </row>
    <row r="981" ht="15" customHeight="1">
      <c r="A981" t="inlineStr">
        <is>
          <t>A 44556-2023</t>
        </is>
      </c>
      <c r="B981" s="1" t="n">
        <v>45189.53738425926</v>
      </c>
      <c r="C981" s="1" t="n">
        <v>45924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24273-2023</t>
        </is>
      </c>
      <c r="B982" s="1" t="n">
        <v>45079.6764699074</v>
      </c>
      <c r="C982" s="1" t="n">
        <v>45924</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51157-2024</t>
        </is>
      </c>
      <c r="B983" s="1" t="n">
        <v>45603</v>
      </c>
      <c r="C983" s="1" t="n">
        <v>45924</v>
      </c>
      <c r="D983" t="inlineStr">
        <is>
          <t>VÄRMLANDS LÄN</t>
        </is>
      </c>
      <c r="E983" t="inlineStr">
        <is>
          <t>ÅRJÄNG</t>
        </is>
      </c>
      <c r="G983" t="n">
        <v>6.3</v>
      </c>
      <c r="H983" t="n">
        <v>0</v>
      </c>
      <c r="I983" t="n">
        <v>0</v>
      </c>
      <c r="J983" t="n">
        <v>0</v>
      </c>
      <c r="K983" t="n">
        <v>0</v>
      </c>
      <c r="L983" t="n">
        <v>0</v>
      </c>
      <c r="M983" t="n">
        <v>0</v>
      </c>
      <c r="N983" t="n">
        <v>0</v>
      </c>
      <c r="O983" t="n">
        <v>0</v>
      </c>
      <c r="P983" t="n">
        <v>0</v>
      </c>
      <c r="Q983" t="n">
        <v>0</v>
      </c>
      <c r="R983" s="2" t="inlineStr"/>
    </row>
    <row r="984" ht="15" customHeight="1">
      <c r="A984" t="inlineStr">
        <is>
          <t>A 63796-2021</t>
        </is>
      </c>
      <c r="B984" s="1" t="n">
        <v>44509</v>
      </c>
      <c r="C984" s="1" t="n">
        <v>45924</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48781-2024</t>
        </is>
      </c>
      <c r="B985" s="1" t="n">
        <v>45593</v>
      </c>
      <c r="C985" s="1" t="n">
        <v>45924</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424-2025</t>
        </is>
      </c>
      <c r="B986" s="1" t="n">
        <v>45664</v>
      </c>
      <c r="C986" s="1" t="n">
        <v>45924</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9749-2024</t>
        </is>
      </c>
      <c r="B987" s="1" t="n">
        <v>45362</v>
      </c>
      <c r="C987" s="1" t="n">
        <v>45924</v>
      </c>
      <c r="D987" t="inlineStr">
        <is>
          <t>VÄRMLANDS LÄN</t>
        </is>
      </c>
      <c r="E987" t="inlineStr">
        <is>
          <t>ÅRJÄNG</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6354-2024</t>
        </is>
      </c>
      <c r="B988" s="1" t="n">
        <v>45338.46987268519</v>
      </c>
      <c r="C988" s="1" t="n">
        <v>45924</v>
      </c>
      <c r="D988" t="inlineStr">
        <is>
          <t>VÄRMLANDS LÄN</t>
        </is>
      </c>
      <c r="E988" t="inlineStr">
        <is>
          <t>ÅRJÄNG</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13871-2025</t>
        </is>
      </c>
      <c r="B989" s="1" t="n">
        <v>45737.58568287037</v>
      </c>
      <c r="C989" s="1" t="n">
        <v>45924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48293-2022</t>
        </is>
      </c>
      <c r="B990" s="1" t="n">
        <v>44858.51623842592</v>
      </c>
      <c r="C990" s="1" t="n">
        <v>45924</v>
      </c>
      <c r="D990" t="inlineStr">
        <is>
          <t>VÄRMLANDS LÄN</t>
        </is>
      </c>
      <c r="E990" t="inlineStr">
        <is>
          <t>ÅRJÄNG</t>
        </is>
      </c>
      <c r="G990" t="n">
        <v>3.2</v>
      </c>
      <c r="H990" t="n">
        <v>0</v>
      </c>
      <c r="I990" t="n">
        <v>0</v>
      </c>
      <c r="J990" t="n">
        <v>0</v>
      </c>
      <c r="K990" t="n">
        <v>0</v>
      </c>
      <c r="L990" t="n">
        <v>0</v>
      </c>
      <c r="M990" t="n">
        <v>0</v>
      </c>
      <c r="N990" t="n">
        <v>0</v>
      </c>
      <c r="O990" t="n">
        <v>0</v>
      </c>
      <c r="P990" t="n">
        <v>0</v>
      </c>
      <c r="Q990" t="n">
        <v>0</v>
      </c>
      <c r="R990" s="2" t="inlineStr"/>
    </row>
    <row r="991" ht="15" customHeight="1">
      <c r="A991" t="inlineStr">
        <is>
          <t>A 58290-2024</t>
        </is>
      </c>
      <c r="B991" s="1" t="n">
        <v>45632.5916087963</v>
      </c>
      <c r="C991" s="1" t="n">
        <v>45924</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7794-2024</t>
        </is>
      </c>
      <c r="B992" s="1" t="n">
        <v>45349</v>
      </c>
      <c r="C992" s="1" t="n">
        <v>45924</v>
      </c>
      <c r="D992" t="inlineStr">
        <is>
          <t>VÄRMLANDS LÄN</t>
        </is>
      </c>
      <c r="E992" t="inlineStr">
        <is>
          <t>ÅRJÄNG</t>
        </is>
      </c>
      <c r="G992" t="n">
        <v>0.6</v>
      </c>
      <c r="H992" t="n">
        <v>0</v>
      </c>
      <c r="I992" t="n">
        <v>0</v>
      </c>
      <c r="J992" t="n">
        <v>0</v>
      </c>
      <c r="K992" t="n">
        <v>0</v>
      </c>
      <c r="L992" t="n">
        <v>0</v>
      </c>
      <c r="M992" t="n">
        <v>0</v>
      </c>
      <c r="N992" t="n">
        <v>0</v>
      </c>
      <c r="O992" t="n">
        <v>0</v>
      </c>
      <c r="P992" t="n">
        <v>0</v>
      </c>
      <c r="Q992" t="n">
        <v>0</v>
      </c>
      <c r="R992" s="2" t="inlineStr"/>
    </row>
    <row r="993" ht="15" customHeight="1">
      <c r="A993" t="inlineStr">
        <is>
          <t>A 60126-2024</t>
        </is>
      </c>
      <c r="B993" s="1" t="n">
        <v>45642.5919212963</v>
      </c>
      <c r="C993" s="1" t="n">
        <v>45924</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58270-2024</t>
        </is>
      </c>
      <c r="B994" s="1" t="n">
        <v>45632.56928240741</v>
      </c>
      <c r="C994" s="1" t="n">
        <v>45924</v>
      </c>
      <c r="D994" t="inlineStr">
        <is>
          <t>VÄRMLANDS LÄN</t>
        </is>
      </c>
      <c r="E994" t="inlineStr">
        <is>
          <t>ÅRJÄNG</t>
        </is>
      </c>
      <c r="G994" t="n">
        <v>2.4</v>
      </c>
      <c r="H994" t="n">
        <v>0</v>
      </c>
      <c r="I994" t="n">
        <v>0</v>
      </c>
      <c r="J994" t="n">
        <v>0</v>
      </c>
      <c r="K994" t="n">
        <v>0</v>
      </c>
      <c r="L994" t="n">
        <v>0</v>
      </c>
      <c r="M994" t="n">
        <v>0</v>
      </c>
      <c r="N994" t="n">
        <v>0</v>
      </c>
      <c r="O994" t="n">
        <v>0</v>
      </c>
      <c r="P994" t="n">
        <v>0</v>
      </c>
      <c r="Q994" t="n">
        <v>0</v>
      </c>
      <c r="R994" s="2" t="inlineStr"/>
    </row>
    <row r="995" ht="15" customHeight="1">
      <c r="A995" t="inlineStr">
        <is>
          <t>A 11392-2024</t>
        </is>
      </c>
      <c r="B995" s="1" t="n">
        <v>45372</v>
      </c>
      <c r="C995" s="1" t="n">
        <v>45924</v>
      </c>
      <c r="D995" t="inlineStr">
        <is>
          <t>VÄRMLANDS LÄN</t>
        </is>
      </c>
      <c r="E995" t="inlineStr">
        <is>
          <t>ÅRJÄNG</t>
        </is>
      </c>
      <c r="G995" t="n">
        <v>3.6</v>
      </c>
      <c r="H995" t="n">
        <v>0</v>
      </c>
      <c r="I995" t="n">
        <v>0</v>
      </c>
      <c r="J995" t="n">
        <v>0</v>
      </c>
      <c r="K995" t="n">
        <v>0</v>
      </c>
      <c r="L995" t="n">
        <v>0</v>
      </c>
      <c r="M995" t="n">
        <v>0</v>
      </c>
      <c r="N995" t="n">
        <v>0</v>
      </c>
      <c r="O995" t="n">
        <v>0</v>
      </c>
      <c r="P995" t="n">
        <v>0</v>
      </c>
      <c r="Q995" t="n">
        <v>0</v>
      </c>
      <c r="R995" s="2" t="inlineStr"/>
    </row>
    <row r="996" ht="15" customHeight="1">
      <c r="A996" t="inlineStr">
        <is>
          <t>A 40346-2024</t>
        </is>
      </c>
      <c r="B996" s="1" t="n">
        <v>45555.34840277778</v>
      </c>
      <c r="C996" s="1" t="n">
        <v>45924</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9489-2025</t>
        </is>
      </c>
      <c r="B997" s="1" t="n">
        <v>45715</v>
      </c>
      <c r="C997" s="1" t="n">
        <v>45924</v>
      </c>
      <c r="D997" t="inlineStr">
        <is>
          <t>VÄRMLANDS LÄN</t>
        </is>
      </c>
      <c r="E997" t="inlineStr">
        <is>
          <t>ÅRJÄNG</t>
        </is>
      </c>
      <c r="G997" t="n">
        <v>2.1</v>
      </c>
      <c r="H997" t="n">
        <v>0</v>
      </c>
      <c r="I997" t="n">
        <v>0</v>
      </c>
      <c r="J997" t="n">
        <v>0</v>
      </c>
      <c r="K997" t="n">
        <v>0</v>
      </c>
      <c r="L997" t="n">
        <v>0</v>
      </c>
      <c r="M997" t="n">
        <v>0</v>
      </c>
      <c r="N997" t="n">
        <v>0</v>
      </c>
      <c r="O997" t="n">
        <v>0</v>
      </c>
      <c r="P997" t="n">
        <v>0</v>
      </c>
      <c r="Q997" t="n">
        <v>0</v>
      </c>
      <c r="R997" s="2" t="inlineStr"/>
    </row>
    <row r="998" ht="15" customHeight="1">
      <c r="A998" t="inlineStr">
        <is>
          <t>A 54425-2021</t>
        </is>
      </c>
      <c r="B998" s="1" t="n">
        <v>44459</v>
      </c>
      <c r="C998" s="1" t="n">
        <v>45924</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31622-2024</t>
        </is>
      </c>
      <c r="B999" s="1" t="n">
        <v>45506</v>
      </c>
      <c r="C999" s="1" t="n">
        <v>45924</v>
      </c>
      <c r="D999" t="inlineStr">
        <is>
          <t>VÄRMLANDS LÄN</t>
        </is>
      </c>
      <c r="E999" t="inlineStr">
        <is>
          <t>ÅRJÄNG</t>
        </is>
      </c>
      <c r="G999" t="n">
        <v>4</v>
      </c>
      <c r="H999" t="n">
        <v>0</v>
      </c>
      <c r="I999" t="n">
        <v>0</v>
      </c>
      <c r="J999" t="n">
        <v>0</v>
      </c>
      <c r="K999" t="n">
        <v>0</v>
      </c>
      <c r="L999" t="n">
        <v>0</v>
      </c>
      <c r="M999" t="n">
        <v>0</v>
      </c>
      <c r="N999" t="n">
        <v>0</v>
      </c>
      <c r="O999" t="n">
        <v>0</v>
      </c>
      <c r="P999" t="n">
        <v>0</v>
      </c>
      <c r="Q999" t="n">
        <v>0</v>
      </c>
      <c r="R999" s="2" t="inlineStr"/>
    </row>
    <row r="1000" ht="15" customHeight="1">
      <c r="A1000" t="inlineStr">
        <is>
          <t>A 58427-2024</t>
        </is>
      </c>
      <c r="B1000" s="1" t="n">
        <v>45634.89083333333</v>
      </c>
      <c r="C1000" s="1" t="n">
        <v>45924</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58428-2024</t>
        </is>
      </c>
      <c r="B1001" s="1" t="n">
        <v>45634.90734953704</v>
      </c>
      <c r="C1001" s="1" t="n">
        <v>45924</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8215-2025</t>
        </is>
      </c>
      <c r="B1002" s="1" t="n">
        <v>45708.44832175926</v>
      </c>
      <c r="C1002" s="1" t="n">
        <v>45924</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8230-2025</t>
        </is>
      </c>
      <c r="B1003" s="1" t="n">
        <v>45708.47010416666</v>
      </c>
      <c r="C1003" s="1" t="n">
        <v>45924</v>
      </c>
      <c r="D1003" t="inlineStr">
        <is>
          <t>VÄRMLANDS LÄN</t>
        </is>
      </c>
      <c r="E1003" t="inlineStr">
        <is>
          <t>ÅRJÄNG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62288-2023</t>
        </is>
      </c>
      <c r="B1004" s="1" t="n">
        <v>45267.65707175926</v>
      </c>
      <c r="C1004" s="1" t="n">
        <v>45924</v>
      </c>
      <c r="D1004" t="inlineStr">
        <is>
          <t>VÄRMLANDS LÄN</t>
        </is>
      </c>
      <c r="E1004" t="inlineStr">
        <is>
          <t>ÅRJÄNG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34350-2023</t>
        </is>
      </c>
      <c r="B1005" s="1" t="n">
        <v>45139.40969907407</v>
      </c>
      <c r="C1005" s="1" t="n">
        <v>45924</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45924</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15537-2024</t>
        </is>
      </c>
      <c r="B1007" s="1" t="n">
        <v>45401</v>
      </c>
      <c r="C1007" s="1" t="n">
        <v>45924</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42576-2021</t>
        </is>
      </c>
      <c r="B1008" s="1" t="n">
        <v>44428</v>
      </c>
      <c r="C1008" s="1" t="n">
        <v>45924</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19920-2024</t>
        </is>
      </c>
      <c r="B1009" s="1" t="n">
        <v>45433.58947916667</v>
      </c>
      <c r="C1009" s="1" t="n">
        <v>45924</v>
      </c>
      <c r="D1009" t="inlineStr">
        <is>
          <t>VÄRMLANDS LÄN</t>
        </is>
      </c>
      <c r="E1009" t="inlineStr">
        <is>
          <t>ÅRJÄNG</t>
        </is>
      </c>
      <c r="F1009" t="inlineStr">
        <is>
          <t>Bergvik skog väst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13734-2024</t>
        </is>
      </c>
      <c r="B1010" s="1" t="n">
        <v>45387</v>
      </c>
      <c r="C1010" s="1" t="n">
        <v>45924</v>
      </c>
      <c r="D1010" t="inlineStr">
        <is>
          <t>VÄRMLANDS LÄN</t>
        </is>
      </c>
      <c r="E1010" t="inlineStr">
        <is>
          <t>ÅRJÄNG</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13814-2024</t>
        </is>
      </c>
      <c r="B1011" s="1" t="n">
        <v>45391</v>
      </c>
      <c r="C1011" s="1" t="n">
        <v>45924</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13819-2024</t>
        </is>
      </c>
      <c r="B1012" s="1" t="n">
        <v>45391.42252314815</v>
      </c>
      <c r="C1012" s="1" t="n">
        <v>45924</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10510-2023</t>
        </is>
      </c>
      <c r="B1013" s="1" t="n">
        <v>44987.73665509259</v>
      </c>
      <c r="C1013" s="1" t="n">
        <v>45924</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16383-2022</t>
        </is>
      </c>
      <c r="B1014" s="1" t="n">
        <v>44671</v>
      </c>
      <c r="C1014" s="1" t="n">
        <v>45924</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6109-2025</t>
        </is>
      </c>
      <c r="B1015" s="1" t="n">
        <v>45698.31012731481</v>
      </c>
      <c r="C1015" s="1" t="n">
        <v>45924</v>
      </c>
      <c r="D1015" t="inlineStr">
        <is>
          <t>VÄRMLANDS LÄN</t>
        </is>
      </c>
      <c r="E1015" t="inlineStr">
        <is>
          <t>ÅRJÄNG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28260-2024</t>
        </is>
      </c>
      <c r="B1016" s="1" t="n">
        <v>45477</v>
      </c>
      <c r="C1016" s="1" t="n">
        <v>45924</v>
      </c>
      <c r="D1016" t="inlineStr">
        <is>
          <t>VÄRMLANDS LÄN</t>
        </is>
      </c>
      <c r="E1016" t="inlineStr">
        <is>
          <t>ÅRJÄNG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58789-2024</t>
        </is>
      </c>
      <c r="B1017" s="1" t="n">
        <v>45635.98438657408</v>
      </c>
      <c r="C1017" s="1" t="n">
        <v>45924</v>
      </c>
      <c r="D1017" t="inlineStr">
        <is>
          <t>VÄRMLANDS LÄN</t>
        </is>
      </c>
      <c r="E1017" t="inlineStr">
        <is>
          <t>ÅRJÄNG</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48389-2021</t>
        </is>
      </c>
      <c r="B1018" s="1" t="n">
        <v>44452.26943287037</v>
      </c>
      <c r="C1018" s="1" t="n">
        <v>45924</v>
      </c>
      <c r="D1018" t="inlineStr">
        <is>
          <t>VÄRMLANDS LÄN</t>
        </is>
      </c>
      <c r="E1018" t="inlineStr">
        <is>
          <t>ÅRJÄNG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17827-2025</t>
        </is>
      </c>
      <c r="B1019" s="1" t="n">
        <v>45758.57596064815</v>
      </c>
      <c r="C1019" s="1" t="n">
        <v>45924</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55071-2024</t>
        </is>
      </c>
      <c r="B1020" s="1" t="n">
        <v>45621.41861111111</v>
      </c>
      <c r="C1020" s="1" t="n">
        <v>45924</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56682-2021</t>
        </is>
      </c>
      <c r="B1021" s="1" t="n">
        <v>44481</v>
      </c>
      <c r="C1021" s="1" t="n">
        <v>45924</v>
      </c>
      <c r="D1021" t="inlineStr">
        <is>
          <t>VÄRMLANDS LÄN</t>
        </is>
      </c>
      <c r="E1021" t="inlineStr">
        <is>
          <t>ÅRJÄNG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5863-2023</t>
        </is>
      </c>
      <c r="B1022" s="1" t="n">
        <v>44963</v>
      </c>
      <c r="C1022" s="1" t="n">
        <v>45924</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23940-2023</t>
        </is>
      </c>
      <c r="B1023" s="1" t="n">
        <v>45075</v>
      </c>
      <c r="C1023" s="1" t="n">
        <v>45924</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3968-2025</t>
        </is>
      </c>
      <c r="B1024" s="1" t="n">
        <v>45684.51925925926</v>
      </c>
      <c r="C1024" s="1" t="n">
        <v>45924</v>
      </c>
      <c r="D1024" t="inlineStr">
        <is>
          <t>VÄRMLANDS LÄN</t>
        </is>
      </c>
      <c r="E1024" t="inlineStr">
        <is>
          <t>ÅRJÄNG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1665-2023</t>
        </is>
      </c>
      <c r="B1025" s="1" t="n">
        <v>44938</v>
      </c>
      <c r="C1025" s="1" t="n">
        <v>45924</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45924</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55901-2023</t>
        </is>
      </c>
      <c r="B1027" s="1" t="n">
        <v>45239.86618055555</v>
      </c>
      <c r="C1027" s="1" t="n">
        <v>45924</v>
      </c>
      <c r="D1027" t="inlineStr">
        <is>
          <t>VÄRMLANDS LÄN</t>
        </is>
      </c>
      <c r="E1027" t="inlineStr">
        <is>
          <t>ÅRJÄNG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12072-2024</t>
        </is>
      </c>
      <c r="B1028" s="1" t="n">
        <v>45377</v>
      </c>
      <c r="C1028" s="1" t="n">
        <v>45924</v>
      </c>
      <c r="D1028" t="inlineStr">
        <is>
          <t>VÄRMLANDS LÄN</t>
        </is>
      </c>
      <c r="E1028" t="inlineStr">
        <is>
          <t>ÅRJÄNG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28317-2023</t>
        </is>
      </c>
      <c r="B1029" s="1" t="n">
        <v>45099</v>
      </c>
      <c r="C1029" s="1" t="n">
        <v>45924</v>
      </c>
      <c r="D1029" t="inlineStr">
        <is>
          <t>VÄRMLANDS LÄN</t>
        </is>
      </c>
      <c r="E1029" t="inlineStr">
        <is>
          <t>ÅRJÄNG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15547-2025</t>
        </is>
      </c>
      <c r="B1030" s="1" t="n">
        <v>45747</v>
      </c>
      <c r="C1030" s="1" t="n">
        <v>45924</v>
      </c>
      <c r="D1030" t="inlineStr">
        <is>
          <t>VÄRMLANDS LÄN</t>
        </is>
      </c>
      <c r="E1030" t="inlineStr">
        <is>
          <t>ÅRJÄNG</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15548-2025</t>
        </is>
      </c>
      <c r="B1031" s="1" t="n">
        <v>45747</v>
      </c>
      <c r="C1031" s="1" t="n">
        <v>45924</v>
      </c>
      <c r="D1031" t="inlineStr">
        <is>
          <t>VÄRMLANDS LÄN</t>
        </is>
      </c>
      <c r="E1031" t="inlineStr">
        <is>
          <t>ÅRJÄNG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1615-2025</t>
        </is>
      </c>
      <c r="B1032" s="1" t="n">
        <v>45670.60484953703</v>
      </c>
      <c r="C1032" s="1" t="n">
        <v>45924</v>
      </c>
      <c r="D1032" t="inlineStr">
        <is>
          <t>VÄRMLANDS LÄN</t>
        </is>
      </c>
      <c r="E1032" t="inlineStr">
        <is>
          <t>ÅRJÄNG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1415-2025</t>
        </is>
      </c>
      <c r="B1033" s="1" t="n">
        <v>45668.32795138889</v>
      </c>
      <c r="C1033" s="1" t="n">
        <v>45924</v>
      </c>
      <c r="D1033" t="inlineStr">
        <is>
          <t>VÄRMLANDS LÄN</t>
        </is>
      </c>
      <c r="E1033" t="inlineStr">
        <is>
          <t>ÅRJÄNG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74086-2021</t>
        </is>
      </c>
      <c r="B1034" s="1" t="n">
        <v>44557.58112268519</v>
      </c>
      <c r="C1034" s="1" t="n">
        <v>45924</v>
      </c>
      <c r="D1034" t="inlineStr">
        <is>
          <t>VÄRMLANDS LÄN</t>
        </is>
      </c>
      <c r="E1034" t="inlineStr">
        <is>
          <t>ÅRJÄNG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28864-2023</t>
        </is>
      </c>
      <c r="B1035" s="1" t="n">
        <v>45104</v>
      </c>
      <c r="C1035" s="1" t="n">
        <v>45924</v>
      </c>
      <c r="D1035" t="inlineStr">
        <is>
          <t>VÄRMLANDS LÄN</t>
        </is>
      </c>
      <c r="E1035" t="inlineStr">
        <is>
          <t>ÅRJÄNG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15300-2025</t>
        </is>
      </c>
      <c r="B1036" s="1" t="n">
        <v>45746</v>
      </c>
      <c r="C1036" s="1" t="n">
        <v>45924</v>
      </c>
      <c r="D1036" t="inlineStr">
        <is>
          <t>VÄRMLANDS LÄN</t>
        </is>
      </c>
      <c r="E1036" t="inlineStr">
        <is>
          <t>ÅRJÄNG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58788-2024</t>
        </is>
      </c>
      <c r="B1037" s="1" t="n">
        <v>45635.96372685185</v>
      </c>
      <c r="C1037" s="1" t="n">
        <v>45924</v>
      </c>
      <c r="D1037" t="inlineStr">
        <is>
          <t>VÄRMLANDS LÄN</t>
        </is>
      </c>
      <c r="E1037" t="inlineStr">
        <is>
          <t>ÅRJÄNG</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68328-2021</t>
        </is>
      </c>
      <c r="B1038" s="1" t="n">
        <v>44527.35875</v>
      </c>
      <c r="C1038" s="1" t="n">
        <v>45924</v>
      </c>
      <c r="D1038" t="inlineStr">
        <is>
          <t>VÄRMLANDS LÄN</t>
        </is>
      </c>
      <c r="E1038" t="inlineStr">
        <is>
          <t>ÅRJÄNG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23334-2023</t>
        </is>
      </c>
      <c r="B1039" s="1" t="n">
        <v>45076</v>
      </c>
      <c r="C1039" s="1" t="n">
        <v>45924</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10239-2023</t>
        </is>
      </c>
      <c r="B1040" s="1" t="n">
        <v>44986</v>
      </c>
      <c r="C1040" s="1" t="n">
        <v>45924</v>
      </c>
      <c r="D1040" t="inlineStr">
        <is>
          <t>VÄRMLANDS LÄN</t>
        </is>
      </c>
      <c r="E1040" t="inlineStr">
        <is>
          <t>ÅRJÄNG</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48444-2023</t>
        </is>
      </c>
      <c r="B1041" s="1" t="n">
        <v>45206.37090277778</v>
      </c>
      <c r="C1041" s="1" t="n">
        <v>45924</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48130-2023</t>
        </is>
      </c>
      <c r="B1042" s="1" t="n">
        <v>45201</v>
      </c>
      <c r="C1042" s="1" t="n">
        <v>45924</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10873-2023</t>
        </is>
      </c>
      <c r="B1043" s="1" t="n">
        <v>44991.42243055555</v>
      </c>
      <c r="C1043" s="1" t="n">
        <v>45924</v>
      </c>
      <c r="D1043" t="inlineStr">
        <is>
          <t>VÄRMLANDS LÄN</t>
        </is>
      </c>
      <c r="E1043" t="inlineStr">
        <is>
          <t>ÅRJÄNG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56757-2023</t>
        </is>
      </c>
      <c r="B1044" s="1" t="n">
        <v>45244.37539351852</v>
      </c>
      <c r="C1044" s="1" t="n">
        <v>45924</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54013-2023</t>
        </is>
      </c>
      <c r="B1045" s="1" t="n">
        <v>45231.81550925926</v>
      </c>
      <c r="C1045" s="1" t="n">
        <v>45924</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51493-2023</t>
        </is>
      </c>
      <c r="B1046" s="1" t="n">
        <v>45215</v>
      </c>
      <c r="C1046" s="1" t="n">
        <v>45924</v>
      </c>
      <c r="D1046" t="inlineStr">
        <is>
          <t>VÄRMLANDS LÄN</t>
        </is>
      </c>
      <c r="E1046" t="inlineStr">
        <is>
          <t>ÅRJÄNG</t>
        </is>
      </c>
      <c r="F1046" t="inlineStr">
        <is>
          <t>Övriga Aktiebolag</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67134-2020</t>
        </is>
      </c>
      <c r="B1047" s="1" t="n">
        <v>44179</v>
      </c>
      <c r="C1047" s="1" t="n">
        <v>45924</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9662-2024</t>
        </is>
      </c>
      <c r="B1048" s="1" t="n">
        <v>45362.43423611111</v>
      </c>
      <c r="C1048" s="1" t="n">
        <v>45924</v>
      </c>
      <c r="D1048" t="inlineStr">
        <is>
          <t>VÄRMLANDS LÄN</t>
        </is>
      </c>
      <c r="E1048" t="inlineStr">
        <is>
          <t>ÅRJÄNG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16977-2025</t>
        </is>
      </c>
      <c r="B1049" s="1" t="n">
        <v>45755.47517361111</v>
      </c>
      <c r="C1049" s="1" t="n">
        <v>45924</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42783-2024</t>
        </is>
      </c>
      <c r="B1050" s="1" t="n">
        <v>45566</v>
      </c>
      <c r="C1050" s="1" t="n">
        <v>45924</v>
      </c>
      <c r="D1050" t="inlineStr">
        <is>
          <t>VÄRMLANDS LÄN</t>
        </is>
      </c>
      <c r="E1050" t="inlineStr">
        <is>
          <t>ÅRJÄNG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17174-2023</t>
        </is>
      </c>
      <c r="B1051" s="1" t="n">
        <v>45034</v>
      </c>
      <c r="C1051" s="1" t="n">
        <v>45924</v>
      </c>
      <c r="D1051" t="inlineStr">
        <is>
          <t>VÄRMLANDS LÄN</t>
        </is>
      </c>
      <c r="E1051" t="inlineStr">
        <is>
          <t>ÅRJÄNG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47833-2023</t>
        </is>
      </c>
      <c r="B1052" s="1" t="n">
        <v>45204.36287037037</v>
      </c>
      <c r="C1052" s="1" t="n">
        <v>45924</v>
      </c>
      <c r="D1052" t="inlineStr">
        <is>
          <t>VÄRMLANDS LÄN</t>
        </is>
      </c>
      <c r="E1052" t="inlineStr">
        <is>
          <t>ÅRJÄNG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55167-2024</t>
        </is>
      </c>
      <c r="B1053" s="1" t="n">
        <v>45621</v>
      </c>
      <c r="C1053" s="1" t="n">
        <v>45924</v>
      </c>
      <c r="D1053" t="inlineStr">
        <is>
          <t>VÄRMLANDS LÄN</t>
        </is>
      </c>
      <c r="E1053" t="inlineStr">
        <is>
          <t>ÅRJÄNG</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6405-2024</t>
        </is>
      </c>
      <c r="B1054" s="1" t="n">
        <v>45338</v>
      </c>
      <c r="C1054" s="1" t="n">
        <v>45924</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21996-2021</t>
        </is>
      </c>
      <c r="B1055" s="1" t="n">
        <v>44323</v>
      </c>
      <c r="C1055" s="1" t="n">
        <v>45924</v>
      </c>
      <c r="D1055" t="inlineStr">
        <is>
          <t>VÄRMLANDS LÄN</t>
        </is>
      </c>
      <c r="E1055" t="inlineStr">
        <is>
          <t>ÅRJÄNG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6107-2024</t>
        </is>
      </c>
      <c r="B1056" s="1" t="n">
        <v>45337</v>
      </c>
      <c r="C1056" s="1" t="n">
        <v>45924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52278-2023</t>
        </is>
      </c>
      <c r="B1057" s="1" t="n">
        <v>45224.57358796296</v>
      </c>
      <c r="C1057" s="1" t="n">
        <v>45924</v>
      </c>
      <c r="D1057" t="inlineStr">
        <is>
          <t>VÄRMLANDS LÄN</t>
        </is>
      </c>
      <c r="E1057" t="inlineStr">
        <is>
          <t>ÅRJÄNG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16010-2024</t>
        </is>
      </c>
      <c r="B1058" s="1" t="n">
        <v>45405</v>
      </c>
      <c r="C1058" s="1" t="n">
        <v>45924</v>
      </c>
      <c r="D1058" t="inlineStr">
        <is>
          <t>VÄRMLANDS LÄN</t>
        </is>
      </c>
      <c r="E1058" t="inlineStr">
        <is>
          <t>ÅRJÄNG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52773-2022</t>
        </is>
      </c>
      <c r="B1059" s="1" t="n">
        <v>44875.35628472222</v>
      </c>
      <c r="C1059" s="1" t="n">
        <v>45924</v>
      </c>
      <c r="D1059" t="inlineStr">
        <is>
          <t>VÄRMLANDS LÄN</t>
        </is>
      </c>
      <c r="E1059" t="inlineStr">
        <is>
          <t>ÅRJÄNG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58152-2024</t>
        </is>
      </c>
      <c r="B1060" s="1" t="n">
        <v>45632.43947916666</v>
      </c>
      <c r="C1060" s="1" t="n">
        <v>45924</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43244-2023</t>
        </is>
      </c>
      <c r="B1061" s="1" t="n">
        <v>45183.48121527778</v>
      </c>
      <c r="C1061" s="1" t="n">
        <v>45924</v>
      </c>
      <c r="D1061" t="inlineStr">
        <is>
          <t>VÄRMLANDS LÄN</t>
        </is>
      </c>
      <c r="E1061" t="inlineStr">
        <is>
          <t>ÅRJÄNG</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23971-2023</t>
        </is>
      </c>
      <c r="B1062" s="1" t="n">
        <v>45078.63996527778</v>
      </c>
      <c r="C1062" s="1" t="n">
        <v>45924</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15230-2025</t>
        </is>
      </c>
      <c r="B1063" s="1" t="n">
        <v>45744</v>
      </c>
      <c r="C1063" s="1" t="n">
        <v>45924</v>
      </c>
      <c r="D1063" t="inlineStr">
        <is>
          <t>VÄRMLANDS LÄN</t>
        </is>
      </c>
      <c r="E1063" t="inlineStr">
        <is>
          <t>ÅRJÄNG</t>
        </is>
      </c>
      <c r="G1063" t="n">
        <v>17.1</v>
      </c>
      <c r="H1063" t="n">
        <v>0</v>
      </c>
      <c r="I1063" t="n">
        <v>0</v>
      </c>
      <c r="J1063" t="n">
        <v>0</v>
      </c>
      <c r="K1063" t="n">
        <v>0</v>
      </c>
      <c r="L1063" t="n">
        <v>0</v>
      </c>
      <c r="M1063" t="n">
        <v>0</v>
      </c>
      <c r="N1063" t="n">
        <v>0</v>
      </c>
      <c r="O1063" t="n">
        <v>0</v>
      </c>
      <c r="P1063" t="n">
        <v>0</v>
      </c>
      <c r="Q1063" t="n">
        <v>0</v>
      </c>
      <c r="R1063" s="2" t="inlineStr"/>
    </row>
    <row r="1064" ht="15" customHeight="1">
      <c r="A1064" t="inlineStr">
        <is>
          <t>A 49785-2024</t>
        </is>
      </c>
      <c r="B1064" s="1" t="n">
        <v>45597.35758101852</v>
      </c>
      <c r="C1064" s="1" t="n">
        <v>45924</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11718-2024</t>
        </is>
      </c>
      <c r="B1065" s="1" t="n">
        <v>45373.63803240741</v>
      </c>
      <c r="C1065" s="1" t="n">
        <v>45924</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56566-2022</t>
        </is>
      </c>
      <c r="B1066" s="1" t="n">
        <v>44893.50795138889</v>
      </c>
      <c r="C1066" s="1" t="n">
        <v>45924</v>
      </c>
      <c r="D1066" t="inlineStr">
        <is>
          <t>VÄRMLANDS LÄN</t>
        </is>
      </c>
      <c r="E1066" t="inlineStr">
        <is>
          <t>ÅRJÄNG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7537-2021</t>
        </is>
      </c>
      <c r="B1067" s="1" t="n">
        <v>44239</v>
      </c>
      <c r="C1067" s="1" t="n">
        <v>45924</v>
      </c>
      <c r="D1067" t="inlineStr">
        <is>
          <t>VÄRMLANDS LÄN</t>
        </is>
      </c>
      <c r="E1067" t="inlineStr">
        <is>
          <t>ÅRJÄNG</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55517-2023</t>
        </is>
      </c>
      <c r="B1068" s="1" t="n">
        <v>45232</v>
      </c>
      <c r="C1068" s="1" t="n">
        <v>45924</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17878-2024</t>
        </is>
      </c>
      <c r="B1069" s="1" t="n">
        <v>45419</v>
      </c>
      <c r="C1069" s="1" t="n">
        <v>45924</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69417-2021</t>
        </is>
      </c>
      <c r="B1070" s="1" t="n">
        <v>44531</v>
      </c>
      <c r="C1070" s="1" t="n">
        <v>45924</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8356-2025</t>
        </is>
      </c>
      <c r="B1071" s="1" t="n">
        <v>45708.79752314815</v>
      </c>
      <c r="C1071" s="1" t="n">
        <v>45924</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3471-2023</t>
        </is>
      </c>
      <c r="B1072" s="1" t="n">
        <v>44949</v>
      </c>
      <c r="C1072" s="1" t="n">
        <v>45924</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50918-2023</t>
        </is>
      </c>
      <c r="B1073" s="1" t="n">
        <v>45218.4339699074</v>
      </c>
      <c r="C1073" s="1" t="n">
        <v>45924</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58767-2024</t>
        </is>
      </c>
      <c r="B1074" s="1" t="n">
        <v>45635.75033564815</v>
      </c>
      <c r="C1074" s="1" t="n">
        <v>45924</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21362-2022</t>
        </is>
      </c>
      <c r="B1075" s="1" t="n">
        <v>44705</v>
      </c>
      <c r="C1075" s="1" t="n">
        <v>45924</v>
      </c>
      <c r="D1075" t="inlineStr">
        <is>
          <t>VÄRMLANDS LÄN</t>
        </is>
      </c>
      <c r="E1075" t="inlineStr">
        <is>
          <t>ÅRJÄNG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27138-2024</t>
        </is>
      </c>
      <c r="B1076" s="1" t="n">
        <v>45471</v>
      </c>
      <c r="C1076" s="1" t="n">
        <v>45924</v>
      </c>
      <c r="D1076" t="inlineStr">
        <is>
          <t>VÄRMLANDS LÄN</t>
        </is>
      </c>
      <c r="E1076" t="inlineStr">
        <is>
          <t>ÅRJÄNG</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45635-2024</t>
        </is>
      </c>
      <c r="B1077" s="1" t="n">
        <v>45579</v>
      </c>
      <c r="C1077" s="1" t="n">
        <v>45924</v>
      </c>
      <c r="D1077" t="inlineStr">
        <is>
          <t>VÄRMLANDS LÄN</t>
        </is>
      </c>
      <c r="E1077" t="inlineStr">
        <is>
          <t>ÅRJÄNG</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13620-2023</t>
        </is>
      </c>
      <c r="B1078" s="1" t="n">
        <v>45006</v>
      </c>
      <c r="C1078" s="1" t="n">
        <v>45924</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47647-2021</t>
        </is>
      </c>
      <c r="B1079" s="1" t="n">
        <v>44448.40790509259</v>
      </c>
      <c r="C1079" s="1" t="n">
        <v>45924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18796-2023</t>
        </is>
      </c>
      <c r="B1080" s="1" t="n">
        <v>45044.31065972222</v>
      </c>
      <c r="C1080" s="1" t="n">
        <v>45924</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3656-2022</t>
        </is>
      </c>
      <c r="B1081" s="1" t="n">
        <v>44586</v>
      </c>
      <c r="C1081" s="1" t="n">
        <v>45924</v>
      </c>
      <c r="D1081" t="inlineStr">
        <is>
          <t>VÄRMLANDS LÄN</t>
        </is>
      </c>
      <c r="E1081" t="inlineStr">
        <is>
          <t>ÅRJÄNG</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5106-2023</t>
        </is>
      </c>
      <c r="B1082" s="1" t="n">
        <v>44953</v>
      </c>
      <c r="C1082" s="1" t="n">
        <v>45924</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39156-2024</t>
        </is>
      </c>
      <c r="B1083" s="1" t="n">
        <v>45548.62956018518</v>
      </c>
      <c r="C1083" s="1" t="n">
        <v>45924</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3463-2025</t>
        </is>
      </c>
      <c r="B1084" s="1" t="n">
        <v>45680.49807870371</v>
      </c>
      <c r="C1084" s="1" t="n">
        <v>45924</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3479-2025</t>
        </is>
      </c>
      <c r="B1085" s="1" t="n">
        <v>45680.53805555555</v>
      </c>
      <c r="C1085" s="1" t="n">
        <v>45924</v>
      </c>
      <c r="D1085" t="inlineStr">
        <is>
          <t>VÄRMLANDS LÄN</t>
        </is>
      </c>
      <c r="E1085" t="inlineStr">
        <is>
          <t>ÅRJÄNG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16666-2025</t>
        </is>
      </c>
      <c r="B1086" s="1" t="n">
        <v>45754</v>
      </c>
      <c r="C1086" s="1" t="n">
        <v>45924</v>
      </c>
      <c r="D1086" t="inlineStr">
        <is>
          <t>VÄRMLANDS LÄN</t>
        </is>
      </c>
      <c r="E1086" t="inlineStr">
        <is>
          <t>ÅRJÄNG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41283-2023</t>
        </is>
      </c>
      <c r="B1087" s="1" t="n">
        <v>45174.57032407408</v>
      </c>
      <c r="C1087" s="1" t="n">
        <v>45924</v>
      </c>
      <c r="D1087" t="inlineStr">
        <is>
          <t>VÄRMLANDS LÄN</t>
        </is>
      </c>
      <c r="E1087" t="inlineStr">
        <is>
          <t>ÅRJÄNG</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21513-2024</t>
        </is>
      </c>
      <c r="B1088" s="1" t="n">
        <v>45441</v>
      </c>
      <c r="C1088" s="1" t="n">
        <v>45924</v>
      </c>
      <c r="D1088" t="inlineStr">
        <is>
          <t>VÄRMLANDS LÄN</t>
        </is>
      </c>
      <c r="E1088" t="inlineStr">
        <is>
          <t>ÅRJÄNG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49405-2022</t>
        </is>
      </c>
      <c r="B1089" s="1" t="n">
        <v>44861.63182870371</v>
      </c>
      <c r="C1089" s="1" t="n">
        <v>45924</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60377-2023</t>
        </is>
      </c>
      <c r="B1090" s="1" t="n">
        <v>45259.40993055556</v>
      </c>
      <c r="C1090" s="1" t="n">
        <v>45924</v>
      </c>
      <c r="D1090" t="inlineStr">
        <is>
          <t>VÄRMLANDS LÄN</t>
        </is>
      </c>
      <c r="E1090" t="inlineStr">
        <is>
          <t>ÅRJÄNG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6522-2021</t>
        </is>
      </c>
      <c r="B1091" s="1" t="n">
        <v>44236</v>
      </c>
      <c r="C1091" s="1" t="n">
        <v>45924</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9630-2025</t>
        </is>
      </c>
      <c r="B1092" s="1" t="n">
        <v>45715.71145833333</v>
      </c>
      <c r="C1092" s="1" t="n">
        <v>45924</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8246-2025</t>
        </is>
      </c>
      <c r="B1093" s="1" t="n">
        <v>45708.48710648148</v>
      </c>
      <c r="C1093" s="1" t="n">
        <v>45924</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62609-2023</t>
        </is>
      </c>
      <c r="B1094" s="1" t="n">
        <v>45267</v>
      </c>
      <c r="C1094" s="1" t="n">
        <v>45924</v>
      </c>
      <c r="D1094" t="inlineStr">
        <is>
          <t>VÄRMLANDS LÄN</t>
        </is>
      </c>
      <c r="E1094" t="inlineStr">
        <is>
          <t>ÅRJÄNG</t>
        </is>
      </c>
      <c r="G1094" t="n">
        <v>14.4</v>
      </c>
      <c r="H1094" t="n">
        <v>0</v>
      </c>
      <c r="I1094" t="n">
        <v>0</v>
      </c>
      <c r="J1094" t="n">
        <v>0</v>
      </c>
      <c r="K1094" t="n">
        <v>0</v>
      </c>
      <c r="L1094" t="n">
        <v>0</v>
      </c>
      <c r="M1094" t="n">
        <v>0</v>
      </c>
      <c r="N1094" t="n">
        <v>0</v>
      </c>
      <c r="O1094" t="n">
        <v>0</v>
      </c>
      <c r="P1094" t="n">
        <v>0</v>
      </c>
      <c r="Q1094" t="n">
        <v>0</v>
      </c>
      <c r="R1094" s="2" t="inlineStr"/>
    </row>
    <row r="1095" ht="15" customHeight="1">
      <c r="A1095" t="inlineStr">
        <is>
          <t>A 44140-2024</t>
        </is>
      </c>
      <c r="B1095" s="1" t="n">
        <v>45572</v>
      </c>
      <c r="C1095" s="1" t="n">
        <v>45924</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15308-2022</t>
        </is>
      </c>
      <c r="B1096" s="1" t="n">
        <v>44659.45865740741</v>
      </c>
      <c r="C1096" s="1" t="n">
        <v>45924</v>
      </c>
      <c r="D1096" t="inlineStr">
        <is>
          <t>VÄRMLANDS LÄN</t>
        </is>
      </c>
      <c r="E1096" t="inlineStr">
        <is>
          <t>ÅRJÄNG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7877-2025</t>
        </is>
      </c>
      <c r="B1097" s="1" t="n">
        <v>45706.76609953704</v>
      </c>
      <c r="C1097" s="1" t="n">
        <v>45924</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7998-2025</t>
        </is>
      </c>
      <c r="B1098" s="1" t="n">
        <v>45707.52335648148</v>
      </c>
      <c r="C1098" s="1" t="n">
        <v>45924</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23847-2023</t>
        </is>
      </c>
      <c r="B1099" s="1" t="n">
        <v>45078</v>
      </c>
      <c r="C1099" s="1" t="n">
        <v>45924</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74430-2021</t>
        </is>
      </c>
      <c r="B1100" s="1" t="n">
        <v>44560.43342592593</v>
      </c>
      <c r="C1100" s="1" t="n">
        <v>45924</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34181-2024</t>
        </is>
      </c>
      <c r="B1101" s="1" t="n">
        <v>45524</v>
      </c>
      <c r="C1101" s="1" t="n">
        <v>45924</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34184-2024</t>
        </is>
      </c>
      <c r="B1102" s="1" t="n">
        <v>45524</v>
      </c>
      <c r="C1102" s="1" t="n">
        <v>45924</v>
      </c>
      <c r="D1102" t="inlineStr">
        <is>
          <t>VÄRMLANDS LÄN</t>
        </is>
      </c>
      <c r="E1102" t="inlineStr">
        <is>
          <t>ÅRJÄNG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10681-2024</t>
        </is>
      </c>
      <c r="B1103" s="1" t="n">
        <v>45369.36349537037</v>
      </c>
      <c r="C1103" s="1" t="n">
        <v>45924</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1929-2025</t>
        </is>
      </c>
      <c r="B1104" s="1" t="n">
        <v>45671.73023148148</v>
      </c>
      <c r="C1104" s="1" t="n">
        <v>45924</v>
      </c>
      <c r="D1104" t="inlineStr">
        <is>
          <t>VÄRMLANDS LÄN</t>
        </is>
      </c>
      <c r="E1104" t="inlineStr">
        <is>
          <t>ÅRJÄNG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37382-2024</t>
        </is>
      </c>
      <c r="B1105" s="1" t="n">
        <v>45540</v>
      </c>
      <c r="C1105" s="1" t="n">
        <v>45924</v>
      </c>
      <c r="D1105" t="inlineStr">
        <is>
          <t>VÄRMLANDS LÄN</t>
        </is>
      </c>
      <c r="E1105" t="inlineStr">
        <is>
          <t>ÅRJÄNG</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49057-2024</t>
        </is>
      </c>
      <c r="B1106" s="1" t="n">
        <v>45594</v>
      </c>
      <c r="C1106" s="1" t="n">
        <v>45924</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6034-2021</t>
        </is>
      </c>
      <c r="B1107" s="1" t="n">
        <v>44232.33623842592</v>
      </c>
      <c r="C1107" s="1" t="n">
        <v>45924</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59352-2022</t>
        </is>
      </c>
      <c r="B1108" s="1" t="n">
        <v>44904.7077199074</v>
      </c>
      <c r="C1108" s="1" t="n">
        <v>45924</v>
      </c>
      <c r="D1108" t="inlineStr">
        <is>
          <t>VÄRMLANDS LÄN</t>
        </is>
      </c>
      <c r="E1108" t="inlineStr">
        <is>
          <t>ÅRJÄNG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15164-2023</t>
        </is>
      </c>
      <c r="B1109" s="1" t="n">
        <v>45016.59475694445</v>
      </c>
      <c r="C1109" s="1" t="n">
        <v>45924</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46318-2024</t>
        </is>
      </c>
      <c r="B1110" s="1" t="n">
        <v>45581.75744212963</v>
      </c>
      <c r="C1110" s="1" t="n">
        <v>45924</v>
      </c>
      <c r="D1110" t="inlineStr">
        <is>
          <t>VÄRMLANDS LÄN</t>
        </is>
      </c>
      <c r="E1110" t="inlineStr">
        <is>
          <t>ÅRJÄNG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26265-2024</t>
        </is>
      </c>
      <c r="B1111" s="1" t="n">
        <v>45468</v>
      </c>
      <c r="C1111" s="1" t="n">
        <v>45924</v>
      </c>
      <c r="D1111" t="inlineStr">
        <is>
          <t>VÄRMLANDS LÄN</t>
        </is>
      </c>
      <c r="E1111" t="inlineStr">
        <is>
          <t>ÅRJÄNG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6551-2025</t>
        </is>
      </c>
      <c r="B1112" s="1" t="n">
        <v>45699.71454861111</v>
      </c>
      <c r="C1112" s="1" t="n">
        <v>45924</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46319-2024</t>
        </is>
      </c>
      <c r="B1113" s="1" t="n">
        <v>45581.760625</v>
      </c>
      <c r="C1113" s="1" t="n">
        <v>45924</v>
      </c>
      <c r="D1113" t="inlineStr">
        <is>
          <t>VÄRMLANDS LÄN</t>
        </is>
      </c>
      <c r="E1113" t="inlineStr">
        <is>
          <t>ÅRJÄNG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59617-2022</t>
        </is>
      </c>
      <c r="B1114" s="1" t="n">
        <v>44907</v>
      </c>
      <c r="C1114" s="1" t="n">
        <v>45924</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73363-2021</t>
        </is>
      </c>
      <c r="B1115" s="1" t="n">
        <v>44550</v>
      </c>
      <c r="C1115" s="1" t="n">
        <v>45924</v>
      </c>
      <c r="D1115" t="inlineStr">
        <is>
          <t>VÄRMLANDS LÄN</t>
        </is>
      </c>
      <c r="E1115" t="inlineStr">
        <is>
          <t>ÅRJÄNG</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8831-2025</t>
        </is>
      </c>
      <c r="B1116" s="1" t="n">
        <v>45712.90697916667</v>
      </c>
      <c r="C1116" s="1" t="n">
        <v>45924</v>
      </c>
      <c r="D1116" t="inlineStr">
        <is>
          <t>VÄRMLANDS LÄN</t>
        </is>
      </c>
      <c r="E1116" t="inlineStr">
        <is>
          <t>ÅRJÄNG</t>
        </is>
      </c>
      <c r="G1116" t="n">
        <v>32.9</v>
      </c>
      <c r="H1116" t="n">
        <v>0</v>
      </c>
      <c r="I1116" t="n">
        <v>0</v>
      </c>
      <c r="J1116" t="n">
        <v>0</v>
      </c>
      <c r="K1116" t="n">
        <v>0</v>
      </c>
      <c r="L1116" t="n">
        <v>0</v>
      </c>
      <c r="M1116" t="n">
        <v>0</v>
      </c>
      <c r="N1116" t="n">
        <v>0</v>
      </c>
      <c r="O1116" t="n">
        <v>0</v>
      </c>
      <c r="P1116" t="n">
        <v>0</v>
      </c>
      <c r="Q1116" t="n">
        <v>0</v>
      </c>
      <c r="R1116" s="2" t="inlineStr"/>
    </row>
    <row r="1117" ht="15" customHeight="1">
      <c r="A1117" t="inlineStr">
        <is>
          <t>A 8834-2025</t>
        </is>
      </c>
      <c r="B1117" s="1" t="n">
        <v>45712.921875</v>
      </c>
      <c r="C1117" s="1" t="n">
        <v>45924</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1414-2025</t>
        </is>
      </c>
      <c r="B1118" s="1" t="n">
        <v>45668.32134259259</v>
      </c>
      <c r="C1118" s="1" t="n">
        <v>45924</v>
      </c>
      <c r="D1118" t="inlineStr">
        <is>
          <t>VÄRMLANDS LÄN</t>
        </is>
      </c>
      <c r="E1118" t="inlineStr">
        <is>
          <t>ÅRJÄNG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26833-2024</t>
        </is>
      </c>
      <c r="B1119" s="1" t="n">
        <v>45470</v>
      </c>
      <c r="C1119" s="1" t="n">
        <v>45924</v>
      </c>
      <c r="D1119" t="inlineStr">
        <is>
          <t>VÄRMLANDS LÄN</t>
        </is>
      </c>
      <c r="E1119" t="inlineStr">
        <is>
          <t>ÅRJÄNG</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40349-2024</t>
        </is>
      </c>
      <c r="B1120" s="1" t="n">
        <v>45555.35849537037</v>
      </c>
      <c r="C1120" s="1" t="n">
        <v>45924</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7746-2022</t>
        </is>
      </c>
      <c r="B1121" s="1" t="n">
        <v>44608.39331018519</v>
      </c>
      <c r="C1121" s="1" t="n">
        <v>45924</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8951-2021</t>
        </is>
      </c>
      <c r="B1122" s="1" t="n">
        <v>44246</v>
      </c>
      <c r="C1122" s="1" t="n">
        <v>45924</v>
      </c>
      <c r="D1122" t="inlineStr">
        <is>
          <t>VÄRMLANDS LÄN</t>
        </is>
      </c>
      <c r="E1122" t="inlineStr">
        <is>
          <t>ÅRJÄNG</t>
        </is>
      </c>
      <c r="F1122" t="inlineStr">
        <is>
          <t>Övriga Aktiebolag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45827-2024</t>
        </is>
      </c>
      <c r="B1123" s="1" t="n">
        <v>45579</v>
      </c>
      <c r="C1123" s="1" t="n">
        <v>45924</v>
      </c>
      <c r="D1123" t="inlineStr">
        <is>
          <t>VÄRMLANDS LÄN</t>
        </is>
      </c>
      <c r="E1123" t="inlineStr">
        <is>
          <t>ÅRJÄNG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35133-2024</t>
        </is>
      </c>
      <c r="B1124" s="1" t="n">
        <v>45529</v>
      </c>
      <c r="C1124" s="1" t="n">
        <v>45924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15148-2025</t>
        </is>
      </c>
      <c r="B1125" s="1" t="n">
        <v>45744.45298611111</v>
      </c>
      <c r="C1125" s="1" t="n">
        <v>45924</v>
      </c>
      <c r="D1125" t="inlineStr">
        <is>
          <t>VÄRMLANDS LÄN</t>
        </is>
      </c>
      <c r="E1125" t="inlineStr">
        <is>
          <t>ÅRJÄNG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5122-2025</t>
        </is>
      </c>
      <c r="B1126" s="1" t="n">
        <v>45691.55863425926</v>
      </c>
      <c r="C1126" s="1" t="n">
        <v>45924</v>
      </c>
      <c r="D1126" t="inlineStr">
        <is>
          <t>VÄRMLANDS LÄN</t>
        </is>
      </c>
      <c r="E1126" t="inlineStr">
        <is>
          <t>ÅRJÄNG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60886-2023</t>
        </is>
      </c>
      <c r="B1127" s="1" t="n">
        <v>45261</v>
      </c>
      <c r="C1127" s="1" t="n">
        <v>45924</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21519-2024</t>
        </is>
      </c>
      <c r="B1128" s="1" t="n">
        <v>45441</v>
      </c>
      <c r="C1128" s="1" t="n">
        <v>45924</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33525-2023</t>
        </is>
      </c>
      <c r="B1129" s="1" t="n">
        <v>45131.51326388889</v>
      </c>
      <c r="C1129" s="1" t="n">
        <v>45924</v>
      </c>
      <c r="D1129" t="inlineStr">
        <is>
          <t>VÄRMLANDS LÄN</t>
        </is>
      </c>
      <c r="E1129" t="inlineStr">
        <is>
          <t>ÅRJÄNG</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15303-2025</t>
        </is>
      </c>
      <c r="B1130" s="1" t="n">
        <v>45746</v>
      </c>
      <c r="C1130" s="1" t="n">
        <v>45924</v>
      </c>
      <c r="D1130" t="inlineStr">
        <is>
          <t>VÄRMLANDS LÄN</t>
        </is>
      </c>
      <c r="E1130" t="inlineStr">
        <is>
          <t>ÅRJÄNG</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53742-2024</t>
        </is>
      </c>
      <c r="B1131" s="1" t="n">
        <v>45615.47130787037</v>
      </c>
      <c r="C1131" s="1" t="n">
        <v>45924</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65849-2021</t>
        </is>
      </c>
      <c r="B1132" s="1" t="n">
        <v>44517</v>
      </c>
      <c r="C1132" s="1" t="n">
        <v>45924</v>
      </c>
      <c r="D1132" t="inlineStr">
        <is>
          <t>VÄRMLANDS LÄN</t>
        </is>
      </c>
      <c r="E1132" t="inlineStr">
        <is>
          <t>ÅRJÄNG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20674-2023</t>
        </is>
      </c>
      <c r="B1133" s="1" t="n">
        <v>45058</v>
      </c>
      <c r="C1133" s="1" t="n">
        <v>45924</v>
      </c>
      <c r="D1133" t="inlineStr">
        <is>
          <t>VÄRMLANDS LÄN</t>
        </is>
      </c>
      <c r="E1133" t="inlineStr">
        <is>
          <t>ÅRJÄNG</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2551-2025</t>
        </is>
      </c>
      <c r="B1134" s="1" t="n">
        <v>45674.63969907408</v>
      </c>
      <c r="C1134" s="1" t="n">
        <v>45924</v>
      </c>
      <c r="D1134" t="inlineStr">
        <is>
          <t>VÄRMLANDS LÄN</t>
        </is>
      </c>
      <c r="E1134" t="inlineStr">
        <is>
          <t>ÅRJÄNG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38482-2024</t>
        </is>
      </c>
      <c r="B1135" s="1" t="n">
        <v>45546</v>
      </c>
      <c r="C1135" s="1" t="n">
        <v>45924</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33017-2022</t>
        </is>
      </c>
      <c r="B1136" s="1" t="n">
        <v>44785.32934027778</v>
      </c>
      <c r="C1136" s="1" t="n">
        <v>45924</v>
      </c>
      <c r="D1136" t="inlineStr">
        <is>
          <t>VÄRMLANDS LÄN</t>
        </is>
      </c>
      <c r="E1136" t="inlineStr">
        <is>
          <t>ÅRJÄNG</t>
        </is>
      </c>
      <c r="F1136" t="inlineStr">
        <is>
          <t>Kyrkan</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15949-2025</t>
        </is>
      </c>
      <c r="B1137" s="1" t="n">
        <v>45749</v>
      </c>
      <c r="C1137" s="1" t="n">
        <v>45924</v>
      </c>
      <c r="D1137" t="inlineStr">
        <is>
          <t>VÄRMLANDS LÄN</t>
        </is>
      </c>
      <c r="E1137" t="inlineStr">
        <is>
          <t>ÅRJÄNG</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39187-2024</t>
        </is>
      </c>
      <c r="B1138" s="1" t="n">
        <v>45548.66915509259</v>
      </c>
      <c r="C1138" s="1" t="n">
        <v>45924</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13155-2024</t>
        </is>
      </c>
      <c r="B1139" s="1" t="n">
        <v>45386</v>
      </c>
      <c r="C1139" s="1" t="n">
        <v>45924</v>
      </c>
      <c r="D1139" t="inlineStr">
        <is>
          <t>VÄRMLANDS LÄN</t>
        </is>
      </c>
      <c r="E1139" t="inlineStr">
        <is>
          <t>ÅRJÄNG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24477-2022</t>
        </is>
      </c>
      <c r="B1140" s="1" t="n">
        <v>44726.65575231481</v>
      </c>
      <c r="C1140" s="1" t="n">
        <v>45924</v>
      </c>
      <c r="D1140" t="inlineStr">
        <is>
          <t>VÄRMLANDS LÄN</t>
        </is>
      </c>
      <c r="E1140" t="inlineStr">
        <is>
          <t>ÅRJÄNG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4465-2022</t>
        </is>
      </c>
      <c r="B1141" s="1" t="n">
        <v>44589.60690972222</v>
      </c>
      <c r="C1141" s="1" t="n">
        <v>45924</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15575-2025</t>
        </is>
      </c>
      <c r="B1142" s="1" t="n">
        <v>45747</v>
      </c>
      <c r="C1142" s="1" t="n">
        <v>45924</v>
      </c>
      <c r="D1142" t="inlineStr">
        <is>
          <t>VÄRMLANDS LÄN</t>
        </is>
      </c>
      <c r="E1142" t="inlineStr">
        <is>
          <t>ÅRJÄNG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15577-2025</t>
        </is>
      </c>
      <c r="B1143" s="1" t="n">
        <v>45747</v>
      </c>
      <c r="C1143" s="1" t="n">
        <v>45924</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42230-2024</t>
        </is>
      </c>
      <c r="B1144" s="1" t="n">
        <v>45562</v>
      </c>
      <c r="C1144" s="1" t="n">
        <v>45924</v>
      </c>
      <c r="D1144" t="inlineStr">
        <is>
          <t>VÄRMLANDS LÄN</t>
        </is>
      </c>
      <c r="E1144" t="inlineStr">
        <is>
          <t>ÅRJÄNG</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15327-2022</t>
        </is>
      </c>
      <c r="B1145" s="1" t="n">
        <v>44659</v>
      </c>
      <c r="C1145" s="1" t="n">
        <v>45924</v>
      </c>
      <c r="D1145" t="inlineStr">
        <is>
          <t>VÄRMLANDS LÄN</t>
        </is>
      </c>
      <c r="E1145" t="inlineStr">
        <is>
          <t>ÅRJÄNG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70591-2021</t>
        </is>
      </c>
      <c r="B1146" s="1" t="n">
        <v>44537.41471064815</v>
      </c>
      <c r="C1146" s="1" t="n">
        <v>45924</v>
      </c>
      <c r="D1146" t="inlineStr">
        <is>
          <t>VÄRMLANDS LÄN</t>
        </is>
      </c>
      <c r="E1146" t="inlineStr">
        <is>
          <t>ÅRJÄNG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36563-2024</t>
        </is>
      </c>
      <c r="B1147" s="1" t="n">
        <v>45537</v>
      </c>
      <c r="C1147" s="1" t="n">
        <v>45924</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49673-2022</t>
        </is>
      </c>
      <c r="B1148" s="1" t="n">
        <v>44862.47881944444</v>
      </c>
      <c r="C1148" s="1" t="n">
        <v>45924</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56778-2024</t>
        </is>
      </c>
      <c r="B1149" s="1" t="n">
        <v>45628</v>
      </c>
      <c r="C1149" s="1" t="n">
        <v>45924</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44417-2021</t>
        </is>
      </c>
      <c r="B1150" s="1" t="n">
        <v>44435.50591435185</v>
      </c>
      <c r="C1150" s="1" t="n">
        <v>45924</v>
      </c>
      <c r="D1150" t="inlineStr">
        <is>
          <t>VÄRMLANDS LÄN</t>
        </is>
      </c>
      <c r="E1150" t="inlineStr">
        <is>
          <t>ÅRJÄNG</t>
        </is>
      </c>
      <c r="G1150" t="n">
        <v>32.2</v>
      </c>
      <c r="H1150" t="n">
        <v>0</v>
      </c>
      <c r="I1150" t="n">
        <v>0</v>
      </c>
      <c r="J1150" t="n">
        <v>0</v>
      </c>
      <c r="K1150" t="n">
        <v>0</v>
      </c>
      <c r="L1150" t="n">
        <v>0</v>
      </c>
      <c r="M1150" t="n">
        <v>0</v>
      </c>
      <c r="N1150" t="n">
        <v>0</v>
      </c>
      <c r="O1150" t="n">
        <v>0</v>
      </c>
      <c r="P1150" t="n">
        <v>0</v>
      </c>
      <c r="Q1150" t="n">
        <v>0</v>
      </c>
      <c r="R1150" s="2" t="inlineStr"/>
    </row>
    <row r="1151" ht="15" customHeight="1">
      <c r="A1151" t="inlineStr">
        <is>
          <t>A 59810-2024</t>
        </is>
      </c>
      <c r="B1151" s="1" t="n">
        <v>45639.60642361111</v>
      </c>
      <c r="C1151" s="1" t="n">
        <v>45924</v>
      </c>
      <c r="D1151" t="inlineStr">
        <is>
          <t>VÄRMLANDS LÄN</t>
        </is>
      </c>
      <c r="E1151" t="inlineStr">
        <is>
          <t>ÅRJÄNG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13869-2025</t>
        </is>
      </c>
      <c r="B1152" s="1" t="n">
        <v>45737.58268518518</v>
      </c>
      <c r="C1152" s="1" t="n">
        <v>45924</v>
      </c>
      <c r="D1152" t="inlineStr">
        <is>
          <t>VÄRMLANDS LÄN</t>
        </is>
      </c>
      <c r="E1152" t="inlineStr">
        <is>
          <t>ÅRJÄNG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37122-2022</t>
        </is>
      </c>
      <c r="B1153" s="1" t="n">
        <v>44806</v>
      </c>
      <c r="C1153" s="1" t="n">
        <v>45924</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56329-2024</t>
        </is>
      </c>
      <c r="B1154" s="1" t="n">
        <v>45624.79435185185</v>
      </c>
      <c r="C1154" s="1" t="n">
        <v>45924</v>
      </c>
      <c r="D1154" t="inlineStr">
        <is>
          <t>VÄRMLANDS LÄN</t>
        </is>
      </c>
      <c r="E1154" t="inlineStr">
        <is>
          <t>ÅRJÄNG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37029-2024</t>
        </is>
      </c>
      <c r="B1155" s="1" t="n">
        <v>45539.38806712963</v>
      </c>
      <c r="C1155" s="1" t="n">
        <v>45924</v>
      </c>
      <c r="D1155" t="inlineStr">
        <is>
          <t>VÄRMLANDS LÄN</t>
        </is>
      </c>
      <c r="E1155" t="inlineStr">
        <is>
          <t>ÅRJÄNG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29603-2024</t>
        </is>
      </c>
      <c r="B1156" s="1" t="n">
        <v>45484</v>
      </c>
      <c r="C1156" s="1" t="n">
        <v>45924</v>
      </c>
      <c r="D1156" t="inlineStr">
        <is>
          <t>VÄRMLANDS LÄN</t>
        </is>
      </c>
      <c r="E1156" t="inlineStr">
        <is>
          <t>ÅRJÄNG</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20028-2023</t>
        </is>
      </c>
      <c r="B1157" s="1" t="n">
        <v>45054.64534722222</v>
      </c>
      <c r="C1157" s="1" t="n">
        <v>45924</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52382-2024</t>
        </is>
      </c>
      <c r="B1158" s="1" t="n">
        <v>45608</v>
      </c>
      <c r="C1158" s="1" t="n">
        <v>45924</v>
      </c>
      <c r="D1158" t="inlineStr">
        <is>
          <t>VÄRMLANDS LÄN</t>
        </is>
      </c>
      <c r="E1158" t="inlineStr">
        <is>
          <t>ÅRJÄNG</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29558-2024</t>
        </is>
      </c>
      <c r="B1159" s="1" t="n">
        <v>45484</v>
      </c>
      <c r="C1159" s="1" t="n">
        <v>45924</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39557-2023</t>
        </is>
      </c>
      <c r="B1160" s="1" t="n">
        <v>45167.38633101852</v>
      </c>
      <c r="C1160" s="1" t="n">
        <v>45924</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49701-2022</t>
        </is>
      </c>
      <c r="B1161" s="1" t="n">
        <v>44862.53201388889</v>
      </c>
      <c r="C1161" s="1" t="n">
        <v>45924</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49795-2024</t>
        </is>
      </c>
      <c r="B1162" s="1" t="n">
        <v>45597.3713425926</v>
      </c>
      <c r="C1162" s="1" t="n">
        <v>45924</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36706-2024</t>
        </is>
      </c>
      <c r="B1163" s="1" t="n">
        <v>45537</v>
      </c>
      <c r="C1163" s="1" t="n">
        <v>45924</v>
      </c>
      <c r="D1163" t="inlineStr">
        <is>
          <t>VÄRMLANDS LÄN</t>
        </is>
      </c>
      <c r="E1163" t="inlineStr">
        <is>
          <t>ÅRJÄNG</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32973-2021</t>
        </is>
      </c>
      <c r="B1164" s="1" t="n">
        <v>44376</v>
      </c>
      <c r="C1164" s="1" t="n">
        <v>45924</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17426-2025</t>
        </is>
      </c>
      <c r="B1165" s="1" t="n">
        <v>45757.40153935185</v>
      </c>
      <c r="C1165" s="1" t="n">
        <v>45924</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8625-2022</t>
        </is>
      </c>
      <c r="B1166" s="1" t="n">
        <v>44613.61064814815</v>
      </c>
      <c r="C1166" s="1" t="n">
        <v>45924</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59014-2024</t>
        </is>
      </c>
      <c r="B1167" s="1" t="n">
        <v>45636</v>
      </c>
      <c r="C1167" s="1" t="n">
        <v>45924</v>
      </c>
      <c r="D1167" t="inlineStr">
        <is>
          <t>VÄRMLANDS LÄN</t>
        </is>
      </c>
      <c r="E1167" t="inlineStr">
        <is>
          <t>ÅRJÄNG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65171-2023</t>
        </is>
      </c>
      <c r="B1168" s="1" t="n">
        <v>45288.71099537037</v>
      </c>
      <c r="C1168" s="1" t="n">
        <v>45924</v>
      </c>
      <c r="D1168" t="inlineStr">
        <is>
          <t>VÄRMLANDS LÄN</t>
        </is>
      </c>
      <c r="E1168" t="inlineStr">
        <is>
          <t>ÅRJÄNG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34803-2021</t>
        </is>
      </c>
      <c r="B1169" s="1" t="n">
        <v>44383</v>
      </c>
      <c r="C1169" s="1" t="n">
        <v>45924</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7700-2023</t>
        </is>
      </c>
      <c r="B1170" s="1" t="n">
        <v>44967</v>
      </c>
      <c r="C1170" s="1" t="n">
        <v>45924</v>
      </c>
      <c r="D1170" t="inlineStr">
        <is>
          <t>VÄRMLANDS LÄN</t>
        </is>
      </c>
      <c r="E1170" t="inlineStr">
        <is>
          <t>ÅRJÄNG</t>
        </is>
      </c>
      <c r="F1170" t="inlineStr">
        <is>
          <t>Övriga Aktiebolag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50537-2023</t>
        </is>
      </c>
      <c r="B1171" s="1" t="n">
        <v>45217</v>
      </c>
      <c r="C1171" s="1" t="n">
        <v>45924</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59479-2024</t>
        </is>
      </c>
      <c r="B1172" s="1" t="n">
        <v>45638.52420138889</v>
      </c>
      <c r="C1172" s="1" t="n">
        <v>45924</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46315-2024</t>
        </is>
      </c>
      <c r="B1173" s="1" t="n">
        <v>45581.73703703703</v>
      </c>
      <c r="C1173" s="1" t="n">
        <v>45924</v>
      </c>
      <c r="D1173" t="inlineStr">
        <is>
          <t>VÄRMLANDS LÄN</t>
        </is>
      </c>
      <c r="E1173" t="inlineStr">
        <is>
          <t>ÅRJÄNG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34425-2021</t>
        </is>
      </c>
      <c r="B1174" s="1" t="n">
        <v>44380</v>
      </c>
      <c r="C1174" s="1" t="n">
        <v>45924</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57161-2024</t>
        </is>
      </c>
      <c r="B1175" s="1" t="n">
        <v>45628</v>
      </c>
      <c r="C1175" s="1" t="n">
        <v>45924</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11026-2023</t>
        </is>
      </c>
      <c r="B1176" s="1" t="n">
        <v>44991</v>
      </c>
      <c r="C1176" s="1" t="n">
        <v>45924</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58540-2024</t>
        </is>
      </c>
      <c r="B1177" s="1" t="n">
        <v>45635</v>
      </c>
      <c r="C1177" s="1" t="n">
        <v>45924</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6646-2025</t>
        </is>
      </c>
      <c r="B1178" s="1" t="n">
        <v>45700</v>
      </c>
      <c r="C1178" s="1" t="n">
        <v>45924</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2116-2025</t>
        </is>
      </c>
      <c r="B1179" s="1" t="n">
        <v>45672</v>
      </c>
      <c r="C1179" s="1" t="n">
        <v>45924</v>
      </c>
      <c r="D1179" t="inlineStr">
        <is>
          <t>VÄRMLANDS LÄN</t>
        </is>
      </c>
      <c r="E1179" t="inlineStr">
        <is>
          <t>ÅRJÄNG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52579-2024</t>
        </is>
      </c>
      <c r="B1180" s="1" t="n">
        <v>45609</v>
      </c>
      <c r="C1180" s="1" t="n">
        <v>45924</v>
      </c>
      <c r="D1180" t="inlineStr">
        <is>
          <t>VÄRMLANDS LÄN</t>
        </is>
      </c>
      <c r="E1180" t="inlineStr">
        <is>
          <t>ÅRJÄNG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47223-2021</t>
        </is>
      </c>
      <c r="B1181" s="1" t="n">
        <v>44446</v>
      </c>
      <c r="C1181" s="1" t="n">
        <v>45924</v>
      </c>
      <c r="D1181" t="inlineStr">
        <is>
          <t>VÄRMLANDS LÄN</t>
        </is>
      </c>
      <c r="E1181" t="inlineStr">
        <is>
          <t>ÅRJÄNG</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45962-2021</t>
        </is>
      </c>
      <c r="B1182" s="1" t="n">
        <v>44441</v>
      </c>
      <c r="C1182" s="1" t="n">
        <v>45924</v>
      </c>
      <c r="D1182" t="inlineStr">
        <is>
          <t>VÄRMLANDS LÄN</t>
        </is>
      </c>
      <c r="E1182" t="inlineStr">
        <is>
          <t>ÅRJÄNG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12137-2025</t>
        </is>
      </c>
      <c r="B1183" s="1" t="n">
        <v>45729.39879629629</v>
      </c>
      <c r="C1183" s="1" t="n">
        <v>45924</v>
      </c>
      <c r="D1183" t="inlineStr">
        <is>
          <t>VÄRMLANDS LÄN</t>
        </is>
      </c>
      <c r="E1183" t="inlineStr">
        <is>
          <t>ÅRJÄNG</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42233-2024</t>
        </is>
      </c>
      <c r="B1184" s="1" t="n">
        <v>45562</v>
      </c>
      <c r="C1184" s="1" t="n">
        <v>45924</v>
      </c>
      <c r="D1184" t="inlineStr">
        <is>
          <t>VÄRMLANDS LÄN</t>
        </is>
      </c>
      <c r="E1184" t="inlineStr">
        <is>
          <t>ÅRJÄNG</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14910-2025</t>
        </is>
      </c>
      <c r="B1185" s="1" t="n">
        <v>45743.52327546296</v>
      </c>
      <c r="C1185" s="1" t="n">
        <v>45924</v>
      </c>
      <c r="D1185" t="inlineStr">
        <is>
          <t>VÄRMLANDS LÄN</t>
        </is>
      </c>
      <c r="E1185" t="inlineStr">
        <is>
          <t>ÅRJÄNG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17178-2021</t>
        </is>
      </c>
      <c r="B1186" s="1" t="n">
        <v>44298.46592592593</v>
      </c>
      <c r="C1186" s="1" t="n">
        <v>45924</v>
      </c>
      <c r="D1186" t="inlineStr">
        <is>
          <t>VÄRMLANDS LÄN</t>
        </is>
      </c>
      <c r="E1186" t="inlineStr">
        <is>
          <t>ÅRJÄNG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44647-2021</t>
        </is>
      </c>
      <c r="B1187" s="1" t="n">
        <v>44437.83967592593</v>
      </c>
      <c r="C1187" s="1" t="n">
        <v>45924</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92-2022</t>
        </is>
      </c>
      <c r="B1188" s="1" t="n">
        <v>44564</v>
      </c>
      <c r="C1188" s="1" t="n">
        <v>45924</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30710-2023</t>
        </is>
      </c>
      <c r="B1189" s="1" t="n">
        <v>45112.59900462963</v>
      </c>
      <c r="C1189" s="1" t="n">
        <v>45924</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5095-2022</t>
        </is>
      </c>
      <c r="B1190" s="1" t="n">
        <v>44593.86192129629</v>
      </c>
      <c r="C1190" s="1" t="n">
        <v>45924</v>
      </c>
      <c r="D1190" t="inlineStr">
        <is>
          <t>VÄRMLANDS LÄN</t>
        </is>
      </c>
      <c r="E1190" t="inlineStr">
        <is>
          <t>ÅRJÄNG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387-2021</t>
        </is>
      </c>
      <c r="B1191" s="1" t="n">
        <v>44201</v>
      </c>
      <c r="C1191" s="1" t="n">
        <v>45924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4582-2025</t>
        </is>
      </c>
      <c r="B1192" s="1" t="n">
        <v>45687</v>
      </c>
      <c r="C1192" s="1" t="n">
        <v>45924</v>
      </c>
      <c r="D1192" t="inlineStr">
        <is>
          <t>VÄRMLANDS LÄN</t>
        </is>
      </c>
      <c r="E1192" t="inlineStr">
        <is>
          <t>ÅRJÄNG</t>
        </is>
      </c>
      <c r="F1192" t="inlineStr">
        <is>
          <t>Övriga Aktiebolag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14434-2025</t>
        </is>
      </c>
      <c r="B1193" s="1" t="n">
        <v>45741</v>
      </c>
      <c r="C1193" s="1" t="n">
        <v>45924</v>
      </c>
      <c r="D1193" t="inlineStr">
        <is>
          <t>VÄRMLANDS LÄN</t>
        </is>
      </c>
      <c r="E1193" t="inlineStr">
        <is>
          <t>ÅRJÄNG</t>
        </is>
      </c>
      <c r="F1193" t="inlineStr">
        <is>
          <t>Övriga Aktiebolag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14466-2025</t>
        </is>
      </c>
      <c r="B1194" s="1" t="n">
        <v>45741.57255787037</v>
      </c>
      <c r="C1194" s="1" t="n">
        <v>45924</v>
      </c>
      <c r="D1194" t="inlineStr">
        <is>
          <t>VÄRMLANDS LÄN</t>
        </is>
      </c>
      <c r="E1194" t="inlineStr">
        <is>
          <t>ÅRJÄNG</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21145-2022</t>
        </is>
      </c>
      <c r="B1195" s="1" t="n">
        <v>44704</v>
      </c>
      <c r="C1195" s="1" t="n">
        <v>45924</v>
      </c>
      <c r="D1195" t="inlineStr">
        <is>
          <t>VÄRMLANDS LÄN</t>
        </is>
      </c>
      <c r="E1195" t="inlineStr">
        <is>
          <t>ÅRJÄNG</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5127-2025</t>
        </is>
      </c>
      <c r="B1196" s="1" t="n">
        <v>45691.56623842593</v>
      </c>
      <c r="C1196" s="1" t="n">
        <v>45924</v>
      </c>
      <c r="D1196" t="inlineStr">
        <is>
          <t>VÄRMLANDS LÄN</t>
        </is>
      </c>
      <c r="E1196" t="inlineStr">
        <is>
          <t>ÅRJÄNG</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13001-2025</t>
        </is>
      </c>
      <c r="B1197" s="1" t="n">
        <v>45734.49777777777</v>
      </c>
      <c r="C1197" s="1" t="n">
        <v>45924</v>
      </c>
      <c r="D1197" t="inlineStr">
        <is>
          <t>VÄRMLANDS LÄN</t>
        </is>
      </c>
      <c r="E1197" t="inlineStr">
        <is>
          <t>ÅRJÄNG</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13002-2025</t>
        </is>
      </c>
      <c r="B1198" s="1" t="n">
        <v>45734.50288194444</v>
      </c>
      <c r="C1198" s="1" t="n">
        <v>45924</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15574-2025</t>
        </is>
      </c>
      <c r="B1199" s="1" t="n">
        <v>45747</v>
      </c>
      <c r="C1199" s="1" t="n">
        <v>45924</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19850-2025</t>
        </is>
      </c>
      <c r="B1200" s="1" t="n">
        <v>45771</v>
      </c>
      <c r="C1200" s="1" t="n">
        <v>45924</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4763-2023</t>
        </is>
      </c>
      <c r="B1201" s="1" t="n">
        <v>44957.57651620371</v>
      </c>
      <c r="C1201" s="1" t="n">
        <v>45924</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56769-2024</t>
        </is>
      </c>
      <c r="B1202" s="1" t="n">
        <v>45628.41550925926</v>
      </c>
      <c r="C1202" s="1" t="n">
        <v>45924</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39027-2024</t>
        </is>
      </c>
      <c r="B1203" s="1" t="n">
        <v>45548</v>
      </c>
      <c r="C1203" s="1" t="n">
        <v>45924</v>
      </c>
      <c r="D1203" t="inlineStr">
        <is>
          <t>VÄRMLANDS LÄN</t>
        </is>
      </c>
      <c r="E1203" t="inlineStr">
        <is>
          <t>ÅRJÄNG</t>
        </is>
      </c>
      <c r="F1203" t="inlineStr">
        <is>
          <t>Kyrkan</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36018-2024</t>
        </is>
      </c>
      <c r="B1204" s="1" t="n">
        <v>45533</v>
      </c>
      <c r="C1204" s="1" t="n">
        <v>45924</v>
      </c>
      <c r="D1204" t="inlineStr">
        <is>
          <t>VÄRMLANDS LÄN</t>
        </is>
      </c>
      <c r="E1204" t="inlineStr">
        <is>
          <t>ÅRJÄNG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36035-2024</t>
        </is>
      </c>
      <c r="B1205" s="1" t="n">
        <v>45533.59534722222</v>
      </c>
      <c r="C1205" s="1" t="n">
        <v>45924</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33525-2022</t>
        </is>
      </c>
      <c r="B1206" s="1" t="n">
        <v>44789.31077546296</v>
      </c>
      <c r="C1206" s="1" t="n">
        <v>45924</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8918-2025</t>
        </is>
      </c>
      <c r="B1207" s="1" t="n">
        <v>45713.43067129629</v>
      </c>
      <c r="C1207" s="1" t="n">
        <v>45924</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59068-2024</t>
        </is>
      </c>
      <c r="B1208" s="1" t="n">
        <v>45636.95376157408</v>
      </c>
      <c r="C1208" s="1" t="n">
        <v>45924</v>
      </c>
      <c r="D1208" t="inlineStr">
        <is>
          <t>VÄRMLANDS LÄN</t>
        </is>
      </c>
      <c r="E1208" t="inlineStr">
        <is>
          <t>ÅRJÄNG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20337-2023</t>
        </is>
      </c>
      <c r="B1209" s="1" t="n">
        <v>45056.48157407407</v>
      </c>
      <c r="C1209" s="1" t="n">
        <v>45924</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46473-2024</t>
        </is>
      </c>
      <c r="B1210" s="1" t="n">
        <v>45582</v>
      </c>
      <c r="C1210" s="1" t="n">
        <v>45924</v>
      </c>
      <c r="D1210" t="inlineStr">
        <is>
          <t>VÄRMLANDS LÄN</t>
        </is>
      </c>
      <c r="E1210" t="inlineStr">
        <is>
          <t>ÅRJÄNG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7574-2024</t>
        </is>
      </c>
      <c r="B1211" s="1" t="n">
        <v>45348</v>
      </c>
      <c r="C1211" s="1" t="n">
        <v>45924</v>
      </c>
      <c r="D1211" t="inlineStr">
        <is>
          <t>VÄRMLANDS LÄN</t>
        </is>
      </c>
      <c r="E1211" t="inlineStr">
        <is>
          <t>ÅRJÄNG</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12209-2023</t>
        </is>
      </c>
      <c r="B1212" s="1" t="n">
        <v>44998</v>
      </c>
      <c r="C1212" s="1" t="n">
        <v>45924</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16562-2024</t>
        </is>
      </c>
      <c r="B1213" s="1" t="n">
        <v>45408.45829861111</v>
      </c>
      <c r="C1213" s="1" t="n">
        <v>45924</v>
      </c>
      <c r="D1213" t="inlineStr">
        <is>
          <t>VÄRMLANDS LÄN</t>
        </is>
      </c>
      <c r="E1213" t="inlineStr">
        <is>
          <t>ÅRJÄNG</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20975-2025</t>
        </is>
      </c>
      <c r="B1214" s="1" t="n">
        <v>45777.45922453704</v>
      </c>
      <c r="C1214" s="1" t="n">
        <v>45924</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20957-2025</t>
        </is>
      </c>
      <c r="B1215" s="1" t="n">
        <v>45777.44613425926</v>
      </c>
      <c r="C1215" s="1" t="n">
        <v>45924</v>
      </c>
      <c r="D1215" t="inlineStr">
        <is>
          <t>VÄRMLANDS LÄN</t>
        </is>
      </c>
      <c r="E1215" t="inlineStr">
        <is>
          <t>ÅRJÄNG</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20747-2025</t>
        </is>
      </c>
      <c r="B1216" s="1" t="n">
        <v>45776.56221064815</v>
      </c>
      <c r="C1216" s="1" t="n">
        <v>45924</v>
      </c>
      <c r="D1216" t="inlineStr">
        <is>
          <t>VÄRMLANDS LÄN</t>
        </is>
      </c>
      <c r="E1216" t="inlineStr">
        <is>
          <t>ÅRJÄNG</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21258-2025</t>
        </is>
      </c>
      <c r="B1217" s="1" t="n">
        <v>45779.59001157407</v>
      </c>
      <c r="C1217" s="1" t="n">
        <v>45924</v>
      </c>
      <c r="D1217" t="inlineStr">
        <is>
          <t>VÄRMLANDS LÄN</t>
        </is>
      </c>
      <c r="E1217" t="inlineStr">
        <is>
          <t>ÅRJÄNG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1467-2025</t>
        </is>
      </c>
      <c r="B1218" s="1" t="n">
        <v>45667</v>
      </c>
      <c r="C1218" s="1" t="n">
        <v>45924</v>
      </c>
      <c r="D1218" t="inlineStr">
        <is>
          <t>VÄRMLANDS LÄN</t>
        </is>
      </c>
      <c r="E1218" t="inlineStr">
        <is>
          <t>ÅRJÄNG</t>
        </is>
      </c>
      <c r="F1218" t="inlineStr">
        <is>
          <t>Övriga Aktiebolag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7193-2024</t>
        </is>
      </c>
      <c r="B1219" s="1" t="n">
        <v>45344</v>
      </c>
      <c r="C1219" s="1" t="n">
        <v>45924</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50347-2024</t>
        </is>
      </c>
      <c r="B1220" s="1" t="n">
        <v>45600</v>
      </c>
      <c r="C1220" s="1" t="n">
        <v>45924</v>
      </c>
      <c r="D1220" t="inlineStr">
        <is>
          <t>VÄRMLANDS LÄN</t>
        </is>
      </c>
      <c r="E1220" t="inlineStr">
        <is>
          <t>ÅRJÄNG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31793-2023</t>
        </is>
      </c>
      <c r="B1221" s="1" t="n">
        <v>45118.43685185185</v>
      </c>
      <c r="C1221" s="1" t="n">
        <v>45924</v>
      </c>
      <c r="D1221" t="inlineStr">
        <is>
          <t>VÄRMLANDS LÄN</t>
        </is>
      </c>
      <c r="E1221" t="inlineStr">
        <is>
          <t>ÅRJÄNG</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11198-2025</t>
        </is>
      </c>
      <c r="B1222" s="1" t="n">
        <v>45725</v>
      </c>
      <c r="C1222" s="1" t="n">
        <v>45924</v>
      </c>
      <c r="D1222" t="inlineStr">
        <is>
          <t>VÄRMLANDS LÄN</t>
        </is>
      </c>
      <c r="E1222" t="inlineStr">
        <is>
          <t>ÅRJÄNG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8094-2025</t>
        </is>
      </c>
      <c r="B1223" s="1" t="n">
        <v>45707.68126157407</v>
      </c>
      <c r="C1223" s="1" t="n">
        <v>45924</v>
      </c>
      <c r="D1223" t="inlineStr">
        <is>
          <t>VÄRMLANDS LÄN</t>
        </is>
      </c>
      <c r="E1223" t="inlineStr">
        <is>
          <t>ÅRJÄNG</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63203-2021</t>
        </is>
      </c>
      <c r="B1224" s="1" t="n">
        <v>44507.78568287037</v>
      </c>
      <c r="C1224" s="1" t="n">
        <v>45924</v>
      </c>
      <c r="D1224" t="inlineStr">
        <is>
          <t>VÄRMLANDS LÄN</t>
        </is>
      </c>
      <c r="E1224" t="inlineStr">
        <is>
          <t>ÅRJÄNG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22556-2025</t>
        </is>
      </c>
      <c r="B1225" s="1" t="n">
        <v>45788.93663194445</v>
      </c>
      <c r="C1225" s="1" t="n">
        <v>45924</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37026-2024</t>
        </is>
      </c>
      <c r="B1226" s="1" t="n">
        <v>45539</v>
      </c>
      <c r="C1226" s="1" t="n">
        <v>45924</v>
      </c>
      <c r="D1226" t="inlineStr">
        <is>
          <t>VÄRMLANDS LÄN</t>
        </is>
      </c>
      <c r="E1226" t="inlineStr">
        <is>
          <t>ÅRJÄNG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22352-2025</t>
        </is>
      </c>
      <c r="B1227" s="1" t="n">
        <v>45786.45491898148</v>
      </c>
      <c r="C1227" s="1" t="n">
        <v>45924</v>
      </c>
      <c r="D1227" t="inlineStr">
        <is>
          <t>VÄRMLANDS LÄN</t>
        </is>
      </c>
      <c r="E1227" t="inlineStr">
        <is>
          <t>ÅRJÄNG</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22635-2025</t>
        </is>
      </c>
      <c r="B1228" s="1" t="n">
        <v>45789</v>
      </c>
      <c r="C1228" s="1" t="n">
        <v>45924</v>
      </c>
      <c r="D1228" t="inlineStr">
        <is>
          <t>VÄRMLANDS LÄN</t>
        </is>
      </c>
      <c r="E1228" t="inlineStr">
        <is>
          <t>ÅRJÄNG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22276-2025</t>
        </is>
      </c>
      <c r="B1229" s="1" t="n">
        <v>45786.32737268518</v>
      </c>
      <c r="C1229" s="1" t="n">
        <v>45924</v>
      </c>
      <c r="D1229" t="inlineStr">
        <is>
          <t>VÄRMLANDS LÄN</t>
        </is>
      </c>
      <c r="E1229" t="inlineStr">
        <is>
          <t>ÅRJÄNG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22281-2025</t>
        </is>
      </c>
      <c r="B1230" s="1" t="n">
        <v>45786.33900462963</v>
      </c>
      <c r="C1230" s="1" t="n">
        <v>45924</v>
      </c>
      <c r="D1230" t="inlineStr">
        <is>
          <t>VÄRMLANDS LÄN</t>
        </is>
      </c>
      <c r="E1230" t="inlineStr">
        <is>
          <t>ÅRJÄNG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22727-2025</t>
        </is>
      </c>
      <c r="B1231" s="1" t="n">
        <v>45789.5744212963</v>
      </c>
      <c r="C1231" s="1" t="n">
        <v>45924</v>
      </c>
      <c r="D1231" t="inlineStr">
        <is>
          <t>VÄRMLANDS LÄN</t>
        </is>
      </c>
      <c r="E1231" t="inlineStr">
        <is>
          <t>ÅRJÄNG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22667-2025</t>
        </is>
      </c>
      <c r="B1232" s="1" t="n">
        <v>45789</v>
      </c>
      <c r="C1232" s="1" t="n">
        <v>45924</v>
      </c>
      <c r="D1232" t="inlineStr">
        <is>
          <t>VÄRMLANDS LÄN</t>
        </is>
      </c>
      <c r="E1232" t="inlineStr">
        <is>
          <t>ÅRJÄNG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11899-2025</t>
        </is>
      </c>
      <c r="B1233" s="1" t="n">
        <v>45728</v>
      </c>
      <c r="C1233" s="1" t="n">
        <v>45924</v>
      </c>
      <c r="D1233" t="inlineStr">
        <is>
          <t>VÄRMLANDS LÄN</t>
        </is>
      </c>
      <c r="E1233" t="inlineStr">
        <is>
          <t>ÅRJÄNG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23039-2025</t>
        </is>
      </c>
      <c r="B1234" s="1" t="n">
        <v>45790</v>
      </c>
      <c r="C1234" s="1" t="n">
        <v>45924</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43659-2024</t>
        </is>
      </c>
      <c r="B1235" s="1" t="n">
        <v>45569</v>
      </c>
      <c r="C1235" s="1" t="n">
        <v>45924</v>
      </c>
      <c r="D1235" t="inlineStr">
        <is>
          <t>VÄRMLANDS LÄN</t>
        </is>
      </c>
      <c r="E1235" t="inlineStr">
        <is>
          <t>ÅRJÄNG</t>
        </is>
      </c>
      <c r="G1235" t="n">
        <v>6</v>
      </c>
      <c r="H1235" t="n">
        <v>0</v>
      </c>
      <c r="I1235" t="n">
        <v>0</v>
      </c>
      <c r="J1235" t="n">
        <v>0</v>
      </c>
      <c r="K1235" t="n">
        <v>0</v>
      </c>
      <c r="L1235" t="n">
        <v>0</v>
      </c>
      <c r="M1235" t="n">
        <v>0</v>
      </c>
      <c r="N1235" t="n">
        <v>0</v>
      </c>
      <c r="O1235" t="n">
        <v>0</v>
      </c>
      <c r="P1235" t="n">
        <v>0</v>
      </c>
      <c r="Q1235" t="n">
        <v>0</v>
      </c>
      <c r="R1235" s="2" t="inlineStr"/>
    </row>
    <row r="1236">
      <c r="A1236" t="inlineStr">
        <is>
          <t>A 62266-2023</t>
        </is>
      </c>
      <c r="B1236" s="1" t="n">
        <v>45266</v>
      </c>
      <c r="C1236" s="1" t="n">
        <v>45924</v>
      </c>
      <c r="D1236" t="inlineStr">
        <is>
          <t>VÄRMLANDS LÄN</t>
        </is>
      </c>
      <c r="E1236" t="inlineStr">
        <is>
          <t>ÅRJÄNG</t>
        </is>
      </c>
      <c r="G1236" t="n">
        <v>10.5</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2025-09-24T10:16:46Z</dcterms:created>
  <dcterms:modified xmlns:dcterms="http://purl.org/dc/terms/" xmlns:xsi="http://www.w3.org/2001/XMLSchema-instance" xsi:type="dcterms:W3CDTF">2025-09-24T10:16:47Z</dcterms:modified>
</cp:coreProperties>
</file>