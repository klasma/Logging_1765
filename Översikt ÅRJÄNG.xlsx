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45983</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45983</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45983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45983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45983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45983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45983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45983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45983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45983</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45983</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45983</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6134-2023</t>
        </is>
      </c>
      <c r="B29" s="1" t="n">
        <v>44964.62440972222</v>
      </c>
      <c r="C29" s="1" t="n">
        <v>45983</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45983</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45983</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45983</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39251-2023</t>
        </is>
      </c>
      <c r="B33" s="1" t="n">
        <v>45166.47168981482</v>
      </c>
      <c r="C33" s="1" t="n">
        <v>45983</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60741-2023</t>
        </is>
      </c>
      <c r="B34" s="1" t="n">
        <v>45260</v>
      </c>
      <c r="C34" s="1" t="n">
        <v>45983</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45983</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45983</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45983</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45983</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45983</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53611-2023</t>
        </is>
      </c>
      <c r="B40" s="1" t="n">
        <v>45230.570625</v>
      </c>
      <c r="C40" s="1" t="n">
        <v>45983</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7447-2024</t>
        </is>
      </c>
      <c r="B41" s="1" t="n">
        <v>45345</v>
      </c>
      <c r="C41" s="1" t="n">
        <v>45983</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34188-2021</t>
        </is>
      </c>
      <c r="B42" s="1" t="n">
        <v>44379</v>
      </c>
      <c r="C42" s="1" t="n">
        <v>45983</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27001-2025</t>
        </is>
      </c>
      <c r="B43" s="1" t="n">
        <v>45811</v>
      </c>
      <c r="C43" s="1" t="n">
        <v>45983</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14898-2025</t>
        </is>
      </c>
      <c r="B44" s="1" t="n">
        <v>45743.47967592593</v>
      </c>
      <c r="C44" s="1" t="n">
        <v>45983</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45983</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45230-2025</t>
        </is>
      </c>
      <c r="B46" s="1" t="n">
        <v>45919</v>
      </c>
      <c r="C46" s="1" t="n">
        <v>45983</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47476-2025</t>
        </is>
      </c>
      <c r="B47" s="1" t="n">
        <v>45930.67951388889</v>
      </c>
      <c r="C47" s="1" t="n">
        <v>45983</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36385-2025</t>
        </is>
      </c>
      <c r="B48" s="1" t="n">
        <v>45868</v>
      </c>
      <c r="C48" s="1" t="n">
        <v>45983</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47631-2025</t>
        </is>
      </c>
      <c r="B49" s="1" t="n">
        <v>45931</v>
      </c>
      <c r="C49" s="1" t="n">
        <v>45983</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57430-2025</t>
        </is>
      </c>
      <c r="B50" s="1" t="n">
        <v>45980.47327546297</v>
      </c>
      <c r="C50" s="1" t="n">
        <v>45983</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28317-2023</t>
        </is>
      </c>
      <c r="B51" s="1" t="n">
        <v>45099</v>
      </c>
      <c r="C51" s="1" t="n">
        <v>45983</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2212-2025</t>
        </is>
      </c>
      <c r="B52" s="1" t="n">
        <v>45673</v>
      </c>
      <c r="C52" s="1" t="n">
        <v>45983</v>
      </c>
      <c r="D52" t="inlineStr">
        <is>
          <t>VÄRMLANDS LÄN</t>
        </is>
      </c>
      <c r="E52" t="inlineStr">
        <is>
          <t>ÅRJÄNG</t>
        </is>
      </c>
      <c r="G52" t="n">
        <v>10.7</v>
      </c>
      <c r="H52" t="n">
        <v>0</v>
      </c>
      <c r="I52" t="n">
        <v>1</v>
      </c>
      <c r="J52" t="n">
        <v>0</v>
      </c>
      <c r="K52" t="n">
        <v>0</v>
      </c>
      <c r="L52" t="n">
        <v>0</v>
      </c>
      <c r="M52" t="n">
        <v>0</v>
      </c>
      <c r="N52" t="n">
        <v>0</v>
      </c>
      <c r="O52" t="n">
        <v>0</v>
      </c>
      <c r="P52" t="n">
        <v>0</v>
      </c>
      <c r="Q52" t="n">
        <v>1</v>
      </c>
      <c r="R52" s="2" t="inlineStr">
        <is>
          <t>Bårdlav</t>
        </is>
      </c>
      <c r="S52">
        <f>HYPERLINK("https://klasma.github.io/Logging_1765/artfynd/A 2212-2025 artfynd.xlsx", "A 2212-2025")</f>
        <v/>
      </c>
      <c r="T52">
        <f>HYPERLINK("https://klasma.github.io/Logging_1765/kartor/A 2212-2025 karta.png", "A 2212-2025")</f>
        <v/>
      </c>
      <c r="V52">
        <f>HYPERLINK("https://klasma.github.io/Logging_1765/klagomål/A 2212-2025 FSC-klagomål.docx", "A 2212-2025")</f>
        <v/>
      </c>
      <c r="W52">
        <f>HYPERLINK("https://klasma.github.io/Logging_1765/klagomålsmail/A 2212-2025 FSC-klagomål mail.docx", "A 2212-2025")</f>
        <v/>
      </c>
      <c r="X52">
        <f>HYPERLINK("https://klasma.github.io/Logging_1765/tillsyn/A 2212-2025 tillsynsbegäran.docx", "A 2212-2025")</f>
        <v/>
      </c>
      <c r="Y52">
        <f>HYPERLINK("https://klasma.github.io/Logging_1765/tillsynsmail/A 2212-2025 tillsynsbegäran mail.docx", "A 2212-2025")</f>
        <v/>
      </c>
    </row>
    <row r="53" ht="15" customHeight="1">
      <c r="A53" t="inlineStr">
        <is>
          <t>A 11682-2022</t>
        </is>
      </c>
      <c r="B53" s="1" t="n">
        <v>44631</v>
      </c>
      <c r="C53" s="1" t="n">
        <v>45983</v>
      </c>
      <c r="D53" t="inlineStr">
        <is>
          <t>VÄRMLANDS LÄN</t>
        </is>
      </c>
      <c r="E53" t="inlineStr">
        <is>
          <t>ÅRJÄNG</t>
        </is>
      </c>
      <c r="G53" t="n">
        <v>19.9</v>
      </c>
      <c r="H53" t="n">
        <v>0</v>
      </c>
      <c r="I53" t="n">
        <v>0</v>
      </c>
      <c r="J53" t="n">
        <v>1</v>
      </c>
      <c r="K53" t="n">
        <v>0</v>
      </c>
      <c r="L53" t="n">
        <v>0</v>
      </c>
      <c r="M53" t="n">
        <v>0</v>
      </c>
      <c r="N53" t="n">
        <v>0</v>
      </c>
      <c r="O53" t="n">
        <v>1</v>
      </c>
      <c r="P53" t="n">
        <v>0</v>
      </c>
      <c r="Q53" t="n">
        <v>1</v>
      </c>
      <c r="R53" s="2" t="inlineStr">
        <is>
          <t>Skogsklocka</t>
        </is>
      </c>
      <c r="S53">
        <f>HYPERLINK("https://klasma.github.io/Logging_1765/artfynd/A 11682-2022 artfynd.xlsx", "A 11682-2022")</f>
        <v/>
      </c>
      <c r="T53">
        <f>HYPERLINK("https://klasma.github.io/Logging_1765/kartor/A 11682-2022 karta.png", "A 11682-2022")</f>
        <v/>
      </c>
      <c r="V53">
        <f>HYPERLINK("https://klasma.github.io/Logging_1765/klagomål/A 11682-2022 FSC-klagomål.docx", "A 11682-2022")</f>
        <v/>
      </c>
      <c r="W53">
        <f>HYPERLINK("https://klasma.github.io/Logging_1765/klagomålsmail/A 11682-2022 FSC-klagomål mail.docx", "A 11682-2022")</f>
        <v/>
      </c>
      <c r="X53">
        <f>HYPERLINK("https://klasma.github.io/Logging_1765/tillsyn/A 11682-2022 tillsynsbegäran.docx", "A 11682-2022")</f>
        <v/>
      </c>
      <c r="Y53">
        <f>HYPERLINK("https://klasma.github.io/Logging_1765/tillsynsmail/A 11682-2022 tillsynsbegäran mail.docx", "A 11682-2022")</f>
        <v/>
      </c>
    </row>
    <row r="54" ht="15" customHeight="1">
      <c r="A54" t="inlineStr">
        <is>
          <t>A 8630-2025</t>
        </is>
      </c>
      <c r="B54" s="1" t="n">
        <v>45711.70400462963</v>
      </c>
      <c r="C54" s="1" t="n">
        <v>45983</v>
      </c>
      <c r="D54" t="inlineStr">
        <is>
          <t>VÄRMLANDS LÄN</t>
        </is>
      </c>
      <c r="E54" t="inlineStr">
        <is>
          <t>ÅRJÄNG</t>
        </is>
      </c>
      <c r="G54" t="n">
        <v>3.1</v>
      </c>
      <c r="H54" t="n">
        <v>0</v>
      </c>
      <c r="I54" t="n">
        <v>1</v>
      </c>
      <c r="J54" t="n">
        <v>0</v>
      </c>
      <c r="K54" t="n">
        <v>0</v>
      </c>
      <c r="L54" t="n">
        <v>0</v>
      </c>
      <c r="M54" t="n">
        <v>0</v>
      </c>
      <c r="N54" t="n">
        <v>0</v>
      </c>
      <c r="O54" t="n">
        <v>0</v>
      </c>
      <c r="P54" t="n">
        <v>0</v>
      </c>
      <c r="Q54" t="n">
        <v>1</v>
      </c>
      <c r="R54" s="2" t="inlineStr">
        <is>
          <t>Dropptaggsvamp</t>
        </is>
      </c>
      <c r="S54">
        <f>HYPERLINK("https://klasma.github.io/Logging_1765/artfynd/A 8630-2025 artfynd.xlsx", "A 8630-2025")</f>
        <v/>
      </c>
      <c r="T54">
        <f>HYPERLINK("https://klasma.github.io/Logging_1765/kartor/A 8630-2025 karta.png", "A 8630-2025")</f>
        <v/>
      </c>
      <c r="V54">
        <f>HYPERLINK("https://klasma.github.io/Logging_1765/klagomål/A 8630-2025 FSC-klagomål.docx", "A 8630-2025")</f>
        <v/>
      </c>
      <c r="W54">
        <f>HYPERLINK("https://klasma.github.io/Logging_1765/klagomålsmail/A 8630-2025 FSC-klagomål mail.docx", "A 8630-2025")</f>
        <v/>
      </c>
      <c r="X54">
        <f>HYPERLINK("https://klasma.github.io/Logging_1765/tillsyn/A 8630-2025 tillsynsbegäran.docx", "A 8630-2025")</f>
        <v/>
      </c>
      <c r="Y54">
        <f>HYPERLINK("https://klasma.github.io/Logging_1765/tillsynsmail/A 8630-2025 tillsynsbegäran mail.docx", "A 8630-2025")</f>
        <v/>
      </c>
    </row>
    <row r="55" ht="15" customHeight="1">
      <c r="A55" t="inlineStr">
        <is>
          <t>A 11880-2025</t>
        </is>
      </c>
      <c r="B55" s="1" t="n">
        <v>45728.4462037037</v>
      </c>
      <c r="C55" s="1" t="n">
        <v>45983</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15418-2021</t>
        </is>
      </c>
      <c r="B56" s="1" t="n">
        <v>44285</v>
      </c>
      <c r="C56" s="1" t="n">
        <v>45983</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16689-2021</t>
        </is>
      </c>
      <c r="B57" s="1" t="n">
        <v>44294.59744212963</v>
      </c>
      <c r="C57" s="1" t="n">
        <v>45983</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52826-2022</t>
        </is>
      </c>
      <c r="B58" s="1" t="n">
        <v>44875.45353009259</v>
      </c>
      <c r="C58" s="1" t="n">
        <v>45983</v>
      </c>
      <c r="D58" t="inlineStr">
        <is>
          <t>VÄRMLANDS LÄN</t>
        </is>
      </c>
      <c r="E58" t="inlineStr">
        <is>
          <t>ÅRJÄNG</t>
        </is>
      </c>
      <c r="G58" t="n">
        <v>2.2</v>
      </c>
      <c r="H58" t="n">
        <v>0</v>
      </c>
      <c r="I58" t="n">
        <v>0</v>
      </c>
      <c r="J58" t="n">
        <v>0</v>
      </c>
      <c r="K58" t="n">
        <v>0</v>
      </c>
      <c r="L58" t="n">
        <v>0</v>
      </c>
      <c r="M58" t="n">
        <v>0</v>
      </c>
      <c r="N58" t="n">
        <v>0</v>
      </c>
      <c r="O58" t="n">
        <v>0</v>
      </c>
      <c r="P58" t="n">
        <v>0</v>
      </c>
      <c r="Q58" t="n">
        <v>0</v>
      </c>
      <c r="R58" s="2" t="inlineStr"/>
    </row>
    <row r="59" ht="15" customHeight="1">
      <c r="A59" t="inlineStr">
        <is>
          <t>A 18661-2021</t>
        </is>
      </c>
      <c r="B59" s="1" t="n">
        <v>44306</v>
      </c>
      <c r="C59" s="1" t="n">
        <v>45983</v>
      </c>
      <c r="D59" t="inlineStr">
        <is>
          <t>VÄRMLANDS LÄN</t>
        </is>
      </c>
      <c r="E59" t="inlineStr">
        <is>
          <t>ÅRJÄNG</t>
        </is>
      </c>
      <c r="G59" t="n">
        <v>3.7</v>
      </c>
      <c r="H59" t="n">
        <v>0</v>
      </c>
      <c r="I59" t="n">
        <v>0</v>
      </c>
      <c r="J59" t="n">
        <v>0</v>
      </c>
      <c r="K59" t="n">
        <v>0</v>
      </c>
      <c r="L59" t="n">
        <v>0</v>
      </c>
      <c r="M59" t="n">
        <v>0</v>
      </c>
      <c r="N59" t="n">
        <v>0</v>
      </c>
      <c r="O59" t="n">
        <v>0</v>
      </c>
      <c r="P59" t="n">
        <v>0</v>
      </c>
      <c r="Q59" t="n">
        <v>0</v>
      </c>
      <c r="R59" s="2" t="inlineStr"/>
    </row>
    <row r="60" ht="15" customHeight="1">
      <c r="A60" t="inlineStr">
        <is>
          <t>A 4160-2021</t>
        </is>
      </c>
      <c r="B60" s="1" t="n">
        <v>44223.39358796296</v>
      </c>
      <c r="C60" s="1" t="n">
        <v>45983</v>
      </c>
      <c r="D60" t="inlineStr">
        <is>
          <t>VÄRMLANDS LÄN</t>
        </is>
      </c>
      <c r="E60" t="inlineStr">
        <is>
          <t>ÅRJÄNG</t>
        </is>
      </c>
      <c r="G60" t="n">
        <v>2.4</v>
      </c>
      <c r="H60" t="n">
        <v>0</v>
      </c>
      <c r="I60" t="n">
        <v>0</v>
      </c>
      <c r="J60" t="n">
        <v>0</v>
      </c>
      <c r="K60" t="n">
        <v>0</v>
      </c>
      <c r="L60" t="n">
        <v>0</v>
      </c>
      <c r="M60" t="n">
        <v>0</v>
      </c>
      <c r="N60" t="n">
        <v>0</v>
      </c>
      <c r="O60" t="n">
        <v>0</v>
      </c>
      <c r="P60" t="n">
        <v>0</v>
      </c>
      <c r="Q60" t="n">
        <v>0</v>
      </c>
      <c r="R60" s="2" t="inlineStr"/>
    </row>
    <row r="61" ht="15" customHeight="1">
      <c r="A61" t="inlineStr">
        <is>
          <t>A 64216-2020</t>
        </is>
      </c>
      <c r="B61" s="1" t="n">
        <v>44168</v>
      </c>
      <c r="C61" s="1" t="n">
        <v>45983</v>
      </c>
      <c r="D61" t="inlineStr">
        <is>
          <t>VÄRMLANDS LÄN</t>
        </is>
      </c>
      <c r="E61" t="inlineStr">
        <is>
          <t>ÅRJÄNG</t>
        </is>
      </c>
      <c r="G61" t="n">
        <v>1.4</v>
      </c>
      <c r="H61" t="n">
        <v>0</v>
      </c>
      <c r="I61" t="n">
        <v>0</v>
      </c>
      <c r="J61" t="n">
        <v>0</v>
      </c>
      <c r="K61" t="n">
        <v>0</v>
      </c>
      <c r="L61" t="n">
        <v>0</v>
      </c>
      <c r="M61" t="n">
        <v>0</v>
      </c>
      <c r="N61" t="n">
        <v>0</v>
      </c>
      <c r="O61" t="n">
        <v>0</v>
      </c>
      <c r="P61" t="n">
        <v>0</v>
      </c>
      <c r="Q61" t="n">
        <v>0</v>
      </c>
      <c r="R61" s="2" t="inlineStr"/>
    </row>
    <row r="62" ht="15" customHeight="1">
      <c r="A62" t="inlineStr">
        <is>
          <t>A 63415-2020</t>
        </is>
      </c>
      <c r="B62" s="1" t="n">
        <v>44165</v>
      </c>
      <c r="C62" s="1" t="n">
        <v>45983</v>
      </c>
      <c r="D62" t="inlineStr">
        <is>
          <t>VÄRMLANDS LÄN</t>
        </is>
      </c>
      <c r="E62" t="inlineStr">
        <is>
          <t>ÅRJÄNG</t>
        </is>
      </c>
      <c r="G62" t="n">
        <v>4.9</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45983</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5836-2022</t>
        </is>
      </c>
      <c r="B64" s="1" t="n">
        <v>44596.60835648148</v>
      </c>
      <c r="C64" s="1" t="n">
        <v>45983</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45983</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19776-2022</t>
        </is>
      </c>
      <c r="B66" s="1" t="n">
        <v>44694</v>
      </c>
      <c r="C66" s="1" t="n">
        <v>45983</v>
      </c>
      <c r="D66" t="inlineStr">
        <is>
          <t>VÄRMLANDS LÄN</t>
        </is>
      </c>
      <c r="E66" t="inlineStr">
        <is>
          <t>ÅRJÄNG</t>
        </is>
      </c>
      <c r="G66" t="n">
        <v>9</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45983</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43578-2021</t>
        </is>
      </c>
      <c r="B68" s="1" t="n">
        <v>44433</v>
      </c>
      <c r="C68" s="1" t="n">
        <v>45983</v>
      </c>
      <c r="D68" t="inlineStr">
        <is>
          <t>VÄRMLANDS LÄN</t>
        </is>
      </c>
      <c r="E68" t="inlineStr">
        <is>
          <t>ÅRJÄNG</t>
        </is>
      </c>
      <c r="G68" t="n">
        <v>6.3</v>
      </c>
      <c r="H68" t="n">
        <v>0</v>
      </c>
      <c r="I68" t="n">
        <v>0</v>
      </c>
      <c r="J68" t="n">
        <v>0</v>
      </c>
      <c r="K68" t="n">
        <v>0</v>
      </c>
      <c r="L68" t="n">
        <v>0</v>
      </c>
      <c r="M68" t="n">
        <v>0</v>
      </c>
      <c r="N68" t="n">
        <v>0</v>
      </c>
      <c r="O68" t="n">
        <v>0</v>
      </c>
      <c r="P68" t="n">
        <v>0</v>
      </c>
      <c r="Q68" t="n">
        <v>0</v>
      </c>
      <c r="R68" s="2" t="inlineStr"/>
    </row>
    <row r="69" ht="15" customHeight="1">
      <c r="A69" t="inlineStr">
        <is>
          <t>A 13166-2022</t>
        </is>
      </c>
      <c r="B69" s="1" t="n">
        <v>44643</v>
      </c>
      <c r="C69" s="1" t="n">
        <v>45983</v>
      </c>
      <c r="D69" t="inlineStr">
        <is>
          <t>VÄRMLANDS LÄN</t>
        </is>
      </c>
      <c r="E69" t="inlineStr">
        <is>
          <t>ÅRJÄNG</t>
        </is>
      </c>
      <c r="G69" t="n">
        <v>7.3</v>
      </c>
      <c r="H69" t="n">
        <v>0</v>
      </c>
      <c r="I69" t="n">
        <v>0</v>
      </c>
      <c r="J69" t="n">
        <v>0</v>
      </c>
      <c r="K69" t="n">
        <v>0</v>
      </c>
      <c r="L69" t="n">
        <v>0</v>
      </c>
      <c r="M69" t="n">
        <v>0</v>
      </c>
      <c r="N69" t="n">
        <v>0</v>
      </c>
      <c r="O69" t="n">
        <v>0</v>
      </c>
      <c r="P69" t="n">
        <v>0</v>
      </c>
      <c r="Q69" t="n">
        <v>0</v>
      </c>
      <c r="R69" s="2" t="inlineStr"/>
    </row>
    <row r="70" ht="15" customHeight="1">
      <c r="A70" t="inlineStr">
        <is>
          <t>A 42956-2021</t>
        </is>
      </c>
      <c r="B70" s="1" t="n">
        <v>44431.40609953704</v>
      </c>
      <c r="C70" s="1" t="n">
        <v>45983</v>
      </c>
      <c r="D70" t="inlineStr">
        <is>
          <t>VÄRMLANDS LÄN</t>
        </is>
      </c>
      <c r="E70" t="inlineStr">
        <is>
          <t>ÅRJÄNG</t>
        </is>
      </c>
      <c r="G70" t="n">
        <v>4.2</v>
      </c>
      <c r="H70" t="n">
        <v>0</v>
      </c>
      <c r="I70" t="n">
        <v>0</v>
      </c>
      <c r="J70" t="n">
        <v>0</v>
      </c>
      <c r="K70" t="n">
        <v>0</v>
      </c>
      <c r="L70" t="n">
        <v>0</v>
      </c>
      <c r="M70" t="n">
        <v>0</v>
      </c>
      <c r="N70" t="n">
        <v>0</v>
      </c>
      <c r="O70" t="n">
        <v>0</v>
      </c>
      <c r="P70" t="n">
        <v>0</v>
      </c>
      <c r="Q70" t="n">
        <v>0</v>
      </c>
      <c r="R70" s="2" t="inlineStr"/>
    </row>
    <row r="71" ht="15" customHeight="1">
      <c r="A71" t="inlineStr">
        <is>
          <t>A 662-2022</t>
        </is>
      </c>
      <c r="B71" s="1" t="n">
        <v>44568</v>
      </c>
      <c r="C71" s="1" t="n">
        <v>45983</v>
      </c>
      <c r="D71" t="inlineStr">
        <is>
          <t>VÄRMLANDS LÄN</t>
        </is>
      </c>
      <c r="E71" t="inlineStr">
        <is>
          <t>ÅRJÄNG</t>
        </is>
      </c>
      <c r="G71" t="n">
        <v>5.7</v>
      </c>
      <c r="H71" t="n">
        <v>0</v>
      </c>
      <c r="I71" t="n">
        <v>0</v>
      </c>
      <c r="J71" t="n">
        <v>0</v>
      </c>
      <c r="K71" t="n">
        <v>0</v>
      </c>
      <c r="L71" t="n">
        <v>0</v>
      </c>
      <c r="M71" t="n">
        <v>0</v>
      </c>
      <c r="N71" t="n">
        <v>0</v>
      </c>
      <c r="O71" t="n">
        <v>0</v>
      </c>
      <c r="P71" t="n">
        <v>0</v>
      </c>
      <c r="Q71" t="n">
        <v>0</v>
      </c>
      <c r="R71" s="2" t="inlineStr"/>
    </row>
    <row r="72" ht="15" customHeight="1">
      <c r="A72" t="inlineStr">
        <is>
          <t>A 11897-2021</t>
        </is>
      </c>
      <c r="B72" s="1" t="n">
        <v>44265</v>
      </c>
      <c r="C72" s="1" t="n">
        <v>45983</v>
      </c>
      <c r="D72" t="inlineStr">
        <is>
          <t>VÄRMLANDS LÄN</t>
        </is>
      </c>
      <c r="E72" t="inlineStr">
        <is>
          <t>ÅRJÄNG</t>
        </is>
      </c>
      <c r="G72" t="n">
        <v>8.6</v>
      </c>
      <c r="H72" t="n">
        <v>0</v>
      </c>
      <c r="I72" t="n">
        <v>0</v>
      </c>
      <c r="J72" t="n">
        <v>0</v>
      </c>
      <c r="K72" t="n">
        <v>0</v>
      </c>
      <c r="L72" t="n">
        <v>0</v>
      </c>
      <c r="M72" t="n">
        <v>0</v>
      </c>
      <c r="N72" t="n">
        <v>0</v>
      </c>
      <c r="O72" t="n">
        <v>0</v>
      </c>
      <c r="P72" t="n">
        <v>0</v>
      </c>
      <c r="Q72" t="n">
        <v>0</v>
      </c>
      <c r="R72" s="2" t="inlineStr"/>
    </row>
    <row r="73" ht="15" customHeight="1">
      <c r="A73" t="inlineStr">
        <is>
          <t>A 49680-2021</t>
        </is>
      </c>
      <c r="B73" s="1" t="n">
        <v>44455.47773148148</v>
      </c>
      <c r="C73" s="1" t="n">
        <v>45983</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69520-2020</t>
        </is>
      </c>
      <c r="B74" s="1" t="n">
        <v>44194</v>
      </c>
      <c r="C74" s="1" t="n">
        <v>45983</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45983</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46644-2021</t>
        </is>
      </c>
      <c r="B76" s="1" t="n">
        <v>44445</v>
      </c>
      <c r="C76" s="1" t="n">
        <v>45983</v>
      </c>
      <c r="D76" t="inlineStr">
        <is>
          <t>VÄRMLANDS LÄN</t>
        </is>
      </c>
      <c r="E76" t="inlineStr">
        <is>
          <t>ÅRJÄNG</t>
        </is>
      </c>
      <c r="G76" t="n">
        <v>3.8</v>
      </c>
      <c r="H76" t="n">
        <v>0</v>
      </c>
      <c r="I76" t="n">
        <v>0</v>
      </c>
      <c r="J76" t="n">
        <v>0</v>
      </c>
      <c r="K76" t="n">
        <v>0</v>
      </c>
      <c r="L76" t="n">
        <v>0</v>
      </c>
      <c r="M76" t="n">
        <v>0</v>
      </c>
      <c r="N76" t="n">
        <v>0</v>
      </c>
      <c r="O76" t="n">
        <v>0</v>
      </c>
      <c r="P76" t="n">
        <v>0</v>
      </c>
      <c r="Q76" t="n">
        <v>0</v>
      </c>
      <c r="R76" s="2" t="inlineStr"/>
    </row>
    <row r="77" ht="15" customHeight="1">
      <c r="A77" t="inlineStr">
        <is>
          <t>A 69584-2020</t>
        </is>
      </c>
      <c r="B77" s="1" t="n">
        <v>44195</v>
      </c>
      <c r="C77" s="1" t="n">
        <v>45983</v>
      </c>
      <c r="D77" t="inlineStr">
        <is>
          <t>VÄRMLANDS LÄN</t>
        </is>
      </c>
      <c r="E77" t="inlineStr">
        <is>
          <t>ÅRJÄNG</t>
        </is>
      </c>
      <c r="G77" t="n">
        <v>0.3</v>
      </c>
      <c r="H77" t="n">
        <v>0</v>
      </c>
      <c r="I77" t="n">
        <v>0</v>
      </c>
      <c r="J77" t="n">
        <v>0</v>
      </c>
      <c r="K77" t="n">
        <v>0</v>
      </c>
      <c r="L77" t="n">
        <v>0</v>
      </c>
      <c r="M77" t="n">
        <v>0</v>
      </c>
      <c r="N77" t="n">
        <v>0</v>
      </c>
      <c r="O77" t="n">
        <v>0</v>
      </c>
      <c r="P77" t="n">
        <v>0</v>
      </c>
      <c r="Q77" t="n">
        <v>0</v>
      </c>
      <c r="R77" s="2" t="inlineStr"/>
    </row>
    <row r="78" ht="15" customHeight="1">
      <c r="A78" t="inlineStr">
        <is>
          <t>A 64785-2021</t>
        </is>
      </c>
      <c r="B78" s="1" t="n">
        <v>44512</v>
      </c>
      <c r="C78" s="1" t="n">
        <v>45983</v>
      </c>
      <c r="D78" t="inlineStr">
        <is>
          <t>VÄRMLANDS LÄN</t>
        </is>
      </c>
      <c r="E78" t="inlineStr">
        <is>
          <t>ÅRJÄNG</t>
        </is>
      </c>
      <c r="G78" t="n">
        <v>9.6</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45983</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11156-2021</t>
        </is>
      </c>
      <c r="B80" s="1" t="n">
        <v>44261.8591087963</v>
      </c>
      <c r="C80" s="1" t="n">
        <v>45983</v>
      </c>
      <c r="D80" t="inlineStr">
        <is>
          <t>VÄRMLANDS LÄN</t>
        </is>
      </c>
      <c r="E80" t="inlineStr">
        <is>
          <t>ÅRJÄNG</t>
        </is>
      </c>
      <c r="G80" t="n">
        <v>1.2</v>
      </c>
      <c r="H80" t="n">
        <v>0</v>
      </c>
      <c r="I80" t="n">
        <v>0</v>
      </c>
      <c r="J80" t="n">
        <v>0</v>
      </c>
      <c r="K80" t="n">
        <v>0</v>
      </c>
      <c r="L80" t="n">
        <v>0</v>
      </c>
      <c r="M80" t="n">
        <v>0</v>
      </c>
      <c r="N80" t="n">
        <v>0</v>
      </c>
      <c r="O80" t="n">
        <v>0</v>
      </c>
      <c r="P80" t="n">
        <v>0</v>
      </c>
      <c r="Q80" t="n">
        <v>0</v>
      </c>
      <c r="R80" s="2" t="inlineStr"/>
    </row>
    <row r="81" ht="15" customHeight="1">
      <c r="A81" t="inlineStr">
        <is>
          <t>A 61129-2021</t>
        </is>
      </c>
      <c r="B81" s="1" t="n">
        <v>44498</v>
      </c>
      <c r="C81" s="1" t="n">
        <v>45983</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45983</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45983</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59009-2021</t>
        </is>
      </c>
      <c r="B84" s="1" t="n">
        <v>44490.33306712963</v>
      </c>
      <c r="C84" s="1" t="n">
        <v>45983</v>
      </c>
      <c r="D84" t="inlineStr">
        <is>
          <t>VÄRMLANDS LÄN</t>
        </is>
      </c>
      <c r="E84" t="inlineStr">
        <is>
          <t>ÅRJÄNG</t>
        </is>
      </c>
      <c r="G84" t="n">
        <v>3</v>
      </c>
      <c r="H84" t="n">
        <v>0</v>
      </c>
      <c r="I84" t="n">
        <v>0</v>
      </c>
      <c r="J84" t="n">
        <v>0</v>
      </c>
      <c r="K84" t="n">
        <v>0</v>
      </c>
      <c r="L84" t="n">
        <v>0</v>
      </c>
      <c r="M84" t="n">
        <v>0</v>
      </c>
      <c r="N84" t="n">
        <v>0</v>
      </c>
      <c r="O84" t="n">
        <v>0</v>
      </c>
      <c r="P84" t="n">
        <v>0</v>
      </c>
      <c r="Q84" t="n">
        <v>0</v>
      </c>
      <c r="R84" s="2" t="inlineStr"/>
    </row>
    <row r="85" ht="15" customHeight="1">
      <c r="A85" t="inlineStr">
        <is>
          <t>A 7774-2021</t>
        </is>
      </c>
      <c r="B85" s="1" t="n">
        <v>44242</v>
      </c>
      <c r="C85" s="1" t="n">
        <v>45983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45983</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29700-2021</t>
        </is>
      </c>
      <c r="B87" s="1" t="n">
        <v>44362</v>
      </c>
      <c r="C87" s="1" t="n">
        <v>45983</v>
      </c>
      <c r="D87" t="inlineStr">
        <is>
          <t>VÄRMLANDS LÄN</t>
        </is>
      </c>
      <c r="E87" t="inlineStr">
        <is>
          <t>ÅRJÄNG</t>
        </is>
      </c>
      <c r="G87" t="n">
        <v>3.1</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45983</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74087-2021</t>
        </is>
      </c>
      <c r="B89" s="1" t="n">
        <v>44557.58512731481</v>
      </c>
      <c r="C89" s="1" t="n">
        <v>45983</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11934-2022</t>
        </is>
      </c>
      <c r="B90" s="1" t="n">
        <v>44635</v>
      </c>
      <c r="C90" s="1" t="n">
        <v>45983</v>
      </c>
      <c r="D90" t="inlineStr">
        <is>
          <t>VÄRMLANDS LÄN</t>
        </is>
      </c>
      <c r="E90" t="inlineStr">
        <is>
          <t>ÅRJÄNG</t>
        </is>
      </c>
      <c r="G90" t="n">
        <v>0.9</v>
      </c>
      <c r="H90" t="n">
        <v>0</v>
      </c>
      <c r="I90" t="n">
        <v>0</v>
      </c>
      <c r="J90" t="n">
        <v>0</v>
      </c>
      <c r="K90" t="n">
        <v>0</v>
      </c>
      <c r="L90" t="n">
        <v>0</v>
      </c>
      <c r="M90" t="n">
        <v>0</v>
      </c>
      <c r="N90" t="n">
        <v>0</v>
      </c>
      <c r="O90" t="n">
        <v>0</v>
      </c>
      <c r="P90" t="n">
        <v>0</v>
      </c>
      <c r="Q90" t="n">
        <v>0</v>
      </c>
      <c r="R90" s="2" t="inlineStr"/>
    </row>
    <row r="91" ht="15" customHeight="1">
      <c r="A91" t="inlineStr">
        <is>
          <t>A 5830-2022</t>
        </is>
      </c>
      <c r="B91" s="1" t="n">
        <v>44596.59916666667</v>
      </c>
      <c r="C91" s="1" t="n">
        <v>45983</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4607-2021</t>
        </is>
      </c>
      <c r="B92" s="1" t="n">
        <v>44224</v>
      </c>
      <c r="C92" s="1" t="n">
        <v>45983</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17352-2022</t>
        </is>
      </c>
      <c r="B93" s="1" t="n">
        <v>44678.5905324074</v>
      </c>
      <c r="C93" s="1" t="n">
        <v>45983</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30450-2022</t>
        </is>
      </c>
      <c r="B94" s="1" t="n">
        <v>44761</v>
      </c>
      <c r="C94" s="1" t="n">
        <v>45983</v>
      </c>
      <c r="D94" t="inlineStr">
        <is>
          <t>VÄRMLANDS LÄN</t>
        </is>
      </c>
      <c r="E94" t="inlineStr">
        <is>
          <t>ÅRJÄNG</t>
        </is>
      </c>
      <c r="G94" t="n">
        <v>1.5</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45983</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45983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45983</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45983</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45983</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45983</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45983</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45983</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45983</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45983</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45983</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45983</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45983</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45983</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45983</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45983</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45983</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45983</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45983</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45983</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45983</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45983</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45983</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45983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45983</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45983</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45983</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45983</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45983</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45983</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45983</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45983</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45983</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45983</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45983</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45983</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45983</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45983</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45983</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45983</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45983</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45983</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45983</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45983</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45983</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45983</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45983</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45983</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19458-2021</t>
        </is>
      </c>
      <c r="B144" s="1" t="n">
        <v>44311</v>
      </c>
      <c r="C144" s="1" t="n">
        <v>45983</v>
      </c>
      <c r="D144" t="inlineStr">
        <is>
          <t>VÄRMLANDS LÄN</t>
        </is>
      </c>
      <c r="E144" t="inlineStr">
        <is>
          <t>ÅRJÄNG</t>
        </is>
      </c>
      <c r="G144" t="n">
        <v>15.6</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45983</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45983</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1932-2022</t>
        </is>
      </c>
      <c r="B147" s="1" t="n">
        <v>44575.43302083333</v>
      </c>
      <c r="C147" s="1" t="n">
        <v>45983</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18840-2022</t>
        </is>
      </c>
      <c r="B148" s="1" t="n">
        <v>44690</v>
      </c>
      <c r="C148" s="1" t="n">
        <v>45983</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45983</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45983</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45983</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45983</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45983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52730-2021</t>
        </is>
      </c>
      <c r="B155" s="1" t="n">
        <v>44467.29457175926</v>
      </c>
      <c r="C155" s="1" t="n">
        <v>45983</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61240-2021</t>
        </is>
      </c>
      <c r="B156" s="1" t="n">
        <v>44496</v>
      </c>
      <c r="C156" s="1" t="n">
        <v>45983</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45983</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45983</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45983</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45983</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45983</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45983</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45983</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45983</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45983</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45983</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45983</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45983</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45983</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45983</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45983</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45983</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45983</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45983</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45983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45983</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516-2022</t>
        </is>
      </c>
      <c r="B178" s="1" t="n">
        <v>44566</v>
      </c>
      <c r="C178" s="1" t="n">
        <v>45983</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45983</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45983</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45983</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45983</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45983</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45983</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45983</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45983</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45983</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45983</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45983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45983</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45983</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45983</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45983</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45983</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45983</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45983</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45983</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45983</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45983</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45983</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45983</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45983</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45983</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71819-2021</t>
        </is>
      </c>
      <c r="B204" s="1" t="n">
        <v>44540</v>
      </c>
      <c r="C204" s="1" t="n">
        <v>45983</v>
      </c>
      <c r="D204" t="inlineStr">
        <is>
          <t>VÄRMLANDS LÄN</t>
        </is>
      </c>
      <c r="E204" t="inlineStr">
        <is>
          <t>ÅRJÄNG</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69647-2020</t>
        </is>
      </c>
      <c r="B205" s="1" t="n">
        <v>44195</v>
      </c>
      <c r="C205" s="1" t="n">
        <v>45983</v>
      </c>
      <c r="D205" t="inlineStr">
        <is>
          <t>VÄRMLANDS LÄN</t>
        </is>
      </c>
      <c r="E205" t="inlineStr">
        <is>
          <t>ÅRJÄNG</t>
        </is>
      </c>
      <c r="G205" t="n">
        <v>1.6</v>
      </c>
      <c r="H205" t="n">
        <v>0</v>
      </c>
      <c r="I205" t="n">
        <v>0</v>
      </c>
      <c r="J205" t="n">
        <v>0</v>
      </c>
      <c r="K205" t="n">
        <v>0</v>
      </c>
      <c r="L205" t="n">
        <v>0</v>
      </c>
      <c r="M205" t="n">
        <v>0</v>
      </c>
      <c r="N205" t="n">
        <v>0</v>
      </c>
      <c r="O205" t="n">
        <v>0</v>
      </c>
      <c r="P205" t="n">
        <v>0</v>
      </c>
      <c r="Q205" t="n">
        <v>0</v>
      </c>
      <c r="R205" s="2" t="inlineStr"/>
    </row>
    <row r="206" ht="15" customHeight="1">
      <c r="A206" t="inlineStr">
        <is>
          <t>A 74166-2021</t>
        </is>
      </c>
      <c r="B206" s="1" t="n">
        <v>44558</v>
      </c>
      <c r="C206" s="1" t="n">
        <v>45983</v>
      </c>
      <c r="D206" t="inlineStr">
        <is>
          <t>VÄRMLANDS LÄN</t>
        </is>
      </c>
      <c r="E206" t="inlineStr">
        <is>
          <t>ÅRJÄNG</t>
        </is>
      </c>
      <c r="G206" t="n">
        <v>1.4</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45983</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45983</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9407-2022</t>
        </is>
      </c>
      <c r="B209" s="1" t="n">
        <v>44616.65760416666</v>
      </c>
      <c r="C209" s="1" t="n">
        <v>45983</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13156-2022</t>
        </is>
      </c>
      <c r="B210" s="1" t="n">
        <v>44643</v>
      </c>
      <c r="C210" s="1" t="n">
        <v>45983</v>
      </c>
      <c r="D210" t="inlineStr">
        <is>
          <t>VÄRMLANDS LÄN</t>
        </is>
      </c>
      <c r="E210" t="inlineStr">
        <is>
          <t>ÅRJÄNG</t>
        </is>
      </c>
      <c r="G210" t="n">
        <v>7.8</v>
      </c>
      <c r="H210" t="n">
        <v>0</v>
      </c>
      <c r="I210" t="n">
        <v>0</v>
      </c>
      <c r="J210" t="n">
        <v>0</v>
      </c>
      <c r="K210" t="n">
        <v>0</v>
      </c>
      <c r="L210" t="n">
        <v>0</v>
      </c>
      <c r="M210" t="n">
        <v>0</v>
      </c>
      <c r="N210" t="n">
        <v>0</v>
      </c>
      <c r="O210" t="n">
        <v>0</v>
      </c>
      <c r="P210" t="n">
        <v>0</v>
      </c>
      <c r="Q210" t="n">
        <v>0</v>
      </c>
      <c r="R210" s="2" t="inlineStr"/>
    </row>
    <row r="211" ht="15" customHeight="1">
      <c r="A211" t="inlineStr">
        <is>
          <t>A 47005-2021</t>
        </is>
      </c>
      <c r="B211" s="1" t="n">
        <v>44446</v>
      </c>
      <c r="C211" s="1" t="n">
        <v>45983</v>
      </c>
      <c r="D211" t="inlineStr">
        <is>
          <t>VÄRMLANDS LÄN</t>
        </is>
      </c>
      <c r="E211" t="inlineStr">
        <is>
          <t>ÅRJÄNG</t>
        </is>
      </c>
      <c r="G211" t="n">
        <v>6.3</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45983</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45983</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45983</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60713-2021</t>
        </is>
      </c>
      <c r="B215" s="1" t="n">
        <v>44496</v>
      </c>
      <c r="C215" s="1" t="n">
        <v>45983</v>
      </c>
      <c r="D215" t="inlineStr">
        <is>
          <t>VÄRMLANDS LÄN</t>
        </is>
      </c>
      <c r="E215" t="inlineStr">
        <is>
          <t>ÅRJÄNG</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10898-2022</t>
        </is>
      </c>
      <c r="B216" s="1" t="n">
        <v>44627</v>
      </c>
      <c r="C216" s="1" t="n">
        <v>45983</v>
      </c>
      <c r="D216" t="inlineStr">
        <is>
          <t>VÄRMLANDS LÄN</t>
        </is>
      </c>
      <c r="E216" t="inlineStr">
        <is>
          <t>ÅRJÄNG</t>
        </is>
      </c>
      <c r="G216" t="n">
        <v>10.2</v>
      </c>
      <c r="H216" t="n">
        <v>0</v>
      </c>
      <c r="I216" t="n">
        <v>0</v>
      </c>
      <c r="J216" t="n">
        <v>0</v>
      </c>
      <c r="K216" t="n">
        <v>0</v>
      </c>
      <c r="L216" t="n">
        <v>0</v>
      </c>
      <c r="M216" t="n">
        <v>0</v>
      </c>
      <c r="N216" t="n">
        <v>0</v>
      </c>
      <c r="O216" t="n">
        <v>0</v>
      </c>
      <c r="P216" t="n">
        <v>0</v>
      </c>
      <c r="Q216" t="n">
        <v>0</v>
      </c>
      <c r="R216" s="2" t="inlineStr"/>
    </row>
    <row r="217" ht="15" customHeight="1">
      <c r="A217" t="inlineStr">
        <is>
          <t>A 4400-2022</t>
        </is>
      </c>
      <c r="B217" s="1" t="n">
        <v>44588</v>
      </c>
      <c r="C217" s="1" t="n">
        <v>45983</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14507-2022</t>
        </is>
      </c>
      <c r="B218" s="1" t="n">
        <v>44655</v>
      </c>
      <c r="C218" s="1" t="n">
        <v>45983</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10006-2022</t>
        </is>
      </c>
      <c r="B219" s="1" t="n">
        <v>44621</v>
      </c>
      <c r="C219" s="1" t="n">
        <v>45983</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35015-2021</t>
        </is>
      </c>
      <c r="B220" s="1" t="n">
        <v>44383.69291666667</v>
      </c>
      <c r="C220" s="1" t="n">
        <v>45983</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66334-2020</t>
        </is>
      </c>
      <c r="B221" s="1" t="n">
        <v>44174</v>
      </c>
      <c r="C221" s="1" t="n">
        <v>45983</v>
      </c>
      <c r="D221" t="inlineStr">
        <is>
          <t>VÄRMLANDS LÄN</t>
        </is>
      </c>
      <c r="E221" t="inlineStr">
        <is>
          <t>ÅRJÄNG</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36948-2021</t>
        </is>
      </c>
      <c r="B222" s="1" t="n">
        <v>44393.53646990741</v>
      </c>
      <c r="C222" s="1" t="n">
        <v>45983</v>
      </c>
      <c r="D222" t="inlineStr">
        <is>
          <t>VÄRMLANDS LÄN</t>
        </is>
      </c>
      <c r="E222" t="inlineStr">
        <is>
          <t>ÅRJÄNG</t>
        </is>
      </c>
      <c r="G222" t="n">
        <v>4.4</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45983</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47013-2021</t>
        </is>
      </c>
      <c r="B224" s="1" t="n">
        <v>44446</v>
      </c>
      <c r="C224" s="1" t="n">
        <v>45983</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17135-2022</t>
        </is>
      </c>
      <c r="B225" s="1" t="n">
        <v>44677</v>
      </c>
      <c r="C225" s="1" t="n">
        <v>45983</v>
      </c>
      <c r="D225" t="inlineStr">
        <is>
          <t>VÄRMLANDS LÄN</t>
        </is>
      </c>
      <c r="E225" t="inlineStr">
        <is>
          <t>ÅRJÄNG</t>
        </is>
      </c>
      <c r="G225" t="n">
        <v>9</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45983</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59453-2021</t>
        </is>
      </c>
      <c r="B227" s="1" t="n">
        <v>44491</v>
      </c>
      <c r="C227" s="1" t="n">
        <v>45983</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53262-2022</t>
        </is>
      </c>
      <c r="B228" s="1" t="n">
        <v>44876</v>
      </c>
      <c r="C228" s="1" t="n">
        <v>45983</v>
      </c>
      <c r="D228" t="inlineStr">
        <is>
          <t>VÄRMLANDS LÄN</t>
        </is>
      </c>
      <c r="E228" t="inlineStr">
        <is>
          <t>ÅRJÄNG</t>
        </is>
      </c>
      <c r="G228" t="n">
        <v>0.7</v>
      </c>
      <c r="H228" t="n">
        <v>0</v>
      </c>
      <c r="I228" t="n">
        <v>0</v>
      </c>
      <c r="J228" t="n">
        <v>0</v>
      </c>
      <c r="K228" t="n">
        <v>0</v>
      </c>
      <c r="L228" t="n">
        <v>0</v>
      </c>
      <c r="M228" t="n">
        <v>0</v>
      </c>
      <c r="N228" t="n">
        <v>0</v>
      </c>
      <c r="O228" t="n">
        <v>0</v>
      </c>
      <c r="P228" t="n">
        <v>0</v>
      </c>
      <c r="Q228" t="n">
        <v>0</v>
      </c>
      <c r="R228" s="2" t="inlineStr"/>
    </row>
    <row r="229" ht="15" customHeight="1">
      <c r="A229" t="inlineStr">
        <is>
          <t>A 41416-2021</t>
        </is>
      </c>
      <c r="B229" s="1" t="n">
        <v>44424</v>
      </c>
      <c r="C229" s="1" t="n">
        <v>45983</v>
      </c>
      <c r="D229" t="inlineStr">
        <is>
          <t>VÄRMLANDS LÄN</t>
        </is>
      </c>
      <c r="E229" t="inlineStr">
        <is>
          <t>ÅRJÄNG</t>
        </is>
      </c>
      <c r="G229" t="n">
        <v>10.4</v>
      </c>
      <c r="H229" t="n">
        <v>0</v>
      </c>
      <c r="I229" t="n">
        <v>0</v>
      </c>
      <c r="J229" t="n">
        <v>0</v>
      </c>
      <c r="K229" t="n">
        <v>0</v>
      </c>
      <c r="L229" t="n">
        <v>0</v>
      </c>
      <c r="M229" t="n">
        <v>0</v>
      </c>
      <c r="N229" t="n">
        <v>0</v>
      </c>
      <c r="O229" t="n">
        <v>0</v>
      </c>
      <c r="P229" t="n">
        <v>0</v>
      </c>
      <c r="Q229" t="n">
        <v>0</v>
      </c>
      <c r="R229" s="2" t="inlineStr"/>
    </row>
    <row r="230" ht="15" customHeight="1">
      <c r="A230" t="inlineStr">
        <is>
          <t>A 48192-2022</t>
        </is>
      </c>
      <c r="B230" s="1" t="n">
        <v>44853</v>
      </c>
      <c r="C230" s="1" t="n">
        <v>45983</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27862-2021</t>
        </is>
      </c>
      <c r="B231" s="1" t="n">
        <v>44354</v>
      </c>
      <c r="C231" s="1" t="n">
        <v>45983</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43034-2021</t>
        </is>
      </c>
      <c r="B232" s="1" t="n">
        <v>44431</v>
      </c>
      <c r="C232" s="1" t="n">
        <v>45983</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60715-2021</t>
        </is>
      </c>
      <c r="B233" s="1" t="n">
        <v>44496.70440972222</v>
      </c>
      <c r="C233" s="1" t="n">
        <v>45983</v>
      </c>
      <c r="D233" t="inlineStr">
        <is>
          <t>VÄRMLANDS LÄN</t>
        </is>
      </c>
      <c r="E233" t="inlineStr">
        <is>
          <t>ÅRJÄNG</t>
        </is>
      </c>
      <c r="G233" t="n">
        <v>7.4</v>
      </c>
      <c r="H233" t="n">
        <v>0</v>
      </c>
      <c r="I233" t="n">
        <v>0</v>
      </c>
      <c r="J233" t="n">
        <v>0</v>
      </c>
      <c r="K233" t="n">
        <v>0</v>
      </c>
      <c r="L233" t="n">
        <v>0</v>
      </c>
      <c r="M233" t="n">
        <v>0</v>
      </c>
      <c r="N233" t="n">
        <v>0</v>
      </c>
      <c r="O233" t="n">
        <v>0</v>
      </c>
      <c r="P233" t="n">
        <v>0</v>
      </c>
      <c r="Q233" t="n">
        <v>0</v>
      </c>
      <c r="R233" s="2" t="inlineStr"/>
    </row>
    <row r="234" ht="15" customHeight="1">
      <c r="A234" t="inlineStr">
        <is>
          <t>A 57833-2021</t>
        </is>
      </c>
      <c r="B234" s="1" t="n">
        <v>44484.71295138889</v>
      </c>
      <c r="C234" s="1" t="n">
        <v>45983</v>
      </c>
      <c r="D234" t="inlineStr">
        <is>
          <t>VÄRMLANDS LÄN</t>
        </is>
      </c>
      <c r="E234" t="inlineStr">
        <is>
          <t>ÅRJÄNG</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36532-2022</t>
        </is>
      </c>
      <c r="B235" s="1" t="n">
        <v>44804</v>
      </c>
      <c r="C235" s="1" t="n">
        <v>45983</v>
      </c>
      <c r="D235" t="inlineStr">
        <is>
          <t>VÄRMLANDS LÄN</t>
        </is>
      </c>
      <c r="E235" t="inlineStr">
        <is>
          <t>ÅRJÄNG</t>
        </is>
      </c>
      <c r="G235" t="n">
        <v>12.7</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45983</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45983</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45983</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1567-2022</t>
        </is>
      </c>
      <c r="B239" s="1" t="n">
        <v>44573</v>
      </c>
      <c r="C239" s="1" t="n">
        <v>45983</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55654-2022</t>
        </is>
      </c>
      <c r="B240" s="1" t="n">
        <v>44888</v>
      </c>
      <c r="C240" s="1" t="n">
        <v>45983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45983</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16400-2022</t>
        </is>
      </c>
      <c r="B242" s="1" t="n">
        <v>44671</v>
      </c>
      <c r="C242" s="1" t="n">
        <v>45983</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65979-2021</t>
        </is>
      </c>
      <c r="B243" s="1" t="n">
        <v>44517.54078703704</v>
      </c>
      <c r="C243" s="1" t="n">
        <v>45983</v>
      </c>
      <c r="D243" t="inlineStr">
        <is>
          <t>VÄRMLANDS LÄN</t>
        </is>
      </c>
      <c r="E243" t="inlineStr">
        <is>
          <t>ÅRJÄNG</t>
        </is>
      </c>
      <c r="G243" t="n">
        <v>5.1</v>
      </c>
      <c r="H243" t="n">
        <v>0</v>
      </c>
      <c r="I243" t="n">
        <v>0</v>
      </c>
      <c r="J243" t="n">
        <v>0</v>
      </c>
      <c r="K243" t="n">
        <v>0</v>
      </c>
      <c r="L243" t="n">
        <v>0</v>
      </c>
      <c r="M243" t="n">
        <v>0</v>
      </c>
      <c r="N243" t="n">
        <v>0</v>
      </c>
      <c r="O243" t="n">
        <v>0</v>
      </c>
      <c r="P243" t="n">
        <v>0</v>
      </c>
      <c r="Q243" t="n">
        <v>0</v>
      </c>
      <c r="R243" s="2" t="inlineStr"/>
    </row>
    <row r="244" ht="15" customHeight="1">
      <c r="A244" t="inlineStr">
        <is>
          <t>A 21939-2022</t>
        </is>
      </c>
      <c r="B244" s="1" t="n">
        <v>44711</v>
      </c>
      <c r="C244" s="1" t="n">
        <v>45983</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19244-2021</t>
        </is>
      </c>
      <c r="B245" s="1" t="n">
        <v>44309</v>
      </c>
      <c r="C245" s="1" t="n">
        <v>45983</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51975-2022</t>
        </is>
      </c>
      <c r="B246" s="1" t="n">
        <v>44872.71702546296</v>
      </c>
      <c r="C246" s="1" t="n">
        <v>45983</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13654-2022</t>
        </is>
      </c>
      <c r="B247" s="1" t="n">
        <v>44648.65623842592</v>
      </c>
      <c r="C247" s="1" t="n">
        <v>45983</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45983</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39661-2022</t>
        </is>
      </c>
      <c r="B249" s="1" t="n">
        <v>44818.79202546296</v>
      </c>
      <c r="C249" s="1" t="n">
        <v>45983</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45983</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45983</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45983</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27871-2021</t>
        </is>
      </c>
      <c r="B253" s="1" t="n">
        <v>44354</v>
      </c>
      <c r="C253" s="1" t="n">
        <v>45983</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22158-2021</t>
        </is>
      </c>
      <c r="B254" s="1" t="n">
        <v>44325.57944444445</v>
      </c>
      <c r="C254" s="1" t="n">
        <v>45983</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45983</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45983</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30817-2021</t>
        </is>
      </c>
      <c r="B257" s="1" t="n">
        <v>44365</v>
      </c>
      <c r="C257" s="1" t="n">
        <v>45983</v>
      </c>
      <c r="D257" t="inlineStr">
        <is>
          <t>VÄRMLANDS LÄN</t>
        </is>
      </c>
      <c r="E257" t="inlineStr">
        <is>
          <t>ÅRJÄNG</t>
        </is>
      </c>
      <c r="G257" t="n">
        <v>5.6</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45983</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45983</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29098-2022</t>
        </is>
      </c>
      <c r="B260" s="1" t="n">
        <v>44750</v>
      </c>
      <c r="C260" s="1" t="n">
        <v>45983</v>
      </c>
      <c r="D260" t="inlineStr">
        <is>
          <t>VÄRMLANDS LÄN</t>
        </is>
      </c>
      <c r="E260" t="inlineStr">
        <is>
          <t>ÅRJÄNG</t>
        </is>
      </c>
      <c r="G260" t="n">
        <v>1.1</v>
      </c>
      <c r="H260" t="n">
        <v>0</v>
      </c>
      <c r="I260" t="n">
        <v>0</v>
      </c>
      <c r="J260" t="n">
        <v>0</v>
      </c>
      <c r="K260" t="n">
        <v>0</v>
      </c>
      <c r="L260" t="n">
        <v>0</v>
      </c>
      <c r="M260" t="n">
        <v>0</v>
      </c>
      <c r="N260" t="n">
        <v>0</v>
      </c>
      <c r="O260" t="n">
        <v>0</v>
      </c>
      <c r="P260" t="n">
        <v>0</v>
      </c>
      <c r="Q260" t="n">
        <v>0</v>
      </c>
      <c r="R260" s="2" t="inlineStr"/>
    </row>
    <row r="261" ht="15" customHeight="1">
      <c r="A261" t="inlineStr">
        <is>
          <t>A 16676-2021</t>
        </is>
      </c>
      <c r="B261" s="1" t="n">
        <v>44294.5668287037</v>
      </c>
      <c r="C261" s="1" t="n">
        <v>45983</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13152-2022</t>
        </is>
      </c>
      <c r="B262" s="1" t="n">
        <v>44643</v>
      </c>
      <c r="C262" s="1" t="n">
        <v>45983</v>
      </c>
      <c r="D262" t="inlineStr">
        <is>
          <t>VÄRMLANDS LÄN</t>
        </is>
      </c>
      <c r="E262" t="inlineStr">
        <is>
          <t>ÅRJÄNG</t>
        </is>
      </c>
      <c r="G262" t="n">
        <v>4</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45983</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29174-2022</t>
        </is>
      </c>
      <c r="B264" s="1" t="n">
        <v>44750</v>
      </c>
      <c r="C264" s="1" t="n">
        <v>45983</v>
      </c>
      <c r="D264" t="inlineStr">
        <is>
          <t>VÄRMLANDS LÄN</t>
        </is>
      </c>
      <c r="E264" t="inlineStr">
        <is>
          <t>ÅRJÄNG</t>
        </is>
      </c>
      <c r="G264" t="n">
        <v>0.1</v>
      </c>
      <c r="H264" t="n">
        <v>0</v>
      </c>
      <c r="I264" t="n">
        <v>0</v>
      </c>
      <c r="J264" t="n">
        <v>0</v>
      </c>
      <c r="K264" t="n">
        <v>0</v>
      </c>
      <c r="L264" t="n">
        <v>0</v>
      </c>
      <c r="M264" t="n">
        <v>0</v>
      </c>
      <c r="N264" t="n">
        <v>0</v>
      </c>
      <c r="O264" t="n">
        <v>0</v>
      </c>
      <c r="P264" t="n">
        <v>0</v>
      </c>
      <c r="Q264" t="n">
        <v>0</v>
      </c>
      <c r="R264" s="2" t="inlineStr"/>
    </row>
    <row r="265" ht="15" customHeight="1">
      <c r="A265" t="inlineStr">
        <is>
          <t>A 19893-2022</t>
        </is>
      </c>
      <c r="B265" s="1" t="n">
        <v>44697</v>
      </c>
      <c r="C265" s="1" t="n">
        <v>45983</v>
      </c>
      <c r="D265" t="inlineStr">
        <is>
          <t>VÄRMLANDS LÄN</t>
        </is>
      </c>
      <c r="E265" t="inlineStr">
        <is>
          <t>ÅRJÄNG</t>
        </is>
      </c>
      <c r="G265" t="n">
        <v>2.5</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45983</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4915-2022</t>
        </is>
      </c>
      <c r="B267" s="1" t="n">
        <v>44593</v>
      </c>
      <c r="C267" s="1" t="n">
        <v>45983</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45983</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45983</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37949-2022</t>
        </is>
      </c>
      <c r="B270" s="1" t="n">
        <v>44811.48773148148</v>
      </c>
      <c r="C270" s="1" t="n">
        <v>45983</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10518-2022</t>
        </is>
      </c>
      <c r="B271" s="1" t="n">
        <v>44623.77545138889</v>
      </c>
      <c r="C271" s="1" t="n">
        <v>45983</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45983</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45983</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45983</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14094-2021</t>
        </is>
      </c>
      <c r="B275" s="1" t="n">
        <v>44278.29547453704</v>
      </c>
      <c r="C275" s="1" t="n">
        <v>45983</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63393-2020</t>
        </is>
      </c>
      <c r="B276" s="1" t="n">
        <v>44165.51438657408</v>
      </c>
      <c r="C276" s="1" t="n">
        <v>45983</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47035-2021</t>
        </is>
      </c>
      <c r="B277" s="1" t="n">
        <v>44446</v>
      </c>
      <c r="C277" s="1" t="n">
        <v>45983</v>
      </c>
      <c r="D277" t="inlineStr">
        <is>
          <t>VÄRMLANDS LÄN</t>
        </is>
      </c>
      <c r="E277" t="inlineStr">
        <is>
          <t>ÅRJÄNG</t>
        </is>
      </c>
      <c r="G277" t="n">
        <v>2.6</v>
      </c>
      <c r="H277" t="n">
        <v>0</v>
      </c>
      <c r="I277" t="n">
        <v>0</v>
      </c>
      <c r="J277" t="n">
        <v>0</v>
      </c>
      <c r="K277" t="n">
        <v>0</v>
      </c>
      <c r="L277" t="n">
        <v>0</v>
      </c>
      <c r="M277" t="n">
        <v>0</v>
      </c>
      <c r="N277" t="n">
        <v>0</v>
      </c>
      <c r="O277" t="n">
        <v>0</v>
      </c>
      <c r="P277" t="n">
        <v>0</v>
      </c>
      <c r="Q277" t="n">
        <v>0</v>
      </c>
      <c r="R277" s="2" t="inlineStr"/>
    </row>
    <row r="278" ht="15" customHeight="1">
      <c r="A278" t="inlineStr">
        <is>
          <t>A 53739-2021</t>
        </is>
      </c>
      <c r="B278" s="1" t="n">
        <v>44469</v>
      </c>
      <c r="C278" s="1" t="n">
        <v>45983</v>
      </c>
      <c r="D278" t="inlineStr">
        <is>
          <t>VÄRMLANDS LÄN</t>
        </is>
      </c>
      <c r="E278" t="inlineStr">
        <is>
          <t>ÅRJÄNG</t>
        </is>
      </c>
      <c r="G278" t="n">
        <v>15.9</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45983</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45983</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10899-2022</t>
        </is>
      </c>
      <c r="B281" s="1" t="n">
        <v>44627</v>
      </c>
      <c r="C281" s="1" t="n">
        <v>45983</v>
      </c>
      <c r="D281" t="inlineStr">
        <is>
          <t>VÄRMLANDS LÄN</t>
        </is>
      </c>
      <c r="E281" t="inlineStr">
        <is>
          <t>ÅRJÄNG</t>
        </is>
      </c>
      <c r="G281" t="n">
        <v>2.9</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45983</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50044-2022</t>
        </is>
      </c>
      <c r="B283" s="1" t="n">
        <v>44865</v>
      </c>
      <c r="C283" s="1" t="n">
        <v>45983</v>
      </c>
      <c r="D283" t="inlineStr">
        <is>
          <t>VÄRMLANDS LÄN</t>
        </is>
      </c>
      <c r="E283" t="inlineStr">
        <is>
          <t>ÅRJÄNG</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45983</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3980-2021</t>
        </is>
      </c>
      <c r="B285" s="1" t="n">
        <v>44217</v>
      </c>
      <c r="C285" s="1" t="n">
        <v>45983</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56778-2024</t>
        </is>
      </c>
      <c r="B286" s="1" t="n">
        <v>45628</v>
      </c>
      <c r="C286" s="1" t="n">
        <v>45983</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8831-2025</t>
        </is>
      </c>
      <c r="B287" s="1" t="n">
        <v>45712.90697916667</v>
      </c>
      <c r="C287" s="1" t="n">
        <v>45983</v>
      </c>
      <c r="D287" t="inlineStr">
        <is>
          <t>VÄRMLANDS LÄN</t>
        </is>
      </c>
      <c r="E287" t="inlineStr">
        <is>
          <t>ÅRJÄNG</t>
        </is>
      </c>
      <c r="G287" t="n">
        <v>32.9</v>
      </c>
      <c r="H287" t="n">
        <v>0</v>
      </c>
      <c r="I287" t="n">
        <v>0</v>
      </c>
      <c r="J287" t="n">
        <v>0</v>
      </c>
      <c r="K287" t="n">
        <v>0</v>
      </c>
      <c r="L287" t="n">
        <v>0</v>
      </c>
      <c r="M287" t="n">
        <v>0</v>
      </c>
      <c r="N287" t="n">
        <v>0</v>
      </c>
      <c r="O287" t="n">
        <v>0</v>
      </c>
      <c r="P287" t="n">
        <v>0</v>
      </c>
      <c r="Q287" t="n">
        <v>0</v>
      </c>
      <c r="R287" s="2" t="inlineStr"/>
    </row>
    <row r="288" ht="15" customHeight="1">
      <c r="A288" t="inlineStr">
        <is>
          <t>A 8834-2025</t>
        </is>
      </c>
      <c r="B288" s="1" t="n">
        <v>45712.921875</v>
      </c>
      <c r="C288" s="1" t="n">
        <v>45983</v>
      </c>
      <c r="D288" t="inlineStr">
        <is>
          <t>VÄRMLANDS LÄN</t>
        </is>
      </c>
      <c r="E288" t="inlineStr">
        <is>
          <t>ÅRJÄNG</t>
        </is>
      </c>
      <c r="G288" t="n">
        <v>2.2</v>
      </c>
      <c r="H288" t="n">
        <v>0</v>
      </c>
      <c r="I288" t="n">
        <v>0</v>
      </c>
      <c r="J288" t="n">
        <v>0</v>
      </c>
      <c r="K288" t="n">
        <v>0</v>
      </c>
      <c r="L288" t="n">
        <v>0</v>
      </c>
      <c r="M288" t="n">
        <v>0</v>
      </c>
      <c r="N288" t="n">
        <v>0</v>
      </c>
      <c r="O288" t="n">
        <v>0</v>
      </c>
      <c r="P288" t="n">
        <v>0</v>
      </c>
      <c r="Q288" t="n">
        <v>0</v>
      </c>
      <c r="R288" s="2" t="inlineStr"/>
    </row>
    <row r="289" ht="15" customHeight="1">
      <c r="A289" t="inlineStr">
        <is>
          <t>A 19964-2023</t>
        </is>
      </c>
      <c r="B289" s="1" t="n">
        <v>45051</v>
      </c>
      <c r="C289" s="1" t="n">
        <v>45983</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13001-2025</t>
        </is>
      </c>
      <c r="B290" s="1" t="n">
        <v>45734.49777777777</v>
      </c>
      <c r="C290" s="1" t="n">
        <v>45983</v>
      </c>
      <c r="D290" t="inlineStr">
        <is>
          <t>VÄRMLANDS LÄN</t>
        </is>
      </c>
      <c r="E290" t="inlineStr">
        <is>
          <t>ÅRJÄNG</t>
        </is>
      </c>
      <c r="G290" t="n">
        <v>15.8</v>
      </c>
      <c r="H290" t="n">
        <v>0</v>
      </c>
      <c r="I290" t="n">
        <v>0</v>
      </c>
      <c r="J290" t="n">
        <v>0</v>
      </c>
      <c r="K290" t="n">
        <v>0</v>
      </c>
      <c r="L290" t="n">
        <v>0</v>
      </c>
      <c r="M290" t="n">
        <v>0</v>
      </c>
      <c r="N290" t="n">
        <v>0</v>
      </c>
      <c r="O290" t="n">
        <v>0</v>
      </c>
      <c r="P290" t="n">
        <v>0</v>
      </c>
      <c r="Q290" t="n">
        <v>0</v>
      </c>
      <c r="R290" s="2" t="inlineStr"/>
    </row>
    <row r="291" ht="15" customHeight="1">
      <c r="A291" t="inlineStr">
        <is>
          <t>A 13002-2025</t>
        </is>
      </c>
      <c r="B291" s="1" t="n">
        <v>45734.50288194444</v>
      </c>
      <c r="C291" s="1" t="n">
        <v>45983</v>
      </c>
      <c r="D291" t="inlineStr">
        <is>
          <t>VÄRMLANDS LÄN</t>
        </is>
      </c>
      <c r="E291" t="inlineStr">
        <is>
          <t>ÅRJÄNG</t>
        </is>
      </c>
      <c r="G291" t="n">
        <v>2.4</v>
      </c>
      <c r="H291" t="n">
        <v>0</v>
      </c>
      <c r="I291" t="n">
        <v>0</v>
      </c>
      <c r="J291" t="n">
        <v>0</v>
      </c>
      <c r="K291" t="n">
        <v>0</v>
      </c>
      <c r="L291" t="n">
        <v>0</v>
      </c>
      <c r="M291" t="n">
        <v>0</v>
      </c>
      <c r="N291" t="n">
        <v>0</v>
      </c>
      <c r="O291" t="n">
        <v>0</v>
      </c>
      <c r="P291" t="n">
        <v>0</v>
      </c>
      <c r="Q291" t="n">
        <v>0</v>
      </c>
      <c r="R291" s="2" t="inlineStr"/>
    </row>
    <row r="292" ht="15" customHeight="1">
      <c r="A292" t="inlineStr">
        <is>
          <t>A 4668-2025</t>
        </is>
      </c>
      <c r="B292" s="1" t="n">
        <v>45687.76229166667</v>
      </c>
      <c r="C292" s="1" t="n">
        <v>45983</v>
      </c>
      <c r="D292" t="inlineStr">
        <is>
          <t>VÄRMLANDS LÄN</t>
        </is>
      </c>
      <c r="E292" t="inlineStr">
        <is>
          <t>ÅRJÄNG</t>
        </is>
      </c>
      <c r="G292" t="n">
        <v>8.5</v>
      </c>
      <c r="H292" t="n">
        <v>0</v>
      </c>
      <c r="I292" t="n">
        <v>0</v>
      </c>
      <c r="J292" t="n">
        <v>0</v>
      </c>
      <c r="K292" t="n">
        <v>0</v>
      </c>
      <c r="L292" t="n">
        <v>0</v>
      </c>
      <c r="M292" t="n">
        <v>0</v>
      </c>
      <c r="N292" t="n">
        <v>0</v>
      </c>
      <c r="O292" t="n">
        <v>0</v>
      </c>
      <c r="P292" t="n">
        <v>0</v>
      </c>
      <c r="Q292" t="n">
        <v>0</v>
      </c>
      <c r="R292" s="2" t="inlineStr"/>
    </row>
    <row r="293" ht="15" customHeight="1">
      <c r="A293" t="inlineStr">
        <is>
          <t>A 54961-2024</t>
        </is>
      </c>
      <c r="B293" s="1" t="n">
        <v>45619.9753125</v>
      </c>
      <c r="C293" s="1" t="n">
        <v>45983</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5122-2025</t>
        </is>
      </c>
      <c r="B294" s="1" t="n">
        <v>45691.55863425926</v>
      </c>
      <c r="C294" s="1" t="n">
        <v>45983</v>
      </c>
      <c r="D294" t="inlineStr">
        <is>
          <t>VÄRMLANDS LÄN</t>
        </is>
      </c>
      <c r="E294" t="inlineStr">
        <is>
          <t>ÅRJÄNG</t>
        </is>
      </c>
      <c r="G294" t="n">
        <v>5.7</v>
      </c>
      <c r="H294" t="n">
        <v>0</v>
      </c>
      <c r="I294" t="n">
        <v>0</v>
      </c>
      <c r="J294" t="n">
        <v>0</v>
      </c>
      <c r="K294" t="n">
        <v>0</v>
      </c>
      <c r="L294" t="n">
        <v>0</v>
      </c>
      <c r="M294" t="n">
        <v>0</v>
      </c>
      <c r="N294" t="n">
        <v>0</v>
      </c>
      <c r="O294" t="n">
        <v>0</v>
      </c>
      <c r="P294" t="n">
        <v>0</v>
      </c>
      <c r="Q294" t="n">
        <v>0</v>
      </c>
      <c r="R294" s="2" t="inlineStr"/>
    </row>
    <row r="295" ht="15" customHeight="1">
      <c r="A295" t="inlineStr">
        <is>
          <t>A 16079-2024</t>
        </is>
      </c>
      <c r="B295" s="1" t="n">
        <v>45406</v>
      </c>
      <c r="C295" s="1" t="n">
        <v>45983</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12072-2024</t>
        </is>
      </c>
      <c r="B296" s="1" t="n">
        <v>45377</v>
      </c>
      <c r="C296" s="1" t="n">
        <v>45983</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47228-2023</t>
        </is>
      </c>
      <c r="B297" s="1" t="n">
        <v>45202.3709837963</v>
      </c>
      <c r="C297" s="1" t="n">
        <v>45983</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16791-2025</t>
        </is>
      </c>
      <c r="B298" s="1" t="n">
        <v>45754</v>
      </c>
      <c r="C298" s="1" t="n">
        <v>45983</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11805-2024</t>
        </is>
      </c>
      <c r="B299" s="1" t="n">
        <v>45375.76523148148</v>
      </c>
      <c r="C299" s="1" t="n">
        <v>45983</v>
      </c>
      <c r="D299" t="inlineStr">
        <is>
          <t>VÄRMLANDS LÄN</t>
        </is>
      </c>
      <c r="E299" t="inlineStr">
        <is>
          <t>ÅRJÄNG</t>
        </is>
      </c>
      <c r="G299" t="n">
        <v>4.4</v>
      </c>
      <c r="H299" t="n">
        <v>0</v>
      </c>
      <c r="I299" t="n">
        <v>0</v>
      </c>
      <c r="J299" t="n">
        <v>0</v>
      </c>
      <c r="K299" t="n">
        <v>0</v>
      </c>
      <c r="L299" t="n">
        <v>0</v>
      </c>
      <c r="M299" t="n">
        <v>0</v>
      </c>
      <c r="N299" t="n">
        <v>0</v>
      </c>
      <c r="O299" t="n">
        <v>0</v>
      </c>
      <c r="P299" t="n">
        <v>0</v>
      </c>
      <c r="Q299" t="n">
        <v>0</v>
      </c>
      <c r="R299" s="2" t="inlineStr"/>
    </row>
    <row r="300" ht="15" customHeight="1">
      <c r="A300" t="inlineStr">
        <is>
          <t>A 15828-2024</t>
        </is>
      </c>
      <c r="B300" s="1" t="n">
        <v>45404</v>
      </c>
      <c r="C300" s="1" t="n">
        <v>45983</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47688-2023</t>
        </is>
      </c>
      <c r="B301" s="1" t="n">
        <v>45203</v>
      </c>
      <c r="C301" s="1" t="n">
        <v>45983</v>
      </c>
      <c r="D301" t="inlineStr">
        <is>
          <t>VÄRMLANDS LÄN</t>
        </is>
      </c>
      <c r="E301" t="inlineStr">
        <is>
          <t>ÅRJÄNG</t>
        </is>
      </c>
      <c r="F301" t="inlineStr">
        <is>
          <t>Övriga Aktiebolag</t>
        </is>
      </c>
      <c r="G301" t="n">
        <v>20.3</v>
      </c>
      <c r="H301" t="n">
        <v>0</v>
      </c>
      <c r="I301" t="n">
        <v>0</v>
      </c>
      <c r="J301" t="n">
        <v>0</v>
      </c>
      <c r="K301" t="n">
        <v>0</v>
      </c>
      <c r="L301" t="n">
        <v>0</v>
      </c>
      <c r="M301" t="n">
        <v>0</v>
      </c>
      <c r="N301" t="n">
        <v>0</v>
      </c>
      <c r="O301" t="n">
        <v>0</v>
      </c>
      <c r="P301" t="n">
        <v>0</v>
      </c>
      <c r="Q301" t="n">
        <v>0</v>
      </c>
      <c r="R301" s="2" t="inlineStr"/>
    </row>
    <row r="302" ht="15" customHeight="1">
      <c r="A302" t="inlineStr">
        <is>
          <t>A 30459-2022</t>
        </is>
      </c>
      <c r="B302" s="1" t="n">
        <v>44761</v>
      </c>
      <c r="C302" s="1" t="n">
        <v>45983</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7444-2024</t>
        </is>
      </c>
      <c r="B303" s="1" t="n">
        <v>45345.72637731482</v>
      </c>
      <c r="C303" s="1" t="n">
        <v>45983</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40490-2022</t>
        </is>
      </c>
      <c r="B304" s="1" t="n">
        <v>44823.58560185185</v>
      </c>
      <c r="C304" s="1" t="n">
        <v>45983</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19511-2024</t>
        </is>
      </c>
      <c r="B305" s="1" t="n">
        <v>45429.6099537037</v>
      </c>
      <c r="C305" s="1" t="n">
        <v>45983</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19516-2024</t>
        </is>
      </c>
      <c r="B306" s="1" t="n">
        <v>45429.61491898148</v>
      </c>
      <c r="C306" s="1" t="n">
        <v>45983</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6034-2021</t>
        </is>
      </c>
      <c r="B307" s="1" t="n">
        <v>44232.33623842592</v>
      </c>
      <c r="C307" s="1" t="n">
        <v>45983</v>
      </c>
      <c r="D307" t="inlineStr">
        <is>
          <t>VÄRMLANDS LÄN</t>
        </is>
      </c>
      <c r="E307" t="inlineStr">
        <is>
          <t>ÅRJÄNG</t>
        </is>
      </c>
      <c r="G307" t="n">
        <v>0.5</v>
      </c>
      <c r="H307" t="n">
        <v>0</v>
      </c>
      <c r="I307" t="n">
        <v>0</v>
      </c>
      <c r="J307" t="n">
        <v>0</v>
      </c>
      <c r="K307" t="n">
        <v>0</v>
      </c>
      <c r="L307" t="n">
        <v>0</v>
      </c>
      <c r="M307" t="n">
        <v>0</v>
      </c>
      <c r="N307" t="n">
        <v>0</v>
      </c>
      <c r="O307" t="n">
        <v>0</v>
      </c>
      <c r="P307" t="n">
        <v>0</v>
      </c>
      <c r="Q307" t="n">
        <v>0</v>
      </c>
      <c r="R307" s="2" t="inlineStr"/>
    </row>
    <row r="308" ht="15" customHeight="1">
      <c r="A308" t="inlineStr">
        <is>
          <t>A 59385-2023</t>
        </is>
      </c>
      <c r="B308" s="1" t="n">
        <v>45253</v>
      </c>
      <c r="C308" s="1" t="n">
        <v>45983</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13036-2025</t>
        </is>
      </c>
      <c r="B309" s="1" t="n">
        <v>45734.57474537037</v>
      </c>
      <c r="C309" s="1" t="n">
        <v>45983</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13734-2024</t>
        </is>
      </c>
      <c r="B310" s="1" t="n">
        <v>45387</v>
      </c>
      <c r="C310" s="1" t="n">
        <v>45983</v>
      </c>
      <c r="D310" t="inlineStr">
        <is>
          <t>VÄRMLANDS LÄN</t>
        </is>
      </c>
      <c r="E310" t="inlineStr">
        <is>
          <t>ÅRJÄNG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13824-2024</t>
        </is>
      </c>
      <c r="B311" s="1" t="n">
        <v>45391.42951388889</v>
      </c>
      <c r="C311" s="1" t="n">
        <v>45983</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9909-2024</t>
        </is>
      </c>
      <c r="B312" s="1" t="n">
        <v>45363.53642361111</v>
      </c>
      <c r="C312" s="1" t="n">
        <v>45983</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15148-2025</t>
        </is>
      </c>
      <c r="B313" s="1" t="n">
        <v>45744.45298611111</v>
      </c>
      <c r="C313" s="1" t="n">
        <v>45983</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935-2021</t>
        </is>
      </c>
      <c r="B314" s="1" t="n">
        <v>44207</v>
      </c>
      <c r="C314" s="1" t="n">
        <v>45983</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45983</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51109-2022</t>
        </is>
      </c>
      <c r="B316" s="1" t="n">
        <v>44868.43569444444</v>
      </c>
      <c r="C316" s="1" t="n">
        <v>45983</v>
      </c>
      <c r="D316" t="inlineStr">
        <is>
          <t>VÄRMLANDS LÄN</t>
        </is>
      </c>
      <c r="E316" t="inlineStr">
        <is>
          <t>ÅRJÄNG</t>
        </is>
      </c>
      <c r="G316" t="n">
        <v>4.3</v>
      </c>
      <c r="H316" t="n">
        <v>0</v>
      </c>
      <c r="I316" t="n">
        <v>0</v>
      </c>
      <c r="J316" t="n">
        <v>0</v>
      </c>
      <c r="K316" t="n">
        <v>0</v>
      </c>
      <c r="L316" t="n">
        <v>0</v>
      </c>
      <c r="M316" t="n">
        <v>0</v>
      </c>
      <c r="N316" t="n">
        <v>0</v>
      </c>
      <c r="O316" t="n">
        <v>0</v>
      </c>
      <c r="P316" t="n">
        <v>0</v>
      </c>
      <c r="Q316" t="n">
        <v>0</v>
      </c>
      <c r="R316" s="2" t="inlineStr"/>
    </row>
    <row r="317" ht="15" customHeight="1">
      <c r="A317" t="inlineStr">
        <is>
          <t>A 41986-2022</t>
        </is>
      </c>
      <c r="B317" s="1" t="n">
        <v>44830.4380787037</v>
      </c>
      <c r="C317" s="1" t="n">
        <v>45983</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26880-2023</t>
        </is>
      </c>
      <c r="B318" s="1" t="n">
        <v>45093.58373842593</v>
      </c>
      <c r="C318" s="1" t="n">
        <v>45983</v>
      </c>
      <c r="D318" t="inlineStr">
        <is>
          <t>VÄRMLANDS LÄN</t>
        </is>
      </c>
      <c r="E318" t="inlineStr">
        <is>
          <t>ÅRJÄNG</t>
        </is>
      </c>
      <c r="G318" t="n">
        <v>3.6</v>
      </c>
      <c r="H318" t="n">
        <v>0</v>
      </c>
      <c r="I318" t="n">
        <v>0</v>
      </c>
      <c r="J318" t="n">
        <v>0</v>
      </c>
      <c r="K318" t="n">
        <v>0</v>
      </c>
      <c r="L318" t="n">
        <v>0</v>
      </c>
      <c r="M318" t="n">
        <v>0</v>
      </c>
      <c r="N318" t="n">
        <v>0</v>
      </c>
      <c r="O318" t="n">
        <v>0</v>
      </c>
      <c r="P318" t="n">
        <v>0</v>
      </c>
      <c r="Q318" t="n">
        <v>0</v>
      </c>
      <c r="R318" s="2" t="inlineStr"/>
    </row>
    <row r="319" ht="15" customHeight="1">
      <c r="A319" t="inlineStr">
        <is>
          <t>A 13998-2024</t>
        </is>
      </c>
      <c r="B319" s="1" t="n">
        <v>45392</v>
      </c>
      <c r="C319" s="1" t="n">
        <v>45983</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15953-2025</t>
        </is>
      </c>
      <c r="B320" s="1" t="n">
        <v>45749</v>
      </c>
      <c r="C320" s="1" t="n">
        <v>45983</v>
      </c>
      <c r="D320" t="inlineStr">
        <is>
          <t>VÄRMLANDS LÄN</t>
        </is>
      </c>
      <c r="E320" t="inlineStr">
        <is>
          <t>ÅRJÄNG</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22352-2025</t>
        </is>
      </c>
      <c r="B321" s="1" t="n">
        <v>45786.45491898148</v>
      </c>
      <c r="C321" s="1" t="n">
        <v>45983</v>
      </c>
      <c r="D321" t="inlineStr">
        <is>
          <t>VÄRMLANDS LÄN</t>
        </is>
      </c>
      <c r="E321" t="inlineStr">
        <is>
          <t>ÅRJÄNG</t>
        </is>
      </c>
      <c r="G321" t="n">
        <v>5.4</v>
      </c>
      <c r="H321" t="n">
        <v>0</v>
      </c>
      <c r="I321" t="n">
        <v>0</v>
      </c>
      <c r="J321" t="n">
        <v>0</v>
      </c>
      <c r="K321" t="n">
        <v>0</v>
      </c>
      <c r="L321" t="n">
        <v>0</v>
      </c>
      <c r="M321" t="n">
        <v>0</v>
      </c>
      <c r="N321" t="n">
        <v>0</v>
      </c>
      <c r="O321" t="n">
        <v>0</v>
      </c>
      <c r="P321" t="n">
        <v>0</v>
      </c>
      <c r="Q321" t="n">
        <v>0</v>
      </c>
      <c r="R321" s="2" t="inlineStr"/>
    </row>
    <row r="322" ht="15" customHeight="1">
      <c r="A322" t="inlineStr">
        <is>
          <t>A 63203-2021</t>
        </is>
      </c>
      <c r="B322" s="1" t="n">
        <v>44507.78568287037</v>
      </c>
      <c r="C322" s="1" t="n">
        <v>45983</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8094-2025</t>
        </is>
      </c>
      <c r="B323" s="1" t="n">
        <v>45707.68126157407</v>
      </c>
      <c r="C323" s="1" t="n">
        <v>45983</v>
      </c>
      <c r="D323" t="inlineStr">
        <is>
          <t>VÄRMLANDS LÄN</t>
        </is>
      </c>
      <c r="E323" t="inlineStr">
        <is>
          <t>ÅRJÄNG</t>
        </is>
      </c>
      <c r="G323" t="n">
        <v>12.6</v>
      </c>
      <c r="H323" t="n">
        <v>0</v>
      </c>
      <c r="I323" t="n">
        <v>0</v>
      </c>
      <c r="J323" t="n">
        <v>0</v>
      </c>
      <c r="K323" t="n">
        <v>0</v>
      </c>
      <c r="L323" t="n">
        <v>0</v>
      </c>
      <c r="M323" t="n">
        <v>0</v>
      </c>
      <c r="N323" t="n">
        <v>0</v>
      </c>
      <c r="O323" t="n">
        <v>0</v>
      </c>
      <c r="P323" t="n">
        <v>0</v>
      </c>
      <c r="Q323" t="n">
        <v>0</v>
      </c>
      <c r="R323" s="2" t="inlineStr"/>
    </row>
    <row r="324" ht="15" customHeight="1">
      <c r="A324" t="inlineStr">
        <is>
          <t>A 14768-2024</t>
        </is>
      </c>
      <c r="B324" s="1" t="n">
        <v>45397</v>
      </c>
      <c r="C324" s="1" t="n">
        <v>45983</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44647-2021</t>
        </is>
      </c>
      <c r="B325" s="1" t="n">
        <v>44437.83967592593</v>
      </c>
      <c r="C325" s="1" t="n">
        <v>45983</v>
      </c>
      <c r="D325" t="inlineStr">
        <is>
          <t>VÄRMLANDS LÄN</t>
        </is>
      </c>
      <c r="E325" t="inlineStr">
        <is>
          <t>ÅRJÄNG</t>
        </is>
      </c>
      <c r="G325" t="n">
        <v>3</v>
      </c>
      <c r="H325" t="n">
        <v>0</v>
      </c>
      <c r="I325" t="n">
        <v>0</v>
      </c>
      <c r="J325" t="n">
        <v>0</v>
      </c>
      <c r="K325" t="n">
        <v>0</v>
      </c>
      <c r="L325" t="n">
        <v>0</v>
      </c>
      <c r="M325" t="n">
        <v>0</v>
      </c>
      <c r="N325" t="n">
        <v>0</v>
      </c>
      <c r="O325" t="n">
        <v>0</v>
      </c>
      <c r="P325" t="n">
        <v>0</v>
      </c>
      <c r="Q325" t="n">
        <v>0</v>
      </c>
      <c r="R325" s="2" t="inlineStr"/>
    </row>
    <row r="326" ht="15" customHeight="1">
      <c r="A326" t="inlineStr">
        <is>
          <t>A 22281-2025</t>
        </is>
      </c>
      <c r="B326" s="1" t="n">
        <v>45786.33900462963</v>
      </c>
      <c r="C326" s="1" t="n">
        <v>45983</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45983</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540-2024</t>
        </is>
      </c>
      <c r="B328" s="1" t="n">
        <v>45299</v>
      </c>
      <c r="C328" s="1" t="n">
        <v>45983</v>
      </c>
      <c r="D328" t="inlineStr">
        <is>
          <t>VÄRMLANDS LÄN</t>
        </is>
      </c>
      <c r="E328" t="inlineStr">
        <is>
          <t>ÅRJÄNG</t>
        </is>
      </c>
      <c r="F328" t="inlineStr">
        <is>
          <t>Kyrkan</t>
        </is>
      </c>
      <c r="G328" t="n">
        <v>7</v>
      </c>
      <c r="H328" t="n">
        <v>0</v>
      </c>
      <c r="I328" t="n">
        <v>0</v>
      </c>
      <c r="J328" t="n">
        <v>0</v>
      </c>
      <c r="K328" t="n">
        <v>0</v>
      </c>
      <c r="L328" t="n">
        <v>0</v>
      </c>
      <c r="M328" t="n">
        <v>0</v>
      </c>
      <c r="N328" t="n">
        <v>0</v>
      </c>
      <c r="O328" t="n">
        <v>0</v>
      </c>
      <c r="P328" t="n">
        <v>0</v>
      </c>
      <c r="Q328" t="n">
        <v>0</v>
      </c>
      <c r="R328" s="2" t="inlineStr"/>
    </row>
    <row r="329" ht="15" customHeight="1">
      <c r="A329" t="inlineStr">
        <is>
          <t>A 19410-2024</t>
        </is>
      </c>
      <c r="B329" s="1" t="n">
        <v>45429</v>
      </c>
      <c r="C329" s="1" t="n">
        <v>45983</v>
      </c>
      <c r="D329" t="inlineStr">
        <is>
          <t>VÄRMLANDS LÄN</t>
        </is>
      </c>
      <c r="E329" t="inlineStr">
        <is>
          <t>ÅRJÄNG</t>
        </is>
      </c>
      <c r="G329" t="n">
        <v>7.9</v>
      </c>
      <c r="H329" t="n">
        <v>0</v>
      </c>
      <c r="I329" t="n">
        <v>0</v>
      </c>
      <c r="J329" t="n">
        <v>0</v>
      </c>
      <c r="K329" t="n">
        <v>0</v>
      </c>
      <c r="L329" t="n">
        <v>0</v>
      </c>
      <c r="M329" t="n">
        <v>0</v>
      </c>
      <c r="N329" t="n">
        <v>0</v>
      </c>
      <c r="O329" t="n">
        <v>0</v>
      </c>
      <c r="P329" t="n">
        <v>0</v>
      </c>
      <c r="Q329" t="n">
        <v>0</v>
      </c>
      <c r="R329" s="2" t="inlineStr"/>
    </row>
    <row r="330" ht="15" customHeight="1">
      <c r="A330" t="inlineStr">
        <is>
          <t>A 23048-2024</t>
        </is>
      </c>
      <c r="B330" s="1" t="n">
        <v>45450.42488425926</v>
      </c>
      <c r="C330" s="1" t="n">
        <v>45983</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23051-2024</t>
        </is>
      </c>
      <c r="B331" s="1" t="n">
        <v>45450.42902777778</v>
      </c>
      <c r="C331" s="1" t="n">
        <v>45983</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22667-2025</t>
        </is>
      </c>
      <c r="B332" s="1" t="n">
        <v>45789</v>
      </c>
      <c r="C332" s="1" t="n">
        <v>45983</v>
      </c>
      <c r="D332" t="inlineStr">
        <is>
          <t>VÄRMLANDS LÄN</t>
        </is>
      </c>
      <c r="E332" t="inlineStr">
        <is>
          <t>ÅRJÄNG</t>
        </is>
      </c>
      <c r="G332" t="n">
        <v>4.4</v>
      </c>
      <c r="H332" t="n">
        <v>0</v>
      </c>
      <c r="I332" t="n">
        <v>0</v>
      </c>
      <c r="J332" t="n">
        <v>0</v>
      </c>
      <c r="K332" t="n">
        <v>0</v>
      </c>
      <c r="L332" t="n">
        <v>0</v>
      </c>
      <c r="M332" t="n">
        <v>0</v>
      </c>
      <c r="N332" t="n">
        <v>0</v>
      </c>
      <c r="O332" t="n">
        <v>0</v>
      </c>
      <c r="P332" t="n">
        <v>0</v>
      </c>
      <c r="Q332" t="n">
        <v>0</v>
      </c>
      <c r="R332" s="2" t="inlineStr"/>
    </row>
    <row r="333" ht="15" customHeight="1">
      <c r="A333" t="inlineStr">
        <is>
          <t>A 26259-2024</t>
        </is>
      </c>
      <c r="B333" s="1" t="n">
        <v>45468</v>
      </c>
      <c r="C333" s="1" t="n">
        <v>45983</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4404-2025</t>
        </is>
      </c>
      <c r="B334" s="1" t="n">
        <v>45686</v>
      </c>
      <c r="C334" s="1" t="n">
        <v>45983</v>
      </c>
      <c r="D334" t="inlineStr">
        <is>
          <t>VÄRMLANDS LÄN</t>
        </is>
      </c>
      <c r="E334" t="inlineStr">
        <is>
          <t>ÅRJÄNG</t>
        </is>
      </c>
      <c r="F334" t="inlineStr">
        <is>
          <t>Kyrkan</t>
        </is>
      </c>
      <c r="G334" t="n">
        <v>4.8</v>
      </c>
      <c r="H334" t="n">
        <v>0</v>
      </c>
      <c r="I334" t="n">
        <v>0</v>
      </c>
      <c r="J334" t="n">
        <v>0</v>
      </c>
      <c r="K334" t="n">
        <v>0</v>
      </c>
      <c r="L334" t="n">
        <v>0</v>
      </c>
      <c r="M334" t="n">
        <v>0</v>
      </c>
      <c r="N334" t="n">
        <v>0</v>
      </c>
      <c r="O334" t="n">
        <v>0</v>
      </c>
      <c r="P334" t="n">
        <v>0</v>
      </c>
      <c r="Q334" t="n">
        <v>0</v>
      </c>
      <c r="R334" s="2" t="inlineStr"/>
    </row>
    <row r="335" ht="15" customHeight="1">
      <c r="A335" t="inlineStr">
        <is>
          <t>A 23039-2025</t>
        </is>
      </c>
      <c r="B335" s="1" t="n">
        <v>45790</v>
      </c>
      <c r="C335" s="1" t="n">
        <v>45983</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57062-2022</t>
        </is>
      </c>
      <c r="B336" s="1" t="n">
        <v>44895.40797453704</v>
      </c>
      <c r="C336" s="1" t="n">
        <v>45983</v>
      </c>
      <c r="D336" t="inlineStr">
        <is>
          <t>VÄRMLANDS LÄN</t>
        </is>
      </c>
      <c r="E336" t="inlineStr">
        <is>
          <t>ÅRJÄNG</t>
        </is>
      </c>
      <c r="G336" t="n">
        <v>2.2</v>
      </c>
      <c r="H336" t="n">
        <v>0</v>
      </c>
      <c r="I336" t="n">
        <v>0</v>
      </c>
      <c r="J336" t="n">
        <v>0</v>
      </c>
      <c r="K336" t="n">
        <v>0</v>
      </c>
      <c r="L336" t="n">
        <v>0</v>
      </c>
      <c r="M336" t="n">
        <v>0</v>
      </c>
      <c r="N336" t="n">
        <v>0</v>
      </c>
      <c r="O336" t="n">
        <v>0</v>
      </c>
      <c r="P336" t="n">
        <v>0</v>
      </c>
      <c r="Q336" t="n">
        <v>0</v>
      </c>
      <c r="R336" s="2" t="inlineStr"/>
    </row>
    <row r="337" ht="15" customHeight="1">
      <c r="A337" t="inlineStr">
        <is>
          <t>A 24893-2024</t>
        </is>
      </c>
      <c r="B337" s="1" t="n">
        <v>45461.57194444445</v>
      </c>
      <c r="C337" s="1" t="n">
        <v>45983</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34032-2021</t>
        </is>
      </c>
      <c r="B338" s="1" t="n">
        <v>44378</v>
      </c>
      <c r="C338" s="1" t="n">
        <v>45983</v>
      </c>
      <c r="D338" t="inlineStr">
        <is>
          <t>VÄRMLANDS LÄN</t>
        </is>
      </c>
      <c r="E338" t="inlineStr">
        <is>
          <t>ÅRJÄNG</t>
        </is>
      </c>
      <c r="F338" t="inlineStr">
        <is>
          <t>Övriga Aktiebolag</t>
        </is>
      </c>
      <c r="G338" t="n">
        <v>1.4</v>
      </c>
      <c r="H338" t="n">
        <v>0</v>
      </c>
      <c r="I338" t="n">
        <v>0</v>
      </c>
      <c r="J338" t="n">
        <v>0</v>
      </c>
      <c r="K338" t="n">
        <v>0</v>
      </c>
      <c r="L338" t="n">
        <v>0</v>
      </c>
      <c r="M338" t="n">
        <v>0</v>
      </c>
      <c r="N338" t="n">
        <v>0</v>
      </c>
      <c r="O338" t="n">
        <v>0</v>
      </c>
      <c r="P338" t="n">
        <v>0</v>
      </c>
      <c r="Q338" t="n">
        <v>0</v>
      </c>
      <c r="R338" s="2" t="inlineStr"/>
    </row>
    <row r="339" ht="15" customHeight="1">
      <c r="A339" t="inlineStr">
        <is>
          <t>A 28115-2025</t>
        </is>
      </c>
      <c r="B339" s="1" t="n">
        <v>45818</v>
      </c>
      <c r="C339" s="1" t="n">
        <v>45983</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22556-2025</t>
        </is>
      </c>
      <c r="B340" s="1" t="n">
        <v>45788.93663194445</v>
      </c>
      <c r="C340" s="1" t="n">
        <v>45983</v>
      </c>
      <c r="D340" t="inlineStr">
        <is>
          <t>VÄRMLANDS LÄN</t>
        </is>
      </c>
      <c r="E340" t="inlineStr">
        <is>
          <t>ÅRJÄNG</t>
        </is>
      </c>
      <c r="G340" t="n">
        <v>1.9</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45983</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45983</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37026-2024</t>
        </is>
      </c>
      <c r="B343" s="1" t="n">
        <v>45539</v>
      </c>
      <c r="C343" s="1" t="n">
        <v>45983</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45983</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11899-2025</t>
        </is>
      </c>
      <c r="B345" s="1" t="n">
        <v>45728</v>
      </c>
      <c r="C345" s="1" t="n">
        <v>45983</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22635-2025</t>
        </is>
      </c>
      <c r="B346" s="1" t="n">
        <v>45789</v>
      </c>
      <c r="C346" s="1" t="n">
        <v>45983</v>
      </c>
      <c r="D346" t="inlineStr">
        <is>
          <t>VÄRMLANDS LÄN</t>
        </is>
      </c>
      <c r="E346" t="inlineStr">
        <is>
          <t>ÅRJÄNG</t>
        </is>
      </c>
      <c r="G346" t="n">
        <v>5.2</v>
      </c>
      <c r="H346" t="n">
        <v>0</v>
      </c>
      <c r="I346" t="n">
        <v>0</v>
      </c>
      <c r="J346" t="n">
        <v>0</v>
      </c>
      <c r="K346" t="n">
        <v>0</v>
      </c>
      <c r="L346" t="n">
        <v>0</v>
      </c>
      <c r="M346" t="n">
        <v>0</v>
      </c>
      <c r="N346" t="n">
        <v>0</v>
      </c>
      <c r="O346" t="n">
        <v>0</v>
      </c>
      <c r="P346" t="n">
        <v>0</v>
      </c>
      <c r="Q346" t="n">
        <v>0</v>
      </c>
      <c r="R346" s="2" t="inlineStr"/>
    </row>
    <row r="347" ht="15" customHeight="1">
      <c r="A347" t="inlineStr">
        <is>
          <t>A 24281-2024</t>
        </is>
      </c>
      <c r="B347" s="1" t="n">
        <v>45457</v>
      </c>
      <c r="C347" s="1" t="n">
        <v>45983</v>
      </c>
      <c r="D347" t="inlineStr">
        <is>
          <t>VÄRMLANDS LÄN</t>
        </is>
      </c>
      <c r="E347" t="inlineStr">
        <is>
          <t>ÅRJÄNG</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21081-2023</t>
        </is>
      </c>
      <c r="B348" s="1" t="n">
        <v>45057</v>
      </c>
      <c r="C348" s="1" t="n">
        <v>45983</v>
      </c>
      <c r="D348" t="inlineStr">
        <is>
          <t>VÄRMLANDS LÄN</t>
        </is>
      </c>
      <c r="E348" t="inlineStr">
        <is>
          <t>ÅRJÄNG</t>
        </is>
      </c>
      <c r="G348" t="n">
        <v>5.1</v>
      </c>
      <c r="H348" t="n">
        <v>0</v>
      </c>
      <c r="I348" t="n">
        <v>0</v>
      </c>
      <c r="J348" t="n">
        <v>0</v>
      </c>
      <c r="K348" t="n">
        <v>0</v>
      </c>
      <c r="L348" t="n">
        <v>0</v>
      </c>
      <c r="M348" t="n">
        <v>0</v>
      </c>
      <c r="N348" t="n">
        <v>0</v>
      </c>
      <c r="O348" t="n">
        <v>0</v>
      </c>
      <c r="P348" t="n">
        <v>0</v>
      </c>
      <c r="Q348" t="n">
        <v>0</v>
      </c>
      <c r="R348" s="2" t="inlineStr"/>
    </row>
    <row r="349" ht="15" customHeight="1">
      <c r="A349" t="inlineStr">
        <is>
          <t>A 19850-2025</t>
        </is>
      </c>
      <c r="B349" s="1" t="n">
        <v>45771</v>
      </c>
      <c r="C349" s="1" t="n">
        <v>45983</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22727-2025</t>
        </is>
      </c>
      <c r="B350" s="1" t="n">
        <v>45789.5744212963</v>
      </c>
      <c r="C350" s="1" t="n">
        <v>45983</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12352-2021</t>
        </is>
      </c>
      <c r="B351" s="1" t="n">
        <v>44267.44386574074</v>
      </c>
      <c r="C351" s="1" t="n">
        <v>45983</v>
      </c>
      <c r="D351" t="inlineStr">
        <is>
          <t>VÄRMLANDS LÄN</t>
        </is>
      </c>
      <c r="E351" t="inlineStr">
        <is>
          <t>ÅRJÄNG</t>
        </is>
      </c>
      <c r="G351" t="n">
        <v>7.1</v>
      </c>
      <c r="H351" t="n">
        <v>0</v>
      </c>
      <c r="I351" t="n">
        <v>0</v>
      </c>
      <c r="J351" t="n">
        <v>0</v>
      </c>
      <c r="K351" t="n">
        <v>0</v>
      </c>
      <c r="L351" t="n">
        <v>0</v>
      </c>
      <c r="M351" t="n">
        <v>0</v>
      </c>
      <c r="N351" t="n">
        <v>0</v>
      </c>
      <c r="O351" t="n">
        <v>0</v>
      </c>
      <c r="P351" t="n">
        <v>0</v>
      </c>
      <c r="Q351" t="n">
        <v>0</v>
      </c>
      <c r="R351" s="2" t="inlineStr"/>
    </row>
    <row r="352" ht="15" customHeight="1">
      <c r="A352" t="inlineStr">
        <is>
          <t>A 19877-2025</t>
        </is>
      </c>
      <c r="B352" s="1" t="n">
        <v>45771.55351851852</v>
      </c>
      <c r="C352" s="1" t="n">
        <v>45983</v>
      </c>
      <c r="D352" t="inlineStr">
        <is>
          <t>VÄRMLANDS LÄN</t>
        </is>
      </c>
      <c r="E352" t="inlineStr">
        <is>
          <t>ÅRJÄNG</t>
        </is>
      </c>
      <c r="G352" t="n">
        <v>6.3</v>
      </c>
      <c r="H352" t="n">
        <v>0</v>
      </c>
      <c r="I352" t="n">
        <v>0</v>
      </c>
      <c r="J352" t="n">
        <v>0</v>
      </c>
      <c r="K352" t="n">
        <v>0</v>
      </c>
      <c r="L352" t="n">
        <v>0</v>
      </c>
      <c r="M352" t="n">
        <v>0</v>
      </c>
      <c r="N352" t="n">
        <v>0</v>
      </c>
      <c r="O352" t="n">
        <v>0</v>
      </c>
      <c r="P352" t="n">
        <v>0</v>
      </c>
      <c r="Q352" t="n">
        <v>0</v>
      </c>
      <c r="R352" s="2" t="inlineStr"/>
    </row>
    <row r="353" ht="15" customHeight="1">
      <c r="A353" t="inlineStr">
        <is>
          <t>A 43659-2024</t>
        </is>
      </c>
      <c r="B353" s="1" t="n">
        <v>45569</v>
      </c>
      <c r="C353" s="1" t="n">
        <v>45983</v>
      </c>
      <c r="D353" t="inlineStr">
        <is>
          <t>VÄRMLANDS LÄN</t>
        </is>
      </c>
      <c r="E353" t="inlineStr">
        <is>
          <t>ÅRJÄNG</t>
        </is>
      </c>
      <c r="G353" t="n">
        <v>6</v>
      </c>
      <c r="H353" t="n">
        <v>0</v>
      </c>
      <c r="I353" t="n">
        <v>0</v>
      </c>
      <c r="J353" t="n">
        <v>0</v>
      </c>
      <c r="K353" t="n">
        <v>0</v>
      </c>
      <c r="L353" t="n">
        <v>0</v>
      </c>
      <c r="M353" t="n">
        <v>0</v>
      </c>
      <c r="N353" t="n">
        <v>0</v>
      </c>
      <c r="O353" t="n">
        <v>0</v>
      </c>
      <c r="P353" t="n">
        <v>0</v>
      </c>
      <c r="Q353" t="n">
        <v>0</v>
      </c>
      <c r="R353" s="2" t="inlineStr"/>
    </row>
    <row r="354" ht="15" customHeight="1">
      <c r="A354" t="inlineStr">
        <is>
          <t>A 23216-2023</t>
        </is>
      </c>
      <c r="B354" s="1" t="n">
        <v>45075</v>
      </c>
      <c r="C354" s="1" t="n">
        <v>45983</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58436-2023</t>
        </is>
      </c>
      <c r="B355" s="1" t="n">
        <v>45250</v>
      </c>
      <c r="C355" s="1" t="n">
        <v>45983</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74086-2021</t>
        </is>
      </c>
      <c r="B356" s="1" t="n">
        <v>44557.58112268519</v>
      </c>
      <c r="C356" s="1" t="n">
        <v>45983</v>
      </c>
      <c r="D356" t="inlineStr">
        <is>
          <t>VÄRMLANDS LÄN</t>
        </is>
      </c>
      <c r="E356" t="inlineStr">
        <is>
          <t>ÅRJÄNG</t>
        </is>
      </c>
      <c r="G356" t="n">
        <v>3.6</v>
      </c>
      <c r="H356" t="n">
        <v>0</v>
      </c>
      <c r="I356" t="n">
        <v>0</v>
      </c>
      <c r="J356" t="n">
        <v>0</v>
      </c>
      <c r="K356" t="n">
        <v>0</v>
      </c>
      <c r="L356" t="n">
        <v>0</v>
      </c>
      <c r="M356" t="n">
        <v>0</v>
      </c>
      <c r="N356" t="n">
        <v>0</v>
      </c>
      <c r="O356" t="n">
        <v>0</v>
      </c>
      <c r="P356" t="n">
        <v>0</v>
      </c>
      <c r="Q356" t="n">
        <v>0</v>
      </c>
      <c r="R356" s="2" t="inlineStr"/>
    </row>
    <row r="357" ht="15" customHeight="1">
      <c r="A357" t="inlineStr">
        <is>
          <t>A 39094-2025</t>
        </is>
      </c>
      <c r="B357" s="1" t="n">
        <v>45888.4933912037</v>
      </c>
      <c r="C357" s="1" t="n">
        <v>45983</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39096-2025</t>
        </is>
      </c>
      <c r="B358" s="1" t="n">
        <v>45888.50145833333</v>
      </c>
      <c r="C358" s="1" t="n">
        <v>45983</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39079-2025</t>
        </is>
      </c>
      <c r="B359" s="1" t="n">
        <v>45888.48422453704</v>
      </c>
      <c r="C359" s="1" t="n">
        <v>45983</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62261-2023</t>
        </is>
      </c>
      <c r="B360" s="1" t="n">
        <v>45266</v>
      </c>
      <c r="C360" s="1" t="n">
        <v>45983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49641-2021</t>
        </is>
      </c>
      <c r="B361" s="1" t="n">
        <v>44455.44327546296</v>
      </c>
      <c r="C361" s="1" t="n">
        <v>45983</v>
      </c>
      <c r="D361" t="inlineStr">
        <is>
          <t>VÄRMLANDS LÄN</t>
        </is>
      </c>
      <c r="E361" t="inlineStr">
        <is>
          <t>ÅRJÄNG</t>
        </is>
      </c>
      <c r="G361" t="n">
        <v>3.2</v>
      </c>
      <c r="H361" t="n">
        <v>0</v>
      </c>
      <c r="I361" t="n">
        <v>0</v>
      </c>
      <c r="J361" t="n">
        <v>0</v>
      </c>
      <c r="K361" t="n">
        <v>0</v>
      </c>
      <c r="L361" t="n">
        <v>0</v>
      </c>
      <c r="M361" t="n">
        <v>0</v>
      </c>
      <c r="N361" t="n">
        <v>0</v>
      </c>
      <c r="O361" t="n">
        <v>0</v>
      </c>
      <c r="P361" t="n">
        <v>0</v>
      </c>
      <c r="Q361" t="n">
        <v>0</v>
      </c>
      <c r="R361" s="2" t="inlineStr"/>
    </row>
    <row r="362" ht="15" customHeight="1">
      <c r="A362" t="inlineStr">
        <is>
          <t>A 38867-2025</t>
        </is>
      </c>
      <c r="B362" s="1" t="n">
        <v>45887</v>
      </c>
      <c r="C362" s="1" t="n">
        <v>45983</v>
      </c>
      <c r="D362" t="inlineStr">
        <is>
          <t>VÄRMLANDS LÄN</t>
        </is>
      </c>
      <c r="E362" t="inlineStr">
        <is>
          <t>ÅRJÄNG</t>
        </is>
      </c>
      <c r="G362" t="n">
        <v>5.7</v>
      </c>
      <c r="H362" t="n">
        <v>0</v>
      </c>
      <c r="I362" t="n">
        <v>0</v>
      </c>
      <c r="J362" t="n">
        <v>0</v>
      </c>
      <c r="K362" t="n">
        <v>0</v>
      </c>
      <c r="L362" t="n">
        <v>0</v>
      </c>
      <c r="M362" t="n">
        <v>0</v>
      </c>
      <c r="N362" t="n">
        <v>0</v>
      </c>
      <c r="O362" t="n">
        <v>0</v>
      </c>
      <c r="P362" t="n">
        <v>0</v>
      </c>
      <c r="Q362" t="n">
        <v>0</v>
      </c>
      <c r="R362" s="2" t="inlineStr"/>
    </row>
    <row r="363" ht="15" customHeight="1">
      <c r="A363" t="inlineStr">
        <is>
          <t>A 32338-2024</t>
        </is>
      </c>
      <c r="B363" s="1" t="n">
        <v>45512</v>
      </c>
      <c r="C363" s="1" t="n">
        <v>45983</v>
      </c>
      <c r="D363" t="inlineStr">
        <is>
          <t>VÄRMLANDS LÄN</t>
        </is>
      </c>
      <c r="E363" t="inlineStr">
        <is>
          <t>ÅRJÄNG</t>
        </is>
      </c>
      <c r="G363" t="n">
        <v>2.1</v>
      </c>
      <c r="H363" t="n">
        <v>0</v>
      </c>
      <c r="I363" t="n">
        <v>0</v>
      </c>
      <c r="J363" t="n">
        <v>0</v>
      </c>
      <c r="K363" t="n">
        <v>0</v>
      </c>
      <c r="L363" t="n">
        <v>0</v>
      </c>
      <c r="M363" t="n">
        <v>0</v>
      </c>
      <c r="N363" t="n">
        <v>0</v>
      </c>
      <c r="O363" t="n">
        <v>0</v>
      </c>
      <c r="P363" t="n">
        <v>0</v>
      </c>
      <c r="Q363" t="n">
        <v>0</v>
      </c>
      <c r="R363" s="2" t="inlineStr"/>
    </row>
    <row r="364" ht="15" customHeight="1">
      <c r="A364" t="inlineStr">
        <is>
          <t>A 5863-2023</t>
        </is>
      </c>
      <c r="B364" s="1" t="n">
        <v>44963</v>
      </c>
      <c r="C364" s="1" t="n">
        <v>45983</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62266-2023</t>
        </is>
      </c>
      <c r="B365" s="1" t="n">
        <v>45266</v>
      </c>
      <c r="C365" s="1" t="n">
        <v>45983</v>
      </c>
      <c r="D365" t="inlineStr">
        <is>
          <t>VÄRMLANDS LÄN</t>
        </is>
      </c>
      <c r="E365" t="inlineStr">
        <is>
          <t>ÅRJÄNG</t>
        </is>
      </c>
      <c r="G365" t="n">
        <v>10.5</v>
      </c>
      <c r="H365" t="n">
        <v>0</v>
      </c>
      <c r="I365" t="n">
        <v>0</v>
      </c>
      <c r="J365" t="n">
        <v>0</v>
      </c>
      <c r="K365" t="n">
        <v>0</v>
      </c>
      <c r="L365" t="n">
        <v>0</v>
      </c>
      <c r="M365" t="n">
        <v>0</v>
      </c>
      <c r="N365" t="n">
        <v>0</v>
      </c>
      <c r="O365" t="n">
        <v>0</v>
      </c>
      <c r="P365" t="n">
        <v>0</v>
      </c>
      <c r="Q365" t="n">
        <v>0</v>
      </c>
      <c r="R365" s="2" t="inlineStr"/>
    </row>
    <row r="366" ht="15" customHeight="1">
      <c r="A366" t="inlineStr">
        <is>
          <t>A 38742-2025</t>
        </is>
      </c>
      <c r="B366" s="1" t="n">
        <v>45887.37425925926</v>
      </c>
      <c r="C366" s="1" t="n">
        <v>45983</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13155-2024</t>
        </is>
      </c>
      <c r="B367" s="1" t="n">
        <v>45386</v>
      </c>
      <c r="C367" s="1" t="n">
        <v>45983</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26781-2025</t>
        </is>
      </c>
      <c r="B368" s="1" t="n">
        <v>45810.58258101852</v>
      </c>
      <c r="C368" s="1" t="n">
        <v>45983</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36862-2025</t>
        </is>
      </c>
      <c r="B369" s="1" t="n">
        <v>45874</v>
      </c>
      <c r="C369" s="1" t="n">
        <v>45983</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9425-2025</t>
        </is>
      </c>
      <c r="B370" s="1" t="n">
        <v>45715.40350694444</v>
      </c>
      <c r="C370" s="1" t="n">
        <v>45983</v>
      </c>
      <c r="D370" t="inlineStr">
        <is>
          <t>VÄRMLANDS LÄN</t>
        </is>
      </c>
      <c r="E370" t="inlineStr">
        <is>
          <t>ÅRJÄNG</t>
        </is>
      </c>
      <c r="G370" t="n">
        <v>1.3</v>
      </c>
      <c r="H370" t="n">
        <v>0</v>
      </c>
      <c r="I370" t="n">
        <v>0</v>
      </c>
      <c r="J370" t="n">
        <v>0</v>
      </c>
      <c r="K370" t="n">
        <v>0</v>
      </c>
      <c r="L370" t="n">
        <v>0</v>
      </c>
      <c r="M370" t="n">
        <v>0</v>
      </c>
      <c r="N370" t="n">
        <v>0</v>
      </c>
      <c r="O370" t="n">
        <v>0</v>
      </c>
      <c r="P370" t="n">
        <v>0</v>
      </c>
      <c r="Q370" t="n">
        <v>0</v>
      </c>
      <c r="R370" s="2" t="inlineStr"/>
    </row>
    <row r="371" ht="15" customHeight="1">
      <c r="A371" t="inlineStr">
        <is>
          <t>A 26284-2021</t>
        </is>
      </c>
      <c r="B371" s="1" t="n">
        <v>44347</v>
      </c>
      <c r="C371" s="1" t="n">
        <v>45983</v>
      </c>
      <c r="D371" t="inlineStr">
        <is>
          <t>VÄRMLANDS LÄN</t>
        </is>
      </c>
      <c r="E371" t="inlineStr">
        <is>
          <t>ÅRJÄNG</t>
        </is>
      </c>
      <c r="G371" t="n">
        <v>0.8</v>
      </c>
      <c r="H371" t="n">
        <v>0</v>
      </c>
      <c r="I371" t="n">
        <v>0</v>
      </c>
      <c r="J371" t="n">
        <v>0</v>
      </c>
      <c r="K371" t="n">
        <v>0</v>
      </c>
      <c r="L371" t="n">
        <v>0</v>
      </c>
      <c r="M371" t="n">
        <v>0</v>
      </c>
      <c r="N371" t="n">
        <v>0</v>
      </c>
      <c r="O371" t="n">
        <v>0</v>
      </c>
      <c r="P371" t="n">
        <v>0</v>
      </c>
      <c r="Q371" t="n">
        <v>0</v>
      </c>
      <c r="R371" s="2" t="inlineStr"/>
    </row>
    <row r="372" ht="15" customHeight="1">
      <c r="A372" t="inlineStr">
        <is>
          <t>A 39369-2025</t>
        </is>
      </c>
      <c r="B372" s="1" t="n">
        <v>45889.57848379629</v>
      </c>
      <c r="C372" s="1" t="n">
        <v>45983</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49701-2022</t>
        </is>
      </c>
      <c r="B373" s="1" t="n">
        <v>44862.53201388889</v>
      </c>
      <c r="C373" s="1" t="n">
        <v>45983</v>
      </c>
      <c r="D373" t="inlineStr">
        <is>
          <t>VÄRMLANDS LÄN</t>
        </is>
      </c>
      <c r="E373" t="inlineStr">
        <is>
          <t>ÅRJÄNG</t>
        </is>
      </c>
      <c r="G373" t="n">
        <v>2.3</v>
      </c>
      <c r="H373" t="n">
        <v>0</v>
      </c>
      <c r="I373" t="n">
        <v>0</v>
      </c>
      <c r="J373" t="n">
        <v>0</v>
      </c>
      <c r="K373" t="n">
        <v>0</v>
      </c>
      <c r="L373" t="n">
        <v>0</v>
      </c>
      <c r="M373" t="n">
        <v>0</v>
      </c>
      <c r="N373" t="n">
        <v>0</v>
      </c>
      <c r="O373" t="n">
        <v>0</v>
      </c>
      <c r="P373" t="n">
        <v>0</v>
      </c>
      <c r="Q373" t="n">
        <v>0</v>
      </c>
      <c r="R373" s="2" t="inlineStr"/>
    </row>
    <row r="374" ht="15" customHeight="1">
      <c r="A374" t="inlineStr">
        <is>
          <t>A 16562-2024</t>
        </is>
      </c>
      <c r="B374" s="1" t="n">
        <v>45408.45829861111</v>
      </c>
      <c r="C374" s="1" t="n">
        <v>45983</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39578-2025</t>
        </is>
      </c>
      <c r="B375" s="1" t="n">
        <v>45890.49292824074</v>
      </c>
      <c r="C375" s="1" t="n">
        <v>45983</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1289-2025</t>
        </is>
      </c>
      <c r="B376" s="1" t="n">
        <v>45667.51412037037</v>
      </c>
      <c r="C376" s="1" t="n">
        <v>45983</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60172-2023</t>
        </is>
      </c>
      <c r="B377" s="1" t="n">
        <v>45257</v>
      </c>
      <c r="C377" s="1" t="n">
        <v>45983</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30993-2024</t>
        </is>
      </c>
      <c r="B378" s="1" t="n">
        <v>45499</v>
      </c>
      <c r="C378" s="1" t="n">
        <v>45983</v>
      </c>
      <c r="D378" t="inlineStr">
        <is>
          <t>VÄRMLANDS LÄN</t>
        </is>
      </c>
      <c r="E378" t="inlineStr">
        <is>
          <t>ÅRJÄNG</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26833-2024</t>
        </is>
      </c>
      <c r="B379" s="1" t="n">
        <v>45470</v>
      </c>
      <c r="C379" s="1" t="n">
        <v>45983</v>
      </c>
      <c r="D379" t="inlineStr">
        <is>
          <t>VÄRMLANDS LÄN</t>
        </is>
      </c>
      <c r="E379" t="inlineStr">
        <is>
          <t>ÅRJÄNG</t>
        </is>
      </c>
      <c r="F379" t="inlineStr">
        <is>
          <t>Kyrkan</t>
        </is>
      </c>
      <c r="G379" t="n">
        <v>7.9</v>
      </c>
      <c r="H379" t="n">
        <v>0</v>
      </c>
      <c r="I379" t="n">
        <v>0</v>
      </c>
      <c r="J379" t="n">
        <v>0</v>
      </c>
      <c r="K379" t="n">
        <v>0</v>
      </c>
      <c r="L379" t="n">
        <v>0</v>
      </c>
      <c r="M379" t="n">
        <v>0</v>
      </c>
      <c r="N379" t="n">
        <v>0</v>
      </c>
      <c r="O379" t="n">
        <v>0</v>
      </c>
      <c r="P379" t="n">
        <v>0</v>
      </c>
      <c r="Q379" t="n">
        <v>0</v>
      </c>
      <c r="R379" s="2" t="inlineStr"/>
    </row>
    <row r="380" ht="15" customHeight="1">
      <c r="A380" t="inlineStr">
        <is>
          <t>A 23690-2024</t>
        </is>
      </c>
      <c r="B380" s="1" t="n">
        <v>45454.65612268518</v>
      </c>
      <c r="C380" s="1" t="n">
        <v>45983</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40232-2025</t>
        </is>
      </c>
      <c r="B381" s="1" t="n">
        <v>45894.7147800926</v>
      </c>
      <c r="C381" s="1" t="n">
        <v>45983</v>
      </c>
      <c r="D381" t="inlineStr">
        <is>
          <t>VÄRMLANDS LÄN</t>
        </is>
      </c>
      <c r="E381" t="inlineStr">
        <is>
          <t>ÅRJÄNG</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39781-2025</t>
        </is>
      </c>
      <c r="B382" s="1" t="n">
        <v>45891</v>
      </c>
      <c r="C382" s="1" t="n">
        <v>45983</v>
      </c>
      <c r="D382" t="inlineStr">
        <is>
          <t>VÄRMLANDS LÄN</t>
        </is>
      </c>
      <c r="E382" t="inlineStr">
        <is>
          <t>ÅRJÄNG</t>
        </is>
      </c>
      <c r="G382" t="n">
        <v>2.5</v>
      </c>
      <c r="H382" t="n">
        <v>0</v>
      </c>
      <c r="I382" t="n">
        <v>0</v>
      </c>
      <c r="J382" t="n">
        <v>0</v>
      </c>
      <c r="K382" t="n">
        <v>0</v>
      </c>
      <c r="L382" t="n">
        <v>0</v>
      </c>
      <c r="M382" t="n">
        <v>0</v>
      </c>
      <c r="N382" t="n">
        <v>0</v>
      </c>
      <c r="O382" t="n">
        <v>0</v>
      </c>
      <c r="P382" t="n">
        <v>0</v>
      </c>
      <c r="Q382" t="n">
        <v>0</v>
      </c>
      <c r="R382" s="2" t="inlineStr"/>
    </row>
    <row r="383" ht="15" customHeight="1">
      <c r="A383" t="inlineStr">
        <is>
          <t>A 521-2025</t>
        </is>
      </c>
      <c r="B383" s="1" t="n">
        <v>45664.48826388889</v>
      </c>
      <c r="C383" s="1" t="n">
        <v>45983</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57992-2023</t>
        </is>
      </c>
      <c r="B384" s="1" t="n">
        <v>45244</v>
      </c>
      <c r="C384" s="1" t="n">
        <v>45983</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40219-2025</t>
        </is>
      </c>
      <c r="B385" s="1" t="n">
        <v>45894.69025462963</v>
      </c>
      <c r="C385" s="1" t="n">
        <v>45983</v>
      </c>
      <c r="D385" t="inlineStr">
        <is>
          <t>VÄRMLANDS LÄN</t>
        </is>
      </c>
      <c r="E385" t="inlineStr">
        <is>
          <t>ÅRJÄNG</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34643-2024</t>
        </is>
      </c>
      <c r="B386" s="1" t="n">
        <v>45526</v>
      </c>
      <c r="C386" s="1" t="n">
        <v>45983</v>
      </c>
      <c r="D386" t="inlineStr">
        <is>
          <t>VÄRMLANDS LÄN</t>
        </is>
      </c>
      <c r="E386" t="inlineStr">
        <is>
          <t>ÅRJÄNG</t>
        </is>
      </c>
      <c r="G386" t="n">
        <v>3.4</v>
      </c>
      <c r="H386" t="n">
        <v>0</v>
      </c>
      <c r="I386" t="n">
        <v>0</v>
      </c>
      <c r="J386" t="n">
        <v>0</v>
      </c>
      <c r="K386" t="n">
        <v>0</v>
      </c>
      <c r="L386" t="n">
        <v>0</v>
      </c>
      <c r="M386" t="n">
        <v>0</v>
      </c>
      <c r="N386" t="n">
        <v>0</v>
      </c>
      <c r="O386" t="n">
        <v>0</v>
      </c>
      <c r="P386" t="n">
        <v>0</v>
      </c>
      <c r="Q386" t="n">
        <v>0</v>
      </c>
      <c r="R386" s="2" t="inlineStr"/>
    </row>
    <row r="387" ht="15" customHeight="1">
      <c r="A387" t="inlineStr">
        <is>
          <t>A 51269-2022</t>
        </is>
      </c>
      <c r="B387" s="1" t="n">
        <v>44868</v>
      </c>
      <c r="C387" s="1" t="n">
        <v>45983</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39905-2025</t>
        </is>
      </c>
      <c r="B388" s="1" t="n">
        <v>45891.63949074074</v>
      </c>
      <c r="C388" s="1" t="n">
        <v>45983</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39776-2025</t>
        </is>
      </c>
      <c r="B389" s="1" t="n">
        <v>45891</v>
      </c>
      <c r="C389" s="1" t="n">
        <v>45983</v>
      </c>
      <c r="D389" t="inlineStr">
        <is>
          <t>VÄRMLANDS LÄN</t>
        </is>
      </c>
      <c r="E389" t="inlineStr">
        <is>
          <t>ÅRJÄNG</t>
        </is>
      </c>
      <c r="G389" t="n">
        <v>2.7</v>
      </c>
      <c r="H389" t="n">
        <v>0</v>
      </c>
      <c r="I389" t="n">
        <v>0</v>
      </c>
      <c r="J389" t="n">
        <v>0</v>
      </c>
      <c r="K389" t="n">
        <v>0</v>
      </c>
      <c r="L389" t="n">
        <v>0</v>
      </c>
      <c r="M389" t="n">
        <v>0</v>
      </c>
      <c r="N389" t="n">
        <v>0</v>
      </c>
      <c r="O389" t="n">
        <v>0</v>
      </c>
      <c r="P389" t="n">
        <v>0</v>
      </c>
      <c r="Q389" t="n">
        <v>0</v>
      </c>
      <c r="R389" s="2" t="inlineStr"/>
    </row>
    <row r="390" ht="15" customHeight="1">
      <c r="A390" t="inlineStr">
        <is>
          <t>A 39779-2025</t>
        </is>
      </c>
      <c r="B390" s="1" t="n">
        <v>45891</v>
      </c>
      <c r="C390" s="1" t="n">
        <v>45983</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62609-2023</t>
        </is>
      </c>
      <c r="B391" s="1" t="n">
        <v>45267</v>
      </c>
      <c r="C391" s="1" t="n">
        <v>45983</v>
      </c>
      <c r="D391" t="inlineStr">
        <is>
          <t>VÄRMLANDS LÄN</t>
        </is>
      </c>
      <c r="E391" t="inlineStr">
        <is>
          <t>ÅRJÄNG</t>
        </is>
      </c>
      <c r="G391" t="n">
        <v>14.4</v>
      </c>
      <c r="H391" t="n">
        <v>0</v>
      </c>
      <c r="I391" t="n">
        <v>0</v>
      </c>
      <c r="J391" t="n">
        <v>0</v>
      </c>
      <c r="K391" t="n">
        <v>0</v>
      </c>
      <c r="L391" t="n">
        <v>0</v>
      </c>
      <c r="M391" t="n">
        <v>0</v>
      </c>
      <c r="N391" t="n">
        <v>0</v>
      </c>
      <c r="O391" t="n">
        <v>0</v>
      </c>
      <c r="P391" t="n">
        <v>0</v>
      </c>
      <c r="Q391" t="n">
        <v>0</v>
      </c>
      <c r="R391" s="2" t="inlineStr"/>
    </row>
    <row r="392" ht="15" customHeight="1">
      <c r="A392" t="inlineStr">
        <is>
          <t>A 39725-2025</t>
        </is>
      </c>
      <c r="B392" s="1" t="n">
        <v>45891</v>
      </c>
      <c r="C392" s="1" t="n">
        <v>45983</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4606-2024</t>
        </is>
      </c>
      <c r="B393" s="1" t="n">
        <v>45328.3225</v>
      </c>
      <c r="C393" s="1" t="n">
        <v>45983</v>
      </c>
      <c r="D393" t="inlineStr">
        <is>
          <t>VÄRMLANDS LÄN</t>
        </is>
      </c>
      <c r="E393" t="inlineStr">
        <is>
          <t>ÅRJÄNG</t>
        </is>
      </c>
      <c r="G393" t="n">
        <v>3.9</v>
      </c>
      <c r="H393" t="n">
        <v>0</v>
      </c>
      <c r="I393" t="n">
        <v>0</v>
      </c>
      <c r="J393" t="n">
        <v>0</v>
      </c>
      <c r="K393" t="n">
        <v>0</v>
      </c>
      <c r="L393" t="n">
        <v>0</v>
      </c>
      <c r="M393" t="n">
        <v>0</v>
      </c>
      <c r="N393" t="n">
        <v>0</v>
      </c>
      <c r="O393" t="n">
        <v>0</v>
      </c>
      <c r="P393" t="n">
        <v>0</v>
      </c>
      <c r="Q393" t="n">
        <v>0</v>
      </c>
      <c r="R393" s="2" t="inlineStr"/>
    </row>
    <row r="394" ht="15" customHeight="1">
      <c r="A394" t="inlineStr">
        <is>
          <t>A 53332-2023</t>
        </is>
      </c>
      <c r="B394" s="1" t="n">
        <v>45229</v>
      </c>
      <c r="C394" s="1" t="n">
        <v>45983</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34526-2023</t>
        </is>
      </c>
      <c r="B395" s="1" t="n">
        <v>45140.41518518519</v>
      </c>
      <c r="C395" s="1" t="n">
        <v>45983</v>
      </c>
      <c r="D395" t="inlineStr">
        <is>
          <t>VÄRMLANDS LÄN</t>
        </is>
      </c>
      <c r="E395" t="inlineStr">
        <is>
          <t>ÅRJÄNG</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40497-2025</t>
        </is>
      </c>
      <c r="B396" s="1" t="n">
        <v>45896.32087962963</v>
      </c>
      <c r="C396" s="1" t="n">
        <v>45983</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50388-2024</t>
        </is>
      </c>
      <c r="B397" s="1" t="n">
        <v>45600</v>
      </c>
      <c r="C397" s="1" t="n">
        <v>45983</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24252-2025</t>
        </is>
      </c>
      <c r="B398" s="1" t="n">
        <v>45797.40376157407</v>
      </c>
      <c r="C398" s="1" t="n">
        <v>45983</v>
      </c>
      <c r="D398" t="inlineStr">
        <is>
          <t>VÄRMLANDS LÄN</t>
        </is>
      </c>
      <c r="E398" t="inlineStr">
        <is>
          <t>ÅRJÄNG</t>
        </is>
      </c>
      <c r="G398" t="n">
        <v>0.7</v>
      </c>
      <c r="H398" t="n">
        <v>0</v>
      </c>
      <c r="I398" t="n">
        <v>0</v>
      </c>
      <c r="J398" t="n">
        <v>0</v>
      </c>
      <c r="K398" t="n">
        <v>0</v>
      </c>
      <c r="L398" t="n">
        <v>0</v>
      </c>
      <c r="M398" t="n">
        <v>0</v>
      </c>
      <c r="N398" t="n">
        <v>0</v>
      </c>
      <c r="O398" t="n">
        <v>0</v>
      </c>
      <c r="P398" t="n">
        <v>0</v>
      </c>
      <c r="Q398" t="n">
        <v>0</v>
      </c>
      <c r="R398" s="2" t="inlineStr"/>
    </row>
    <row r="399" ht="15" customHeight="1">
      <c r="A399" t="inlineStr">
        <is>
          <t>A 24339-2024</t>
        </is>
      </c>
      <c r="B399" s="1" t="n">
        <v>45457</v>
      </c>
      <c r="C399" s="1" t="n">
        <v>45983</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41201-2024</t>
        </is>
      </c>
      <c r="B400" s="1" t="n">
        <v>45559</v>
      </c>
      <c r="C400" s="1" t="n">
        <v>45983</v>
      </c>
      <c r="D400" t="inlineStr">
        <is>
          <t>VÄRMLANDS LÄN</t>
        </is>
      </c>
      <c r="E400" t="inlineStr">
        <is>
          <t>ÅRJÄNG</t>
        </is>
      </c>
      <c r="G400" t="n">
        <v>4.1</v>
      </c>
      <c r="H400" t="n">
        <v>0</v>
      </c>
      <c r="I400" t="n">
        <v>0</v>
      </c>
      <c r="J400" t="n">
        <v>0</v>
      </c>
      <c r="K400" t="n">
        <v>0</v>
      </c>
      <c r="L400" t="n">
        <v>0</v>
      </c>
      <c r="M400" t="n">
        <v>0</v>
      </c>
      <c r="N400" t="n">
        <v>0</v>
      </c>
      <c r="O400" t="n">
        <v>0</v>
      </c>
      <c r="P400" t="n">
        <v>0</v>
      </c>
      <c r="Q400" t="n">
        <v>0</v>
      </c>
      <c r="R400" s="2" t="inlineStr"/>
    </row>
    <row r="401" ht="15" customHeight="1">
      <c r="A401" t="inlineStr">
        <is>
          <t>A 40449-2025</t>
        </is>
      </c>
      <c r="B401" s="1" t="n">
        <v>45895</v>
      </c>
      <c r="C401" s="1" t="n">
        <v>45983</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40602-2025</t>
        </is>
      </c>
      <c r="B402" s="1" t="n">
        <v>45896</v>
      </c>
      <c r="C402" s="1" t="n">
        <v>45983</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40601-2025</t>
        </is>
      </c>
      <c r="B403" s="1" t="n">
        <v>45896</v>
      </c>
      <c r="C403" s="1" t="n">
        <v>45983</v>
      </c>
      <c r="D403" t="inlineStr">
        <is>
          <t>VÄRMLANDS LÄN</t>
        </is>
      </c>
      <c r="E403" t="inlineStr">
        <is>
          <t>ÅRJÄNG</t>
        </is>
      </c>
      <c r="G403" t="n">
        <v>2.1</v>
      </c>
      <c r="H403" t="n">
        <v>0</v>
      </c>
      <c r="I403" t="n">
        <v>0</v>
      </c>
      <c r="J403" t="n">
        <v>0</v>
      </c>
      <c r="K403" t="n">
        <v>0</v>
      </c>
      <c r="L403" t="n">
        <v>0</v>
      </c>
      <c r="M403" t="n">
        <v>0</v>
      </c>
      <c r="N403" t="n">
        <v>0</v>
      </c>
      <c r="O403" t="n">
        <v>0</v>
      </c>
      <c r="P403" t="n">
        <v>0</v>
      </c>
      <c r="Q403" t="n">
        <v>0</v>
      </c>
      <c r="R403" s="2" t="inlineStr"/>
    </row>
    <row r="404" ht="15" customHeight="1">
      <c r="A404" t="inlineStr">
        <is>
          <t>A 24983-2025</t>
        </is>
      </c>
      <c r="B404" s="1" t="n">
        <v>45799.59841435185</v>
      </c>
      <c r="C404" s="1" t="n">
        <v>45983</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58141-2023</t>
        </is>
      </c>
      <c r="B405" s="1" t="n">
        <v>45245</v>
      </c>
      <c r="C405" s="1" t="n">
        <v>45983</v>
      </c>
      <c r="D405" t="inlineStr">
        <is>
          <t>VÄRMLANDS LÄN</t>
        </is>
      </c>
      <c r="E405" t="inlineStr">
        <is>
          <t>ÅRJÄNG</t>
        </is>
      </c>
      <c r="G405" t="n">
        <v>6.2</v>
      </c>
      <c r="H405" t="n">
        <v>0</v>
      </c>
      <c r="I405" t="n">
        <v>0</v>
      </c>
      <c r="J405" t="n">
        <v>0</v>
      </c>
      <c r="K405" t="n">
        <v>0</v>
      </c>
      <c r="L405" t="n">
        <v>0</v>
      </c>
      <c r="M405" t="n">
        <v>0</v>
      </c>
      <c r="N405" t="n">
        <v>0</v>
      </c>
      <c r="O405" t="n">
        <v>0</v>
      </c>
      <c r="P405" t="n">
        <v>0</v>
      </c>
      <c r="Q405" t="n">
        <v>0</v>
      </c>
      <c r="R405" s="2" t="inlineStr"/>
    </row>
    <row r="406" ht="15" customHeight="1">
      <c r="A406" t="inlineStr">
        <is>
          <t>A 27138-2024</t>
        </is>
      </c>
      <c r="B406" s="1" t="n">
        <v>45471</v>
      </c>
      <c r="C406" s="1" t="n">
        <v>45983</v>
      </c>
      <c r="D406" t="inlineStr">
        <is>
          <t>VÄRMLANDS LÄN</t>
        </is>
      </c>
      <c r="E406" t="inlineStr">
        <is>
          <t>ÅRJÄNG</t>
        </is>
      </c>
      <c r="G406" t="n">
        <v>5.7</v>
      </c>
      <c r="H406" t="n">
        <v>0</v>
      </c>
      <c r="I406" t="n">
        <v>0</v>
      </c>
      <c r="J406" t="n">
        <v>0</v>
      </c>
      <c r="K406" t="n">
        <v>0</v>
      </c>
      <c r="L406" t="n">
        <v>0</v>
      </c>
      <c r="M406" t="n">
        <v>0</v>
      </c>
      <c r="N406" t="n">
        <v>0</v>
      </c>
      <c r="O406" t="n">
        <v>0</v>
      </c>
      <c r="P406" t="n">
        <v>0</v>
      </c>
      <c r="Q406" t="n">
        <v>0</v>
      </c>
      <c r="R406" s="2" t="inlineStr"/>
    </row>
    <row r="407" ht="15" customHeight="1">
      <c r="A407" t="inlineStr">
        <is>
          <t>A 33304-2021</t>
        </is>
      </c>
      <c r="B407" s="1" t="n">
        <v>44377.43040509259</v>
      </c>
      <c r="C407" s="1" t="n">
        <v>45983</v>
      </c>
      <c r="D407" t="inlineStr">
        <is>
          <t>VÄRMLANDS LÄN</t>
        </is>
      </c>
      <c r="E407" t="inlineStr">
        <is>
          <t>ÅRJÄNG</t>
        </is>
      </c>
      <c r="G407" t="n">
        <v>4.9</v>
      </c>
      <c r="H407" t="n">
        <v>0</v>
      </c>
      <c r="I407" t="n">
        <v>0</v>
      </c>
      <c r="J407" t="n">
        <v>0</v>
      </c>
      <c r="K407" t="n">
        <v>0</v>
      </c>
      <c r="L407" t="n">
        <v>0</v>
      </c>
      <c r="M407" t="n">
        <v>0</v>
      </c>
      <c r="N407" t="n">
        <v>0</v>
      </c>
      <c r="O407" t="n">
        <v>0</v>
      </c>
      <c r="P407" t="n">
        <v>0</v>
      </c>
      <c r="Q407" t="n">
        <v>0</v>
      </c>
      <c r="R407" s="2" t="inlineStr"/>
    </row>
    <row r="408" ht="15" customHeight="1">
      <c r="A408" t="inlineStr">
        <is>
          <t>A 30693-2021</t>
        </is>
      </c>
      <c r="B408" s="1" t="n">
        <v>44365</v>
      </c>
      <c r="C408" s="1" t="n">
        <v>45983</v>
      </c>
      <c r="D408" t="inlineStr">
        <is>
          <t>VÄRMLANDS LÄN</t>
        </is>
      </c>
      <c r="E408" t="inlineStr">
        <is>
          <t>ÅRJÄNG</t>
        </is>
      </c>
      <c r="G408" t="n">
        <v>8.4</v>
      </c>
      <c r="H408" t="n">
        <v>0</v>
      </c>
      <c r="I408" t="n">
        <v>0</v>
      </c>
      <c r="J408" t="n">
        <v>0</v>
      </c>
      <c r="K408" t="n">
        <v>0</v>
      </c>
      <c r="L408" t="n">
        <v>0</v>
      </c>
      <c r="M408" t="n">
        <v>0</v>
      </c>
      <c r="N408" t="n">
        <v>0</v>
      </c>
      <c r="O408" t="n">
        <v>0</v>
      </c>
      <c r="P408" t="n">
        <v>0</v>
      </c>
      <c r="Q408" t="n">
        <v>0</v>
      </c>
      <c r="R408" s="2" t="inlineStr"/>
    </row>
    <row r="409" ht="15" customHeight="1">
      <c r="A409" t="inlineStr">
        <is>
          <t>A 41229-2025</t>
        </is>
      </c>
      <c r="B409" s="1" t="n">
        <v>45898.59108796297</v>
      </c>
      <c r="C409" s="1" t="n">
        <v>45983</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40699-2025</t>
        </is>
      </c>
      <c r="B410" s="1" t="n">
        <v>45897.31958333333</v>
      </c>
      <c r="C410" s="1" t="n">
        <v>45983</v>
      </c>
      <c r="D410" t="inlineStr">
        <is>
          <t>VÄRMLANDS LÄN</t>
        </is>
      </c>
      <c r="E410" t="inlineStr">
        <is>
          <t>ÅRJÄNG</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72476-2021</t>
        </is>
      </c>
      <c r="B411" s="1" t="n">
        <v>44545.86997685185</v>
      </c>
      <c r="C411" s="1" t="n">
        <v>45983</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1929-2025</t>
        </is>
      </c>
      <c r="B412" s="1" t="n">
        <v>45671.73023148148</v>
      </c>
      <c r="C412" s="1" t="n">
        <v>45983</v>
      </c>
      <c r="D412" t="inlineStr">
        <is>
          <t>VÄRMLANDS LÄN</t>
        </is>
      </c>
      <c r="E412" t="inlineStr">
        <is>
          <t>ÅRJÄNG</t>
        </is>
      </c>
      <c r="G412" t="n">
        <v>2.9</v>
      </c>
      <c r="H412" t="n">
        <v>0</v>
      </c>
      <c r="I412" t="n">
        <v>0</v>
      </c>
      <c r="J412" t="n">
        <v>0</v>
      </c>
      <c r="K412" t="n">
        <v>0</v>
      </c>
      <c r="L412" t="n">
        <v>0</v>
      </c>
      <c r="M412" t="n">
        <v>0</v>
      </c>
      <c r="N412" t="n">
        <v>0</v>
      </c>
      <c r="O412" t="n">
        <v>0</v>
      </c>
      <c r="P412" t="n">
        <v>0</v>
      </c>
      <c r="Q412" t="n">
        <v>0</v>
      </c>
      <c r="R412" s="2" t="inlineStr"/>
    </row>
    <row r="413" ht="15" customHeight="1">
      <c r="A413" t="inlineStr">
        <is>
          <t>A 39008-2023</t>
        </is>
      </c>
      <c r="B413" s="1" t="n">
        <v>45162</v>
      </c>
      <c r="C413" s="1" t="n">
        <v>45983</v>
      </c>
      <c r="D413" t="inlineStr">
        <is>
          <t>VÄRMLANDS LÄN</t>
        </is>
      </c>
      <c r="E413" t="inlineStr">
        <is>
          <t>ÅRJÄNG</t>
        </is>
      </c>
      <c r="G413" t="n">
        <v>5.1</v>
      </c>
      <c r="H413" t="n">
        <v>0</v>
      </c>
      <c r="I413" t="n">
        <v>0</v>
      </c>
      <c r="J413" t="n">
        <v>0</v>
      </c>
      <c r="K413" t="n">
        <v>0</v>
      </c>
      <c r="L413" t="n">
        <v>0</v>
      </c>
      <c r="M413" t="n">
        <v>0</v>
      </c>
      <c r="N413" t="n">
        <v>0</v>
      </c>
      <c r="O413" t="n">
        <v>0</v>
      </c>
      <c r="P413" t="n">
        <v>0</v>
      </c>
      <c r="Q413" t="n">
        <v>0</v>
      </c>
      <c r="R413" s="2" t="inlineStr"/>
    </row>
    <row r="414" ht="15" customHeight="1">
      <c r="A414" t="inlineStr">
        <is>
          <t>A 17426-2025</t>
        </is>
      </c>
      <c r="B414" s="1" t="n">
        <v>45757.40153935185</v>
      </c>
      <c r="C414" s="1" t="n">
        <v>45983</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19246-2024</t>
        </is>
      </c>
      <c r="B415" s="1" t="n">
        <v>45428</v>
      </c>
      <c r="C415" s="1" t="n">
        <v>45983</v>
      </c>
      <c r="D415" t="inlineStr">
        <is>
          <t>VÄRMLANDS LÄN</t>
        </is>
      </c>
      <c r="E415" t="inlineStr">
        <is>
          <t>ÅRJÄNG</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1665-2023</t>
        </is>
      </c>
      <c r="B416" s="1" t="n">
        <v>44938</v>
      </c>
      <c r="C416" s="1" t="n">
        <v>45983</v>
      </c>
      <c r="D416" t="inlineStr">
        <is>
          <t>VÄRMLANDS LÄN</t>
        </is>
      </c>
      <c r="E416" t="inlineStr">
        <is>
          <t>ÅRJÄNG</t>
        </is>
      </c>
      <c r="G416" t="n">
        <v>5.1</v>
      </c>
      <c r="H416" t="n">
        <v>0</v>
      </c>
      <c r="I416" t="n">
        <v>0</v>
      </c>
      <c r="J416" t="n">
        <v>0</v>
      </c>
      <c r="K416" t="n">
        <v>0</v>
      </c>
      <c r="L416" t="n">
        <v>0</v>
      </c>
      <c r="M416" t="n">
        <v>0</v>
      </c>
      <c r="N416" t="n">
        <v>0</v>
      </c>
      <c r="O416" t="n">
        <v>0</v>
      </c>
      <c r="P416" t="n">
        <v>0</v>
      </c>
      <c r="Q416" t="n">
        <v>0</v>
      </c>
      <c r="R416" s="2" t="inlineStr"/>
    </row>
    <row r="417" ht="15" customHeight="1">
      <c r="A417" t="inlineStr">
        <is>
          <t>A 38158-2023</t>
        </is>
      </c>
      <c r="B417" s="1" t="n">
        <v>45161</v>
      </c>
      <c r="C417" s="1" t="n">
        <v>45983</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28733-2024</t>
        </is>
      </c>
      <c r="B418" s="1" t="n">
        <v>45478</v>
      </c>
      <c r="C418" s="1" t="n">
        <v>45983</v>
      </c>
      <c r="D418" t="inlineStr">
        <is>
          <t>VÄRMLANDS LÄN</t>
        </is>
      </c>
      <c r="E418" t="inlineStr">
        <is>
          <t>ÅRJÄNG</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49959-2025</t>
        </is>
      </c>
      <c r="B419" s="1" t="n">
        <v>45941.33649305555</v>
      </c>
      <c r="C419" s="1" t="n">
        <v>45983</v>
      </c>
      <c r="D419" t="inlineStr">
        <is>
          <t>VÄRMLANDS LÄN</t>
        </is>
      </c>
      <c r="E419" t="inlineStr">
        <is>
          <t>ÅRJÄNG</t>
        </is>
      </c>
      <c r="F419" t="inlineStr">
        <is>
          <t>Bergvik skog väst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41467-2025</t>
        </is>
      </c>
      <c r="B420" s="1" t="n">
        <v>45901.45755787037</v>
      </c>
      <c r="C420" s="1" t="n">
        <v>45983</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41496-2025</t>
        </is>
      </c>
      <c r="B421" s="1" t="n">
        <v>45901</v>
      </c>
      <c r="C421" s="1" t="n">
        <v>45983</v>
      </c>
      <c r="D421" t="inlineStr">
        <is>
          <t>VÄRMLANDS LÄN</t>
        </is>
      </c>
      <c r="E421" t="inlineStr">
        <is>
          <t>ÅRJÄNG</t>
        </is>
      </c>
      <c r="G421" t="n">
        <v>5.8</v>
      </c>
      <c r="H421" t="n">
        <v>0</v>
      </c>
      <c r="I421" t="n">
        <v>0</v>
      </c>
      <c r="J421" t="n">
        <v>0</v>
      </c>
      <c r="K421" t="n">
        <v>0</v>
      </c>
      <c r="L421" t="n">
        <v>0</v>
      </c>
      <c r="M421" t="n">
        <v>0</v>
      </c>
      <c r="N421" t="n">
        <v>0</v>
      </c>
      <c r="O421" t="n">
        <v>0</v>
      </c>
      <c r="P421" t="n">
        <v>0</v>
      </c>
      <c r="Q421" t="n">
        <v>0</v>
      </c>
      <c r="R421" s="2" t="inlineStr"/>
    </row>
    <row r="422" ht="15" customHeight="1">
      <c r="A422" t="inlineStr">
        <is>
          <t>A 41499-2025</t>
        </is>
      </c>
      <c r="B422" s="1" t="n">
        <v>45901</v>
      </c>
      <c r="C422" s="1" t="n">
        <v>45983</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50108-2025</t>
        </is>
      </c>
      <c r="B423" s="1" t="n">
        <v>45943</v>
      </c>
      <c r="C423" s="1" t="n">
        <v>45983</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50118-2025</t>
        </is>
      </c>
      <c r="B424" s="1" t="n">
        <v>45943</v>
      </c>
      <c r="C424" s="1" t="n">
        <v>45983</v>
      </c>
      <c r="D424" t="inlineStr">
        <is>
          <t>VÄRMLANDS LÄN</t>
        </is>
      </c>
      <c r="E424" t="inlineStr">
        <is>
          <t>ÅRJÄNG</t>
        </is>
      </c>
      <c r="G424" t="n">
        <v>7.7</v>
      </c>
      <c r="H424" t="n">
        <v>0</v>
      </c>
      <c r="I424" t="n">
        <v>0</v>
      </c>
      <c r="J424" t="n">
        <v>0</v>
      </c>
      <c r="K424" t="n">
        <v>0</v>
      </c>
      <c r="L424" t="n">
        <v>0</v>
      </c>
      <c r="M424" t="n">
        <v>0</v>
      </c>
      <c r="N424" t="n">
        <v>0</v>
      </c>
      <c r="O424" t="n">
        <v>0</v>
      </c>
      <c r="P424" t="n">
        <v>0</v>
      </c>
      <c r="Q424" t="n">
        <v>0</v>
      </c>
      <c r="R424" s="2" t="inlineStr"/>
    </row>
    <row r="425" ht="15" customHeight="1">
      <c r="A425" t="inlineStr">
        <is>
          <t>A 92-2022</t>
        </is>
      </c>
      <c r="B425" s="1" t="n">
        <v>44564</v>
      </c>
      <c r="C425" s="1" t="n">
        <v>45983</v>
      </c>
      <c r="D425" t="inlineStr">
        <is>
          <t>VÄRMLANDS LÄN</t>
        </is>
      </c>
      <c r="E425" t="inlineStr">
        <is>
          <t>ÅRJÄNG</t>
        </is>
      </c>
      <c r="G425" t="n">
        <v>10.4</v>
      </c>
      <c r="H425" t="n">
        <v>0</v>
      </c>
      <c r="I425" t="n">
        <v>0</v>
      </c>
      <c r="J425" t="n">
        <v>0</v>
      </c>
      <c r="K425" t="n">
        <v>0</v>
      </c>
      <c r="L425" t="n">
        <v>0</v>
      </c>
      <c r="M425" t="n">
        <v>0</v>
      </c>
      <c r="N425" t="n">
        <v>0</v>
      </c>
      <c r="O425" t="n">
        <v>0</v>
      </c>
      <c r="P425" t="n">
        <v>0</v>
      </c>
      <c r="Q425" t="n">
        <v>0</v>
      </c>
      <c r="R425" s="2" t="inlineStr"/>
    </row>
    <row r="426" ht="15" customHeight="1">
      <c r="A426" t="inlineStr">
        <is>
          <t>A 50187-2025</t>
        </is>
      </c>
      <c r="B426" s="1" t="n">
        <v>45943.62962962963</v>
      </c>
      <c r="C426" s="1" t="n">
        <v>45983</v>
      </c>
      <c r="D426" t="inlineStr">
        <is>
          <t>VÄRMLANDS LÄN</t>
        </is>
      </c>
      <c r="E426" t="inlineStr">
        <is>
          <t>ÅRJÄNG</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9489-2023</t>
        </is>
      </c>
      <c r="B427" s="1" t="n">
        <v>44981</v>
      </c>
      <c r="C427" s="1" t="n">
        <v>45983</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36642-2021</t>
        </is>
      </c>
      <c r="B428" s="1" t="n">
        <v>44392</v>
      </c>
      <c r="C428" s="1" t="n">
        <v>45983</v>
      </c>
      <c r="D428" t="inlineStr">
        <is>
          <t>VÄRMLANDS LÄN</t>
        </is>
      </c>
      <c r="E428" t="inlineStr">
        <is>
          <t>ÅRJÄNG</t>
        </is>
      </c>
      <c r="G428" t="n">
        <v>6.1</v>
      </c>
      <c r="H428" t="n">
        <v>0</v>
      </c>
      <c r="I428" t="n">
        <v>0</v>
      </c>
      <c r="J428" t="n">
        <v>0</v>
      </c>
      <c r="K428" t="n">
        <v>0</v>
      </c>
      <c r="L428" t="n">
        <v>0</v>
      </c>
      <c r="M428" t="n">
        <v>0</v>
      </c>
      <c r="N428" t="n">
        <v>0</v>
      </c>
      <c r="O428" t="n">
        <v>0</v>
      </c>
      <c r="P428" t="n">
        <v>0</v>
      </c>
      <c r="Q428" t="n">
        <v>0</v>
      </c>
      <c r="R428" s="2" t="inlineStr"/>
    </row>
    <row r="429" ht="15" customHeight="1">
      <c r="A429" t="inlineStr">
        <is>
          <t>A 41763-2025</t>
        </is>
      </c>
      <c r="B429" s="1" t="n">
        <v>45902.54175925926</v>
      </c>
      <c r="C429" s="1" t="n">
        <v>45983</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41772-2025</t>
        </is>
      </c>
      <c r="B430" s="1" t="n">
        <v>45902.55828703703</v>
      </c>
      <c r="C430" s="1" t="n">
        <v>45983</v>
      </c>
      <c r="D430" t="inlineStr">
        <is>
          <t>VÄRMLANDS LÄN</t>
        </is>
      </c>
      <c r="E430" t="inlineStr">
        <is>
          <t>ÅRJÄNG</t>
        </is>
      </c>
      <c r="G430" t="n">
        <v>1</v>
      </c>
      <c r="H430" t="n">
        <v>0</v>
      </c>
      <c r="I430" t="n">
        <v>0</v>
      </c>
      <c r="J430" t="n">
        <v>0</v>
      </c>
      <c r="K430" t="n">
        <v>0</v>
      </c>
      <c r="L430" t="n">
        <v>0</v>
      </c>
      <c r="M430" t="n">
        <v>0</v>
      </c>
      <c r="N430" t="n">
        <v>0</v>
      </c>
      <c r="O430" t="n">
        <v>0</v>
      </c>
      <c r="P430" t="n">
        <v>0</v>
      </c>
      <c r="Q430" t="n">
        <v>0</v>
      </c>
      <c r="R430" s="2" t="inlineStr"/>
    </row>
    <row r="431" ht="15" customHeight="1">
      <c r="A431" t="inlineStr">
        <is>
          <t>A 41771-2025</t>
        </is>
      </c>
      <c r="B431" s="1" t="n">
        <v>45902.55228009259</v>
      </c>
      <c r="C431" s="1" t="n">
        <v>45983</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50050-2025</t>
        </is>
      </c>
      <c r="B432" s="1" t="n">
        <v>45942</v>
      </c>
      <c r="C432" s="1" t="n">
        <v>45983</v>
      </c>
      <c r="D432" t="inlineStr">
        <is>
          <t>VÄRMLANDS LÄN</t>
        </is>
      </c>
      <c r="E432" t="inlineStr">
        <is>
          <t>ÅRJÄNG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19245-2024</t>
        </is>
      </c>
      <c r="B433" s="1" t="n">
        <v>45428</v>
      </c>
      <c r="C433" s="1" t="n">
        <v>45983</v>
      </c>
      <c r="D433" t="inlineStr">
        <is>
          <t>VÄRMLANDS LÄN</t>
        </is>
      </c>
      <c r="E433" t="inlineStr">
        <is>
          <t>ÅRJÄNG</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61154-2021</t>
        </is>
      </c>
      <c r="B434" s="1" t="n">
        <v>44497</v>
      </c>
      <c r="C434" s="1" t="n">
        <v>45983</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50114-2025</t>
        </is>
      </c>
      <c r="B435" s="1" t="n">
        <v>45943</v>
      </c>
      <c r="C435" s="1" t="n">
        <v>45983</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49958-2025</t>
        </is>
      </c>
      <c r="B436" s="1" t="n">
        <v>45941.33325231481</v>
      </c>
      <c r="C436" s="1" t="n">
        <v>45983</v>
      </c>
      <c r="D436" t="inlineStr">
        <is>
          <t>VÄRMLANDS LÄN</t>
        </is>
      </c>
      <c r="E436" t="inlineStr">
        <is>
          <t>ÅRJÄNG</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41488-2025</t>
        </is>
      </c>
      <c r="B437" s="1" t="n">
        <v>45901.48288194444</v>
      </c>
      <c r="C437" s="1" t="n">
        <v>45983</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2969-2022</t>
        </is>
      </c>
      <c r="B438" s="1" t="n">
        <v>44581.70811342593</v>
      </c>
      <c r="C438" s="1" t="n">
        <v>45983</v>
      </c>
      <c r="D438" t="inlineStr">
        <is>
          <t>VÄRMLANDS LÄN</t>
        </is>
      </c>
      <c r="E438" t="inlineStr">
        <is>
          <t>ÅRJÄNG</t>
        </is>
      </c>
      <c r="G438" t="n">
        <v>1.6</v>
      </c>
      <c r="H438" t="n">
        <v>0</v>
      </c>
      <c r="I438" t="n">
        <v>0</v>
      </c>
      <c r="J438" t="n">
        <v>0</v>
      </c>
      <c r="K438" t="n">
        <v>0</v>
      </c>
      <c r="L438" t="n">
        <v>0</v>
      </c>
      <c r="M438" t="n">
        <v>0</v>
      </c>
      <c r="N438" t="n">
        <v>0</v>
      </c>
      <c r="O438" t="n">
        <v>0</v>
      </c>
      <c r="P438" t="n">
        <v>0</v>
      </c>
      <c r="Q438" t="n">
        <v>0</v>
      </c>
      <c r="R438" s="2" t="inlineStr"/>
    </row>
    <row r="439" ht="15" customHeight="1">
      <c r="A439" t="inlineStr">
        <is>
          <t>A 26258-2025</t>
        </is>
      </c>
      <c r="B439" s="1" t="n">
        <v>45805.58349537037</v>
      </c>
      <c r="C439" s="1" t="n">
        <v>45983</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50112-2025</t>
        </is>
      </c>
      <c r="B440" s="1" t="n">
        <v>45943</v>
      </c>
      <c r="C440" s="1" t="n">
        <v>45983</v>
      </c>
      <c r="D440" t="inlineStr">
        <is>
          <t>VÄRMLANDS LÄN</t>
        </is>
      </c>
      <c r="E440" t="inlineStr">
        <is>
          <t>ÅRJÄNG</t>
        </is>
      </c>
      <c r="G440" t="n">
        <v>2.2</v>
      </c>
      <c r="H440" t="n">
        <v>0</v>
      </c>
      <c r="I440" t="n">
        <v>0</v>
      </c>
      <c r="J440" t="n">
        <v>0</v>
      </c>
      <c r="K440" t="n">
        <v>0</v>
      </c>
      <c r="L440" t="n">
        <v>0</v>
      </c>
      <c r="M440" t="n">
        <v>0</v>
      </c>
      <c r="N440" t="n">
        <v>0</v>
      </c>
      <c r="O440" t="n">
        <v>0</v>
      </c>
      <c r="P440" t="n">
        <v>0</v>
      </c>
      <c r="Q440" t="n">
        <v>0</v>
      </c>
      <c r="R440" s="2" t="inlineStr"/>
    </row>
    <row r="441" ht="15" customHeight="1">
      <c r="A441" t="inlineStr">
        <is>
          <t>A 5319-2025</t>
        </is>
      </c>
      <c r="B441" s="1" t="n">
        <v>45692.52384259259</v>
      </c>
      <c r="C441" s="1" t="n">
        <v>45983</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12840-2025</t>
        </is>
      </c>
      <c r="B442" s="1" t="n">
        <v>45733</v>
      </c>
      <c r="C442" s="1" t="n">
        <v>45983</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74448-2021</t>
        </is>
      </c>
      <c r="B443" s="1" t="n">
        <v>44560.47202546296</v>
      </c>
      <c r="C443" s="1" t="n">
        <v>45983</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61295-2022</t>
        </is>
      </c>
      <c r="B444" s="1" t="n">
        <v>44915</v>
      </c>
      <c r="C444" s="1" t="n">
        <v>45983</v>
      </c>
      <c r="D444" t="inlineStr">
        <is>
          <t>VÄRMLANDS LÄN</t>
        </is>
      </c>
      <c r="E444" t="inlineStr">
        <is>
          <t>ÅRJÄNG</t>
        </is>
      </c>
      <c r="G444" t="n">
        <v>0.4</v>
      </c>
      <c r="H444" t="n">
        <v>0</v>
      </c>
      <c r="I444" t="n">
        <v>0</v>
      </c>
      <c r="J444" t="n">
        <v>0</v>
      </c>
      <c r="K444" t="n">
        <v>0</v>
      </c>
      <c r="L444" t="n">
        <v>0</v>
      </c>
      <c r="M444" t="n">
        <v>0</v>
      </c>
      <c r="N444" t="n">
        <v>0</v>
      </c>
      <c r="O444" t="n">
        <v>0</v>
      </c>
      <c r="P444" t="n">
        <v>0</v>
      </c>
      <c r="Q444" t="n">
        <v>0</v>
      </c>
      <c r="R444" s="2" t="inlineStr"/>
    </row>
    <row r="445" ht="15" customHeight="1">
      <c r="A445" t="inlineStr">
        <is>
          <t>A 41725-2025</t>
        </is>
      </c>
      <c r="B445" s="1" t="n">
        <v>45902.45458333333</v>
      </c>
      <c r="C445" s="1" t="n">
        <v>45983</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10648-2023</t>
        </is>
      </c>
      <c r="B446" s="1" t="n">
        <v>44984</v>
      </c>
      <c r="C446" s="1" t="n">
        <v>45983</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36282-2024</t>
        </is>
      </c>
      <c r="B447" s="1" t="n">
        <v>45534.5887962963</v>
      </c>
      <c r="C447" s="1" t="n">
        <v>45983</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8146-2024</t>
        </is>
      </c>
      <c r="B448" s="1" t="n">
        <v>45351.57671296296</v>
      </c>
      <c r="C448" s="1" t="n">
        <v>45983</v>
      </c>
      <c r="D448" t="inlineStr">
        <is>
          <t>VÄRMLANDS LÄN</t>
        </is>
      </c>
      <c r="E448" t="inlineStr">
        <is>
          <t>ÅRJÄNG</t>
        </is>
      </c>
      <c r="G448" t="n">
        <v>1.7</v>
      </c>
      <c r="H448" t="n">
        <v>0</v>
      </c>
      <c r="I448" t="n">
        <v>0</v>
      </c>
      <c r="J448" t="n">
        <v>0</v>
      </c>
      <c r="K448" t="n">
        <v>0</v>
      </c>
      <c r="L448" t="n">
        <v>0</v>
      </c>
      <c r="M448" t="n">
        <v>0</v>
      </c>
      <c r="N448" t="n">
        <v>0</v>
      </c>
      <c r="O448" t="n">
        <v>0</v>
      </c>
      <c r="P448" t="n">
        <v>0</v>
      </c>
      <c r="Q448" t="n">
        <v>0</v>
      </c>
      <c r="R448" s="2" t="inlineStr"/>
    </row>
    <row r="449" ht="15" customHeight="1">
      <c r="A449" t="inlineStr">
        <is>
          <t>A 50620-2025</t>
        </is>
      </c>
      <c r="B449" s="1" t="n">
        <v>45945.63163194444</v>
      </c>
      <c r="C449" s="1" t="n">
        <v>45983</v>
      </c>
      <c r="D449" t="inlineStr">
        <is>
          <t>VÄRMLANDS LÄN</t>
        </is>
      </c>
      <c r="E449" t="inlineStr">
        <is>
          <t>ÅRJÄNG</t>
        </is>
      </c>
      <c r="G449" t="n">
        <v>7.7</v>
      </c>
      <c r="H449" t="n">
        <v>0</v>
      </c>
      <c r="I449" t="n">
        <v>0</v>
      </c>
      <c r="J449" t="n">
        <v>0</v>
      </c>
      <c r="K449" t="n">
        <v>0</v>
      </c>
      <c r="L449" t="n">
        <v>0</v>
      </c>
      <c r="M449" t="n">
        <v>0</v>
      </c>
      <c r="N449" t="n">
        <v>0</v>
      </c>
      <c r="O449" t="n">
        <v>0</v>
      </c>
      <c r="P449" t="n">
        <v>0</v>
      </c>
      <c r="Q449" t="n">
        <v>0</v>
      </c>
      <c r="R449" s="2" t="inlineStr"/>
    </row>
    <row r="450" ht="15" customHeight="1">
      <c r="A450" t="inlineStr">
        <is>
          <t>A 26758-2025</t>
        </is>
      </c>
      <c r="B450" s="1" t="n">
        <v>45807</v>
      </c>
      <c r="C450" s="1" t="n">
        <v>45983</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61545-2024</t>
        </is>
      </c>
      <c r="B451" s="1" t="n">
        <v>45646.59966435185</v>
      </c>
      <c r="C451" s="1" t="n">
        <v>45983</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56566-2022</t>
        </is>
      </c>
      <c r="B452" s="1" t="n">
        <v>44893.50795138889</v>
      </c>
      <c r="C452" s="1" t="n">
        <v>45983</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45983</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37347-2024</t>
        </is>
      </c>
      <c r="B454" s="1" t="n">
        <v>45540</v>
      </c>
      <c r="C454" s="1" t="n">
        <v>45983</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50498-2025</t>
        </is>
      </c>
      <c r="B455" s="1" t="n">
        <v>45945.41553240741</v>
      </c>
      <c r="C455" s="1" t="n">
        <v>45983</v>
      </c>
      <c r="D455" t="inlineStr">
        <is>
          <t>VÄRMLANDS LÄN</t>
        </is>
      </c>
      <c r="E455" t="inlineStr">
        <is>
          <t>ÅRJÄNG</t>
        </is>
      </c>
      <c r="G455" t="n">
        <v>4.5</v>
      </c>
      <c r="H455" t="n">
        <v>0</v>
      </c>
      <c r="I455" t="n">
        <v>0</v>
      </c>
      <c r="J455" t="n">
        <v>0</v>
      </c>
      <c r="K455" t="n">
        <v>0</v>
      </c>
      <c r="L455" t="n">
        <v>0</v>
      </c>
      <c r="M455" t="n">
        <v>0</v>
      </c>
      <c r="N455" t="n">
        <v>0</v>
      </c>
      <c r="O455" t="n">
        <v>0</v>
      </c>
      <c r="P455" t="n">
        <v>0</v>
      </c>
      <c r="Q455" t="n">
        <v>0</v>
      </c>
      <c r="R455" s="2" t="inlineStr"/>
    </row>
    <row r="456" ht="15" customHeight="1">
      <c r="A456" t="inlineStr">
        <is>
          <t>A 50841-2025</t>
        </is>
      </c>
      <c r="B456" s="1" t="n">
        <v>45946.57050925926</v>
      </c>
      <c r="C456" s="1" t="n">
        <v>45983</v>
      </c>
      <c r="D456" t="inlineStr">
        <is>
          <t>VÄRMLANDS LÄN</t>
        </is>
      </c>
      <c r="E456" t="inlineStr">
        <is>
          <t>ÅRJÄNG</t>
        </is>
      </c>
      <c r="F456" t="inlineStr">
        <is>
          <t>Kyrkan</t>
        </is>
      </c>
      <c r="G456" t="n">
        <v>2.4</v>
      </c>
      <c r="H456" t="n">
        <v>0</v>
      </c>
      <c r="I456" t="n">
        <v>0</v>
      </c>
      <c r="J456" t="n">
        <v>0</v>
      </c>
      <c r="K456" t="n">
        <v>0</v>
      </c>
      <c r="L456" t="n">
        <v>0</v>
      </c>
      <c r="M456" t="n">
        <v>0</v>
      </c>
      <c r="N456" t="n">
        <v>0</v>
      </c>
      <c r="O456" t="n">
        <v>0</v>
      </c>
      <c r="P456" t="n">
        <v>0</v>
      </c>
      <c r="Q456" t="n">
        <v>0</v>
      </c>
      <c r="R456" s="2" t="inlineStr"/>
    </row>
    <row r="457" ht="15" customHeight="1">
      <c r="A457" t="inlineStr">
        <is>
          <t>A 34172-2024</t>
        </is>
      </c>
      <c r="B457" s="1" t="n">
        <v>45524</v>
      </c>
      <c r="C457" s="1" t="n">
        <v>45983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50847-2025</t>
        </is>
      </c>
      <c r="B458" s="1" t="n">
        <v>45946.57590277777</v>
      </c>
      <c r="C458" s="1" t="n">
        <v>45983</v>
      </c>
      <c r="D458" t="inlineStr">
        <is>
          <t>VÄRMLANDS LÄN</t>
        </is>
      </c>
      <c r="E458" t="inlineStr">
        <is>
          <t>ÅRJÄNG</t>
        </is>
      </c>
      <c r="F458" t="inlineStr">
        <is>
          <t>Kyrkan</t>
        </is>
      </c>
      <c r="G458" t="n">
        <v>4.3</v>
      </c>
      <c r="H458" t="n">
        <v>0</v>
      </c>
      <c r="I458" t="n">
        <v>0</v>
      </c>
      <c r="J458" t="n">
        <v>0</v>
      </c>
      <c r="K458" t="n">
        <v>0</v>
      </c>
      <c r="L458" t="n">
        <v>0</v>
      </c>
      <c r="M458" t="n">
        <v>0</v>
      </c>
      <c r="N458" t="n">
        <v>0</v>
      </c>
      <c r="O458" t="n">
        <v>0</v>
      </c>
      <c r="P458" t="n">
        <v>0</v>
      </c>
      <c r="Q458" t="n">
        <v>0</v>
      </c>
      <c r="R458" s="2" t="inlineStr"/>
    </row>
    <row r="459" ht="15" customHeight="1">
      <c r="A459" t="inlineStr">
        <is>
          <t>A 7700-2023</t>
        </is>
      </c>
      <c r="B459" s="1" t="n">
        <v>44967</v>
      </c>
      <c r="C459" s="1" t="n">
        <v>45983</v>
      </c>
      <c r="D459" t="inlineStr">
        <is>
          <t>VÄRMLANDS LÄN</t>
        </is>
      </c>
      <c r="E459" t="inlineStr">
        <is>
          <t>ÅRJÄNG</t>
        </is>
      </c>
      <c r="F459" t="inlineStr">
        <is>
          <t>Övriga Aktiebolag</t>
        </is>
      </c>
      <c r="G459" t="n">
        <v>4.3</v>
      </c>
      <c r="H459" t="n">
        <v>0</v>
      </c>
      <c r="I459" t="n">
        <v>0</v>
      </c>
      <c r="J459" t="n">
        <v>0</v>
      </c>
      <c r="K459" t="n">
        <v>0</v>
      </c>
      <c r="L459" t="n">
        <v>0</v>
      </c>
      <c r="M459" t="n">
        <v>0</v>
      </c>
      <c r="N459" t="n">
        <v>0</v>
      </c>
      <c r="O459" t="n">
        <v>0</v>
      </c>
      <c r="P459" t="n">
        <v>0</v>
      </c>
      <c r="Q459" t="n">
        <v>0</v>
      </c>
      <c r="R459" s="2" t="inlineStr"/>
    </row>
    <row r="460" ht="15" customHeight="1">
      <c r="A460" t="inlineStr">
        <is>
          <t>A 24789-2024</t>
        </is>
      </c>
      <c r="B460" s="1" t="n">
        <v>45460</v>
      </c>
      <c r="C460" s="1" t="n">
        <v>45983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37356-2024</t>
        </is>
      </c>
      <c r="B461" s="1" t="n">
        <v>45540</v>
      </c>
      <c r="C461" s="1" t="n">
        <v>45983</v>
      </c>
      <c r="D461" t="inlineStr">
        <is>
          <t>VÄRMLANDS LÄN</t>
        </is>
      </c>
      <c r="E461" t="inlineStr">
        <is>
          <t>ÅRJÄNG</t>
        </is>
      </c>
      <c r="G461" t="n">
        <v>3.4</v>
      </c>
      <c r="H461" t="n">
        <v>0</v>
      </c>
      <c r="I461" t="n">
        <v>0</v>
      </c>
      <c r="J461" t="n">
        <v>0</v>
      </c>
      <c r="K461" t="n">
        <v>0</v>
      </c>
      <c r="L461" t="n">
        <v>0</v>
      </c>
      <c r="M461" t="n">
        <v>0</v>
      </c>
      <c r="N461" t="n">
        <v>0</v>
      </c>
      <c r="O461" t="n">
        <v>0</v>
      </c>
      <c r="P461" t="n">
        <v>0</v>
      </c>
      <c r="Q461" t="n">
        <v>0</v>
      </c>
      <c r="R461" s="2" t="inlineStr"/>
    </row>
    <row r="462" ht="15" customHeight="1">
      <c r="A462" t="inlineStr">
        <is>
          <t>A 55432-2024</t>
        </is>
      </c>
      <c r="B462" s="1" t="n">
        <v>45622</v>
      </c>
      <c r="C462" s="1" t="n">
        <v>45983</v>
      </c>
      <c r="D462" t="inlineStr">
        <is>
          <t>VÄRMLANDS LÄN</t>
        </is>
      </c>
      <c r="E462" t="inlineStr">
        <is>
          <t>ÅRJÄNG</t>
        </is>
      </c>
      <c r="G462" t="n">
        <v>6.9</v>
      </c>
      <c r="H462" t="n">
        <v>0</v>
      </c>
      <c r="I462" t="n">
        <v>0</v>
      </c>
      <c r="J462" t="n">
        <v>0</v>
      </c>
      <c r="K462" t="n">
        <v>0</v>
      </c>
      <c r="L462" t="n">
        <v>0</v>
      </c>
      <c r="M462" t="n">
        <v>0</v>
      </c>
      <c r="N462" t="n">
        <v>0</v>
      </c>
      <c r="O462" t="n">
        <v>0</v>
      </c>
      <c r="P462" t="n">
        <v>0</v>
      </c>
      <c r="Q462" t="n">
        <v>0</v>
      </c>
      <c r="R462" s="2" t="inlineStr"/>
    </row>
    <row r="463" ht="15" customHeight="1">
      <c r="A463" t="inlineStr">
        <is>
          <t>A 42333-2025</t>
        </is>
      </c>
      <c r="B463" s="1" t="n">
        <v>45904</v>
      </c>
      <c r="C463" s="1" t="n">
        <v>45983</v>
      </c>
      <c r="D463" t="inlineStr">
        <is>
          <t>VÄRMLANDS LÄN</t>
        </is>
      </c>
      <c r="E463" t="inlineStr">
        <is>
          <t>ÅRJÄNG</t>
        </is>
      </c>
      <c r="G463" t="n">
        <v>3.8</v>
      </c>
      <c r="H463" t="n">
        <v>0</v>
      </c>
      <c r="I463" t="n">
        <v>0</v>
      </c>
      <c r="J463" t="n">
        <v>0</v>
      </c>
      <c r="K463" t="n">
        <v>0</v>
      </c>
      <c r="L463" t="n">
        <v>0</v>
      </c>
      <c r="M463" t="n">
        <v>0</v>
      </c>
      <c r="N463" t="n">
        <v>0</v>
      </c>
      <c r="O463" t="n">
        <v>0</v>
      </c>
      <c r="P463" t="n">
        <v>0</v>
      </c>
      <c r="Q463" t="n">
        <v>0</v>
      </c>
      <c r="R463" s="2" t="inlineStr"/>
    </row>
    <row r="464" ht="15" customHeight="1">
      <c r="A464" t="inlineStr">
        <is>
          <t>A 24971-2025</t>
        </is>
      </c>
      <c r="B464" s="1" t="n">
        <v>45799</v>
      </c>
      <c r="C464" s="1" t="n">
        <v>45983</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51265-2024</t>
        </is>
      </c>
      <c r="B465" s="1" t="n">
        <v>45602</v>
      </c>
      <c r="C465" s="1" t="n">
        <v>45983</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4865-2024</t>
        </is>
      </c>
      <c r="B466" s="1" t="n">
        <v>45329</v>
      </c>
      <c r="C466" s="1" t="n">
        <v>45983</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26783-2024</t>
        </is>
      </c>
      <c r="B467" s="1" t="n">
        <v>45470</v>
      </c>
      <c r="C467" s="1" t="n">
        <v>45983</v>
      </c>
      <c r="D467" t="inlineStr">
        <is>
          <t>VÄRMLANDS LÄN</t>
        </is>
      </c>
      <c r="E467" t="inlineStr">
        <is>
          <t>ÅRJÄNG</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18718-2023</t>
        </is>
      </c>
      <c r="B468" s="1" t="n">
        <v>45043.65459490741</v>
      </c>
      <c r="C468" s="1" t="n">
        <v>45983</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26434-2025</t>
        </is>
      </c>
      <c r="B469" s="1" t="n">
        <v>45807.39797453704</v>
      </c>
      <c r="C469" s="1" t="n">
        <v>45983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50545-2025</t>
        </is>
      </c>
      <c r="B470" s="1" t="n">
        <v>45945.50777777778</v>
      </c>
      <c r="C470" s="1" t="n">
        <v>45983</v>
      </c>
      <c r="D470" t="inlineStr">
        <is>
          <t>VÄRMLANDS LÄN</t>
        </is>
      </c>
      <c r="E470" t="inlineStr">
        <is>
          <t>ÅRJÄNG</t>
        </is>
      </c>
      <c r="G470" t="n">
        <v>0.7</v>
      </c>
      <c r="H470" t="n">
        <v>0</v>
      </c>
      <c r="I470" t="n">
        <v>0</v>
      </c>
      <c r="J470" t="n">
        <v>0</v>
      </c>
      <c r="K470" t="n">
        <v>0</v>
      </c>
      <c r="L470" t="n">
        <v>0</v>
      </c>
      <c r="M470" t="n">
        <v>0</v>
      </c>
      <c r="N470" t="n">
        <v>0</v>
      </c>
      <c r="O470" t="n">
        <v>0</v>
      </c>
      <c r="P470" t="n">
        <v>0</v>
      </c>
      <c r="Q470" t="n">
        <v>0</v>
      </c>
      <c r="R470" s="2" t="inlineStr"/>
    </row>
    <row r="471" ht="15" customHeight="1">
      <c r="A471" t="inlineStr">
        <is>
          <t>A 50551-2025</t>
        </is>
      </c>
      <c r="B471" s="1" t="n">
        <v>45945.52244212963</v>
      </c>
      <c r="C471" s="1" t="n">
        <v>45983</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4137-2025</t>
        </is>
      </c>
      <c r="B472" s="1" t="n">
        <v>45685.35232638889</v>
      </c>
      <c r="C472" s="1" t="n">
        <v>45983</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43517-2024</t>
        </is>
      </c>
      <c r="B473" s="1" t="n">
        <v>45569.32800925926</v>
      </c>
      <c r="C473" s="1" t="n">
        <v>45983</v>
      </c>
      <c r="D473" t="inlineStr">
        <is>
          <t>VÄRMLANDS LÄN</t>
        </is>
      </c>
      <c r="E473" t="inlineStr">
        <is>
          <t>ÅRJÄNG</t>
        </is>
      </c>
      <c r="G473" t="n">
        <v>5.9</v>
      </c>
      <c r="H473" t="n">
        <v>0</v>
      </c>
      <c r="I473" t="n">
        <v>0</v>
      </c>
      <c r="J473" t="n">
        <v>0</v>
      </c>
      <c r="K473" t="n">
        <v>0</v>
      </c>
      <c r="L473" t="n">
        <v>0</v>
      </c>
      <c r="M473" t="n">
        <v>0</v>
      </c>
      <c r="N473" t="n">
        <v>0</v>
      </c>
      <c r="O473" t="n">
        <v>0</v>
      </c>
      <c r="P473" t="n">
        <v>0</v>
      </c>
      <c r="Q473" t="n">
        <v>0</v>
      </c>
      <c r="R473" s="2" t="inlineStr"/>
    </row>
    <row r="474" ht="15" customHeight="1">
      <c r="A474" t="inlineStr">
        <is>
          <t>A 50554-2025</t>
        </is>
      </c>
      <c r="B474" s="1" t="n">
        <v>45945.52561342593</v>
      </c>
      <c r="C474" s="1" t="n">
        <v>45983</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15323-2025</t>
        </is>
      </c>
      <c r="B475" s="1" t="n">
        <v>45747.32385416667</v>
      </c>
      <c r="C475" s="1" t="n">
        <v>45983</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68328-2021</t>
        </is>
      </c>
      <c r="B476" s="1" t="n">
        <v>44527.35875</v>
      </c>
      <c r="C476" s="1" t="n">
        <v>45983</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50624-2025</t>
        </is>
      </c>
      <c r="B477" s="1" t="n">
        <v>45945.63518518519</v>
      </c>
      <c r="C477" s="1" t="n">
        <v>45983</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60909-2024</t>
        </is>
      </c>
      <c r="B478" s="1" t="n">
        <v>45645</v>
      </c>
      <c r="C478" s="1" t="n">
        <v>45983</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52741-2024</t>
        </is>
      </c>
      <c r="B479" s="1" t="n">
        <v>45610</v>
      </c>
      <c r="C479" s="1" t="n">
        <v>45983</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44934-2024</t>
        </is>
      </c>
      <c r="B480" s="1" t="n">
        <v>45575</v>
      </c>
      <c r="C480" s="1" t="n">
        <v>45983</v>
      </c>
      <c r="D480" t="inlineStr">
        <is>
          <t>VÄRMLANDS LÄN</t>
        </is>
      </c>
      <c r="E480" t="inlineStr">
        <is>
          <t>ÅRJÄNG</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50295-2025</t>
        </is>
      </c>
      <c r="B481" s="1" t="n">
        <v>45944</v>
      </c>
      <c r="C481" s="1" t="n">
        <v>45983</v>
      </c>
      <c r="D481" t="inlineStr">
        <is>
          <t>VÄRMLANDS LÄN</t>
        </is>
      </c>
      <c r="E481" t="inlineStr">
        <is>
          <t>ÅRJÄNG</t>
        </is>
      </c>
      <c r="G481" t="n">
        <v>6</v>
      </c>
      <c r="H481" t="n">
        <v>0</v>
      </c>
      <c r="I481" t="n">
        <v>0</v>
      </c>
      <c r="J481" t="n">
        <v>0</v>
      </c>
      <c r="K481" t="n">
        <v>0</v>
      </c>
      <c r="L481" t="n">
        <v>0</v>
      </c>
      <c r="M481" t="n">
        <v>0</v>
      </c>
      <c r="N481" t="n">
        <v>0</v>
      </c>
      <c r="O481" t="n">
        <v>0</v>
      </c>
      <c r="P481" t="n">
        <v>0</v>
      </c>
      <c r="Q481" t="n">
        <v>0</v>
      </c>
      <c r="R481" s="2" t="inlineStr"/>
    </row>
    <row r="482" ht="15" customHeight="1">
      <c r="A482" t="inlineStr">
        <is>
          <t>A 50304-2025</t>
        </is>
      </c>
      <c r="B482" s="1" t="n">
        <v>45944</v>
      </c>
      <c r="C482" s="1" t="n">
        <v>45983</v>
      </c>
      <c r="D482" t="inlineStr">
        <is>
          <t>VÄRMLANDS LÄN</t>
        </is>
      </c>
      <c r="E482" t="inlineStr">
        <is>
          <t>ÅRJÄNG</t>
        </is>
      </c>
      <c r="G482" t="n">
        <v>4.7</v>
      </c>
      <c r="H482" t="n">
        <v>0</v>
      </c>
      <c r="I482" t="n">
        <v>0</v>
      </c>
      <c r="J482" t="n">
        <v>0</v>
      </c>
      <c r="K482" t="n">
        <v>0</v>
      </c>
      <c r="L482" t="n">
        <v>0</v>
      </c>
      <c r="M482" t="n">
        <v>0</v>
      </c>
      <c r="N482" t="n">
        <v>0</v>
      </c>
      <c r="O482" t="n">
        <v>0</v>
      </c>
      <c r="P482" t="n">
        <v>0</v>
      </c>
      <c r="Q482" t="n">
        <v>0</v>
      </c>
      <c r="R482" s="2" t="inlineStr"/>
    </row>
    <row r="483" ht="15" customHeight="1">
      <c r="A483" t="inlineStr">
        <is>
          <t>A 8357-2025</t>
        </is>
      </c>
      <c r="B483" s="1" t="n">
        <v>45708.79896990741</v>
      </c>
      <c r="C483" s="1" t="n">
        <v>45983</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10321-2025</t>
        </is>
      </c>
      <c r="B484" s="1" t="n">
        <v>45720</v>
      </c>
      <c r="C484" s="1" t="n">
        <v>45983</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50931-2025</t>
        </is>
      </c>
      <c r="B485" s="1" t="n">
        <v>45946.68568287037</v>
      </c>
      <c r="C485" s="1" t="n">
        <v>45983</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43794-2024</t>
        </is>
      </c>
      <c r="B486" s="1" t="n">
        <v>45571.53519675926</v>
      </c>
      <c r="C486" s="1" t="n">
        <v>45983</v>
      </c>
      <c r="D486" t="inlineStr">
        <is>
          <t>VÄRMLANDS LÄN</t>
        </is>
      </c>
      <c r="E486" t="inlineStr">
        <is>
          <t>ÅRJÄNG</t>
        </is>
      </c>
      <c r="G486" t="n">
        <v>0.6</v>
      </c>
      <c r="H486" t="n">
        <v>0</v>
      </c>
      <c r="I486" t="n">
        <v>0</v>
      </c>
      <c r="J486" t="n">
        <v>0</v>
      </c>
      <c r="K486" t="n">
        <v>0</v>
      </c>
      <c r="L486" t="n">
        <v>0</v>
      </c>
      <c r="M486" t="n">
        <v>0</v>
      </c>
      <c r="N486" t="n">
        <v>0</v>
      </c>
      <c r="O486" t="n">
        <v>0</v>
      </c>
      <c r="P486" t="n">
        <v>0</v>
      </c>
      <c r="Q486" t="n">
        <v>0</v>
      </c>
      <c r="R486" s="2" t="inlineStr"/>
    </row>
    <row r="487" ht="15" customHeight="1">
      <c r="A487" t="inlineStr">
        <is>
          <t>A 56348-2024</t>
        </is>
      </c>
      <c r="B487" s="1" t="n">
        <v>45624</v>
      </c>
      <c r="C487" s="1" t="n">
        <v>45983</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26998-2025</t>
        </is>
      </c>
      <c r="B488" s="1" t="n">
        <v>45811</v>
      </c>
      <c r="C488" s="1" t="n">
        <v>45983</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33738-2021</t>
        </is>
      </c>
      <c r="B489" s="1" t="n">
        <v>44378.48505787037</v>
      </c>
      <c r="C489" s="1" t="n">
        <v>45983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24964-2025</t>
        </is>
      </c>
      <c r="B490" s="1" t="n">
        <v>45799</v>
      </c>
      <c r="C490" s="1" t="n">
        <v>45983</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26959-2025</t>
        </is>
      </c>
      <c r="B491" s="1" t="n">
        <v>45811.45909722222</v>
      </c>
      <c r="C491" s="1" t="n">
        <v>45983</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38065-2024</t>
        </is>
      </c>
      <c r="B492" s="1" t="n">
        <v>45544.8249537037</v>
      </c>
      <c r="C492" s="1" t="n">
        <v>45983</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6577-2025</t>
        </is>
      </c>
      <c r="B493" s="1" t="n">
        <v>45699.87793981482</v>
      </c>
      <c r="C493" s="1" t="n">
        <v>45983</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50709-2025</t>
        </is>
      </c>
      <c r="B494" s="1" t="n">
        <v>45946</v>
      </c>
      <c r="C494" s="1" t="n">
        <v>45983</v>
      </c>
      <c r="D494" t="inlineStr">
        <is>
          <t>VÄRMLANDS LÄN</t>
        </is>
      </c>
      <c r="E494" t="inlineStr">
        <is>
          <t>ÅRJÄNG</t>
        </is>
      </c>
      <c r="G494" t="n">
        <v>3.3</v>
      </c>
      <c r="H494" t="n">
        <v>0</v>
      </c>
      <c r="I494" t="n">
        <v>0</v>
      </c>
      <c r="J494" t="n">
        <v>0</v>
      </c>
      <c r="K494" t="n">
        <v>0</v>
      </c>
      <c r="L494" t="n">
        <v>0</v>
      </c>
      <c r="M494" t="n">
        <v>0</v>
      </c>
      <c r="N494" t="n">
        <v>0</v>
      </c>
      <c r="O494" t="n">
        <v>0</v>
      </c>
      <c r="P494" t="n">
        <v>0</v>
      </c>
      <c r="Q494" t="n">
        <v>0</v>
      </c>
      <c r="R494" s="2" t="inlineStr"/>
    </row>
    <row r="495" ht="15" customHeight="1">
      <c r="A495" t="inlineStr">
        <is>
          <t>A 27120-2025</t>
        </is>
      </c>
      <c r="B495" s="1" t="n">
        <v>45811.76232638889</v>
      </c>
      <c r="C495" s="1" t="n">
        <v>45983</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9749-2024</t>
        </is>
      </c>
      <c r="B496" s="1" t="n">
        <v>45362</v>
      </c>
      <c r="C496" s="1" t="n">
        <v>45983</v>
      </c>
      <c r="D496" t="inlineStr">
        <is>
          <t>VÄRMLANDS LÄN</t>
        </is>
      </c>
      <c r="E496" t="inlineStr">
        <is>
          <t>ÅRJÄNG</t>
        </is>
      </c>
      <c r="F496" t="inlineStr">
        <is>
          <t>Kyrkan</t>
        </is>
      </c>
      <c r="G496" t="n">
        <v>0.5</v>
      </c>
      <c r="H496" t="n">
        <v>0</v>
      </c>
      <c r="I496" t="n">
        <v>0</v>
      </c>
      <c r="J496" t="n">
        <v>0</v>
      </c>
      <c r="K496" t="n">
        <v>0</v>
      </c>
      <c r="L496" t="n">
        <v>0</v>
      </c>
      <c r="M496" t="n">
        <v>0</v>
      </c>
      <c r="N496" t="n">
        <v>0</v>
      </c>
      <c r="O496" t="n">
        <v>0</v>
      </c>
      <c r="P496" t="n">
        <v>0</v>
      </c>
      <c r="Q496" t="n">
        <v>0</v>
      </c>
      <c r="R496" s="2" t="inlineStr"/>
    </row>
    <row r="497" ht="15" customHeight="1">
      <c r="A497" t="inlineStr">
        <is>
          <t>A 8614-2023</t>
        </is>
      </c>
      <c r="B497" s="1" t="n">
        <v>44977</v>
      </c>
      <c r="C497" s="1" t="n">
        <v>45983</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27247-2025</t>
        </is>
      </c>
      <c r="B498" s="1" t="n">
        <v>45812.46612268518</v>
      </c>
      <c r="C498" s="1" t="n">
        <v>45983</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51435-2025</t>
        </is>
      </c>
      <c r="B499" s="1" t="n">
        <v>45950.56015046296</v>
      </c>
      <c r="C499" s="1" t="n">
        <v>45983</v>
      </c>
      <c r="D499" t="inlineStr">
        <is>
          <t>VÄRMLANDS LÄN</t>
        </is>
      </c>
      <c r="E499" t="inlineStr">
        <is>
          <t>ÅRJÄNG</t>
        </is>
      </c>
      <c r="G499" t="n">
        <v>1.3</v>
      </c>
      <c r="H499" t="n">
        <v>0</v>
      </c>
      <c r="I499" t="n">
        <v>0</v>
      </c>
      <c r="J499" t="n">
        <v>0</v>
      </c>
      <c r="K499" t="n">
        <v>0</v>
      </c>
      <c r="L499" t="n">
        <v>0</v>
      </c>
      <c r="M499" t="n">
        <v>0</v>
      </c>
      <c r="N499" t="n">
        <v>0</v>
      </c>
      <c r="O499" t="n">
        <v>0</v>
      </c>
      <c r="P499" t="n">
        <v>0</v>
      </c>
      <c r="Q499" t="n">
        <v>0</v>
      </c>
      <c r="R499" s="2" t="inlineStr"/>
    </row>
    <row r="500" ht="15" customHeight="1">
      <c r="A500" t="inlineStr">
        <is>
          <t>A 1571-2025</t>
        </is>
      </c>
      <c r="B500" s="1" t="n">
        <v>45670.55496527778</v>
      </c>
      <c r="C500" s="1" t="n">
        <v>45983</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40458-2023</t>
        </is>
      </c>
      <c r="B501" s="1" t="n">
        <v>45170.32993055556</v>
      </c>
      <c r="C501" s="1" t="n">
        <v>45983</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51430-2025</t>
        </is>
      </c>
      <c r="B502" s="1" t="n">
        <v>45950.54824074074</v>
      </c>
      <c r="C502" s="1" t="n">
        <v>45983</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16010-2024</t>
        </is>
      </c>
      <c r="B503" s="1" t="n">
        <v>45405</v>
      </c>
      <c r="C503" s="1" t="n">
        <v>45983</v>
      </c>
      <c r="D503" t="inlineStr">
        <is>
          <t>VÄRMLANDS LÄN</t>
        </is>
      </c>
      <c r="E503" t="inlineStr">
        <is>
          <t>ÅRJÄNG</t>
        </is>
      </c>
      <c r="G503" t="n">
        <v>4.6</v>
      </c>
      <c r="H503" t="n">
        <v>0</v>
      </c>
      <c r="I503" t="n">
        <v>0</v>
      </c>
      <c r="J503" t="n">
        <v>0</v>
      </c>
      <c r="K503" t="n">
        <v>0</v>
      </c>
      <c r="L503" t="n">
        <v>0</v>
      </c>
      <c r="M503" t="n">
        <v>0</v>
      </c>
      <c r="N503" t="n">
        <v>0</v>
      </c>
      <c r="O503" t="n">
        <v>0</v>
      </c>
      <c r="P503" t="n">
        <v>0</v>
      </c>
      <c r="Q503" t="n">
        <v>0</v>
      </c>
      <c r="R503" s="2" t="inlineStr"/>
    </row>
    <row r="504" ht="15" customHeight="1">
      <c r="A504" t="inlineStr">
        <is>
          <t>A 62966-2023</t>
        </is>
      </c>
      <c r="B504" s="1" t="n">
        <v>45272.57006944445</v>
      </c>
      <c r="C504" s="1" t="n">
        <v>45983</v>
      </c>
      <c r="D504" t="inlineStr">
        <is>
          <t>VÄRMLANDS LÄN</t>
        </is>
      </c>
      <c r="E504" t="inlineStr">
        <is>
          <t>ÅRJÄNG</t>
        </is>
      </c>
      <c r="G504" t="n">
        <v>4.5</v>
      </c>
      <c r="H504" t="n">
        <v>0</v>
      </c>
      <c r="I504" t="n">
        <v>0</v>
      </c>
      <c r="J504" t="n">
        <v>0</v>
      </c>
      <c r="K504" t="n">
        <v>0</v>
      </c>
      <c r="L504" t="n">
        <v>0</v>
      </c>
      <c r="M504" t="n">
        <v>0</v>
      </c>
      <c r="N504" t="n">
        <v>0</v>
      </c>
      <c r="O504" t="n">
        <v>0</v>
      </c>
      <c r="P504" t="n">
        <v>0</v>
      </c>
      <c r="Q504" t="n">
        <v>0</v>
      </c>
      <c r="R504" s="2" t="inlineStr"/>
    </row>
    <row r="505" ht="15" customHeight="1">
      <c r="A505" t="inlineStr">
        <is>
          <t>A 42677-2025</t>
        </is>
      </c>
      <c r="B505" s="1" t="n">
        <v>45908.32836805555</v>
      </c>
      <c r="C505" s="1" t="n">
        <v>45983</v>
      </c>
      <c r="D505" t="inlineStr">
        <is>
          <t>VÄRMLANDS LÄN</t>
        </is>
      </c>
      <c r="E505" t="inlineStr">
        <is>
          <t>ÅRJÄNG</t>
        </is>
      </c>
      <c r="G505" t="n">
        <v>2.7</v>
      </c>
      <c r="H505" t="n">
        <v>0</v>
      </c>
      <c r="I505" t="n">
        <v>0</v>
      </c>
      <c r="J505" t="n">
        <v>0</v>
      </c>
      <c r="K505" t="n">
        <v>0</v>
      </c>
      <c r="L505" t="n">
        <v>0</v>
      </c>
      <c r="M505" t="n">
        <v>0</v>
      </c>
      <c r="N505" t="n">
        <v>0</v>
      </c>
      <c r="O505" t="n">
        <v>0</v>
      </c>
      <c r="P505" t="n">
        <v>0</v>
      </c>
      <c r="Q505" t="n">
        <v>0</v>
      </c>
      <c r="R505" s="2" t="inlineStr"/>
    </row>
    <row r="506" ht="15" customHeight="1">
      <c r="A506" t="inlineStr">
        <is>
          <t>A 1200-2023</t>
        </is>
      </c>
      <c r="B506" s="1" t="n">
        <v>44935</v>
      </c>
      <c r="C506" s="1" t="n">
        <v>45983</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40628-2024</t>
        </is>
      </c>
      <c r="B507" s="1" t="n">
        <v>45557.61668981481</v>
      </c>
      <c r="C507" s="1" t="n">
        <v>45983</v>
      </c>
      <c r="D507" t="inlineStr">
        <is>
          <t>VÄRMLANDS LÄN</t>
        </is>
      </c>
      <c r="E507" t="inlineStr">
        <is>
          <t>ÅRJÄNG</t>
        </is>
      </c>
      <c r="G507" t="n">
        <v>3.3</v>
      </c>
      <c r="H507" t="n">
        <v>0</v>
      </c>
      <c r="I507" t="n">
        <v>0</v>
      </c>
      <c r="J507" t="n">
        <v>0</v>
      </c>
      <c r="K507" t="n">
        <v>0</v>
      </c>
      <c r="L507" t="n">
        <v>0</v>
      </c>
      <c r="M507" t="n">
        <v>0</v>
      </c>
      <c r="N507" t="n">
        <v>0</v>
      </c>
      <c r="O507" t="n">
        <v>0</v>
      </c>
      <c r="P507" t="n">
        <v>0</v>
      </c>
      <c r="Q507" t="n">
        <v>0</v>
      </c>
      <c r="R507" s="2" t="inlineStr"/>
    </row>
    <row r="508" ht="15" customHeight="1">
      <c r="A508" t="inlineStr">
        <is>
          <t>A 13029-2025</t>
        </is>
      </c>
      <c r="B508" s="1" t="n">
        <v>45734.5703125</v>
      </c>
      <c r="C508" s="1" t="n">
        <v>45983</v>
      </c>
      <c r="D508" t="inlineStr">
        <is>
          <t>VÄRMLANDS LÄN</t>
        </is>
      </c>
      <c r="E508" t="inlineStr">
        <is>
          <t>ÅRJÄNG</t>
        </is>
      </c>
      <c r="G508" t="n">
        <v>4.1</v>
      </c>
      <c r="H508" t="n">
        <v>0</v>
      </c>
      <c r="I508" t="n">
        <v>0</v>
      </c>
      <c r="J508" t="n">
        <v>0</v>
      </c>
      <c r="K508" t="n">
        <v>0</v>
      </c>
      <c r="L508" t="n">
        <v>0</v>
      </c>
      <c r="M508" t="n">
        <v>0</v>
      </c>
      <c r="N508" t="n">
        <v>0</v>
      </c>
      <c r="O508" t="n">
        <v>0</v>
      </c>
      <c r="P508" t="n">
        <v>0</v>
      </c>
      <c r="Q508" t="n">
        <v>0</v>
      </c>
      <c r="R508" s="2" t="inlineStr"/>
    </row>
    <row r="509" ht="15" customHeight="1">
      <c r="A509" t="inlineStr">
        <is>
          <t>A 42562-2025</t>
        </is>
      </c>
      <c r="B509" s="1" t="n">
        <v>45905.59986111111</v>
      </c>
      <c r="C509" s="1" t="n">
        <v>45983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5106-2023</t>
        </is>
      </c>
      <c r="B510" s="1" t="n">
        <v>44953</v>
      </c>
      <c r="C510" s="1" t="n">
        <v>45983</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51282-2025</t>
        </is>
      </c>
      <c r="B511" s="1" t="n">
        <v>45950.33694444445</v>
      </c>
      <c r="C511" s="1" t="n">
        <v>45983</v>
      </c>
      <c r="D511" t="inlineStr">
        <is>
          <t>VÄRMLANDS LÄN</t>
        </is>
      </c>
      <c r="E511" t="inlineStr">
        <is>
          <t>ÅRJÄNG</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62720-2023</t>
        </is>
      </c>
      <c r="B512" s="1" t="n">
        <v>45271.5799537037</v>
      </c>
      <c r="C512" s="1" t="n">
        <v>45983</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332-2021</t>
        </is>
      </c>
      <c r="B513" s="1" t="n">
        <v>44201</v>
      </c>
      <c r="C513" s="1" t="n">
        <v>45983</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15951-2025</t>
        </is>
      </c>
      <c r="B514" s="1" t="n">
        <v>45749</v>
      </c>
      <c r="C514" s="1" t="n">
        <v>45983</v>
      </c>
      <c r="D514" t="inlineStr">
        <is>
          <t>VÄRMLANDS LÄN</t>
        </is>
      </c>
      <c r="E514" t="inlineStr">
        <is>
          <t>ÅRJÄNG</t>
        </is>
      </c>
      <c r="F514" t="inlineStr">
        <is>
          <t>Bergvik skog väst AB</t>
        </is>
      </c>
      <c r="G514" t="n">
        <v>5.1</v>
      </c>
      <c r="H514" t="n">
        <v>0</v>
      </c>
      <c r="I514" t="n">
        <v>0</v>
      </c>
      <c r="J514" t="n">
        <v>0</v>
      </c>
      <c r="K514" t="n">
        <v>0</v>
      </c>
      <c r="L514" t="n">
        <v>0</v>
      </c>
      <c r="M514" t="n">
        <v>0</v>
      </c>
      <c r="N514" t="n">
        <v>0</v>
      </c>
      <c r="O514" t="n">
        <v>0</v>
      </c>
      <c r="P514" t="n">
        <v>0</v>
      </c>
      <c r="Q514" t="n">
        <v>0</v>
      </c>
      <c r="R514" s="2" t="inlineStr"/>
    </row>
    <row r="515" ht="15" customHeight="1">
      <c r="A515" t="inlineStr">
        <is>
          <t>A 14710-2025</t>
        </is>
      </c>
      <c r="B515" s="1" t="n">
        <v>45742.60868055555</v>
      </c>
      <c r="C515" s="1" t="n">
        <v>45983</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15248-2025</t>
        </is>
      </c>
      <c r="B516" s="1" t="n">
        <v>45744</v>
      </c>
      <c r="C516" s="1" t="n">
        <v>45983</v>
      </c>
      <c r="D516" t="inlineStr">
        <is>
          <t>VÄRMLANDS LÄN</t>
        </is>
      </c>
      <c r="E516" t="inlineStr">
        <is>
          <t>ÅRJÄNG</t>
        </is>
      </c>
      <c r="G516" t="n">
        <v>3.2</v>
      </c>
      <c r="H516" t="n">
        <v>0</v>
      </c>
      <c r="I516" t="n">
        <v>0</v>
      </c>
      <c r="J516" t="n">
        <v>0</v>
      </c>
      <c r="K516" t="n">
        <v>0</v>
      </c>
      <c r="L516" t="n">
        <v>0</v>
      </c>
      <c r="M516" t="n">
        <v>0</v>
      </c>
      <c r="N516" t="n">
        <v>0</v>
      </c>
      <c r="O516" t="n">
        <v>0</v>
      </c>
      <c r="P516" t="n">
        <v>0</v>
      </c>
      <c r="Q516" t="n">
        <v>0</v>
      </c>
      <c r="R516" s="2" t="inlineStr"/>
    </row>
    <row r="517" ht="15" customHeight="1">
      <c r="A517" t="inlineStr">
        <is>
          <t>A 38057-2024</t>
        </is>
      </c>
      <c r="B517" s="1" t="n">
        <v>45544.73293981481</v>
      </c>
      <c r="C517" s="1" t="n">
        <v>45983</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8818-2022</t>
        </is>
      </c>
      <c r="B518" s="1" t="n">
        <v>44614.45849537037</v>
      </c>
      <c r="C518" s="1" t="n">
        <v>45983</v>
      </c>
      <c r="D518" t="inlineStr">
        <is>
          <t>VÄRMLANDS LÄN</t>
        </is>
      </c>
      <c r="E518" t="inlineStr">
        <is>
          <t>ÅRJÄNG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42233-2024</t>
        </is>
      </c>
      <c r="B519" s="1" t="n">
        <v>45562</v>
      </c>
      <c r="C519" s="1" t="n">
        <v>45983</v>
      </c>
      <c r="D519" t="inlineStr">
        <is>
          <t>VÄRMLANDS LÄN</t>
        </is>
      </c>
      <c r="E519" t="inlineStr">
        <is>
          <t>ÅRJÄNG</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34181-2024</t>
        </is>
      </c>
      <c r="B520" s="1" t="n">
        <v>45524</v>
      </c>
      <c r="C520" s="1" t="n">
        <v>45983</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34184-2024</t>
        </is>
      </c>
      <c r="B521" s="1" t="n">
        <v>45524</v>
      </c>
      <c r="C521" s="1" t="n">
        <v>45983</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45983</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424-2025</t>
        </is>
      </c>
      <c r="B523" s="1" t="n">
        <v>45664</v>
      </c>
      <c r="C523" s="1" t="n">
        <v>45983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42971-2025</t>
        </is>
      </c>
      <c r="B524" s="1" t="n">
        <v>45909.41502314815</v>
      </c>
      <c r="C524" s="1" t="n">
        <v>45983</v>
      </c>
      <c r="D524" t="inlineStr">
        <is>
          <t>VÄRMLANDS LÄN</t>
        </is>
      </c>
      <c r="E524" t="inlineStr">
        <is>
          <t>ÅRJÄNG</t>
        </is>
      </c>
      <c r="G524" t="n">
        <v>1.3</v>
      </c>
      <c r="H524" t="n">
        <v>0</v>
      </c>
      <c r="I524" t="n">
        <v>0</v>
      </c>
      <c r="J524" t="n">
        <v>0</v>
      </c>
      <c r="K524" t="n">
        <v>0</v>
      </c>
      <c r="L524" t="n">
        <v>0</v>
      </c>
      <c r="M524" t="n">
        <v>0</v>
      </c>
      <c r="N524" t="n">
        <v>0</v>
      </c>
      <c r="O524" t="n">
        <v>0</v>
      </c>
      <c r="P524" t="n">
        <v>0</v>
      </c>
      <c r="Q524" t="n">
        <v>0</v>
      </c>
      <c r="R524" s="2" t="inlineStr"/>
    </row>
    <row r="525" ht="15" customHeight="1">
      <c r="A525" t="inlineStr">
        <is>
          <t>A 6559-2025</t>
        </is>
      </c>
      <c r="B525" s="1" t="n">
        <v>45699.73678240741</v>
      </c>
      <c r="C525" s="1" t="n">
        <v>45983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43162-2025</t>
        </is>
      </c>
      <c r="B526" s="1" t="n">
        <v>45910</v>
      </c>
      <c r="C526" s="1" t="n">
        <v>45983</v>
      </c>
      <c r="D526" t="inlineStr">
        <is>
          <t>VÄRMLANDS LÄN</t>
        </is>
      </c>
      <c r="E526" t="inlineStr">
        <is>
          <t>ÅRJÄNG</t>
        </is>
      </c>
      <c r="F526" t="inlineStr">
        <is>
          <t>Bergvik skog väst AB</t>
        </is>
      </c>
      <c r="G526" t="n">
        <v>12.9</v>
      </c>
      <c r="H526" t="n">
        <v>0</v>
      </c>
      <c r="I526" t="n">
        <v>0</v>
      </c>
      <c r="J526" t="n">
        <v>0</v>
      </c>
      <c r="K526" t="n">
        <v>0</v>
      </c>
      <c r="L526" t="n">
        <v>0</v>
      </c>
      <c r="M526" t="n">
        <v>0</v>
      </c>
      <c r="N526" t="n">
        <v>0</v>
      </c>
      <c r="O526" t="n">
        <v>0</v>
      </c>
      <c r="P526" t="n">
        <v>0</v>
      </c>
      <c r="Q526" t="n">
        <v>0</v>
      </c>
      <c r="R526" s="2" t="inlineStr"/>
    </row>
    <row r="527" ht="15" customHeight="1">
      <c r="A527" t="inlineStr">
        <is>
          <t>A 4408-2025</t>
        </is>
      </c>
      <c r="B527" s="1" t="n">
        <v>45686</v>
      </c>
      <c r="C527" s="1" t="n">
        <v>45983</v>
      </c>
      <c r="D527" t="inlineStr">
        <is>
          <t>VÄRMLANDS LÄN</t>
        </is>
      </c>
      <c r="E527" t="inlineStr">
        <is>
          <t>ÅRJÄNG</t>
        </is>
      </c>
      <c r="G527" t="n">
        <v>2</v>
      </c>
      <c r="H527" t="n">
        <v>0</v>
      </c>
      <c r="I527" t="n">
        <v>0</v>
      </c>
      <c r="J527" t="n">
        <v>0</v>
      </c>
      <c r="K527" t="n">
        <v>0</v>
      </c>
      <c r="L527" t="n">
        <v>0</v>
      </c>
      <c r="M527" t="n">
        <v>0</v>
      </c>
      <c r="N527" t="n">
        <v>0</v>
      </c>
      <c r="O527" t="n">
        <v>0</v>
      </c>
      <c r="P527" t="n">
        <v>0</v>
      </c>
      <c r="Q527" t="n">
        <v>0</v>
      </c>
      <c r="R527" s="2" t="inlineStr"/>
    </row>
    <row r="528" ht="15" customHeight="1">
      <c r="A528" t="inlineStr">
        <is>
          <t>A 28874-2025</t>
        </is>
      </c>
      <c r="B528" s="1" t="n">
        <v>45820</v>
      </c>
      <c r="C528" s="1" t="n">
        <v>45983</v>
      </c>
      <c r="D528" t="inlineStr">
        <is>
          <t>VÄRMLANDS LÄN</t>
        </is>
      </c>
      <c r="E528" t="inlineStr">
        <is>
          <t>ÅRJÄNG</t>
        </is>
      </c>
      <c r="G528" t="n">
        <v>0.4</v>
      </c>
      <c r="H528" t="n">
        <v>0</v>
      </c>
      <c r="I528" t="n">
        <v>0</v>
      </c>
      <c r="J528" t="n">
        <v>0</v>
      </c>
      <c r="K528" t="n">
        <v>0</v>
      </c>
      <c r="L528" t="n">
        <v>0</v>
      </c>
      <c r="M528" t="n">
        <v>0</v>
      </c>
      <c r="N528" t="n">
        <v>0</v>
      </c>
      <c r="O528" t="n">
        <v>0</v>
      </c>
      <c r="P528" t="n">
        <v>0</v>
      </c>
      <c r="Q528" t="n">
        <v>0</v>
      </c>
      <c r="R528" s="2" t="inlineStr"/>
    </row>
    <row r="529" ht="15" customHeight="1">
      <c r="A529" t="inlineStr">
        <is>
          <t>A 28690-2025</t>
        </is>
      </c>
      <c r="B529" s="1" t="n">
        <v>45819.73236111111</v>
      </c>
      <c r="C529" s="1" t="n">
        <v>45983</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28711-2025</t>
        </is>
      </c>
      <c r="B530" s="1" t="n">
        <v>45820.33701388889</v>
      </c>
      <c r="C530" s="1" t="n">
        <v>45983</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28797-2025</t>
        </is>
      </c>
      <c r="B531" s="1" t="n">
        <v>45820.48179398148</v>
      </c>
      <c r="C531" s="1" t="n">
        <v>45983</v>
      </c>
      <c r="D531" t="inlineStr">
        <is>
          <t>VÄRMLANDS LÄN</t>
        </is>
      </c>
      <c r="E531" t="inlineStr">
        <is>
          <t>ÅRJÄNG</t>
        </is>
      </c>
      <c r="G531" t="n">
        <v>3</v>
      </c>
      <c r="H531" t="n">
        <v>0</v>
      </c>
      <c r="I531" t="n">
        <v>0</v>
      </c>
      <c r="J531" t="n">
        <v>0</v>
      </c>
      <c r="K531" t="n">
        <v>0</v>
      </c>
      <c r="L531" t="n">
        <v>0</v>
      </c>
      <c r="M531" t="n">
        <v>0</v>
      </c>
      <c r="N531" t="n">
        <v>0</v>
      </c>
      <c r="O531" t="n">
        <v>0</v>
      </c>
      <c r="P531" t="n">
        <v>0</v>
      </c>
      <c r="Q531" t="n">
        <v>0</v>
      </c>
      <c r="R531" s="2" t="inlineStr"/>
    </row>
    <row r="532" ht="15" customHeight="1">
      <c r="A532" t="inlineStr">
        <is>
          <t>A 28793-2025</t>
        </is>
      </c>
      <c r="B532" s="1" t="n">
        <v>45820.47452546296</v>
      </c>
      <c r="C532" s="1" t="n">
        <v>45983</v>
      </c>
      <c r="D532" t="inlineStr">
        <is>
          <t>VÄRMLANDS LÄN</t>
        </is>
      </c>
      <c r="E532" t="inlineStr">
        <is>
          <t>ÅRJÄNG</t>
        </is>
      </c>
      <c r="G532" t="n">
        <v>2.6</v>
      </c>
      <c r="H532" t="n">
        <v>0</v>
      </c>
      <c r="I532" t="n">
        <v>0</v>
      </c>
      <c r="J532" t="n">
        <v>0</v>
      </c>
      <c r="K532" t="n">
        <v>0</v>
      </c>
      <c r="L532" t="n">
        <v>0</v>
      </c>
      <c r="M532" t="n">
        <v>0</v>
      </c>
      <c r="N532" t="n">
        <v>0</v>
      </c>
      <c r="O532" t="n">
        <v>0</v>
      </c>
      <c r="P532" t="n">
        <v>0</v>
      </c>
      <c r="Q532" t="n">
        <v>0</v>
      </c>
      <c r="R532" s="2" t="inlineStr"/>
    </row>
    <row r="533" ht="15" customHeight="1">
      <c r="A533" t="inlineStr">
        <is>
          <t>A 13196-2023</t>
        </is>
      </c>
      <c r="B533" s="1" t="n">
        <v>45002</v>
      </c>
      <c r="C533" s="1" t="n">
        <v>45983</v>
      </c>
      <c r="D533" t="inlineStr">
        <is>
          <t>VÄRMLANDS LÄN</t>
        </is>
      </c>
      <c r="E533" t="inlineStr">
        <is>
          <t>ÅRJÄNG</t>
        </is>
      </c>
      <c r="F533" t="inlineStr">
        <is>
          <t>Kyrkan</t>
        </is>
      </c>
      <c r="G533" t="n">
        <v>4.5</v>
      </c>
      <c r="H533" t="n">
        <v>0</v>
      </c>
      <c r="I533" t="n">
        <v>0</v>
      </c>
      <c r="J533" t="n">
        <v>0</v>
      </c>
      <c r="K533" t="n">
        <v>0</v>
      </c>
      <c r="L533" t="n">
        <v>0</v>
      </c>
      <c r="M533" t="n">
        <v>0</v>
      </c>
      <c r="N533" t="n">
        <v>0</v>
      </c>
      <c r="O533" t="n">
        <v>0</v>
      </c>
      <c r="P533" t="n">
        <v>0</v>
      </c>
      <c r="Q533" t="n">
        <v>0</v>
      </c>
      <c r="R533" s="2" t="inlineStr"/>
    </row>
    <row r="534" ht="15" customHeight="1">
      <c r="A534" t="inlineStr">
        <is>
          <t>A 28948-2025</t>
        </is>
      </c>
      <c r="B534" s="1" t="n">
        <v>45820</v>
      </c>
      <c r="C534" s="1" t="n">
        <v>45983</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28949-2025</t>
        </is>
      </c>
      <c r="B535" s="1" t="n">
        <v>45820</v>
      </c>
      <c r="C535" s="1" t="n">
        <v>45983</v>
      </c>
      <c r="D535" t="inlineStr">
        <is>
          <t>VÄRMLANDS LÄN</t>
        </is>
      </c>
      <c r="E535" t="inlineStr">
        <is>
          <t>ÅRJÄNG</t>
        </is>
      </c>
      <c r="G535" t="n">
        <v>0.3</v>
      </c>
      <c r="H535" t="n">
        <v>0</v>
      </c>
      <c r="I535" t="n">
        <v>0</v>
      </c>
      <c r="J535" t="n">
        <v>0</v>
      </c>
      <c r="K535" t="n">
        <v>0</v>
      </c>
      <c r="L535" t="n">
        <v>0</v>
      </c>
      <c r="M535" t="n">
        <v>0</v>
      </c>
      <c r="N535" t="n">
        <v>0</v>
      </c>
      <c r="O535" t="n">
        <v>0</v>
      </c>
      <c r="P535" t="n">
        <v>0</v>
      </c>
      <c r="Q535" t="n">
        <v>0</v>
      </c>
      <c r="R535" s="2" t="inlineStr"/>
    </row>
    <row r="536" ht="15" customHeight="1">
      <c r="A536" t="inlineStr">
        <is>
          <t>A 16613-2022</t>
        </is>
      </c>
      <c r="B536" s="1" t="n">
        <v>44672</v>
      </c>
      <c r="C536" s="1" t="n">
        <v>45983</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43025-2025</t>
        </is>
      </c>
      <c r="B537" s="1" t="n">
        <v>45909.53126157408</v>
      </c>
      <c r="C537" s="1" t="n">
        <v>45983</v>
      </c>
      <c r="D537" t="inlineStr">
        <is>
          <t>VÄRMLANDS LÄN</t>
        </is>
      </c>
      <c r="E537" t="inlineStr">
        <is>
          <t>ÅRJÄNG</t>
        </is>
      </c>
      <c r="G537" t="n">
        <v>3.8</v>
      </c>
      <c r="H537" t="n">
        <v>0</v>
      </c>
      <c r="I537" t="n">
        <v>0</v>
      </c>
      <c r="J537" t="n">
        <v>0</v>
      </c>
      <c r="K537" t="n">
        <v>0</v>
      </c>
      <c r="L537" t="n">
        <v>0</v>
      </c>
      <c r="M537" t="n">
        <v>0</v>
      </c>
      <c r="N537" t="n">
        <v>0</v>
      </c>
      <c r="O537" t="n">
        <v>0</v>
      </c>
      <c r="P537" t="n">
        <v>0</v>
      </c>
      <c r="Q537" t="n">
        <v>0</v>
      </c>
      <c r="R537" s="2" t="inlineStr"/>
    </row>
    <row r="538" ht="15" customHeight="1">
      <c r="A538" t="inlineStr">
        <is>
          <t>A 28710-2025</t>
        </is>
      </c>
      <c r="B538" s="1" t="n">
        <v>45820.32953703704</v>
      </c>
      <c r="C538" s="1" t="n">
        <v>45983</v>
      </c>
      <c r="D538" t="inlineStr">
        <is>
          <t>VÄRMLANDS LÄN</t>
        </is>
      </c>
      <c r="E538" t="inlineStr">
        <is>
          <t>ÅRJÄNG</t>
        </is>
      </c>
      <c r="G538" t="n">
        <v>1.2</v>
      </c>
      <c r="H538" t="n">
        <v>0</v>
      </c>
      <c r="I538" t="n">
        <v>0</v>
      </c>
      <c r="J538" t="n">
        <v>0</v>
      </c>
      <c r="K538" t="n">
        <v>0</v>
      </c>
      <c r="L538" t="n">
        <v>0</v>
      </c>
      <c r="M538" t="n">
        <v>0</v>
      </c>
      <c r="N538" t="n">
        <v>0</v>
      </c>
      <c r="O538" t="n">
        <v>0</v>
      </c>
      <c r="P538" t="n">
        <v>0</v>
      </c>
      <c r="Q538" t="n">
        <v>0</v>
      </c>
      <c r="R538" s="2" t="inlineStr"/>
    </row>
    <row r="539" ht="15" customHeight="1">
      <c r="A539" t="inlineStr">
        <is>
          <t>A 43047-2025</t>
        </is>
      </c>
      <c r="B539" s="1" t="n">
        <v>45909.56127314815</v>
      </c>
      <c r="C539" s="1" t="n">
        <v>45983</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28554-2025</t>
        </is>
      </c>
      <c r="B540" s="1" t="n">
        <v>45819.53761574074</v>
      </c>
      <c r="C540" s="1" t="n">
        <v>45983</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29136-2025</t>
        </is>
      </c>
      <c r="B541" s="1" t="n">
        <v>45821</v>
      </c>
      <c r="C541" s="1" t="n">
        <v>45983</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29138-2025</t>
        </is>
      </c>
      <c r="B542" s="1" t="n">
        <v>45821</v>
      </c>
      <c r="C542" s="1" t="n">
        <v>45983</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29146-2025</t>
        </is>
      </c>
      <c r="B543" s="1" t="n">
        <v>45821</v>
      </c>
      <c r="C543" s="1" t="n">
        <v>45983</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29007-2025</t>
        </is>
      </c>
      <c r="B544" s="1" t="n">
        <v>45821</v>
      </c>
      <c r="C544" s="1" t="n">
        <v>45983</v>
      </c>
      <c r="D544" t="inlineStr">
        <is>
          <t>VÄRMLANDS LÄN</t>
        </is>
      </c>
      <c r="E544" t="inlineStr">
        <is>
          <t>ÅRJÄNG</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29026-2025</t>
        </is>
      </c>
      <c r="B545" s="1" t="n">
        <v>45821</v>
      </c>
      <c r="C545" s="1" t="n">
        <v>45983</v>
      </c>
      <c r="D545" t="inlineStr">
        <is>
          <t>VÄRMLANDS LÄN</t>
        </is>
      </c>
      <c r="E545" t="inlineStr">
        <is>
          <t>ÅRJÄNG</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29082-2025</t>
        </is>
      </c>
      <c r="B546" s="1" t="n">
        <v>45821</v>
      </c>
      <c r="C546" s="1" t="n">
        <v>45983</v>
      </c>
      <c r="D546" t="inlineStr">
        <is>
          <t>VÄRMLANDS LÄN</t>
        </is>
      </c>
      <c r="E546" t="inlineStr">
        <is>
          <t>ÅRJÄNG</t>
        </is>
      </c>
      <c r="G546" t="n">
        <v>1.8</v>
      </c>
      <c r="H546" t="n">
        <v>0</v>
      </c>
      <c r="I546" t="n">
        <v>0</v>
      </c>
      <c r="J546" t="n">
        <v>0</v>
      </c>
      <c r="K546" t="n">
        <v>0</v>
      </c>
      <c r="L546" t="n">
        <v>0</v>
      </c>
      <c r="M546" t="n">
        <v>0</v>
      </c>
      <c r="N546" t="n">
        <v>0</v>
      </c>
      <c r="O546" t="n">
        <v>0</v>
      </c>
      <c r="P546" t="n">
        <v>0</v>
      </c>
      <c r="Q546" t="n">
        <v>0</v>
      </c>
      <c r="R546" s="2" t="inlineStr"/>
    </row>
    <row r="547" ht="15" customHeight="1">
      <c r="A547" t="inlineStr">
        <is>
          <t>A 29166-2025</t>
        </is>
      </c>
      <c r="B547" s="1" t="n">
        <v>45821.68682870371</v>
      </c>
      <c r="C547" s="1" t="n">
        <v>45983</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34387-2023</t>
        </is>
      </c>
      <c r="B548" s="1" t="n">
        <v>45139.50744212963</v>
      </c>
      <c r="C548" s="1" t="n">
        <v>45983</v>
      </c>
      <c r="D548" t="inlineStr">
        <is>
          <t>VÄRMLANDS LÄN</t>
        </is>
      </c>
      <c r="E548" t="inlineStr">
        <is>
          <t>ÅRJÄNG</t>
        </is>
      </c>
      <c r="G548" t="n">
        <v>2.6</v>
      </c>
      <c r="H548" t="n">
        <v>0</v>
      </c>
      <c r="I548" t="n">
        <v>0</v>
      </c>
      <c r="J548" t="n">
        <v>0</v>
      </c>
      <c r="K548" t="n">
        <v>0</v>
      </c>
      <c r="L548" t="n">
        <v>0</v>
      </c>
      <c r="M548" t="n">
        <v>0</v>
      </c>
      <c r="N548" t="n">
        <v>0</v>
      </c>
      <c r="O548" t="n">
        <v>0</v>
      </c>
      <c r="P548" t="n">
        <v>0</v>
      </c>
      <c r="Q548" t="n">
        <v>0</v>
      </c>
      <c r="R548" s="2" t="inlineStr"/>
    </row>
    <row r="549" ht="15" customHeight="1">
      <c r="A549" t="inlineStr">
        <is>
          <t>A 43050-2025</t>
        </is>
      </c>
      <c r="B549" s="1" t="n">
        <v>45909.56809027777</v>
      </c>
      <c r="C549" s="1" t="n">
        <v>45983</v>
      </c>
      <c r="D549" t="inlineStr">
        <is>
          <t>VÄRMLANDS LÄN</t>
        </is>
      </c>
      <c r="E549" t="inlineStr">
        <is>
          <t>ÅRJÄNG</t>
        </is>
      </c>
      <c r="G549" t="n">
        <v>4.8</v>
      </c>
      <c r="H549" t="n">
        <v>0</v>
      </c>
      <c r="I549" t="n">
        <v>0</v>
      </c>
      <c r="J549" t="n">
        <v>0</v>
      </c>
      <c r="K549" t="n">
        <v>0</v>
      </c>
      <c r="L549" t="n">
        <v>0</v>
      </c>
      <c r="M549" t="n">
        <v>0</v>
      </c>
      <c r="N549" t="n">
        <v>0</v>
      </c>
      <c r="O549" t="n">
        <v>0</v>
      </c>
      <c r="P549" t="n">
        <v>0</v>
      </c>
      <c r="Q549" t="n">
        <v>0</v>
      </c>
      <c r="R549" s="2" t="inlineStr"/>
    </row>
    <row r="550" ht="15" customHeight="1">
      <c r="A550" t="inlineStr">
        <is>
          <t>A 28992-2025</t>
        </is>
      </c>
      <c r="B550" s="1" t="n">
        <v>45821</v>
      </c>
      <c r="C550" s="1" t="n">
        <v>45983</v>
      </c>
      <c r="D550" t="inlineStr">
        <is>
          <t>VÄRMLANDS LÄN</t>
        </is>
      </c>
      <c r="E550" t="inlineStr">
        <is>
          <t>ÅRJÄNG</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29208-2025</t>
        </is>
      </c>
      <c r="B551" s="1" t="n">
        <v>45823.80380787037</v>
      </c>
      <c r="C551" s="1" t="n">
        <v>45983</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29169-2025</t>
        </is>
      </c>
      <c r="B552" s="1" t="n">
        <v>45821.69650462963</v>
      </c>
      <c r="C552" s="1" t="n">
        <v>45983</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29100-2025</t>
        </is>
      </c>
      <c r="B553" s="1" t="n">
        <v>45821</v>
      </c>
      <c r="C553" s="1" t="n">
        <v>45983</v>
      </c>
      <c r="D553" t="inlineStr">
        <is>
          <t>VÄRMLANDS LÄN</t>
        </is>
      </c>
      <c r="E553" t="inlineStr">
        <is>
          <t>ÅRJÄNG</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29139-2025</t>
        </is>
      </c>
      <c r="B554" s="1" t="n">
        <v>45821</v>
      </c>
      <c r="C554" s="1" t="n">
        <v>45983</v>
      </c>
      <c r="D554" t="inlineStr">
        <is>
          <t>VÄRMLANDS LÄN</t>
        </is>
      </c>
      <c r="E554" t="inlineStr">
        <is>
          <t>ÅRJÄNG</t>
        </is>
      </c>
      <c r="G554" t="n">
        <v>0.5</v>
      </c>
      <c r="H554" t="n">
        <v>0</v>
      </c>
      <c r="I554" t="n">
        <v>0</v>
      </c>
      <c r="J554" t="n">
        <v>0</v>
      </c>
      <c r="K554" t="n">
        <v>0</v>
      </c>
      <c r="L554" t="n">
        <v>0</v>
      </c>
      <c r="M554" t="n">
        <v>0</v>
      </c>
      <c r="N554" t="n">
        <v>0</v>
      </c>
      <c r="O554" t="n">
        <v>0</v>
      </c>
      <c r="P554" t="n">
        <v>0</v>
      </c>
      <c r="Q554" t="n">
        <v>0</v>
      </c>
      <c r="R554" s="2" t="inlineStr"/>
    </row>
    <row r="555" ht="15" customHeight="1">
      <c r="A555" t="inlineStr">
        <is>
          <t>A 43426-2025</t>
        </is>
      </c>
      <c r="B555" s="1" t="n">
        <v>45911.41869212963</v>
      </c>
      <c r="C555" s="1" t="n">
        <v>45983</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45983</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30134-2025</t>
        </is>
      </c>
      <c r="B557" s="1" t="n">
        <v>45826</v>
      </c>
      <c r="C557" s="1" t="n">
        <v>45983</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29783-2025</t>
        </is>
      </c>
      <c r="B558" s="1" t="n">
        <v>45825</v>
      </c>
      <c r="C558" s="1" t="n">
        <v>45983</v>
      </c>
      <c r="D558" t="inlineStr">
        <is>
          <t>VÄRMLANDS LÄN</t>
        </is>
      </c>
      <c r="E558" t="inlineStr">
        <is>
          <t>ÅRJÄNG</t>
        </is>
      </c>
      <c r="G558" t="n">
        <v>3</v>
      </c>
      <c r="H558" t="n">
        <v>0</v>
      </c>
      <c r="I558" t="n">
        <v>0</v>
      </c>
      <c r="J558" t="n">
        <v>0</v>
      </c>
      <c r="K558" t="n">
        <v>0</v>
      </c>
      <c r="L558" t="n">
        <v>0</v>
      </c>
      <c r="M558" t="n">
        <v>0</v>
      </c>
      <c r="N558" t="n">
        <v>0</v>
      </c>
      <c r="O558" t="n">
        <v>0</v>
      </c>
      <c r="P558" t="n">
        <v>0</v>
      </c>
      <c r="Q558" t="n">
        <v>0</v>
      </c>
      <c r="R558" s="2" t="inlineStr"/>
    </row>
    <row r="559" ht="15" customHeight="1">
      <c r="A559" t="inlineStr">
        <is>
          <t>A 65773-2020</t>
        </is>
      </c>
      <c r="B559" s="1" t="n">
        <v>44174</v>
      </c>
      <c r="C559" s="1" t="n">
        <v>45983</v>
      </c>
      <c r="D559" t="inlineStr">
        <is>
          <t>VÄRMLANDS LÄN</t>
        </is>
      </c>
      <c r="E559" t="inlineStr">
        <is>
          <t>ÅRJÄNG</t>
        </is>
      </c>
      <c r="G559" t="n">
        <v>0.4</v>
      </c>
      <c r="H559" t="n">
        <v>0</v>
      </c>
      <c r="I559" t="n">
        <v>0</v>
      </c>
      <c r="J559" t="n">
        <v>0</v>
      </c>
      <c r="K559" t="n">
        <v>0</v>
      </c>
      <c r="L559" t="n">
        <v>0</v>
      </c>
      <c r="M559" t="n">
        <v>0</v>
      </c>
      <c r="N559" t="n">
        <v>0</v>
      </c>
      <c r="O559" t="n">
        <v>0</v>
      </c>
      <c r="P559" t="n">
        <v>0</v>
      </c>
      <c r="Q559" t="n">
        <v>0</v>
      </c>
      <c r="R559" s="2" t="inlineStr"/>
    </row>
    <row r="560" ht="15" customHeight="1">
      <c r="A560" t="inlineStr">
        <is>
          <t>A 65781-2020</t>
        </is>
      </c>
      <c r="B560" s="1" t="n">
        <v>44174</v>
      </c>
      <c r="C560" s="1" t="n">
        <v>45983</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29624-2025</t>
        </is>
      </c>
      <c r="B561" s="1" t="n">
        <v>45825.44246527777</v>
      </c>
      <c r="C561" s="1" t="n">
        <v>45983</v>
      </c>
      <c r="D561" t="inlineStr">
        <is>
          <t>VÄRMLANDS LÄN</t>
        </is>
      </c>
      <c r="E561" t="inlineStr">
        <is>
          <t>ÅRJÄNG</t>
        </is>
      </c>
      <c r="G561" t="n">
        <v>6.2</v>
      </c>
      <c r="H561" t="n">
        <v>0</v>
      </c>
      <c r="I561" t="n">
        <v>0</v>
      </c>
      <c r="J561" t="n">
        <v>0</v>
      </c>
      <c r="K561" t="n">
        <v>0</v>
      </c>
      <c r="L561" t="n">
        <v>0</v>
      </c>
      <c r="M561" t="n">
        <v>0</v>
      </c>
      <c r="N561" t="n">
        <v>0</v>
      </c>
      <c r="O561" t="n">
        <v>0</v>
      </c>
      <c r="P561" t="n">
        <v>0</v>
      </c>
      <c r="Q561" t="n">
        <v>0</v>
      </c>
      <c r="R561" s="2" t="inlineStr"/>
    </row>
    <row r="562" ht="15" customHeight="1">
      <c r="A562" t="inlineStr">
        <is>
          <t>A 59068-2024</t>
        </is>
      </c>
      <c r="B562" s="1" t="n">
        <v>45636.95376157408</v>
      </c>
      <c r="C562" s="1" t="n">
        <v>45983</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61868-2024</t>
        </is>
      </c>
      <c r="B563" s="1" t="n">
        <v>45651.47393518518</v>
      </c>
      <c r="C563" s="1" t="n">
        <v>45983</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3492-2024</t>
        </is>
      </c>
      <c r="B564" s="1" t="n">
        <v>45317</v>
      </c>
      <c r="C564" s="1" t="n">
        <v>45983</v>
      </c>
      <c r="D564" t="inlineStr">
        <is>
          <t>VÄRMLANDS LÄN</t>
        </is>
      </c>
      <c r="E564" t="inlineStr">
        <is>
          <t>ÅRJÄNG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43434-2025</t>
        </is>
      </c>
      <c r="B565" s="1" t="n">
        <v>45911.42743055556</v>
      </c>
      <c r="C565" s="1" t="n">
        <v>45983</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24444-2025</t>
        </is>
      </c>
      <c r="B566" s="1" t="n">
        <v>45798</v>
      </c>
      <c r="C566" s="1" t="n">
        <v>45983</v>
      </c>
      <c r="D566" t="inlineStr">
        <is>
          <t>VÄRMLANDS LÄN</t>
        </is>
      </c>
      <c r="E566" t="inlineStr">
        <is>
          <t>ÅRJÄNG</t>
        </is>
      </c>
      <c r="G566" t="n">
        <v>5.1</v>
      </c>
      <c r="H566" t="n">
        <v>0</v>
      </c>
      <c r="I566" t="n">
        <v>0</v>
      </c>
      <c r="J566" t="n">
        <v>0</v>
      </c>
      <c r="K566" t="n">
        <v>0</v>
      </c>
      <c r="L566" t="n">
        <v>0</v>
      </c>
      <c r="M566" t="n">
        <v>0</v>
      </c>
      <c r="N566" t="n">
        <v>0</v>
      </c>
      <c r="O566" t="n">
        <v>0</v>
      </c>
      <c r="P566" t="n">
        <v>0</v>
      </c>
      <c r="Q566" t="n">
        <v>0</v>
      </c>
      <c r="R566" s="2" t="inlineStr"/>
    </row>
    <row r="567" ht="15" customHeight="1">
      <c r="A567" t="inlineStr">
        <is>
          <t>A 46957-2024</t>
        </is>
      </c>
      <c r="B567" s="1" t="n">
        <v>45586</v>
      </c>
      <c r="C567" s="1" t="n">
        <v>45983</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24445-2025</t>
        </is>
      </c>
      <c r="B568" s="1" t="n">
        <v>45798</v>
      </c>
      <c r="C568" s="1" t="n">
        <v>45983</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40349-2024</t>
        </is>
      </c>
      <c r="B569" s="1" t="n">
        <v>45555.35849537037</v>
      </c>
      <c r="C569" s="1" t="n">
        <v>45983</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37191-2023</t>
        </is>
      </c>
      <c r="B570" s="1" t="n">
        <v>45154</v>
      </c>
      <c r="C570" s="1" t="n">
        <v>45983</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31111-2025</t>
        </is>
      </c>
      <c r="B571" s="1" t="n">
        <v>45831</v>
      </c>
      <c r="C571" s="1" t="n">
        <v>45983</v>
      </c>
      <c r="D571" t="inlineStr">
        <is>
          <t>VÄRMLANDS LÄN</t>
        </is>
      </c>
      <c r="E571" t="inlineStr">
        <is>
          <t>ÅRJÄNG</t>
        </is>
      </c>
      <c r="G571" t="n">
        <v>6</v>
      </c>
      <c r="H571" t="n">
        <v>0</v>
      </c>
      <c r="I571" t="n">
        <v>0</v>
      </c>
      <c r="J571" t="n">
        <v>0</v>
      </c>
      <c r="K571" t="n">
        <v>0</v>
      </c>
      <c r="L571" t="n">
        <v>0</v>
      </c>
      <c r="M571" t="n">
        <v>0</v>
      </c>
      <c r="N571" t="n">
        <v>0</v>
      </c>
      <c r="O571" t="n">
        <v>0</v>
      </c>
      <c r="P571" t="n">
        <v>0</v>
      </c>
      <c r="Q571" t="n">
        <v>0</v>
      </c>
      <c r="R571" s="2" t="inlineStr"/>
    </row>
    <row r="572" ht="15" customHeight="1">
      <c r="A572" t="inlineStr">
        <is>
          <t>A 21365-2022</t>
        </is>
      </c>
      <c r="B572" s="1" t="n">
        <v>44705</v>
      </c>
      <c r="C572" s="1" t="n">
        <v>45983</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52855-2025</t>
        </is>
      </c>
      <c r="B573" s="1" t="n">
        <v>45957.50030092592</v>
      </c>
      <c r="C573" s="1" t="n">
        <v>45983</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30761-2025</t>
        </is>
      </c>
      <c r="B574" s="1" t="n">
        <v>45831</v>
      </c>
      <c r="C574" s="1" t="n">
        <v>45983</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30579-2025</t>
        </is>
      </c>
      <c r="B575" s="1" t="n">
        <v>45831.41965277777</v>
      </c>
      <c r="C575" s="1" t="n">
        <v>45983</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30611-2025</t>
        </is>
      </c>
      <c r="B576" s="1" t="n">
        <v>45831.46104166667</v>
      </c>
      <c r="C576" s="1" t="n">
        <v>45983</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30658-2025</t>
        </is>
      </c>
      <c r="B577" s="1" t="n">
        <v>45831.5072337963</v>
      </c>
      <c r="C577" s="1" t="n">
        <v>45983</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53468-2021</t>
        </is>
      </c>
      <c r="B578" s="1" t="n">
        <v>44468.74127314815</v>
      </c>
      <c r="C578" s="1" t="n">
        <v>45983</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44300-2025</t>
        </is>
      </c>
      <c r="B579" s="1" t="n">
        <v>45916.3702662037</v>
      </c>
      <c r="C579" s="1" t="n">
        <v>45983</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44452-2025</t>
        </is>
      </c>
      <c r="B580" s="1" t="n">
        <v>45916</v>
      </c>
      <c r="C580" s="1" t="n">
        <v>45983</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31063-2025</t>
        </is>
      </c>
      <c r="B581" s="1" t="n">
        <v>45831</v>
      </c>
      <c r="C581" s="1" t="n">
        <v>45983</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31073-2025</t>
        </is>
      </c>
      <c r="B582" s="1" t="n">
        <v>45831</v>
      </c>
      <c r="C582" s="1" t="n">
        <v>45983</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53160-2025</t>
        </is>
      </c>
      <c r="B583" s="1" t="n">
        <v>45958.49123842592</v>
      </c>
      <c r="C583" s="1" t="n">
        <v>45983</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53158-2025</t>
        </is>
      </c>
      <c r="B584" s="1" t="n">
        <v>45958.49064814814</v>
      </c>
      <c r="C584" s="1" t="n">
        <v>45983</v>
      </c>
      <c r="D584" t="inlineStr">
        <is>
          <t>VÄRMLANDS LÄN</t>
        </is>
      </c>
      <c r="E584" t="inlineStr">
        <is>
          <t>ÅRJÄNG</t>
        </is>
      </c>
      <c r="G584" t="n">
        <v>1</v>
      </c>
      <c r="H584" t="n">
        <v>0</v>
      </c>
      <c r="I584" t="n">
        <v>0</v>
      </c>
      <c r="J584" t="n">
        <v>0</v>
      </c>
      <c r="K584" t="n">
        <v>0</v>
      </c>
      <c r="L584" t="n">
        <v>0</v>
      </c>
      <c r="M584" t="n">
        <v>0</v>
      </c>
      <c r="N584" t="n">
        <v>0</v>
      </c>
      <c r="O584" t="n">
        <v>0</v>
      </c>
      <c r="P584" t="n">
        <v>0</v>
      </c>
      <c r="Q584" t="n">
        <v>0</v>
      </c>
      <c r="R584" s="2" t="inlineStr"/>
    </row>
    <row r="585" ht="15" customHeight="1">
      <c r="A585" t="inlineStr">
        <is>
          <t>A 43650-2024</t>
        </is>
      </c>
      <c r="B585" s="1" t="n">
        <v>45569.53091435185</v>
      </c>
      <c r="C585" s="1" t="n">
        <v>45983</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30604-2025</t>
        </is>
      </c>
      <c r="B586" s="1" t="n">
        <v>45831.45185185185</v>
      </c>
      <c r="C586" s="1" t="n">
        <v>45983</v>
      </c>
      <c r="D586" t="inlineStr">
        <is>
          <t>VÄRMLANDS LÄN</t>
        </is>
      </c>
      <c r="E586" t="inlineStr">
        <is>
          <t>ÅRJÄNG</t>
        </is>
      </c>
      <c r="G586" t="n">
        <v>6.5</v>
      </c>
      <c r="H586" t="n">
        <v>0</v>
      </c>
      <c r="I586" t="n">
        <v>0</v>
      </c>
      <c r="J586" t="n">
        <v>0</v>
      </c>
      <c r="K586" t="n">
        <v>0</v>
      </c>
      <c r="L586" t="n">
        <v>0</v>
      </c>
      <c r="M586" t="n">
        <v>0</v>
      </c>
      <c r="N586" t="n">
        <v>0</v>
      </c>
      <c r="O586" t="n">
        <v>0</v>
      </c>
      <c r="P586" t="n">
        <v>0</v>
      </c>
      <c r="Q586" t="n">
        <v>0</v>
      </c>
      <c r="R586" s="2" t="inlineStr"/>
    </row>
    <row r="587" ht="15" customHeight="1">
      <c r="A587" t="inlineStr">
        <is>
          <t>A 21513-2024</t>
        </is>
      </c>
      <c r="B587" s="1" t="n">
        <v>45441</v>
      </c>
      <c r="C587" s="1" t="n">
        <v>45983</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53073-2025</t>
        </is>
      </c>
      <c r="B588" s="1" t="n">
        <v>45958.38311342592</v>
      </c>
      <c r="C588" s="1" t="n">
        <v>45983</v>
      </c>
      <c r="D588" t="inlineStr">
        <is>
          <t>VÄRMLANDS LÄN</t>
        </is>
      </c>
      <c r="E588" t="inlineStr">
        <is>
          <t>ÅRJÄNG</t>
        </is>
      </c>
      <c r="G588" t="n">
        <v>2</v>
      </c>
      <c r="H588" t="n">
        <v>0</v>
      </c>
      <c r="I588" t="n">
        <v>0</v>
      </c>
      <c r="J588" t="n">
        <v>0</v>
      </c>
      <c r="K588" t="n">
        <v>0</v>
      </c>
      <c r="L588" t="n">
        <v>0</v>
      </c>
      <c r="M588" t="n">
        <v>0</v>
      </c>
      <c r="N588" t="n">
        <v>0</v>
      </c>
      <c r="O588" t="n">
        <v>0</v>
      </c>
      <c r="P588" t="n">
        <v>0</v>
      </c>
      <c r="Q588" t="n">
        <v>0</v>
      </c>
      <c r="R588" s="2" t="inlineStr"/>
    </row>
    <row r="589" ht="15" customHeight="1">
      <c r="A589" t="inlineStr">
        <is>
          <t>A 53103-2025</t>
        </is>
      </c>
      <c r="B589" s="1" t="n">
        <v>45958.43097222222</v>
      </c>
      <c r="C589" s="1" t="n">
        <v>45983</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14509-2022</t>
        </is>
      </c>
      <c r="B590" s="1" t="n">
        <v>44655</v>
      </c>
      <c r="C590" s="1" t="n">
        <v>45983</v>
      </c>
      <c r="D590" t="inlineStr">
        <is>
          <t>VÄRMLANDS LÄN</t>
        </is>
      </c>
      <c r="E590" t="inlineStr">
        <is>
          <t>ÅRJÄNG</t>
        </is>
      </c>
      <c r="G590" t="n">
        <v>0.2</v>
      </c>
      <c r="H590" t="n">
        <v>0</v>
      </c>
      <c r="I590" t="n">
        <v>0</v>
      </c>
      <c r="J590" t="n">
        <v>0</v>
      </c>
      <c r="K590" t="n">
        <v>0</v>
      </c>
      <c r="L590" t="n">
        <v>0</v>
      </c>
      <c r="M590" t="n">
        <v>0</v>
      </c>
      <c r="N590" t="n">
        <v>0</v>
      </c>
      <c r="O590" t="n">
        <v>0</v>
      </c>
      <c r="P590" t="n">
        <v>0</v>
      </c>
      <c r="Q590" t="n">
        <v>0</v>
      </c>
      <c r="R590" s="2" t="inlineStr"/>
    </row>
    <row r="591" ht="15" customHeight="1">
      <c r="A591" t="inlineStr">
        <is>
          <t>A 31282-2025</t>
        </is>
      </c>
      <c r="B591" s="1" t="n">
        <v>45833</v>
      </c>
      <c r="C591" s="1" t="n">
        <v>45983</v>
      </c>
      <c r="D591" t="inlineStr">
        <is>
          <t>VÄRMLANDS LÄN</t>
        </is>
      </c>
      <c r="E591" t="inlineStr">
        <is>
          <t>ÅRJÄNG</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44456-2025</t>
        </is>
      </c>
      <c r="B592" s="1" t="n">
        <v>45916</v>
      </c>
      <c r="C592" s="1" t="n">
        <v>45983</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31710-2025</t>
        </is>
      </c>
      <c r="B593" s="1" t="n">
        <v>45834.4325462963</v>
      </c>
      <c r="C593" s="1" t="n">
        <v>45983</v>
      </c>
      <c r="D593" t="inlineStr">
        <is>
          <t>VÄRMLANDS LÄN</t>
        </is>
      </c>
      <c r="E593" t="inlineStr">
        <is>
          <t>ÅRJÄNG</t>
        </is>
      </c>
      <c r="G593" t="n">
        <v>1.6</v>
      </c>
      <c r="H593" t="n">
        <v>0</v>
      </c>
      <c r="I593" t="n">
        <v>0</v>
      </c>
      <c r="J593" t="n">
        <v>0</v>
      </c>
      <c r="K593" t="n">
        <v>0</v>
      </c>
      <c r="L593" t="n">
        <v>0</v>
      </c>
      <c r="M593" t="n">
        <v>0</v>
      </c>
      <c r="N593" t="n">
        <v>0</v>
      </c>
      <c r="O593" t="n">
        <v>0</v>
      </c>
      <c r="P593" t="n">
        <v>0</v>
      </c>
      <c r="Q593" t="n">
        <v>0</v>
      </c>
      <c r="R593" s="2" t="inlineStr"/>
    </row>
    <row r="594" ht="15" customHeight="1">
      <c r="A594" t="inlineStr">
        <is>
          <t>A 59384-2023</t>
        </is>
      </c>
      <c r="B594" s="1" t="n">
        <v>45253</v>
      </c>
      <c r="C594" s="1" t="n">
        <v>45983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31591-2025</t>
        </is>
      </c>
      <c r="B595" s="1" t="n">
        <v>45833</v>
      </c>
      <c r="C595" s="1" t="n">
        <v>45983</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31433-2025</t>
        </is>
      </c>
      <c r="B596" s="1" t="n">
        <v>45833</v>
      </c>
      <c r="C596" s="1" t="n">
        <v>45983</v>
      </c>
      <c r="D596" t="inlineStr">
        <is>
          <t>VÄRMLANDS LÄN</t>
        </is>
      </c>
      <c r="E596" t="inlineStr">
        <is>
          <t>ÅRJÄNG</t>
        </is>
      </c>
      <c r="G596" t="n">
        <v>3</v>
      </c>
      <c r="H596" t="n">
        <v>0</v>
      </c>
      <c r="I596" t="n">
        <v>0</v>
      </c>
      <c r="J596" t="n">
        <v>0</v>
      </c>
      <c r="K596" t="n">
        <v>0</v>
      </c>
      <c r="L596" t="n">
        <v>0</v>
      </c>
      <c r="M596" t="n">
        <v>0</v>
      </c>
      <c r="N596" t="n">
        <v>0</v>
      </c>
      <c r="O596" t="n">
        <v>0</v>
      </c>
      <c r="P596" t="n">
        <v>0</v>
      </c>
      <c r="Q596" t="n">
        <v>0</v>
      </c>
      <c r="R596" s="2" t="inlineStr"/>
    </row>
    <row r="597" ht="15" customHeight="1">
      <c r="A597" t="inlineStr">
        <is>
          <t>A 53022-2025</t>
        </is>
      </c>
      <c r="B597" s="1" t="n">
        <v>45958.24024305555</v>
      </c>
      <c r="C597" s="1" t="n">
        <v>45983</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53024-2025</t>
        </is>
      </c>
      <c r="B598" s="1" t="n">
        <v>45958.32211805556</v>
      </c>
      <c r="C598" s="1" t="n">
        <v>45983</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31393-2025</t>
        </is>
      </c>
      <c r="B599" s="1" t="n">
        <v>45833.46305555556</v>
      </c>
      <c r="C599" s="1" t="n">
        <v>45983</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15718-2023</t>
        </is>
      </c>
      <c r="B600" s="1" t="n">
        <v>45021.55432870371</v>
      </c>
      <c r="C600" s="1" t="n">
        <v>45983</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52709-2025</t>
        </is>
      </c>
      <c r="B601" s="1" t="n">
        <v>45953</v>
      </c>
      <c r="C601" s="1" t="n">
        <v>45983</v>
      </c>
      <c r="D601" t="inlineStr">
        <is>
          <t>VÄRMLANDS LÄN</t>
        </is>
      </c>
      <c r="E601" t="inlineStr">
        <is>
          <t>ÅRJÄNG</t>
        </is>
      </c>
      <c r="G601" t="n">
        <v>3</v>
      </c>
      <c r="H601" t="n">
        <v>0</v>
      </c>
      <c r="I601" t="n">
        <v>0</v>
      </c>
      <c r="J601" t="n">
        <v>0</v>
      </c>
      <c r="K601" t="n">
        <v>0</v>
      </c>
      <c r="L601" t="n">
        <v>0</v>
      </c>
      <c r="M601" t="n">
        <v>0</v>
      </c>
      <c r="N601" t="n">
        <v>0</v>
      </c>
      <c r="O601" t="n">
        <v>0</v>
      </c>
      <c r="P601" t="n">
        <v>0</v>
      </c>
      <c r="Q601" t="n">
        <v>0</v>
      </c>
      <c r="R601" s="2" t="inlineStr"/>
    </row>
    <row r="602" ht="15" customHeight="1">
      <c r="A602" t="inlineStr">
        <is>
          <t>A 44451-2025</t>
        </is>
      </c>
      <c r="B602" s="1" t="n">
        <v>45916</v>
      </c>
      <c r="C602" s="1" t="n">
        <v>45983</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48911-2024</t>
        </is>
      </c>
      <c r="B603" s="1" t="n">
        <v>45594.36512731481</v>
      </c>
      <c r="C603" s="1" t="n">
        <v>45983</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8215-2025</t>
        </is>
      </c>
      <c r="B604" s="1" t="n">
        <v>45708.44832175926</v>
      </c>
      <c r="C604" s="1" t="n">
        <v>45983</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8230-2025</t>
        </is>
      </c>
      <c r="B605" s="1" t="n">
        <v>45708.47010416666</v>
      </c>
      <c r="C605" s="1" t="n">
        <v>45983</v>
      </c>
      <c r="D605" t="inlineStr">
        <is>
          <t>VÄRMLANDS LÄN</t>
        </is>
      </c>
      <c r="E605" t="inlineStr">
        <is>
          <t>ÅRJÄNG</t>
        </is>
      </c>
      <c r="G605" t="n">
        <v>2.5</v>
      </c>
      <c r="H605" t="n">
        <v>0</v>
      </c>
      <c r="I605" t="n">
        <v>0</v>
      </c>
      <c r="J605" t="n">
        <v>0</v>
      </c>
      <c r="K605" t="n">
        <v>0</v>
      </c>
      <c r="L605" t="n">
        <v>0</v>
      </c>
      <c r="M605" t="n">
        <v>0</v>
      </c>
      <c r="N605" t="n">
        <v>0</v>
      </c>
      <c r="O605" t="n">
        <v>0</v>
      </c>
      <c r="P605" t="n">
        <v>0</v>
      </c>
      <c r="Q605" t="n">
        <v>0</v>
      </c>
      <c r="R605" s="2" t="inlineStr"/>
    </row>
    <row r="606" ht="15" customHeight="1">
      <c r="A606" t="inlineStr">
        <is>
          <t>A 44924-2025</t>
        </is>
      </c>
      <c r="B606" s="1" t="n">
        <v>45918</v>
      </c>
      <c r="C606" s="1" t="n">
        <v>45983</v>
      </c>
      <c r="D606" t="inlineStr">
        <is>
          <t>VÄRMLANDS LÄN</t>
        </is>
      </c>
      <c r="E606" t="inlineStr">
        <is>
          <t>ÅRJÄNG</t>
        </is>
      </c>
      <c r="G606" t="n">
        <v>0.8</v>
      </c>
      <c r="H606" t="n">
        <v>0</v>
      </c>
      <c r="I606" t="n">
        <v>0</v>
      </c>
      <c r="J606" t="n">
        <v>0</v>
      </c>
      <c r="K606" t="n">
        <v>0</v>
      </c>
      <c r="L606" t="n">
        <v>0</v>
      </c>
      <c r="M606" t="n">
        <v>0</v>
      </c>
      <c r="N606" t="n">
        <v>0</v>
      </c>
      <c r="O606" t="n">
        <v>0</v>
      </c>
      <c r="P606" t="n">
        <v>0</v>
      </c>
      <c r="Q606" t="n">
        <v>0</v>
      </c>
      <c r="R606" s="2" t="inlineStr"/>
    </row>
    <row r="607" ht="15" customHeight="1">
      <c r="A607" t="inlineStr">
        <is>
          <t>A 40346-2024</t>
        </is>
      </c>
      <c r="B607" s="1" t="n">
        <v>45555.34840277778</v>
      </c>
      <c r="C607" s="1" t="n">
        <v>45983</v>
      </c>
      <c r="D607" t="inlineStr">
        <is>
          <t>VÄRMLANDS LÄN</t>
        </is>
      </c>
      <c r="E607" t="inlineStr">
        <is>
          <t>ÅRJÄNG</t>
        </is>
      </c>
      <c r="G607" t="n">
        <v>2.5</v>
      </c>
      <c r="H607" t="n">
        <v>0</v>
      </c>
      <c r="I607" t="n">
        <v>0</v>
      </c>
      <c r="J607" t="n">
        <v>0</v>
      </c>
      <c r="K607" t="n">
        <v>0</v>
      </c>
      <c r="L607" t="n">
        <v>0</v>
      </c>
      <c r="M607" t="n">
        <v>0</v>
      </c>
      <c r="N607" t="n">
        <v>0</v>
      </c>
      <c r="O607" t="n">
        <v>0</v>
      </c>
      <c r="P607" t="n">
        <v>0</v>
      </c>
      <c r="Q607" t="n">
        <v>0</v>
      </c>
      <c r="R607" s="2" t="inlineStr"/>
    </row>
    <row r="608" ht="15" customHeight="1">
      <c r="A608" t="inlineStr">
        <is>
          <t>A 53298-2025</t>
        </is>
      </c>
      <c r="B608" s="1" t="n">
        <v>45959.23447916667</v>
      </c>
      <c r="C608" s="1" t="n">
        <v>45983</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49785-2024</t>
        </is>
      </c>
      <c r="B609" s="1" t="n">
        <v>45597.35758101852</v>
      </c>
      <c r="C609" s="1" t="n">
        <v>45983</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32321-2025</t>
        </is>
      </c>
      <c r="B610" s="1" t="n">
        <v>45836</v>
      </c>
      <c r="C610" s="1" t="n">
        <v>45983</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32330-2025</t>
        </is>
      </c>
      <c r="B611" s="1" t="n">
        <v>45836.50547453704</v>
      </c>
      <c r="C611" s="1" t="n">
        <v>45983</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32324-2025</t>
        </is>
      </c>
      <c r="B612" s="1" t="n">
        <v>45836.43634259259</v>
      </c>
      <c r="C612" s="1" t="n">
        <v>45983</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53642-2025</t>
        </is>
      </c>
      <c r="B613" s="1" t="n">
        <v>45960.51290509259</v>
      </c>
      <c r="C613" s="1" t="n">
        <v>45983</v>
      </c>
      <c r="D613" t="inlineStr">
        <is>
          <t>VÄRMLANDS LÄN</t>
        </is>
      </c>
      <c r="E613" t="inlineStr">
        <is>
          <t>ÅRJÄNG</t>
        </is>
      </c>
      <c r="G613" t="n">
        <v>3.7</v>
      </c>
      <c r="H613" t="n">
        <v>0</v>
      </c>
      <c r="I613" t="n">
        <v>0</v>
      </c>
      <c r="J613" t="n">
        <v>0</v>
      </c>
      <c r="K613" t="n">
        <v>0</v>
      </c>
      <c r="L613" t="n">
        <v>0</v>
      </c>
      <c r="M613" t="n">
        <v>0</v>
      </c>
      <c r="N613" t="n">
        <v>0</v>
      </c>
      <c r="O613" t="n">
        <v>0</v>
      </c>
      <c r="P613" t="n">
        <v>0</v>
      </c>
      <c r="Q613" t="n">
        <v>0</v>
      </c>
      <c r="R613" s="2" t="inlineStr"/>
    </row>
    <row r="614" ht="15" customHeight="1">
      <c r="A614" t="inlineStr">
        <is>
          <t>A 44768-2025</t>
        </is>
      </c>
      <c r="B614" s="1" t="n">
        <v>45917.74274305555</v>
      </c>
      <c r="C614" s="1" t="n">
        <v>45983</v>
      </c>
      <c r="D614" t="inlineStr">
        <is>
          <t>VÄRMLANDS LÄN</t>
        </is>
      </c>
      <c r="E614" t="inlineStr">
        <is>
          <t>ÅRJÄNG</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10239-2023</t>
        </is>
      </c>
      <c r="B615" s="1" t="n">
        <v>44986</v>
      </c>
      <c r="C615" s="1" t="n">
        <v>45983</v>
      </c>
      <c r="D615" t="inlineStr">
        <is>
          <t>VÄRMLANDS LÄN</t>
        </is>
      </c>
      <c r="E615" t="inlineStr">
        <is>
          <t>ÅRJÄNG</t>
        </is>
      </c>
      <c r="G615" t="n">
        <v>5.4</v>
      </c>
      <c r="H615" t="n">
        <v>0</v>
      </c>
      <c r="I615" t="n">
        <v>0</v>
      </c>
      <c r="J615" t="n">
        <v>0</v>
      </c>
      <c r="K615" t="n">
        <v>0</v>
      </c>
      <c r="L615" t="n">
        <v>0</v>
      </c>
      <c r="M615" t="n">
        <v>0</v>
      </c>
      <c r="N615" t="n">
        <v>0</v>
      </c>
      <c r="O615" t="n">
        <v>0</v>
      </c>
      <c r="P615" t="n">
        <v>0</v>
      </c>
      <c r="Q615" t="n">
        <v>0</v>
      </c>
      <c r="R615" s="2" t="inlineStr"/>
    </row>
    <row r="616" ht="15" customHeight="1">
      <c r="A616" t="inlineStr">
        <is>
          <t>A 32326-2025</t>
        </is>
      </c>
      <c r="B616" s="1" t="n">
        <v>45836.44392361111</v>
      </c>
      <c r="C616" s="1" t="n">
        <v>45983</v>
      </c>
      <c r="D616" t="inlineStr">
        <is>
          <t>VÄRMLANDS LÄN</t>
        </is>
      </c>
      <c r="E616" t="inlineStr">
        <is>
          <t>ÅRJÄNG</t>
        </is>
      </c>
      <c r="G616" t="n">
        <v>0.7</v>
      </c>
      <c r="H616" t="n">
        <v>0</v>
      </c>
      <c r="I616" t="n">
        <v>0</v>
      </c>
      <c r="J616" t="n">
        <v>0</v>
      </c>
      <c r="K616" t="n">
        <v>0</v>
      </c>
      <c r="L616" t="n">
        <v>0</v>
      </c>
      <c r="M616" t="n">
        <v>0</v>
      </c>
      <c r="N616" t="n">
        <v>0</v>
      </c>
      <c r="O616" t="n">
        <v>0</v>
      </c>
      <c r="P616" t="n">
        <v>0</v>
      </c>
      <c r="Q616" t="n">
        <v>0</v>
      </c>
      <c r="R616" s="2" t="inlineStr"/>
    </row>
    <row r="617" ht="15" customHeight="1">
      <c r="A617" t="inlineStr">
        <is>
          <t>A 45037-2025</t>
        </is>
      </c>
      <c r="B617" s="1" t="n">
        <v>45918</v>
      </c>
      <c r="C617" s="1" t="n">
        <v>45983</v>
      </c>
      <c r="D617" t="inlineStr">
        <is>
          <t>VÄRMLANDS LÄN</t>
        </is>
      </c>
      <c r="E617" t="inlineStr">
        <is>
          <t>ÅRJÄNG</t>
        </is>
      </c>
      <c r="G617" t="n">
        <v>8.5</v>
      </c>
      <c r="H617" t="n">
        <v>0</v>
      </c>
      <c r="I617" t="n">
        <v>0</v>
      </c>
      <c r="J617" t="n">
        <v>0</v>
      </c>
      <c r="K617" t="n">
        <v>0</v>
      </c>
      <c r="L617" t="n">
        <v>0</v>
      </c>
      <c r="M617" t="n">
        <v>0</v>
      </c>
      <c r="N617" t="n">
        <v>0</v>
      </c>
      <c r="O617" t="n">
        <v>0</v>
      </c>
      <c r="P617" t="n">
        <v>0</v>
      </c>
      <c r="Q617" t="n">
        <v>0</v>
      </c>
      <c r="R617" s="2" t="inlineStr"/>
    </row>
    <row r="618" ht="15" customHeight="1">
      <c r="A618" t="inlineStr">
        <is>
          <t>A 29792-2022</t>
        </is>
      </c>
      <c r="B618" s="1" t="n">
        <v>44755.67122685185</v>
      </c>
      <c r="C618" s="1" t="n">
        <v>45983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30346-2022</t>
        </is>
      </c>
      <c r="B619" s="1" t="n">
        <v>44760.55734953703</v>
      </c>
      <c r="C619" s="1" t="n">
        <v>45983</v>
      </c>
      <c r="D619" t="inlineStr">
        <is>
          <t>VÄRMLANDS LÄN</t>
        </is>
      </c>
      <c r="E619" t="inlineStr">
        <is>
          <t>ÅRJÄNG</t>
        </is>
      </c>
      <c r="G619" t="n">
        <v>6</v>
      </c>
      <c r="H619" t="n">
        <v>0</v>
      </c>
      <c r="I619" t="n">
        <v>0</v>
      </c>
      <c r="J619" t="n">
        <v>0</v>
      </c>
      <c r="K619" t="n">
        <v>0</v>
      </c>
      <c r="L619" t="n">
        <v>0</v>
      </c>
      <c r="M619" t="n">
        <v>0</v>
      </c>
      <c r="N619" t="n">
        <v>0</v>
      </c>
      <c r="O619" t="n">
        <v>0</v>
      </c>
      <c r="P619" t="n">
        <v>0</v>
      </c>
      <c r="Q619" t="n">
        <v>0</v>
      </c>
      <c r="R619" s="2" t="inlineStr"/>
    </row>
    <row r="620" ht="15" customHeight="1">
      <c r="A620" t="inlineStr">
        <is>
          <t>A 10126-2023</t>
        </is>
      </c>
      <c r="B620" s="1" t="n">
        <v>44980</v>
      </c>
      <c r="C620" s="1" t="n">
        <v>45983</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32920-2025</t>
        </is>
      </c>
      <c r="B621" s="1" t="n">
        <v>45839</v>
      </c>
      <c r="C621" s="1" t="n">
        <v>45983</v>
      </c>
      <c r="D621" t="inlineStr">
        <is>
          <t>VÄRMLANDS LÄN</t>
        </is>
      </c>
      <c r="E621" t="inlineStr">
        <is>
          <t>ÅRJÄNG</t>
        </is>
      </c>
      <c r="G621" t="n">
        <v>4.8</v>
      </c>
      <c r="H621" t="n">
        <v>0</v>
      </c>
      <c r="I621" t="n">
        <v>0</v>
      </c>
      <c r="J621" t="n">
        <v>0</v>
      </c>
      <c r="K621" t="n">
        <v>0</v>
      </c>
      <c r="L621" t="n">
        <v>0</v>
      </c>
      <c r="M621" t="n">
        <v>0</v>
      </c>
      <c r="N621" t="n">
        <v>0</v>
      </c>
      <c r="O621" t="n">
        <v>0</v>
      </c>
      <c r="P621" t="n">
        <v>0</v>
      </c>
      <c r="Q621" t="n">
        <v>0</v>
      </c>
      <c r="R621" s="2" t="inlineStr"/>
    </row>
    <row r="622" ht="15" customHeight="1">
      <c r="A622" t="inlineStr">
        <is>
          <t>A 34889-2022</t>
        </is>
      </c>
      <c r="B622" s="1" t="n">
        <v>44796</v>
      </c>
      <c r="C622" s="1" t="n">
        <v>45983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14310-2022</t>
        </is>
      </c>
      <c r="B623" s="1" t="n">
        <v>44652</v>
      </c>
      <c r="C623" s="1" t="n">
        <v>45983</v>
      </c>
      <c r="D623" t="inlineStr">
        <is>
          <t>VÄRMLANDS LÄN</t>
        </is>
      </c>
      <c r="E623" t="inlineStr">
        <is>
          <t>ÅRJÄNG</t>
        </is>
      </c>
      <c r="G623" t="n">
        <v>2.5</v>
      </c>
      <c r="H623" t="n">
        <v>0</v>
      </c>
      <c r="I623" t="n">
        <v>0</v>
      </c>
      <c r="J623" t="n">
        <v>0</v>
      </c>
      <c r="K623" t="n">
        <v>0</v>
      </c>
      <c r="L623" t="n">
        <v>0</v>
      </c>
      <c r="M623" t="n">
        <v>0</v>
      </c>
      <c r="N623" t="n">
        <v>0</v>
      </c>
      <c r="O623" t="n">
        <v>0</v>
      </c>
      <c r="P623" t="n">
        <v>0</v>
      </c>
      <c r="Q623" t="n">
        <v>0</v>
      </c>
      <c r="R623" s="2" t="inlineStr"/>
    </row>
    <row r="624" ht="15" customHeight="1">
      <c r="A624" t="inlineStr">
        <is>
          <t>A 32730-2025</t>
        </is>
      </c>
      <c r="B624" s="1" t="n">
        <v>45839.40315972222</v>
      </c>
      <c r="C624" s="1" t="n">
        <v>45983</v>
      </c>
      <c r="D624" t="inlineStr">
        <is>
          <t>VÄRMLANDS LÄN</t>
        </is>
      </c>
      <c r="E624" t="inlineStr">
        <is>
          <t>ÅRJÄNG</t>
        </is>
      </c>
      <c r="F624" t="inlineStr">
        <is>
          <t>Kyrkan</t>
        </is>
      </c>
      <c r="G624" t="n">
        <v>5.9</v>
      </c>
      <c r="H624" t="n">
        <v>0</v>
      </c>
      <c r="I624" t="n">
        <v>0</v>
      </c>
      <c r="J624" t="n">
        <v>0</v>
      </c>
      <c r="K624" t="n">
        <v>0</v>
      </c>
      <c r="L624" t="n">
        <v>0</v>
      </c>
      <c r="M624" t="n">
        <v>0</v>
      </c>
      <c r="N624" t="n">
        <v>0</v>
      </c>
      <c r="O624" t="n">
        <v>0</v>
      </c>
      <c r="P624" t="n">
        <v>0</v>
      </c>
      <c r="Q624" t="n">
        <v>0</v>
      </c>
      <c r="R624" s="2" t="inlineStr"/>
    </row>
    <row r="625" ht="15" customHeight="1">
      <c r="A625" t="inlineStr">
        <is>
          <t>A 53751-2025</t>
        </is>
      </c>
      <c r="B625" s="1" t="n">
        <v>45960.65855324074</v>
      </c>
      <c r="C625" s="1" t="n">
        <v>45983</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53752-2025</t>
        </is>
      </c>
      <c r="B626" s="1" t="n">
        <v>45960.66131944444</v>
      </c>
      <c r="C626" s="1" t="n">
        <v>45983</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44956-2025</t>
        </is>
      </c>
      <c r="B627" s="1" t="n">
        <v>45918.61452546297</v>
      </c>
      <c r="C627" s="1" t="n">
        <v>45983</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57142-2024</t>
        </is>
      </c>
      <c r="B628" s="1" t="n">
        <v>45628</v>
      </c>
      <c r="C628" s="1" t="n">
        <v>45983</v>
      </c>
      <c r="D628" t="inlineStr">
        <is>
          <t>VÄRMLANDS LÄN</t>
        </is>
      </c>
      <c r="E628" t="inlineStr">
        <is>
          <t>ÅRJÄNG</t>
        </is>
      </c>
      <c r="G628" t="n">
        <v>5.4</v>
      </c>
      <c r="H628" t="n">
        <v>0</v>
      </c>
      <c r="I628" t="n">
        <v>0</v>
      </c>
      <c r="J628" t="n">
        <v>0</v>
      </c>
      <c r="K628" t="n">
        <v>0</v>
      </c>
      <c r="L628" t="n">
        <v>0</v>
      </c>
      <c r="M628" t="n">
        <v>0</v>
      </c>
      <c r="N628" t="n">
        <v>0</v>
      </c>
      <c r="O628" t="n">
        <v>0</v>
      </c>
      <c r="P628" t="n">
        <v>0</v>
      </c>
      <c r="Q628" t="n">
        <v>0</v>
      </c>
      <c r="R628" s="2" t="inlineStr"/>
    </row>
    <row r="629" ht="15" customHeight="1">
      <c r="A629" t="inlineStr">
        <is>
          <t>A 45099-2025</t>
        </is>
      </c>
      <c r="B629" s="1" t="n">
        <v>45919</v>
      </c>
      <c r="C629" s="1" t="n">
        <v>45983</v>
      </c>
      <c r="D629" t="inlineStr">
        <is>
          <t>VÄRMLANDS LÄN</t>
        </is>
      </c>
      <c r="E629" t="inlineStr">
        <is>
          <t>ÅRJÄNG</t>
        </is>
      </c>
      <c r="F629" t="inlineStr">
        <is>
          <t>Övriga Aktiebolag</t>
        </is>
      </c>
      <c r="G629" t="n">
        <v>4.7</v>
      </c>
      <c r="H629" t="n">
        <v>0</v>
      </c>
      <c r="I629" t="n">
        <v>0</v>
      </c>
      <c r="J629" t="n">
        <v>0</v>
      </c>
      <c r="K629" t="n">
        <v>0</v>
      </c>
      <c r="L629" t="n">
        <v>0</v>
      </c>
      <c r="M629" t="n">
        <v>0</v>
      </c>
      <c r="N629" t="n">
        <v>0</v>
      </c>
      <c r="O629" t="n">
        <v>0</v>
      </c>
      <c r="P629" t="n">
        <v>0</v>
      </c>
      <c r="Q629" t="n">
        <v>0</v>
      </c>
      <c r="R629" s="2" t="inlineStr"/>
    </row>
    <row r="630" ht="15" customHeight="1">
      <c r="A630" t="inlineStr">
        <is>
          <t>A 14917-2024</t>
        </is>
      </c>
      <c r="B630" s="1" t="n">
        <v>45398</v>
      </c>
      <c r="C630" s="1" t="n">
        <v>45983</v>
      </c>
      <c r="D630" t="inlineStr">
        <is>
          <t>VÄRMLANDS LÄN</t>
        </is>
      </c>
      <c r="E630" t="inlineStr">
        <is>
          <t>ÅRJÄNG</t>
        </is>
      </c>
      <c r="G630" t="n">
        <v>19.9</v>
      </c>
      <c r="H630" t="n">
        <v>0</v>
      </c>
      <c r="I630" t="n">
        <v>0</v>
      </c>
      <c r="J630" t="n">
        <v>0</v>
      </c>
      <c r="K630" t="n">
        <v>0</v>
      </c>
      <c r="L630" t="n">
        <v>0</v>
      </c>
      <c r="M630" t="n">
        <v>0</v>
      </c>
      <c r="N630" t="n">
        <v>0</v>
      </c>
      <c r="O630" t="n">
        <v>0</v>
      </c>
      <c r="P630" t="n">
        <v>0</v>
      </c>
      <c r="Q630" t="n">
        <v>0</v>
      </c>
      <c r="R630" s="2" t="inlineStr"/>
    </row>
    <row r="631" ht="15" customHeight="1">
      <c r="A631" t="inlineStr">
        <is>
          <t>A 53793-2024</t>
        </is>
      </c>
      <c r="B631" s="1" t="n">
        <v>45615</v>
      </c>
      <c r="C631" s="1" t="n">
        <v>45983</v>
      </c>
      <c r="D631" t="inlineStr">
        <is>
          <t>VÄRMLANDS LÄN</t>
        </is>
      </c>
      <c r="E631" t="inlineStr">
        <is>
          <t>ÅRJÄNG</t>
        </is>
      </c>
      <c r="G631" t="n">
        <v>4.9</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45983</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32924-2025</t>
        </is>
      </c>
      <c r="B633" s="1" t="n">
        <v>45839.65589120371</v>
      </c>
      <c r="C633" s="1" t="n">
        <v>45983</v>
      </c>
      <c r="D633" t="inlineStr">
        <is>
          <t>VÄRMLANDS LÄN</t>
        </is>
      </c>
      <c r="E633" t="inlineStr">
        <is>
          <t>ÅRJÄNG</t>
        </is>
      </c>
      <c r="G633" t="n">
        <v>4.5</v>
      </c>
      <c r="H633" t="n">
        <v>0</v>
      </c>
      <c r="I633" t="n">
        <v>0</v>
      </c>
      <c r="J633" t="n">
        <v>0</v>
      </c>
      <c r="K633" t="n">
        <v>0</v>
      </c>
      <c r="L633" t="n">
        <v>0</v>
      </c>
      <c r="M633" t="n">
        <v>0</v>
      </c>
      <c r="N633" t="n">
        <v>0</v>
      </c>
      <c r="O633" t="n">
        <v>0</v>
      </c>
      <c r="P633" t="n">
        <v>0</v>
      </c>
      <c r="Q633" t="n">
        <v>0</v>
      </c>
      <c r="R633" s="2" t="inlineStr"/>
    </row>
    <row r="634" ht="15" customHeight="1">
      <c r="A634" t="inlineStr">
        <is>
          <t>A 45130-2025</t>
        </is>
      </c>
      <c r="B634" s="1" t="n">
        <v>45919</v>
      </c>
      <c r="C634" s="1" t="n">
        <v>45983</v>
      </c>
      <c r="D634" t="inlineStr">
        <is>
          <t>VÄRMLANDS LÄN</t>
        </is>
      </c>
      <c r="E634" t="inlineStr">
        <is>
          <t>ÅRJÄNG</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15537-2024</t>
        </is>
      </c>
      <c r="B635" s="1" t="n">
        <v>45401</v>
      </c>
      <c r="C635" s="1" t="n">
        <v>45983</v>
      </c>
      <c r="D635" t="inlineStr">
        <is>
          <t>VÄRMLANDS LÄN</t>
        </is>
      </c>
      <c r="E635" t="inlineStr">
        <is>
          <t>ÅRJÄNG</t>
        </is>
      </c>
      <c r="G635" t="n">
        <v>2</v>
      </c>
      <c r="H635" t="n">
        <v>0</v>
      </c>
      <c r="I635" t="n">
        <v>0</v>
      </c>
      <c r="J635" t="n">
        <v>0</v>
      </c>
      <c r="K635" t="n">
        <v>0</v>
      </c>
      <c r="L635" t="n">
        <v>0</v>
      </c>
      <c r="M635" t="n">
        <v>0</v>
      </c>
      <c r="N635" t="n">
        <v>0</v>
      </c>
      <c r="O635" t="n">
        <v>0</v>
      </c>
      <c r="P635" t="n">
        <v>0</v>
      </c>
      <c r="Q635" t="n">
        <v>0</v>
      </c>
      <c r="R635" s="2" t="inlineStr"/>
    </row>
    <row r="636" ht="15" customHeight="1">
      <c r="A636" t="inlineStr">
        <is>
          <t>A 54155-2025</t>
        </is>
      </c>
      <c r="B636" s="1" t="n">
        <v>45964.49306712963</v>
      </c>
      <c r="C636" s="1" t="n">
        <v>45983</v>
      </c>
      <c r="D636" t="inlineStr">
        <is>
          <t>VÄRMLANDS LÄN</t>
        </is>
      </c>
      <c r="E636" t="inlineStr">
        <is>
          <t>ÅRJÄNG</t>
        </is>
      </c>
      <c r="G636" t="n">
        <v>7.2</v>
      </c>
      <c r="H636" t="n">
        <v>0</v>
      </c>
      <c r="I636" t="n">
        <v>0</v>
      </c>
      <c r="J636" t="n">
        <v>0</v>
      </c>
      <c r="K636" t="n">
        <v>0</v>
      </c>
      <c r="L636" t="n">
        <v>0</v>
      </c>
      <c r="M636" t="n">
        <v>0</v>
      </c>
      <c r="N636" t="n">
        <v>0</v>
      </c>
      <c r="O636" t="n">
        <v>0</v>
      </c>
      <c r="P636" t="n">
        <v>0</v>
      </c>
      <c r="Q636" t="n">
        <v>0</v>
      </c>
      <c r="R636" s="2" t="inlineStr"/>
    </row>
    <row r="637" ht="15" customHeight="1">
      <c r="A637" t="inlineStr">
        <is>
          <t>A 60975-2022</t>
        </is>
      </c>
      <c r="B637" s="1" t="n">
        <v>44914</v>
      </c>
      <c r="C637" s="1" t="n">
        <v>45983</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39156-2024</t>
        </is>
      </c>
      <c r="B638" s="1" t="n">
        <v>45548.62956018518</v>
      </c>
      <c r="C638" s="1" t="n">
        <v>45983</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45161-2025</t>
        </is>
      </c>
      <c r="B639" s="1" t="n">
        <v>45919</v>
      </c>
      <c r="C639" s="1" t="n">
        <v>45983</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45137-2025</t>
        </is>
      </c>
      <c r="B640" s="1" t="n">
        <v>45919</v>
      </c>
      <c r="C640" s="1" t="n">
        <v>45983</v>
      </c>
      <c r="D640" t="inlineStr">
        <is>
          <t>VÄRMLANDS LÄN</t>
        </is>
      </c>
      <c r="E640" t="inlineStr">
        <is>
          <t>ÅRJÄNG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45332-2025</t>
        </is>
      </c>
      <c r="B641" s="1" t="n">
        <v>45922</v>
      </c>
      <c r="C641" s="1" t="n">
        <v>45983</v>
      </c>
      <c r="D641" t="inlineStr">
        <is>
          <t>VÄRMLANDS LÄN</t>
        </is>
      </c>
      <c r="E641" t="inlineStr">
        <is>
          <t>ÅRJÄNG</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45329-2025</t>
        </is>
      </c>
      <c r="B642" s="1" t="n">
        <v>45922</v>
      </c>
      <c r="C642" s="1" t="n">
        <v>45983</v>
      </c>
      <c r="D642" t="inlineStr">
        <is>
          <t>VÄRMLANDS LÄN</t>
        </is>
      </c>
      <c r="E642" t="inlineStr">
        <is>
          <t>ÅRJÄNG</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45524-2025</t>
        </is>
      </c>
      <c r="B643" s="1" t="n">
        <v>45922</v>
      </c>
      <c r="C643" s="1" t="n">
        <v>45983</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45192-2025</t>
        </is>
      </c>
      <c r="B644" s="1" t="n">
        <v>45919</v>
      </c>
      <c r="C644" s="1" t="n">
        <v>45983</v>
      </c>
      <c r="D644" t="inlineStr">
        <is>
          <t>VÄRMLANDS LÄN</t>
        </is>
      </c>
      <c r="E644" t="inlineStr">
        <is>
          <t>ÅRJÄNG</t>
        </is>
      </c>
      <c r="F644" t="inlineStr">
        <is>
          <t>Bergvik skog väst AB</t>
        </is>
      </c>
      <c r="G644" t="n">
        <v>3.8</v>
      </c>
      <c r="H644" t="n">
        <v>0</v>
      </c>
      <c r="I644" t="n">
        <v>0</v>
      </c>
      <c r="J644" t="n">
        <v>0</v>
      </c>
      <c r="K644" t="n">
        <v>0</v>
      </c>
      <c r="L644" t="n">
        <v>0</v>
      </c>
      <c r="M644" t="n">
        <v>0</v>
      </c>
      <c r="N644" t="n">
        <v>0</v>
      </c>
      <c r="O644" t="n">
        <v>0</v>
      </c>
      <c r="P644" t="n">
        <v>0</v>
      </c>
      <c r="Q644" t="n">
        <v>0</v>
      </c>
      <c r="R644" s="2" t="inlineStr"/>
    </row>
    <row r="645" ht="15" customHeight="1">
      <c r="A645" t="inlineStr">
        <is>
          <t>A 45515-2025</t>
        </is>
      </c>
      <c r="B645" s="1" t="n">
        <v>45922</v>
      </c>
      <c r="C645" s="1" t="n">
        <v>45983</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33412-2025</t>
        </is>
      </c>
      <c r="B646" s="1" t="n">
        <v>45841</v>
      </c>
      <c r="C646" s="1" t="n">
        <v>45983</v>
      </c>
      <c r="D646" t="inlineStr">
        <is>
          <t>VÄRMLANDS LÄN</t>
        </is>
      </c>
      <c r="E646" t="inlineStr">
        <is>
          <t>ÅRJÄNG</t>
        </is>
      </c>
      <c r="G646" t="n">
        <v>4.1</v>
      </c>
      <c r="H646" t="n">
        <v>0</v>
      </c>
      <c r="I646" t="n">
        <v>0</v>
      </c>
      <c r="J646" t="n">
        <v>0</v>
      </c>
      <c r="K646" t="n">
        <v>0</v>
      </c>
      <c r="L646" t="n">
        <v>0</v>
      </c>
      <c r="M646" t="n">
        <v>0</v>
      </c>
      <c r="N646" t="n">
        <v>0</v>
      </c>
      <c r="O646" t="n">
        <v>0</v>
      </c>
      <c r="P646" t="n">
        <v>0</v>
      </c>
      <c r="Q646" t="n">
        <v>0</v>
      </c>
      <c r="R646" s="2" t="inlineStr"/>
    </row>
    <row r="647" ht="15" customHeight="1">
      <c r="A647" t="inlineStr">
        <is>
          <t>A 45590-2025</t>
        </is>
      </c>
      <c r="B647" s="1" t="n">
        <v>45922</v>
      </c>
      <c r="C647" s="1" t="n">
        <v>45983</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45599-2025</t>
        </is>
      </c>
      <c r="B648" s="1" t="n">
        <v>45922</v>
      </c>
      <c r="C648" s="1" t="n">
        <v>45983</v>
      </c>
      <c r="D648" t="inlineStr">
        <is>
          <t>VÄRMLANDS LÄN</t>
        </is>
      </c>
      <c r="E648" t="inlineStr">
        <is>
          <t>ÅRJÄNG</t>
        </is>
      </c>
      <c r="G648" t="n">
        <v>6.7</v>
      </c>
      <c r="H648" t="n">
        <v>0</v>
      </c>
      <c r="I648" t="n">
        <v>0</v>
      </c>
      <c r="J648" t="n">
        <v>0</v>
      </c>
      <c r="K648" t="n">
        <v>0</v>
      </c>
      <c r="L648" t="n">
        <v>0</v>
      </c>
      <c r="M648" t="n">
        <v>0</v>
      </c>
      <c r="N648" t="n">
        <v>0</v>
      </c>
      <c r="O648" t="n">
        <v>0</v>
      </c>
      <c r="P648" t="n">
        <v>0</v>
      </c>
      <c r="Q648" t="n">
        <v>0</v>
      </c>
      <c r="R648" s="2" t="inlineStr"/>
    </row>
    <row r="649" ht="15" customHeight="1">
      <c r="A649" t="inlineStr">
        <is>
          <t>A 45203-2025</t>
        </is>
      </c>
      <c r="B649" s="1" t="n">
        <v>45919</v>
      </c>
      <c r="C649" s="1" t="n">
        <v>45983</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33526-2025</t>
        </is>
      </c>
      <c r="B650" s="1" t="n">
        <v>45841.54869212963</v>
      </c>
      <c r="C650" s="1" t="n">
        <v>45983</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45159-2025</t>
        </is>
      </c>
      <c r="B651" s="1" t="n">
        <v>45919</v>
      </c>
      <c r="C651" s="1" t="n">
        <v>45983</v>
      </c>
      <c r="D651" t="inlineStr">
        <is>
          <t>VÄRMLANDS LÄN</t>
        </is>
      </c>
      <c r="E651" t="inlineStr">
        <is>
          <t>ÅRJÄNG</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45162-2025</t>
        </is>
      </c>
      <c r="B652" s="1" t="n">
        <v>45919</v>
      </c>
      <c r="C652" s="1" t="n">
        <v>45983</v>
      </c>
      <c r="D652" t="inlineStr">
        <is>
          <t>VÄRMLANDS LÄN</t>
        </is>
      </c>
      <c r="E652" t="inlineStr">
        <is>
          <t>ÅRJÄNG</t>
        </is>
      </c>
      <c r="G652" t="n">
        <v>3.3</v>
      </c>
      <c r="H652" t="n">
        <v>0</v>
      </c>
      <c r="I652" t="n">
        <v>0</v>
      </c>
      <c r="J652" t="n">
        <v>0</v>
      </c>
      <c r="K652" t="n">
        <v>0</v>
      </c>
      <c r="L652" t="n">
        <v>0</v>
      </c>
      <c r="M652" t="n">
        <v>0</v>
      </c>
      <c r="N652" t="n">
        <v>0</v>
      </c>
      <c r="O652" t="n">
        <v>0</v>
      </c>
      <c r="P652" t="n">
        <v>0</v>
      </c>
      <c r="Q652" t="n">
        <v>0</v>
      </c>
      <c r="R652" s="2" t="inlineStr"/>
    </row>
    <row r="653" ht="15" customHeight="1">
      <c r="A653" t="inlineStr">
        <is>
          <t>A 33600-2025</t>
        </is>
      </c>
      <c r="B653" s="1" t="n">
        <v>45841.60918981482</v>
      </c>
      <c r="C653" s="1" t="n">
        <v>45983</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45581-2025</t>
        </is>
      </c>
      <c r="B654" s="1" t="n">
        <v>45922</v>
      </c>
      <c r="C654" s="1" t="n">
        <v>45983</v>
      </c>
      <c r="D654" t="inlineStr">
        <is>
          <t>VÄRMLANDS LÄN</t>
        </is>
      </c>
      <c r="E654" t="inlineStr">
        <is>
          <t>ÅRJÄNG</t>
        </is>
      </c>
      <c r="G654" t="n">
        <v>1.2</v>
      </c>
      <c r="H654" t="n">
        <v>0</v>
      </c>
      <c r="I654" t="n">
        <v>0</v>
      </c>
      <c r="J654" t="n">
        <v>0</v>
      </c>
      <c r="K654" t="n">
        <v>0</v>
      </c>
      <c r="L654" t="n">
        <v>0</v>
      </c>
      <c r="M654" t="n">
        <v>0</v>
      </c>
      <c r="N654" t="n">
        <v>0</v>
      </c>
      <c r="O654" t="n">
        <v>0</v>
      </c>
      <c r="P654" t="n">
        <v>0</v>
      </c>
      <c r="Q654" t="n">
        <v>0</v>
      </c>
      <c r="R654" s="2" t="inlineStr"/>
    </row>
    <row r="655" ht="15" customHeight="1">
      <c r="A655" t="inlineStr">
        <is>
          <t>A 8685-2024</t>
        </is>
      </c>
      <c r="B655" s="1" t="n">
        <v>45356</v>
      </c>
      <c r="C655" s="1" t="n">
        <v>45983</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33481-2025</t>
        </is>
      </c>
      <c r="B656" s="1" t="n">
        <v>45841</v>
      </c>
      <c r="C656" s="1" t="n">
        <v>45983</v>
      </c>
      <c r="D656" t="inlineStr">
        <is>
          <t>VÄRMLANDS LÄN</t>
        </is>
      </c>
      <c r="E656" t="inlineStr">
        <is>
          <t>ÅRJÄNG</t>
        </is>
      </c>
      <c r="G656" t="n">
        <v>10.3</v>
      </c>
      <c r="H656" t="n">
        <v>0</v>
      </c>
      <c r="I656" t="n">
        <v>0</v>
      </c>
      <c r="J656" t="n">
        <v>0</v>
      </c>
      <c r="K656" t="n">
        <v>0</v>
      </c>
      <c r="L656" t="n">
        <v>0</v>
      </c>
      <c r="M656" t="n">
        <v>0</v>
      </c>
      <c r="N656" t="n">
        <v>0</v>
      </c>
      <c r="O656" t="n">
        <v>0</v>
      </c>
      <c r="P656" t="n">
        <v>0</v>
      </c>
      <c r="Q656" t="n">
        <v>0</v>
      </c>
      <c r="R656" s="2" t="inlineStr"/>
    </row>
    <row r="657" ht="15" customHeight="1">
      <c r="A657" t="inlineStr">
        <is>
          <t>A 33832-2025</t>
        </is>
      </c>
      <c r="B657" s="1" t="n">
        <v>45842.47506944444</v>
      </c>
      <c r="C657" s="1" t="n">
        <v>45983</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45411-2025</t>
        </is>
      </c>
      <c r="B658" s="1" t="n">
        <v>45922</v>
      </c>
      <c r="C658" s="1" t="n">
        <v>45983</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54111-2025</t>
        </is>
      </c>
      <c r="B659" s="1" t="n">
        <v>45964.43324074074</v>
      </c>
      <c r="C659" s="1" t="n">
        <v>45983</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45166-2025</t>
        </is>
      </c>
      <c r="B660" s="1" t="n">
        <v>45919</v>
      </c>
      <c r="C660" s="1" t="n">
        <v>45983</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49057-2024</t>
        </is>
      </c>
      <c r="B661" s="1" t="n">
        <v>45594</v>
      </c>
      <c r="C661" s="1" t="n">
        <v>45983</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54129-2025</t>
        </is>
      </c>
      <c r="B662" s="1" t="n">
        <v>45964.46063657408</v>
      </c>
      <c r="C662" s="1" t="n">
        <v>45983</v>
      </c>
      <c r="D662" t="inlineStr">
        <is>
          <t>VÄRMLANDS LÄN</t>
        </is>
      </c>
      <c r="E662" t="inlineStr">
        <is>
          <t>ÅRJÄNG</t>
        </is>
      </c>
      <c r="G662" t="n">
        <v>3.1</v>
      </c>
      <c r="H662" t="n">
        <v>0</v>
      </c>
      <c r="I662" t="n">
        <v>0</v>
      </c>
      <c r="J662" t="n">
        <v>0</v>
      </c>
      <c r="K662" t="n">
        <v>0</v>
      </c>
      <c r="L662" t="n">
        <v>0</v>
      </c>
      <c r="M662" t="n">
        <v>0</v>
      </c>
      <c r="N662" t="n">
        <v>0</v>
      </c>
      <c r="O662" t="n">
        <v>0</v>
      </c>
      <c r="P662" t="n">
        <v>0</v>
      </c>
      <c r="Q662" t="n">
        <v>0</v>
      </c>
      <c r="R662" s="2" t="inlineStr"/>
    </row>
    <row r="663" ht="15" customHeight="1">
      <c r="A663" t="inlineStr">
        <is>
          <t>A 54159-2025</t>
        </is>
      </c>
      <c r="B663" s="1" t="n">
        <v>45964.50344907407</v>
      </c>
      <c r="C663" s="1" t="n">
        <v>45983</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44257-2025</t>
        </is>
      </c>
      <c r="B664" s="1" t="n">
        <v>45915</v>
      </c>
      <c r="C664" s="1" t="n">
        <v>45983</v>
      </c>
      <c r="D664" t="inlineStr">
        <is>
          <t>VÄRMLANDS LÄN</t>
        </is>
      </c>
      <c r="E664" t="inlineStr">
        <is>
          <t>ÅRJÄNG</t>
        </is>
      </c>
      <c r="G664" t="n">
        <v>3.6</v>
      </c>
      <c r="H664" t="n">
        <v>0</v>
      </c>
      <c r="I664" t="n">
        <v>0</v>
      </c>
      <c r="J664" t="n">
        <v>0</v>
      </c>
      <c r="K664" t="n">
        <v>0</v>
      </c>
      <c r="L664" t="n">
        <v>0</v>
      </c>
      <c r="M664" t="n">
        <v>0</v>
      </c>
      <c r="N664" t="n">
        <v>0</v>
      </c>
      <c r="O664" t="n">
        <v>0</v>
      </c>
      <c r="P664" t="n">
        <v>0</v>
      </c>
      <c r="Q664" t="n">
        <v>0</v>
      </c>
      <c r="R664" s="2" t="inlineStr"/>
    </row>
    <row r="665" ht="15" customHeight="1">
      <c r="A665" t="inlineStr">
        <is>
          <t>A 33993-2025</t>
        </is>
      </c>
      <c r="B665" s="1" t="n">
        <v>45843.61189814815</v>
      </c>
      <c r="C665" s="1" t="n">
        <v>45983</v>
      </c>
      <c r="D665" t="inlineStr">
        <is>
          <t>VÄRMLANDS LÄN</t>
        </is>
      </c>
      <c r="E665" t="inlineStr">
        <is>
          <t>ÅRJÄNG</t>
        </is>
      </c>
      <c r="G665" t="n">
        <v>2.4</v>
      </c>
      <c r="H665" t="n">
        <v>0</v>
      </c>
      <c r="I665" t="n">
        <v>0</v>
      </c>
      <c r="J665" t="n">
        <v>0</v>
      </c>
      <c r="K665" t="n">
        <v>0</v>
      </c>
      <c r="L665" t="n">
        <v>0</v>
      </c>
      <c r="M665" t="n">
        <v>0</v>
      </c>
      <c r="N665" t="n">
        <v>0</v>
      </c>
      <c r="O665" t="n">
        <v>0</v>
      </c>
      <c r="P665" t="n">
        <v>0</v>
      </c>
      <c r="Q665" t="n">
        <v>0</v>
      </c>
      <c r="R665" s="2" t="inlineStr"/>
    </row>
    <row r="666" ht="15" customHeight="1">
      <c r="A666" t="inlineStr">
        <is>
          <t>A 34148-2025</t>
        </is>
      </c>
      <c r="B666" s="1" t="n">
        <v>45844</v>
      </c>
      <c r="C666" s="1" t="n">
        <v>45983</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33998-2025</t>
        </is>
      </c>
      <c r="B667" s="1" t="n">
        <v>45843.99453703704</v>
      </c>
      <c r="C667" s="1" t="n">
        <v>45983</v>
      </c>
      <c r="D667" t="inlineStr">
        <is>
          <t>VÄRMLANDS LÄN</t>
        </is>
      </c>
      <c r="E667" t="inlineStr">
        <is>
          <t>ÅRJÄNG</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34243-2025</t>
        </is>
      </c>
      <c r="B668" s="1" t="n">
        <v>45845</v>
      </c>
      <c r="C668" s="1" t="n">
        <v>45983</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34248-2025</t>
        </is>
      </c>
      <c r="B669" s="1" t="n">
        <v>45845</v>
      </c>
      <c r="C669" s="1" t="n">
        <v>45983</v>
      </c>
      <c r="D669" t="inlineStr">
        <is>
          <t>VÄRMLANDS LÄN</t>
        </is>
      </c>
      <c r="E669" t="inlineStr">
        <is>
          <t>ÅRJÄNG</t>
        </is>
      </c>
      <c r="G669" t="n">
        <v>2.7</v>
      </c>
      <c r="H669" t="n">
        <v>0</v>
      </c>
      <c r="I669" t="n">
        <v>0</v>
      </c>
      <c r="J669" t="n">
        <v>0</v>
      </c>
      <c r="K669" t="n">
        <v>0</v>
      </c>
      <c r="L669" t="n">
        <v>0</v>
      </c>
      <c r="M669" t="n">
        <v>0</v>
      </c>
      <c r="N669" t="n">
        <v>0</v>
      </c>
      <c r="O669" t="n">
        <v>0</v>
      </c>
      <c r="P669" t="n">
        <v>0</v>
      </c>
      <c r="Q669" t="n">
        <v>0</v>
      </c>
      <c r="R669" s="2" t="inlineStr"/>
    </row>
    <row r="670" ht="15" customHeight="1">
      <c r="A670" t="inlineStr">
        <is>
          <t>A 34252-2025</t>
        </is>
      </c>
      <c r="B670" s="1" t="n">
        <v>45845</v>
      </c>
      <c r="C670" s="1" t="n">
        <v>45983</v>
      </c>
      <c r="D670" t="inlineStr">
        <is>
          <t>VÄRMLANDS LÄN</t>
        </is>
      </c>
      <c r="E670" t="inlineStr">
        <is>
          <t>ÅRJÄNG</t>
        </is>
      </c>
      <c r="G670" t="n">
        <v>7.1</v>
      </c>
      <c r="H670" t="n">
        <v>0</v>
      </c>
      <c r="I670" t="n">
        <v>0</v>
      </c>
      <c r="J670" t="n">
        <v>0</v>
      </c>
      <c r="K670" t="n">
        <v>0</v>
      </c>
      <c r="L670" t="n">
        <v>0</v>
      </c>
      <c r="M670" t="n">
        <v>0</v>
      </c>
      <c r="N670" t="n">
        <v>0</v>
      </c>
      <c r="O670" t="n">
        <v>0</v>
      </c>
      <c r="P670" t="n">
        <v>0</v>
      </c>
      <c r="Q670" t="n">
        <v>0</v>
      </c>
      <c r="R670" s="2" t="inlineStr"/>
      <c r="U670">
        <f>HYPERLINK("https://klasma.github.io/Logging_1765/knärot/A 34252-2025 karta knärot.png", "A 34252-2025")</f>
        <v/>
      </c>
      <c r="V670">
        <f>HYPERLINK("https://klasma.github.io/Logging_1765/klagomål/A 34252-2025 FSC-klagomål.docx", "A 34252-2025")</f>
        <v/>
      </c>
      <c r="W670">
        <f>HYPERLINK("https://klasma.github.io/Logging_1765/klagomålsmail/A 34252-2025 FSC-klagomål mail.docx", "A 34252-2025")</f>
        <v/>
      </c>
      <c r="X670">
        <f>HYPERLINK("https://klasma.github.io/Logging_1765/tillsyn/A 34252-2025 tillsynsbegäran.docx", "A 34252-2025")</f>
        <v/>
      </c>
      <c r="Y670">
        <f>HYPERLINK("https://klasma.github.io/Logging_1765/tillsynsmail/A 34252-2025 tillsynsbegäran mail.docx", "A 34252-2025")</f>
        <v/>
      </c>
    </row>
    <row r="671" ht="15" customHeight="1">
      <c r="A671" t="inlineStr">
        <is>
          <t>A 34077-2025</t>
        </is>
      </c>
      <c r="B671" s="1" t="n">
        <v>45845.45206018518</v>
      </c>
      <c r="C671" s="1" t="n">
        <v>45983</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64690-2023</t>
        </is>
      </c>
      <c r="B672" s="1" t="n">
        <v>45281.63434027778</v>
      </c>
      <c r="C672" s="1" t="n">
        <v>45983</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13784-2024</t>
        </is>
      </c>
      <c r="B673" s="1" t="n">
        <v>45391.33817129629</v>
      </c>
      <c r="C673" s="1" t="n">
        <v>45983</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9489-2025</t>
        </is>
      </c>
      <c r="B674" s="1" t="n">
        <v>45715</v>
      </c>
      <c r="C674" s="1" t="n">
        <v>45983</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7574-2024</t>
        </is>
      </c>
      <c r="B675" s="1" t="n">
        <v>45348</v>
      </c>
      <c r="C675" s="1" t="n">
        <v>45983</v>
      </c>
      <c r="D675" t="inlineStr">
        <is>
          <t>VÄRMLANDS LÄN</t>
        </is>
      </c>
      <c r="E675" t="inlineStr">
        <is>
          <t>ÅRJÄNG</t>
        </is>
      </c>
      <c r="G675" t="n">
        <v>4.6</v>
      </c>
      <c r="H675" t="n">
        <v>0</v>
      </c>
      <c r="I675" t="n">
        <v>0</v>
      </c>
      <c r="J675" t="n">
        <v>0</v>
      </c>
      <c r="K675" t="n">
        <v>0</v>
      </c>
      <c r="L675" t="n">
        <v>0</v>
      </c>
      <c r="M675" t="n">
        <v>0</v>
      </c>
      <c r="N675" t="n">
        <v>0</v>
      </c>
      <c r="O675" t="n">
        <v>0</v>
      </c>
      <c r="P675" t="n">
        <v>0</v>
      </c>
      <c r="Q675" t="n">
        <v>0</v>
      </c>
      <c r="R675" s="2" t="inlineStr"/>
    </row>
    <row r="676" ht="15" customHeight="1">
      <c r="A676" t="inlineStr">
        <is>
          <t>A 34230-2025</t>
        </is>
      </c>
      <c r="B676" s="1" t="n">
        <v>45845</v>
      </c>
      <c r="C676" s="1" t="n">
        <v>45983</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34235-2025</t>
        </is>
      </c>
      <c r="B677" s="1" t="n">
        <v>45845</v>
      </c>
      <c r="C677" s="1" t="n">
        <v>45983</v>
      </c>
      <c r="D677" t="inlineStr">
        <is>
          <t>VÄRMLANDS LÄN</t>
        </is>
      </c>
      <c r="E677" t="inlineStr">
        <is>
          <t>ÅRJÄNG</t>
        </is>
      </c>
      <c r="G677" t="n">
        <v>3.5</v>
      </c>
      <c r="H677" t="n">
        <v>0</v>
      </c>
      <c r="I677" t="n">
        <v>0</v>
      </c>
      <c r="J677" t="n">
        <v>0</v>
      </c>
      <c r="K677" t="n">
        <v>0</v>
      </c>
      <c r="L677" t="n">
        <v>0</v>
      </c>
      <c r="M677" t="n">
        <v>0</v>
      </c>
      <c r="N677" t="n">
        <v>0</v>
      </c>
      <c r="O677" t="n">
        <v>0</v>
      </c>
      <c r="P677" t="n">
        <v>0</v>
      </c>
      <c r="Q677" t="n">
        <v>0</v>
      </c>
      <c r="R677" s="2" t="inlineStr"/>
    </row>
    <row r="678" ht="15" customHeight="1">
      <c r="A678" t="inlineStr">
        <is>
          <t>A 4135-2025</t>
        </is>
      </c>
      <c r="B678" s="1" t="n">
        <v>45685</v>
      </c>
      <c r="C678" s="1" t="n">
        <v>45983</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60886-2023</t>
        </is>
      </c>
      <c r="B679" s="1" t="n">
        <v>45261</v>
      </c>
      <c r="C679" s="1" t="n">
        <v>45983</v>
      </c>
      <c r="D679" t="inlineStr">
        <is>
          <t>VÄRMLANDS LÄN</t>
        </is>
      </c>
      <c r="E679" t="inlineStr">
        <is>
          <t>ÅRJÄNG</t>
        </is>
      </c>
      <c r="G679" t="n">
        <v>2.9</v>
      </c>
      <c r="H679" t="n">
        <v>0</v>
      </c>
      <c r="I679" t="n">
        <v>0</v>
      </c>
      <c r="J679" t="n">
        <v>0</v>
      </c>
      <c r="K679" t="n">
        <v>0</v>
      </c>
      <c r="L679" t="n">
        <v>0</v>
      </c>
      <c r="M679" t="n">
        <v>0</v>
      </c>
      <c r="N679" t="n">
        <v>0</v>
      </c>
      <c r="O679" t="n">
        <v>0</v>
      </c>
      <c r="P679" t="n">
        <v>0</v>
      </c>
      <c r="Q679" t="n">
        <v>0</v>
      </c>
      <c r="R679" s="2" t="inlineStr"/>
    </row>
    <row r="680" ht="15" customHeight="1">
      <c r="A680" t="inlineStr">
        <is>
          <t>A 31622-2024</t>
        </is>
      </c>
      <c r="B680" s="1" t="n">
        <v>45506</v>
      </c>
      <c r="C680" s="1" t="n">
        <v>45983</v>
      </c>
      <c r="D680" t="inlineStr">
        <is>
          <t>VÄRMLANDS LÄN</t>
        </is>
      </c>
      <c r="E680" t="inlineStr">
        <is>
          <t>ÅRJÄNG</t>
        </is>
      </c>
      <c r="G680" t="n">
        <v>4</v>
      </c>
      <c r="H680" t="n">
        <v>0</v>
      </c>
      <c r="I680" t="n">
        <v>0</v>
      </c>
      <c r="J680" t="n">
        <v>0</v>
      </c>
      <c r="K680" t="n">
        <v>0</v>
      </c>
      <c r="L680" t="n">
        <v>0</v>
      </c>
      <c r="M680" t="n">
        <v>0</v>
      </c>
      <c r="N680" t="n">
        <v>0</v>
      </c>
      <c r="O680" t="n">
        <v>0</v>
      </c>
      <c r="P680" t="n">
        <v>0</v>
      </c>
      <c r="Q680" t="n">
        <v>0</v>
      </c>
      <c r="R680" s="2" t="inlineStr"/>
    </row>
    <row r="681" ht="15" customHeight="1">
      <c r="A681" t="inlineStr">
        <is>
          <t>A 24216-2024</t>
        </is>
      </c>
      <c r="B681" s="1" t="n">
        <v>45457</v>
      </c>
      <c r="C681" s="1" t="n">
        <v>45983</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54418-2025</t>
        </is>
      </c>
      <c r="B682" s="1" t="n">
        <v>45965.48027777778</v>
      </c>
      <c r="C682" s="1" t="n">
        <v>45983</v>
      </c>
      <c r="D682" t="inlineStr">
        <is>
          <t>VÄRMLANDS LÄN</t>
        </is>
      </c>
      <c r="E682" t="inlineStr">
        <is>
          <t>ÅRJÄNG</t>
        </is>
      </c>
      <c r="G682" t="n">
        <v>1.6</v>
      </c>
      <c r="H682" t="n">
        <v>0</v>
      </c>
      <c r="I682" t="n">
        <v>0</v>
      </c>
      <c r="J682" t="n">
        <v>0</v>
      </c>
      <c r="K682" t="n">
        <v>0</v>
      </c>
      <c r="L682" t="n">
        <v>0</v>
      </c>
      <c r="M682" t="n">
        <v>0</v>
      </c>
      <c r="N682" t="n">
        <v>0</v>
      </c>
      <c r="O682" t="n">
        <v>0</v>
      </c>
      <c r="P682" t="n">
        <v>0</v>
      </c>
      <c r="Q682" t="n">
        <v>0</v>
      </c>
      <c r="R682" s="2" t="inlineStr"/>
    </row>
    <row r="683" ht="15" customHeight="1">
      <c r="A683" t="inlineStr">
        <is>
          <t>A 54420-2025</t>
        </is>
      </c>
      <c r="B683" s="1" t="n">
        <v>45965.4834837963</v>
      </c>
      <c r="C683" s="1" t="n">
        <v>45983</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54430-2025</t>
        </is>
      </c>
      <c r="B684" s="1" t="n">
        <v>45965.49414351852</v>
      </c>
      <c r="C684" s="1" t="n">
        <v>45983</v>
      </c>
      <c r="D684" t="inlineStr">
        <is>
          <t>VÄRMLANDS LÄN</t>
        </is>
      </c>
      <c r="E684" t="inlineStr">
        <is>
          <t>ÅRJÄNG</t>
        </is>
      </c>
      <c r="G684" t="n">
        <v>1.8</v>
      </c>
      <c r="H684" t="n">
        <v>0</v>
      </c>
      <c r="I684" t="n">
        <v>0</v>
      </c>
      <c r="J684" t="n">
        <v>0</v>
      </c>
      <c r="K684" t="n">
        <v>0</v>
      </c>
      <c r="L684" t="n">
        <v>0</v>
      </c>
      <c r="M684" t="n">
        <v>0</v>
      </c>
      <c r="N684" t="n">
        <v>0</v>
      </c>
      <c r="O684" t="n">
        <v>0</v>
      </c>
      <c r="P684" t="n">
        <v>0</v>
      </c>
      <c r="Q684" t="n">
        <v>0</v>
      </c>
      <c r="R684" s="2" t="inlineStr"/>
    </row>
    <row r="685" ht="15" customHeight="1">
      <c r="A685" t="inlineStr">
        <is>
          <t>A 45907-2025</t>
        </is>
      </c>
      <c r="B685" s="1" t="n">
        <v>45923.70748842593</v>
      </c>
      <c r="C685" s="1" t="n">
        <v>45983</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45906-2025</t>
        </is>
      </c>
      <c r="B686" s="1" t="n">
        <v>45923.70627314815</v>
      </c>
      <c r="C686" s="1" t="n">
        <v>45983</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50112-2024</t>
        </is>
      </c>
      <c r="B687" s="1" t="n">
        <v>45600</v>
      </c>
      <c r="C687" s="1" t="n">
        <v>45983</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34839-2025</t>
        </is>
      </c>
      <c r="B688" s="1" t="n">
        <v>45849.39505787037</v>
      </c>
      <c r="C688" s="1" t="n">
        <v>45983</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18388-2025</t>
        </is>
      </c>
      <c r="B689" s="1" t="n">
        <v>45762</v>
      </c>
      <c r="C689" s="1" t="n">
        <v>45983</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34840-2025</t>
        </is>
      </c>
      <c r="B690" s="1" t="n">
        <v>45849</v>
      </c>
      <c r="C690" s="1" t="n">
        <v>45983</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56168-2024</t>
        </is>
      </c>
      <c r="B691" s="1" t="n">
        <v>45623</v>
      </c>
      <c r="C691" s="1" t="n">
        <v>45983</v>
      </c>
      <c r="D691" t="inlineStr">
        <is>
          <t>VÄRMLANDS LÄN</t>
        </is>
      </c>
      <c r="E691" t="inlineStr">
        <is>
          <t>ÅRJÄNG</t>
        </is>
      </c>
      <c r="G691" t="n">
        <v>2.3</v>
      </c>
      <c r="H691" t="n">
        <v>0</v>
      </c>
      <c r="I691" t="n">
        <v>0</v>
      </c>
      <c r="J691" t="n">
        <v>0</v>
      </c>
      <c r="K691" t="n">
        <v>0</v>
      </c>
      <c r="L691" t="n">
        <v>0</v>
      </c>
      <c r="M691" t="n">
        <v>0</v>
      </c>
      <c r="N691" t="n">
        <v>0</v>
      </c>
      <c r="O691" t="n">
        <v>0</v>
      </c>
      <c r="P691" t="n">
        <v>0</v>
      </c>
      <c r="Q691" t="n">
        <v>0</v>
      </c>
      <c r="R691" s="2" t="inlineStr"/>
    </row>
    <row r="692" ht="15" customHeight="1">
      <c r="A692" t="inlineStr">
        <is>
          <t>A 35104-2025</t>
        </is>
      </c>
      <c r="B692" s="1" t="n">
        <v>45852.57070601852</v>
      </c>
      <c r="C692" s="1" t="n">
        <v>45983</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1912-2024</t>
        </is>
      </c>
      <c r="B693" s="1" t="n">
        <v>45308</v>
      </c>
      <c r="C693" s="1" t="n">
        <v>45983</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3861-2025</t>
        </is>
      </c>
      <c r="B694" s="1" t="n">
        <v>45683</v>
      </c>
      <c r="C694" s="1" t="n">
        <v>45983</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38167-2022</t>
        </is>
      </c>
      <c r="B695" s="1" t="n">
        <v>44812</v>
      </c>
      <c r="C695" s="1" t="n">
        <v>45983</v>
      </c>
      <c r="D695" t="inlineStr">
        <is>
          <t>VÄRMLANDS LÄN</t>
        </is>
      </c>
      <c r="E695" t="inlineStr">
        <is>
          <t>ÅRJÄNG</t>
        </is>
      </c>
      <c r="G695" t="n">
        <v>10.5</v>
      </c>
      <c r="H695" t="n">
        <v>0</v>
      </c>
      <c r="I695" t="n">
        <v>0</v>
      </c>
      <c r="J695" t="n">
        <v>0</v>
      </c>
      <c r="K695" t="n">
        <v>0</v>
      </c>
      <c r="L695" t="n">
        <v>0</v>
      </c>
      <c r="M695" t="n">
        <v>0</v>
      </c>
      <c r="N695" t="n">
        <v>0</v>
      </c>
      <c r="O695" t="n">
        <v>0</v>
      </c>
      <c r="P695" t="n">
        <v>0</v>
      </c>
      <c r="Q695" t="n">
        <v>0</v>
      </c>
      <c r="R695" s="2" t="inlineStr"/>
    </row>
    <row r="696" ht="15" customHeight="1">
      <c r="A696" t="inlineStr">
        <is>
          <t>A 57161-2024</t>
        </is>
      </c>
      <c r="B696" s="1" t="n">
        <v>45628</v>
      </c>
      <c r="C696" s="1" t="n">
        <v>45983</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34831-2025</t>
        </is>
      </c>
      <c r="B697" s="1" t="n">
        <v>45849</v>
      </c>
      <c r="C697" s="1" t="n">
        <v>45983</v>
      </c>
      <c r="D697" t="inlineStr">
        <is>
          <t>VÄRMLANDS LÄN</t>
        </is>
      </c>
      <c r="E697" t="inlineStr">
        <is>
          <t>ÅRJÄNG</t>
        </is>
      </c>
      <c r="G697" t="n">
        <v>5.4</v>
      </c>
      <c r="H697" t="n">
        <v>0</v>
      </c>
      <c r="I697" t="n">
        <v>0</v>
      </c>
      <c r="J697" t="n">
        <v>0</v>
      </c>
      <c r="K697" t="n">
        <v>0</v>
      </c>
      <c r="L697" t="n">
        <v>0</v>
      </c>
      <c r="M697" t="n">
        <v>0</v>
      </c>
      <c r="N697" t="n">
        <v>0</v>
      </c>
      <c r="O697" t="n">
        <v>0</v>
      </c>
      <c r="P697" t="n">
        <v>0</v>
      </c>
      <c r="Q697" t="n">
        <v>0</v>
      </c>
      <c r="R697" s="2" t="inlineStr"/>
    </row>
    <row r="698" ht="15" customHeight="1">
      <c r="A698" t="inlineStr">
        <is>
          <t>A 60202-2023</t>
        </is>
      </c>
      <c r="B698" s="1" t="n">
        <v>45257</v>
      </c>
      <c r="C698" s="1" t="n">
        <v>45983</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55276-2025</t>
        </is>
      </c>
      <c r="B699" s="1" t="n">
        <v>45968.76534722222</v>
      </c>
      <c r="C699" s="1" t="n">
        <v>45983</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55017-2025</t>
        </is>
      </c>
      <c r="B700" s="1" t="n">
        <v>45967.61709490741</v>
      </c>
      <c r="C700" s="1" t="n">
        <v>45983</v>
      </c>
      <c r="D700" t="inlineStr">
        <is>
          <t>VÄRMLANDS LÄN</t>
        </is>
      </c>
      <c r="E700" t="inlineStr">
        <is>
          <t>ÅRJÄNG</t>
        </is>
      </c>
      <c r="G700" t="n">
        <v>10.2</v>
      </c>
      <c r="H700" t="n">
        <v>0</v>
      </c>
      <c r="I700" t="n">
        <v>0</v>
      </c>
      <c r="J700" t="n">
        <v>0</v>
      </c>
      <c r="K700" t="n">
        <v>0</v>
      </c>
      <c r="L700" t="n">
        <v>0</v>
      </c>
      <c r="M700" t="n">
        <v>0</v>
      </c>
      <c r="N700" t="n">
        <v>0</v>
      </c>
      <c r="O700" t="n">
        <v>0</v>
      </c>
      <c r="P700" t="n">
        <v>0</v>
      </c>
      <c r="Q700" t="n">
        <v>0</v>
      </c>
      <c r="R700" s="2" t="inlineStr"/>
    </row>
    <row r="701" ht="15" customHeight="1">
      <c r="A701" t="inlineStr">
        <is>
          <t>A 35295-2025</t>
        </is>
      </c>
      <c r="B701" s="1" t="n">
        <v>45854.40325231481</v>
      </c>
      <c r="C701" s="1" t="n">
        <v>45983</v>
      </c>
      <c r="D701" t="inlineStr">
        <is>
          <t>VÄRMLANDS LÄN</t>
        </is>
      </c>
      <c r="E701" t="inlineStr">
        <is>
          <t>ÅRJÄNG</t>
        </is>
      </c>
      <c r="G701" t="n">
        <v>6.2</v>
      </c>
      <c r="H701" t="n">
        <v>0</v>
      </c>
      <c r="I701" t="n">
        <v>0</v>
      </c>
      <c r="J701" t="n">
        <v>0</v>
      </c>
      <c r="K701" t="n">
        <v>0</v>
      </c>
      <c r="L701" t="n">
        <v>0</v>
      </c>
      <c r="M701" t="n">
        <v>0</v>
      </c>
      <c r="N701" t="n">
        <v>0</v>
      </c>
      <c r="O701" t="n">
        <v>0</v>
      </c>
      <c r="P701" t="n">
        <v>0</v>
      </c>
      <c r="Q701" t="n">
        <v>0</v>
      </c>
      <c r="R701" s="2" t="inlineStr"/>
    </row>
    <row r="702" ht="15" customHeight="1">
      <c r="A702" t="inlineStr">
        <is>
          <t>A 35304-2025</t>
        </is>
      </c>
      <c r="B702" s="1" t="n">
        <v>45854.43931712963</v>
      </c>
      <c r="C702" s="1" t="n">
        <v>45983</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54962-2025</t>
        </is>
      </c>
      <c r="B703" s="1" t="n">
        <v>45967.4825462963</v>
      </c>
      <c r="C703" s="1" t="n">
        <v>45983</v>
      </c>
      <c r="D703" t="inlineStr">
        <is>
          <t>VÄRMLANDS LÄN</t>
        </is>
      </c>
      <c r="E703" t="inlineStr">
        <is>
          <t>ÅRJÄNG</t>
        </is>
      </c>
      <c r="F703" t="inlineStr">
        <is>
          <t>Kyrkan</t>
        </is>
      </c>
      <c r="G703" t="n">
        <v>1.4</v>
      </c>
      <c r="H703" t="n">
        <v>0</v>
      </c>
      <c r="I703" t="n">
        <v>0</v>
      </c>
      <c r="J703" t="n">
        <v>0</v>
      </c>
      <c r="K703" t="n">
        <v>0</v>
      </c>
      <c r="L703" t="n">
        <v>0</v>
      </c>
      <c r="M703" t="n">
        <v>0</v>
      </c>
      <c r="N703" t="n">
        <v>0</v>
      </c>
      <c r="O703" t="n">
        <v>0</v>
      </c>
      <c r="P703" t="n">
        <v>0</v>
      </c>
      <c r="Q703" t="n">
        <v>0</v>
      </c>
      <c r="R703" s="2" t="inlineStr"/>
    </row>
    <row r="704" ht="15" customHeight="1">
      <c r="A704" t="inlineStr">
        <is>
          <t>A 34163-2025</t>
        </is>
      </c>
      <c r="B704" s="1" t="n">
        <v>45844</v>
      </c>
      <c r="C704" s="1" t="n">
        <v>45983</v>
      </c>
      <c r="D704" t="inlineStr">
        <is>
          <t>VÄRMLANDS LÄN</t>
        </is>
      </c>
      <c r="E704" t="inlineStr">
        <is>
          <t>ÅRJÄNG</t>
        </is>
      </c>
      <c r="G704" t="n">
        <v>4.5</v>
      </c>
      <c r="H704" t="n">
        <v>0</v>
      </c>
      <c r="I704" t="n">
        <v>0</v>
      </c>
      <c r="J704" t="n">
        <v>0</v>
      </c>
      <c r="K704" t="n">
        <v>0</v>
      </c>
      <c r="L704" t="n">
        <v>0</v>
      </c>
      <c r="M704" t="n">
        <v>0</v>
      </c>
      <c r="N704" t="n">
        <v>0</v>
      </c>
      <c r="O704" t="n">
        <v>0</v>
      </c>
      <c r="P704" t="n">
        <v>0</v>
      </c>
      <c r="Q704" t="n">
        <v>0</v>
      </c>
      <c r="R704" s="2" t="inlineStr"/>
    </row>
    <row r="705" ht="15" customHeight="1">
      <c r="A705" t="inlineStr">
        <is>
          <t>A 34075-2025</t>
        </is>
      </c>
      <c r="B705" s="1" t="n">
        <v>45845</v>
      </c>
      <c r="C705" s="1" t="n">
        <v>45983</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42236-2024</t>
        </is>
      </c>
      <c r="B706" s="1" t="n">
        <v>45562</v>
      </c>
      <c r="C706" s="1" t="n">
        <v>45983</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34159-2025</t>
        </is>
      </c>
      <c r="B707" s="1" t="n">
        <v>45844</v>
      </c>
      <c r="C707" s="1" t="n">
        <v>45983</v>
      </c>
      <c r="D707" t="inlineStr">
        <is>
          <t>VÄRMLANDS LÄN</t>
        </is>
      </c>
      <c r="E707" t="inlineStr">
        <is>
          <t>ÅRJÄNG</t>
        </is>
      </c>
      <c r="G707" t="n">
        <v>0.6</v>
      </c>
      <c r="H707" t="n">
        <v>0</v>
      </c>
      <c r="I707" t="n">
        <v>0</v>
      </c>
      <c r="J707" t="n">
        <v>0</v>
      </c>
      <c r="K707" t="n">
        <v>0</v>
      </c>
      <c r="L707" t="n">
        <v>0</v>
      </c>
      <c r="M707" t="n">
        <v>0</v>
      </c>
      <c r="N707" t="n">
        <v>0</v>
      </c>
      <c r="O707" t="n">
        <v>0</v>
      </c>
      <c r="P707" t="n">
        <v>0</v>
      </c>
      <c r="Q707" t="n">
        <v>0</v>
      </c>
      <c r="R707" s="2" t="inlineStr"/>
    </row>
    <row r="708" ht="15" customHeight="1">
      <c r="A708" t="inlineStr">
        <is>
          <t>A 37409-2025</t>
        </is>
      </c>
      <c r="B708" s="1" t="n">
        <v>45877</v>
      </c>
      <c r="C708" s="1" t="n">
        <v>45983</v>
      </c>
      <c r="D708" t="inlineStr">
        <is>
          <t>VÄRMLANDS LÄN</t>
        </is>
      </c>
      <c r="E708" t="inlineStr">
        <is>
          <t>ÅRJÄNG</t>
        </is>
      </c>
      <c r="G708" t="n">
        <v>4.8</v>
      </c>
      <c r="H708" t="n">
        <v>0</v>
      </c>
      <c r="I708" t="n">
        <v>0</v>
      </c>
      <c r="J708" t="n">
        <v>0</v>
      </c>
      <c r="K708" t="n">
        <v>0</v>
      </c>
      <c r="L708" t="n">
        <v>0</v>
      </c>
      <c r="M708" t="n">
        <v>0</v>
      </c>
      <c r="N708" t="n">
        <v>0</v>
      </c>
      <c r="O708" t="n">
        <v>0</v>
      </c>
      <c r="P708" t="n">
        <v>0</v>
      </c>
      <c r="Q708" t="n">
        <v>0</v>
      </c>
      <c r="R708" s="2" t="inlineStr"/>
    </row>
    <row r="709" ht="15" customHeight="1">
      <c r="A709" t="inlineStr">
        <is>
          <t>A 46301-2025</t>
        </is>
      </c>
      <c r="B709" s="1" t="n">
        <v>45925.41553240741</v>
      </c>
      <c r="C709" s="1" t="n">
        <v>45983</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59484-2024</t>
        </is>
      </c>
      <c r="B710" s="1" t="n">
        <v>45638</v>
      </c>
      <c r="C710" s="1" t="n">
        <v>45983</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46645-2025</t>
        </is>
      </c>
      <c r="B711" s="1" t="n">
        <v>45926.47527777778</v>
      </c>
      <c r="C711" s="1" t="n">
        <v>45983</v>
      </c>
      <c r="D711" t="inlineStr">
        <is>
          <t>VÄRMLANDS LÄN</t>
        </is>
      </c>
      <c r="E711" t="inlineStr">
        <is>
          <t>ÅRJÄNG</t>
        </is>
      </c>
      <c r="G711" t="n">
        <v>2.8</v>
      </c>
      <c r="H711" t="n">
        <v>0</v>
      </c>
      <c r="I711" t="n">
        <v>0</v>
      </c>
      <c r="J711" t="n">
        <v>0</v>
      </c>
      <c r="K711" t="n">
        <v>0</v>
      </c>
      <c r="L711" t="n">
        <v>0</v>
      </c>
      <c r="M711" t="n">
        <v>0</v>
      </c>
      <c r="N711" t="n">
        <v>0</v>
      </c>
      <c r="O711" t="n">
        <v>0</v>
      </c>
      <c r="P711" t="n">
        <v>0</v>
      </c>
      <c r="Q711" t="n">
        <v>0</v>
      </c>
      <c r="R711" s="2" t="inlineStr"/>
    </row>
    <row r="712" ht="15" customHeight="1">
      <c r="A712" t="inlineStr">
        <is>
          <t>A 51260-2024</t>
        </is>
      </c>
      <c r="B712" s="1" t="n">
        <v>45602</v>
      </c>
      <c r="C712" s="1" t="n">
        <v>45983</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41205-2024</t>
        </is>
      </c>
      <c r="B713" s="1" t="n">
        <v>45559</v>
      </c>
      <c r="C713" s="1" t="n">
        <v>45983</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29570-2023</t>
        </is>
      </c>
      <c r="B714" s="1" t="n">
        <v>45106.6989699074</v>
      </c>
      <c r="C714" s="1" t="n">
        <v>45983</v>
      </c>
      <c r="D714" t="inlineStr">
        <is>
          <t>VÄRMLANDS LÄN</t>
        </is>
      </c>
      <c r="E714" t="inlineStr">
        <is>
          <t>ÅRJÄNG</t>
        </is>
      </c>
      <c r="G714" t="n">
        <v>1.4</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45983</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52382-2024</t>
        </is>
      </c>
      <c r="B716" s="1" t="n">
        <v>45608</v>
      </c>
      <c r="C716" s="1" t="n">
        <v>45983</v>
      </c>
      <c r="D716" t="inlineStr">
        <is>
          <t>VÄRMLANDS LÄN</t>
        </is>
      </c>
      <c r="E716" t="inlineStr">
        <is>
          <t>ÅRJÄNG</t>
        </is>
      </c>
      <c r="G716" t="n">
        <v>8.9</v>
      </c>
      <c r="H716" t="n">
        <v>0</v>
      </c>
      <c r="I716" t="n">
        <v>0</v>
      </c>
      <c r="J716" t="n">
        <v>0</v>
      </c>
      <c r="K716" t="n">
        <v>0</v>
      </c>
      <c r="L716" t="n">
        <v>0</v>
      </c>
      <c r="M716" t="n">
        <v>0</v>
      </c>
      <c r="N716" t="n">
        <v>0</v>
      </c>
      <c r="O716" t="n">
        <v>0</v>
      </c>
      <c r="P716" t="n">
        <v>0</v>
      </c>
      <c r="Q716" t="n">
        <v>0</v>
      </c>
      <c r="R716" s="2" t="inlineStr"/>
    </row>
    <row r="717" ht="15" customHeight="1">
      <c r="A717" t="inlineStr">
        <is>
          <t>A 49780-2024</t>
        </is>
      </c>
      <c r="B717" s="1" t="n">
        <v>45597</v>
      </c>
      <c r="C717" s="1" t="n">
        <v>45983</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60903-2023</t>
        </is>
      </c>
      <c r="B718" s="1" t="n">
        <v>45261</v>
      </c>
      <c r="C718" s="1" t="n">
        <v>45983</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55277-2025</t>
        </is>
      </c>
      <c r="B719" s="1" t="n">
        <v>45968.77537037037</v>
      </c>
      <c r="C719" s="1" t="n">
        <v>45983</v>
      </c>
      <c r="D719" t="inlineStr">
        <is>
          <t>VÄRMLANDS LÄN</t>
        </is>
      </c>
      <c r="E719" t="inlineStr">
        <is>
          <t>ÅRJÄNG</t>
        </is>
      </c>
      <c r="G719" t="n">
        <v>3.8</v>
      </c>
      <c r="H719" t="n">
        <v>0</v>
      </c>
      <c r="I719" t="n">
        <v>0</v>
      </c>
      <c r="J719" t="n">
        <v>0</v>
      </c>
      <c r="K719" t="n">
        <v>0</v>
      </c>
      <c r="L719" t="n">
        <v>0</v>
      </c>
      <c r="M719" t="n">
        <v>0</v>
      </c>
      <c r="N719" t="n">
        <v>0</v>
      </c>
      <c r="O719" t="n">
        <v>0</v>
      </c>
      <c r="P719" t="n">
        <v>0</v>
      </c>
      <c r="Q719" t="n">
        <v>0</v>
      </c>
      <c r="R719" s="2" t="inlineStr"/>
    </row>
    <row r="720" ht="15" customHeight="1">
      <c r="A720" t="inlineStr">
        <is>
          <t>A 56917-2024</t>
        </is>
      </c>
      <c r="B720" s="1" t="n">
        <v>45628</v>
      </c>
      <c r="C720" s="1" t="n">
        <v>45983</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46318-2024</t>
        </is>
      </c>
      <c r="B721" s="1" t="n">
        <v>45581.75744212963</v>
      </c>
      <c r="C721" s="1" t="n">
        <v>45983</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18796-2023</t>
        </is>
      </c>
      <c r="B722" s="1" t="n">
        <v>45044.31065972222</v>
      </c>
      <c r="C722" s="1" t="n">
        <v>45983</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54990-2025</t>
        </is>
      </c>
      <c r="B723" s="1" t="n">
        <v>45967.57292824074</v>
      </c>
      <c r="C723" s="1" t="n">
        <v>45983</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65849-2021</t>
        </is>
      </c>
      <c r="B724" s="1" t="n">
        <v>44517</v>
      </c>
      <c r="C724" s="1" t="n">
        <v>45983</v>
      </c>
      <c r="D724" t="inlineStr">
        <is>
          <t>VÄRMLANDS LÄN</t>
        </is>
      </c>
      <c r="E724" t="inlineStr">
        <is>
          <t>ÅRJÄNG</t>
        </is>
      </c>
      <c r="G724" t="n">
        <v>3.3</v>
      </c>
      <c r="H724" t="n">
        <v>0</v>
      </c>
      <c r="I724" t="n">
        <v>0</v>
      </c>
      <c r="J724" t="n">
        <v>0</v>
      </c>
      <c r="K724" t="n">
        <v>0</v>
      </c>
      <c r="L724" t="n">
        <v>0</v>
      </c>
      <c r="M724" t="n">
        <v>0</v>
      </c>
      <c r="N724" t="n">
        <v>0</v>
      </c>
      <c r="O724" t="n">
        <v>0</v>
      </c>
      <c r="P724" t="n">
        <v>0</v>
      </c>
      <c r="Q724" t="n">
        <v>0</v>
      </c>
      <c r="R724" s="2" t="inlineStr"/>
    </row>
    <row r="725" ht="15" customHeight="1">
      <c r="A725" t="inlineStr">
        <is>
          <t>A 53123-2024</t>
        </is>
      </c>
      <c r="B725" s="1" t="n">
        <v>45611.58819444444</v>
      </c>
      <c r="C725" s="1" t="n">
        <v>45983</v>
      </c>
      <c r="D725" t="inlineStr">
        <is>
          <t>VÄRMLANDS LÄN</t>
        </is>
      </c>
      <c r="E725" t="inlineStr">
        <is>
          <t>ÅRJÄNG</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35869-2025</t>
        </is>
      </c>
      <c r="B726" s="1" t="n">
        <v>45862</v>
      </c>
      <c r="C726" s="1" t="n">
        <v>45983</v>
      </c>
      <c r="D726" t="inlineStr">
        <is>
          <t>VÄRMLANDS LÄN</t>
        </is>
      </c>
      <c r="E726" t="inlineStr">
        <is>
          <t>ÅRJÄNG</t>
        </is>
      </c>
      <c r="F726" t="inlineStr">
        <is>
          <t>Bergvik skog väst AB</t>
        </is>
      </c>
      <c r="G726" t="n">
        <v>4.1</v>
      </c>
      <c r="H726" t="n">
        <v>0</v>
      </c>
      <c r="I726" t="n">
        <v>0</v>
      </c>
      <c r="J726" t="n">
        <v>0</v>
      </c>
      <c r="K726" t="n">
        <v>0</v>
      </c>
      <c r="L726" t="n">
        <v>0</v>
      </c>
      <c r="M726" t="n">
        <v>0</v>
      </c>
      <c r="N726" t="n">
        <v>0</v>
      </c>
      <c r="O726" t="n">
        <v>0</v>
      </c>
      <c r="P726" t="n">
        <v>0</v>
      </c>
      <c r="Q726" t="n">
        <v>0</v>
      </c>
      <c r="R726" s="2" t="inlineStr"/>
    </row>
    <row r="727" ht="15" customHeight="1">
      <c r="A727" t="inlineStr">
        <is>
          <t>A 48805-2022</t>
        </is>
      </c>
      <c r="B727" s="1" t="n">
        <v>44854</v>
      </c>
      <c r="C727" s="1" t="n">
        <v>45983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36143-2025</t>
        </is>
      </c>
      <c r="B728" s="1" t="n">
        <v>45866.68708333333</v>
      </c>
      <c r="C728" s="1" t="n">
        <v>45983</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53929-2025</t>
        </is>
      </c>
      <c r="B729" s="1" t="n">
        <v>45961</v>
      </c>
      <c r="C729" s="1" t="n">
        <v>45983</v>
      </c>
      <c r="D729" t="inlineStr">
        <is>
          <t>VÄRMLANDS LÄN</t>
        </is>
      </c>
      <c r="E729" t="inlineStr">
        <is>
          <t>ÅRJÄNG</t>
        </is>
      </c>
      <c r="F729" t="inlineStr">
        <is>
          <t>Bergvik skog väst AB</t>
        </is>
      </c>
      <c r="G729" t="n">
        <v>34.3</v>
      </c>
      <c r="H729" t="n">
        <v>0</v>
      </c>
      <c r="I729" t="n">
        <v>0</v>
      </c>
      <c r="J729" t="n">
        <v>0</v>
      </c>
      <c r="K729" t="n">
        <v>0</v>
      </c>
      <c r="L729" t="n">
        <v>0</v>
      </c>
      <c r="M729" t="n">
        <v>0</v>
      </c>
      <c r="N729" t="n">
        <v>0</v>
      </c>
      <c r="O729" t="n">
        <v>0</v>
      </c>
      <c r="P729" t="n">
        <v>0</v>
      </c>
      <c r="Q729" t="n">
        <v>0</v>
      </c>
      <c r="R729" s="2" t="inlineStr"/>
    </row>
    <row r="730" ht="15" customHeight="1">
      <c r="A730" t="inlineStr">
        <is>
          <t>A 55534-2025</t>
        </is>
      </c>
      <c r="B730" s="1" t="n">
        <v>45971.63193287037</v>
      </c>
      <c r="C730" s="1" t="n">
        <v>45983</v>
      </c>
      <c r="D730" t="inlineStr">
        <is>
          <t>VÄRMLANDS LÄN</t>
        </is>
      </c>
      <c r="E730" t="inlineStr">
        <is>
          <t>ÅRJÄNG</t>
        </is>
      </c>
      <c r="G730" t="n">
        <v>4.7</v>
      </c>
      <c r="H730" t="n">
        <v>0</v>
      </c>
      <c r="I730" t="n">
        <v>0</v>
      </c>
      <c r="J730" t="n">
        <v>0</v>
      </c>
      <c r="K730" t="n">
        <v>0</v>
      </c>
      <c r="L730" t="n">
        <v>0</v>
      </c>
      <c r="M730" t="n">
        <v>0</v>
      </c>
      <c r="N730" t="n">
        <v>0</v>
      </c>
      <c r="O730" t="n">
        <v>0</v>
      </c>
      <c r="P730" t="n">
        <v>0</v>
      </c>
      <c r="Q730" t="n">
        <v>0</v>
      </c>
      <c r="R730" s="2" t="inlineStr"/>
    </row>
    <row r="731" ht="15" customHeight="1">
      <c r="A731" t="inlineStr">
        <is>
          <t>A 1153-2023</t>
        </is>
      </c>
      <c r="B731" s="1" t="n">
        <v>44935</v>
      </c>
      <c r="C731" s="1" t="n">
        <v>45983</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55285-2025</t>
        </is>
      </c>
      <c r="B732" s="1" t="n">
        <v>45968.84447916667</v>
      </c>
      <c r="C732" s="1" t="n">
        <v>45983</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11265-2021</t>
        </is>
      </c>
      <c r="B733" s="1" t="n">
        <v>44263.44670138889</v>
      </c>
      <c r="C733" s="1" t="n">
        <v>45983</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47225-2025</t>
        </is>
      </c>
      <c r="B734" s="1" t="n">
        <v>45930.39145833333</v>
      </c>
      <c r="C734" s="1" t="n">
        <v>45983</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47426-2025</t>
        </is>
      </c>
      <c r="B735" s="1" t="n">
        <v>45930.63482638889</v>
      </c>
      <c r="C735" s="1" t="n">
        <v>45983</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47211-2025</t>
        </is>
      </c>
      <c r="B736" s="1" t="n">
        <v>45930.3815625</v>
      </c>
      <c r="C736" s="1" t="n">
        <v>45983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14340-2023</t>
        </is>
      </c>
      <c r="B737" s="1" t="n">
        <v>45012.36368055556</v>
      </c>
      <c r="C737" s="1" t="n">
        <v>45983</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49795-2024</t>
        </is>
      </c>
      <c r="B738" s="1" t="n">
        <v>45597.3713425926</v>
      </c>
      <c r="C738" s="1" t="n">
        <v>45983</v>
      </c>
      <c r="D738" t="inlineStr">
        <is>
          <t>VÄRMLANDS LÄN</t>
        </is>
      </c>
      <c r="E738" t="inlineStr">
        <is>
          <t>ÅRJÄNG</t>
        </is>
      </c>
      <c r="G738" t="n">
        <v>2.6</v>
      </c>
      <c r="H738" t="n">
        <v>0</v>
      </c>
      <c r="I738" t="n">
        <v>0</v>
      </c>
      <c r="J738" t="n">
        <v>0</v>
      </c>
      <c r="K738" t="n">
        <v>0</v>
      </c>
      <c r="L738" t="n">
        <v>0</v>
      </c>
      <c r="M738" t="n">
        <v>0</v>
      </c>
      <c r="N738" t="n">
        <v>0</v>
      </c>
      <c r="O738" t="n">
        <v>0</v>
      </c>
      <c r="P738" t="n">
        <v>0</v>
      </c>
      <c r="Q738" t="n">
        <v>0</v>
      </c>
      <c r="R738" s="2" t="inlineStr"/>
    </row>
    <row r="739" ht="15" customHeight="1">
      <c r="A739" t="inlineStr">
        <is>
          <t>A 24342-2024</t>
        </is>
      </c>
      <c r="B739" s="1" t="n">
        <v>45457</v>
      </c>
      <c r="C739" s="1" t="n">
        <v>45983</v>
      </c>
      <c r="D739" t="inlineStr">
        <is>
          <t>VÄRMLANDS LÄN</t>
        </is>
      </c>
      <c r="E739" t="inlineStr">
        <is>
          <t>ÅRJÄNG</t>
        </is>
      </c>
      <c r="G739" t="n">
        <v>0.8</v>
      </c>
      <c r="H739" t="n">
        <v>0</v>
      </c>
      <c r="I739" t="n">
        <v>0</v>
      </c>
      <c r="J739" t="n">
        <v>0</v>
      </c>
      <c r="K739" t="n">
        <v>0</v>
      </c>
      <c r="L739" t="n">
        <v>0</v>
      </c>
      <c r="M739" t="n">
        <v>0</v>
      </c>
      <c r="N739" t="n">
        <v>0</v>
      </c>
      <c r="O739" t="n">
        <v>0</v>
      </c>
      <c r="P739" t="n">
        <v>0</v>
      </c>
      <c r="Q739" t="n">
        <v>0</v>
      </c>
      <c r="R739" s="2" t="inlineStr"/>
    </row>
    <row r="740" ht="15" customHeight="1">
      <c r="A740" t="inlineStr">
        <is>
          <t>A 2116-2025</t>
        </is>
      </c>
      <c r="B740" s="1" t="n">
        <v>45672</v>
      </c>
      <c r="C740" s="1" t="n">
        <v>45983</v>
      </c>
      <c r="D740" t="inlineStr">
        <is>
          <t>VÄRMLANDS LÄN</t>
        </is>
      </c>
      <c r="E740" t="inlineStr">
        <is>
          <t>ÅRJÄNG</t>
        </is>
      </c>
      <c r="G740" t="n">
        <v>3.8</v>
      </c>
      <c r="H740" t="n">
        <v>0</v>
      </c>
      <c r="I740" t="n">
        <v>0</v>
      </c>
      <c r="J740" t="n">
        <v>0</v>
      </c>
      <c r="K740" t="n">
        <v>0</v>
      </c>
      <c r="L740" t="n">
        <v>0</v>
      </c>
      <c r="M740" t="n">
        <v>0</v>
      </c>
      <c r="N740" t="n">
        <v>0</v>
      </c>
      <c r="O740" t="n">
        <v>0</v>
      </c>
      <c r="P740" t="n">
        <v>0</v>
      </c>
      <c r="Q740" t="n">
        <v>0</v>
      </c>
      <c r="R740" s="2" t="inlineStr"/>
    </row>
    <row r="741" ht="15" customHeight="1">
      <c r="A741" t="inlineStr">
        <is>
          <t>A 53726-2021</t>
        </is>
      </c>
      <c r="B741" s="1" t="n">
        <v>44469.51079861111</v>
      </c>
      <c r="C741" s="1" t="n">
        <v>45983</v>
      </c>
      <c r="D741" t="inlineStr">
        <is>
          <t>VÄRMLANDS LÄN</t>
        </is>
      </c>
      <c r="E741" t="inlineStr">
        <is>
          <t>ÅRJÄNG</t>
        </is>
      </c>
      <c r="G741" t="n">
        <v>3.2</v>
      </c>
      <c r="H741" t="n">
        <v>0</v>
      </c>
      <c r="I741" t="n">
        <v>0</v>
      </c>
      <c r="J741" t="n">
        <v>0</v>
      </c>
      <c r="K741" t="n">
        <v>0</v>
      </c>
      <c r="L741" t="n">
        <v>0</v>
      </c>
      <c r="M741" t="n">
        <v>0</v>
      </c>
      <c r="N741" t="n">
        <v>0</v>
      </c>
      <c r="O741" t="n">
        <v>0</v>
      </c>
      <c r="P741" t="n">
        <v>0</v>
      </c>
      <c r="Q741" t="n">
        <v>0</v>
      </c>
      <c r="R741" s="2" t="inlineStr"/>
    </row>
    <row r="742" ht="15" customHeight="1">
      <c r="A742" t="inlineStr">
        <is>
          <t>A 46023-2025</t>
        </is>
      </c>
      <c r="B742" s="1" t="n">
        <v>45924</v>
      </c>
      <c r="C742" s="1" t="n">
        <v>45983</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55592-2025</t>
        </is>
      </c>
      <c r="B743" s="1" t="n">
        <v>45971</v>
      </c>
      <c r="C743" s="1" t="n">
        <v>45983</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45994-2025</t>
        </is>
      </c>
      <c r="B744" s="1" t="n">
        <v>45924</v>
      </c>
      <c r="C744" s="1" t="n">
        <v>45983</v>
      </c>
      <c r="D744" t="inlineStr">
        <is>
          <t>VÄRMLANDS LÄN</t>
        </is>
      </c>
      <c r="E744" t="inlineStr">
        <is>
          <t>ÅRJÄNG</t>
        </is>
      </c>
      <c r="G744" t="n">
        <v>4</v>
      </c>
      <c r="H744" t="n">
        <v>0</v>
      </c>
      <c r="I744" t="n">
        <v>0</v>
      </c>
      <c r="J744" t="n">
        <v>0</v>
      </c>
      <c r="K744" t="n">
        <v>0</v>
      </c>
      <c r="L744" t="n">
        <v>0</v>
      </c>
      <c r="M744" t="n">
        <v>0</v>
      </c>
      <c r="N744" t="n">
        <v>0</v>
      </c>
      <c r="O744" t="n">
        <v>0</v>
      </c>
      <c r="P744" t="n">
        <v>0</v>
      </c>
      <c r="Q744" t="n">
        <v>0</v>
      </c>
      <c r="R744" s="2" t="inlineStr"/>
    </row>
    <row r="745" ht="15" customHeight="1">
      <c r="A745" t="inlineStr">
        <is>
          <t>A 46942-2025</t>
        </is>
      </c>
      <c r="B745" s="1" t="n">
        <v>45929.45822916667</v>
      </c>
      <c r="C745" s="1" t="n">
        <v>45983</v>
      </c>
      <c r="D745" t="inlineStr">
        <is>
          <t>VÄRMLANDS LÄN</t>
        </is>
      </c>
      <c r="E745" t="inlineStr">
        <is>
          <t>ÅRJÄNG</t>
        </is>
      </c>
      <c r="G745" t="n">
        <v>0.4</v>
      </c>
      <c r="H745" t="n">
        <v>0</v>
      </c>
      <c r="I745" t="n">
        <v>0</v>
      </c>
      <c r="J745" t="n">
        <v>0</v>
      </c>
      <c r="K745" t="n">
        <v>0</v>
      </c>
      <c r="L745" t="n">
        <v>0</v>
      </c>
      <c r="M745" t="n">
        <v>0</v>
      </c>
      <c r="N745" t="n">
        <v>0</v>
      </c>
      <c r="O745" t="n">
        <v>0</v>
      </c>
      <c r="P745" t="n">
        <v>0</v>
      </c>
      <c r="Q745" t="n">
        <v>0</v>
      </c>
      <c r="R745" s="2" t="inlineStr"/>
    </row>
    <row r="746" ht="15" customHeight="1">
      <c r="A746" t="inlineStr">
        <is>
          <t>A 36461-2025</t>
        </is>
      </c>
      <c r="B746" s="1" t="n">
        <v>45869</v>
      </c>
      <c r="C746" s="1" t="n">
        <v>45983</v>
      </c>
      <c r="D746" t="inlineStr">
        <is>
          <t>VÄRMLANDS LÄN</t>
        </is>
      </c>
      <c r="E746" t="inlineStr">
        <is>
          <t>ÅRJÄNG</t>
        </is>
      </c>
      <c r="G746" t="n">
        <v>3.7</v>
      </c>
      <c r="H746" t="n">
        <v>0</v>
      </c>
      <c r="I746" t="n">
        <v>0</v>
      </c>
      <c r="J746" t="n">
        <v>0</v>
      </c>
      <c r="K746" t="n">
        <v>0</v>
      </c>
      <c r="L746" t="n">
        <v>0</v>
      </c>
      <c r="M746" t="n">
        <v>0</v>
      </c>
      <c r="N746" t="n">
        <v>0</v>
      </c>
      <c r="O746" t="n">
        <v>0</v>
      </c>
      <c r="P746" t="n">
        <v>0</v>
      </c>
      <c r="Q746" t="n">
        <v>0</v>
      </c>
      <c r="R746" s="2" t="inlineStr"/>
    </row>
    <row r="747" ht="15" customHeight="1">
      <c r="A747" t="inlineStr">
        <is>
          <t>A 13157-2024</t>
        </is>
      </c>
      <c r="B747" s="1" t="n">
        <v>45386</v>
      </c>
      <c r="C747" s="1" t="n">
        <v>45983</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47007-2025</t>
        </is>
      </c>
      <c r="B748" s="1" t="n">
        <v>45929.56689814815</v>
      </c>
      <c r="C748" s="1" t="n">
        <v>45983</v>
      </c>
      <c r="D748" t="inlineStr">
        <is>
          <t>VÄRMLANDS LÄN</t>
        </is>
      </c>
      <c r="E748" t="inlineStr">
        <is>
          <t>ÅRJÄNG</t>
        </is>
      </c>
      <c r="G748" t="n">
        <v>0.5</v>
      </c>
      <c r="H748" t="n">
        <v>0</v>
      </c>
      <c r="I748" t="n">
        <v>0</v>
      </c>
      <c r="J748" t="n">
        <v>0</v>
      </c>
      <c r="K748" t="n">
        <v>0</v>
      </c>
      <c r="L748" t="n">
        <v>0</v>
      </c>
      <c r="M748" t="n">
        <v>0</v>
      </c>
      <c r="N748" t="n">
        <v>0</v>
      </c>
      <c r="O748" t="n">
        <v>0</v>
      </c>
      <c r="P748" t="n">
        <v>0</v>
      </c>
      <c r="Q748" t="n">
        <v>0</v>
      </c>
      <c r="R748" s="2" t="inlineStr"/>
    </row>
    <row r="749" ht="15" customHeight="1">
      <c r="A749" t="inlineStr">
        <is>
          <t>A 50509-2024</t>
        </is>
      </c>
      <c r="B749" s="1" t="n">
        <v>45601</v>
      </c>
      <c r="C749" s="1" t="n">
        <v>45983</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55662-2025</t>
        </is>
      </c>
      <c r="B750" s="1" t="n">
        <v>45972.39572916667</v>
      </c>
      <c r="C750" s="1" t="n">
        <v>45983</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32773-2024</t>
        </is>
      </c>
      <c r="B751" s="1" t="n">
        <v>45516.49834490741</v>
      </c>
      <c r="C751" s="1" t="n">
        <v>45983</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36450-2025</t>
        </is>
      </c>
      <c r="B752" s="1" t="n">
        <v>45869</v>
      </c>
      <c r="C752" s="1" t="n">
        <v>45983</v>
      </c>
      <c r="D752" t="inlineStr">
        <is>
          <t>VÄRMLANDS LÄN</t>
        </is>
      </c>
      <c r="E752" t="inlineStr">
        <is>
          <t>ÅRJÄNG</t>
        </is>
      </c>
      <c r="G752" t="n">
        <v>4.6</v>
      </c>
      <c r="H752" t="n">
        <v>0</v>
      </c>
      <c r="I752" t="n">
        <v>0</v>
      </c>
      <c r="J752" t="n">
        <v>0</v>
      </c>
      <c r="K752" t="n">
        <v>0</v>
      </c>
      <c r="L752" t="n">
        <v>0</v>
      </c>
      <c r="M752" t="n">
        <v>0</v>
      </c>
      <c r="N752" t="n">
        <v>0</v>
      </c>
      <c r="O752" t="n">
        <v>0</v>
      </c>
      <c r="P752" t="n">
        <v>0</v>
      </c>
      <c r="Q752" t="n">
        <v>0</v>
      </c>
      <c r="R752" s="2" t="inlineStr"/>
    </row>
    <row r="753" ht="15" customHeight="1">
      <c r="A753" t="inlineStr">
        <is>
          <t>A 47112-2025</t>
        </is>
      </c>
      <c r="B753" s="1" t="n">
        <v>45929.66966435185</v>
      </c>
      <c r="C753" s="1" t="n">
        <v>45983</v>
      </c>
      <c r="D753" t="inlineStr">
        <is>
          <t>VÄRMLANDS LÄN</t>
        </is>
      </c>
      <c r="E753" t="inlineStr">
        <is>
          <t>ÅRJÄNG</t>
        </is>
      </c>
      <c r="G753" t="n">
        <v>0.8</v>
      </c>
      <c r="H753" t="n">
        <v>0</v>
      </c>
      <c r="I753" t="n">
        <v>0</v>
      </c>
      <c r="J753" t="n">
        <v>0</v>
      </c>
      <c r="K753" t="n">
        <v>0</v>
      </c>
      <c r="L753" t="n">
        <v>0</v>
      </c>
      <c r="M753" t="n">
        <v>0</v>
      </c>
      <c r="N753" t="n">
        <v>0</v>
      </c>
      <c r="O753" t="n">
        <v>0</v>
      </c>
      <c r="P753" t="n">
        <v>0</v>
      </c>
      <c r="Q753" t="n">
        <v>0</v>
      </c>
      <c r="R753" s="2" t="inlineStr"/>
    </row>
    <row r="754" ht="15" customHeight="1">
      <c r="A754" t="inlineStr">
        <is>
          <t>A 11874-2025</t>
        </is>
      </c>
      <c r="B754" s="1" t="n">
        <v>45728.43699074074</v>
      </c>
      <c r="C754" s="1" t="n">
        <v>45983</v>
      </c>
      <c r="D754" t="inlineStr">
        <is>
          <t>VÄRMLANDS LÄN</t>
        </is>
      </c>
      <c r="E754" t="inlineStr">
        <is>
          <t>ÅRJÄNG</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55540-2025</t>
        </is>
      </c>
      <c r="B755" s="1" t="n">
        <v>45971.63444444445</v>
      </c>
      <c r="C755" s="1" t="n">
        <v>45983</v>
      </c>
      <c r="D755" t="inlineStr">
        <is>
          <t>VÄRMLANDS LÄN</t>
        </is>
      </c>
      <c r="E755" t="inlineStr">
        <is>
          <t>ÅRJÄNG</t>
        </is>
      </c>
      <c r="G755" t="n">
        <v>4.7</v>
      </c>
      <c r="H755" t="n">
        <v>0</v>
      </c>
      <c r="I755" t="n">
        <v>0</v>
      </c>
      <c r="J755" t="n">
        <v>0</v>
      </c>
      <c r="K755" t="n">
        <v>0</v>
      </c>
      <c r="L755" t="n">
        <v>0</v>
      </c>
      <c r="M755" t="n">
        <v>0</v>
      </c>
      <c r="N755" t="n">
        <v>0</v>
      </c>
      <c r="O755" t="n">
        <v>0</v>
      </c>
      <c r="P755" t="n">
        <v>0</v>
      </c>
      <c r="Q755" t="n">
        <v>0</v>
      </c>
      <c r="R755" s="2" t="inlineStr"/>
    </row>
    <row r="756" ht="15" customHeight="1">
      <c r="A756" t="inlineStr">
        <is>
          <t>A 15949-2025</t>
        </is>
      </c>
      <c r="B756" s="1" t="n">
        <v>45749</v>
      </c>
      <c r="C756" s="1" t="n">
        <v>45983</v>
      </c>
      <c r="D756" t="inlineStr">
        <is>
          <t>VÄRMLANDS LÄN</t>
        </is>
      </c>
      <c r="E756" t="inlineStr">
        <is>
          <t>ÅRJÄNG</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8246-2025</t>
        </is>
      </c>
      <c r="B757" s="1" t="n">
        <v>45708.48710648148</v>
      </c>
      <c r="C757" s="1" t="n">
        <v>45983</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35726-2022</t>
        </is>
      </c>
      <c r="B758" s="1" t="n">
        <v>44799</v>
      </c>
      <c r="C758" s="1" t="n">
        <v>45983</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47695-2025</t>
        </is>
      </c>
      <c r="B759" s="1" t="n">
        <v>45931.59943287037</v>
      </c>
      <c r="C759" s="1" t="n">
        <v>45983</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56027-2025</t>
        </is>
      </c>
      <c r="B760" s="1" t="n">
        <v>45973.59994212963</v>
      </c>
      <c r="C760" s="1" t="n">
        <v>45983</v>
      </c>
      <c r="D760" t="inlineStr">
        <is>
          <t>VÄRMLANDS LÄN</t>
        </is>
      </c>
      <c r="E760" t="inlineStr">
        <is>
          <t>ÅRJÄNG</t>
        </is>
      </c>
      <c r="G760" t="n">
        <v>2.7</v>
      </c>
      <c r="H760" t="n">
        <v>0</v>
      </c>
      <c r="I760" t="n">
        <v>0</v>
      </c>
      <c r="J760" t="n">
        <v>0</v>
      </c>
      <c r="K760" t="n">
        <v>0</v>
      </c>
      <c r="L760" t="n">
        <v>0</v>
      </c>
      <c r="M760" t="n">
        <v>0</v>
      </c>
      <c r="N760" t="n">
        <v>0</v>
      </c>
      <c r="O760" t="n">
        <v>0</v>
      </c>
      <c r="P760" t="n">
        <v>0</v>
      </c>
      <c r="Q760" t="n">
        <v>0</v>
      </c>
      <c r="R760" s="2" t="inlineStr"/>
    </row>
    <row r="761" ht="15" customHeight="1">
      <c r="A761" t="inlineStr">
        <is>
          <t>A 36819-2025</t>
        </is>
      </c>
      <c r="B761" s="1" t="n">
        <v>45873.84164351852</v>
      </c>
      <c r="C761" s="1" t="n">
        <v>45983</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36834-2025</t>
        </is>
      </c>
      <c r="B762" s="1" t="n">
        <v>45874.35965277778</v>
      </c>
      <c r="C762" s="1" t="n">
        <v>45983</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60000-2024</t>
        </is>
      </c>
      <c r="B763" s="1" t="n">
        <v>45642</v>
      </c>
      <c r="C763" s="1" t="n">
        <v>45983</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36752-2025</t>
        </is>
      </c>
      <c r="B764" s="1" t="n">
        <v>45873</v>
      </c>
      <c r="C764" s="1" t="n">
        <v>45983</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47604-2025</t>
        </is>
      </c>
      <c r="B765" s="1" t="n">
        <v>45931.46254629629</v>
      </c>
      <c r="C765" s="1" t="n">
        <v>45983</v>
      </c>
      <c r="D765" t="inlineStr">
        <is>
          <t>VÄRMLANDS LÄN</t>
        </is>
      </c>
      <c r="E765" t="inlineStr">
        <is>
          <t>ÅRJÄNG</t>
        </is>
      </c>
      <c r="G765" t="n">
        <v>0.4</v>
      </c>
      <c r="H765" t="n">
        <v>0</v>
      </c>
      <c r="I765" t="n">
        <v>0</v>
      </c>
      <c r="J765" t="n">
        <v>0</v>
      </c>
      <c r="K765" t="n">
        <v>0</v>
      </c>
      <c r="L765" t="n">
        <v>0</v>
      </c>
      <c r="M765" t="n">
        <v>0</v>
      </c>
      <c r="N765" t="n">
        <v>0</v>
      </c>
      <c r="O765" t="n">
        <v>0</v>
      </c>
      <c r="P765" t="n">
        <v>0</v>
      </c>
      <c r="Q765" t="n">
        <v>0</v>
      </c>
      <c r="R765" s="2" t="inlineStr"/>
    </row>
    <row r="766" ht="15" customHeight="1">
      <c r="A766" t="inlineStr">
        <is>
          <t>A 46473-2024</t>
        </is>
      </c>
      <c r="B766" s="1" t="n">
        <v>45582</v>
      </c>
      <c r="C766" s="1" t="n">
        <v>45983</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36857-2025</t>
        </is>
      </c>
      <c r="B767" s="1" t="n">
        <v>45874.40488425926</v>
      </c>
      <c r="C767" s="1" t="n">
        <v>45983</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36751-2025</t>
        </is>
      </c>
      <c r="B768" s="1" t="n">
        <v>45873</v>
      </c>
      <c r="C768" s="1" t="n">
        <v>45983</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47502-2025</t>
        </is>
      </c>
      <c r="B769" s="1" t="n">
        <v>45930.85274305556</v>
      </c>
      <c r="C769" s="1" t="n">
        <v>45983</v>
      </c>
      <c r="D769" t="inlineStr">
        <is>
          <t>VÄRMLANDS LÄN</t>
        </is>
      </c>
      <c r="E769" t="inlineStr">
        <is>
          <t>ÅRJÄNG</t>
        </is>
      </c>
      <c r="G769" t="n">
        <v>10.5</v>
      </c>
      <c r="H769" t="n">
        <v>0</v>
      </c>
      <c r="I769" t="n">
        <v>0</v>
      </c>
      <c r="J769" t="n">
        <v>0</v>
      </c>
      <c r="K769" t="n">
        <v>0</v>
      </c>
      <c r="L769" t="n">
        <v>0</v>
      </c>
      <c r="M769" t="n">
        <v>0</v>
      </c>
      <c r="N769" t="n">
        <v>0</v>
      </c>
      <c r="O769" t="n">
        <v>0</v>
      </c>
      <c r="P769" t="n">
        <v>0</v>
      </c>
      <c r="Q769" t="n">
        <v>0</v>
      </c>
      <c r="R769" s="2" t="inlineStr"/>
    </row>
    <row r="770" ht="15" customHeight="1">
      <c r="A770" t="inlineStr">
        <is>
          <t>A 36827-2025</t>
        </is>
      </c>
      <c r="B770" s="1" t="n">
        <v>45874</v>
      </c>
      <c r="C770" s="1" t="n">
        <v>45983</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36839-2025</t>
        </is>
      </c>
      <c r="B771" s="1" t="n">
        <v>45874</v>
      </c>
      <c r="C771" s="1" t="n">
        <v>45983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36780-2025</t>
        </is>
      </c>
      <c r="B772" s="1" t="n">
        <v>45873</v>
      </c>
      <c r="C772" s="1" t="n">
        <v>45983</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36831-2025</t>
        </is>
      </c>
      <c r="B773" s="1" t="n">
        <v>45874</v>
      </c>
      <c r="C773" s="1" t="n">
        <v>45983</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36865-2025</t>
        </is>
      </c>
      <c r="B774" s="1" t="n">
        <v>45874.41655092593</v>
      </c>
      <c r="C774" s="1" t="n">
        <v>45983</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61119-2024</t>
        </is>
      </c>
      <c r="B775" s="1" t="n">
        <v>45645.57</v>
      </c>
      <c r="C775" s="1" t="n">
        <v>45983</v>
      </c>
      <c r="D775" t="inlineStr">
        <is>
          <t>VÄRMLANDS LÄN</t>
        </is>
      </c>
      <c r="E775" t="inlineStr">
        <is>
          <t>ÅRJÄNG</t>
        </is>
      </c>
      <c r="G775" t="n">
        <v>2.4</v>
      </c>
      <c r="H775" t="n">
        <v>0</v>
      </c>
      <c r="I775" t="n">
        <v>0</v>
      </c>
      <c r="J775" t="n">
        <v>0</v>
      </c>
      <c r="K775" t="n">
        <v>0</v>
      </c>
      <c r="L775" t="n">
        <v>0</v>
      </c>
      <c r="M775" t="n">
        <v>0</v>
      </c>
      <c r="N775" t="n">
        <v>0</v>
      </c>
      <c r="O775" t="n">
        <v>0</v>
      </c>
      <c r="P775" t="n">
        <v>0</v>
      </c>
      <c r="Q775" t="n">
        <v>0</v>
      </c>
      <c r="R775" s="2" t="inlineStr"/>
    </row>
    <row r="776" ht="15" customHeight="1">
      <c r="A776" t="inlineStr">
        <is>
          <t>A 47629-2025</t>
        </is>
      </c>
      <c r="B776" s="1" t="n">
        <v>45931</v>
      </c>
      <c r="C776" s="1" t="n">
        <v>45983</v>
      </c>
      <c r="D776" t="inlineStr">
        <is>
          <t>VÄRMLANDS LÄN</t>
        </is>
      </c>
      <c r="E776" t="inlineStr">
        <is>
          <t>ÅRJÄNG</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37247-2025</t>
        </is>
      </c>
      <c r="B777" s="1" t="n">
        <v>45876.40268518519</v>
      </c>
      <c r="C777" s="1" t="n">
        <v>45983</v>
      </c>
      <c r="D777" t="inlineStr">
        <is>
          <t>VÄRMLANDS LÄN</t>
        </is>
      </c>
      <c r="E777" t="inlineStr">
        <is>
          <t>ÅRJÄNG</t>
        </is>
      </c>
      <c r="G777" t="n">
        <v>2.7</v>
      </c>
      <c r="H777" t="n">
        <v>0</v>
      </c>
      <c r="I777" t="n">
        <v>0</v>
      </c>
      <c r="J777" t="n">
        <v>0</v>
      </c>
      <c r="K777" t="n">
        <v>0</v>
      </c>
      <c r="L777" t="n">
        <v>0</v>
      </c>
      <c r="M777" t="n">
        <v>0</v>
      </c>
      <c r="N777" t="n">
        <v>0</v>
      </c>
      <c r="O777" t="n">
        <v>0</v>
      </c>
      <c r="P777" t="n">
        <v>0</v>
      </c>
      <c r="Q777" t="n">
        <v>0</v>
      </c>
      <c r="R777" s="2" t="inlineStr"/>
    </row>
    <row r="778" ht="15" customHeight="1">
      <c r="A778" t="inlineStr">
        <is>
          <t>A 56096-2025</t>
        </is>
      </c>
      <c r="B778" s="1" t="n">
        <v>45973.68275462963</v>
      </c>
      <c r="C778" s="1" t="n">
        <v>45983</v>
      </c>
      <c r="D778" t="inlineStr">
        <is>
          <t>VÄRMLANDS LÄN</t>
        </is>
      </c>
      <c r="E778" t="inlineStr">
        <is>
          <t>ÅRJÄNG</t>
        </is>
      </c>
      <c r="F778" t="inlineStr">
        <is>
          <t>Kyrkan</t>
        </is>
      </c>
      <c r="G778" t="n">
        <v>10.5</v>
      </c>
      <c r="H778" t="n">
        <v>0</v>
      </c>
      <c r="I778" t="n">
        <v>0</v>
      </c>
      <c r="J778" t="n">
        <v>0</v>
      </c>
      <c r="K778" t="n">
        <v>0</v>
      </c>
      <c r="L778" t="n">
        <v>0</v>
      </c>
      <c r="M778" t="n">
        <v>0</v>
      </c>
      <c r="N778" t="n">
        <v>0</v>
      </c>
      <c r="O778" t="n">
        <v>0</v>
      </c>
      <c r="P778" t="n">
        <v>0</v>
      </c>
      <c r="Q778" t="n">
        <v>0</v>
      </c>
      <c r="R778" s="2" t="inlineStr"/>
    </row>
    <row r="779" ht="15" customHeight="1">
      <c r="A779" t="inlineStr">
        <is>
          <t>A 37071-2025</t>
        </is>
      </c>
      <c r="B779" s="1" t="n">
        <v>45875.40101851852</v>
      </c>
      <c r="C779" s="1" t="n">
        <v>45983</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45983</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28439-2022</t>
        </is>
      </c>
      <c r="B781" s="1" t="n">
        <v>44747</v>
      </c>
      <c r="C781" s="1" t="n">
        <v>45983</v>
      </c>
      <c r="D781" t="inlineStr">
        <is>
          <t>VÄRMLANDS LÄN</t>
        </is>
      </c>
      <c r="E781" t="inlineStr">
        <is>
          <t>ÅRJÄNG</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37419-2025</t>
        </is>
      </c>
      <c r="B782" s="1" t="n">
        <v>45877</v>
      </c>
      <c r="C782" s="1" t="n">
        <v>45983</v>
      </c>
      <c r="D782" t="inlineStr">
        <is>
          <t>VÄRMLANDS LÄN</t>
        </is>
      </c>
      <c r="E782" t="inlineStr">
        <is>
          <t>ÅRJÄNG</t>
        </is>
      </c>
      <c r="G782" t="n">
        <v>4.9</v>
      </c>
      <c r="H782" t="n">
        <v>0</v>
      </c>
      <c r="I782" t="n">
        <v>0</v>
      </c>
      <c r="J782" t="n">
        <v>0</v>
      </c>
      <c r="K782" t="n">
        <v>0</v>
      </c>
      <c r="L782" t="n">
        <v>0</v>
      </c>
      <c r="M782" t="n">
        <v>0</v>
      </c>
      <c r="N782" t="n">
        <v>0</v>
      </c>
      <c r="O782" t="n">
        <v>0</v>
      </c>
      <c r="P782" t="n">
        <v>0</v>
      </c>
      <c r="Q782" t="n">
        <v>0</v>
      </c>
      <c r="R782" s="2" t="inlineStr"/>
    </row>
    <row r="783" ht="15" customHeight="1">
      <c r="A783" t="inlineStr">
        <is>
          <t>A 47572-2025</t>
        </is>
      </c>
      <c r="B783" s="1" t="n">
        <v>45931.39658564814</v>
      </c>
      <c r="C783" s="1" t="n">
        <v>45983</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9990-2025</t>
        </is>
      </c>
      <c r="B784" s="1" t="n">
        <v>45719</v>
      </c>
      <c r="C784" s="1" t="n">
        <v>45983</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37484-2025</t>
        </is>
      </c>
      <c r="B785" s="1" t="n">
        <v>45877</v>
      </c>
      <c r="C785" s="1" t="n">
        <v>45983</v>
      </c>
      <c r="D785" t="inlineStr">
        <is>
          <t>VÄRMLANDS LÄN</t>
        </is>
      </c>
      <c r="E785" t="inlineStr">
        <is>
          <t>ÅRJÄNG</t>
        </is>
      </c>
      <c r="G785" t="n">
        <v>2.2</v>
      </c>
      <c r="H785" t="n">
        <v>0</v>
      </c>
      <c r="I785" t="n">
        <v>0</v>
      </c>
      <c r="J785" t="n">
        <v>0</v>
      </c>
      <c r="K785" t="n">
        <v>0</v>
      </c>
      <c r="L785" t="n">
        <v>0</v>
      </c>
      <c r="M785" t="n">
        <v>0</v>
      </c>
      <c r="N785" t="n">
        <v>0</v>
      </c>
      <c r="O785" t="n">
        <v>0</v>
      </c>
      <c r="P785" t="n">
        <v>0</v>
      </c>
      <c r="Q785" t="n">
        <v>0</v>
      </c>
      <c r="R785" s="2" t="inlineStr"/>
    </row>
    <row r="786" ht="15" customHeight="1">
      <c r="A786" t="inlineStr">
        <is>
          <t>A 37507-2025</t>
        </is>
      </c>
      <c r="B786" s="1" t="n">
        <v>45877</v>
      </c>
      <c r="C786" s="1" t="n">
        <v>45983</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45983</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47623-2025</t>
        </is>
      </c>
      <c r="B788" s="1" t="n">
        <v>45931</v>
      </c>
      <c r="C788" s="1" t="n">
        <v>45983</v>
      </c>
      <c r="D788" t="inlineStr">
        <is>
          <t>VÄRMLANDS LÄN</t>
        </is>
      </c>
      <c r="E788" t="inlineStr">
        <is>
          <t>ÅRJÄNG</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37416-2025</t>
        </is>
      </c>
      <c r="B789" s="1" t="n">
        <v>45877</v>
      </c>
      <c r="C789" s="1" t="n">
        <v>45983</v>
      </c>
      <c r="D789" t="inlineStr">
        <is>
          <t>VÄRMLANDS LÄN</t>
        </is>
      </c>
      <c r="E789" t="inlineStr">
        <is>
          <t>ÅRJÄNG</t>
        </is>
      </c>
      <c r="G789" t="n">
        <v>3.8</v>
      </c>
      <c r="H789" t="n">
        <v>0</v>
      </c>
      <c r="I789" t="n">
        <v>0</v>
      </c>
      <c r="J789" t="n">
        <v>0</v>
      </c>
      <c r="K789" t="n">
        <v>0</v>
      </c>
      <c r="L789" t="n">
        <v>0</v>
      </c>
      <c r="M789" t="n">
        <v>0</v>
      </c>
      <c r="N789" t="n">
        <v>0</v>
      </c>
      <c r="O789" t="n">
        <v>0</v>
      </c>
      <c r="P789" t="n">
        <v>0</v>
      </c>
      <c r="Q789" t="n">
        <v>0</v>
      </c>
      <c r="R789" s="2" t="inlineStr"/>
    </row>
    <row r="790" ht="15" customHeight="1">
      <c r="A790" t="inlineStr">
        <is>
          <t>A 40447-2022</t>
        </is>
      </c>
      <c r="B790" s="1" t="n">
        <v>44823</v>
      </c>
      <c r="C790" s="1" t="n">
        <v>45983</v>
      </c>
      <c r="D790" t="inlineStr">
        <is>
          <t>VÄRMLANDS LÄN</t>
        </is>
      </c>
      <c r="E790" t="inlineStr">
        <is>
          <t>ÅRJÄNG</t>
        </is>
      </c>
      <c r="G790" t="n">
        <v>10.4</v>
      </c>
      <c r="H790" t="n">
        <v>0</v>
      </c>
      <c r="I790" t="n">
        <v>0</v>
      </c>
      <c r="J790" t="n">
        <v>0</v>
      </c>
      <c r="K790" t="n">
        <v>0</v>
      </c>
      <c r="L790" t="n">
        <v>0</v>
      </c>
      <c r="M790" t="n">
        <v>0</v>
      </c>
      <c r="N790" t="n">
        <v>0</v>
      </c>
      <c r="O790" t="n">
        <v>0</v>
      </c>
      <c r="P790" t="n">
        <v>0</v>
      </c>
      <c r="Q790" t="n">
        <v>0</v>
      </c>
      <c r="R790" s="2" t="inlineStr"/>
    </row>
    <row r="791" ht="15" customHeight="1">
      <c r="A791" t="inlineStr">
        <is>
          <t>A 57005-2025</t>
        </is>
      </c>
      <c r="B791" s="1" t="n">
        <v>45978.76155092593</v>
      </c>
      <c r="C791" s="1" t="n">
        <v>45983</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9992-2025</t>
        </is>
      </c>
      <c r="B792" s="1" t="n">
        <v>45719.43708333333</v>
      </c>
      <c r="C792" s="1" t="n">
        <v>45983</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57003-2025</t>
        </is>
      </c>
      <c r="B793" s="1" t="n">
        <v>45978.75783564815</v>
      </c>
      <c r="C793" s="1" t="n">
        <v>45983</v>
      </c>
      <c r="D793" t="inlineStr">
        <is>
          <t>VÄRMLANDS LÄN</t>
        </is>
      </c>
      <c r="E793" t="inlineStr">
        <is>
          <t>ÅRJÄNG</t>
        </is>
      </c>
      <c r="G793" t="n">
        <v>3</v>
      </c>
      <c r="H793" t="n">
        <v>0</v>
      </c>
      <c r="I793" t="n">
        <v>0</v>
      </c>
      <c r="J793" t="n">
        <v>0</v>
      </c>
      <c r="K793" t="n">
        <v>0</v>
      </c>
      <c r="L793" t="n">
        <v>0</v>
      </c>
      <c r="M793" t="n">
        <v>0</v>
      </c>
      <c r="N793" t="n">
        <v>0</v>
      </c>
      <c r="O793" t="n">
        <v>0</v>
      </c>
      <c r="P793" t="n">
        <v>0</v>
      </c>
      <c r="Q793" t="n">
        <v>0</v>
      </c>
      <c r="R793" s="2" t="inlineStr"/>
    </row>
    <row r="794" ht="15" customHeight="1">
      <c r="A794" t="inlineStr">
        <is>
          <t>A 37662-2025</t>
        </is>
      </c>
      <c r="B794" s="1" t="n">
        <v>45880</v>
      </c>
      <c r="C794" s="1" t="n">
        <v>45983</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37418-2025</t>
        </is>
      </c>
      <c r="B795" s="1" t="n">
        <v>45877</v>
      </c>
      <c r="C795" s="1" t="n">
        <v>45983</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37420-2025</t>
        </is>
      </c>
      <c r="B796" s="1" t="n">
        <v>45877</v>
      </c>
      <c r="C796" s="1" t="n">
        <v>45983</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37680-2025</t>
        </is>
      </c>
      <c r="B797" s="1" t="n">
        <v>45880.54208333333</v>
      </c>
      <c r="C797" s="1" t="n">
        <v>45983</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37681-2025</t>
        </is>
      </c>
      <c r="B798" s="1" t="n">
        <v>45880</v>
      </c>
      <c r="C798" s="1" t="n">
        <v>45983</v>
      </c>
      <c r="D798" t="inlineStr">
        <is>
          <t>VÄRMLANDS LÄN</t>
        </is>
      </c>
      <c r="E798" t="inlineStr">
        <is>
          <t>ÅRJÄNG</t>
        </is>
      </c>
      <c r="G798" t="n">
        <v>1.9</v>
      </c>
      <c r="H798" t="n">
        <v>0</v>
      </c>
      <c r="I798" t="n">
        <v>0</v>
      </c>
      <c r="J798" t="n">
        <v>0</v>
      </c>
      <c r="K798" t="n">
        <v>0</v>
      </c>
      <c r="L798" t="n">
        <v>0</v>
      </c>
      <c r="M798" t="n">
        <v>0</v>
      </c>
      <c r="N798" t="n">
        <v>0</v>
      </c>
      <c r="O798" t="n">
        <v>0</v>
      </c>
      <c r="P798" t="n">
        <v>0</v>
      </c>
      <c r="Q798" t="n">
        <v>0</v>
      </c>
      <c r="R798" s="2" t="inlineStr"/>
    </row>
    <row r="799" ht="15" customHeight="1">
      <c r="A799" t="inlineStr">
        <is>
          <t>A 34803-2021</t>
        </is>
      </c>
      <c r="B799" s="1" t="n">
        <v>44383</v>
      </c>
      <c r="C799" s="1" t="n">
        <v>45983</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37555-2025</t>
        </is>
      </c>
      <c r="B800" s="1" t="n">
        <v>45880</v>
      </c>
      <c r="C800" s="1" t="n">
        <v>45983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58427-2024</t>
        </is>
      </c>
      <c r="B801" s="1" t="n">
        <v>45634.89083333333</v>
      </c>
      <c r="C801" s="1" t="n">
        <v>45983</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58428-2024</t>
        </is>
      </c>
      <c r="B802" s="1" t="n">
        <v>45634.90734953704</v>
      </c>
      <c r="C802" s="1" t="n">
        <v>45983</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17178-2021</t>
        </is>
      </c>
      <c r="B803" s="1" t="n">
        <v>44298.46592592593</v>
      </c>
      <c r="C803" s="1" t="n">
        <v>45983</v>
      </c>
      <c r="D803" t="inlineStr">
        <is>
          <t>VÄRMLANDS LÄN</t>
        </is>
      </c>
      <c r="E803" t="inlineStr">
        <is>
          <t>ÅRJÄNG</t>
        </is>
      </c>
      <c r="G803" t="n">
        <v>4</v>
      </c>
      <c r="H803" t="n">
        <v>0</v>
      </c>
      <c r="I803" t="n">
        <v>0</v>
      </c>
      <c r="J803" t="n">
        <v>0</v>
      </c>
      <c r="K803" t="n">
        <v>0</v>
      </c>
      <c r="L803" t="n">
        <v>0</v>
      </c>
      <c r="M803" t="n">
        <v>0</v>
      </c>
      <c r="N803" t="n">
        <v>0</v>
      </c>
      <c r="O803" t="n">
        <v>0</v>
      </c>
      <c r="P803" t="n">
        <v>0</v>
      </c>
      <c r="Q803" t="n">
        <v>0</v>
      </c>
      <c r="R803" s="2" t="inlineStr"/>
    </row>
    <row r="804" ht="15" customHeight="1">
      <c r="A804" t="inlineStr">
        <is>
          <t>A 48206-2025</t>
        </is>
      </c>
      <c r="B804" s="1" t="n">
        <v>45933.4884837963</v>
      </c>
      <c r="C804" s="1" t="n">
        <v>45983</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28314-2025</t>
        </is>
      </c>
      <c r="B805" s="1" t="n">
        <v>45818.62592592592</v>
      </c>
      <c r="C805" s="1" t="n">
        <v>45983</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37655-2025</t>
        </is>
      </c>
      <c r="B806" s="1" t="n">
        <v>45880</v>
      </c>
      <c r="C806" s="1" t="n">
        <v>45983</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37510-2025</t>
        </is>
      </c>
      <c r="B807" s="1" t="n">
        <v>45877</v>
      </c>
      <c r="C807" s="1" t="n">
        <v>45983</v>
      </c>
      <c r="D807" t="inlineStr">
        <is>
          <t>VÄRMLANDS LÄN</t>
        </is>
      </c>
      <c r="E807" t="inlineStr">
        <is>
          <t>ÅRJÄNG</t>
        </is>
      </c>
      <c r="G807" t="n">
        <v>10.4</v>
      </c>
      <c r="H807" t="n">
        <v>0</v>
      </c>
      <c r="I807" t="n">
        <v>0</v>
      </c>
      <c r="J807" t="n">
        <v>0</v>
      </c>
      <c r="K807" t="n">
        <v>0</v>
      </c>
      <c r="L807" t="n">
        <v>0</v>
      </c>
      <c r="M807" t="n">
        <v>0</v>
      </c>
      <c r="N807" t="n">
        <v>0</v>
      </c>
      <c r="O807" t="n">
        <v>0</v>
      </c>
      <c r="P807" t="n">
        <v>0</v>
      </c>
      <c r="Q807" t="n">
        <v>0</v>
      </c>
      <c r="R807" s="2" t="inlineStr"/>
    </row>
    <row r="808" ht="15" customHeight="1">
      <c r="A808" t="inlineStr">
        <is>
          <t>A 10180-2023</t>
        </is>
      </c>
      <c r="B808" s="1" t="n">
        <v>44986</v>
      </c>
      <c r="C808" s="1" t="n">
        <v>45983</v>
      </c>
      <c r="D808" t="inlineStr">
        <is>
          <t>VÄRMLANDS LÄN</t>
        </is>
      </c>
      <c r="E808" t="inlineStr">
        <is>
          <t>ÅRJÄNG</t>
        </is>
      </c>
      <c r="G808" t="n">
        <v>4.6</v>
      </c>
      <c r="H808" t="n">
        <v>0</v>
      </c>
      <c r="I808" t="n">
        <v>0</v>
      </c>
      <c r="J808" t="n">
        <v>0</v>
      </c>
      <c r="K808" t="n">
        <v>0</v>
      </c>
      <c r="L808" t="n">
        <v>0</v>
      </c>
      <c r="M808" t="n">
        <v>0</v>
      </c>
      <c r="N808" t="n">
        <v>0</v>
      </c>
      <c r="O808" t="n">
        <v>0</v>
      </c>
      <c r="P808" t="n">
        <v>0</v>
      </c>
      <c r="Q808" t="n">
        <v>0</v>
      </c>
      <c r="R808" s="2" t="inlineStr"/>
    </row>
    <row r="809" ht="15" customHeight="1">
      <c r="A809" t="inlineStr">
        <is>
          <t>A 69862-2021</t>
        </is>
      </c>
      <c r="B809" s="1" t="n">
        <v>44532</v>
      </c>
      <c r="C809" s="1" t="n">
        <v>45983</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29558-2024</t>
        </is>
      </c>
      <c r="B810" s="1" t="n">
        <v>45484</v>
      </c>
      <c r="C810" s="1" t="n">
        <v>45983</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23754-2024</t>
        </is>
      </c>
      <c r="B811" s="1" t="n">
        <v>45455</v>
      </c>
      <c r="C811" s="1" t="n">
        <v>45983</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99-2025</t>
        </is>
      </c>
      <c r="B812" s="1" t="n">
        <v>45649</v>
      </c>
      <c r="C812" s="1" t="n">
        <v>45983</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57004-2025</t>
        </is>
      </c>
      <c r="B813" s="1" t="n">
        <v>45978.75946759259</v>
      </c>
      <c r="C813" s="1" t="n">
        <v>45983</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40465-2023</t>
        </is>
      </c>
      <c r="B814" s="1" t="n">
        <v>45170.34325231481</v>
      </c>
      <c r="C814" s="1" t="n">
        <v>45983</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44823.38884259259</v>
      </c>
      <c r="C815" s="1" t="n">
        <v>45983</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48658-2025</t>
        </is>
      </c>
      <c r="B816" s="1" t="n">
        <v>45936.56628472222</v>
      </c>
      <c r="C816" s="1" t="n">
        <v>45983</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56030-2024</t>
        </is>
      </c>
      <c r="B817" s="1" t="n">
        <v>45624.31178240741</v>
      </c>
      <c r="C817" s="1" t="n">
        <v>45983</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56629-2025</t>
        </is>
      </c>
      <c r="B818" s="1" t="n">
        <v>45975</v>
      </c>
      <c r="C818" s="1" t="n">
        <v>45983</v>
      </c>
      <c r="D818" t="inlineStr">
        <is>
          <t>VÄRMLANDS LÄN</t>
        </is>
      </c>
      <c r="E818" t="inlineStr">
        <is>
          <t>ÅRJÄNG</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1279-2025</t>
        </is>
      </c>
      <c r="B819" s="1" t="n">
        <v>45667.48987268518</v>
      </c>
      <c r="C819" s="1" t="n">
        <v>45983</v>
      </c>
      <c r="D819" t="inlineStr">
        <is>
          <t>VÄRMLANDS LÄN</t>
        </is>
      </c>
      <c r="E819" t="inlineStr">
        <is>
          <t>ÅRJÄNG</t>
        </is>
      </c>
      <c r="G819" t="n">
        <v>2.6</v>
      </c>
      <c r="H819" t="n">
        <v>0</v>
      </c>
      <c r="I819" t="n">
        <v>0</v>
      </c>
      <c r="J819" t="n">
        <v>0</v>
      </c>
      <c r="K819" t="n">
        <v>0</v>
      </c>
      <c r="L819" t="n">
        <v>0</v>
      </c>
      <c r="M819" t="n">
        <v>0</v>
      </c>
      <c r="N819" t="n">
        <v>0</v>
      </c>
      <c r="O819" t="n">
        <v>0</v>
      </c>
      <c r="P819" t="n">
        <v>0</v>
      </c>
      <c r="Q819" t="n">
        <v>0</v>
      </c>
      <c r="R819" s="2" t="inlineStr"/>
    </row>
    <row r="820" ht="15" customHeight="1">
      <c r="A820" t="inlineStr">
        <is>
          <t>A 65844-2021</t>
        </is>
      </c>
      <c r="B820" s="1" t="n">
        <v>44517.36067129629</v>
      </c>
      <c r="C820" s="1" t="n">
        <v>45983</v>
      </c>
      <c r="D820" t="inlineStr">
        <is>
          <t>VÄRMLANDS LÄN</t>
        </is>
      </c>
      <c r="E820" t="inlineStr">
        <is>
          <t>ÅRJÄNG</t>
        </is>
      </c>
      <c r="G820" t="n">
        <v>4.6</v>
      </c>
      <c r="H820" t="n">
        <v>0</v>
      </c>
      <c r="I820" t="n">
        <v>0</v>
      </c>
      <c r="J820" t="n">
        <v>0</v>
      </c>
      <c r="K820" t="n">
        <v>0</v>
      </c>
      <c r="L820" t="n">
        <v>0</v>
      </c>
      <c r="M820" t="n">
        <v>0</v>
      </c>
      <c r="N820" t="n">
        <v>0</v>
      </c>
      <c r="O820" t="n">
        <v>0</v>
      </c>
      <c r="P820" t="n">
        <v>0</v>
      </c>
      <c r="Q820" t="n">
        <v>0</v>
      </c>
      <c r="R820" s="2" t="inlineStr"/>
    </row>
    <row r="821" ht="15" customHeight="1">
      <c r="A821" t="inlineStr">
        <is>
          <t>A 10873-2023</t>
        </is>
      </c>
      <c r="B821" s="1" t="n">
        <v>44991.42243055555</v>
      </c>
      <c r="C821" s="1" t="n">
        <v>45983</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48156-2025</t>
        </is>
      </c>
      <c r="B822" s="1" t="n">
        <v>45933.41744212963</v>
      </c>
      <c r="C822" s="1" t="n">
        <v>45983</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48567-2025</t>
        </is>
      </c>
      <c r="B823" s="1" t="n">
        <v>45936.44805555556</v>
      </c>
      <c r="C823" s="1" t="n">
        <v>45983</v>
      </c>
      <c r="D823" t="inlineStr">
        <is>
          <t>VÄRMLANDS LÄN</t>
        </is>
      </c>
      <c r="E823" t="inlineStr">
        <is>
          <t>ÅRJÄNG</t>
        </is>
      </c>
      <c r="G823" t="n">
        <v>4</v>
      </c>
      <c r="H823" t="n">
        <v>0</v>
      </c>
      <c r="I823" t="n">
        <v>0</v>
      </c>
      <c r="J823" t="n">
        <v>0</v>
      </c>
      <c r="K823" t="n">
        <v>0</v>
      </c>
      <c r="L823" t="n">
        <v>0</v>
      </c>
      <c r="M823" t="n">
        <v>0</v>
      </c>
      <c r="N823" t="n">
        <v>0</v>
      </c>
      <c r="O823" t="n">
        <v>0</v>
      </c>
      <c r="P823" t="n">
        <v>0</v>
      </c>
      <c r="Q823" t="n">
        <v>0</v>
      </c>
      <c r="R823" s="2" t="inlineStr"/>
    </row>
    <row r="824" ht="15" customHeight="1">
      <c r="A824" t="inlineStr">
        <is>
          <t>A 34205-2025</t>
        </is>
      </c>
      <c r="B824" s="1" t="n">
        <v>45845</v>
      </c>
      <c r="C824" s="1" t="n">
        <v>45983</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48225-2025</t>
        </is>
      </c>
      <c r="B825" s="1" t="n">
        <v>45933.50998842593</v>
      </c>
      <c r="C825" s="1" t="n">
        <v>45983</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30699-2021</t>
        </is>
      </c>
      <c r="B826" s="1" t="n">
        <v>44365.42443287037</v>
      </c>
      <c r="C826" s="1" t="n">
        <v>45983</v>
      </c>
      <c r="D826" t="inlineStr">
        <is>
          <t>VÄRMLANDS LÄN</t>
        </is>
      </c>
      <c r="E826" t="inlineStr">
        <is>
          <t>ÅRJÄNG</t>
        </is>
      </c>
      <c r="G826" t="n">
        <v>3.1</v>
      </c>
      <c r="H826" t="n">
        <v>0</v>
      </c>
      <c r="I826" t="n">
        <v>0</v>
      </c>
      <c r="J826" t="n">
        <v>0</v>
      </c>
      <c r="K826" t="n">
        <v>0</v>
      </c>
      <c r="L826" t="n">
        <v>0</v>
      </c>
      <c r="M826" t="n">
        <v>0</v>
      </c>
      <c r="N826" t="n">
        <v>0</v>
      </c>
      <c r="O826" t="n">
        <v>0</v>
      </c>
      <c r="P826" t="n">
        <v>0</v>
      </c>
      <c r="Q826" t="n">
        <v>0</v>
      </c>
      <c r="R826" s="2" t="inlineStr"/>
    </row>
    <row r="827" ht="15" customHeight="1">
      <c r="A827" t="inlineStr">
        <is>
          <t>A 35157-2021</t>
        </is>
      </c>
      <c r="B827" s="1" t="n">
        <v>44383</v>
      </c>
      <c r="C827" s="1" t="n">
        <v>45983</v>
      </c>
      <c r="D827" t="inlineStr">
        <is>
          <t>VÄRMLANDS LÄN</t>
        </is>
      </c>
      <c r="E827" t="inlineStr">
        <is>
          <t>ÅRJÄNG</t>
        </is>
      </c>
      <c r="G827" t="n">
        <v>1.1</v>
      </c>
      <c r="H827" t="n">
        <v>0</v>
      </c>
      <c r="I827" t="n">
        <v>0</v>
      </c>
      <c r="J827" t="n">
        <v>0</v>
      </c>
      <c r="K827" t="n">
        <v>0</v>
      </c>
      <c r="L827" t="n">
        <v>0</v>
      </c>
      <c r="M827" t="n">
        <v>0</v>
      </c>
      <c r="N827" t="n">
        <v>0</v>
      </c>
      <c r="O827" t="n">
        <v>0</v>
      </c>
      <c r="P827" t="n">
        <v>0</v>
      </c>
      <c r="Q827" t="n">
        <v>0</v>
      </c>
      <c r="R827" s="2" t="inlineStr"/>
    </row>
    <row r="828" ht="15" customHeight="1">
      <c r="A828" t="inlineStr">
        <is>
          <t>A 21706-2024</t>
        </is>
      </c>
      <c r="B828" s="1" t="n">
        <v>45442</v>
      </c>
      <c r="C828" s="1" t="n">
        <v>45983</v>
      </c>
      <c r="D828" t="inlineStr">
        <is>
          <t>VÄRMLANDS LÄN</t>
        </is>
      </c>
      <c r="E828" t="inlineStr">
        <is>
          <t>ÅRJÄNG</t>
        </is>
      </c>
      <c r="G828" t="n">
        <v>10.4</v>
      </c>
      <c r="H828" t="n">
        <v>0</v>
      </c>
      <c r="I828" t="n">
        <v>0</v>
      </c>
      <c r="J828" t="n">
        <v>0</v>
      </c>
      <c r="K828" t="n">
        <v>0</v>
      </c>
      <c r="L828" t="n">
        <v>0</v>
      </c>
      <c r="M828" t="n">
        <v>0</v>
      </c>
      <c r="N828" t="n">
        <v>0</v>
      </c>
      <c r="O828" t="n">
        <v>0</v>
      </c>
      <c r="P828" t="n">
        <v>0</v>
      </c>
      <c r="Q828" t="n">
        <v>0</v>
      </c>
      <c r="R828" s="2" t="inlineStr"/>
    </row>
    <row r="829" ht="15" customHeight="1">
      <c r="A829" t="inlineStr">
        <is>
          <t>A 43040-2023</t>
        </is>
      </c>
      <c r="B829" s="1" t="n">
        <v>45182.68716435185</v>
      </c>
      <c r="C829" s="1" t="n">
        <v>45983</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8232-2025</t>
        </is>
      </c>
      <c r="B830" s="1" t="n">
        <v>45708.47144675926</v>
      </c>
      <c r="C830" s="1" t="n">
        <v>45983</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10510-2023</t>
        </is>
      </c>
      <c r="B831" s="1" t="n">
        <v>44987.73665509259</v>
      </c>
      <c r="C831" s="1" t="n">
        <v>45983</v>
      </c>
      <c r="D831" t="inlineStr">
        <is>
          <t>VÄRMLANDS LÄN</t>
        </is>
      </c>
      <c r="E831" t="inlineStr">
        <is>
          <t>ÅRJÄNG</t>
        </is>
      </c>
      <c r="G831" t="n">
        <v>0.5</v>
      </c>
      <c r="H831" t="n">
        <v>0</v>
      </c>
      <c r="I831" t="n">
        <v>0</v>
      </c>
      <c r="J831" t="n">
        <v>0</v>
      </c>
      <c r="K831" t="n">
        <v>0</v>
      </c>
      <c r="L831" t="n">
        <v>0</v>
      </c>
      <c r="M831" t="n">
        <v>0</v>
      </c>
      <c r="N831" t="n">
        <v>0</v>
      </c>
      <c r="O831" t="n">
        <v>0</v>
      </c>
      <c r="P831" t="n">
        <v>0</v>
      </c>
      <c r="Q831" t="n">
        <v>0</v>
      </c>
      <c r="R831" s="2" t="inlineStr"/>
    </row>
    <row r="832" ht="15" customHeight="1">
      <c r="A832" t="inlineStr">
        <is>
          <t>A 3458-2025</t>
        </is>
      </c>
      <c r="B832" s="1" t="n">
        <v>45680.48917824074</v>
      </c>
      <c r="C832" s="1" t="n">
        <v>45983</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57078-2025</t>
        </is>
      </c>
      <c r="B833" s="1" t="n">
        <v>45979.40554398148</v>
      </c>
      <c r="C833" s="1" t="n">
        <v>45983</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3479-2025</t>
        </is>
      </c>
      <c r="B834" s="1" t="n">
        <v>45680.53805555555</v>
      </c>
      <c r="C834" s="1" t="n">
        <v>45983</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57218-2025</t>
        </is>
      </c>
      <c r="B835" s="1" t="n">
        <v>45979.61164351852</v>
      </c>
      <c r="C835" s="1" t="n">
        <v>45983</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10574-2023</t>
        </is>
      </c>
      <c r="B836" s="1" t="n">
        <v>44984</v>
      </c>
      <c r="C836" s="1" t="n">
        <v>45983</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62901-2021</t>
        </is>
      </c>
      <c r="B837" s="1" t="n">
        <v>44504</v>
      </c>
      <c r="C837" s="1" t="n">
        <v>45983</v>
      </c>
      <c r="D837" t="inlineStr">
        <is>
          <t>VÄRMLANDS LÄN</t>
        </is>
      </c>
      <c r="E837" t="inlineStr">
        <is>
          <t>ÅRJÄNG</t>
        </is>
      </c>
      <c r="G837" t="n">
        <v>0.5</v>
      </c>
      <c r="H837" t="n">
        <v>0</v>
      </c>
      <c r="I837" t="n">
        <v>0</v>
      </c>
      <c r="J837" t="n">
        <v>0</v>
      </c>
      <c r="K837" t="n">
        <v>0</v>
      </c>
      <c r="L837" t="n">
        <v>0</v>
      </c>
      <c r="M837" t="n">
        <v>0</v>
      </c>
      <c r="N837" t="n">
        <v>0</v>
      </c>
      <c r="O837" t="n">
        <v>0</v>
      </c>
      <c r="P837" t="n">
        <v>0</v>
      </c>
      <c r="Q837" t="n">
        <v>0</v>
      </c>
      <c r="R837" s="2" t="inlineStr"/>
    </row>
    <row r="838" ht="15" customHeight="1">
      <c r="A838" t="inlineStr">
        <is>
          <t>A 15730-2023</t>
        </is>
      </c>
      <c r="B838" s="1" t="n">
        <v>45021</v>
      </c>
      <c r="C838" s="1" t="n">
        <v>45983</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49424-2025</t>
        </is>
      </c>
      <c r="B839" s="1" t="n">
        <v>45938.72657407408</v>
      </c>
      <c r="C839" s="1" t="n">
        <v>45983</v>
      </c>
      <c r="D839" t="inlineStr">
        <is>
          <t>VÄRMLANDS LÄN</t>
        </is>
      </c>
      <c r="E839" t="inlineStr">
        <is>
          <t>ÅRJÄNG</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33831-2023</t>
        </is>
      </c>
      <c r="B840" s="1" t="n">
        <v>45121</v>
      </c>
      <c r="C840" s="1" t="n">
        <v>45983</v>
      </c>
      <c r="D840" t="inlineStr">
        <is>
          <t>VÄRMLANDS LÄN</t>
        </is>
      </c>
      <c r="E840" t="inlineStr">
        <is>
          <t>ÅRJÄNG</t>
        </is>
      </c>
      <c r="G840" t="n">
        <v>2.3</v>
      </c>
      <c r="H840" t="n">
        <v>0</v>
      </c>
      <c r="I840" t="n">
        <v>0</v>
      </c>
      <c r="J840" t="n">
        <v>0</v>
      </c>
      <c r="K840" t="n">
        <v>0</v>
      </c>
      <c r="L840" t="n">
        <v>0</v>
      </c>
      <c r="M840" t="n">
        <v>0</v>
      </c>
      <c r="N840" t="n">
        <v>0</v>
      </c>
      <c r="O840" t="n">
        <v>0</v>
      </c>
      <c r="P840" t="n">
        <v>0</v>
      </c>
      <c r="Q840" t="n">
        <v>0</v>
      </c>
      <c r="R840" s="2" t="inlineStr"/>
    </row>
    <row r="841" ht="15" customHeight="1">
      <c r="A841" t="inlineStr">
        <is>
          <t>A 59070-2024</t>
        </is>
      </c>
      <c r="B841" s="1" t="n">
        <v>45636.95711805556</v>
      </c>
      <c r="C841" s="1" t="n">
        <v>45983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57273-2025</t>
        </is>
      </c>
      <c r="B842" s="1" t="n">
        <v>45979.68439814815</v>
      </c>
      <c r="C842" s="1" t="n">
        <v>45983</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29603-2024</t>
        </is>
      </c>
      <c r="B843" s="1" t="n">
        <v>45484</v>
      </c>
      <c r="C843" s="1" t="n">
        <v>45983</v>
      </c>
      <c r="D843" t="inlineStr">
        <is>
          <t>VÄRMLANDS LÄN</t>
        </is>
      </c>
      <c r="E843" t="inlineStr">
        <is>
          <t>ÅRJÄNG</t>
        </is>
      </c>
      <c r="G843" t="n">
        <v>7.5</v>
      </c>
      <c r="H843" t="n">
        <v>0</v>
      </c>
      <c r="I843" t="n">
        <v>0</v>
      </c>
      <c r="J843" t="n">
        <v>0</v>
      </c>
      <c r="K843" t="n">
        <v>0</v>
      </c>
      <c r="L843" t="n">
        <v>0</v>
      </c>
      <c r="M843" t="n">
        <v>0</v>
      </c>
      <c r="N843" t="n">
        <v>0</v>
      </c>
      <c r="O843" t="n">
        <v>0</v>
      </c>
      <c r="P843" t="n">
        <v>0</v>
      </c>
      <c r="Q843" t="n">
        <v>0</v>
      </c>
      <c r="R843" s="2" t="inlineStr"/>
    </row>
    <row r="844" ht="15" customHeight="1">
      <c r="A844" t="inlineStr">
        <is>
          <t>A 4088-2025</t>
        </is>
      </c>
      <c r="B844" s="1" t="n">
        <v>45684.66329861111</v>
      </c>
      <c r="C844" s="1" t="n">
        <v>45983</v>
      </c>
      <c r="D844" t="inlineStr">
        <is>
          <t>VÄRMLANDS LÄN</t>
        </is>
      </c>
      <c r="E844" t="inlineStr">
        <is>
          <t>ÅRJÄNG</t>
        </is>
      </c>
      <c r="G844" t="n">
        <v>4.1</v>
      </c>
      <c r="H844" t="n">
        <v>0</v>
      </c>
      <c r="I844" t="n">
        <v>0</v>
      </c>
      <c r="J844" t="n">
        <v>0</v>
      </c>
      <c r="K844" t="n">
        <v>0</v>
      </c>
      <c r="L844" t="n">
        <v>0</v>
      </c>
      <c r="M844" t="n">
        <v>0</v>
      </c>
      <c r="N844" t="n">
        <v>0</v>
      </c>
      <c r="O844" t="n">
        <v>0</v>
      </c>
      <c r="P844" t="n">
        <v>0</v>
      </c>
      <c r="Q844" t="n">
        <v>0</v>
      </c>
      <c r="R844" s="2" t="inlineStr"/>
    </row>
    <row r="845" ht="15" customHeight="1">
      <c r="A845" t="inlineStr">
        <is>
          <t>A 15546-2025</t>
        </is>
      </c>
      <c r="B845" s="1" t="n">
        <v>45747</v>
      </c>
      <c r="C845" s="1" t="n">
        <v>45983</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7660-2025</t>
        </is>
      </c>
      <c r="B846" s="1" t="n">
        <v>45706.32505787037</v>
      </c>
      <c r="C846" s="1" t="n">
        <v>45983</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52278-2023</t>
        </is>
      </c>
      <c r="B847" s="1" t="n">
        <v>45224.57358796296</v>
      </c>
      <c r="C847" s="1" t="n">
        <v>45983</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48130-2023</t>
        </is>
      </c>
      <c r="B848" s="1" t="n">
        <v>45201</v>
      </c>
      <c r="C848" s="1" t="n">
        <v>45983</v>
      </c>
      <c r="D848" t="inlineStr">
        <is>
          <t>VÄRMLANDS LÄN</t>
        </is>
      </c>
      <c r="E848" t="inlineStr">
        <is>
          <t>ÅRJÄNG</t>
        </is>
      </c>
      <c r="G848" t="n">
        <v>3</v>
      </c>
      <c r="H848" t="n">
        <v>0</v>
      </c>
      <c r="I848" t="n">
        <v>0</v>
      </c>
      <c r="J848" t="n">
        <v>0</v>
      </c>
      <c r="K848" t="n">
        <v>0</v>
      </c>
      <c r="L848" t="n">
        <v>0</v>
      </c>
      <c r="M848" t="n">
        <v>0</v>
      </c>
      <c r="N848" t="n">
        <v>0</v>
      </c>
      <c r="O848" t="n">
        <v>0</v>
      </c>
      <c r="P848" t="n">
        <v>0</v>
      </c>
      <c r="Q848" t="n">
        <v>0</v>
      </c>
      <c r="R848" s="2" t="inlineStr"/>
    </row>
    <row r="849" ht="15" customHeight="1">
      <c r="A849" t="inlineStr">
        <is>
          <t>A 8918-2025</t>
        </is>
      </c>
      <c r="B849" s="1" t="n">
        <v>45713.43067129629</v>
      </c>
      <c r="C849" s="1" t="n">
        <v>45983</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57240-2025</t>
        </is>
      </c>
      <c r="B850" s="1" t="n">
        <v>45979.62587962963</v>
      </c>
      <c r="C850" s="1" t="n">
        <v>45983</v>
      </c>
      <c r="D850" t="inlineStr">
        <is>
          <t>VÄRMLANDS LÄN</t>
        </is>
      </c>
      <c r="E850" t="inlineStr">
        <is>
          <t>ÅRJÄNG</t>
        </is>
      </c>
      <c r="G850" t="n">
        <v>0.9</v>
      </c>
      <c r="H850" t="n">
        <v>0</v>
      </c>
      <c r="I850" t="n">
        <v>0</v>
      </c>
      <c r="J850" t="n">
        <v>0</v>
      </c>
      <c r="K850" t="n">
        <v>0</v>
      </c>
      <c r="L850" t="n">
        <v>0</v>
      </c>
      <c r="M850" t="n">
        <v>0</v>
      </c>
      <c r="N850" t="n">
        <v>0</v>
      </c>
      <c r="O850" t="n">
        <v>0</v>
      </c>
      <c r="P850" t="n">
        <v>0</v>
      </c>
      <c r="Q850" t="n">
        <v>0</v>
      </c>
      <c r="R850" s="2" t="inlineStr"/>
    </row>
    <row r="851" ht="15" customHeight="1">
      <c r="A851" t="inlineStr">
        <is>
          <t>A 57439-2025</t>
        </is>
      </c>
      <c r="B851" s="1" t="n">
        <v>45980.48193287037</v>
      </c>
      <c r="C851" s="1" t="n">
        <v>45983</v>
      </c>
      <c r="D851" t="inlineStr">
        <is>
          <t>VÄRMLANDS LÄN</t>
        </is>
      </c>
      <c r="E851" t="inlineStr">
        <is>
          <t>ÅRJÄNG</t>
        </is>
      </c>
      <c r="G851" t="n">
        <v>4.4</v>
      </c>
      <c r="H851" t="n">
        <v>0</v>
      </c>
      <c r="I851" t="n">
        <v>0</v>
      </c>
      <c r="J851" t="n">
        <v>0</v>
      </c>
      <c r="K851" t="n">
        <v>0</v>
      </c>
      <c r="L851" t="n">
        <v>0</v>
      </c>
      <c r="M851" t="n">
        <v>0</v>
      </c>
      <c r="N851" t="n">
        <v>0</v>
      </c>
      <c r="O851" t="n">
        <v>0</v>
      </c>
      <c r="P851" t="n">
        <v>0</v>
      </c>
      <c r="Q851" t="n">
        <v>0</v>
      </c>
      <c r="R851" s="2" t="inlineStr"/>
    </row>
    <row r="852" ht="15" customHeight="1">
      <c r="A852" t="inlineStr">
        <is>
          <t>A 36641-2021</t>
        </is>
      </c>
      <c r="B852" s="1" t="n">
        <v>44392.31038194444</v>
      </c>
      <c r="C852" s="1" t="n">
        <v>45983</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27001-2021</t>
        </is>
      </c>
      <c r="B853" s="1" t="n">
        <v>44350.35271990741</v>
      </c>
      <c r="C853" s="1" t="n">
        <v>45983</v>
      </c>
      <c r="D853" t="inlineStr">
        <is>
          <t>VÄRMLANDS LÄN</t>
        </is>
      </c>
      <c r="E853" t="inlineStr">
        <is>
          <t>ÅRJÄNG</t>
        </is>
      </c>
      <c r="G853" t="n">
        <v>3.7</v>
      </c>
      <c r="H853" t="n">
        <v>0</v>
      </c>
      <c r="I853" t="n">
        <v>0</v>
      </c>
      <c r="J853" t="n">
        <v>0</v>
      </c>
      <c r="K853" t="n">
        <v>0</v>
      </c>
      <c r="L853" t="n">
        <v>0</v>
      </c>
      <c r="M853" t="n">
        <v>0</v>
      </c>
      <c r="N853" t="n">
        <v>0</v>
      </c>
      <c r="O853" t="n">
        <v>0</v>
      </c>
      <c r="P853" t="n">
        <v>0</v>
      </c>
      <c r="Q853" t="n">
        <v>0</v>
      </c>
      <c r="R853" s="2" t="inlineStr"/>
    </row>
    <row r="854" ht="15" customHeight="1">
      <c r="A854" t="inlineStr">
        <is>
          <t>A 42576-2021</t>
        </is>
      </c>
      <c r="B854" s="1" t="n">
        <v>44428</v>
      </c>
      <c r="C854" s="1" t="n">
        <v>45983</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33525-2022</t>
        </is>
      </c>
      <c r="B855" s="1" t="n">
        <v>44789.31077546296</v>
      </c>
      <c r="C855" s="1" t="n">
        <v>45983</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49727-2025</t>
        </is>
      </c>
      <c r="B856" s="1" t="n">
        <v>45939</v>
      </c>
      <c r="C856" s="1" t="n">
        <v>45983</v>
      </c>
      <c r="D856" t="inlineStr">
        <is>
          <t>VÄRMLANDS LÄN</t>
        </is>
      </c>
      <c r="E856" t="inlineStr">
        <is>
          <t>ÅRJÄNG</t>
        </is>
      </c>
      <c r="G856" t="n">
        <v>22</v>
      </c>
      <c r="H856" t="n">
        <v>0</v>
      </c>
      <c r="I856" t="n">
        <v>0</v>
      </c>
      <c r="J856" t="n">
        <v>0</v>
      </c>
      <c r="K856" t="n">
        <v>0</v>
      </c>
      <c r="L856" t="n">
        <v>0</v>
      </c>
      <c r="M856" t="n">
        <v>0</v>
      </c>
      <c r="N856" t="n">
        <v>0</v>
      </c>
      <c r="O856" t="n">
        <v>0</v>
      </c>
      <c r="P856" t="n">
        <v>0</v>
      </c>
      <c r="Q856" t="n">
        <v>0</v>
      </c>
      <c r="R856" s="2" t="inlineStr"/>
    </row>
    <row r="857" ht="15" customHeight="1">
      <c r="A857" t="inlineStr">
        <is>
          <t>A 4763-2023</t>
        </is>
      </c>
      <c r="B857" s="1" t="n">
        <v>44957.57651620371</v>
      </c>
      <c r="C857" s="1" t="n">
        <v>45983</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7877-2025</t>
        </is>
      </c>
      <c r="B858" s="1" t="n">
        <v>45706.76609953704</v>
      </c>
      <c r="C858" s="1" t="n">
        <v>45983</v>
      </c>
      <c r="D858" t="inlineStr">
        <is>
          <t>VÄRMLANDS LÄN</t>
        </is>
      </c>
      <c r="E858" t="inlineStr">
        <is>
          <t>ÅRJÄNG</t>
        </is>
      </c>
      <c r="G858" t="n">
        <v>2.8</v>
      </c>
      <c r="H858" t="n">
        <v>0</v>
      </c>
      <c r="I858" t="n">
        <v>0</v>
      </c>
      <c r="J858" t="n">
        <v>0</v>
      </c>
      <c r="K858" t="n">
        <v>0</v>
      </c>
      <c r="L858" t="n">
        <v>0</v>
      </c>
      <c r="M858" t="n">
        <v>0</v>
      </c>
      <c r="N858" t="n">
        <v>0</v>
      </c>
      <c r="O858" t="n">
        <v>0</v>
      </c>
      <c r="P858" t="n">
        <v>0</v>
      </c>
      <c r="Q858" t="n">
        <v>0</v>
      </c>
      <c r="R858" s="2" t="inlineStr"/>
    </row>
    <row r="859" ht="15" customHeight="1">
      <c r="A859" t="inlineStr">
        <is>
          <t>A 49436-2025</t>
        </is>
      </c>
      <c r="B859" s="1" t="n">
        <v>45938.87913194444</v>
      </c>
      <c r="C859" s="1" t="n">
        <v>45983</v>
      </c>
      <c r="D859" t="inlineStr">
        <is>
          <t>VÄRMLANDS LÄN</t>
        </is>
      </c>
      <c r="E859" t="inlineStr">
        <is>
          <t>ÅRJÄNG</t>
        </is>
      </c>
      <c r="G859" t="n">
        <v>13.9</v>
      </c>
      <c r="H859" t="n">
        <v>0</v>
      </c>
      <c r="I859" t="n">
        <v>0</v>
      </c>
      <c r="J859" t="n">
        <v>0</v>
      </c>
      <c r="K859" t="n">
        <v>0</v>
      </c>
      <c r="L859" t="n">
        <v>0</v>
      </c>
      <c r="M859" t="n">
        <v>0</v>
      </c>
      <c r="N859" t="n">
        <v>0</v>
      </c>
      <c r="O859" t="n">
        <v>0</v>
      </c>
      <c r="P859" t="n">
        <v>0</v>
      </c>
      <c r="Q859" t="n">
        <v>0</v>
      </c>
      <c r="R859" s="2" t="inlineStr"/>
    </row>
    <row r="860" ht="15" customHeight="1">
      <c r="A860" t="inlineStr">
        <is>
          <t>A 49439-2025</t>
        </is>
      </c>
      <c r="B860" s="1" t="n">
        <v>45938.88315972222</v>
      </c>
      <c r="C860" s="1" t="n">
        <v>45983</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49728-2025</t>
        </is>
      </c>
      <c r="B861" s="1" t="n">
        <v>45939</v>
      </c>
      <c r="C861" s="1" t="n">
        <v>45983</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11815-2025</t>
        </is>
      </c>
      <c r="B862" s="1" t="n">
        <v>45728.28719907408</v>
      </c>
      <c r="C862" s="1" t="n">
        <v>45983</v>
      </c>
      <c r="D862" t="inlineStr">
        <is>
          <t>VÄRMLANDS LÄN</t>
        </is>
      </c>
      <c r="E862" t="inlineStr">
        <is>
          <t>ÅRJÄNG</t>
        </is>
      </c>
      <c r="G862" t="n">
        <v>2.2</v>
      </c>
      <c r="H862" t="n">
        <v>0</v>
      </c>
      <c r="I862" t="n">
        <v>0</v>
      </c>
      <c r="J862" t="n">
        <v>0</v>
      </c>
      <c r="K862" t="n">
        <v>0</v>
      </c>
      <c r="L862" t="n">
        <v>0</v>
      </c>
      <c r="M862" t="n">
        <v>0</v>
      </c>
      <c r="N862" t="n">
        <v>0</v>
      </c>
      <c r="O862" t="n">
        <v>0</v>
      </c>
      <c r="P862" t="n">
        <v>0</v>
      </c>
      <c r="Q862" t="n">
        <v>0</v>
      </c>
      <c r="R862" s="2" t="inlineStr"/>
    </row>
    <row r="863" ht="15" customHeight="1">
      <c r="A863" t="inlineStr">
        <is>
          <t>A 15165-2025</t>
        </is>
      </c>
      <c r="B863" s="1" t="n">
        <v>45744.48599537037</v>
      </c>
      <c r="C863" s="1" t="n">
        <v>45983</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19242-2025</t>
        </is>
      </c>
      <c r="B864" s="1" t="n">
        <v>45769.47761574074</v>
      </c>
      <c r="C864" s="1" t="n">
        <v>45983</v>
      </c>
      <c r="D864" t="inlineStr">
        <is>
          <t>VÄRMLANDS LÄN</t>
        </is>
      </c>
      <c r="E864" t="inlineStr">
        <is>
          <t>ÅRJÄNG</t>
        </is>
      </c>
      <c r="G864" t="n">
        <v>17.5</v>
      </c>
      <c r="H864" t="n">
        <v>0</v>
      </c>
      <c r="I864" t="n">
        <v>0</v>
      </c>
      <c r="J864" t="n">
        <v>0</v>
      </c>
      <c r="K864" t="n">
        <v>0</v>
      </c>
      <c r="L864" t="n">
        <v>0</v>
      </c>
      <c r="M864" t="n">
        <v>0</v>
      </c>
      <c r="N864" t="n">
        <v>0</v>
      </c>
      <c r="O864" t="n">
        <v>0</v>
      </c>
      <c r="P864" t="n">
        <v>0</v>
      </c>
      <c r="Q864" t="n">
        <v>0</v>
      </c>
      <c r="R864" s="2" t="inlineStr"/>
    </row>
    <row r="865" ht="15" customHeight="1">
      <c r="A865" t="inlineStr">
        <is>
          <t>A 55377-2024</t>
        </is>
      </c>
      <c r="B865" s="1" t="n">
        <v>45621.9885300926</v>
      </c>
      <c r="C865" s="1" t="n">
        <v>45983</v>
      </c>
      <c r="D865" t="inlineStr">
        <is>
          <t>VÄRMLANDS LÄN</t>
        </is>
      </c>
      <c r="E865" t="inlineStr">
        <is>
          <t>ÅRJÄNG</t>
        </is>
      </c>
      <c r="G865" t="n">
        <v>2.5</v>
      </c>
      <c r="H865" t="n">
        <v>0</v>
      </c>
      <c r="I865" t="n">
        <v>0</v>
      </c>
      <c r="J865" t="n">
        <v>0</v>
      </c>
      <c r="K865" t="n">
        <v>0</v>
      </c>
      <c r="L865" t="n">
        <v>0</v>
      </c>
      <c r="M865" t="n">
        <v>0</v>
      </c>
      <c r="N865" t="n">
        <v>0</v>
      </c>
      <c r="O865" t="n">
        <v>0</v>
      </c>
      <c r="P865" t="n">
        <v>0</v>
      </c>
      <c r="Q865" t="n">
        <v>0</v>
      </c>
      <c r="R865" s="2" t="inlineStr"/>
    </row>
    <row r="866" ht="15" customHeight="1">
      <c r="A866" t="inlineStr">
        <is>
          <t>A 16977-2025</t>
        </is>
      </c>
      <c r="B866" s="1" t="n">
        <v>45755.47517361111</v>
      </c>
      <c r="C866" s="1" t="n">
        <v>45983</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49914-2025</t>
        </is>
      </c>
      <c r="B867" s="1" t="n">
        <v>45940.61268518519</v>
      </c>
      <c r="C867" s="1" t="n">
        <v>45983</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51493-2023</t>
        </is>
      </c>
      <c r="B868" s="1" t="n">
        <v>45215</v>
      </c>
      <c r="C868" s="1" t="n">
        <v>45983</v>
      </c>
      <c r="D868" t="inlineStr">
        <is>
          <t>VÄRMLANDS LÄN</t>
        </is>
      </c>
      <c r="E868" t="inlineStr">
        <is>
          <t>ÅRJÄNG</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45983</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18309-2025</t>
        </is>
      </c>
      <c r="B870" s="1" t="n">
        <v>45762.44186342593</v>
      </c>
      <c r="C870" s="1" t="n">
        <v>45983</v>
      </c>
      <c r="D870" t="inlineStr">
        <is>
          <t>VÄRMLANDS LÄN</t>
        </is>
      </c>
      <c r="E870" t="inlineStr">
        <is>
          <t>ÅRJÄNG</t>
        </is>
      </c>
      <c r="G870" t="n">
        <v>6.2</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45983</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45983</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14917-2025</t>
        </is>
      </c>
      <c r="B873" s="1" t="n">
        <v>45743.53748842593</v>
      </c>
      <c r="C873" s="1" t="n">
        <v>45983</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49437-2025</t>
        </is>
      </c>
      <c r="B874" s="1" t="n">
        <v>45938.8803587963</v>
      </c>
      <c r="C874" s="1" t="n">
        <v>45983</v>
      </c>
      <c r="D874" t="inlineStr">
        <is>
          <t>VÄRMLANDS LÄN</t>
        </is>
      </c>
      <c r="E874" t="inlineStr">
        <is>
          <t>ÅRJÄNG</t>
        </is>
      </c>
      <c r="G874" t="n">
        <v>5.2</v>
      </c>
      <c r="H874" t="n">
        <v>0</v>
      </c>
      <c r="I874" t="n">
        <v>0</v>
      </c>
      <c r="J874" t="n">
        <v>0</v>
      </c>
      <c r="K874" t="n">
        <v>0</v>
      </c>
      <c r="L874" t="n">
        <v>0</v>
      </c>
      <c r="M874" t="n">
        <v>0</v>
      </c>
      <c r="N874" t="n">
        <v>0</v>
      </c>
      <c r="O874" t="n">
        <v>0</v>
      </c>
      <c r="P874" t="n">
        <v>0</v>
      </c>
      <c r="Q874" t="n">
        <v>0</v>
      </c>
      <c r="R874" s="2" t="inlineStr"/>
    </row>
    <row r="875" ht="15" customHeight="1">
      <c r="A875" t="inlineStr">
        <is>
          <t>A 49936-2025</t>
        </is>
      </c>
      <c r="B875" s="1" t="n">
        <v>45940.66287037037</v>
      </c>
      <c r="C875" s="1" t="n">
        <v>45983</v>
      </c>
      <c r="D875" t="inlineStr">
        <is>
          <t>VÄRMLANDS LÄN</t>
        </is>
      </c>
      <c r="E875" t="inlineStr">
        <is>
          <t>ÅRJÄNG</t>
        </is>
      </c>
      <c r="F875" t="inlineStr">
        <is>
          <t>Kyrkan</t>
        </is>
      </c>
      <c r="G875" t="n">
        <v>5.3</v>
      </c>
      <c r="H875" t="n">
        <v>0</v>
      </c>
      <c r="I875" t="n">
        <v>0</v>
      </c>
      <c r="J875" t="n">
        <v>0</v>
      </c>
      <c r="K875" t="n">
        <v>0</v>
      </c>
      <c r="L875" t="n">
        <v>0</v>
      </c>
      <c r="M875" t="n">
        <v>0</v>
      </c>
      <c r="N875" t="n">
        <v>0</v>
      </c>
      <c r="O875" t="n">
        <v>0</v>
      </c>
      <c r="P875" t="n">
        <v>0</v>
      </c>
      <c r="Q875" t="n">
        <v>0</v>
      </c>
      <c r="R875" s="2" t="inlineStr"/>
    </row>
    <row r="876" ht="15" customHeight="1">
      <c r="A876" t="inlineStr">
        <is>
          <t>A 54950-2022</t>
        </is>
      </c>
      <c r="B876" s="1" t="n">
        <v>44886</v>
      </c>
      <c r="C876" s="1" t="n">
        <v>45983</v>
      </c>
      <c r="D876" t="inlineStr">
        <is>
          <t>VÄRMLANDS LÄN</t>
        </is>
      </c>
      <c r="E876" t="inlineStr">
        <is>
          <t>ÅRJÄNG</t>
        </is>
      </c>
      <c r="G876" t="n">
        <v>13</v>
      </c>
      <c r="H876" t="n">
        <v>0</v>
      </c>
      <c r="I876" t="n">
        <v>0</v>
      </c>
      <c r="J876" t="n">
        <v>0</v>
      </c>
      <c r="K876" t="n">
        <v>0</v>
      </c>
      <c r="L876" t="n">
        <v>0</v>
      </c>
      <c r="M876" t="n">
        <v>0</v>
      </c>
      <c r="N876" t="n">
        <v>0</v>
      </c>
      <c r="O876" t="n">
        <v>0</v>
      </c>
      <c r="P876" t="n">
        <v>0</v>
      </c>
      <c r="Q876" t="n">
        <v>0</v>
      </c>
      <c r="R876" s="2" t="inlineStr"/>
    </row>
    <row r="877" ht="15" customHeight="1">
      <c r="A877" t="inlineStr">
        <is>
          <t>A 49540-2025</t>
        </is>
      </c>
      <c r="B877" s="1" t="n">
        <v>45939.42537037037</v>
      </c>
      <c r="C877" s="1" t="n">
        <v>45983</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57929-2025</t>
        </is>
      </c>
      <c r="B878" s="1" t="n">
        <v>45981.89403935185</v>
      </c>
      <c r="C878" s="1" t="n">
        <v>45983</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57752-2025</t>
        </is>
      </c>
      <c r="B879" s="1" t="n">
        <v>45981</v>
      </c>
      <c r="C879" s="1" t="n">
        <v>45983</v>
      </c>
      <c r="D879" t="inlineStr">
        <is>
          <t>VÄRMLANDS LÄN</t>
        </is>
      </c>
      <c r="E879" t="inlineStr">
        <is>
          <t>ÅRJÄNG</t>
        </is>
      </c>
      <c r="G879" t="n">
        <v>4.3</v>
      </c>
      <c r="H879" t="n">
        <v>0</v>
      </c>
      <c r="I879" t="n">
        <v>0</v>
      </c>
      <c r="J879" t="n">
        <v>0</v>
      </c>
      <c r="K879" t="n">
        <v>0</v>
      </c>
      <c r="L879" t="n">
        <v>0</v>
      </c>
      <c r="M879" t="n">
        <v>0</v>
      </c>
      <c r="N879" t="n">
        <v>0</v>
      </c>
      <c r="O879" t="n">
        <v>0</v>
      </c>
      <c r="P879" t="n">
        <v>0</v>
      </c>
      <c r="Q879" t="n">
        <v>0</v>
      </c>
      <c r="R879" s="2" t="inlineStr"/>
    </row>
    <row r="880" ht="15" customHeight="1">
      <c r="A880" t="inlineStr">
        <is>
          <t>A 1717-2025</t>
        </is>
      </c>
      <c r="B880" s="1" t="n">
        <v>45671.32938657407</v>
      </c>
      <c r="C880" s="1" t="n">
        <v>45983</v>
      </c>
      <c r="D880" t="inlineStr">
        <is>
          <t>VÄRMLANDS LÄN</t>
        </is>
      </c>
      <c r="E880" t="inlineStr">
        <is>
          <t>ÅRJÄNG</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62240-2022</t>
        </is>
      </c>
      <c r="B881" s="1" t="n">
        <v>44922</v>
      </c>
      <c r="C881" s="1" t="n">
        <v>45983</v>
      </c>
      <c r="D881" t="inlineStr">
        <is>
          <t>VÄRMLANDS LÄN</t>
        </is>
      </c>
      <c r="E881" t="inlineStr">
        <is>
          <t>ÅRJÄNG</t>
        </is>
      </c>
      <c r="G881" t="n">
        <v>0.5</v>
      </c>
      <c r="H881" t="n">
        <v>0</v>
      </c>
      <c r="I881" t="n">
        <v>0</v>
      </c>
      <c r="J881" t="n">
        <v>0</v>
      </c>
      <c r="K881" t="n">
        <v>0</v>
      </c>
      <c r="L881" t="n">
        <v>0</v>
      </c>
      <c r="M881" t="n">
        <v>0</v>
      </c>
      <c r="N881" t="n">
        <v>0</v>
      </c>
      <c r="O881" t="n">
        <v>0</v>
      </c>
      <c r="P881" t="n">
        <v>0</v>
      </c>
      <c r="Q881" t="n">
        <v>0</v>
      </c>
      <c r="R881" s="2" t="inlineStr"/>
    </row>
    <row r="882" ht="15" customHeight="1">
      <c r="A882" t="inlineStr">
        <is>
          <t>A 57924-2025</t>
        </is>
      </c>
      <c r="B882" s="1" t="n">
        <v>45981</v>
      </c>
      <c r="C882" s="1" t="n">
        <v>45983</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13871-2025</t>
        </is>
      </c>
      <c r="B883" s="1" t="n">
        <v>45737.58568287037</v>
      </c>
      <c r="C883" s="1" t="n">
        <v>45983</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59746-2023</t>
        </is>
      </c>
      <c r="B884" s="1" t="n">
        <v>45254</v>
      </c>
      <c r="C884" s="1" t="n">
        <v>45983</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55091-2023</t>
        </is>
      </c>
      <c r="B885" s="1" t="n">
        <v>45237</v>
      </c>
      <c r="C885" s="1" t="n">
        <v>45983</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55517-2023</t>
        </is>
      </c>
      <c r="B886" s="1" t="n">
        <v>45232</v>
      </c>
      <c r="C886" s="1" t="n">
        <v>45983</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32950-2024</t>
        </is>
      </c>
      <c r="B887" s="1" t="n">
        <v>45517.36038194445</v>
      </c>
      <c r="C887" s="1" t="n">
        <v>45983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15210-2025</t>
        </is>
      </c>
      <c r="B888" s="1" t="n">
        <v>45744</v>
      </c>
      <c r="C888" s="1" t="n">
        <v>45983</v>
      </c>
      <c r="D888" t="inlineStr">
        <is>
          <t>VÄRMLANDS LÄN</t>
        </is>
      </c>
      <c r="E888" t="inlineStr">
        <is>
          <t>ÅRJÄNG</t>
        </is>
      </c>
      <c r="G888" t="n">
        <v>2.7</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45983</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5095-2023</t>
        </is>
      </c>
      <c r="B890" s="1" t="n">
        <v>44953</v>
      </c>
      <c r="C890" s="1" t="n">
        <v>45983</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37325-2024</t>
        </is>
      </c>
      <c r="B891" s="1" t="n">
        <v>45540</v>
      </c>
      <c r="C891" s="1" t="n">
        <v>45983</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12659-2025</t>
        </is>
      </c>
      <c r="B892" s="1" t="n">
        <v>45733.42350694445</v>
      </c>
      <c r="C892" s="1" t="n">
        <v>45983</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58788-2024</t>
        </is>
      </c>
      <c r="B893" s="1" t="n">
        <v>45635.96372685185</v>
      </c>
      <c r="C893" s="1" t="n">
        <v>45983</v>
      </c>
      <c r="D893" t="inlineStr">
        <is>
          <t>VÄRMLANDS LÄN</t>
        </is>
      </c>
      <c r="E893" t="inlineStr">
        <is>
          <t>ÅRJÄNG</t>
        </is>
      </c>
      <c r="G893" t="n">
        <v>12.4</v>
      </c>
      <c r="H893" t="n">
        <v>0</v>
      </c>
      <c r="I893" t="n">
        <v>0</v>
      </c>
      <c r="J893" t="n">
        <v>0</v>
      </c>
      <c r="K893" t="n">
        <v>0</v>
      </c>
      <c r="L893" t="n">
        <v>0</v>
      </c>
      <c r="M893" t="n">
        <v>0</v>
      </c>
      <c r="N893" t="n">
        <v>0</v>
      </c>
      <c r="O893" t="n">
        <v>0</v>
      </c>
      <c r="P893" t="n">
        <v>0</v>
      </c>
      <c r="Q893" t="n">
        <v>0</v>
      </c>
      <c r="R893" s="2" t="inlineStr"/>
    </row>
    <row r="894" ht="15" customHeight="1">
      <c r="A894" t="inlineStr">
        <is>
          <t>A 60377-2023</t>
        </is>
      </c>
      <c r="B894" s="1" t="n">
        <v>45259.40993055556</v>
      </c>
      <c r="C894" s="1" t="n">
        <v>45983</v>
      </c>
      <c r="D894" t="inlineStr">
        <is>
          <t>VÄRMLANDS LÄN</t>
        </is>
      </c>
      <c r="E894" t="inlineStr">
        <is>
          <t>ÅRJÄNG</t>
        </is>
      </c>
      <c r="G894" t="n">
        <v>3.1</v>
      </c>
      <c r="H894" t="n">
        <v>0</v>
      </c>
      <c r="I894" t="n">
        <v>0</v>
      </c>
      <c r="J894" t="n">
        <v>0</v>
      </c>
      <c r="K894" t="n">
        <v>0</v>
      </c>
      <c r="L894" t="n">
        <v>0</v>
      </c>
      <c r="M894" t="n">
        <v>0</v>
      </c>
      <c r="N894" t="n">
        <v>0</v>
      </c>
      <c r="O894" t="n">
        <v>0</v>
      </c>
      <c r="P894" t="n">
        <v>0</v>
      </c>
      <c r="Q894" t="n">
        <v>0</v>
      </c>
      <c r="R894" s="2" t="inlineStr"/>
    </row>
    <row r="895" ht="15" customHeight="1">
      <c r="A895" t="inlineStr">
        <is>
          <t>A 23334-2023</t>
        </is>
      </c>
      <c r="B895" s="1" t="n">
        <v>45076</v>
      </c>
      <c r="C895" s="1" t="n">
        <v>45983</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37353-2024</t>
        </is>
      </c>
      <c r="B896" s="1" t="n">
        <v>45540</v>
      </c>
      <c r="C896" s="1" t="n">
        <v>45983</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54425-2021</t>
        </is>
      </c>
      <c r="B897" s="1" t="n">
        <v>44459</v>
      </c>
      <c r="C897" s="1" t="n">
        <v>45983</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42783-2024</t>
        </is>
      </c>
      <c r="B898" s="1" t="n">
        <v>45566</v>
      </c>
      <c r="C898" s="1" t="n">
        <v>45983</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36706-2024</t>
        </is>
      </c>
      <c r="B899" s="1" t="n">
        <v>45537</v>
      </c>
      <c r="C899" s="1" t="n">
        <v>45983</v>
      </c>
      <c r="D899" t="inlineStr">
        <is>
          <t>VÄRMLANDS LÄN</t>
        </is>
      </c>
      <c r="E899" t="inlineStr">
        <is>
          <t>ÅRJÄNG</t>
        </is>
      </c>
      <c r="G899" t="n">
        <v>5.3</v>
      </c>
      <c r="H899" t="n">
        <v>0</v>
      </c>
      <c r="I899" t="n">
        <v>0</v>
      </c>
      <c r="J899" t="n">
        <v>0</v>
      </c>
      <c r="K899" t="n">
        <v>0</v>
      </c>
      <c r="L899" t="n">
        <v>0</v>
      </c>
      <c r="M899" t="n">
        <v>0</v>
      </c>
      <c r="N899" t="n">
        <v>0</v>
      </c>
      <c r="O899" t="n">
        <v>0</v>
      </c>
      <c r="P899" t="n">
        <v>0</v>
      </c>
      <c r="Q899" t="n">
        <v>0</v>
      </c>
      <c r="R899" s="2" t="inlineStr"/>
    </row>
    <row r="900" ht="15" customHeight="1">
      <c r="A900" t="inlineStr">
        <is>
          <t>A 13869-2025</t>
        </is>
      </c>
      <c r="B900" s="1" t="n">
        <v>45737.58268518518</v>
      </c>
      <c r="C900" s="1" t="n">
        <v>45983</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74463-2021</t>
        </is>
      </c>
      <c r="B901" s="1" t="n">
        <v>44560.5255787037</v>
      </c>
      <c r="C901" s="1" t="n">
        <v>45983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62963-2023</t>
        </is>
      </c>
      <c r="B902" s="1" t="n">
        <v>45271</v>
      </c>
      <c r="C902" s="1" t="n">
        <v>45983</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59479-2024</t>
        </is>
      </c>
      <c r="B903" s="1" t="n">
        <v>45638.52420138889</v>
      </c>
      <c r="C903" s="1" t="n">
        <v>45983</v>
      </c>
      <c r="D903" t="inlineStr">
        <is>
          <t>VÄRMLANDS LÄN</t>
        </is>
      </c>
      <c r="E903" t="inlineStr">
        <is>
          <t>ÅRJÄNG</t>
        </is>
      </c>
      <c r="G903" t="n">
        <v>2.1</v>
      </c>
      <c r="H903" t="n">
        <v>0</v>
      </c>
      <c r="I903" t="n">
        <v>0</v>
      </c>
      <c r="J903" t="n">
        <v>0</v>
      </c>
      <c r="K903" t="n">
        <v>0</v>
      </c>
      <c r="L903" t="n">
        <v>0</v>
      </c>
      <c r="M903" t="n">
        <v>0</v>
      </c>
      <c r="N903" t="n">
        <v>0</v>
      </c>
      <c r="O903" t="n">
        <v>0</v>
      </c>
      <c r="P903" t="n">
        <v>0</v>
      </c>
      <c r="Q903" t="n">
        <v>0</v>
      </c>
      <c r="R903" s="2" t="inlineStr"/>
    </row>
    <row r="904" ht="15" customHeight="1">
      <c r="A904" t="inlineStr">
        <is>
          <t>A 34144-2022</t>
        </is>
      </c>
      <c r="B904" s="1" t="n">
        <v>44791.55983796297</v>
      </c>
      <c r="C904" s="1" t="n">
        <v>45983</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27045-2021</t>
        </is>
      </c>
      <c r="B905" s="1" t="n">
        <v>44350.43223379629</v>
      </c>
      <c r="C905" s="1" t="n">
        <v>45983</v>
      </c>
      <c r="D905" t="inlineStr">
        <is>
          <t>VÄRMLANDS LÄN</t>
        </is>
      </c>
      <c r="E905" t="inlineStr">
        <is>
          <t>ÅRJÄNG</t>
        </is>
      </c>
      <c r="G905" t="n">
        <v>2</v>
      </c>
      <c r="H905" t="n">
        <v>0</v>
      </c>
      <c r="I905" t="n">
        <v>0</v>
      </c>
      <c r="J905" t="n">
        <v>0</v>
      </c>
      <c r="K905" t="n">
        <v>0</v>
      </c>
      <c r="L905" t="n">
        <v>0</v>
      </c>
      <c r="M905" t="n">
        <v>0</v>
      </c>
      <c r="N905" t="n">
        <v>0</v>
      </c>
      <c r="O905" t="n">
        <v>0</v>
      </c>
      <c r="P905" t="n">
        <v>0</v>
      </c>
      <c r="Q905" t="n">
        <v>0</v>
      </c>
      <c r="R905" s="2" t="inlineStr"/>
    </row>
    <row r="906" ht="15" customHeight="1">
      <c r="A906" t="inlineStr">
        <is>
          <t>A 61814-2024</t>
        </is>
      </c>
      <c r="B906" s="1" t="n">
        <v>45646</v>
      </c>
      <c r="C906" s="1" t="n">
        <v>45983</v>
      </c>
      <c r="D906" t="inlineStr">
        <is>
          <t>VÄRMLANDS LÄN</t>
        </is>
      </c>
      <c r="E906" t="inlineStr">
        <is>
          <t>ÅRJÄNG</t>
        </is>
      </c>
      <c r="G906" t="n">
        <v>5.3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45983</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45983</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23871-2023</t>
        </is>
      </c>
      <c r="B909" s="1" t="n">
        <v>45078</v>
      </c>
      <c r="C909" s="1" t="n">
        <v>45983</v>
      </c>
      <c r="D909" t="inlineStr">
        <is>
          <t>VÄRMLANDS LÄN</t>
        </is>
      </c>
      <c r="E909" t="inlineStr">
        <is>
          <t>ÅRJÄNG</t>
        </is>
      </c>
      <c r="G909" t="n">
        <v>4</v>
      </c>
      <c r="H909" t="n">
        <v>0</v>
      </c>
      <c r="I909" t="n">
        <v>0</v>
      </c>
      <c r="J909" t="n">
        <v>0</v>
      </c>
      <c r="K909" t="n">
        <v>0</v>
      </c>
      <c r="L909" t="n">
        <v>0</v>
      </c>
      <c r="M909" t="n">
        <v>0</v>
      </c>
      <c r="N909" t="n">
        <v>0</v>
      </c>
      <c r="O909" t="n">
        <v>0</v>
      </c>
      <c r="P909" t="n">
        <v>0</v>
      </c>
      <c r="Q909" t="n">
        <v>0</v>
      </c>
      <c r="R909" s="2" t="inlineStr"/>
    </row>
    <row r="910" ht="15" customHeight="1">
      <c r="A910" t="inlineStr">
        <is>
          <t>A 15237-2025</t>
        </is>
      </c>
      <c r="B910" s="1" t="n">
        <v>45744</v>
      </c>
      <c r="C910" s="1" t="n">
        <v>45983</v>
      </c>
      <c r="D910" t="inlineStr">
        <is>
          <t>VÄRMLANDS LÄN</t>
        </is>
      </c>
      <c r="E910" t="inlineStr">
        <is>
          <t>ÅRJÄNG</t>
        </is>
      </c>
      <c r="G910" t="n">
        <v>29.5</v>
      </c>
      <c r="H910" t="n">
        <v>0</v>
      </c>
      <c r="I910" t="n">
        <v>0</v>
      </c>
      <c r="J910" t="n">
        <v>0</v>
      </c>
      <c r="K910" t="n">
        <v>0</v>
      </c>
      <c r="L910" t="n">
        <v>0</v>
      </c>
      <c r="M910" t="n">
        <v>0</v>
      </c>
      <c r="N910" t="n">
        <v>0</v>
      </c>
      <c r="O910" t="n">
        <v>0</v>
      </c>
      <c r="P910" t="n">
        <v>0</v>
      </c>
      <c r="Q910" t="n">
        <v>0</v>
      </c>
      <c r="R910" s="2" t="inlineStr"/>
    </row>
    <row r="911" ht="15" customHeight="1">
      <c r="A911" t="inlineStr">
        <is>
          <t>A 6354-2024</t>
        </is>
      </c>
      <c r="B911" s="1" t="n">
        <v>45338.46987268519</v>
      </c>
      <c r="C911" s="1" t="n">
        <v>45983</v>
      </c>
      <c r="D911" t="inlineStr">
        <is>
          <t>VÄRMLANDS LÄN</t>
        </is>
      </c>
      <c r="E911" t="inlineStr">
        <is>
          <t>ÅRJÄNG</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21519-2024</t>
        </is>
      </c>
      <c r="B912" s="1" t="n">
        <v>45441</v>
      </c>
      <c r="C912" s="1" t="n">
        <v>45983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11776-2025</t>
        </is>
      </c>
      <c r="B913" s="1" t="n">
        <v>45727.70334490741</v>
      </c>
      <c r="C913" s="1" t="n">
        <v>45983</v>
      </c>
      <c r="D913" t="inlineStr">
        <is>
          <t>VÄRMLANDS LÄN</t>
        </is>
      </c>
      <c r="E913" t="inlineStr">
        <is>
          <t>ÅRJÄNG</t>
        </is>
      </c>
      <c r="G913" t="n">
        <v>7.2</v>
      </c>
      <c r="H913" t="n">
        <v>0</v>
      </c>
      <c r="I913" t="n">
        <v>0</v>
      </c>
      <c r="J913" t="n">
        <v>0</v>
      </c>
      <c r="K913" t="n">
        <v>0</v>
      </c>
      <c r="L913" t="n">
        <v>0</v>
      </c>
      <c r="M913" t="n">
        <v>0</v>
      </c>
      <c r="N913" t="n">
        <v>0</v>
      </c>
      <c r="O913" t="n">
        <v>0</v>
      </c>
      <c r="P913" t="n">
        <v>0</v>
      </c>
      <c r="Q913" t="n">
        <v>0</v>
      </c>
      <c r="R913" s="2" t="inlineStr"/>
    </row>
    <row r="914" ht="15" customHeight="1">
      <c r="A914" t="inlineStr">
        <is>
          <t>A 20337-2023</t>
        </is>
      </c>
      <c r="B914" s="1" t="n">
        <v>45056.48157407407</v>
      </c>
      <c r="C914" s="1" t="n">
        <v>45983</v>
      </c>
      <c r="D914" t="inlineStr">
        <is>
          <t>VÄRMLANDS LÄN</t>
        </is>
      </c>
      <c r="E914" t="inlineStr">
        <is>
          <t>ÅRJÄNG</t>
        </is>
      </c>
      <c r="G914" t="n">
        <v>3.1</v>
      </c>
      <c r="H914" t="n">
        <v>0</v>
      </c>
      <c r="I914" t="n">
        <v>0</v>
      </c>
      <c r="J914" t="n">
        <v>0</v>
      </c>
      <c r="K914" t="n">
        <v>0</v>
      </c>
      <c r="L914" t="n">
        <v>0</v>
      </c>
      <c r="M914" t="n">
        <v>0</v>
      </c>
      <c r="N914" t="n">
        <v>0</v>
      </c>
      <c r="O914" t="n">
        <v>0</v>
      </c>
      <c r="P914" t="n">
        <v>0</v>
      </c>
      <c r="Q914" t="n">
        <v>0</v>
      </c>
      <c r="R914" s="2" t="inlineStr"/>
    </row>
    <row r="915" ht="15" customHeight="1">
      <c r="A915" t="inlineStr">
        <is>
          <t>A 42045-2024</t>
        </is>
      </c>
      <c r="B915" s="1" t="n">
        <v>45561</v>
      </c>
      <c r="C915" s="1" t="n">
        <v>45983</v>
      </c>
      <c r="D915" t="inlineStr">
        <is>
          <t>VÄRMLANDS LÄN</t>
        </is>
      </c>
      <c r="E915" t="inlineStr">
        <is>
          <t>ÅRJÄNG</t>
        </is>
      </c>
      <c r="G915" t="n">
        <v>1.9</v>
      </c>
      <c r="H915" t="n">
        <v>0</v>
      </c>
      <c r="I915" t="n">
        <v>0</v>
      </c>
      <c r="J915" t="n">
        <v>0</v>
      </c>
      <c r="K915" t="n">
        <v>0</v>
      </c>
      <c r="L915" t="n">
        <v>0</v>
      </c>
      <c r="M915" t="n">
        <v>0</v>
      </c>
      <c r="N915" t="n">
        <v>0</v>
      </c>
      <c r="O915" t="n">
        <v>0</v>
      </c>
      <c r="P915" t="n">
        <v>0</v>
      </c>
      <c r="Q915" t="n">
        <v>0</v>
      </c>
      <c r="R915" s="2" t="inlineStr"/>
    </row>
    <row r="916" ht="15" customHeight="1">
      <c r="A916" t="inlineStr">
        <is>
          <t>A 25495-2024</t>
        </is>
      </c>
      <c r="B916" s="1" t="n">
        <v>45463</v>
      </c>
      <c r="C916" s="1" t="n">
        <v>45983</v>
      </c>
      <c r="D916" t="inlineStr">
        <is>
          <t>VÄRMLANDS LÄN</t>
        </is>
      </c>
      <c r="E916" t="inlineStr">
        <is>
          <t>ÅRJÄNG</t>
        </is>
      </c>
      <c r="F916" t="inlineStr">
        <is>
          <t>Kyrkan</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11793-2023</t>
        </is>
      </c>
      <c r="B917" s="1" t="n">
        <v>44993</v>
      </c>
      <c r="C917" s="1" t="n">
        <v>45983</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14788-2025</t>
        </is>
      </c>
      <c r="B918" s="1" t="n">
        <v>45742.78112268518</v>
      </c>
      <c r="C918" s="1" t="n">
        <v>45983</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45983</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32367-2023</t>
        </is>
      </c>
      <c r="B920" s="1" t="n">
        <v>45120.57167824074</v>
      </c>
      <c r="C920" s="1" t="n">
        <v>45983</v>
      </c>
      <c r="D920" t="inlineStr">
        <is>
          <t>VÄRMLANDS LÄN</t>
        </is>
      </c>
      <c r="E920" t="inlineStr">
        <is>
          <t>ÅRJÄNG</t>
        </is>
      </c>
      <c r="G920" t="n">
        <v>2.8</v>
      </c>
      <c r="H920" t="n">
        <v>0</v>
      </c>
      <c r="I920" t="n">
        <v>0</v>
      </c>
      <c r="J920" t="n">
        <v>0</v>
      </c>
      <c r="K920" t="n">
        <v>0</v>
      </c>
      <c r="L920" t="n">
        <v>0</v>
      </c>
      <c r="M920" t="n">
        <v>0</v>
      </c>
      <c r="N920" t="n">
        <v>0</v>
      </c>
      <c r="O920" t="n">
        <v>0</v>
      </c>
      <c r="P920" t="n">
        <v>0</v>
      </c>
      <c r="Q920" t="n">
        <v>0</v>
      </c>
      <c r="R920" s="2" t="inlineStr"/>
    </row>
    <row r="921" ht="15" customHeight="1">
      <c r="A921" t="inlineStr">
        <is>
          <t>A 32373-2023</t>
        </is>
      </c>
      <c r="B921" s="1" t="n">
        <v>45120.58025462963</v>
      </c>
      <c r="C921" s="1" t="n">
        <v>45983</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56682-2021</t>
        </is>
      </c>
      <c r="B922" s="1" t="n">
        <v>44481</v>
      </c>
      <c r="C922" s="1" t="n">
        <v>45983</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3968-2025</t>
        </is>
      </c>
      <c r="B923" s="1" t="n">
        <v>45684.51925925926</v>
      </c>
      <c r="C923" s="1" t="n">
        <v>45983</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52773-2022</t>
        </is>
      </c>
      <c r="B924" s="1" t="n">
        <v>44875.35628472222</v>
      </c>
      <c r="C924" s="1" t="n">
        <v>45983</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45983</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57178-2023</t>
        </is>
      </c>
      <c r="B926" s="1" t="n">
        <v>45240</v>
      </c>
      <c r="C926" s="1" t="n">
        <v>45983</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15574-2025</t>
        </is>
      </c>
      <c r="B927" s="1" t="n">
        <v>45747</v>
      </c>
      <c r="C927" s="1" t="n">
        <v>45983</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71472-2021</t>
        </is>
      </c>
      <c r="B928" s="1" t="n">
        <v>44540</v>
      </c>
      <c r="C928" s="1" t="n">
        <v>45983</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45983</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7098-2024</t>
        </is>
      </c>
      <c r="B930" s="1" t="n">
        <v>45343</v>
      </c>
      <c r="C930" s="1" t="n">
        <v>45983</v>
      </c>
      <c r="D930" t="inlineStr">
        <is>
          <t>VÄRMLANDS LÄN</t>
        </is>
      </c>
      <c r="E930" t="inlineStr">
        <is>
          <t>ÅRJÄNG</t>
        </is>
      </c>
      <c r="G930" t="n">
        <v>5</v>
      </c>
      <c r="H930" t="n">
        <v>0</v>
      </c>
      <c r="I930" t="n">
        <v>0</v>
      </c>
      <c r="J930" t="n">
        <v>0</v>
      </c>
      <c r="K930" t="n">
        <v>0</v>
      </c>
      <c r="L930" t="n">
        <v>0</v>
      </c>
      <c r="M930" t="n">
        <v>0</v>
      </c>
      <c r="N930" t="n">
        <v>0</v>
      </c>
      <c r="O930" t="n">
        <v>0</v>
      </c>
      <c r="P930" t="n">
        <v>0</v>
      </c>
      <c r="Q930" t="n">
        <v>0</v>
      </c>
      <c r="R930" s="2" t="inlineStr"/>
    </row>
    <row r="931" ht="15" customHeight="1">
      <c r="A931" t="inlineStr">
        <is>
          <t>A 7100-2024</t>
        </is>
      </c>
      <c r="B931" s="1" t="n">
        <v>45343</v>
      </c>
      <c r="C931" s="1" t="n">
        <v>45983</v>
      </c>
      <c r="D931" t="inlineStr">
        <is>
          <t>VÄRMLANDS LÄN</t>
        </is>
      </c>
      <c r="E931" t="inlineStr">
        <is>
          <t>ÅRJÄNG</t>
        </is>
      </c>
      <c r="G931" t="n">
        <v>6.5</v>
      </c>
      <c r="H931" t="n">
        <v>0</v>
      </c>
      <c r="I931" t="n">
        <v>0</v>
      </c>
      <c r="J931" t="n">
        <v>0</v>
      </c>
      <c r="K931" t="n">
        <v>0</v>
      </c>
      <c r="L931" t="n">
        <v>0</v>
      </c>
      <c r="M931" t="n">
        <v>0</v>
      </c>
      <c r="N931" t="n">
        <v>0</v>
      </c>
      <c r="O931" t="n">
        <v>0</v>
      </c>
      <c r="P931" t="n">
        <v>0</v>
      </c>
      <c r="Q931" t="n">
        <v>0</v>
      </c>
      <c r="R931" s="2" t="inlineStr"/>
    </row>
    <row r="932" ht="15" customHeight="1">
      <c r="A932" t="inlineStr">
        <is>
          <t>A 45651-2024</t>
        </is>
      </c>
      <c r="B932" s="1" t="n">
        <v>45579</v>
      </c>
      <c r="C932" s="1" t="n">
        <v>45983</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70591-2021</t>
        </is>
      </c>
      <c r="B933" s="1" t="n">
        <v>44537.41471064815</v>
      </c>
      <c r="C933" s="1" t="n">
        <v>45983</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36563-2024</t>
        </is>
      </c>
      <c r="B934" s="1" t="n">
        <v>45537</v>
      </c>
      <c r="C934" s="1" t="n">
        <v>45983</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58491-2023</t>
        </is>
      </c>
      <c r="B935" s="1" t="n">
        <v>45246</v>
      </c>
      <c r="C935" s="1" t="n">
        <v>45983</v>
      </c>
      <c r="D935" t="inlineStr">
        <is>
          <t>VÄRMLANDS LÄN</t>
        </is>
      </c>
      <c r="E935" t="inlineStr">
        <is>
          <t>ÅRJÄNG</t>
        </is>
      </c>
      <c r="G935" t="n">
        <v>11.4</v>
      </c>
      <c r="H935" t="n">
        <v>0</v>
      </c>
      <c r="I935" t="n">
        <v>0</v>
      </c>
      <c r="J935" t="n">
        <v>0</v>
      </c>
      <c r="K935" t="n">
        <v>0</v>
      </c>
      <c r="L935" t="n">
        <v>0</v>
      </c>
      <c r="M935" t="n">
        <v>0</v>
      </c>
      <c r="N935" t="n">
        <v>0</v>
      </c>
      <c r="O935" t="n">
        <v>0</v>
      </c>
      <c r="P935" t="n">
        <v>0</v>
      </c>
      <c r="Q935" t="n">
        <v>0</v>
      </c>
      <c r="R935" s="2" t="inlineStr"/>
    </row>
    <row r="936" ht="15" customHeight="1">
      <c r="A936" t="inlineStr">
        <is>
          <t>A 60191-2023</t>
        </is>
      </c>
      <c r="B936" s="1" t="n">
        <v>45257</v>
      </c>
      <c r="C936" s="1" t="n">
        <v>45983</v>
      </c>
      <c r="D936" t="inlineStr">
        <is>
          <t>VÄRMLANDS LÄN</t>
        </is>
      </c>
      <c r="E936" t="inlineStr">
        <is>
          <t>ÅRJÄNG</t>
        </is>
      </c>
      <c r="G936" t="n">
        <v>7.6</v>
      </c>
      <c r="H936" t="n">
        <v>0</v>
      </c>
      <c r="I936" t="n">
        <v>0</v>
      </c>
      <c r="J936" t="n">
        <v>0</v>
      </c>
      <c r="K936" t="n">
        <v>0</v>
      </c>
      <c r="L936" t="n">
        <v>0</v>
      </c>
      <c r="M936" t="n">
        <v>0</v>
      </c>
      <c r="N936" t="n">
        <v>0</v>
      </c>
      <c r="O936" t="n">
        <v>0</v>
      </c>
      <c r="P936" t="n">
        <v>0</v>
      </c>
      <c r="Q936" t="n">
        <v>0</v>
      </c>
      <c r="R936" s="2" t="inlineStr"/>
    </row>
    <row r="937" ht="15" customHeight="1">
      <c r="A937" t="inlineStr">
        <is>
          <t>A 4784-2023</t>
        </is>
      </c>
      <c r="B937" s="1" t="n">
        <v>44957.59476851852</v>
      </c>
      <c r="C937" s="1" t="n">
        <v>45983</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55901-2023</t>
        </is>
      </c>
      <c r="B938" s="1" t="n">
        <v>45239.86618055555</v>
      </c>
      <c r="C938" s="1" t="n">
        <v>45983</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43029-2021</t>
        </is>
      </c>
      <c r="B939" s="1" t="n">
        <v>44431.49302083333</v>
      </c>
      <c r="C939" s="1" t="n">
        <v>45983</v>
      </c>
      <c r="D939" t="inlineStr">
        <is>
          <t>VÄRMLANDS LÄN</t>
        </is>
      </c>
      <c r="E939" t="inlineStr">
        <is>
          <t>ÅRJÄNG</t>
        </is>
      </c>
      <c r="G939" t="n">
        <v>5.5</v>
      </c>
      <c r="H939" t="n">
        <v>0</v>
      </c>
      <c r="I939" t="n">
        <v>0</v>
      </c>
      <c r="J939" t="n">
        <v>0</v>
      </c>
      <c r="K939" t="n">
        <v>0</v>
      </c>
      <c r="L939" t="n">
        <v>0</v>
      </c>
      <c r="M939" t="n">
        <v>0</v>
      </c>
      <c r="N939" t="n">
        <v>0</v>
      </c>
      <c r="O939" t="n">
        <v>0</v>
      </c>
      <c r="P939" t="n">
        <v>0</v>
      </c>
      <c r="Q939" t="n">
        <v>0</v>
      </c>
      <c r="R939" s="2" t="inlineStr"/>
    </row>
    <row r="940" ht="15" customHeight="1">
      <c r="A940" t="inlineStr">
        <is>
          <t>A 69839-2021</t>
        </is>
      </c>
      <c r="B940" s="1" t="n">
        <v>44532</v>
      </c>
      <c r="C940" s="1" t="n">
        <v>45983</v>
      </c>
      <c r="D940" t="inlineStr">
        <is>
          <t>VÄRMLANDS LÄN</t>
        </is>
      </c>
      <c r="E940" t="inlineStr">
        <is>
          <t>ÅRJÄNG</t>
        </is>
      </c>
      <c r="G940" t="n">
        <v>3.1</v>
      </c>
      <c r="H940" t="n">
        <v>0</v>
      </c>
      <c r="I940" t="n">
        <v>0</v>
      </c>
      <c r="J940" t="n">
        <v>0</v>
      </c>
      <c r="K940" t="n">
        <v>0</v>
      </c>
      <c r="L940" t="n">
        <v>0</v>
      </c>
      <c r="M940" t="n">
        <v>0</v>
      </c>
      <c r="N940" t="n">
        <v>0</v>
      </c>
      <c r="O940" t="n">
        <v>0</v>
      </c>
      <c r="P940" t="n">
        <v>0</v>
      </c>
      <c r="Q940" t="n">
        <v>0</v>
      </c>
      <c r="R940" s="2" t="inlineStr"/>
    </row>
    <row r="941" ht="15" customHeight="1">
      <c r="A941" t="inlineStr">
        <is>
          <t>A 1377-2023</t>
        </is>
      </c>
      <c r="B941" s="1" t="n">
        <v>44936.67111111111</v>
      </c>
      <c r="C941" s="1" t="n">
        <v>45983</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3734-2023</t>
        </is>
      </c>
      <c r="B942" s="1" t="n">
        <v>44948</v>
      </c>
      <c r="C942" s="1" t="n">
        <v>45983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34350-2023</t>
        </is>
      </c>
      <c r="B943" s="1" t="n">
        <v>45139.40969907407</v>
      </c>
      <c r="C943" s="1" t="n">
        <v>45983</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7619-2023</t>
        </is>
      </c>
      <c r="B944" s="1" t="n">
        <v>44967</v>
      </c>
      <c r="C944" s="1" t="n">
        <v>45983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60377-2022</t>
        </is>
      </c>
      <c r="B945" s="1" t="n">
        <v>44904</v>
      </c>
      <c r="C945" s="1" t="n">
        <v>45983</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65844-2021</t>
        </is>
      </c>
      <c r="B946" s="1" t="n">
        <v>44517.36067129629</v>
      </c>
      <c r="C946" s="1" t="n">
        <v>45983</v>
      </c>
      <c r="D946" t="inlineStr">
        <is>
          <t>VÄRMLANDS LÄN</t>
        </is>
      </c>
      <c r="E946" t="inlineStr">
        <is>
          <t>ÅRJÄNG</t>
        </is>
      </c>
      <c r="G946" t="n">
        <v>4.6</v>
      </c>
      <c r="H946" t="n">
        <v>0</v>
      </c>
      <c r="I946" t="n">
        <v>0</v>
      </c>
      <c r="J946" t="n">
        <v>0</v>
      </c>
      <c r="K946" t="n">
        <v>0</v>
      </c>
      <c r="L946" t="n">
        <v>0</v>
      </c>
      <c r="M946" t="n">
        <v>0</v>
      </c>
      <c r="N946" t="n">
        <v>0</v>
      </c>
      <c r="O946" t="n">
        <v>0</v>
      </c>
      <c r="P946" t="n">
        <v>0</v>
      </c>
      <c r="Q946" t="n">
        <v>0</v>
      </c>
      <c r="R946" s="2" t="inlineStr"/>
    </row>
    <row r="947" ht="15" customHeight="1">
      <c r="A947" t="inlineStr">
        <is>
          <t>A 46315-2024</t>
        </is>
      </c>
      <c r="B947" s="1" t="n">
        <v>45581.73703703703</v>
      </c>
      <c r="C947" s="1" t="n">
        <v>45983</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14910-2025</t>
        </is>
      </c>
      <c r="B948" s="1" t="n">
        <v>45743.52327546296</v>
      </c>
      <c r="C948" s="1" t="n">
        <v>45983</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68687-2020</t>
        </is>
      </c>
      <c r="B949" s="1" t="n">
        <v>44187</v>
      </c>
      <c r="C949" s="1" t="n">
        <v>45983</v>
      </c>
      <c r="D949" t="inlineStr">
        <is>
          <t>VÄRMLANDS LÄN</t>
        </is>
      </c>
      <c r="E949" t="inlineStr">
        <is>
          <t>ÅRJÄNG</t>
        </is>
      </c>
      <c r="G949" t="n">
        <v>7.6</v>
      </c>
      <c r="H949" t="n">
        <v>0</v>
      </c>
      <c r="I949" t="n">
        <v>0</v>
      </c>
      <c r="J949" t="n">
        <v>0</v>
      </c>
      <c r="K949" t="n">
        <v>0</v>
      </c>
      <c r="L949" t="n">
        <v>0</v>
      </c>
      <c r="M949" t="n">
        <v>0</v>
      </c>
      <c r="N949" t="n">
        <v>0</v>
      </c>
      <c r="O949" t="n">
        <v>0</v>
      </c>
      <c r="P949" t="n">
        <v>0</v>
      </c>
      <c r="Q949" t="n">
        <v>0</v>
      </c>
      <c r="R949" s="2" t="inlineStr"/>
    </row>
    <row r="950" ht="15" customHeight="1">
      <c r="A950" t="inlineStr">
        <is>
          <t>A 37220-2024</t>
        </is>
      </c>
      <c r="B950" s="1" t="n">
        <v>45539.84837962963</v>
      </c>
      <c r="C950" s="1" t="n">
        <v>45983</v>
      </c>
      <c r="D950" t="inlineStr">
        <is>
          <t>VÄRMLANDS LÄN</t>
        </is>
      </c>
      <c r="E950" t="inlineStr">
        <is>
          <t>ÅRJÄNG</t>
        </is>
      </c>
      <c r="G950" t="n">
        <v>3.5</v>
      </c>
      <c r="H950" t="n">
        <v>0</v>
      </c>
      <c r="I950" t="n">
        <v>0</v>
      </c>
      <c r="J950" t="n">
        <v>0</v>
      </c>
      <c r="K950" t="n">
        <v>0</v>
      </c>
      <c r="L950" t="n">
        <v>0</v>
      </c>
      <c r="M950" t="n">
        <v>0</v>
      </c>
      <c r="N950" t="n">
        <v>0</v>
      </c>
      <c r="O950" t="n">
        <v>0</v>
      </c>
      <c r="P950" t="n">
        <v>0</v>
      </c>
      <c r="Q950" t="n">
        <v>0</v>
      </c>
      <c r="R950" s="2" t="inlineStr"/>
    </row>
    <row r="951" ht="15" customHeight="1">
      <c r="A951" t="inlineStr">
        <is>
          <t>A 12006-2023</t>
        </is>
      </c>
      <c r="B951" s="1" t="n">
        <v>44995.61495370371</v>
      </c>
      <c r="C951" s="1" t="n">
        <v>45983</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52803-2024</t>
        </is>
      </c>
      <c r="B952" s="1" t="n">
        <v>45610</v>
      </c>
      <c r="C952" s="1" t="n">
        <v>45983</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6405-2024</t>
        </is>
      </c>
      <c r="B953" s="1" t="n">
        <v>45338</v>
      </c>
      <c r="C953" s="1" t="n">
        <v>45983</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13859-2023</t>
        </is>
      </c>
      <c r="B954" s="1" t="n">
        <v>45007.63384259259</v>
      </c>
      <c r="C954" s="1" t="n">
        <v>45983</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63796-2021</t>
        </is>
      </c>
      <c r="B955" s="1" t="n">
        <v>44509</v>
      </c>
      <c r="C955" s="1" t="n">
        <v>45983</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50941-2023</t>
        </is>
      </c>
      <c r="B956" s="1" t="n">
        <v>45218</v>
      </c>
      <c r="C956" s="1" t="n">
        <v>45983</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57651-2024</t>
        </is>
      </c>
      <c r="B957" s="1" t="n">
        <v>45630</v>
      </c>
      <c r="C957" s="1" t="n">
        <v>45983</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35133-2024</t>
        </is>
      </c>
      <c r="B958" s="1" t="n">
        <v>45529</v>
      </c>
      <c r="C958" s="1" t="n">
        <v>45983</v>
      </c>
      <c r="D958" t="inlineStr">
        <is>
          <t>VÄRMLANDS LÄN</t>
        </is>
      </c>
      <c r="E958" t="inlineStr">
        <is>
          <t>ÅRJÄNG</t>
        </is>
      </c>
      <c r="G958" t="n">
        <v>10.2</v>
      </c>
      <c r="H958" t="n">
        <v>0</v>
      </c>
      <c r="I958" t="n">
        <v>0</v>
      </c>
      <c r="J958" t="n">
        <v>0</v>
      </c>
      <c r="K958" t="n">
        <v>0</v>
      </c>
      <c r="L958" t="n">
        <v>0</v>
      </c>
      <c r="M958" t="n">
        <v>0</v>
      </c>
      <c r="N958" t="n">
        <v>0</v>
      </c>
      <c r="O958" t="n">
        <v>0</v>
      </c>
      <c r="P958" t="n">
        <v>0</v>
      </c>
      <c r="Q958" t="n">
        <v>0</v>
      </c>
      <c r="R958" s="2" t="inlineStr"/>
    </row>
    <row r="959" ht="15" customHeight="1">
      <c r="A959" t="inlineStr">
        <is>
          <t>A 4465-2022</t>
        </is>
      </c>
      <c r="B959" s="1" t="n">
        <v>44589.60690972222</v>
      </c>
      <c r="C959" s="1" t="n">
        <v>45983</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58874-2023</t>
        </is>
      </c>
      <c r="B960" s="1" t="n">
        <v>45252</v>
      </c>
      <c r="C960" s="1" t="n">
        <v>45983</v>
      </c>
      <c r="D960" t="inlineStr">
        <is>
          <t>VÄRMLANDS LÄN</t>
        </is>
      </c>
      <c r="E960" t="inlineStr">
        <is>
          <t>ÅRJÄNG</t>
        </is>
      </c>
      <c r="G960" t="n">
        <v>2.5</v>
      </c>
      <c r="H960" t="n">
        <v>0</v>
      </c>
      <c r="I960" t="n">
        <v>0</v>
      </c>
      <c r="J960" t="n">
        <v>0</v>
      </c>
      <c r="K960" t="n">
        <v>0</v>
      </c>
      <c r="L960" t="n">
        <v>0</v>
      </c>
      <c r="M960" t="n">
        <v>0</v>
      </c>
      <c r="N960" t="n">
        <v>0</v>
      </c>
      <c r="O960" t="n">
        <v>0</v>
      </c>
      <c r="P960" t="n">
        <v>0</v>
      </c>
      <c r="Q960" t="n">
        <v>0</v>
      </c>
      <c r="R960" s="2" t="inlineStr"/>
    </row>
    <row r="961" ht="15" customHeight="1">
      <c r="A961" t="inlineStr">
        <is>
          <t>A 62357-2021</t>
        </is>
      </c>
      <c r="B961" s="1" t="n">
        <v>44503.45271990741</v>
      </c>
      <c r="C961" s="1" t="n">
        <v>45983</v>
      </c>
      <c r="D961" t="inlineStr">
        <is>
          <t>VÄRMLANDS LÄN</t>
        </is>
      </c>
      <c r="E961" t="inlineStr">
        <is>
          <t>ÅRJÄNG</t>
        </is>
      </c>
      <c r="G961" t="n">
        <v>1.9</v>
      </c>
      <c r="H961" t="n">
        <v>0</v>
      </c>
      <c r="I961" t="n">
        <v>0</v>
      </c>
      <c r="J961" t="n">
        <v>0</v>
      </c>
      <c r="K961" t="n">
        <v>0</v>
      </c>
      <c r="L961" t="n">
        <v>0</v>
      </c>
      <c r="M961" t="n">
        <v>0</v>
      </c>
      <c r="N961" t="n">
        <v>0</v>
      </c>
      <c r="O961" t="n">
        <v>0</v>
      </c>
      <c r="P961" t="n">
        <v>0</v>
      </c>
      <c r="Q961" t="n">
        <v>0</v>
      </c>
      <c r="R961" s="2" t="inlineStr"/>
    </row>
    <row r="962" ht="15" customHeight="1">
      <c r="A962" t="inlineStr">
        <is>
          <t>A 29204-2023</t>
        </is>
      </c>
      <c r="B962" s="1" t="n">
        <v>45105.5669212963</v>
      </c>
      <c r="C962" s="1" t="n">
        <v>45983</v>
      </c>
      <c r="D962" t="inlineStr">
        <is>
          <t>VÄRMLANDS LÄN</t>
        </is>
      </c>
      <c r="E962" t="inlineStr">
        <is>
          <t>ÅRJÄNG</t>
        </is>
      </c>
      <c r="G962" t="n">
        <v>1.5</v>
      </c>
      <c r="H962" t="n">
        <v>0</v>
      </c>
      <c r="I962" t="n">
        <v>0</v>
      </c>
      <c r="J962" t="n">
        <v>0</v>
      </c>
      <c r="K962" t="n">
        <v>0</v>
      </c>
      <c r="L962" t="n">
        <v>0</v>
      </c>
      <c r="M962" t="n">
        <v>0</v>
      </c>
      <c r="N962" t="n">
        <v>0</v>
      </c>
      <c r="O962" t="n">
        <v>0</v>
      </c>
      <c r="P962" t="n">
        <v>0</v>
      </c>
      <c r="Q962" t="n">
        <v>0</v>
      </c>
      <c r="R962" s="2" t="inlineStr"/>
    </row>
    <row r="963" ht="15" customHeight="1">
      <c r="A963" t="inlineStr">
        <is>
          <t>A 38536-2024</t>
        </is>
      </c>
      <c r="B963" s="1" t="n">
        <v>45546.59431712963</v>
      </c>
      <c r="C963" s="1" t="n">
        <v>45983</v>
      </c>
      <c r="D963" t="inlineStr">
        <is>
          <t>VÄRMLANDS LÄN</t>
        </is>
      </c>
      <c r="E963" t="inlineStr">
        <is>
          <t>ÅRJÄNG</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17015-2023</t>
        </is>
      </c>
      <c r="B964" s="1" t="n">
        <v>45030</v>
      </c>
      <c r="C964" s="1" t="n">
        <v>45983</v>
      </c>
      <c r="D964" t="inlineStr">
        <is>
          <t>VÄRMLANDS LÄN</t>
        </is>
      </c>
      <c r="E964" t="inlineStr">
        <is>
          <t>ÅRJÄNG</t>
        </is>
      </c>
      <c r="F964" t="inlineStr">
        <is>
          <t>Övriga Aktiebolag</t>
        </is>
      </c>
      <c r="G964" t="n">
        <v>13.9</v>
      </c>
      <c r="H964" t="n">
        <v>0</v>
      </c>
      <c r="I964" t="n">
        <v>0</v>
      </c>
      <c r="J964" t="n">
        <v>0</v>
      </c>
      <c r="K964" t="n">
        <v>0</v>
      </c>
      <c r="L964" t="n">
        <v>0</v>
      </c>
      <c r="M964" t="n">
        <v>0</v>
      </c>
      <c r="N964" t="n">
        <v>0</v>
      </c>
      <c r="O964" t="n">
        <v>0</v>
      </c>
      <c r="P964" t="n">
        <v>0</v>
      </c>
      <c r="Q964" t="n">
        <v>0</v>
      </c>
      <c r="R964" s="2" t="inlineStr"/>
    </row>
    <row r="965" ht="15" customHeight="1">
      <c r="A965" t="inlineStr">
        <is>
          <t>A 67134-2020</t>
        </is>
      </c>
      <c r="B965" s="1" t="n">
        <v>44179</v>
      </c>
      <c r="C965" s="1" t="n">
        <v>45983</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38840-2023</t>
        </is>
      </c>
      <c r="B966" s="1" t="n">
        <v>45163.48267361111</v>
      </c>
      <c r="C966" s="1" t="n">
        <v>45983</v>
      </c>
      <c r="D966" t="inlineStr">
        <is>
          <t>VÄRMLANDS LÄN</t>
        </is>
      </c>
      <c r="E966" t="inlineStr">
        <is>
          <t>ÅRJÄNG</t>
        </is>
      </c>
      <c r="G966" t="n">
        <v>2.4</v>
      </c>
      <c r="H966" t="n">
        <v>0</v>
      </c>
      <c r="I966" t="n">
        <v>0</v>
      </c>
      <c r="J966" t="n">
        <v>0</v>
      </c>
      <c r="K966" t="n">
        <v>0</v>
      </c>
      <c r="L966" t="n">
        <v>0</v>
      </c>
      <c r="M966" t="n">
        <v>0</v>
      </c>
      <c r="N966" t="n">
        <v>0</v>
      </c>
      <c r="O966" t="n">
        <v>0</v>
      </c>
      <c r="P966" t="n">
        <v>0</v>
      </c>
      <c r="Q966" t="n">
        <v>0</v>
      </c>
      <c r="R966" s="2" t="inlineStr"/>
    </row>
    <row r="967" ht="15" customHeight="1">
      <c r="A967" t="inlineStr">
        <is>
          <t>A 36195-2023</t>
        </is>
      </c>
      <c r="B967" s="1" t="n">
        <v>45149</v>
      </c>
      <c r="C967" s="1" t="n">
        <v>45983</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7445-2024</t>
        </is>
      </c>
      <c r="B968" s="1" t="n">
        <v>45345.73023148148</v>
      </c>
      <c r="C968" s="1" t="n">
        <v>45983</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45635-2024</t>
        </is>
      </c>
      <c r="B969" s="1" t="n">
        <v>45579</v>
      </c>
      <c r="C969" s="1" t="n">
        <v>45983</v>
      </c>
      <c r="D969" t="inlineStr">
        <is>
          <t>VÄRMLANDS LÄN</t>
        </is>
      </c>
      <c r="E969" t="inlineStr">
        <is>
          <t>ÅRJÄNG</t>
        </is>
      </c>
      <c r="G969" t="n">
        <v>9.1</v>
      </c>
      <c r="H969" t="n">
        <v>0</v>
      </c>
      <c r="I969" t="n">
        <v>0</v>
      </c>
      <c r="J969" t="n">
        <v>0</v>
      </c>
      <c r="K969" t="n">
        <v>0</v>
      </c>
      <c r="L969" t="n">
        <v>0</v>
      </c>
      <c r="M969" t="n">
        <v>0</v>
      </c>
      <c r="N969" t="n">
        <v>0</v>
      </c>
      <c r="O969" t="n">
        <v>0</v>
      </c>
      <c r="P969" t="n">
        <v>0</v>
      </c>
      <c r="Q969" t="n">
        <v>0</v>
      </c>
      <c r="R969" s="2" t="inlineStr"/>
    </row>
    <row r="970" ht="15" customHeight="1">
      <c r="A970" t="inlineStr">
        <is>
          <t>A 54382-2024</t>
        </is>
      </c>
      <c r="B970" s="1" t="n">
        <v>45617.44510416667</v>
      </c>
      <c r="C970" s="1" t="n">
        <v>45983</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56115-2024</t>
        </is>
      </c>
      <c r="B971" s="1" t="n">
        <v>45624.45351851852</v>
      </c>
      <c r="C971" s="1" t="n">
        <v>45983</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56116-2024</t>
        </is>
      </c>
      <c r="B972" s="1" t="n">
        <v>45624.45506944445</v>
      </c>
      <c r="C972" s="1" t="n">
        <v>45983</v>
      </c>
      <c r="D972" t="inlineStr">
        <is>
          <t>VÄRMLANDS LÄN</t>
        </is>
      </c>
      <c r="E972" t="inlineStr">
        <is>
          <t>ÅRJÄNG</t>
        </is>
      </c>
      <c r="G972" t="n">
        <v>3.2</v>
      </c>
      <c r="H972" t="n">
        <v>0</v>
      </c>
      <c r="I972" t="n">
        <v>0</v>
      </c>
      <c r="J972" t="n">
        <v>0</v>
      </c>
      <c r="K972" t="n">
        <v>0</v>
      </c>
      <c r="L972" t="n">
        <v>0</v>
      </c>
      <c r="M972" t="n">
        <v>0</v>
      </c>
      <c r="N972" t="n">
        <v>0</v>
      </c>
      <c r="O972" t="n">
        <v>0</v>
      </c>
      <c r="P972" t="n">
        <v>0</v>
      </c>
      <c r="Q972" t="n">
        <v>0</v>
      </c>
      <c r="R972" s="2" t="inlineStr"/>
    </row>
    <row r="973" ht="15" customHeight="1">
      <c r="A973" t="inlineStr">
        <is>
          <t>A 8625-2022</t>
        </is>
      </c>
      <c r="B973" s="1" t="n">
        <v>44613.61064814815</v>
      </c>
      <c r="C973" s="1" t="n">
        <v>45983</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36017-2024</t>
        </is>
      </c>
      <c r="B974" s="1" t="n">
        <v>45533</v>
      </c>
      <c r="C974" s="1" t="n">
        <v>45983</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57152-2024</t>
        </is>
      </c>
      <c r="B975" s="1" t="n">
        <v>45628</v>
      </c>
      <c r="C975" s="1" t="n">
        <v>45983</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57158-2024</t>
        </is>
      </c>
      <c r="B976" s="1" t="n">
        <v>45628</v>
      </c>
      <c r="C976" s="1" t="n">
        <v>45983</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55686-2024</t>
        </is>
      </c>
      <c r="B977" s="1" t="n">
        <v>45622</v>
      </c>
      <c r="C977" s="1" t="n">
        <v>45983</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58540-2024</t>
        </is>
      </c>
      <c r="B978" s="1" t="n">
        <v>45635</v>
      </c>
      <c r="C978" s="1" t="n">
        <v>45983</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47028-2024</t>
        </is>
      </c>
      <c r="B979" s="1" t="n">
        <v>45586</v>
      </c>
      <c r="C979" s="1" t="n">
        <v>45983</v>
      </c>
      <c r="D979" t="inlineStr">
        <is>
          <t>VÄRMLANDS LÄN</t>
        </is>
      </c>
      <c r="E979" t="inlineStr">
        <is>
          <t>ÅRJÄNG</t>
        </is>
      </c>
      <c r="G979" t="n">
        <v>1.4</v>
      </c>
      <c r="H979" t="n">
        <v>0</v>
      </c>
      <c r="I979" t="n">
        <v>0</v>
      </c>
      <c r="J979" t="n">
        <v>0</v>
      </c>
      <c r="K979" t="n">
        <v>0</v>
      </c>
      <c r="L979" t="n">
        <v>0</v>
      </c>
      <c r="M979" t="n">
        <v>0</v>
      </c>
      <c r="N979" t="n">
        <v>0</v>
      </c>
      <c r="O979" t="n">
        <v>0</v>
      </c>
      <c r="P979" t="n">
        <v>0</v>
      </c>
      <c r="Q979" t="n">
        <v>0</v>
      </c>
      <c r="R979" s="2" t="inlineStr"/>
    </row>
    <row r="980" ht="15" customHeight="1">
      <c r="A980" t="inlineStr">
        <is>
          <t>A 37029-2024</t>
        </is>
      </c>
      <c r="B980" s="1" t="n">
        <v>45539.38806712963</v>
      </c>
      <c r="C980" s="1" t="n">
        <v>45983</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16012-2024</t>
        </is>
      </c>
      <c r="B981" s="1" t="n">
        <v>45405.6524074074</v>
      </c>
      <c r="C981" s="1" t="n">
        <v>45983</v>
      </c>
      <c r="D981" t="inlineStr">
        <is>
          <t>VÄRMLANDS LÄN</t>
        </is>
      </c>
      <c r="E981" t="inlineStr">
        <is>
          <t>ÅRJÄNG</t>
        </is>
      </c>
      <c r="G981" t="n">
        <v>6.1</v>
      </c>
      <c r="H981" t="n">
        <v>0</v>
      </c>
      <c r="I981" t="n">
        <v>0</v>
      </c>
      <c r="J981" t="n">
        <v>0</v>
      </c>
      <c r="K981" t="n">
        <v>0</v>
      </c>
      <c r="L981" t="n">
        <v>0</v>
      </c>
      <c r="M981" t="n">
        <v>0</v>
      </c>
      <c r="N981" t="n">
        <v>0</v>
      </c>
      <c r="O981" t="n">
        <v>0</v>
      </c>
      <c r="P981" t="n">
        <v>0</v>
      </c>
      <c r="Q981" t="n">
        <v>0</v>
      </c>
      <c r="R981" s="2" t="inlineStr"/>
    </row>
    <row r="982" ht="15" customHeight="1">
      <c r="A982" t="inlineStr">
        <is>
          <t>A 31794-2023</t>
        </is>
      </c>
      <c r="B982" s="1" t="n">
        <v>45118.43856481482</v>
      </c>
      <c r="C982" s="1" t="n">
        <v>45983</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57126-2024</t>
        </is>
      </c>
      <c r="B983" s="1" t="n">
        <v>45629.37579861111</v>
      </c>
      <c r="C983" s="1" t="n">
        <v>45983</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58270-2024</t>
        </is>
      </c>
      <c r="B984" s="1" t="n">
        <v>45632.56928240741</v>
      </c>
      <c r="C984" s="1" t="n">
        <v>45983</v>
      </c>
      <c r="D984" t="inlineStr">
        <is>
          <t>VÄRMLANDS LÄN</t>
        </is>
      </c>
      <c r="E984" t="inlineStr">
        <is>
          <t>ÅRJÄNG</t>
        </is>
      </c>
      <c r="G984" t="n">
        <v>2.4</v>
      </c>
      <c r="H984" t="n">
        <v>0</v>
      </c>
      <c r="I984" t="n">
        <v>0</v>
      </c>
      <c r="J984" t="n">
        <v>0</v>
      </c>
      <c r="K984" t="n">
        <v>0</v>
      </c>
      <c r="L984" t="n">
        <v>0</v>
      </c>
      <c r="M984" t="n">
        <v>0</v>
      </c>
      <c r="N984" t="n">
        <v>0</v>
      </c>
      <c r="O984" t="n">
        <v>0</v>
      </c>
      <c r="P984" t="n">
        <v>0</v>
      </c>
      <c r="Q984" t="n">
        <v>0</v>
      </c>
      <c r="R984" s="2" t="inlineStr"/>
    </row>
    <row r="985" ht="15" customHeight="1">
      <c r="A985" t="inlineStr">
        <is>
          <t>A 47981-2023</t>
        </is>
      </c>
      <c r="B985" s="1" t="n">
        <v>45198</v>
      </c>
      <c r="C985" s="1" t="n">
        <v>45983</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20463-2024</t>
        </is>
      </c>
      <c r="B986" s="1" t="n">
        <v>45435</v>
      </c>
      <c r="C986" s="1" t="n">
        <v>45983</v>
      </c>
      <c r="D986" t="inlineStr">
        <is>
          <t>VÄRMLANDS LÄN</t>
        </is>
      </c>
      <c r="E986" t="inlineStr">
        <is>
          <t>ÅRJÄNG</t>
        </is>
      </c>
      <c r="G986" t="n">
        <v>3.2</v>
      </c>
      <c r="H986" t="n">
        <v>0</v>
      </c>
      <c r="I986" t="n">
        <v>0</v>
      </c>
      <c r="J986" t="n">
        <v>0</v>
      </c>
      <c r="K986" t="n">
        <v>0</v>
      </c>
      <c r="L986" t="n">
        <v>0</v>
      </c>
      <c r="M986" t="n">
        <v>0</v>
      </c>
      <c r="N986" t="n">
        <v>0</v>
      </c>
      <c r="O986" t="n">
        <v>0</v>
      </c>
      <c r="P986" t="n">
        <v>0</v>
      </c>
      <c r="Q986" t="n">
        <v>0</v>
      </c>
      <c r="R986" s="2" t="inlineStr"/>
    </row>
    <row r="987" ht="15" customHeight="1">
      <c r="A987" t="inlineStr">
        <is>
          <t>A 73363-2021</t>
        </is>
      </c>
      <c r="B987" s="1" t="n">
        <v>44550</v>
      </c>
      <c r="C987" s="1" t="n">
        <v>45983</v>
      </c>
      <c r="D987" t="inlineStr">
        <is>
          <t>VÄRMLANDS LÄN</t>
        </is>
      </c>
      <c r="E987" t="inlineStr">
        <is>
          <t>ÅRJÄNG</t>
        </is>
      </c>
      <c r="G987" t="n">
        <v>11.5</v>
      </c>
      <c r="H987" t="n">
        <v>0</v>
      </c>
      <c r="I987" t="n">
        <v>0</v>
      </c>
      <c r="J987" t="n">
        <v>0</v>
      </c>
      <c r="K987" t="n">
        <v>0</v>
      </c>
      <c r="L987" t="n">
        <v>0</v>
      </c>
      <c r="M987" t="n">
        <v>0</v>
      </c>
      <c r="N987" t="n">
        <v>0</v>
      </c>
      <c r="O987" t="n">
        <v>0</v>
      </c>
      <c r="P987" t="n">
        <v>0</v>
      </c>
      <c r="Q987" t="n">
        <v>0</v>
      </c>
      <c r="R987" s="2" t="inlineStr"/>
    </row>
    <row r="988" ht="15" customHeight="1">
      <c r="A988" t="inlineStr">
        <is>
          <t>A 37122-2022</t>
        </is>
      </c>
      <c r="B988" s="1" t="n">
        <v>44806</v>
      </c>
      <c r="C988" s="1" t="n">
        <v>45983</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59014-2024</t>
        </is>
      </c>
      <c r="B989" s="1" t="n">
        <v>45636</v>
      </c>
      <c r="C989" s="1" t="n">
        <v>45983</v>
      </c>
      <c r="D989" t="inlineStr">
        <is>
          <t>VÄRMLANDS LÄN</t>
        </is>
      </c>
      <c r="E989" t="inlineStr">
        <is>
          <t>ÅRJÄNG</t>
        </is>
      </c>
      <c r="G989" t="n">
        <v>0.6</v>
      </c>
      <c r="H989" t="n">
        <v>0</v>
      </c>
      <c r="I989" t="n">
        <v>0</v>
      </c>
      <c r="J989" t="n">
        <v>0</v>
      </c>
      <c r="K989" t="n">
        <v>0</v>
      </c>
      <c r="L989" t="n">
        <v>0</v>
      </c>
      <c r="M989" t="n">
        <v>0</v>
      </c>
      <c r="N989" t="n">
        <v>0</v>
      </c>
      <c r="O989" t="n">
        <v>0</v>
      </c>
      <c r="P989" t="n">
        <v>0</v>
      </c>
      <c r="Q989" t="n">
        <v>0</v>
      </c>
      <c r="R989" s="2" t="inlineStr"/>
    </row>
    <row r="990" ht="15" customHeight="1">
      <c r="A990" t="inlineStr">
        <is>
          <t>A 37061-2023</t>
        </is>
      </c>
      <c r="B990" s="1" t="n">
        <v>45155</v>
      </c>
      <c r="C990" s="1" t="n">
        <v>45983</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20028-2023</t>
        </is>
      </c>
      <c r="B991" s="1" t="n">
        <v>45054.64534722222</v>
      </c>
      <c r="C991" s="1" t="n">
        <v>45983</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56644-2024</t>
        </is>
      </c>
      <c r="B992" s="1" t="n">
        <v>45625</v>
      </c>
      <c r="C992" s="1" t="n">
        <v>45983</v>
      </c>
      <c r="D992" t="inlineStr">
        <is>
          <t>VÄRMLANDS LÄN</t>
        </is>
      </c>
      <c r="E992" t="inlineStr">
        <is>
          <t>ÅRJÄNG</t>
        </is>
      </c>
      <c r="G992" t="n">
        <v>12.6</v>
      </c>
      <c r="H992" t="n">
        <v>0</v>
      </c>
      <c r="I992" t="n">
        <v>0</v>
      </c>
      <c r="J992" t="n">
        <v>0</v>
      </c>
      <c r="K992" t="n">
        <v>0</v>
      </c>
      <c r="L992" t="n">
        <v>0</v>
      </c>
      <c r="M992" t="n">
        <v>0</v>
      </c>
      <c r="N992" t="n">
        <v>0</v>
      </c>
      <c r="O992" t="n">
        <v>0</v>
      </c>
      <c r="P992" t="n">
        <v>0</v>
      </c>
      <c r="Q992" t="n">
        <v>0</v>
      </c>
      <c r="R992" s="2" t="inlineStr"/>
    </row>
    <row r="993" ht="15" customHeight="1">
      <c r="A993" t="inlineStr">
        <is>
          <t>A 40360-2024</t>
        </is>
      </c>
      <c r="B993" s="1" t="n">
        <v>45555</v>
      </c>
      <c r="C993" s="1" t="n">
        <v>45983</v>
      </c>
      <c r="D993" t="inlineStr">
        <is>
          <t>VÄRMLANDS LÄN</t>
        </is>
      </c>
      <c r="E993" t="inlineStr">
        <is>
          <t>ÅRJÄNG</t>
        </is>
      </c>
      <c r="G993" t="n">
        <v>1.7</v>
      </c>
      <c r="H993" t="n">
        <v>0</v>
      </c>
      <c r="I993" t="n">
        <v>0</v>
      </c>
      <c r="J993" t="n">
        <v>0</v>
      </c>
      <c r="K993" t="n">
        <v>0</v>
      </c>
      <c r="L993" t="n">
        <v>0</v>
      </c>
      <c r="M993" t="n">
        <v>0</v>
      </c>
      <c r="N993" t="n">
        <v>0</v>
      </c>
      <c r="O993" t="n">
        <v>0</v>
      </c>
      <c r="P993" t="n">
        <v>0</v>
      </c>
      <c r="Q993" t="n">
        <v>0</v>
      </c>
      <c r="R993" s="2" t="inlineStr"/>
    </row>
    <row r="994" ht="15" customHeight="1">
      <c r="A994" t="inlineStr">
        <is>
          <t>A 45124-2024</t>
        </is>
      </c>
      <c r="B994" s="1" t="n">
        <v>45575</v>
      </c>
      <c r="C994" s="1" t="n">
        <v>45983</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5507-2024</t>
        </is>
      </c>
      <c r="B995" s="1" t="n">
        <v>45334.36188657407</v>
      </c>
      <c r="C995" s="1" t="n">
        <v>45983</v>
      </c>
      <c r="D995" t="inlineStr">
        <is>
          <t>VÄRMLANDS LÄN</t>
        </is>
      </c>
      <c r="E995" t="inlineStr">
        <is>
          <t>ÅRJÄNG</t>
        </is>
      </c>
      <c r="G995" t="n">
        <v>4.8</v>
      </c>
      <c r="H995" t="n">
        <v>0</v>
      </c>
      <c r="I995" t="n">
        <v>0</v>
      </c>
      <c r="J995" t="n">
        <v>0</v>
      </c>
      <c r="K995" t="n">
        <v>0</v>
      </c>
      <c r="L995" t="n">
        <v>0</v>
      </c>
      <c r="M995" t="n">
        <v>0</v>
      </c>
      <c r="N995" t="n">
        <v>0</v>
      </c>
      <c r="O995" t="n">
        <v>0</v>
      </c>
      <c r="P995" t="n">
        <v>0</v>
      </c>
      <c r="Q995" t="n">
        <v>0</v>
      </c>
      <c r="R995" s="2" t="inlineStr"/>
    </row>
    <row r="996" ht="15" customHeight="1">
      <c r="A996" t="inlineStr">
        <is>
          <t>A 73623-2021</t>
        </is>
      </c>
      <c r="B996" s="1" t="n">
        <v>44552</v>
      </c>
      <c r="C996" s="1" t="n">
        <v>45983</v>
      </c>
      <c r="D996" t="inlineStr">
        <is>
          <t>VÄRMLANDS LÄN</t>
        </is>
      </c>
      <c r="E996" t="inlineStr">
        <is>
          <t>ÅRJÄNG</t>
        </is>
      </c>
      <c r="G996" t="n">
        <v>7.4</v>
      </c>
      <c r="H996" t="n">
        <v>0</v>
      </c>
      <c r="I996" t="n">
        <v>0</v>
      </c>
      <c r="J996" t="n">
        <v>0</v>
      </c>
      <c r="K996" t="n">
        <v>0</v>
      </c>
      <c r="L996" t="n">
        <v>0</v>
      </c>
      <c r="M996" t="n">
        <v>0</v>
      </c>
      <c r="N996" t="n">
        <v>0</v>
      </c>
      <c r="O996" t="n">
        <v>0</v>
      </c>
      <c r="P996" t="n">
        <v>0</v>
      </c>
      <c r="Q996" t="n">
        <v>0</v>
      </c>
      <c r="R996" s="2" t="inlineStr"/>
    </row>
    <row r="997" ht="15" customHeight="1">
      <c r="A997" t="inlineStr">
        <is>
          <t>A 19313-2023</t>
        </is>
      </c>
      <c r="B997" s="1" t="n">
        <v>45049</v>
      </c>
      <c r="C997" s="1" t="n">
        <v>45983</v>
      </c>
      <c r="D997" t="inlineStr">
        <is>
          <t>VÄRMLANDS LÄN</t>
        </is>
      </c>
      <c r="E997" t="inlineStr">
        <is>
          <t>ÅRJÄNG</t>
        </is>
      </c>
      <c r="G997" t="n">
        <v>2</v>
      </c>
      <c r="H997" t="n">
        <v>0</v>
      </c>
      <c r="I997" t="n">
        <v>0</v>
      </c>
      <c r="J997" t="n">
        <v>0</v>
      </c>
      <c r="K997" t="n">
        <v>0</v>
      </c>
      <c r="L997" t="n">
        <v>0</v>
      </c>
      <c r="M997" t="n">
        <v>0</v>
      </c>
      <c r="N997" t="n">
        <v>0</v>
      </c>
      <c r="O997" t="n">
        <v>0</v>
      </c>
      <c r="P997" t="n">
        <v>0</v>
      </c>
      <c r="Q997" t="n">
        <v>0</v>
      </c>
      <c r="R997" s="2" t="inlineStr"/>
    </row>
    <row r="998" ht="15" customHeight="1">
      <c r="A998" t="inlineStr">
        <is>
          <t>A 50918-2023</t>
        </is>
      </c>
      <c r="B998" s="1" t="n">
        <v>45218.4339699074</v>
      </c>
      <c r="C998" s="1" t="n">
        <v>45983</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56342-2024</t>
        </is>
      </c>
      <c r="B999" s="1" t="n">
        <v>45624</v>
      </c>
      <c r="C999" s="1" t="n">
        <v>45983</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56347-2024</t>
        </is>
      </c>
      <c r="B1000" s="1" t="n">
        <v>45624</v>
      </c>
      <c r="C1000" s="1" t="n">
        <v>45983</v>
      </c>
      <c r="D1000" t="inlineStr">
        <is>
          <t>VÄRMLANDS LÄN</t>
        </is>
      </c>
      <c r="E1000" t="inlineStr">
        <is>
          <t>ÅRJÄNG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23945-2023</t>
        </is>
      </c>
      <c r="B1001" s="1" t="n">
        <v>45075</v>
      </c>
      <c r="C1001" s="1" t="n">
        <v>45983</v>
      </c>
      <c r="D1001" t="inlineStr">
        <is>
          <t>VÄRMLANDS LÄN</t>
        </is>
      </c>
      <c r="E1001" t="inlineStr">
        <is>
          <t>ÅRJÄNG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58435-2024</t>
        </is>
      </c>
      <c r="B1002" s="1" t="n">
        <v>45634</v>
      </c>
      <c r="C1002" s="1" t="n">
        <v>45983</v>
      </c>
      <c r="D1002" t="inlineStr">
        <is>
          <t>VÄRMLANDS LÄN</t>
        </is>
      </c>
      <c r="E1002" t="inlineStr">
        <is>
          <t>ÅRJÄNG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32541-2023</t>
        </is>
      </c>
      <c r="B1003" s="1" t="n">
        <v>45121.39616898148</v>
      </c>
      <c r="C1003" s="1" t="n">
        <v>45983</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11704-2025</t>
        </is>
      </c>
      <c r="B1004" s="1" t="n">
        <v>45727.57896990741</v>
      </c>
      <c r="C1004" s="1" t="n">
        <v>45983</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15903-2022</t>
        </is>
      </c>
      <c r="B1005" s="1" t="n">
        <v>44664.57841435185</v>
      </c>
      <c r="C1005" s="1" t="n">
        <v>45983</v>
      </c>
      <c r="D1005" t="inlineStr">
        <is>
          <t>VÄRMLANDS LÄN</t>
        </is>
      </c>
      <c r="E1005" t="inlineStr">
        <is>
          <t>ÅRJÄNG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37765-2023</t>
        </is>
      </c>
      <c r="B1006" s="1" t="n">
        <v>45159</v>
      </c>
      <c r="C1006" s="1" t="n">
        <v>45983</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61226-2024</t>
        </is>
      </c>
      <c r="B1007" s="1" t="n">
        <v>45645.66853009259</v>
      </c>
      <c r="C1007" s="1" t="n">
        <v>45983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51157-2024</t>
        </is>
      </c>
      <c r="B1008" s="1" t="n">
        <v>45603</v>
      </c>
      <c r="C1008" s="1" t="n">
        <v>45983</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4798-2022</t>
        </is>
      </c>
      <c r="B1009" s="1" t="n">
        <v>44592.6534375</v>
      </c>
      <c r="C1009" s="1" t="n">
        <v>45983</v>
      </c>
      <c r="D1009" t="inlineStr">
        <is>
          <t>VÄRMLANDS LÄN</t>
        </is>
      </c>
      <c r="E1009" t="inlineStr">
        <is>
          <t>ÅRJÄNG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60020-2024</t>
        </is>
      </c>
      <c r="B1010" s="1" t="n">
        <v>45642.44655092592</v>
      </c>
      <c r="C1010" s="1" t="n">
        <v>45983</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20674-2023</t>
        </is>
      </c>
      <c r="B1011" s="1" t="n">
        <v>45058</v>
      </c>
      <c r="C1011" s="1" t="n">
        <v>45983</v>
      </c>
      <c r="D1011" t="inlineStr">
        <is>
          <t>VÄRMLANDS LÄN</t>
        </is>
      </c>
      <c r="E1011" t="inlineStr">
        <is>
          <t>ÅRJÄNG</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39096-2023</t>
        </is>
      </c>
      <c r="B1012" s="1" t="n">
        <v>45164.55570601852</v>
      </c>
      <c r="C1012" s="1" t="n">
        <v>45983</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23878-2023</t>
        </is>
      </c>
      <c r="B1013" s="1" t="n">
        <v>45078</v>
      </c>
      <c r="C1013" s="1" t="n">
        <v>45983</v>
      </c>
      <c r="D1013" t="inlineStr">
        <is>
          <t>VÄRMLANDS LÄN</t>
        </is>
      </c>
      <c r="E1013" t="inlineStr">
        <is>
          <t>ÅRJÄNG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39178-2023</t>
        </is>
      </c>
      <c r="B1014" s="1" t="n">
        <v>45166.38395833333</v>
      </c>
      <c r="C1014" s="1" t="n">
        <v>45983</v>
      </c>
      <c r="D1014" t="inlineStr">
        <is>
          <t>VÄRMLANDS LÄN</t>
        </is>
      </c>
      <c r="E1014" t="inlineStr">
        <is>
          <t>ÅRJÄNG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5332-2025</t>
        </is>
      </c>
      <c r="B1015" s="1" t="n">
        <v>45692.53978009259</v>
      </c>
      <c r="C1015" s="1" t="n">
        <v>45983</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52574-2024</t>
        </is>
      </c>
      <c r="B1016" s="1" t="n">
        <v>45609</v>
      </c>
      <c r="C1016" s="1" t="n">
        <v>45983</v>
      </c>
      <c r="D1016" t="inlineStr">
        <is>
          <t>VÄRMLANDS LÄN</t>
        </is>
      </c>
      <c r="E1016" t="inlineStr">
        <is>
          <t>ÅRJÄNG</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3656-2022</t>
        </is>
      </c>
      <c r="B1017" s="1" t="n">
        <v>44586</v>
      </c>
      <c r="C1017" s="1" t="n">
        <v>45983</v>
      </c>
      <c r="D1017" t="inlineStr">
        <is>
          <t>VÄRMLANDS LÄN</t>
        </is>
      </c>
      <c r="E1017" t="inlineStr">
        <is>
          <t>ÅRJÄNG</t>
        </is>
      </c>
      <c r="G1017" t="n">
        <v>11.7</v>
      </c>
      <c r="H1017" t="n">
        <v>0</v>
      </c>
      <c r="I1017" t="n">
        <v>0</v>
      </c>
      <c r="J1017" t="n">
        <v>0</v>
      </c>
      <c r="K1017" t="n">
        <v>0</v>
      </c>
      <c r="L1017" t="n">
        <v>0</v>
      </c>
      <c r="M1017" t="n">
        <v>0</v>
      </c>
      <c r="N1017" t="n">
        <v>0</v>
      </c>
      <c r="O1017" t="n">
        <v>0</v>
      </c>
      <c r="P1017" t="n">
        <v>0</v>
      </c>
      <c r="Q1017" t="n">
        <v>0</v>
      </c>
      <c r="R1017" s="2" t="inlineStr"/>
    </row>
    <row r="1018" ht="15" customHeight="1">
      <c r="A1018" t="inlineStr">
        <is>
          <t>A 11392-2024</t>
        </is>
      </c>
      <c r="B1018" s="1" t="n">
        <v>45372</v>
      </c>
      <c r="C1018" s="1" t="n">
        <v>45983</v>
      </c>
      <c r="D1018" t="inlineStr">
        <is>
          <t>VÄRMLANDS LÄN</t>
        </is>
      </c>
      <c r="E1018" t="inlineStr">
        <is>
          <t>ÅRJÄNG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70461-2021</t>
        </is>
      </c>
      <c r="B1019" s="1" t="n">
        <v>44536</v>
      </c>
      <c r="C1019" s="1" t="n">
        <v>45983</v>
      </c>
      <c r="D1019" t="inlineStr">
        <is>
          <t>VÄRMLANDS LÄN</t>
        </is>
      </c>
      <c r="E1019" t="inlineStr">
        <is>
          <t>ÅRJÄNG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38707-2023</t>
        </is>
      </c>
      <c r="B1020" s="1" t="n">
        <v>45163.34018518519</v>
      </c>
      <c r="C1020" s="1" t="n">
        <v>45983</v>
      </c>
      <c r="D1020" t="inlineStr">
        <is>
          <t>VÄRMLANDS LÄN</t>
        </is>
      </c>
      <c r="E1020" t="inlineStr">
        <is>
          <t>ÅRJÄNG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45643-2023</t>
        </is>
      </c>
      <c r="B1021" s="1" t="n">
        <v>45194.69827546296</v>
      </c>
      <c r="C1021" s="1" t="n">
        <v>45983</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45983</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52579-2024</t>
        </is>
      </c>
      <c r="B1023" s="1" t="n">
        <v>45609</v>
      </c>
      <c r="C1023" s="1" t="n">
        <v>45983</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44556-2023</t>
        </is>
      </c>
      <c r="B1024" s="1" t="n">
        <v>45189.53738425926</v>
      </c>
      <c r="C1024" s="1" t="n">
        <v>45983</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53742-2024</t>
        </is>
      </c>
      <c r="B1025" s="1" t="n">
        <v>45615.47130787037</v>
      </c>
      <c r="C1025" s="1" t="n">
        <v>45983</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56769-2024</t>
        </is>
      </c>
      <c r="B1026" s="1" t="n">
        <v>45628.41550925926</v>
      </c>
      <c r="C1026" s="1" t="n">
        <v>45983</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4582-2025</t>
        </is>
      </c>
      <c r="B1027" s="1" t="n">
        <v>45687</v>
      </c>
      <c r="C1027" s="1" t="n">
        <v>45983</v>
      </c>
      <c r="D1027" t="inlineStr">
        <is>
          <t>VÄRMLANDS LÄN</t>
        </is>
      </c>
      <c r="E1027" t="inlineStr">
        <is>
          <t>ÅRJÄNG</t>
        </is>
      </c>
      <c r="F1027" t="inlineStr">
        <is>
          <t>Övriga Aktiebolag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44004-2023</t>
        </is>
      </c>
      <c r="B1028" s="1" t="n">
        <v>45188.30134259259</v>
      </c>
      <c r="C1028" s="1" t="n">
        <v>45983</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44007-2023</t>
        </is>
      </c>
      <c r="B1029" s="1" t="n">
        <v>45188.31231481482</v>
      </c>
      <c r="C1029" s="1" t="n">
        <v>45983</v>
      </c>
      <c r="D1029" t="inlineStr">
        <is>
          <t>VÄRMLANDS LÄN</t>
        </is>
      </c>
      <c r="E1029" t="inlineStr">
        <is>
          <t>ÅRJÄNG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5741-2025</t>
        </is>
      </c>
      <c r="B1030" s="1" t="n">
        <v>45694.52100694444</v>
      </c>
      <c r="C1030" s="1" t="n">
        <v>45983</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283-2025</t>
        </is>
      </c>
      <c r="B1031" s="1" t="n">
        <v>45656</v>
      </c>
      <c r="C1031" s="1" t="n">
        <v>45983</v>
      </c>
      <c r="D1031" t="inlineStr">
        <is>
          <t>VÄRMLANDS LÄN</t>
        </is>
      </c>
      <c r="E1031" t="inlineStr">
        <is>
          <t>ÅRJÄNG</t>
        </is>
      </c>
      <c r="F1031" t="inlineStr">
        <is>
          <t>Övriga Aktiebolag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5127-2025</t>
        </is>
      </c>
      <c r="B1032" s="1" t="n">
        <v>45691.56623842593</v>
      </c>
      <c r="C1032" s="1" t="n">
        <v>45983</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55422-2023</t>
        </is>
      </c>
      <c r="B1033" s="1" t="n">
        <v>45238.41858796297</v>
      </c>
      <c r="C1033" s="1" t="n">
        <v>45983</v>
      </c>
      <c r="D1033" t="inlineStr">
        <is>
          <t>VÄRMLANDS LÄN</t>
        </is>
      </c>
      <c r="E1033" t="inlineStr">
        <is>
          <t>ÅRJÄNG</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8601-2022</t>
        </is>
      </c>
      <c r="B1034" s="1" t="n">
        <v>44613.57193287037</v>
      </c>
      <c r="C1034" s="1" t="n">
        <v>45983</v>
      </c>
      <c r="D1034" t="inlineStr">
        <is>
          <t>VÄRMLANDS LÄN</t>
        </is>
      </c>
      <c r="E1034" t="inlineStr">
        <is>
          <t>ÅRJÄNG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56060-2023</t>
        </is>
      </c>
      <c r="B1035" s="1" t="n">
        <v>45233</v>
      </c>
      <c r="C1035" s="1" t="n">
        <v>45983</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56655-2024</t>
        </is>
      </c>
      <c r="B1036" s="1" t="n">
        <v>45625</v>
      </c>
      <c r="C1036" s="1" t="n">
        <v>45983</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27240-2023</t>
        </is>
      </c>
      <c r="B1037" s="1" t="n">
        <v>45096</v>
      </c>
      <c r="C1037" s="1" t="n">
        <v>45983</v>
      </c>
      <c r="D1037" t="inlineStr">
        <is>
          <t>VÄRMLANDS LÄN</t>
        </is>
      </c>
      <c r="E1037" t="inlineStr">
        <is>
          <t>ÅRJÄNG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12137-2025</t>
        </is>
      </c>
      <c r="B1038" s="1" t="n">
        <v>45729.39879629629</v>
      </c>
      <c r="C1038" s="1" t="n">
        <v>45983</v>
      </c>
      <c r="D1038" t="inlineStr">
        <is>
          <t>VÄRMLANDS LÄN</t>
        </is>
      </c>
      <c r="E1038" t="inlineStr">
        <is>
          <t>ÅRJÄNG</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46351-2023</t>
        </is>
      </c>
      <c r="B1039" s="1" t="n">
        <v>45197.42811342593</v>
      </c>
      <c r="C1039" s="1" t="n">
        <v>45983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17361-2022</t>
        </is>
      </c>
      <c r="B1040" s="1" t="n">
        <v>44678.6044675926</v>
      </c>
      <c r="C1040" s="1" t="n">
        <v>45983</v>
      </c>
      <c r="D1040" t="inlineStr">
        <is>
          <t>VÄRMLANDS LÄN</t>
        </is>
      </c>
      <c r="E1040" t="inlineStr">
        <is>
          <t>ÅRJÄNG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57546-2024</t>
        </is>
      </c>
      <c r="B1041" s="1" t="n">
        <v>45629</v>
      </c>
      <c r="C1041" s="1" t="n">
        <v>45983</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9427-2025</t>
        </is>
      </c>
      <c r="B1042" s="1" t="n">
        <v>45715</v>
      </c>
      <c r="C1042" s="1" t="n">
        <v>45983</v>
      </c>
      <c r="D1042" t="inlineStr">
        <is>
          <t>VÄRMLANDS LÄN</t>
        </is>
      </c>
      <c r="E1042" t="inlineStr">
        <is>
          <t>ÅRJÄNG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57306-2023</t>
        </is>
      </c>
      <c r="B1043" s="1" t="n">
        <v>45245.62431712963</v>
      </c>
      <c r="C1043" s="1" t="n">
        <v>45983</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48357-2023</t>
        </is>
      </c>
      <c r="B1044" s="1" t="n">
        <v>45202</v>
      </c>
      <c r="C1044" s="1" t="n">
        <v>45983</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39434-2023</t>
        </is>
      </c>
      <c r="B1045" s="1" t="n">
        <v>45166.69690972222</v>
      </c>
      <c r="C1045" s="1" t="n">
        <v>45983</v>
      </c>
      <c r="D1045" t="inlineStr">
        <is>
          <t>VÄRMLANDS LÄN</t>
        </is>
      </c>
      <c r="E1045" t="inlineStr">
        <is>
          <t>ÅRJÄNG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236-2025</t>
        </is>
      </c>
      <c r="B1046" s="1" t="n">
        <v>45653</v>
      </c>
      <c r="C1046" s="1" t="n">
        <v>45983</v>
      </c>
      <c r="D1046" t="inlineStr">
        <is>
          <t>VÄRMLANDS LÄN</t>
        </is>
      </c>
      <c r="E1046" t="inlineStr">
        <is>
          <t>ÅRJÄNG</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1602-2025</t>
        </is>
      </c>
      <c r="B1047" s="1" t="n">
        <v>45670.59069444444</v>
      </c>
      <c r="C1047" s="1" t="n">
        <v>45983</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43253-2023</t>
        </is>
      </c>
      <c r="B1048" s="1" t="n">
        <v>45183.49578703703</v>
      </c>
      <c r="C1048" s="1" t="n">
        <v>45983</v>
      </c>
      <c r="D1048" t="inlineStr">
        <is>
          <t>VÄRMLANDS LÄN</t>
        </is>
      </c>
      <c r="E1048" t="inlineStr">
        <is>
          <t>ÅRJÄNG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17827-2025</t>
        </is>
      </c>
      <c r="B1049" s="1" t="n">
        <v>45758.57596064815</v>
      </c>
      <c r="C1049" s="1" t="n">
        <v>45983</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19920-2024</t>
        </is>
      </c>
      <c r="B1050" s="1" t="n">
        <v>45433.58947916667</v>
      </c>
      <c r="C1050" s="1" t="n">
        <v>45983</v>
      </c>
      <c r="D1050" t="inlineStr">
        <is>
          <t>VÄRMLANDS LÄN</t>
        </is>
      </c>
      <c r="E1050" t="inlineStr">
        <is>
          <t>ÅRJÄNG</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32095-2024</t>
        </is>
      </c>
      <c r="B1051" s="1" t="n">
        <v>45511.39107638889</v>
      </c>
      <c r="C1051" s="1" t="n">
        <v>45983</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301-2025</t>
        </is>
      </c>
      <c r="B1052" s="1" t="n">
        <v>45660.56</v>
      </c>
      <c r="C1052" s="1" t="n">
        <v>45983</v>
      </c>
      <c r="D1052" t="inlineStr">
        <is>
          <t>VÄRMLANDS LÄN</t>
        </is>
      </c>
      <c r="E1052" t="inlineStr">
        <is>
          <t>ÅRJÄNG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14434-2025</t>
        </is>
      </c>
      <c r="B1053" s="1" t="n">
        <v>45741</v>
      </c>
      <c r="C1053" s="1" t="n">
        <v>45983</v>
      </c>
      <c r="D1053" t="inlineStr">
        <is>
          <t>VÄRMLANDS LÄN</t>
        </is>
      </c>
      <c r="E1053" t="inlineStr">
        <is>
          <t>ÅRJÄNG</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19248-2025</t>
        </is>
      </c>
      <c r="B1054" s="1" t="n">
        <v>45769.48710648148</v>
      </c>
      <c r="C1054" s="1" t="n">
        <v>45983</v>
      </c>
      <c r="D1054" t="inlineStr">
        <is>
          <t>VÄRMLANDS LÄN</t>
        </is>
      </c>
      <c r="E1054" t="inlineStr">
        <is>
          <t>ÅRJÄNG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6109-2025</t>
        </is>
      </c>
      <c r="B1055" s="1" t="n">
        <v>45698.31012731481</v>
      </c>
      <c r="C1055" s="1" t="n">
        <v>45983</v>
      </c>
      <c r="D1055" t="inlineStr">
        <is>
          <t>VÄRMLANDS LÄN</t>
        </is>
      </c>
      <c r="E1055" t="inlineStr">
        <is>
          <t>ÅRJÄNG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21443-2022</t>
        </is>
      </c>
      <c r="B1056" s="1" t="n">
        <v>44706.35293981482</v>
      </c>
      <c r="C1056" s="1" t="n">
        <v>45983</v>
      </c>
      <c r="D1056" t="inlineStr">
        <is>
          <t>VÄRMLANDS LÄN</t>
        </is>
      </c>
      <c r="E1056" t="inlineStr">
        <is>
          <t>ÅRJÄNG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48203-2023</t>
        </is>
      </c>
      <c r="B1057" s="1" t="n">
        <v>45200</v>
      </c>
      <c r="C1057" s="1" t="n">
        <v>45983</v>
      </c>
      <c r="D1057" t="inlineStr">
        <is>
          <t>VÄRMLANDS LÄN</t>
        </is>
      </c>
      <c r="E1057" t="inlineStr">
        <is>
          <t>ÅRJÄNG</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42667-2023</t>
        </is>
      </c>
      <c r="B1058" s="1" t="n">
        <v>45176</v>
      </c>
      <c r="C1058" s="1" t="n">
        <v>45983</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13504-2025</t>
        </is>
      </c>
      <c r="B1059" s="1" t="n">
        <v>45736.46400462963</v>
      </c>
      <c r="C1059" s="1" t="n">
        <v>45983</v>
      </c>
      <c r="D1059" t="inlineStr">
        <is>
          <t>VÄRMLANDS LÄN</t>
        </is>
      </c>
      <c r="E1059" t="inlineStr">
        <is>
          <t>ÅRJÄNG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16519-2025</t>
        </is>
      </c>
      <c r="B1060" s="1" t="n">
        <v>45751</v>
      </c>
      <c r="C1060" s="1" t="n">
        <v>45983</v>
      </c>
      <c r="D1060" t="inlineStr">
        <is>
          <t>VÄRMLANDS LÄN</t>
        </is>
      </c>
      <c r="E1060" t="inlineStr">
        <is>
          <t>ÅRJÄNG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53554-2023</t>
        </is>
      </c>
      <c r="B1061" s="1" t="n">
        <v>45230</v>
      </c>
      <c r="C1061" s="1" t="n">
        <v>45983</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55574-2023</t>
        </is>
      </c>
      <c r="B1062" s="1" t="n">
        <v>45232</v>
      </c>
      <c r="C1062" s="1" t="n">
        <v>45983</v>
      </c>
      <c r="D1062" t="inlineStr">
        <is>
          <t>VÄRMLANDS LÄN</t>
        </is>
      </c>
      <c r="E1062" t="inlineStr">
        <is>
          <t>ÅRJÄNG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3729-2025</t>
        </is>
      </c>
      <c r="B1063" s="1" t="n">
        <v>45681.5497800926</v>
      </c>
      <c r="C1063" s="1" t="n">
        <v>45983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60207-2023</t>
        </is>
      </c>
      <c r="B1064" s="1" t="n">
        <v>45257</v>
      </c>
      <c r="C1064" s="1" t="n">
        <v>45983</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58434-2023</t>
        </is>
      </c>
      <c r="B1065" s="1" t="n">
        <v>45250</v>
      </c>
      <c r="C1065" s="1" t="n">
        <v>45983</v>
      </c>
      <c r="D1065" t="inlineStr">
        <is>
          <t>VÄRMLANDS LÄN</t>
        </is>
      </c>
      <c r="E1065" t="inlineStr">
        <is>
          <t>ÅRJÄNG</t>
        </is>
      </c>
      <c r="F1065" t="inlineStr">
        <is>
          <t>Naturvårdsverket</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8356-2025</t>
        </is>
      </c>
      <c r="B1066" s="1" t="n">
        <v>45708.79752314815</v>
      </c>
      <c r="C1066" s="1" t="n">
        <v>45983</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18256-2024</t>
        </is>
      </c>
      <c r="B1067" s="1" t="n">
        <v>45421.52498842592</v>
      </c>
      <c r="C1067" s="1" t="n">
        <v>45983</v>
      </c>
      <c r="D1067" t="inlineStr">
        <is>
          <t>VÄRMLANDS LÄN</t>
        </is>
      </c>
      <c r="E1067" t="inlineStr">
        <is>
          <t>ÅRJÄNG</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24477-2022</t>
        </is>
      </c>
      <c r="B1068" s="1" t="n">
        <v>44726.65575231481</v>
      </c>
      <c r="C1068" s="1" t="n">
        <v>45983</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33525-2023</t>
        </is>
      </c>
      <c r="B1069" s="1" t="n">
        <v>45131.51326388889</v>
      </c>
      <c r="C1069" s="1" t="n">
        <v>45983</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46441-2023</t>
        </is>
      </c>
      <c r="B1070" s="1" t="n">
        <v>45197</v>
      </c>
      <c r="C1070" s="1" t="n">
        <v>45983</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59352-2022</t>
        </is>
      </c>
      <c r="B1071" s="1" t="n">
        <v>44904.7077199074</v>
      </c>
      <c r="C1071" s="1" t="n">
        <v>45983</v>
      </c>
      <c r="D1071" t="inlineStr">
        <is>
          <t>VÄRMLANDS LÄN</t>
        </is>
      </c>
      <c r="E1071" t="inlineStr">
        <is>
          <t>ÅRJÄNG</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1115-2024</t>
        </is>
      </c>
      <c r="B1072" s="1" t="n">
        <v>45302</v>
      </c>
      <c r="C1072" s="1" t="n">
        <v>45983</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48453-2023</t>
        </is>
      </c>
      <c r="B1073" s="1" t="n">
        <v>45206.4346412037</v>
      </c>
      <c r="C1073" s="1" t="n">
        <v>45983</v>
      </c>
      <c r="D1073" t="inlineStr">
        <is>
          <t>VÄRMLANDS LÄN</t>
        </is>
      </c>
      <c r="E1073" t="inlineStr">
        <is>
          <t>ÅRJÄNG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59784-2023</t>
        </is>
      </c>
      <c r="B1074" s="1" t="n">
        <v>45257</v>
      </c>
      <c r="C1074" s="1" t="n">
        <v>45983</v>
      </c>
      <c r="D1074" t="inlineStr">
        <is>
          <t>VÄRMLANDS LÄN</t>
        </is>
      </c>
      <c r="E1074" t="inlineStr">
        <is>
          <t>ÅRJÄNG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59801-2023</t>
        </is>
      </c>
      <c r="B1075" s="1" t="n">
        <v>45254</v>
      </c>
      <c r="C1075" s="1" t="n">
        <v>45983</v>
      </c>
      <c r="D1075" t="inlineStr">
        <is>
          <t>VÄRMLANDS LÄN</t>
        </is>
      </c>
      <c r="E1075" t="inlineStr">
        <is>
          <t>ÅRJÄNG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27311-2022</t>
        </is>
      </c>
      <c r="B1076" s="1" t="n">
        <v>44728</v>
      </c>
      <c r="C1076" s="1" t="n">
        <v>45983</v>
      </c>
      <c r="D1076" t="inlineStr">
        <is>
          <t>VÄRMLANDS LÄN</t>
        </is>
      </c>
      <c r="E1076" t="inlineStr">
        <is>
          <t>ÅRJÄNG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15954-2025</t>
        </is>
      </c>
      <c r="B1077" s="1" t="n">
        <v>45749</v>
      </c>
      <c r="C1077" s="1" t="n">
        <v>45983</v>
      </c>
      <c r="D1077" t="inlineStr">
        <is>
          <t>VÄRMLANDS LÄN</t>
        </is>
      </c>
      <c r="E1077" t="inlineStr">
        <is>
          <t>ÅRJÄNG</t>
        </is>
      </c>
      <c r="F1077" t="inlineStr">
        <is>
          <t>Bergvik skog väst AB</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687-2024</t>
        </is>
      </c>
      <c r="B1078" s="1" t="n">
        <v>45300.37333333334</v>
      </c>
      <c r="C1078" s="1" t="n">
        <v>45983</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713-2024</t>
        </is>
      </c>
      <c r="B1079" s="1" t="n">
        <v>45300.4261574074</v>
      </c>
      <c r="C1079" s="1" t="n">
        <v>45983</v>
      </c>
      <c r="D1079" t="inlineStr">
        <is>
          <t>VÄRMLANDS LÄN</t>
        </is>
      </c>
      <c r="E1079" t="inlineStr">
        <is>
          <t>ÅRJÄNG</t>
        </is>
      </c>
      <c r="F1079" t="inlineStr">
        <is>
          <t>Kyrkan</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8835-2025</t>
        </is>
      </c>
      <c r="B1080" s="1" t="n">
        <v>45712.92547453703</v>
      </c>
      <c r="C1080" s="1" t="n">
        <v>45983</v>
      </c>
      <c r="D1080" t="inlineStr">
        <is>
          <t>VÄRMLANDS LÄN</t>
        </is>
      </c>
      <c r="E1080" t="inlineStr">
        <is>
          <t>ÅRJÄNG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62288-2023</t>
        </is>
      </c>
      <c r="B1081" s="1" t="n">
        <v>45267.65707175926</v>
      </c>
      <c r="C1081" s="1" t="n">
        <v>45983</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18389-2022</t>
        </is>
      </c>
      <c r="B1082" s="1" t="n">
        <v>44685</v>
      </c>
      <c r="C1082" s="1" t="n">
        <v>45983</v>
      </c>
      <c r="D1082" t="inlineStr">
        <is>
          <t>VÄRMLANDS LÄN</t>
        </is>
      </c>
      <c r="E1082" t="inlineStr">
        <is>
          <t>ÅRJÄNG</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12993-2025</t>
        </is>
      </c>
      <c r="B1083" s="1" t="n">
        <v>45734.48583333333</v>
      </c>
      <c r="C1083" s="1" t="n">
        <v>45983</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9630-2025</t>
        </is>
      </c>
      <c r="B1084" s="1" t="n">
        <v>45715.71145833333</v>
      </c>
      <c r="C1084" s="1" t="n">
        <v>45983</v>
      </c>
      <c r="D1084" t="inlineStr">
        <is>
          <t>VÄRMLANDS LÄN</t>
        </is>
      </c>
      <c r="E1084" t="inlineStr">
        <is>
          <t>ÅRJÄNG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14446-2025</t>
        </is>
      </c>
      <c r="B1085" s="1" t="n">
        <v>45741.53552083333</v>
      </c>
      <c r="C1085" s="1" t="n">
        <v>45983</v>
      </c>
      <c r="D1085" t="inlineStr">
        <is>
          <t>VÄRMLANDS LÄN</t>
        </is>
      </c>
      <c r="E1085" t="inlineStr">
        <is>
          <t>ÅRJÄNG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8833-2025</t>
        </is>
      </c>
      <c r="B1086" s="1" t="n">
        <v>45712.91263888889</v>
      </c>
      <c r="C1086" s="1" t="n">
        <v>45983</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26265-2024</t>
        </is>
      </c>
      <c r="B1087" s="1" t="n">
        <v>45468</v>
      </c>
      <c r="C1087" s="1" t="n">
        <v>45983</v>
      </c>
      <c r="D1087" t="inlineStr">
        <is>
          <t>VÄRMLANDS LÄN</t>
        </is>
      </c>
      <c r="E1087" t="inlineStr">
        <is>
          <t>ÅRJÄNG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64381-2023</t>
        </is>
      </c>
      <c r="B1088" s="1" t="n">
        <v>45280</v>
      </c>
      <c r="C1088" s="1" t="n">
        <v>45983</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4545-2024</t>
        </is>
      </c>
      <c r="B1089" s="1" t="n">
        <v>45327</v>
      </c>
      <c r="C1089" s="1" t="n">
        <v>45983</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47332-2022</t>
        </is>
      </c>
      <c r="B1090" s="1" t="n">
        <v>44853</v>
      </c>
      <c r="C1090" s="1" t="n">
        <v>45983</v>
      </c>
      <c r="D1090" t="inlineStr">
        <is>
          <t>VÄRMLANDS LÄN</t>
        </is>
      </c>
      <c r="E1090" t="inlineStr">
        <is>
          <t>ÅRJÄNG</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21145-2022</t>
        </is>
      </c>
      <c r="B1091" s="1" t="n">
        <v>44704</v>
      </c>
      <c r="C1091" s="1" t="n">
        <v>45983</v>
      </c>
      <c r="D1091" t="inlineStr">
        <is>
          <t>VÄRMLANDS LÄN</t>
        </is>
      </c>
      <c r="E1091" t="inlineStr">
        <is>
          <t>ÅRJÄNG</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19621-2025</t>
        </is>
      </c>
      <c r="B1092" s="1" t="n">
        <v>45770</v>
      </c>
      <c r="C1092" s="1" t="n">
        <v>45983</v>
      </c>
      <c r="D1092" t="inlineStr">
        <is>
          <t>VÄRMLANDS LÄN</t>
        </is>
      </c>
      <c r="E1092" t="inlineStr">
        <is>
          <t>ÅRJÄNG</t>
        </is>
      </c>
      <c r="F1092" t="inlineStr">
        <is>
          <t>Övriga Aktiebolag</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48389-2021</t>
        </is>
      </c>
      <c r="B1093" s="1" t="n">
        <v>44452.26943287037</v>
      </c>
      <c r="C1093" s="1" t="n">
        <v>45983</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9662-2024</t>
        </is>
      </c>
      <c r="B1094" s="1" t="n">
        <v>45362.43423611111</v>
      </c>
      <c r="C1094" s="1" t="n">
        <v>45983</v>
      </c>
      <c r="D1094" t="inlineStr">
        <is>
          <t>VÄRMLANDS LÄN</t>
        </is>
      </c>
      <c r="E1094" t="inlineStr">
        <is>
          <t>ÅRJÄNG</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7794-2024</t>
        </is>
      </c>
      <c r="B1095" s="1" t="n">
        <v>45349</v>
      </c>
      <c r="C1095" s="1" t="n">
        <v>45983</v>
      </c>
      <c r="D1095" t="inlineStr">
        <is>
          <t>VÄRMLANDS LÄN</t>
        </is>
      </c>
      <c r="E1095" t="inlineStr">
        <is>
          <t>ÅRJÄNG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46096-2021</t>
        </is>
      </c>
      <c r="B1096" s="1" t="n">
        <v>44442</v>
      </c>
      <c r="C1096" s="1" t="n">
        <v>45983</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10338-2024</t>
        </is>
      </c>
      <c r="B1097" s="1" t="n">
        <v>45365.58712962963</v>
      </c>
      <c r="C1097" s="1" t="n">
        <v>45983</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51895-2022</t>
        </is>
      </c>
      <c r="B1098" s="1" t="n">
        <v>44872.61237268519</v>
      </c>
      <c r="C1098" s="1" t="n">
        <v>45983</v>
      </c>
      <c r="D1098" t="inlineStr">
        <is>
          <t>VÄRMLANDS LÄN</t>
        </is>
      </c>
      <c r="E1098" t="inlineStr">
        <is>
          <t>ÅRJÄNG</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13647-2025</t>
        </is>
      </c>
      <c r="B1099" s="1" t="n">
        <v>45736.69149305556</v>
      </c>
      <c r="C1099" s="1" t="n">
        <v>45983</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5256-2023</t>
        </is>
      </c>
      <c r="B1100" s="1" t="n">
        <v>44959.45520833333</v>
      </c>
      <c r="C1100" s="1" t="n">
        <v>45983</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59624-2022</t>
        </is>
      </c>
      <c r="B1101" s="1" t="n">
        <v>44907.90521990741</v>
      </c>
      <c r="C1101" s="1" t="n">
        <v>45983</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64229-2023</t>
        </is>
      </c>
      <c r="B1102" s="1" t="n">
        <v>45279</v>
      </c>
      <c r="C1102" s="1" t="n">
        <v>45983</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7443-2024</t>
        </is>
      </c>
      <c r="B1103" s="1" t="n">
        <v>45345.72207175926</v>
      </c>
      <c r="C1103" s="1" t="n">
        <v>45983</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58486-2023</t>
        </is>
      </c>
      <c r="B1104" s="1" t="n">
        <v>45246</v>
      </c>
      <c r="C1104" s="1" t="n">
        <v>45983</v>
      </c>
      <c r="D1104" t="inlineStr">
        <is>
          <t>VÄRMLANDS LÄN</t>
        </is>
      </c>
      <c r="E1104" t="inlineStr">
        <is>
          <t>ÅRJÄNG</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36587-2024</t>
        </is>
      </c>
      <c r="B1105" s="1" t="n">
        <v>45537</v>
      </c>
      <c r="C1105" s="1" t="n">
        <v>45983</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23971-2023</t>
        </is>
      </c>
      <c r="B1106" s="1" t="n">
        <v>45078.63996527778</v>
      </c>
      <c r="C1106" s="1" t="n">
        <v>45983</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57708-2024</t>
        </is>
      </c>
      <c r="B1107" s="1" t="n">
        <v>45630</v>
      </c>
      <c r="C1107" s="1" t="n">
        <v>45983</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15547-2025</t>
        </is>
      </c>
      <c r="B1108" s="1" t="n">
        <v>45747</v>
      </c>
      <c r="C1108" s="1" t="n">
        <v>45983</v>
      </c>
      <c r="D1108" t="inlineStr">
        <is>
          <t>VÄRMLANDS LÄN</t>
        </is>
      </c>
      <c r="E1108" t="inlineStr">
        <is>
          <t>ÅRJÄNG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15548-2025</t>
        </is>
      </c>
      <c r="B1109" s="1" t="n">
        <v>45747</v>
      </c>
      <c r="C1109" s="1" t="n">
        <v>45983</v>
      </c>
      <c r="D1109" t="inlineStr">
        <is>
          <t>VÄRMLANDS LÄN</t>
        </is>
      </c>
      <c r="E1109" t="inlineStr">
        <is>
          <t>ÅRJÄNG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6107-2024</t>
        </is>
      </c>
      <c r="B1110" s="1" t="n">
        <v>45337</v>
      </c>
      <c r="C1110" s="1" t="n">
        <v>45983</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54013-2023</t>
        </is>
      </c>
      <c r="B1111" s="1" t="n">
        <v>45231.81550925926</v>
      </c>
      <c r="C1111" s="1" t="n">
        <v>45983</v>
      </c>
      <c r="D1111" t="inlineStr">
        <is>
          <t>VÄRMLANDS LÄN</t>
        </is>
      </c>
      <c r="E1111" t="inlineStr">
        <is>
          <t>ÅRJÄNG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15308-2022</t>
        </is>
      </c>
      <c r="B1112" s="1" t="n">
        <v>44659.45865740741</v>
      </c>
      <c r="C1112" s="1" t="n">
        <v>45983</v>
      </c>
      <c r="D1112" t="inlineStr">
        <is>
          <t>VÄRMLANDS LÄN</t>
        </is>
      </c>
      <c r="E1112" t="inlineStr">
        <is>
          <t>ÅRJÄNG</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7114-2023</t>
        </is>
      </c>
      <c r="B1113" s="1" t="n">
        <v>44970.39068287037</v>
      </c>
      <c r="C1113" s="1" t="n">
        <v>45983</v>
      </c>
      <c r="D1113" t="inlineStr">
        <is>
          <t>VÄRMLANDS LÄN</t>
        </is>
      </c>
      <c r="E1113" t="inlineStr">
        <is>
          <t>ÅRJÄNG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59976-2022</t>
        </is>
      </c>
      <c r="B1114" s="1" t="n">
        <v>44901</v>
      </c>
      <c r="C1114" s="1" t="n">
        <v>45983</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3298-2025</t>
        </is>
      </c>
      <c r="B1115" s="1" t="n">
        <v>45679.64770833333</v>
      </c>
      <c r="C1115" s="1" t="n">
        <v>45983</v>
      </c>
      <c r="D1115" t="inlineStr">
        <is>
          <t>VÄRMLANDS LÄN</t>
        </is>
      </c>
      <c r="E1115" t="inlineStr">
        <is>
          <t>ÅRJÄNG</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41283-2023</t>
        </is>
      </c>
      <c r="B1116" s="1" t="n">
        <v>45174.57032407408</v>
      </c>
      <c r="C1116" s="1" t="n">
        <v>45983</v>
      </c>
      <c r="D1116" t="inlineStr">
        <is>
          <t>VÄRMLANDS LÄN</t>
        </is>
      </c>
      <c r="E1116" t="inlineStr">
        <is>
          <t>ÅRJÄNG</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36592-2024</t>
        </is>
      </c>
      <c r="B1117" s="1" t="n">
        <v>45537</v>
      </c>
      <c r="C1117" s="1" t="n">
        <v>45983</v>
      </c>
      <c r="D1117" t="inlineStr">
        <is>
          <t>VÄRMLANDS LÄN</t>
        </is>
      </c>
      <c r="E1117" t="inlineStr">
        <is>
          <t>ÅRJÄNG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56757-2023</t>
        </is>
      </c>
      <c r="B1118" s="1" t="n">
        <v>45244.37539351852</v>
      </c>
      <c r="C1118" s="1" t="n">
        <v>45983</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49891-2022</t>
        </is>
      </c>
      <c r="B1119" s="1" t="n">
        <v>44864</v>
      </c>
      <c r="C1119" s="1" t="n">
        <v>45983</v>
      </c>
      <c r="D1119" t="inlineStr">
        <is>
          <t>VÄRMLANDS LÄN</t>
        </is>
      </c>
      <c r="E1119" t="inlineStr">
        <is>
          <t>ÅRJÄNG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59811-2023</t>
        </is>
      </c>
      <c r="B1120" s="1" t="n">
        <v>45254</v>
      </c>
      <c r="C1120" s="1" t="n">
        <v>45983</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24916-2024</t>
        </is>
      </c>
      <c r="B1121" s="1" t="n">
        <v>45461.6058449074</v>
      </c>
      <c r="C1121" s="1" t="n">
        <v>45983</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45983</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34425-2021</t>
        </is>
      </c>
      <c r="B1123" s="1" t="n">
        <v>44380</v>
      </c>
      <c r="C1123" s="1" t="n">
        <v>45983</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32973-2021</t>
        </is>
      </c>
      <c r="B1124" s="1" t="n">
        <v>44376</v>
      </c>
      <c r="C1124" s="1" t="n">
        <v>45983</v>
      </c>
      <c r="D1124" t="inlineStr">
        <is>
          <t>VÄRMLANDS LÄN</t>
        </is>
      </c>
      <c r="E1124" t="inlineStr">
        <is>
          <t>ÅRJÄNG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56333-2024</t>
        </is>
      </c>
      <c r="B1125" s="1" t="n">
        <v>45624.8005324074</v>
      </c>
      <c r="C1125" s="1" t="n">
        <v>45983</v>
      </c>
      <c r="D1125" t="inlineStr">
        <is>
          <t>VÄRMLANDS LÄN</t>
        </is>
      </c>
      <c r="E1125" t="inlineStr">
        <is>
          <t>ÅRJÄNG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61764-2022</t>
        </is>
      </c>
      <c r="B1126" s="1" t="n">
        <v>44911</v>
      </c>
      <c r="C1126" s="1" t="n">
        <v>45983</v>
      </c>
      <c r="D1126" t="inlineStr">
        <is>
          <t>VÄRMLANDS LÄN</t>
        </is>
      </c>
      <c r="E1126" t="inlineStr">
        <is>
          <t>ÅRJÄNG</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19052-2023</t>
        </is>
      </c>
      <c r="B1127" s="1" t="n">
        <v>45047</v>
      </c>
      <c r="C1127" s="1" t="n">
        <v>45983</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15570-2025</t>
        </is>
      </c>
      <c r="B1128" s="1" t="n">
        <v>45747</v>
      </c>
      <c r="C1128" s="1" t="n">
        <v>45983</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15572-2025</t>
        </is>
      </c>
      <c r="B1129" s="1" t="n">
        <v>45747</v>
      </c>
      <c r="C1129" s="1" t="n">
        <v>45983</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15578-2025</t>
        </is>
      </c>
      <c r="B1130" s="1" t="n">
        <v>45747</v>
      </c>
      <c r="C1130" s="1" t="n">
        <v>45983</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69417-2021</t>
        </is>
      </c>
      <c r="B1131" s="1" t="n">
        <v>44531</v>
      </c>
      <c r="C1131" s="1" t="n">
        <v>45983</v>
      </c>
      <c r="D1131" t="inlineStr">
        <is>
          <t>VÄRMLANDS LÄN</t>
        </is>
      </c>
      <c r="E1131" t="inlineStr">
        <is>
          <t>ÅRJÄNG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38482-2024</t>
        </is>
      </c>
      <c r="B1132" s="1" t="n">
        <v>45546</v>
      </c>
      <c r="C1132" s="1" t="n">
        <v>45983</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65837-2021</t>
        </is>
      </c>
      <c r="B1133" s="1" t="n">
        <v>44517.35402777778</v>
      </c>
      <c r="C1133" s="1" t="n">
        <v>45983</v>
      </c>
      <c r="D1133" t="inlineStr">
        <is>
          <t>VÄRMLANDS LÄN</t>
        </is>
      </c>
      <c r="E1133" t="inlineStr">
        <is>
          <t>ÅRJÄNG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49405-2022</t>
        </is>
      </c>
      <c r="B1134" s="1" t="n">
        <v>44861.63182870371</v>
      </c>
      <c r="C1134" s="1" t="n">
        <v>45983</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44417-2021</t>
        </is>
      </c>
      <c r="B1135" s="1" t="n">
        <v>44435.50591435185</v>
      </c>
      <c r="C1135" s="1" t="n">
        <v>45983</v>
      </c>
      <c r="D1135" t="inlineStr">
        <is>
          <t>VÄRMLANDS LÄN</t>
        </is>
      </c>
      <c r="E1135" t="inlineStr">
        <is>
          <t>ÅRJÄNG</t>
        </is>
      </c>
      <c r="G1135" t="n">
        <v>32.2</v>
      </c>
      <c r="H1135" t="n">
        <v>0</v>
      </c>
      <c r="I1135" t="n">
        <v>0</v>
      </c>
      <c r="J1135" t="n">
        <v>0</v>
      </c>
      <c r="K1135" t="n">
        <v>0</v>
      </c>
      <c r="L1135" t="n">
        <v>0</v>
      </c>
      <c r="M1135" t="n">
        <v>0</v>
      </c>
      <c r="N1135" t="n">
        <v>0</v>
      </c>
      <c r="O1135" t="n">
        <v>0</v>
      </c>
      <c r="P1135" t="n">
        <v>0</v>
      </c>
      <c r="Q1135" t="n">
        <v>0</v>
      </c>
      <c r="R1135" s="2" t="inlineStr"/>
    </row>
    <row r="1136" ht="15" customHeight="1">
      <c r="A1136" t="inlineStr">
        <is>
          <t>A 21362-2022</t>
        </is>
      </c>
      <c r="B1136" s="1" t="n">
        <v>44705</v>
      </c>
      <c r="C1136" s="1" t="n">
        <v>45983</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65854-2021</t>
        </is>
      </c>
      <c r="B1137" s="1" t="n">
        <v>44517.37467592592</v>
      </c>
      <c r="C1137" s="1" t="n">
        <v>45983</v>
      </c>
      <c r="D1137" t="inlineStr">
        <is>
          <t>VÄRMLANDS LÄN</t>
        </is>
      </c>
      <c r="E1137" t="inlineStr">
        <is>
          <t>ÅRJÄNG</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42149-2024</t>
        </is>
      </c>
      <c r="B1138" s="1" t="n">
        <v>45562.44591435185</v>
      </c>
      <c r="C1138" s="1" t="n">
        <v>45983</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8951-2021</t>
        </is>
      </c>
      <c r="B1139" s="1" t="n">
        <v>44246</v>
      </c>
      <c r="C1139" s="1" t="n">
        <v>45983</v>
      </c>
      <c r="D1139" t="inlineStr">
        <is>
          <t>VÄRMLANDS LÄN</t>
        </is>
      </c>
      <c r="E1139" t="inlineStr">
        <is>
          <t>ÅRJÄNG</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47223-2021</t>
        </is>
      </c>
      <c r="B1140" s="1" t="n">
        <v>44446</v>
      </c>
      <c r="C1140" s="1" t="n">
        <v>45983</v>
      </c>
      <c r="D1140" t="inlineStr">
        <is>
          <t>VÄRMLANDS LÄN</t>
        </is>
      </c>
      <c r="E1140" t="inlineStr">
        <is>
          <t>ÅRJÄNG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4748-2023</t>
        </is>
      </c>
      <c r="B1141" s="1" t="n">
        <v>44957</v>
      </c>
      <c r="C1141" s="1" t="n">
        <v>45983</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43244-2023</t>
        </is>
      </c>
      <c r="B1142" s="1" t="n">
        <v>45183.48121527778</v>
      </c>
      <c r="C1142" s="1" t="n">
        <v>45983</v>
      </c>
      <c r="D1142" t="inlineStr">
        <is>
          <t>VÄRMLANDS LÄN</t>
        </is>
      </c>
      <c r="E1142" t="inlineStr">
        <is>
          <t>ÅRJÄNG</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42141-2024</t>
        </is>
      </c>
      <c r="B1143" s="1" t="n">
        <v>45562.43354166667</v>
      </c>
      <c r="C1143" s="1" t="n">
        <v>45983</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11026-2023</t>
        </is>
      </c>
      <c r="B1144" s="1" t="n">
        <v>44991</v>
      </c>
      <c r="C1144" s="1" t="n">
        <v>45983</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42455-2024</t>
        </is>
      </c>
      <c r="B1145" s="1" t="n">
        <v>45565</v>
      </c>
      <c r="C1145" s="1" t="n">
        <v>45983</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3796-2021</t>
        </is>
      </c>
      <c r="B1146" s="1" t="n">
        <v>44221</v>
      </c>
      <c r="C1146" s="1" t="n">
        <v>45983</v>
      </c>
      <c r="D1146" t="inlineStr">
        <is>
          <t>VÄRMLANDS LÄN</t>
        </is>
      </c>
      <c r="E1146" t="inlineStr">
        <is>
          <t>ÅRJÄNG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49673-2022</t>
        </is>
      </c>
      <c r="B1147" s="1" t="n">
        <v>44862.47881944444</v>
      </c>
      <c r="C1147" s="1" t="n">
        <v>45983</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54335-2021</t>
        </is>
      </c>
      <c r="B1148" s="1" t="n">
        <v>44472.93063657408</v>
      </c>
      <c r="C1148" s="1" t="n">
        <v>45983</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11176-2023</t>
        </is>
      </c>
      <c r="B1149" s="1" t="n">
        <v>44987</v>
      </c>
      <c r="C1149" s="1" t="n">
        <v>45983</v>
      </c>
      <c r="D1149" t="inlineStr">
        <is>
          <t>VÄRMLANDS LÄN</t>
        </is>
      </c>
      <c r="E1149" t="inlineStr">
        <is>
          <t>ÅRJÄNG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8678-2022</t>
        </is>
      </c>
      <c r="B1150" s="1" t="n">
        <v>44613.68043981482</v>
      </c>
      <c r="C1150" s="1" t="n">
        <v>45983</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61009-2022</t>
        </is>
      </c>
      <c r="B1151" s="1" t="n">
        <v>44914.7541550926</v>
      </c>
      <c r="C1151" s="1" t="n">
        <v>45983</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34574-2023</t>
        </is>
      </c>
      <c r="B1152" s="1" t="n">
        <v>45135</v>
      </c>
      <c r="C1152" s="1" t="n">
        <v>45983</v>
      </c>
      <c r="D1152" t="inlineStr">
        <is>
          <t>VÄRMLANDS LÄN</t>
        </is>
      </c>
      <c r="E1152" t="inlineStr">
        <is>
          <t>ÅRJÄNG</t>
        </is>
      </c>
      <c r="F1152" t="inlineStr">
        <is>
          <t>Övriga Aktiebolag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48293-2022</t>
        </is>
      </c>
      <c r="B1153" s="1" t="n">
        <v>44858.51623842592</v>
      </c>
      <c r="C1153" s="1" t="n">
        <v>45983</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38433-2024</t>
        </is>
      </c>
      <c r="B1154" s="1" t="n">
        <v>45546</v>
      </c>
      <c r="C1154" s="1" t="n">
        <v>45983</v>
      </c>
      <c r="D1154" t="inlineStr">
        <is>
          <t>VÄRMLANDS LÄN</t>
        </is>
      </c>
      <c r="E1154" t="inlineStr">
        <is>
          <t>ÅRJÄNG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7746-2022</t>
        </is>
      </c>
      <c r="B1155" s="1" t="n">
        <v>44608.39331018519</v>
      </c>
      <c r="C1155" s="1" t="n">
        <v>45983</v>
      </c>
      <c r="D1155" t="inlineStr">
        <is>
          <t>VÄRMLANDS LÄN</t>
        </is>
      </c>
      <c r="E1155" t="inlineStr">
        <is>
          <t>ÅRJÄNG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34410-2023</t>
        </is>
      </c>
      <c r="B1156" s="1" t="n">
        <v>45139.56870370371</v>
      </c>
      <c r="C1156" s="1" t="n">
        <v>45983</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7537-2021</t>
        </is>
      </c>
      <c r="B1157" s="1" t="n">
        <v>44239</v>
      </c>
      <c r="C1157" s="1" t="n">
        <v>45983</v>
      </c>
      <c r="D1157" t="inlineStr">
        <is>
          <t>VÄRMLANDS LÄN</t>
        </is>
      </c>
      <c r="E1157" t="inlineStr">
        <is>
          <t>ÅRJÄNG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50301-2024</t>
        </is>
      </c>
      <c r="B1158" s="1" t="n">
        <v>45600</v>
      </c>
      <c r="C1158" s="1" t="n">
        <v>45983</v>
      </c>
      <c r="D1158" t="inlineStr">
        <is>
          <t>VÄRMLANDS LÄN</t>
        </is>
      </c>
      <c r="E1158" t="inlineStr">
        <is>
          <t>ÅRJÄNG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15616-2023</t>
        </is>
      </c>
      <c r="B1159" s="1" t="n">
        <v>45020.88847222222</v>
      </c>
      <c r="C1159" s="1" t="n">
        <v>45983</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5342-2022</t>
        </is>
      </c>
      <c r="B1160" s="1" t="n">
        <v>44594.72582175926</v>
      </c>
      <c r="C1160" s="1" t="n">
        <v>45983</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25654-2024</t>
        </is>
      </c>
      <c r="B1161" s="1" t="n">
        <v>45463</v>
      </c>
      <c r="C1161" s="1" t="n">
        <v>45983</v>
      </c>
      <c r="D1161" t="inlineStr">
        <is>
          <t>VÄRMLANDS LÄN</t>
        </is>
      </c>
      <c r="E1161" t="inlineStr">
        <is>
          <t>ÅRJÄNG</t>
        </is>
      </c>
      <c r="G1161" t="n">
        <v>16.9</v>
      </c>
      <c r="H1161" t="n">
        <v>0</v>
      </c>
      <c r="I1161" t="n">
        <v>0</v>
      </c>
      <c r="J1161" t="n">
        <v>0</v>
      </c>
      <c r="K1161" t="n">
        <v>0</v>
      </c>
      <c r="L1161" t="n">
        <v>0</v>
      </c>
      <c r="M1161" t="n">
        <v>0</v>
      </c>
      <c r="N1161" t="n">
        <v>0</v>
      </c>
      <c r="O1161" t="n">
        <v>0</v>
      </c>
      <c r="P1161" t="n">
        <v>0</v>
      </c>
      <c r="Q1161" t="n">
        <v>0</v>
      </c>
      <c r="R1161" s="2" t="inlineStr"/>
    </row>
    <row r="1162" ht="15" customHeight="1">
      <c r="A1162" t="inlineStr">
        <is>
          <t>A 30548-2023</t>
        </is>
      </c>
      <c r="B1162" s="1" t="n">
        <v>45111.77894675926</v>
      </c>
      <c r="C1162" s="1" t="n">
        <v>45983</v>
      </c>
      <c r="D1162" t="inlineStr">
        <is>
          <t>VÄRMLANDS LÄN</t>
        </is>
      </c>
      <c r="E1162" t="inlineStr">
        <is>
          <t>ÅRJÄNG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32776-2024</t>
        </is>
      </c>
      <c r="B1163" s="1" t="n">
        <v>45516</v>
      </c>
      <c r="C1163" s="1" t="n">
        <v>45983</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17174-2023</t>
        </is>
      </c>
      <c r="B1164" s="1" t="n">
        <v>45034</v>
      </c>
      <c r="C1164" s="1" t="n">
        <v>45983</v>
      </c>
      <c r="D1164" t="inlineStr">
        <is>
          <t>VÄRMLANDS LÄN</t>
        </is>
      </c>
      <c r="E1164" t="inlineStr">
        <is>
          <t>ÅRJÄNG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44385-2022</t>
        </is>
      </c>
      <c r="B1165" s="1" t="n">
        <v>44839</v>
      </c>
      <c r="C1165" s="1" t="n">
        <v>45983</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68180-2021</t>
        </is>
      </c>
      <c r="B1166" s="1" t="n">
        <v>44526.48689814815</v>
      </c>
      <c r="C1166" s="1" t="n">
        <v>45983</v>
      </c>
      <c r="D1166" t="inlineStr">
        <is>
          <t>VÄRMLANDS LÄN</t>
        </is>
      </c>
      <c r="E1166" t="inlineStr">
        <is>
          <t>ÅRJÄNG</t>
        </is>
      </c>
      <c r="F1166" t="inlineStr">
        <is>
          <t>Kyrkan</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28384-2022</t>
        </is>
      </c>
      <c r="B1167" s="1" t="n">
        <v>44747</v>
      </c>
      <c r="C1167" s="1" t="n">
        <v>45983</v>
      </c>
      <c r="D1167" t="inlineStr">
        <is>
          <t>VÄRMLANDS LÄN</t>
        </is>
      </c>
      <c r="E1167" t="inlineStr">
        <is>
          <t>ÅRJÄNG</t>
        </is>
      </c>
      <c r="F1167" t="inlineStr">
        <is>
          <t>Naturvårdsverket</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47623-2024</t>
        </is>
      </c>
      <c r="B1168" s="1" t="n">
        <v>45588.33216435185</v>
      </c>
      <c r="C1168" s="1" t="n">
        <v>45983</v>
      </c>
      <c r="D1168" t="inlineStr">
        <is>
          <t>VÄRMLANDS LÄN</t>
        </is>
      </c>
      <c r="E1168" t="inlineStr">
        <is>
          <t>ÅRJÄNG</t>
        </is>
      </c>
      <c r="F1168" t="inlineStr">
        <is>
          <t>Kommuner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23203-2023</t>
        </is>
      </c>
      <c r="B1169" s="1" t="n">
        <v>45075.61314814815</v>
      </c>
      <c r="C1169" s="1" t="n">
        <v>45983</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23212-2023</t>
        </is>
      </c>
      <c r="B1170" s="1" t="n">
        <v>45075.63211805555</v>
      </c>
      <c r="C1170" s="1" t="n">
        <v>45983</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24505-2023</t>
        </is>
      </c>
      <c r="B1171" s="1" t="n">
        <v>45082</v>
      </c>
      <c r="C1171" s="1" t="n">
        <v>45983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56314-2024</t>
        </is>
      </c>
      <c r="B1172" s="1" t="n">
        <v>45624.72149305556</v>
      </c>
      <c r="C1172" s="1" t="n">
        <v>45983</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59622-2022</t>
        </is>
      </c>
      <c r="B1173" s="1" t="n">
        <v>44907.89939814815</v>
      </c>
      <c r="C1173" s="1" t="n">
        <v>45983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65751-2020</t>
        </is>
      </c>
      <c r="B1174" s="1" t="n">
        <v>44174</v>
      </c>
      <c r="C1174" s="1" t="n">
        <v>45983</v>
      </c>
      <c r="D1174" t="inlineStr">
        <is>
          <t>VÄRMLANDS LÄN</t>
        </is>
      </c>
      <c r="E1174" t="inlineStr">
        <is>
          <t>ÅRJÄNG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45929-2024</t>
        </is>
      </c>
      <c r="B1175" s="1" t="n">
        <v>45580</v>
      </c>
      <c r="C1175" s="1" t="n">
        <v>45983</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45876-2024</t>
        </is>
      </c>
      <c r="B1176" s="1" t="n">
        <v>45580</v>
      </c>
      <c r="C1176" s="1" t="n">
        <v>45983</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47647-2021</t>
        </is>
      </c>
      <c r="B1177" s="1" t="n">
        <v>44448.40790509259</v>
      </c>
      <c r="C1177" s="1" t="n">
        <v>45983</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23870-2023</t>
        </is>
      </c>
      <c r="B1178" s="1" t="n">
        <v>45078</v>
      </c>
      <c r="C1178" s="1" t="n">
        <v>45983</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45962-2021</t>
        </is>
      </c>
      <c r="B1179" s="1" t="n">
        <v>44441</v>
      </c>
      <c r="C1179" s="1" t="n">
        <v>45983</v>
      </c>
      <c r="D1179" t="inlineStr">
        <is>
          <t>VÄRMLANDS LÄN</t>
        </is>
      </c>
      <c r="E1179" t="inlineStr">
        <is>
          <t>ÅRJÄNG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60126-2024</t>
        </is>
      </c>
      <c r="B1180" s="1" t="n">
        <v>45642.5919212963</v>
      </c>
      <c r="C1180" s="1" t="n">
        <v>45983</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12907-2022</t>
        </is>
      </c>
      <c r="B1181" s="1" t="n">
        <v>44642.62002314815</v>
      </c>
      <c r="C1181" s="1" t="n">
        <v>45983</v>
      </c>
      <c r="D1181" t="inlineStr">
        <is>
          <t>VÄRMLANDS LÄN</t>
        </is>
      </c>
      <c r="E1181" t="inlineStr">
        <is>
          <t>ÅRJÄNG</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13060-2022</t>
        </is>
      </c>
      <c r="B1182" s="1" t="n">
        <v>44643</v>
      </c>
      <c r="C1182" s="1" t="n">
        <v>45983</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13160-2022</t>
        </is>
      </c>
      <c r="B1183" s="1" t="n">
        <v>44644.43545138889</v>
      </c>
      <c r="C1183" s="1" t="n">
        <v>45983</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8885-2021</t>
        </is>
      </c>
      <c r="B1184" s="1" t="n">
        <v>44248</v>
      </c>
      <c r="C1184" s="1" t="n">
        <v>45983</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60930-2021</t>
        </is>
      </c>
      <c r="B1185" s="1" t="n">
        <v>44497.46921296296</v>
      </c>
      <c r="C1185" s="1" t="n">
        <v>45983</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12209-2023</t>
        </is>
      </c>
      <c r="B1186" s="1" t="n">
        <v>44998</v>
      </c>
      <c r="C1186" s="1" t="n">
        <v>45983</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26866-2024</t>
        </is>
      </c>
      <c r="B1187" s="1" t="n">
        <v>45470</v>
      </c>
      <c r="C1187" s="1" t="n">
        <v>45983</v>
      </c>
      <c r="D1187" t="inlineStr">
        <is>
          <t>VÄRMLANDS LÄN</t>
        </is>
      </c>
      <c r="E1187" t="inlineStr">
        <is>
          <t>ÅRJÄNG</t>
        </is>
      </c>
      <c r="F1187" t="inlineStr">
        <is>
          <t>Kyrkan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49133-2024</t>
        </is>
      </c>
      <c r="B1188" s="1" t="n">
        <v>45594</v>
      </c>
      <c r="C1188" s="1" t="n">
        <v>45983</v>
      </c>
      <c r="D1188" t="inlineStr">
        <is>
          <t>VÄRMLANDS LÄN</t>
        </is>
      </c>
      <c r="E1188" t="inlineStr">
        <is>
          <t>ÅRJÄNG</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12740-2025</t>
        </is>
      </c>
      <c r="B1189" s="1" t="n">
        <v>45733</v>
      </c>
      <c r="C1189" s="1" t="n">
        <v>45983</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45983</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15300-2025</t>
        </is>
      </c>
      <c r="B1191" s="1" t="n">
        <v>45746</v>
      </c>
      <c r="C1191" s="1" t="n">
        <v>45983</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6962-2025</t>
        </is>
      </c>
      <c r="B1192" s="1" t="n">
        <v>45701</v>
      </c>
      <c r="C1192" s="1" t="n">
        <v>45983</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46249-2023</t>
        </is>
      </c>
      <c r="B1193" s="1" t="n">
        <v>45196.89337962963</v>
      </c>
      <c r="C1193" s="1" t="n">
        <v>45983</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21392-2023</t>
        </is>
      </c>
      <c r="B1194" s="1" t="n">
        <v>45061</v>
      </c>
      <c r="C1194" s="1" t="n">
        <v>45983</v>
      </c>
      <c r="D1194" t="inlineStr">
        <is>
          <t>VÄRMLANDS LÄN</t>
        </is>
      </c>
      <c r="E1194" t="inlineStr">
        <is>
          <t>ÅRJÄNG</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44140-2024</t>
        </is>
      </c>
      <c r="B1195" s="1" t="n">
        <v>45572</v>
      </c>
      <c r="C1195" s="1" t="n">
        <v>45983</v>
      </c>
      <c r="D1195" t="inlineStr">
        <is>
          <t>VÄRMLANDS LÄN</t>
        </is>
      </c>
      <c r="E1195" t="inlineStr">
        <is>
          <t>ÅRJÄNG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9441-2021</t>
        </is>
      </c>
      <c r="B1196" s="1" t="n">
        <v>44251</v>
      </c>
      <c r="C1196" s="1" t="n">
        <v>45983</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7184-2024</t>
        </is>
      </c>
      <c r="B1197" s="1" t="n">
        <v>45344</v>
      </c>
      <c r="C1197" s="1" t="n">
        <v>45983</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480-2025</t>
        </is>
      </c>
      <c r="B1198" s="1" t="n">
        <v>45664</v>
      </c>
      <c r="C1198" s="1" t="n">
        <v>45983</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2253-2025</t>
        </is>
      </c>
      <c r="B1199" s="1" t="n">
        <v>45673</v>
      </c>
      <c r="C1199" s="1" t="n">
        <v>45983</v>
      </c>
      <c r="D1199" t="inlineStr">
        <is>
          <t>VÄRMLANDS LÄN</t>
        </is>
      </c>
      <c r="E1199" t="inlineStr">
        <is>
          <t>ÅRJÄNG</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4976-2025</t>
        </is>
      </c>
      <c r="B1200" s="1" t="n">
        <v>45690.86565972222</v>
      </c>
      <c r="C1200" s="1" t="n">
        <v>45983</v>
      </c>
      <c r="D1200" t="inlineStr">
        <is>
          <t>VÄRMLANDS LÄN</t>
        </is>
      </c>
      <c r="E1200" t="inlineStr">
        <is>
          <t>ÅRJÄNG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13726-2024</t>
        </is>
      </c>
      <c r="B1201" s="1" t="n">
        <v>45390.68759259259</v>
      </c>
      <c r="C1201" s="1" t="n">
        <v>45983</v>
      </c>
      <c r="D1201" t="inlineStr">
        <is>
          <t>VÄRMLANDS LÄN</t>
        </is>
      </c>
      <c r="E1201" t="inlineStr">
        <is>
          <t>ÅRJÄNG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12068-2022</t>
        </is>
      </c>
      <c r="B1202" s="1" t="n">
        <v>44636</v>
      </c>
      <c r="C1202" s="1" t="n">
        <v>45983</v>
      </c>
      <c r="D1202" t="inlineStr">
        <is>
          <t>VÄRMLANDS LÄN</t>
        </is>
      </c>
      <c r="E1202" t="inlineStr">
        <is>
          <t>ÅRJÄNG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54437-2021</t>
        </is>
      </c>
      <c r="B1203" s="1" t="n">
        <v>44459</v>
      </c>
      <c r="C1203" s="1" t="n">
        <v>45983</v>
      </c>
      <c r="D1203" t="inlineStr">
        <is>
          <t>VÄRMLANDS LÄN</t>
        </is>
      </c>
      <c r="E1203" t="inlineStr">
        <is>
          <t>ÅRJÄNG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13814-2024</t>
        </is>
      </c>
      <c r="B1204" s="1" t="n">
        <v>45391</v>
      </c>
      <c r="C1204" s="1" t="n">
        <v>45983</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13819-2024</t>
        </is>
      </c>
      <c r="B1205" s="1" t="n">
        <v>45391.42252314815</v>
      </c>
      <c r="C1205" s="1" t="n">
        <v>45983</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12082-2023</t>
        </is>
      </c>
      <c r="B1206" s="1" t="n">
        <v>44997.78215277778</v>
      </c>
      <c r="C1206" s="1" t="n">
        <v>45983</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61913-2024</t>
        </is>
      </c>
      <c r="B1207" s="1" t="n">
        <v>45653.38708333333</v>
      </c>
      <c r="C1207" s="1" t="n">
        <v>45983</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5931-2023</t>
        </is>
      </c>
      <c r="B1208" s="1" t="n">
        <v>44963</v>
      </c>
      <c r="C1208" s="1" t="n">
        <v>45983</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33728-2021</t>
        </is>
      </c>
      <c r="B1209" s="1" t="n">
        <v>44378.47640046296</v>
      </c>
      <c r="C1209" s="1" t="n">
        <v>45983</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13317-2025</t>
        </is>
      </c>
      <c r="B1210" s="1" t="n">
        <v>45735.59452546296</v>
      </c>
      <c r="C1210" s="1" t="n">
        <v>45983</v>
      </c>
      <c r="D1210" t="inlineStr">
        <is>
          <t>VÄRMLANDS LÄN</t>
        </is>
      </c>
      <c r="E1210" t="inlineStr">
        <is>
          <t>ÅRJÄNG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64903-2023</t>
        </is>
      </c>
      <c r="B1211" s="1" t="n">
        <v>45282</v>
      </c>
      <c r="C1211" s="1" t="n">
        <v>45983</v>
      </c>
      <c r="D1211" t="inlineStr">
        <is>
          <t>VÄRMLANDS LÄN</t>
        </is>
      </c>
      <c r="E1211" t="inlineStr">
        <is>
          <t>ÅRJÄNG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17878-2024</t>
        </is>
      </c>
      <c r="B1212" s="1" t="n">
        <v>45419</v>
      </c>
      <c r="C1212" s="1" t="n">
        <v>45983</v>
      </c>
      <c r="D1212" t="inlineStr">
        <is>
          <t>VÄRMLANDS LÄN</t>
        </is>
      </c>
      <c r="E1212" t="inlineStr">
        <is>
          <t>ÅRJÄNG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64151-2023</t>
        </is>
      </c>
      <c r="B1213" s="1" t="n">
        <v>45279.58803240741</v>
      </c>
      <c r="C1213" s="1" t="n">
        <v>45983</v>
      </c>
      <c r="D1213" t="inlineStr">
        <is>
          <t>VÄRMLANDS LÄN</t>
        </is>
      </c>
      <c r="E1213" t="inlineStr">
        <is>
          <t>ÅRJÄNG</t>
        </is>
      </c>
      <c r="G1213" t="n">
        <v>24.5</v>
      </c>
      <c r="H1213" t="n">
        <v>0</v>
      </c>
      <c r="I1213" t="n">
        <v>0</v>
      </c>
      <c r="J1213" t="n">
        <v>0</v>
      </c>
      <c r="K1213" t="n">
        <v>0</v>
      </c>
      <c r="L1213" t="n">
        <v>0</v>
      </c>
      <c r="M1213" t="n">
        <v>0</v>
      </c>
      <c r="N1213" t="n">
        <v>0</v>
      </c>
      <c r="O1213" t="n">
        <v>0</v>
      </c>
      <c r="P1213" t="n">
        <v>0</v>
      </c>
      <c r="Q1213" t="n">
        <v>0</v>
      </c>
      <c r="R1213" s="2" t="inlineStr"/>
    </row>
    <row r="1214" ht="15" customHeight="1">
      <c r="A1214" t="inlineStr">
        <is>
          <t>A 8838-2023</t>
        </is>
      </c>
      <c r="B1214" s="1" t="n">
        <v>44978</v>
      </c>
      <c r="C1214" s="1" t="n">
        <v>45983</v>
      </c>
      <c r="D1214" t="inlineStr">
        <is>
          <t>VÄRMLANDS LÄN</t>
        </is>
      </c>
      <c r="E1214" t="inlineStr">
        <is>
          <t>ÅRJÄNG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51258-2022</t>
        </is>
      </c>
      <c r="B1215" s="1" t="n">
        <v>44868.67460648148</v>
      </c>
      <c r="C1215" s="1" t="n">
        <v>45983</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23847-2023</t>
        </is>
      </c>
      <c r="B1216" s="1" t="n">
        <v>45078</v>
      </c>
      <c r="C1216" s="1" t="n">
        <v>45983</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15327-2022</t>
        </is>
      </c>
      <c r="B1217" s="1" t="n">
        <v>44659</v>
      </c>
      <c r="C1217" s="1" t="n">
        <v>45983</v>
      </c>
      <c r="D1217" t="inlineStr">
        <is>
          <t>VÄRMLANDS LÄN</t>
        </is>
      </c>
      <c r="E1217" t="inlineStr">
        <is>
          <t>ÅRJÄNG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71812-2021</t>
        </is>
      </c>
      <c r="B1218" s="1" t="n">
        <v>44539</v>
      </c>
      <c r="C1218" s="1" t="n">
        <v>45983</v>
      </c>
      <c r="D1218" t="inlineStr">
        <is>
          <t>VÄRMLANDS LÄN</t>
        </is>
      </c>
      <c r="E1218" t="inlineStr">
        <is>
          <t>ÅRJÄNG</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34580-2023</t>
        </is>
      </c>
      <c r="B1219" s="1" t="n">
        <v>45135</v>
      </c>
      <c r="C1219" s="1" t="n">
        <v>45983</v>
      </c>
      <c r="D1219" t="inlineStr">
        <is>
          <t>VÄRMLANDS LÄN</t>
        </is>
      </c>
      <c r="E1219" t="inlineStr">
        <is>
          <t>ÅRJÄNG</t>
        </is>
      </c>
      <c r="F1219" t="inlineStr">
        <is>
          <t>Övriga Aktiebolag</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45983</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39187-2024</t>
        </is>
      </c>
      <c r="B1221" s="1" t="n">
        <v>45548.66915509259</v>
      </c>
      <c r="C1221" s="1" t="n">
        <v>45983</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24483-2024</t>
        </is>
      </c>
      <c r="B1222" s="1" t="n">
        <v>45459</v>
      </c>
      <c r="C1222" s="1" t="n">
        <v>45983</v>
      </c>
      <c r="D1222" t="inlineStr">
        <is>
          <t>VÄRMLANDS LÄN</t>
        </is>
      </c>
      <c r="E1222" t="inlineStr">
        <is>
          <t>ÅRJÄNG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24273-2023</t>
        </is>
      </c>
      <c r="B1223" s="1" t="n">
        <v>45079.6764699074</v>
      </c>
      <c r="C1223" s="1" t="n">
        <v>45983</v>
      </c>
      <c r="D1223" t="inlineStr">
        <is>
          <t>VÄRMLANDS LÄN</t>
        </is>
      </c>
      <c r="E1223" t="inlineStr">
        <is>
          <t>ÅRJÄNG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56940-2024</t>
        </is>
      </c>
      <c r="B1224" s="1" t="n">
        <v>45628.61755787037</v>
      </c>
      <c r="C1224" s="1" t="n">
        <v>45983</v>
      </c>
      <c r="D1224" t="inlineStr">
        <is>
          <t>VÄRMLANDS LÄN</t>
        </is>
      </c>
      <c r="E1224" t="inlineStr">
        <is>
          <t>ÅRJÄNG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36344-2023</t>
        </is>
      </c>
      <c r="B1225" s="1" t="n">
        <v>45152</v>
      </c>
      <c r="C1225" s="1" t="n">
        <v>45983</v>
      </c>
      <c r="D1225" t="inlineStr">
        <is>
          <t>VÄRMLANDS LÄN</t>
        </is>
      </c>
      <c r="E1225" t="inlineStr">
        <is>
          <t>ÅRJÄNG</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23904-2023</t>
        </is>
      </c>
      <c r="B1226" s="1" t="n">
        <v>45078.55413194445</v>
      </c>
      <c r="C1226" s="1" t="n">
        <v>45983</v>
      </c>
      <c r="D1226" t="inlineStr">
        <is>
          <t>VÄRMLANDS LÄN</t>
        </is>
      </c>
      <c r="E1226" t="inlineStr">
        <is>
          <t>ÅRJÄNG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21177-2023</t>
        </is>
      </c>
      <c r="B1227" s="1" t="n">
        <v>45062</v>
      </c>
      <c r="C1227" s="1" t="n">
        <v>45983</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46317-2024</t>
        </is>
      </c>
      <c r="B1228" s="1" t="n">
        <v>45581.74462962963</v>
      </c>
      <c r="C1228" s="1" t="n">
        <v>45983</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1580-2025</t>
        </is>
      </c>
      <c r="B1229" s="1" t="n">
        <v>45670</v>
      </c>
      <c r="C1229" s="1" t="n">
        <v>45983</v>
      </c>
      <c r="D1229" t="inlineStr">
        <is>
          <t>VÄRMLANDS LÄN</t>
        </is>
      </c>
      <c r="E1229" t="inlineStr">
        <is>
          <t>ÅRJÄNG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39557-2023</t>
        </is>
      </c>
      <c r="B1230" s="1" t="n">
        <v>45167.38633101852</v>
      </c>
      <c r="C1230" s="1" t="n">
        <v>45983</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2551-2025</t>
        </is>
      </c>
      <c r="B1231" s="1" t="n">
        <v>45674.63969907408</v>
      </c>
      <c r="C1231" s="1" t="n">
        <v>45983</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3848-2025</t>
        </is>
      </c>
      <c r="B1232" s="1" t="n">
        <v>45683</v>
      </c>
      <c r="C1232" s="1" t="n">
        <v>45983</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47833-2023</t>
        </is>
      </c>
      <c r="B1233" s="1" t="n">
        <v>45204.36287037037</v>
      </c>
      <c r="C1233" s="1" t="n">
        <v>45983</v>
      </c>
      <c r="D1233" t="inlineStr">
        <is>
          <t>VÄRMLANDS LÄN</t>
        </is>
      </c>
      <c r="E1233" t="inlineStr">
        <is>
          <t>ÅRJÄNG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40352-2023</t>
        </is>
      </c>
      <c r="B1234" s="1" t="n">
        <v>45168</v>
      </c>
      <c r="C1234" s="1" t="n">
        <v>45983</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55167-2024</t>
        </is>
      </c>
      <c r="B1235" s="1" t="n">
        <v>45621</v>
      </c>
      <c r="C1235" s="1" t="n">
        <v>45983</v>
      </c>
      <c r="D1235" t="inlineStr">
        <is>
          <t>VÄRMLANDS LÄN</t>
        </is>
      </c>
      <c r="E1235" t="inlineStr">
        <is>
          <t>ÅRJÄNG</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33017-2022</t>
        </is>
      </c>
      <c r="B1236" s="1" t="n">
        <v>44785.32934027778</v>
      </c>
      <c r="C1236" s="1" t="n">
        <v>45983</v>
      </c>
      <c r="D1236" t="inlineStr">
        <is>
          <t>VÄRMLANDS LÄN</t>
        </is>
      </c>
      <c r="E1236" t="inlineStr">
        <is>
          <t>ÅRJÄNG</t>
        </is>
      </c>
      <c r="F1236" t="inlineStr">
        <is>
          <t>Kyrkan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16383-2022</t>
        </is>
      </c>
      <c r="B1237" s="1" t="n">
        <v>44671</v>
      </c>
      <c r="C1237" s="1" t="n">
        <v>45983</v>
      </c>
      <c r="D1237" t="inlineStr">
        <is>
          <t>VÄRMLANDS LÄN</t>
        </is>
      </c>
      <c r="E1237" t="inlineStr">
        <is>
          <t>ÅRJÄNG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13620-2023</t>
        </is>
      </c>
      <c r="B1238" s="1" t="n">
        <v>45006</v>
      </c>
      <c r="C1238" s="1" t="n">
        <v>45983</v>
      </c>
      <c r="D1238" t="inlineStr">
        <is>
          <t>VÄRMLANDS LÄN</t>
        </is>
      </c>
      <c r="E1238" t="inlineStr">
        <is>
          <t>ÅRJÄNG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16666-2025</t>
        </is>
      </c>
      <c r="B1239" s="1" t="n">
        <v>45754</v>
      </c>
      <c r="C1239" s="1" t="n">
        <v>45983</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16806-2024</t>
        </is>
      </c>
      <c r="B1240" s="1" t="n">
        <v>45411.45510416666</v>
      </c>
      <c r="C1240" s="1" t="n">
        <v>45983</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61873-2023</t>
        </is>
      </c>
      <c r="B1241" s="1" t="n">
        <v>45266.40989583333</v>
      </c>
      <c r="C1241" s="1" t="n">
        <v>45983</v>
      </c>
      <c r="D1241" t="inlineStr">
        <is>
          <t>VÄRMLANDS LÄN</t>
        </is>
      </c>
      <c r="E1241" t="inlineStr">
        <is>
          <t>ÅRJÄNG</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12687-2025</t>
        </is>
      </c>
      <c r="B1242" s="1" t="n">
        <v>45733.44953703704</v>
      </c>
      <c r="C1242" s="1" t="n">
        <v>45983</v>
      </c>
      <c r="D1242" t="inlineStr">
        <is>
          <t>VÄRMLANDS LÄN</t>
        </is>
      </c>
      <c r="E1242" t="inlineStr">
        <is>
          <t>ÅRJÄNG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28260-2024</t>
        </is>
      </c>
      <c r="B1243" s="1" t="n">
        <v>45477</v>
      </c>
      <c r="C1243" s="1" t="n">
        <v>45983</v>
      </c>
      <c r="D1243" t="inlineStr">
        <is>
          <t>VÄRMLANDS LÄN</t>
        </is>
      </c>
      <c r="E1243" t="inlineStr">
        <is>
          <t>ÅRJÄNG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1560-2025</t>
        </is>
      </c>
      <c r="B1244" s="1" t="n">
        <v>45670.53878472222</v>
      </c>
      <c r="C1244" s="1" t="n">
        <v>45983</v>
      </c>
      <c r="D1244" t="inlineStr">
        <is>
          <t>VÄRMLANDS LÄN</t>
        </is>
      </c>
      <c r="E1244" t="inlineStr">
        <is>
          <t>ÅRJÄNG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30710-2023</t>
        </is>
      </c>
      <c r="B1245" s="1" t="n">
        <v>45112.59900462963</v>
      </c>
      <c r="C1245" s="1" t="n">
        <v>45983</v>
      </c>
      <c r="D1245" t="inlineStr">
        <is>
          <t>VÄRMLANDS LÄN</t>
        </is>
      </c>
      <c r="E1245" t="inlineStr">
        <is>
          <t>ÅRJÄNG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8255-2025</t>
        </is>
      </c>
      <c r="B1246" s="1" t="n">
        <v>45708.49788194444</v>
      </c>
      <c r="C1246" s="1" t="n">
        <v>45983</v>
      </c>
      <c r="D1246" t="inlineStr">
        <is>
          <t>VÄRMLANDS LÄN</t>
        </is>
      </c>
      <c r="E1246" t="inlineStr">
        <is>
          <t>ÅRJÄNG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34409-2023</t>
        </is>
      </c>
      <c r="B1247" s="1" t="n">
        <v>45139.56662037037</v>
      </c>
      <c r="C1247" s="1" t="n">
        <v>45983</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2222-2023</t>
        </is>
      </c>
      <c r="B1248" s="1" t="n">
        <v>44942.4250462963</v>
      </c>
      <c r="C1248" s="1" t="n">
        <v>45983</v>
      </c>
      <c r="D1248" t="inlineStr">
        <is>
          <t>VÄRMLANDS LÄN</t>
        </is>
      </c>
      <c r="E1248" t="inlineStr">
        <is>
          <t>ÅRJÄNG</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29263-2023</t>
        </is>
      </c>
      <c r="B1249" s="1" t="n">
        <v>45105</v>
      </c>
      <c r="C1249" s="1" t="n">
        <v>45983</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20354-2023</t>
        </is>
      </c>
      <c r="B1250" s="1" t="n">
        <v>45056</v>
      </c>
      <c r="C1250" s="1" t="n">
        <v>45983</v>
      </c>
      <c r="D1250" t="inlineStr">
        <is>
          <t>VÄRMLANDS LÄN</t>
        </is>
      </c>
      <c r="E1250" t="inlineStr">
        <is>
          <t>ÅRJÄNG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6522-2021</t>
        </is>
      </c>
      <c r="B1251" s="1" t="n">
        <v>44236</v>
      </c>
      <c r="C1251" s="1" t="n">
        <v>45983</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13481-2025</t>
        </is>
      </c>
      <c r="B1252" s="1" t="n">
        <v>45736</v>
      </c>
      <c r="C1252" s="1" t="n">
        <v>45983</v>
      </c>
      <c r="D1252" t="inlineStr">
        <is>
          <t>VÄRMLANDS LÄN</t>
        </is>
      </c>
      <c r="E1252" t="inlineStr">
        <is>
          <t>ÅRJÄNG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5416-2025</t>
        </is>
      </c>
      <c r="B1253" s="1" t="n">
        <v>45692.67990740741</v>
      </c>
      <c r="C1253" s="1" t="n">
        <v>45983</v>
      </c>
      <c r="D1253" t="inlineStr">
        <is>
          <t>VÄRMLANDS LÄN</t>
        </is>
      </c>
      <c r="E1253" t="inlineStr">
        <is>
          <t>ÅRJÄNG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21996-2021</t>
        </is>
      </c>
      <c r="B1254" s="1" t="n">
        <v>44323</v>
      </c>
      <c r="C1254" s="1" t="n">
        <v>45983</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48014-2023</t>
        </is>
      </c>
      <c r="B1255" s="1" t="n">
        <v>45198</v>
      </c>
      <c r="C1255" s="1" t="n">
        <v>45983</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19843-2025</t>
        </is>
      </c>
      <c r="B1256" s="1" t="n">
        <v>45771</v>
      </c>
      <c r="C1256" s="1" t="n">
        <v>45983</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10681-2024</t>
        </is>
      </c>
      <c r="B1257" s="1" t="n">
        <v>45369.36349537037</v>
      </c>
      <c r="C1257" s="1" t="n">
        <v>45983</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11718-2024</t>
        </is>
      </c>
      <c r="B1258" s="1" t="n">
        <v>45373.63803240741</v>
      </c>
      <c r="C1258" s="1" t="n">
        <v>45983</v>
      </c>
      <c r="D1258" t="inlineStr">
        <is>
          <t>VÄRMLANDS LÄN</t>
        </is>
      </c>
      <c r="E1258" t="inlineStr">
        <is>
          <t>ÅRJÄNG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58769-2024</t>
        </is>
      </c>
      <c r="B1259" s="1" t="n">
        <v>45635.75688657408</v>
      </c>
      <c r="C1259" s="1" t="n">
        <v>45983</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3463-2025</t>
        </is>
      </c>
      <c r="B1260" s="1" t="n">
        <v>45680.49807870371</v>
      </c>
      <c r="C1260" s="1" t="n">
        <v>45983</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54900-2024</t>
        </is>
      </c>
      <c r="B1261" s="1" t="n">
        <v>45618.64770833333</v>
      </c>
      <c r="C1261" s="1" t="n">
        <v>45983</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48781-2024</t>
        </is>
      </c>
      <c r="B1262" s="1" t="n">
        <v>45593</v>
      </c>
      <c r="C1262" s="1" t="n">
        <v>45983</v>
      </c>
      <c r="D1262" t="inlineStr">
        <is>
          <t>VÄRMLANDS LÄN</t>
        </is>
      </c>
      <c r="E1262" t="inlineStr">
        <is>
          <t>ÅRJÄNG</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23940-2023</t>
        </is>
      </c>
      <c r="B1263" s="1" t="n">
        <v>45075</v>
      </c>
      <c r="C1263" s="1" t="n">
        <v>45983</v>
      </c>
      <c r="D1263" t="inlineStr">
        <is>
          <t>VÄRMLANDS LÄN</t>
        </is>
      </c>
      <c r="E1263" t="inlineStr">
        <is>
          <t>ÅRJÄNG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39536-2022</t>
        </is>
      </c>
      <c r="B1264" s="1" t="n">
        <v>44818</v>
      </c>
      <c r="C1264" s="1" t="n">
        <v>45983</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5095-2022</t>
        </is>
      </c>
      <c r="B1265" s="1" t="n">
        <v>44593.86192129629</v>
      </c>
      <c r="C1265" s="1" t="n">
        <v>45983</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2-2024</t>
        </is>
      </c>
      <c r="B1266" s="1" t="n">
        <v>45292.54944444444</v>
      </c>
      <c r="C1266" s="1" t="n">
        <v>45983</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7995-2025</t>
        </is>
      </c>
      <c r="B1267" s="1" t="n">
        <v>45707.515625</v>
      </c>
      <c r="C1267" s="1" t="n">
        <v>45983</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58014-2022</t>
        </is>
      </c>
      <c r="B1268" s="1" t="n">
        <v>44893</v>
      </c>
      <c r="C1268" s="1" t="n">
        <v>45983</v>
      </c>
      <c r="D1268" t="inlineStr">
        <is>
          <t>VÄRMLANDS LÄN</t>
        </is>
      </c>
      <c r="E1268" t="inlineStr">
        <is>
          <t>ÅRJÄNG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36018-2024</t>
        </is>
      </c>
      <c r="B1269" s="1" t="n">
        <v>45533</v>
      </c>
      <c r="C1269" s="1" t="n">
        <v>45983</v>
      </c>
      <c r="D1269" t="inlineStr">
        <is>
          <t>VÄRMLANDS LÄN</t>
        </is>
      </c>
      <c r="E1269" t="inlineStr">
        <is>
          <t>ÅRJÄNG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36035-2024</t>
        </is>
      </c>
      <c r="B1270" s="1" t="n">
        <v>45533.59534722222</v>
      </c>
      <c r="C1270" s="1" t="n">
        <v>45983</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6646-2025</t>
        </is>
      </c>
      <c r="B1271" s="1" t="n">
        <v>45700</v>
      </c>
      <c r="C1271" s="1" t="n">
        <v>45983</v>
      </c>
      <c r="D1271" t="inlineStr">
        <is>
          <t>VÄRMLANDS LÄN</t>
        </is>
      </c>
      <c r="E1271" t="inlineStr">
        <is>
          <t>ÅRJÄNG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58152-2024</t>
        </is>
      </c>
      <c r="B1272" s="1" t="n">
        <v>45632.43947916666</v>
      </c>
      <c r="C1272" s="1" t="n">
        <v>45983</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10625-2025</t>
        </is>
      </c>
      <c r="B1273" s="1" t="n">
        <v>45721</v>
      </c>
      <c r="C1273" s="1" t="n">
        <v>45983</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10627-2025</t>
        </is>
      </c>
      <c r="B1274" s="1" t="n">
        <v>45721</v>
      </c>
      <c r="C1274" s="1" t="n">
        <v>45983</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3471-2023</t>
        </is>
      </c>
      <c r="B1275" s="1" t="n">
        <v>44949</v>
      </c>
      <c r="C1275" s="1" t="n">
        <v>45983</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59617-2022</t>
        </is>
      </c>
      <c r="B1276" s="1" t="n">
        <v>44907</v>
      </c>
      <c r="C1276" s="1" t="n">
        <v>45983</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59887-2023</t>
        </is>
      </c>
      <c r="B1277" s="1" t="n">
        <v>45257.59917824074</v>
      </c>
      <c r="C1277" s="1" t="n">
        <v>45983</v>
      </c>
      <c r="D1277" t="inlineStr">
        <is>
          <t>VÄRMLANDS LÄN</t>
        </is>
      </c>
      <c r="E1277" t="inlineStr">
        <is>
          <t>ÅRJÄNG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37382-2024</t>
        </is>
      </c>
      <c r="B1278" s="1" t="n">
        <v>45540</v>
      </c>
      <c r="C1278" s="1" t="n">
        <v>45983</v>
      </c>
      <c r="D1278" t="inlineStr">
        <is>
          <t>VÄRMLANDS LÄN</t>
        </is>
      </c>
      <c r="E1278" t="inlineStr">
        <is>
          <t>ÅRJÄNG</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65171-2023</t>
        </is>
      </c>
      <c r="B1279" s="1" t="n">
        <v>45288.71099537037</v>
      </c>
      <c r="C1279" s="1" t="n">
        <v>45983</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59071-2024</t>
        </is>
      </c>
      <c r="B1280" s="1" t="n">
        <v>45636.96637731481</v>
      </c>
      <c r="C1280" s="1" t="n">
        <v>45983</v>
      </c>
      <c r="D1280" t="inlineStr">
        <is>
          <t>VÄRMLANDS LÄN</t>
        </is>
      </c>
      <c r="E1280" t="inlineStr">
        <is>
          <t>ÅRJÄNG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59073-2024</t>
        </is>
      </c>
      <c r="B1281" s="1" t="n">
        <v>45636.97232638889</v>
      </c>
      <c r="C1281" s="1" t="n">
        <v>45983</v>
      </c>
      <c r="D1281" t="inlineStr">
        <is>
          <t>VÄRMLANDS LÄN</t>
        </is>
      </c>
      <c r="E1281" t="inlineStr">
        <is>
          <t>ÅRJÄNG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28864-2023</t>
        </is>
      </c>
      <c r="B1282" s="1" t="n">
        <v>45104</v>
      </c>
      <c r="C1282" s="1" t="n">
        <v>45983</v>
      </c>
      <c r="D1282" t="inlineStr">
        <is>
          <t>VÄRMLANDS LÄN</t>
        </is>
      </c>
      <c r="E1282" t="inlineStr">
        <is>
          <t>ÅRJÄNG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10117-2023</t>
        </is>
      </c>
      <c r="B1283" s="1" t="n">
        <v>44986.34331018518</v>
      </c>
      <c r="C1283" s="1" t="n">
        <v>45983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15579-2025</t>
        </is>
      </c>
      <c r="B1284" s="1" t="n">
        <v>45747</v>
      </c>
      <c r="C1284" s="1" t="n">
        <v>45983</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15303-2025</t>
        </is>
      </c>
      <c r="B1285" s="1" t="n">
        <v>45746</v>
      </c>
      <c r="C1285" s="1" t="n">
        <v>45983</v>
      </c>
      <c r="D1285" t="inlineStr">
        <is>
          <t>VÄRMLANDS LÄN</t>
        </is>
      </c>
      <c r="E1285" t="inlineStr">
        <is>
          <t>ÅRJÄNG</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11401-2025</t>
        </is>
      </c>
      <c r="B1286" s="1" t="n">
        <v>45726</v>
      </c>
      <c r="C1286" s="1" t="n">
        <v>45983</v>
      </c>
      <c r="D1286" t="inlineStr">
        <is>
          <t>VÄRMLANDS LÄN</t>
        </is>
      </c>
      <c r="E1286" t="inlineStr">
        <is>
          <t>ÅRJÄNG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58789-2024</t>
        </is>
      </c>
      <c r="B1287" s="1" t="n">
        <v>45635.98438657408</v>
      </c>
      <c r="C1287" s="1" t="n">
        <v>45983</v>
      </c>
      <c r="D1287" t="inlineStr">
        <is>
          <t>VÄRMLANDS LÄN</t>
        </is>
      </c>
      <c r="E1287" t="inlineStr">
        <is>
          <t>ÅRJÄNG</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32550-2024</t>
        </is>
      </c>
      <c r="B1288" s="1" t="n">
        <v>45513.50606481481</v>
      </c>
      <c r="C1288" s="1" t="n">
        <v>45983</v>
      </c>
      <c r="D1288" t="inlineStr">
        <is>
          <t>VÄRMLANDS LÄN</t>
        </is>
      </c>
      <c r="E1288" t="inlineStr">
        <is>
          <t>ÅRJÄNG</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46319-2024</t>
        </is>
      </c>
      <c r="B1289" s="1" t="n">
        <v>45581.760625</v>
      </c>
      <c r="C1289" s="1" t="n">
        <v>45983</v>
      </c>
      <c r="D1289" t="inlineStr">
        <is>
          <t>VÄRMLANDS LÄN</t>
        </is>
      </c>
      <c r="E1289" t="inlineStr">
        <is>
          <t>ÅRJÄNG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15230-2025</t>
        </is>
      </c>
      <c r="B1290" s="1" t="n">
        <v>45744</v>
      </c>
      <c r="C1290" s="1" t="n">
        <v>45983</v>
      </c>
      <c r="D1290" t="inlineStr">
        <is>
          <t>VÄRMLANDS LÄN</t>
        </is>
      </c>
      <c r="E1290" t="inlineStr">
        <is>
          <t>ÅRJÄNG</t>
        </is>
      </c>
      <c r="G1290" t="n">
        <v>17.1</v>
      </c>
      <c r="H1290" t="n">
        <v>0</v>
      </c>
      <c r="I1290" t="n">
        <v>0</v>
      </c>
      <c r="J1290" t="n">
        <v>0</v>
      </c>
      <c r="K1290" t="n">
        <v>0</v>
      </c>
      <c r="L1290" t="n">
        <v>0</v>
      </c>
      <c r="M1290" t="n">
        <v>0</v>
      </c>
      <c r="N1290" t="n">
        <v>0</v>
      </c>
      <c r="O1290" t="n">
        <v>0</v>
      </c>
      <c r="P1290" t="n">
        <v>0</v>
      </c>
      <c r="Q1290" t="n">
        <v>0</v>
      </c>
      <c r="R1290" s="2" t="inlineStr"/>
    </row>
    <row r="1291" ht="15" customHeight="1">
      <c r="A1291" t="inlineStr">
        <is>
          <t>A 20372-2025</t>
        </is>
      </c>
      <c r="B1291" s="1" t="n">
        <v>45775.42027777778</v>
      </c>
      <c r="C1291" s="1" t="n">
        <v>45983</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45634-2023</t>
        </is>
      </c>
      <c r="B1292" s="1" t="n">
        <v>45194</v>
      </c>
      <c r="C1292" s="1" t="n">
        <v>45983</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6551-2025</t>
        </is>
      </c>
      <c r="B1293" s="1" t="n">
        <v>45699.71454861111</v>
      </c>
      <c r="C1293" s="1" t="n">
        <v>45983</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48444-2023</t>
        </is>
      </c>
      <c r="B1294" s="1" t="n">
        <v>45206.37090277778</v>
      </c>
      <c r="C1294" s="1" t="n">
        <v>45983</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58290-2024</t>
        </is>
      </c>
      <c r="B1295" s="1" t="n">
        <v>45632.5916087963</v>
      </c>
      <c r="C1295" s="1" t="n">
        <v>45983</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1615-2025</t>
        </is>
      </c>
      <c r="B1296" s="1" t="n">
        <v>45670.60484953703</v>
      </c>
      <c r="C1296" s="1" t="n">
        <v>45983</v>
      </c>
      <c r="D1296" t="inlineStr">
        <is>
          <t>VÄRMLANDS LÄN</t>
        </is>
      </c>
      <c r="E1296" t="inlineStr">
        <is>
          <t>ÅRJÄNG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45827-2024</t>
        </is>
      </c>
      <c r="B1297" s="1" t="n">
        <v>45579</v>
      </c>
      <c r="C1297" s="1" t="n">
        <v>45983</v>
      </c>
      <c r="D1297" t="inlineStr">
        <is>
          <t>VÄRMLANDS LÄN</t>
        </is>
      </c>
      <c r="E1297" t="inlineStr">
        <is>
          <t>ÅRJÄNG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32778-2024</t>
        </is>
      </c>
      <c r="B1298" s="1" t="n">
        <v>45516.5083912037</v>
      </c>
      <c r="C1298" s="1" t="n">
        <v>45983</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42230-2024</t>
        </is>
      </c>
      <c r="B1299" s="1" t="n">
        <v>45562</v>
      </c>
      <c r="C1299" s="1" t="n">
        <v>45983</v>
      </c>
      <c r="D1299" t="inlineStr">
        <is>
          <t>VÄRMLANDS LÄN</t>
        </is>
      </c>
      <c r="E1299" t="inlineStr">
        <is>
          <t>ÅRJÄNG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4189-2025</t>
        </is>
      </c>
      <c r="B1300" s="1" t="n">
        <v>45685</v>
      </c>
      <c r="C1300" s="1" t="n">
        <v>45983</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20747-2025</t>
        </is>
      </c>
      <c r="B1301" s="1" t="n">
        <v>45776.56221064815</v>
      </c>
      <c r="C1301" s="1" t="n">
        <v>45983</v>
      </c>
      <c r="D1301" t="inlineStr">
        <is>
          <t>VÄRMLANDS LÄN</t>
        </is>
      </c>
      <c r="E1301" t="inlineStr">
        <is>
          <t>ÅRJÄNG</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20975-2025</t>
        </is>
      </c>
      <c r="B1302" s="1" t="n">
        <v>45777.45922453704</v>
      </c>
      <c r="C1302" s="1" t="n">
        <v>45983</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20957-2025</t>
        </is>
      </c>
      <c r="B1303" s="1" t="n">
        <v>45777.44613425926</v>
      </c>
      <c r="C1303" s="1" t="n">
        <v>45983</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21258-2025</t>
        </is>
      </c>
      <c r="B1304" s="1" t="n">
        <v>45779.59001157407</v>
      </c>
      <c r="C1304" s="1" t="n">
        <v>45983</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11198-2025</t>
        </is>
      </c>
      <c r="B1305" s="1" t="n">
        <v>45725</v>
      </c>
      <c r="C1305" s="1" t="n">
        <v>45983</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7193-2024</t>
        </is>
      </c>
      <c r="B1306" s="1" t="n">
        <v>45344</v>
      </c>
      <c r="C1306" s="1" t="n">
        <v>45983</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1467-2025</t>
        </is>
      </c>
      <c r="B1307" s="1" t="n">
        <v>45667</v>
      </c>
      <c r="C1307" s="1" t="n">
        <v>45983</v>
      </c>
      <c r="D1307" t="inlineStr">
        <is>
          <t>VÄRMLANDS LÄN</t>
        </is>
      </c>
      <c r="E1307" t="inlineStr">
        <is>
          <t>ÅRJÄNG</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31793-2023</t>
        </is>
      </c>
      <c r="B1308" s="1" t="n">
        <v>45118.43685185185</v>
      </c>
      <c r="C1308" s="1" t="n">
        <v>45983</v>
      </c>
      <c r="D1308" t="inlineStr">
        <is>
          <t>VÄRMLANDS LÄN</t>
        </is>
      </c>
      <c r="E1308" t="inlineStr">
        <is>
          <t>ÅRJÄNG</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50347-2024</t>
        </is>
      </c>
      <c r="B1309" s="1" t="n">
        <v>45600</v>
      </c>
      <c r="C1309" s="1" t="n">
        <v>45983</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c r="A1310" t="inlineStr">
        <is>
          <t>A 22276-2025</t>
        </is>
      </c>
      <c r="B1310" s="1" t="n">
        <v>45786.32737268518</v>
      </c>
      <c r="C1310" s="1" t="n">
        <v>45983</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2025-11-22T10:17:29Z</dcterms:created>
  <dcterms:modified xmlns:dcterms="http://purl.org/dc/terms/" xmlns:xsi="http://www.w3.org/2001/XMLSchema-instance" xsi:type="dcterms:W3CDTF">2025-11-22T10:17:30Z</dcterms:modified>
</cp:coreProperties>
</file>