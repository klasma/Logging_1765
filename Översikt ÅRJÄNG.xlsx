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45971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45971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45971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45971</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45971</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45971</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45971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45971</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45971</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45971</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45958.59953703704</v>
      </c>
      <c r="C18" s="1" t="n">
        <v>45971</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45971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45971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45971</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45971</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45971</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45971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45971</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45971</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45971</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58238-2024</t>
        </is>
      </c>
      <c r="B28" s="1" t="n">
        <v>45632</v>
      </c>
      <c r="C28" s="1" t="n">
        <v>45971</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45971</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45094-2024</t>
        </is>
      </c>
      <c r="B30" s="1" t="n">
        <v>45575</v>
      </c>
      <c r="C30" s="1" t="n">
        <v>45971</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45971</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45971</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40437-2025</t>
        </is>
      </c>
      <c r="B33" s="1" t="n">
        <v>45895</v>
      </c>
      <c r="C33" s="1" t="n">
        <v>45971</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45971</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45971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45971</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45971</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45971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45971</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45971</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47476-2025</t>
        </is>
      </c>
      <c r="B43" s="1" t="n">
        <v>45930.67951388889</v>
      </c>
      <c r="C43" s="1" t="n">
        <v>45971</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14898-2025</t>
        </is>
      </c>
      <c r="B44" s="1" t="n">
        <v>45743.47967592593</v>
      </c>
      <c r="C44" s="1" t="n">
        <v>45971</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45971</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45971</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45971</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45971</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27001-2025</t>
        </is>
      </c>
      <c r="B49" s="1" t="n">
        <v>45811</v>
      </c>
      <c r="C49" s="1" t="n">
        <v>45971</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8630-2025</t>
        </is>
      </c>
      <c r="B50" s="1" t="n">
        <v>45711.70400462963</v>
      </c>
      <c r="C50" s="1" t="n">
        <v>45971</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45971</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45230-2025</t>
        </is>
      </c>
      <c r="B52" s="1" t="n">
        <v>45919</v>
      </c>
      <c r="C52" s="1" t="n">
        <v>45971</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36385-2025</t>
        </is>
      </c>
      <c r="B53" s="1" t="n">
        <v>45868</v>
      </c>
      <c r="C53" s="1" t="n">
        <v>45971</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15418-2021</t>
        </is>
      </c>
      <c r="B54" s="1" t="n">
        <v>44285</v>
      </c>
      <c r="C54" s="1" t="n">
        <v>45971</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52826-2022</t>
        </is>
      </c>
      <c r="B55" s="1" t="n">
        <v>44875.45353009259</v>
      </c>
      <c r="C55" s="1" t="n">
        <v>45971</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45971</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45971</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45971</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45971</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45971</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45971</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45971</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45971</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45971</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45971</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45971</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45971</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45971</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45971</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45971</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45971</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45971</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45971</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45971</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45971</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45971</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45971</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45971</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45971</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45971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45971</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45971</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45971</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45971</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45971</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45971</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45971</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45971</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45971</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45971</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45971</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45971</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45971</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45971</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45971</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45971</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45971</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45971</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45971</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45971</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45971</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45971</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45971</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45971</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45971</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45971</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45971</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45971</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45971</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45971</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45971</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45971</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45971</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45971</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45971</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45971</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45971</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45971</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45971</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45971</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45971</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45971</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45971</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45971</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45971</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45971</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45971</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45971</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45971</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66599-2021</t>
        </is>
      </c>
      <c r="B133" s="1" t="n">
        <v>44519</v>
      </c>
      <c r="C133" s="1" t="n">
        <v>45971</v>
      </c>
      <c r="D133" t="inlineStr">
        <is>
          <t>VÄRMLANDS LÄN</t>
        </is>
      </c>
      <c r="E133" t="inlineStr">
        <is>
          <t>ÅRJÄNG</t>
        </is>
      </c>
      <c r="G133" t="n">
        <v>0.5</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45971</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45971</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45971</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16399-2022</t>
        </is>
      </c>
      <c r="B137" s="1" t="n">
        <v>44671</v>
      </c>
      <c r="C137" s="1" t="n">
        <v>45971</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45971</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45971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45971</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45971</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45971</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45971</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45971</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45971</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45971</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45971</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45971</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45971</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45971</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45971</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45971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45971</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45971</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45971</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45971</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45971</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45971</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45971</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45971</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45971</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45971</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45971</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45971</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45971</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45971</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45971</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45971</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45971</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45971</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45971</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45971</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45971</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45971</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45971</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45971</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45971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45971</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45971</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45971</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45971</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45971</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45971</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45971</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45971</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45971</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45971</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45971</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45971</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45971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45971</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45971</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45971</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45971</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59341-2021</t>
        </is>
      </c>
      <c r="B195" s="1" t="n">
        <v>44491</v>
      </c>
      <c r="C195" s="1" t="n">
        <v>45971</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45971</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45971</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45971</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45971</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45971</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45971</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45971</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45971</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45971</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45971</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45971</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69647-2020</t>
        </is>
      </c>
      <c r="B207" s="1" t="n">
        <v>44195</v>
      </c>
      <c r="C207" s="1" t="n">
        <v>45971</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74166-2021</t>
        </is>
      </c>
      <c r="B208" s="1" t="n">
        <v>44558</v>
      </c>
      <c r="C208" s="1" t="n">
        <v>45971</v>
      </c>
      <c r="D208" t="inlineStr">
        <is>
          <t>VÄRMLANDS LÄN</t>
        </is>
      </c>
      <c r="E208" t="inlineStr">
        <is>
          <t>ÅRJÄNG</t>
        </is>
      </c>
      <c r="G208" t="n">
        <v>1.4</v>
      </c>
      <c r="H208" t="n">
        <v>0</v>
      </c>
      <c r="I208" t="n">
        <v>0</v>
      </c>
      <c r="J208" t="n">
        <v>0</v>
      </c>
      <c r="K208" t="n">
        <v>0</v>
      </c>
      <c r="L208" t="n">
        <v>0</v>
      </c>
      <c r="M208" t="n">
        <v>0</v>
      </c>
      <c r="N208" t="n">
        <v>0</v>
      </c>
      <c r="O208" t="n">
        <v>0</v>
      </c>
      <c r="P208" t="n">
        <v>0</v>
      </c>
      <c r="Q208" t="n">
        <v>0</v>
      </c>
      <c r="R208" s="2" t="inlineStr"/>
    </row>
    <row r="209" ht="15" customHeight="1">
      <c r="A209" t="inlineStr">
        <is>
          <t>A 60713-2021</t>
        </is>
      </c>
      <c r="B209" s="1" t="n">
        <v>44496</v>
      </c>
      <c r="C209" s="1" t="n">
        <v>45971</v>
      </c>
      <c r="D209" t="inlineStr">
        <is>
          <t>VÄRMLANDS LÄN</t>
        </is>
      </c>
      <c r="E209" t="inlineStr">
        <is>
          <t>ÅRJÄNG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73138-2021</t>
        </is>
      </c>
      <c r="B210" s="1" t="n">
        <v>44550</v>
      </c>
      <c r="C210" s="1" t="n">
        <v>45971</v>
      </c>
      <c r="D210" t="inlineStr">
        <is>
          <t>VÄRMLANDS LÄN</t>
        </is>
      </c>
      <c r="E210" t="inlineStr">
        <is>
          <t>ÅRJÄNG</t>
        </is>
      </c>
      <c r="G210" t="n">
        <v>4.3</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45971</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45971</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13156-2022</t>
        </is>
      </c>
      <c r="B213" s="1" t="n">
        <v>44643</v>
      </c>
      <c r="C213" s="1" t="n">
        <v>45971</v>
      </c>
      <c r="D213" t="inlineStr">
        <is>
          <t>VÄRMLANDS LÄN</t>
        </is>
      </c>
      <c r="E213" t="inlineStr">
        <is>
          <t>ÅRJÄNG</t>
        </is>
      </c>
      <c r="G213" t="n">
        <v>7.8</v>
      </c>
      <c r="H213" t="n">
        <v>0</v>
      </c>
      <c r="I213" t="n">
        <v>0</v>
      </c>
      <c r="J213" t="n">
        <v>0</v>
      </c>
      <c r="K213" t="n">
        <v>0</v>
      </c>
      <c r="L213" t="n">
        <v>0</v>
      </c>
      <c r="M213" t="n">
        <v>0</v>
      </c>
      <c r="N213" t="n">
        <v>0</v>
      </c>
      <c r="O213" t="n">
        <v>0</v>
      </c>
      <c r="P213" t="n">
        <v>0</v>
      </c>
      <c r="Q213" t="n">
        <v>0</v>
      </c>
      <c r="R213" s="2" t="inlineStr"/>
    </row>
    <row r="214" ht="15" customHeight="1">
      <c r="A214" t="inlineStr">
        <is>
          <t>A 47005-2021</t>
        </is>
      </c>
      <c r="B214" s="1" t="n">
        <v>44446</v>
      </c>
      <c r="C214" s="1" t="n">
        <v>45971</v>
      </c>
      <c r="D214" t="inlineStr">
        <is>
          <t>VÄRMLANDS LÄN</t>
        </is>
      </c>
      <c r="E214" t="inlineStr">
        <is>
          <t>ÅRJÄNG</t>
        </is>
      </c>
      <c r="G214" t="n">
        <v>6.3</v>
      </c>
      <c r="H214" t="n">
        <v>0</v>
      </c>
      <c r="I214" t="n">
        <v>0</v>
      </c>
      <c r="J214" t="n">
        <v>0</v>
      </c>
      <c r="K214" t="n">
        <v>0</v>
      </c>
      <c r="L214" t="n">
        <v>0</v>
      </c>
      <c r="M214" t="n">
        <v>0</v>
      </c>
      <c r="N214" t="n">
        <v>0</v>
      </c>
      <c r="O214" t="n">
        <v>0</v>
      </c>
      <c r="P214" t="n">
        <v>0</v>
      </c>
      <c r="Q214" t="n">
        <v>0</v>
      </c>
      <c r="R214" s="2" t="inlineStr"/>
    </row>
    <row r="215" ht="15" customHeight="1">
      <c r="A215" t="inlineStr">
        <is>
          <t>A 47033-2021</t>
        </is>
      </c>
      <c r="B215" s="1" t="n">
        <v>44446</v>
      </c>
      <c r="C215" s="1" t="n">
        <v>45971</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9407-2022</t>
        </is>
      </c>
      <c r="B216" s="1" t="n">
        <v>44616.65760416666</v>
      </c>
      <c r="C216" s="1" t="n">
        <v>45971</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8938-2022</t>
        </is>
      </c>
      <c r="B217" s="1" t="n">
        <v>44614.7222337963</v>
      </c>
      <c r="C217" s="1" t="n">
        <v>45971</v>
      </c>
      <c r="D217" t="inlineStr">
        <is>
          <t>VÄRMLANDS LÄN</t>
        </is>
      </c>
      <c r="E217" t="inlineStr">
        <is>
          <t>ÅRJÄNG</t>
        </is>
      </c>
      <c r="G217" t="n">
        <v>11.9</v>
      </c>
      <c r="H217" t="n">
        <v>0</v>
      </c>
      <c r="I217" t="n">
        <v>0</v>
      </c>
      <c r="J217" t="n">
        <v>0</v>
      </c>
      <c r="K217" t="n">
        <v>0</v>
      </c>
      <c r="L217" t="n">
        <v>0</v>
      </c>
      <c r="M217" t="n">
        <v>0</v>
      </c>
      <c r="N217" t="n">
        <v>0</v>
      </c>
      <c r="O217" t="n">
        <v>0</v>
      </c>
      <c r="P217" t="n">
        <v>0</v>
      </c>
      <c r="Q217" t="n">
        <v>0</v>
      </c>
      <c r="R217" s="2" t="inlineStr"/>
    </row>
    <row r="218" ht="15" customHeight="1">
      <c r="A218" t="inlineStr">
        <is>
          <t>A 60011-2020</t>
        </is>
      </c>
      <c r="B218" s="1" t="n">
        <v>44151</v>
      </c>
      <c r="C218" s="1" t="n">
        <v>45971</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45971</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36016-2022</t>
        </is>
      </c>
      <c r="B220" s="1" t="n">
        <v>44802.64721064815</v>
      </c>
      <c r="C220" s="1" t="n">
        <v>45971</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45971</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10898-2022</t>
        </is>
      </c>
      <c r="B222" s="1" t="n">
        <v>44627</v>
      </c>
      <c r="C222" s="1" t="n">
        <v>45971</v>
      </c>
      <c r="D222" t="inlineStr">
        <is>
          <t>VÄRMLANDS LÄN</t>
        </is>
      </c>
      <c r="E222" t="inlineStr">
        <is>
          <t>ÅRJÄNG</t>
        </is>
      </c>
      <c r="G222" t="n">
        <v>10.2</v>
      </c>
      <c r="H222" t="n">
        <v>0</v>
      </c>
      <c r="I222" t="n">
        <v>0</v>
      </c>
      <c r="J222" t="n">
        <v>0</v>
      </c>
      <c r="K222" t="n">
        <v>0</v>
      </c>
      <c r="L222" t="n">
        <v>0</v>
      </c>
      <c r="M222" t="n">
        <v>0</v>
      </c>
      <c r="N222" t="n">
        <v>0</v>
      </c>
      <c r="O222" t="n">
        <v>0</v>
      </c>
      <c r="P222" t="n">
        <v>0</v>
      </c>
      <c r="Q222" t="n">
        <v>0</v>
      </c>
      <c r="R222" s="2" t="inlineStr"/>
    </row>
    <row r="223" ht="15" customHeight="1">
      <c r="A223" t="inlineStr">
        <is>
          <t>A 28437-2021</t>
        </is>
      </c>
      <c r="B223" s="1" t="n">
        <v>44356.53327546296</v>
      </c>
      <c r="C223" s="1" t="n">
        <v>45971</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16400-2022</t>
        </is>
      </c>
      <c r="B224" s="1" t="n">
        <v>44671</v>
      </c>
      <c r="C224" s="1" t="n">
        <v>45971</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12137-2021</t>
        </is>
      </c>
      <c r="B225" s="1" t="n">
        <v>44266</v>
      </c>
      <c r="C225" s="1" t="n">
        <v>45971</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15249-2021</t>
        </is>
      </c>
      <c r="B226" s="1" t="n">
        <v>44282</v>
      </c>
      <c r="C226" s="1" t="n">
        <v>45971</v>
      </c>
      <c r="D226" t="inlineStr">
        <is>
          <t>VÄRMLANDS LÄN</t>
        </is>
      </c>
      <c r="E226" t="inlineStr">
        <is>
          <t>ÅRJÄNG</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4400-2022</t>
        </is>
      </c>
      <c r="B227" s="1" t="n">
        <v>44588</v>
      </c>
      <c r="C227" s="1" t="n">
        <v>45971</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14094-2021</t>
        </is>
      </c>
      <c r="B228" s="1" t="n">
        <v>44278.29547453704</v>
      </c>
      <c r="C228" s="1" t="n">
        <v>45971</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65979-2021</t>
        </is>
      </c>
      <c r="B229" s="1" t="n">
        <v>44517.54078703704</v>
      </c>
      <c r="C229" s="1" t="n">
        <v>45971</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63393-2020</t>
        </is>
      </c>
      <c r="B230" s="1" t="n">
        <v>44165.51438657408</v>
      </c>
      <c r="C230" s="1" t="n">
        <v>45971</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53739-2021</t>
        </is>
      </c>
      <c r="B231" s="1" t="n">
        <v>44469</v>
      </c>
      <c r="C231" s="1" t="n">
        <v>45971</v>
      </c>
      <c r="D231" t="inlineStr">
        <is>
          <t>VÄRMLANDS LÄN</t>
        </is>
      </c>
      <c r="E231" t="inlineStr">
        <is>
          <t>ÅRJÄNG</t>
        </is>
      </c>
      <c r="G231" t="n">
        <v>15.9</v>
      </c>
      <c r="H231" t="n">
        <v>0</v>
      </c>
      <c r="I231" t="n">
        <v>0</v>
      </c>
      <c r="J231" t="n">
        <v>0</v>
      </c>
      <c r="K231" t="n">
        <v>0</v>
      </c>
      <c r="L231" t="n">
        <v>0</v>
      </c>
      <c r="M231" t="n">
        <v>0</v>
      </c>
      <c r="N231" t="n">
        <v>0</v>
      </c>
      <c r="O231" t="n">
        <v>0</v>
      </c>
      <c r="P231" t="n">
        <v>0</v>
      </c>
      <c r="Q231" t="n">
        <v>0</v>
      </c>
      <c r="R231" s="2" t="inlineStr"/>
    </row>
    <row r="232" ht="15" customHeight="1">
      <c r="A232" t="inlineStr">
        <is>
          <t>A 47035-2021</t>
        </is>
      </c>
      <c r="B232" s="1" t="n">
        <v>44446</v>
      </c>
      <c r="C232" s="1" t="n">
        <v>45971</v>
      </c>
      <c r="D232" t="inlineStr">
        <is>
          <t>VÄRMLANDS LÄN</t>
        </is>
      </c>
      <c r="E232" t="inlineStr">
        <is>
          <t>ÅRJÄNG</t>
        </is>
      </c>
      <c r="G232" t="n">
        <v>2.6</v>
      </c>
      <c r="H232" t="n">
        <v>0</v>
      </c>
      <c r="I232" t="n">
        <v>0</v>
      </c>
      <c r="J232" t="n">
        <v>0</v>
      </c>
      <c r="K232" t="n">
        <v>0</v>
      </c>
      <c r="L232" t="n">
        <v>0</v>
      </c>
      <c r="M232" t="n">
        <v>0</v>
      </c>
      <c r="N232" t="n">
        <v>0</v>
      </c>
      <c r="O232" t="n">
        <v>0</v>
      </c>
      <c r="P232" t="n">
        <v>0</v>
      </c>
      <c r="Q232" t="n">
        <v>0</v>
      </c>
      <c r="R232" s="2" t="inlineStr"/>
    </row>
    <row r="233" ht="15" customHeight="1">
      <c r="A233" t="inlineStr">
        <is>
          <t>A 14507-2022</t>
        </is>
      </c>
      <c r="B233" s="1" t="n">
        <v>44655</v>
      </c>
      <c r="C233" s="1" t="n">
        <v>45971</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10006-2022</t>
        </is>
      </c>
      <c r="B234" s="1" t="n">
        <v>44621</v>
      </c>
      <c r="C234" s="1" t="n">
        <v>45971</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21701-2021</t>
        </is>
      </c>
      <c r="B235" s="1" t="n">
        <v>44322</v>
      </c>
      <c r="C235" s="1" t="n">
        <v>45971</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33025-2021</t>
        </is>
      </c>
      <c r="B236" s="1" t="n">
        <v>44376</v>
      </c>
      <c r="C236" s="1" t="n">
        <v>45971</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28925-2022</t>
        </is>
      </c>
      <c r="B237" s="1" t="n">
        <v>44749.57684027778</v>
      </c>
      <c r="C237" s="1" t="n">
        <v>45971</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8438-2022</t>
        </is>
      </c>
      <c r="B238" s="1" t="n">
        <v>44612</v>
      </c>
      <c r="C238" s="1" t="n">
        <v>45971</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10899-2022</t>
        </is>
      </c>
      <c r="B239" s="1" t="n">
        <v>44627</v>
      </c>
      <c r="C239" s="1" t="n">
        <v>45971</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50044-2022</t>
        </is>
      </c>
      <c r="B240" s="1" t="n">
        <v>44865</v>
      </c>
      <c r="C240" s="1" t="n">
        <v>45971</v>
      </c>
      <c r="D240" t="inlineStr">
        <is>
          <t>VÄRMLANDS LÄN</t>
        </is>
      </c>
      <c r="E240" t="inlineStr">
        <is>
          <t>ÅRJÄNG</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35015-2021</t>
        </is>
      </c>
      <c r="B241" s="1" t="n">
        <v>44383.69291666667</v>
      </c>
      <c r="C241" s="1" t="n">
        <v>45971</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66334-2020</t>
        </is>
      </c>
      <c r="B242" s="1" t="n">
        <v>44174</v>
      </c>
      <c r="C242" s="1" t="n">
        <v>45971</v>
      </c>
      <c r="D242" t="inlineStr">
        <is>
          <t>VÄRMLANDS LÄN</t>
        </is>
      </c>
      <c r="E242" t="inlineStr">
        <is>
          <t>ÅRJÄNG</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3980-2021</t>
        </is>
      </c>
      <c r="B243" s="1" t="n">
        <v>44217</v>
      </c>
      <c r="C243" s="1" t="n">
        <v>45971</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56778-2024</t>
        </is>
      </c>
      <c r="B244" s="1" t="n">
        <v>45628</v>
      </c>
      <c r="C244" s="1" t="n">
        <v>45971</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63383-2020</t>
        </is>
      </c>
      <c r="B245" s="1" t="n">
        <v>44165.49491898148</v>
      </c>
      <c r="C245" s="1" t="n">
        <v>45971</v>
      </c>
      <c r="D245" t="inlineStr">
        <is>
          <t>VÄRMLANDS LÄN</t>
        </is>
      </c>
      <c r="E245" t="inlineStr">
        <is>
          <t>ÅRJÄNG</t>
        </is>
      </c>
      <c r="G245" t="n">
        <v>2.7</v>
      </c>
      <c r="H245" t="n">
        <v>0</v>
      </c>
      <c r="I245" t="n">
        <v>0</v>
      </c>
      <c r="J245" t="n">
        <v>0</v>
      </c>
      <c r="K245" t="n">
        <v>0</v>
      </c>
      <c r="L245" t="n">
        <v>0</v>
      </c>
      <c r="M245" t="n">
        <v>0</v>
      </c>
      <c r="N245" t="n">
        <v>0</v>
      </c>
      <c r="O245" t="n">
        <v>0</v>
      </c>
      <c r="P245" t="n">
        <v>0</v>
      </c>
      <c r="Q245" t="n">
        <v>0</v>
      </c>
      <c r="R245" s="2" t="inlineStr"/>
    </row>
    <row r="246" ht="15" customHeight="1">
      <c r="A246" t="inlineStr">
        <is>
          <t>A 21939-2022</t>
        </is>
      </c>
      <c r="B246" s="1" t="n">
        <v>44711</v>
      </c>
      <c r="C246" s="1" t="n">
        <v>45971</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19244-2021</t>
        </is>
      </c>
      <c r="B247" s="1" t="n">
        <v>44309</v>
      </c>
      <c r="C247" s="1" t="n">
        <v>45971</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44872.71702546296</v>
      </c>
      <c r="C248" s="1" t="n">
        <v>45971</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4668-2025</t>
        </is>
      </c>
      <c r="B249" s="1" t="n">
        <v>45687.76229166667</v>
      </c>
      <c r="C249" s="1" t="n">
        <v>45971</v>
      </c>
      <c r="D249" t="inlineStr">
        <is>
          <t>VÄRMLANDS LÄN</t>
        </is>
      </c>
      <c r="E249" t="inlineStr">
        <is>
          <t>ÅRJÄNG</t>
        </is>
      </c>
      <c r="G249" t="n">
        <v>8.5</v>
      </c>
      <c r="H249" t="n">
        <v>0</v>
      </c>
      <c r="I249" t="n">
        <v>0</v>
      </c>
      <c r="J249" t="n">
        <v>0</v>
      </c>
      <c r="K249" t="n">
        <v>0</v>
      </c>
      <c r="L249" t="n">
        <v>0</v>
      </c>
      <c r="M249" t="n">
        <v>0</v>
      </c>
      <c r="N249" t="n">
        <v>0</v>
      </c>
      <c r="O249" t="n">
        <v>0</v>
      </c>
      <c r="P249" t="n">
        <v>0</v>
      </c>
      <c r="Q249" t="n">
        <v>0</v>
      </c>
      <c r="R249" s="2" t="inlineStr"/>
    </row>
    <row r="250" ht="15" customHeight="1">
      <c r="A250" t="inlineStr">
        <is>
          <t>A 54961-2024</t>
        </is>
      </c>
      <c r="B250" s="1" t="n">
        <v>45619.9753125</v>
      </c>
      <c r="C250" s="1" t="n">
        <v>45971</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36948-2021</t>
        </is>
      </c>
      <c r="B251" s="1" t="n">
        <v>44393.53646990741</v>
      </c>
      <c r="C251" s="1" t="n">
        <v>45971</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47013-2021</t>
        </is>
      </c>
      <c r="B252" s="1" t="n">
        <v>44446</v>
      </c>
      <c r="C252" s="1" t="n">
        <v>45971</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2143-2022</t>
        </is>
      </c>
      <c r="B253" s="1" t="n">
        <v>44571</v>
      </c>
      <c r="C253" s="1" t="n">
        <v>45971</v>
      </c>
      <c r="D253" t="inlineStr">
        <is>
          <t>VÄRMLANDS LÄN</t>
        </is>
      </c>
      <c r="E253" t="inlineStr">
        <is>
          <t>ÅRJÄNG</t>
        </is>
      </c>
      <c r="G253" t="n">
        <v>2.5</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45971</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17135-2022</t>
        </is>
      </c>
      <c r="B255" s="1" t="n">
        <v>44677</v>
      </c>
      <c r="C255" s="1" t="n">
        <v>45971</v>
      </c>
      <c r="D255" t="inlineStr">
        <is>
          <t>VÄRMLANDS LÄN</t>
        </is>
      </c>
      <c r="E255" t="inlineStr">
        <is>
          <t>ÅRJÄNG</t>
        </is>
      </c>
      <c r="G255" t="n">
        <v>9</v>
      </c>
      <c r="H255" t="n">
        <v>0</v>
      </c>
      <c r="I255" t="n">
        <v>0</v>
      </c>
      <c r="J255" t="n">
        <v>0</v>
      </c>
      <c r="K255" t="n">
        <v>0</v>
      </c>
      <c r="L255" t="n">
        <v>0</v>
      </c>
      <c r="M255" t="n">
        <v>0</v>
      </c>
      <c r="N255" t="n">
        <v>0</v>
      </c>
      <c r="O255" t="n">
        <v>0</v>
      </c>
      <c r="P255" t="n">
        <v>0</v>
      </c>
      <c r="Q255" t="n">
        <v>0</v>
      </c>
      <c r="R255" s="2" t="inlineStr"/>
    </row>
    <row r="256" ht="15" customHeight="1">
      <c r="A256" t="inlineStr">
        <is>
          <t>A 13654-2022</t>
        </is>
      </c>
      <c r="B256" s="1" t="n">
        <v>44648.65623842592</v>
      </c>
      <c r="C256" s="1" t="n">
        <v>45971</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27871-2021</t>
        </is>
      </c>
      <c r="B257" s="1" t="n">
        <v>44354</v>
      </c>
      <c r="C257" s="1" t="n">
        <v>45971</v>
      </c>
      <c r="D257" t="inlineStr">
        <is>
          <t>VÄRMLANDS LÄN</t>
        </is>
      </c>
      <c r="E257" t="inlineStr">
        <is>
          <t>ÅRJÄNG</t>
        </is>
      </c>
      <c r="G257" t="n">
        <v>2.3</v>
      </c>
      <c r="H257" t="n">
        <v>0</v>
      </c>
      <c r="I257" t="n">
        <v>0</v>
      </c>
      <c r="J257" t="n">
        <v>0</v>
      </c>
      <c r="K257" t="n">
        <v>0</v>
      </c>
      <c r="L257" t="n">
        <v>0</v>
      </c>
      <c r="M257" t="n">
        <v>0</v>
      </c>
      <c r="N257" t="n">
        <v>0</v>
      </c>
      <c r="O257" t="n">
        <v>0</v>
      </c>
      <c r="P257" t="n">
        <v>0</v>
      </c>
      <c r="Q257" t="n">
        <v>0</v>
      </c>
      <c r="R257" s="2" t="inlineStr"/>
    </row>
    <row r="258" ht="15" customHeight="1">
      <c r="A258" t="inlineStr">
        <is>
          <t>A 40872-2022</t>
        </is>
      </c>
      <c r="B258" s="1" t="n">
        <v>44825.33496527778</v>
      </c>
      <c r="C258" s="1" t="n">
        <v>45971</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45971</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45971</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45971</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45971</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45971</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50569-2021</t>
        </is>
      </c>
      <c r="B264" s="1" t="n">
        <v>44459</v>
      </c>
      <c r="C264" s="1" t="n">
        <v>45971</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30817-2021</t>
        </is>
      </c>
      <c r="B265" s="1" t="n">
        <v>44365</v>
      </c>
      <c r="C265" s="1" t="n">
        <v>45971</v>
      </c>
      <c r="D265" t="inlineStr">
        <is>
          <t>VÄRMLANDS LÄN</t>
        </is>
      </c>
      <c r="E265" t="inlineStr">
        <is>
          <t>ÅRJÄNG</t>
        </is>
      </c>
      <c r="G265" t="n">
        <v>5.6</v>
      </c>
      <c r="H265" t="n">
        <v>0</v>
      </c>
      <c r="I265" t="n">
        <v>0</v>
      </c>
      <c r="J265" t="n">
        <v>0</v>
      </c>
      <c r="K265" t="n">
        <v>0</v>
      </c>
      <c r="L265" t="n">
        <v>0</v>
      </c>
      <c r="M265" t="n">
        <v>0</v>
      </c>
      <c r="N265" t="n">
        <v>0</v>
      </c>
      <c r="O265" t="n">
        <v>0</v>
      </c>
      <c r="P265" t="n">
        <v>0</v>
      </c>
      <c r="Q265" t="n">
        <v>0</v>
      </c>
      <c r="R265" s="2" t="inlineStr"/>
    </row>
    <row r="266" ht="15" customHeight="1">
      <c r="A266" t="inlineStr">
        <is>
          <t>A 39661-2022</t>
        </is>
      </c>
      <c r="B266" s="1" t="n">
        <v>44818.79202546296</v>
      </c>
      <c r="C266" s="1" t="n">
        <v>45971</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5122-2025</t>
        </is>
      </c>
      <c r="B267" s="1" t="n">
        <v>45691.55863425926</v>
      </c>
      <c r="C267" s="1" t="n">
        <v>45971</v>
      </c>
      <c r="D267" t="inlineStr">
        <is>
          <t>VÄRMLANDS LÄN</t>
        </is>
      </c>
      <c r="E267" t="inlineStr">
        <is>
          <t>ÅRJÄNG</t>
        </is>
      </c>
      <c r="G267" t="n">
        <v>5.7</v>
      </c>
      <c r="H267" t="n">
        <v>0</v>
      </c>
      <c r="I267" t="n">
        <v>0</v>
      </c>
      <c r="J267" t="n">
        <v>0</v>
      </c>
      <c r="K267" t="n">
        <v>0</v>
      </c>
      <c r="L267" t="n">
        <v>0</v>
      </c>
      <c r="M267" t="n">
        <v>0</v>
      </c>
      <c r="N267" t="n">
        <v>0</v>
      </c>
      <c r="O267" t="n">
        <v>0</v>
      </c>
      <c r="P267" t="n">
        <v>0</v>
      </c>
      <c r="Q267" t="n">
        <v>0</v>
      </c>
      <c r="R267" s="2" t="inlineStr"/>
    </row>
    <row r="268" ht="15" customHeight="1">
      <c r="A268" t="inlineStr">
        <is>
          <t>A 5713-2021</t>
        </is>
      </c>
      <c r="B268" s="1" t="n">
        <v>44230</v>
      </c>
      <c r="C268" s="1" t="n">
        <v>45971</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59453-2021</t>
        </is>
      </c>
      <c r="B269" s="1" t="n">
        <v>44491</v>
      </c>
      <c r="C269" s="1" t="n">
        <v>45971</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9484-2021</t>
        </is>
      </c>
      <c r="B270" s="1" t="n">
        <v>44251</v>
      </c>
      <c r="C270" s="1" t="n">
        <v>45971</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53262-2022</t>
        </is>
      </c>
      <c r="B271" s="1" t="n">
        <v>44876</v>
      </c>
      <c r="C271" s="1" t="n">
        <v>45971</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23451-2021</t>
        </is>
      </c>
      <c r="B272" s="1" t="n">
        <v>44333.89180555556</v>
      </c>
      <c r="C272" s="1" t="n">
        <v>45971</v>
      </c>
      <c r="D272" t="inlineStr">
        <is>
          <t>VÄRMLANDS LÄN</t>
        </is>
      </c>
      <c r="E272" t="inlineStr">
        <is>
          <t>ÅRJÄNG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19964-2023</t>
        </is>
      </c>
      <c r="B273" s="1" t="n">
        <v>45051</v>
      </c>
      <c r="C273" s="1" t="n">
        <v>45971</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41416-2021</t>
        </is>
      </c>
      <c r="B274" s="1" t="n">
        <v>44424</v>
      </c>
      <c r="C274" s="1" t="n">
        <v>45971</v>
      </c>
      <c r="D274" t="inlineStr">
        <is>
          <t>VÄRMLANDS LÄN</t>
        </is>
      </c>
      <c r="E274" t="inlineStr">
        <is>
          <t>ÅRJÄNG</t>
        </is>
      </c>
      <c r="G274" t="n">
        <v>10.4</v>
      </c>
      <c r="H274" t="n">
        <v>0</v>
      </c>
      <c r="I274" t="n">
        <v>0</v>
      </c>
      <c r="J274" t="n">
        <v>0</v>
      </c>
      <c r="K274" t="n">
        <v>0</v>
      </c>
      <c r="L274" t="n">
        <v>0</v>
      </c>
      <c r="M274" t="n">
        <v>0</v>
      </c>
      <c r="N274" t="n">
        <v>0</v>
      </c>
      <c r="O274" t="n">
        <v>0</v>
      </c>
      <c r="P274" t="n">
        <v>0</v>
      </c>
      <c r="Q274" t="n">
        <v>0</v>
      </c>
      <c r="R274" s="2" t="inlineStr"/>
    </row>
    <row r="275" ht="15" customHeight="1">
      <c r="A275" t="inlineStr">
        <is>
          <t>A 16079-2024</t>
        </is>
      </c>
      <c r="B275" s="1" t="n">
        <v>45406</v>
      </c>
      <c r="C275" s="1" t="n">
        <v>45971</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12072-2024</t>
        </is>
      </c>
      <c r="B276" s="1" t="n">
        <v>45377</v>
      </c>
      <c r="C276" s="1" t="n">
        <v>45971</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47228-2023</t>
        </is>
      </c>
      <c r="B277" s="1" t="n">
        <v>45202.3709837963</v>
      </c>
      <c r="C277" s="1" t="n">
        <v>45971</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56917-2024</t>
        </is>
      </c>
      <c r="B278" s="1" t="n">
        <v>45628</v>
      </c>
      <c r="C278" s="1" t="n">
        <v>45971</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48192-2022</t>
        </is>
      </c>
      <c r="B279" s="1" t="n">
        <v>44853</v>
      </c>
      <c r="C279" s="1" t="n">
        <v>45971</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46318-2024</t>
        </is>
      </c>
      <c r="B280" s="1" t="n">
        <v>45581.75744212963</v>
      </c>
      <c r="C280" s="1" t="n">
        <v>45971</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27862-2021</t>
        </is>
      </c>
      <c r="B281" s="1" t="n">
        <v>44354</v>
      </c>
      <c r="C281" s="1" t="n">
        <v>45971</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43034-2021</t>
        </is>
      </c>
      <c r="B282" s="1" t="n">
        <v>44431</v>
      </c>
      <c r="C282" s="1" t="n">
        <v>45971</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18796-2023</t>
        </is>
      </c>
      <c r="B283" s="1" t="n">
        <v>45044.31065972222</v>
      </c>
      <c r="C283" s="1" t="n">
        <v>45971</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7235-2022</t>
        </is>
      </c>
      <c r="B284" s="1" t="n">
        <v>44606</v>
      </c>
      <c r="C284" s="1" t="n">
        <v>45971</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72609-2021</t>
        </is>
      </c>
      <c r="B285" s="1" t="n">
        <v>44546.50645833334</v>
      </c>
      <c r="C285" s="1" t="n">
        <v>45971</v>
      </c>
      <c r="D285" t="inlineStr">
        <is>
          <t>VÄRMLANDS LÄN</t>
        </is>
      </c>
      <c r="E285" t="inlineStr">
        <is>
          <t>ÅRJÄNG</t>
        </is>
      </c>
      <c r="F285" t="inlineStr">
        <is>
          <t>Kyrkan</t>
        </is>
      </c>
      <c r="G285" t="n">
        <v>1.8</v>
      </c>
      <c r="H285" t="n">
        <v>0</v>
      </c>
      <c r="I285" t="n">
        <v>0</v>
      </c>
      <c r="J285" t="n">
        <v>0</v>
      </c>
      <c r="K285" t="n">
        <v>0</v>
      </c>
      <c r="L285" t="n">
        <v>0</v>
      </c>
      <c r="M285" t="n">
        <v>0</v>
      </c>
      <c r="N285" t="n">
        <v>0</v>
      </c>
      <c r="O285" t="n">
        <v>0</v>
      </c>
      <c r="P285" t="n">
        <v>0</v>
      </c>
      <c r="Q285" t="n">
        <v>0</v>
      </c>
      <c r="R285" s="2" t="inlineStr"/>
    </row>
    <row r="286" ht="15" customHeight="1">
      <c r="A286" t="inlineStr">
        <is>
          <t>A 60715-2021</t>
        </is>
      </c>
      <c r="B286" s="1" t="n">
        <v>44496.70440972222</v>
      </c>
      <c r="C286" s="1" t="n">
        <v>45971</v>
      </c>
      <c r="D286" t="inlineStr">
        <is>
          <t>VÄRMLANDS LÄN</t>
        </is>
      </c>
      <c r="E286" t="inlineStr">
        <is>
          <t>ÅRJÄNG</t>
        </is>
      </c>
      <c r="G286" t="n">
        <v>7.4</v>
      </c>
      <c r="H286" t="n">
        <v>0</v>
      </c>
      <c r="I286" t="n">
        <v>0</v>
      </c>
      <c r="J286" t="n">
        <v>0</v>
      </c>
      <c r="K286" t="n">
        <v>0</v>
      </c>
      <c r="L286" t="n">
        <v>0</v>
      </c>
      <c r="M286" t="n">
        <v>0</v>
      </c>
      <c r="N286" t="n">
        <v>0</v>
      </c>
      <c r="O286" t="n">
        <v>0</v>
      </c>
      <c r="P286" t="n">
        <v>0</v>
      </c>
      <c r="Q286" t="n">
        <v>0</v>
      </c>
      <c r="R286" s="2" t="inlineStr"/>
    </row>
    <row r="287" ht="15" customHeight="1">
      <c r="A287" t="inlineStr">
        <is>
          <t>A 65849-2021</t>
        </is>
      </c>
      <c r="B287" s="1" t="n">
        <v>44517</v>
      </c>
      <c r="C287" s="1" t="n">
        <v>45971</v>
      </c>
      <c r="D287" t="inlineStr">
        <is>
          <t>VÄRMLANDS LÄN</t>
        </is>
      </c>
      <c r="E287" t="inlineStr">
        <is>
          <t>ÅRJÄNG</t>
        </is>
      </c>
      <c r="G287" t="n">
        <v>3.3</v>
      </c>
      <c r="H287" t="n">
        <v>0</v>
      </c>
      <c r="I287" t="n">
        <v>0</v>
      </c>
      <c r="J287" t="n">
        <v>0</v>
      </c>
      <c r="K287" t="n">
        <v>0</v>
      </c>
      <c r="L287" t="n">
        <v>0</v>
      </c>
      <c r="M287" t="n">
        <v>0</v>
      </c>
      <c r="N287" t="n">
        <v>0</v>
      </c>
      <c r="O287" t="n">
        <v>0</v>
      </c>
      <c r="P287" t="n">
        <v>0</v>
      </c>
      <c r="Q287" t="n">
        <v>0</v>
      </c>
      <c r="R287" s="2" t="inlineStr"/>
    </row>
    <row r="288" ht="15" customHeight="1">
      <c r="A288" t="inlineStr">
        <is>
          <t>A 47688-2023</t>
        </is>
      </c>
      <c r="B288" s="1" t="n">
        <v>45203</v>
      </c>
      <c r="C288" s="1" t="n">
        <v>45971</v>
      </c>
      <c r="D288" t="inlineStr">
        <is>
          <t>VÄRMLANDS LÄN</t>
        </is>
      </c>
      <c r="E288" t="inlineStr">
        <is>
          <t>ÅRJÄNG</t>
        </is>
      </c>
      <c r="F288" t="inlineStr">
        <is>
          <t>Övriga Aktiebolag</t>
        </is>
      </c>
      <c r="G288" t="n">
        <v>20.3</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45971</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57833-2021</t>
        </is>
      </c>
      <c r="B290" s="1" t="n">
        <v>44484.71295138889</v>
      </c>
      <c r="C290" s="1" t="n">
        <v>45971</v>
      </c>
      <c r="D290" t="inlineStr">
        <is>
          <t>VÄRMLANDS LÄN</t>
        </is>
      </c>
      <c r="E290" t="inlineStr">
        <is>
          <t>ÅRJÄNG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36532-2022</t>
        </is>
      </c>
      <c r="B291" s="1" t="n">
        <v>44804</v>
      </c>
      <c r="C291" s="1" t="n">
        <v>45971</v>
      </c>
      <c r="D291" t="inlineStr">
        <is>
          <t>VÄRMLANDS LÄN</t>
        </is>
      </c>
      <c r="E291" t="inlineStr">
        <is>
          <t>ÅRJÄNG</t>
        </is>
      </c>
      <c r="G291" t="n">
        <v>12.7</v>
      </c>
      <c r="H291" t="n">
        <v>0</v>
      </c>
      <c r="I291" t="n">
        <v>0</v>
      </c>
      <c r="J291" t="n">
        <v>0</v>
      </c>
      <c r="K291" t="n">
        <v>0</v>
      </c>
      <c r="L291" t="n">
        <v>0</v>
      </c>
      <c r="M291" t="n">
        <v>0</v>
      </c>
      <c r="N291" t="n">
        <v>0</v>
      </c>
      <c r="O291" t="n">
        <v>0</v>
      </c>
      <c r="P291" t="n">
        <v>0</v>
      </c>
      <c r="Q291" t="n">
        <v>0</v>
      </c>
      <c r="R291" s="2" t="inlineStr"/>
    </row>
    <row r="292" ht="15" customHeight="1">
      <c r="A292" t="inlineStr">
        <is>
          <t>A 6900-2021</t>
        </is>
      </c>
      <c r="B292" s="1" t="n">
        <v>44237</v>
      </c>
      <c r="C292" s="1" t="n">
        <v>45971</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6908-2021</t>
        </is>
      </c>
      <c r="B293" s="1" t="n">
        <v>44237</v>
      </c>
      <c r="C293" s="1" t="n">
        <v>45971</v>
      </c>
      <c r="D293" t="inlineStr">
        <is>
          <t>VÄRMLANDS LÄN</t>
        </is>
      </c>
      <c r="E293" t="inlineStr">
        <is>
          <t>ÅRJÄNG</t>
        </is>
      </c>
      <c r="G293" t="n">
        <v>3.3</v>
      </c>
      <c r="H293" t="n">
        <v>0</v>
      </c>
      <c r="I293" t="n">
        <v>0</v>
      </c>
      <c r="J293" t="n">
        <v>0</v>
      </c>
      <c r="K293" t="n">
        <v>0</v>
      </c>
      <c r="L293" t="n">
        <v>0</v>
      </c>
      <c r="M293" t="n">
        <v>0</v>
      </c>
      <c r="N293" t="n">
        <v>0</v>
      </c>
      <c r="O293" t="n">
        <v>0</v>
      </c>
      <c r="P293" t="n">
        <v>0</v>
      </c>
      <c r="Q293" t="n">
        <v>0</v>
      </c>
      <c r="R293" s="2" t="inlineStr"/>
    </row>
    <row r="294" ht="15" customHeight="1">
      <c r="A294" t="inlineStr">
        <is>
          <t>A 1153-2023</t>
        </is>
      </c>
      <c r="B294" s="1" t="n">
        <v>44935</v>
      </c>
      <c r="C294" s="1" t="n">
        <v>45971</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29098-2022</t>
        </is>
      </c>
      <c r="B295" s="1" t="n">
        <v>44750</v>
      </c>
      <c r="C295" s="1" t="n">
        <v>45971</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45971</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45971</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11265-2021</t>
        </is>
      </c>
      <c r="B298" s="1" t="n">
        <v>44263.44670138889</v>
      </c>
      <c r="C298" s="1" t="n">
        <v>45971</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45971</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51962-2022</t>
        </is>
      </c>
      <c r="B300" s="1" t="n">
        <v>44872.68225694444</v>
      </c>
      <c r="C300" s="1" t="n">
        <v>45971</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16791-2025</t>
        </is>
      </c>
      <c r="B301" s="1" t="n">
        <v>45754</v>
      </c>
      <c r="C301" s="1" t="n">
        <v>45971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11805-2024</t>
        </is>
      </c>
      <c r="B302" s="1" t="n">
        <v>45375.76523148148</v>
      </c>
      <c r="C302" s="1" t="n">
        <v>45971</v>
      </c>
      <c r="D302" t="inlineStr">
        <is>
          <t>VÄRMLANDS LÄN</t>
        </is>
      </c>
      <c r="E302" t="inlineStr">
        <is>
          <t>ÅRJÄNG</t>
        </is>
      </c>
      <c r="G302" t="n">
        <v>4.4</v>
      </c>
      <c r="H302" t="n">
        <v>0</v>
      </c>
      <c r="I302" t="n">
        <v>0</v>
      </c>
      <c r="J302" t="n">
        <v>0</v>
      </c>
      <c r="K302" t="n">
        <v>0</v>
      </c>
      <c r="L302" t="n">
        <v>0</v>
      </c>
      <c r="M302" t="n">
        <v>0</v>
      </c>
      <c r="N302" t="n">
        <v>0</v>
      </c>
      <c r="O302" t="n">
        <v>0</v>
      </c>
      <c r="P302" t="n">
        <v>0</v>
      </c>
      <c r="Q302" t="n">
        <v>0</v>
      </c>
      <c r="R302" s="2" t="inlineStr"/>
    </row>
    <row r="303" ht="15" customHeight="1">
      <c r="A303" t="inlineStr">
        <is>
          <t>A 15828-2024</t>
        </is>
      </c>
      <c r="B303" s="1" t="n">
        <v>45404</v>
      </c>
      <c r="C303" s="1" t="n">
        <v>45971</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16676-2021</t>
        </is>
      </c>
      <c r="B304" s="1" t="n">
        <v>44294.5668287037</v>
      </c>
      <c r="C304" s="1" t="n">
        <v>45971</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8408-2022</t>
        </is>
      </c>
      <c r="B305" s="1" t="n">
        <v>44610</v>
      </c>
      <c r="C305" s="1" t="n">
        <v>45971</v>
      </c>
      <c r="D305" t="inlineStr">
        <is>
          <t>VÄRMLANDS LÄN</t>
        </is>
      </c>
      <c r="E305" t="inlineStr">
        <is>
          <t>ÅRJÄNG</t>
        </is>
      </c>
      <c r="G305" t="n">
        <v>3.9</v>
      </c>
      <c r="H305" t="n">
        <v>0</v>
      </c>
      <c r="I305" t="n">
        <v>0</v>
      </c>
      <c r="J305" t="n">
        <v>0</v>
      </c>
      <c r="K305" t="n">
        <v>0</v>
      </c>
      <c r="L305" t="n">
        <v>0</v>
      </c>
      <c r="M305" t="n">
        <v>0</v>
      </c>
      <c r="N305" t="n">
        <v>0</v>
      </c>
      <c r="O305" t="n">
        <v>0</v>
      </c>
      <c r="P305" t="n">
        <v>0</v>
      </c>
      <c r="Q305" t="n">
        <v>0</v>
      </c>
      <c r="R305" s="2" t="inlineStr"/>
    </row>
    <row r="306" ht="15" customHeight="1">
      <c r="A306" t="inlineStr">
        <is>
          <t>A 14340-2023</t>
        </is>
      </c>
      <c r="B306" s="1" t="n">
        <v>45012.36368055556</v>
      </c>
      <c r="C306" s="1" t="n">
        <v>45971</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49795-2024</t>
        </is>
      </c>
      <c r="B307" s="1" t="n">
        <v>45597.3713425926</v>
      </c>
      <c r="C307" s="1" t="n">
        <v>45971</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8678-2022</t>
        </is>
      </c>
      <c r="B308" s="1" t="n">
        <v>44613.68043981482</v>
      </c>
      <c r="C308" s="1" t="n">
        <v>45971</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19893-2022</t>
        </is>
      </c>
      <c r="B309" s="1" t="n">
        <v>44697</v>
      </c>
      <c r="C309" s="1" t="n">
        <v>45971</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24342-2024</t>
        </is>
      </c>
      <c r="B310" s="1" t="n">
        <v>45457</v>
      </c>
      <c r="C310" s="1" t="n">
        <v>45971</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61009-2022</t>
        </is>
      </c>
      <c r="B311" s="1" t="n">
        <v>44914.7541550926</v>
      </c>
      <c r="C311" s="1" t="n">
        <v>45971</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72996-2021</t>
        </is>
      </c>
      <c r="B312" s="1" t="n">
        <v>44549.8596875</v>
      </c>
      <c r="C312" s="1" t="n">
        <v>45971</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4915-2022</t>
        </is>
      </c>
      <c r="B313" s="1" t="n">
        <v>44593</v>
      </c>
      <c r="C313" s="1" t="n">
        <v>45971</v>
      </c>
      <c r="D313" t="inlineStr">
        <is>
          <t>VÄRMLANDS LÄN</t>
        </is>
      </c>
      <c r="E313" t="inlineStr">
        <is>
          <t>ÅRJÄNG</t>
        </is>
      </c>
      <c r="G313" t="n">
        <v>3.7</v>
      </c>
      <c r="H313" t="n">
        <v>0</v>
      </c>
      <c r="I313" t="n">
        <v>0</v>
      </c>
      <c r="J313" t="n">
        <v>0</v>
      </c>
      <c r="K313" t="n">
        <v>0</v>
      </c>
      <c r="L313" t="n">
        <v>0</v>
      </c>
      <c r="M313" t="n">
        <v>0</v>
      </c>
      <c r="N313" t="n">
        <v>0</v>
      </c>
      <c r="O313" t="n">
        <v>0</v>
      </c>
      <c r="P313" t="n">
        <v>0</v>
      </c>
      <c r="Q313" t="n">
        <v>0</v>
      </c>
      <c r="R313" s="2" t="inlineStr"/>
    </row>
    <row r="314" ht="15" customHeight="1">
      <c r="A314" t="inlineStr">
        <is>
          <t>A 2116-2025</t>
        </is>
      </c>
      <c r="B314" s="1" t="n">
        <v>45672</v>
      </c>
      <c r="C314" s="1" t="n">
        <v>45971</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53726-2021</t>
        </is>
      </c>
      <c r="B315" s="1" t="n">
        <v>44469.51079861111</v>
      </c>
      <c r="C315" s="1" t="n">
        <v>45971</v>
      </c>
      <c r="D315" t="inlineStr">
        <is>
          <t>VÄRMLANDS LÄN</t>
        </is>
      </c>
      <c r="E315" t="inlineStr">
        <is>
          <t>ÅRJÄNG</t>
        </is>
      </c>
      <c r="G315" t="n">
        <v>3.2</v>
      </c>
      <c r="H315" t="n">
        <v>0</v>
      </c>
      <c r="I315" t="n">
        <v>0</v>
      </c>
      <c r="J315" t="n">
        <v>0</v>
      </c>
      <c r="K315" t="n">
        <v>0</v>
      </c>
      <c r="L315" t="n">
        <v>0</v>
      </c>
      <c r="M315" t="n">
        <v>0</v>
      </c>
      <c r="N315" t="n">
        <v>0</v>
      </c>
      <c r="O315" t="n">
        <v>0</v>
      </c>
      <c r="P315" t="n">
        <v>0</v>
      </c>
      <c r="Q315" t="n">
        <v>0</v>
      </c>
      <c r="R315" s="2" t="inlineStr"/>
    </row>
    <row r="316" ht="15" customHeight="1">
      <c r="A316" t="inlineStr">
        <is>
          <t>A 34574-2023</t>
        </is>
      </c>
      <c r="B316" s="1" t="n">
        <v>45135</v>
      </c>
      <c r="C316" s="1" t="n">
        <v>45971</v>
      </c>
      <c r="D316" t="inlineStr">
        <is>
          <t>VÄRMLANDS LÄN</t>
        </is>
      </c>
      <c r="E316" t="inlineStr">
        <is>
          <t>ÅRJÄNG</t>
        </is>
      </c>
      <c r="F316" t="inlineStr">
        <is>
          <t>Övriga Aktiebolag</t>
        </is>
      </c>
      <c r="G316" t="n">
        <v>5.9</v>
      </c>
      <c r="H316" t="n">
        <v>0</v>
      </c>
      <c r="I316" t="n">
        <v>0</v>
      </c>
      <c r="J316" t="n">
        <v>0</v>
      </c>
      <c r="K316" t="n">
        <v>0</v>
      </c>
      <c r="L316" t="n">
        <v>0</v>
      </c>
      <c r="M316" t="n">
        <v>0</v>
      </c>
      <c r="N316" t="n">
        <v>0</v>
      </c>
      <c r="O316" t="n">
        <v>0</v>
      </c>
      <c r="P316" t="n">
        <v>0</v>
      </c>
      <c r="Q316" t="n">
        <v>0</v>
      </c>
      <c r="R316" s="2" t="inlineStr"/>
    </row>
    <row r="317" ht="15" customHeight="1">
      <c r="A317" t="inlineStr">
        <is>
          <t>A 37949-2022</t>
        </is>
      </c>
      <c r="B317" s="1" t="n">
        <v>44811.48773148148</v>
      </c>
      <c r="C317" s="1" t="n">
        <v>45971</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69024-2021</t>
        </is>
      </c>
      <c r="B318" s="1" t="n">
        <v>44530.61547453704</v>
      </c>
      <c r="C318" s="1" t="n">
        <v>45971</v>
      </c>
      <c r="D318" t="inlineStr">
        <is>
          <t>VÄRMLANDS LÄN</t>
        </is>
      </c>
      <c r="E318" t="inlineStr">
        <is>
          <t>ÅRJÄNG</t>
        </is>
      </c>
      <c r="G318" t="n">
        <v>0.3</v>
      </c>
      <c r="H318" t="n">
        <v>0</v>
      </c>
      <c r="I318" t="n">
        <v>0</v>
      </c>
      <c r="J318" t="n">
        <v>0</v>
      </c>
      <c r="K318" t="n">
        <v>0</v>
      </c>
      <c r="L318" t="n">
        <v>0</v>
      </c>
      <c r="M318" t="n">
        <v>0</v>
      </c>
      <c r="N318" t="n">
        <v>0</v>
      </c>
      <c r="O318" t="n">
        <v>0</v>
      </c>
      <c r="P318" t="n">
        <v>0</v>
      </c>
      <c r="Q318" t="n">
        <v>0</v>
      </c>
      <c r="R318" s="2" t="inlineStr"/>
    </row>
    <row r="319" ht="15" customHeight="1">
      <c r="A319" t="inlineStr">
        <is>
          <t>A 40643-2022</t>
        </is>
      </c>
      <c r="B319" s="1" t="n">
        <v>44824.32023148148</v>
      </c>
      <c r="C319" s="1" t="n">
        <v>45971</v>
      </c>
      <c r="D319" t="inlineStr">
        <is>
          <t>VÄRMLANDS LÄN</t>
        </is>
      </c>
      <c r="E319" t="inlineStr">
        <is>
          <t>ÅRJÄNG</t>
        </is>
      </c>
      <c r="G319" t="n">
        <v>0.4</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45971</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45971</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40490-2022</t>
        </is>
      </c>
      <c r="B322" s="1" t="n">
        <v>44823.58560185185</v>
      </c>
      <c r="C322" s="1" t="n">
        <v>45971</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48293-2022</t>
        </is>
      </c>
      <c r="B323" s="1" t="n">
        <v>44858.51623842592</v>
      </c>
      <c r="C323" s="1" t="n">
        <v>45971</v>
      </c>
      <c r="D323" t="inlineStr">
        <is>
          <t>VÄRMLANDS LÄN</t>
        </is>
      </c>
      <c r="E323" t="inlineStr">
        <is>
          <t>ÅRJÄNG</t>
        </is>
      </c>
      <c r="G323" t="n">
        <v>3.2</v>
      </c>
      <c r="H323" t="n">
        <v>0</v>
      </c>
      <c r="I323" t="n">
        <v>0</v>
      </c>
      <c r="J323" t="n">
        <v>0</v>
      </c>
      <c r="K323" t="n">
        <v>0</v>
      </c>
      <c r="L323" t="n">
        <v>0</v>
      </c>
      <c r="M323" t="n">
        <v>0</v>
      </c>
      <c r="N323" t="n">
        <v>0</v>
      </c>
      <c r="O323" t="n">
        <v>0</v>
      </c>
      <c r="P323" t="n">
        <v>0</v>
      </c>
      <c r="Q323" t="n">
        <v>0</v>
      </c>
      <c r="R323" s="2" t="inlineStr"/>
    </row>
    <row r="324" ht="15" customHeight="1">
      <c r="A324" t="inlineStr">
        <is>
          <t>A 38433-2024</t>
        </is>
      </c>
      <c r="B324" s="1" t="n">
        <v>45546</v>
      </c>
      <c r="C324" s="1" t="n">
        <v>45971</v>
      </c>
      <c r="D324" t="inlineStr">
        <is>
          <t>VÄRMLANDS LÄN</t>
        </is>
      </c>
      <c r="E324" t="inlineStr">
        <is>
          <t>ÅRJÄNG</t>
        </is>
      </c>
      <c r="G324" t="n">
        <v>0.3</v>
      </c>
      <c r="H324" t="n">
        <v>0</v>
      </c>
      <c r="I324" t="n">
        <v>0</v>
      </c>
      <c r="J324" t="n">
        <v>0</v>
      </c>
      <c r="K324" t="n">
        <v>0</v>
      </c>
      <c r="L324" t="n">
        <v>0</v>
      </c>
      <c r="M324" t="n">
        <v>0</v>
      </c>
      <c r="N324" t="n">
        <v>0</v>
      </c>
      <c r="O324" t="n">
        <v>0</v>
      </c>
      <c r="P324" t="n">
        <v>0</v>
      </c>
      <c r="Q324" t="n">
        <v>0</v>
      </c>
      <c r="R324" s="2" t="inlineStr"/>
    </row>
    <row r="325" ht="15" customHeight="1">
      <c r="A325" t="inlineStr">
        <is>
          <t>A 13157-2024</t>
        </is>
      </c>
      <c r="B325" s="1" t="n">
        <v>45386</v>
      </c>
      <c r="C325" s="1" t="n">
        <v>45971</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50509-2024</t>
        </is>
      </c>
      <c r="B326" s="1" t="n">
        <v>45601</v>
      </c>
      <c r="C326" s="1" t="n">
        <v>45971</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7746-2022</t>
        </is>
      </c>
      <c r="B327" s="1" t="n">
        <v>44608.39331018519</v>
      </c>
      <c r="C327" s="1" t="n">
        <v>45971</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34410-2023</t>
        </is>
      </c>
      <c r="B328" s="1" t="n">
        <v>45139.56870370371</v>
      </c>
      <c r="C328" s="1" t="n">
        <v>45971</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32773-2024</t>
        </is>
      </c>
      <c r="B329" s="1" t="n">
        <v>45516.49834490741</v>
      </c>
      <c r="C329" s="1" t="n">
        <v>45971</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11874-2025</t>
        </is>
      </c>
      <c r="B330" s="1" t="n">
        <v>45728.43699074074</v>
      </c>
      <c r="C330" s="1" t="n">
        <v>45971</v>
      </c>
      <c r="D330" t="inlineStr">
        <is>
          <t>VÄRMLANDS LÄN</t>
        </is>
      </c>
      <c r="E330" t="inlineStr">
        <is>
          <t>ÅRJÄNG</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15949-2025</t>
        </is>
      </c>
      <c r="B331" s="1" t="n">
        <v>45749</v>
      </c>
      <c r="C331" s="1" t="n">
        <v>45971</v>
      </c>
      <c r="D331" t="inlineStr">
        <is>
          <t>VÄRMLANDS LÄN</t>
        </is>
      </c>
      <c r="E331" t="inlineStr">
        <is>
          <t>ÅRJÄNG</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59385-2023</t>
        </is>
      </c>
      <c r="B332" s="1" t="n">
        <v>45253</v>
      </c>
      <c r="C332" s="1" t="n">
        <v>45971</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13036-2025</t>
        </is>
      </c>
      <c r="B333" s="1" t="n">
        <v>45734.57474537037</v>
      </c>
      <c r="C333" s="1" t="n">
        <v>45971</v>
      </c>
      <c r="D333" t="inlineStr">
        <is>
          <t>VÄRMLANDS LÄN</t>
        </is>
      </c>
      <c r="E333" t="inlineStr">
        <is>
          <t>ÅRJÄNG</t>
        </is>
      </c>
      <c r="G333" t="n">
        <v>5.6</v>
      </c>
      <c r="H333" t="n">
        <v>0</v>
      </c>
      <c r="I333" t="n">
        <v>0</v>
      </c>
      <c r="J333" t="n">
        <v>0</v>
      </c>
      <c r="K333" t="n">
        <v>0</v>
      </c>
      <c r="L333" t="n">
        <v>0</v>
      </c>
      <c r="M333" t="n">
        <v>0</v>
      </c>
      <c r="N333" t="n">
        <v>0</v>
      </c>
      <c r="O333" t="n">
        <v>0</v>
      </c>
      <c r="P333" t="n">
        <v>0</v>
      </c>
      <c r="Q333" t="n">
        <v>0</v>
      </c>
      <c r="R333" s="2" t="inlineStr"/>
    </row>
    <row r="334" ht="15" customHeight="1">
      <c r="A334" t="inlineStr">
        <is>
          <t>A 7537-2021</t>
        </is>
      </c>
      <c r="B334" s="1" t="n">
        <v>44239</v>
      </c>
      <c r="C334" s="1" t="n">
        <v>45971</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8246-2025</t>
        </is>
      </c>
      <c r="B335" s="1" t="n">
        <v>45708.48710648148</v>
      </c>
      <c r="C335" s="1" t="n">
        <v>45971</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9909-2024</t>
        </is>
      </c>
      <c r="B336" s="1" t="n">
        <v>45363.53642361111</v>
      </c>
      <c r="C336" s="1" t="n">
        <v>45971</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50301-2024</t>
        </is>
      </c>
      <c r="B337" s="1" t="n">
        <v>45600</v>
      </c>
      <c r="C337" s="1" t="n">
        <v>45971</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35726-2022</t>
        </is>
      </c>
      <c r="B338" s="1" t="n">
        <v>44799</v>
      </c>
      <c r="C338" s="1" t="n">
        <v>45971</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15616-2023</t>
        </is>
      </c>
      <c r="B339" s="1" t="n">
        <v>45020.88847222222</v>
      </c>
      <c r="C339" s="1" t="n">
        <v>45971</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5342-2022</t>
        </is>
      </c>
      <c r="B340" s="1" t="n">
        <v>44594.72582175926</v>
      </c>
      <c r="C340" s="1" t="n">
        <v>45971</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51109-2022</t>
        </is>
      </c>
      <c r="B341" s="1" t="n">
        <v>44868.43569444444</v>
      </c>
      <c r="C341" s="1" t="n">
        <v>45971</v>
      </c>
      <c r="D341" t="inlineStr">
        <is>
          <t>VÄRMLANDS LÄN</t>
        </is>
      </c>
      <c r="E341" t="inlineStr">
        <is>
          <t>ÅRJÄNG</t>
        </is>
      </c>
      <c r="G341" t="n">
        <v>4.3</v>
      </c>
      <c r="H341" t="n">
        <v>0</v>
      </c>
      <c r="I341" t="n">
        <v>0</v>
      </c>
      <c r="J341" t="n">
        <v>0</v>
      </c>
      <c r="K341" t="n">
        <v>0</v>
      </c>
      <c r="L341" t="n">
        <v>0</v>
      </c>
      <c r="M341" t="n">
        <v>0</v>
      </c>
      <c r="N341" t="n">
        <v>0</v>
      </c>
      <c r="O341" t="n">
        <v>0</v>
      </c>
      <c r="P341" t="n">
        <v>0</v>
      </c>
      <c r="Q341" t="n">
        <v>0</v>
      </c>
      <c r="R341" s="2" t="inlineStr"/>
    </row>
    <row r="342" ht="15" customHeight="1">
      <c r="A342" t="inlineStr">
        <is>
          <t>A 25654-2024</t>
        </is>
      </c>
      <c r="B342" s="1" t="n">
        <v>45463</v>
      </c>
      <c r="C342" s="1" t="n">
        <v>45971</v>
      </c>
      <c r="D342" t="inlineStr">
        <is>
          <t>VÄRMLANDS LÄN</t>
        </is>
      </c>
      <c r="E342" t="inlineStr">
        <is>
          <t>ÅRJÄNG</t>
        </is>
      </c>
      <c r="G342" t="n">
        <v>16.9</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45971</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45971</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45971</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45971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60000-2024</t>
        </is>
      </c>
      <c r="B347" s="1" t="n">
        <v>45642</v>
      </c>
      <c r="C347" s="1" t="n">
        <v>45971</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45971</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45971</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74430-2021</t>
        </is>
      </c>
      <c r="B350" s="1" t="n">
        <v>44560.43342592593</v>
      </c>
      <c r="C350" s="1" t="n">
        <v>45971</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15148-2025</t>
        </is>
      </c>
      <c r="B351" s="1" t="n">
        <v>45744.45298611111</v>
      </c>
      <c r="C351" s="1" t="n">
        <v>45971</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935-2021</t>
        </is>
      </c>
      <c r="B352" s="1" t="n">
        <v>44207</v>
      </c>
      <c r="C352" s="1" t="n">
        <v>45971</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46473-2024</t>
        </is>
      </c>
      <c r="B353" s="1" t="n">
        <v>45582</v>
      </c>
      <c r="C353" s="1" t="n">
        <v>45971</v>
      </c>
      <c r="D353" t="inlineStr">
        <is>
          <t>VÄRMLANDS LÄN</t>
        </is>
      </c>
      <c r="E353" t="inlineStr">
        <is>
          <t>ÅRJÄNG</t>
        </is>
      </c>
      <c r="G353" t="n">
        <v>4</v>
      </c>
      <c r="H353" t="n">
        <v>0</v>
      </c>
      <c r="I353" t="n">
        <v>0</v>
      </c>
      <c r="J353" t="n">
        <v>0</v>
      </c>
      <c r="K353" t="n">
        <v>0</v>
      </c>
      <c r="L353" t="n">
        <v>0</v>
      </c>
      <c r="M353" t="n">
        <v>0</v>
      </c>
      <c r="N353" t="n">
        <v>0</v>
      </c>
      <c r="O353" t="n">
        <v>0</v>
      </c>
      <c r="P353" t="n">
        <v>0</v>
      </c>
      <c r="Q353" t="n">
        <v>0</v>
      </c>
      <c r="R353" s="2" t="inlineStr"/>
    </row>
    <row r="354" ht="15" customHeight="1">
      <c r="A354" t="inlineStr">
        <is>
          <t>A 26880-2023</t>
        </is>
      </c>
      <c r="B354" s="1" t="n">
        <v>45093.58373842593</v>
      </c>
      <c r="C354" s="1" t="n">
        <v>45971</v>
      </c>
      <c r="D354" t="inlineStr">
        <is>
          <t>VÄRMLANDS LÄN</t>
        </is>
      </c>
      <c r="E354" t="inlineStr">
        <is>
          <t>ÅRJÄNG</t>
        </is>
      </c>
      <c r="G354" t="n">
        <v>3.6</v>
      </c>
      <c r="H354" t="n">
        <v>0</v>
      </c>
      <c r="I354" t="n">
        <v>0</v>
      </c>
      <c r="J354" t="n">
        <v>0</v>
      </c>
      <c r="K354" t="n">
        <v>0</v>
      </c>
      <c r="L354" t="n">
        <v>0</v>
      </c>
      <c r="M354" t="n">
        <v>0</v>
      </c>
      <c r="N354" t="n">
        <v>0</v>
      </c>
      <c r="O354" t="n">
        <v>0</v>
      </c>
      <c r="P354" t="n">
        <v>0</v>
      </c>
      <c r="Q354" t="n">
        <v>0</v>
      </c>
      <c r="R354" s="2" t="inlineStr"/>
    </row>
    <row r="355" ht="15" customHeight="1">
      <c r="A355" t="inlineStr">
        <is>
          <t>A 13998-2024</t>
        </is>
      </c>
      <c r="B355" s="1" t="n">
        <v>45392</v>
      </c>
      <c r="C355" s="1" t="n">
        <v>45971</v>
      </c>
      <c r="D355" t="inlineStr">
        <is>
          <t>VÄRMLANDS LÄN</t>
        </is>
      </c>
      <c r="E355" t="inlineStr">
        <is>
          <t>ÅRJÄNG</t>
        </is>
      </c>
      <c r="G355" t="n">
        <v>1.8</v>
      </c>
      <c r="H355" t="n">
        <v>0</v>
      </c>
      <c r="I355" t="n">
        <v>0</v>
      </c>
      <c r="J355" t="n">
        <v>0</v>
      </c>
      <c r="K355" t="n">
        <v>0</v>
      </c>
      <c r="L355" t="n">
        <v>0</v>
      </c>
      <c r="M355" t="n">
        <v>0</v>
      </c>
      <c r="N355" t="n">
        <v>0</v>
      </c>
      <c r="O355" t="n">
        <v>0</v>
      </c>
      <c r="P355" t="n">
        <v>0</v>
      </c>
      <c r="Q355" t="n">
        <v>0</v>
      </c>
      <c r="R355" s="2" t="inlineStr"/>
    </row>
    <row r="356" ht="15" customHeight="1">
      <c r="A356" t="inlineStr">
        <is>
          <t>A 15953-2025</t>
        </is>
      </c>
      <c r="B356" s="1" t="n">
        <v>45749</v>
      </c>
      <c r="C356" s="1" t="n">
        <v>45971</v>
      </c>
      <c r="D356" t="inlineStr">
        <is>
          <t>VÄRMLANDS LÄN</t>
        </is>
      </c>
      <c r="E356" t="inlineStr">
        <is>
          <t>ÅRJÄNG</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30548-2023</t>
        </is>
      </c>
      <c r="B357" s="1" t="n">
        <v>45111.77894675926</v>
      </c>
      <c r="C357" s="1" t="n">
        <v>45971</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32776-2024</t>
        </is>
      </c>
      <c r="B358" s="1" t="n">
        <v>45516</v>
      </c>
      <c r="C358" s="1" t="n">
        <v>45971</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17174-2023</t>
        </is>
      </c>
      <c r="B359" s="1" t="n">
        <v>45034</v>
      </c>
      <c r="C359" s="1" t="n">
        <v>45971</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44385-2022</t>
        </is>
      </c>
      <c r="B360" s="1" t="n">
        <v>44839</v>
      </c>
      <c r="C360" s="1" t="n">
        <v>45971</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68180-2021</t>
        </is>
      </c>
      <c r="B361" s="1" t="n">
        <v>44526.48689814815</v>
      </c>
      <c r="C361" s="1" t="n">
        <v>45971</v>
      </c>
      <c r="D361" t="inlineStr">
        <is>
          <t>VÄRMLANDS LÄN</t>
        </is>
      </c>
      <c r="E361" t="inlineStr">
        <is>
          <t>ÅRJÄNG</t>
        </is>
      </c>
      <c r="F361" t="inlineStr">
        <is>
          <t>Kyrkan</t>
        </is>
      </c>
      <c r="G361" t="n">
        <v>4.1</v>
      </c>
      <c r="H361" t="n">
        <v>0</v>
      </c>
      <c r="I361" t="n">
        <v>0</v>
      </c>
      <c r="J361" t="n">
        <v>0</v>
      </c>
      <c r="K361" t="n">
        <v>0</v>
      </c>
      <c r="L361" t="n">
        <v>0</v>
      </c>
      <c r="M361" t="n">
        <v>0</v>
      </c>
      <c r="N361" t="n">
        <v>0</v>
      </c>
      <c r="O361" t="n">
        <v>0</v>
      </c>
      <c r="P361" t="n">
        <v>0</v>
      </c>
      <c r="Q361" t="n">
        <v>0</v>
      </c>
      <c r="R361" s="2" t="inlineStr"/>
    </row>
    <row r="362" ht="15" customHeight="1">
      <c r="A362" t="inlineStr">
        <is>
          <t>A 61119-2024</t>
        </is>
      </c>
      <c r="B362" s="1" t="n">
        <v>45645.57</v>
      </c>
      <c r="C362" s="1" t="n">
        <v>45971</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28384-2022</t>
        </is>
      </c>
      <c r="B363" s="1" t="n">
        <v>44747</v>
      </c>
      <c r="C363" s="1" t="n">
        <v>45971</v>
      </c>
      <c r="D363" t="inlineStr">
        <is>
          <t>VÄRMLANDS LÄN</t>
        </is>
      </c>
      <c r="E363" t="inlineStr">
        <is>
          <t>ÅRJÄNG</t>
        </is>
      </c>
      <c r="F363" t="inlineStr">
        <is>
          <t>Naturvårdsverket</t>
        </is>
      </c>
      <c r="G363" t="n">
        <v>1.7</v>
      </c>
      <c r="H363" t="n">
        <v>0</v>
      </c>
      <c r="I363" t="n">
        <v>0</v>
      </c>
      <c r="J363" t="n">
        <v>0</v>
      </c>
      <c r="K363" t="n">
        <v>0</v>
      </c>
      <c r="L363" t="n">
        <v>0</v>
      </c>
      <c r="M363" t="n">
        <v>0</v>
      </c>
      <c r="N363" t="n">
        <v>0</v>
      </c>
      <c r="O363" t="n">
        <v>0</v>
      </c>
      <c r="P363" t="n">
        <v>0</v>
      </c>
      <c r="Q363" t="n">
        <v>0</v>
      </c>
      <c r="R363" s="2" t="inlineStr"/>
    </row>
    <row r="364" ht="15" customHeight="1">
      <c r="A364" t="inlineStr">
        <is>
          <t>A 56030-2024</t>
        </is>
      </c>
      <c r="B364" s="1" t="n">
        <v>45624.31178240741</v>
      </c>
      <c r="C364" s="1" t="n">
        <v>45971</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14768-2024</t>
        </is>
      </c>
      <c r="B365" s="1" t="n">
        <v>45397</v>
      </c>
      <c r="C365" s="1" t="n">
        <v>45971</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44647-2021</t>
        </is>
      </c>
      <c r="B366" s="1" t="n">
        <v>44437.83967592593</v>
      </c>
      <c r="C366" s="1" t="n">
        <v>45971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65844-2021</t>
        </is>
      </c>
      <c r="B367" s="1" t="n">
        <v>44517.36067129629</v>
      </c>
      <c r="C367" s="1" t="n">
        <v>45971</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45971</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28382-2022</t>
        </is>
      </c>
      <c r="B369" s="1" t="n">
        <v>44747</v>
      </c>
      <c r="C369" s="1" t="n">
        <v>45971</v>
      </c>
      <c r="D369" t="inlineStr">
        <is>
          <t>VÄRMLANDS LÄN</t>
        </is>
      </c>
      <c r="E369" t="inlineStr">
        <is>
          <t>ÅRJÄNG</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28439-2022</t>
        </is>
      </c>
      <c r="B370" s="1" t="n">
        <v>44747</v>
      </c>
      <c r="C370" s="1" t="n">
        <v>45971</v>
      </c>
      <c r="D370" t="inlineStr">
        <is>
          <t>VÄRMLANDS LÄN</t>
        </is>
      </c>
      <c r="E370" t="inlineStr">
        <is>
          <t>ÅRJÄNG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47623-2024</t>
        </is>
      </c>
      <c r="B371" s="1" t="n">
        <v>45588.33216435185</v>
      </c>
      <c r="C371" s="1" t="n">
        <v>45971</v>
      </c>
      <c r="D371" t="inlineStr">
        <is>
          <t>VÄRMLANDS LÄN</t>
        </is>
      </c>
      <c r="E371" t="inlineStr">
        <is>
          <t>ÅRJÄNG</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540-2024</t>
        </is>
      </c>
      <c r="B372" s="1" t="n">
        <v>45299</v>
      </c>
      <c r="C372" s="1" t="n">
        <v>45971</v>
      </c>
      <c r="D372" t="inlineStr">
        <is>
          <t>VÄRMLANDS LÄN</t>
        </is>
      </c>
      <c r="E372" t="inlineStr">
        <is>
          <t>ÅRJÄNG</t>
        </is>
      </c>
      <c r="F372" t="inlineStr">
        <is>
          <t>Kyrkan</t>
        </is>
      </c>
      <c r="G372" t="n">
        <v>7</v>
      </c>
      <c r="H372" t="n">
        <v>0</v>
      </c>
      <c r="I372" t="n">
        <v>0</v>
      </c>
      <c r="J372" t="n">
        <v>0</v>
      </c>
      <c r="K372" t="n">
        <v>0</v>
      </c>
      <c r="L372" t="n">
        <v>0</v>
      </c>
      <c r="M372" t="n">
        <v>0</v>
      </c>
      <c r="N372" t="n">
        <v>0</v>
      </c>
      <c r="O372" t="n">
        <v>0</v>
      </c>
      <c r="P372" t="n">
        <v>0</v>
      </c>
      <c r="Q372" t="n">
        <v>0</v>
      </c>
      <c r="R372" s="2" t="inlineStr"/>
    </row>
    <row r="373" ht="15" customHeight="1">
      <c r="A373" t="inlineStr">
        <is>
          <t>A 23203-2023</t>
        </is>
      </c>
      <c r="B373" s="1" t="n">
        <v>45075.61314814815</v>
      </c>
      <c r="C373" s="1" t="n">
        <v>45971</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23212-2023</t>
        </is>
      </c>
      <c r="B374" s="1" t="n">
        <v>45075.63211805555</v>
      </c>
      <c r="C374" s="1" t="n">
        <v>45971</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45971</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9990-2025</t>
        </is>
      </c>
      <c r="B376" s="1" t="n">
        <v>45719</v>
      </c>
      <c r="C376" s="1" t="n">
        <v>45971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23048-2024</t>
        </is>
      </c>
      <c r="B377" s="1" t="n">
        <v>45450.42488425926</v>
      </c>
      <c r="C377" s="1" t="n">
        <v>45971</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23051-2024</t>
        </is>
      </c>
      <c r="B378" s="1" t="n">
        <v>45450.42902777778</v>
      </c>
      <c r="C378" s="1" t="n">
        <v>45971</v>
      </c>
      <c r="D378" t="inlineStr">
        <is>
          <t>VÄRMLANDS LÄN</t>
        </is>
      </c>
      <c r="E378" t="inlineStr">
        <is>
          <t>ÅRJÄNG</t>
        </is>
      </c>
      <c r="G378" t="n">
        <v>2.4</v>
      </c>
      <c r="H378" t="n">
        <v>0</v>
      </c>
      <c r="I378" t="n">
        <v>0</v>
      </c>
      <c r="J378" t="n">
        <v>0</v>
      </c>
      <c r="K378" t="n">
        <v>0</v>
      </c>
      <c r="L378" t="n">
        <v>0</v>
      </c>
      <c r="M378" t="n">
        <v>0</v>
      </c>
      <c r="N378" t="n">
        <v>0</v>
      </c>
      <c r="O378" t="n">
        <v>0</v>
      </c>
      <c r="P378" t="n">
        <v>0</v>
      </c>
      <c r="Q378" t="n">
        <v>0</v>
      </c>
      <c r="R378" s="2" t="inlineStr"/>
    </row>
    <row r="379" ht="15" customHeight="1">
      <c r="A379" t="inlineStr">
        <is>
          <t>A 24505-2023</t>
        </is>
      </c>
      <c r="B379" s="1" t="n">
        <v>45082</v>
      </c>
      <c r="C379" s="1" t="n">
        <v>45971</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56314-2024</t>
        </is>
      </c>
      <c r="B380" s="1" t="n">
        <v>45624.72149305556</v>
      </c>
      <c r="C380" s="1" t="n">
        <v>45971</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26259-2024</t>
        </is>
      </c>
      <c r="B381" s="1" t="n">
        <v>45468</v>
      </c>
      <c r="C381" s="1" t="n">
        <v>45971</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9992-2025</t>
        </is>
      </c>
      <c r="B382" s="1" t="n">
        <v>45719.43708333333</v>
      </c>
      <c r="C382" s="1" t="n">
        <v>45971</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34803-2021</t>
        </is>
      </c>
      <c r="B383" s="1" t="n">
        <v>44383</v>
      </c>
      <c r="C383" s="1" t="n">
        <v>45971</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58427-2024</t>
        </is>
      </c>
      <c r="B384" s="1" t="n">
        <v>45634.89083333333</v>
      </c>
      <c r="C384" s="1" t="n">
        <v>45971</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58428-2024</t>
        </is>
      </c>
      <c r="B385" s="1" t="n">
        <v>45634.90734953704</v>
      </c>
      <c r="C385" s="1" t="n">
        <v>45971</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17178-2021</t>
        </is>
      </c>
      <c r="B386" s="1" t="n">
        <v>44298.46592592593</v>
      </c>
      <c r="C386" s="1" t="n">
        <v>45971</v>
      </c>
      <c r="D386" t="inlineStr">
        <is>
          <t>VÄRMLANDS LÄN</t>
        </is>
      </c>
      <c r="E386" t="inlineStr">
        <is>
          <t>ÅRJÄNG</t>
        </is>
      </c>
      <c r="G386" t="n">
        <v>4</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45971</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59622-2022</t>
        </is>
      </c>
      <c r="B388" s="1" t="n">
        <v>44907.89939814815</v>
      </c>
      <c r="C388" s="1" t="n">
        <v>45971</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24893-2024</t>
        </is>
      </c>
      <c r="B389" s="1" t="n">
        <v>45461.57194444445</v>
      </c>
      <c r="C389" s="1" t="n">
        <v>45971</v>
      </c>
      <c r="D389" t="inlineStr">
        <is>
          <t>VÄRMLANDS LÄN</t>
        </is>
      </c>
      <c r="E389" t="inlineStr">
        <is>
          <t>ÅRJÄNG</t>
        </is>
      </c>
      <c r="G389" t="n">
        <v>3.1</v>
      </c>
      <c r="H389" t="n">
        <v>0</v>
      </c>
      <c r="I389" t="n">
        <v>0</v>
      </c>
      <c r="J389" t="n">
        <v>0</v>
      </c>
      <c r="K389" t="n">
        <v>0</v>
      </c>
      <c r="L389" t="n">
        <v>0</v>
      </c>
      <c r="M389" t="n">
        <v>0</v>
      </c>
      <c r="N389" t="n">
        <v>0</v>
      </c>
      <c r="O389" t="n">
        <v>0</v>
      </c>
      <c r="P389" t="n">
        <v>0</v>
      </c>
      <c r="Q389" t="n">
        <v>0</v>
      </c>
      <c r="R389" s="2" t="inlineStr"/>
    </row>
    <row r="390" ht="15" customHeight="1">
      <c r="A390" t="inlineStr">
        <is>
          <t>A 34032-2021</t>
        </is>
      </c>
      <c r="B390" s="1" t="n">
        <v>44378</v>
      </c>
      <c r="C390" s="1" t="n">
        <v>45971</v>
      </c>
      <c r="D390" t="inlineStr">
        <is>
          <t>VÄRMLANDS LÄN</t>
        </is>
      </c>
      <c r="E390" t="inlineStr">
        <is>
          <t>ÅRJÄNG</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65751-2020</t>
        </is>
      </c>
      <c r="B391" s="1" t="n">
        <v>44174</v>
      </c>
      <c r="C391" s="1" t="n">
        <v>45971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50537-2023</t>
        </is>
      </c>
      <c r="B392" s="1" t="n">
        <v>45217</v>
      </c>
      <c r="C392" s="1" t="n">
        <v>45971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43027-2021</t>
        </is>
      </c>
      <c r="B393" s="1" t="n">
        <v>44431.49119212963</v>
      </c>
      <c r="C393" s="1" t="n">
        <v>45971</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387-2021</t>
        </is>
      </c>
      <c r="B394" s="1" t="n">
        <v>44201</v>
      </c>
      <c r="C394" s="1" t="n">
        <v>45971</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24281-2024</t>
        </is>
      </c>
      <c r="B395" s="1" t="n">
        <v>45457</v>
      </c>
      <c r="C395" s="1" t="n">
        <v>45971</v>
      </c>
      <c r="D395" t="inlineStr">
        <is>
          <t>VÄRMLANDS LÄN</t>
        </is>
      </c>
      <c r="E395" t="inlineStr">
        <is>
          <t>ÅRJÄNG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45929-2024</t>
        </is>
      </c>
      <c r="B396" s="1" t="n">
        <v>45580</v>
      </c>
      <c r="C396" s="1" t="n">
        <v>45971</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4088-2025</t>
        </is>
      </c>
      <c r="B397" s="1" t="n">
        <v>45684.66329861111</v>
      </c>
      <c r="C397" s="1" t="n">
        <v>45971</v>
      </c>
      <c r="D397" t="inlineStr">
        <is>
          <t>VÄRMLANDS LÄN</t>
        </is>
      </c>
      <c r="E397" t="inlineStr">
        <is>
          <t>ÅRJÄNG</t>
        </is>
      </c>
      <c r="G397" t="n">
        <v>4.1</v>
      </c>
      <c r="H397" t="n">
        <v>0</v>
      </c>
      <c r="I397" t="n">
        <v>0</v>
      </c>
      <c r="J397" t="n">
        <v>0</v>
      </c>
      <c r="K397" t="n">
        <v>0</v>
      </c>
      <c r="L397" t="n">
        <v>0</v>
      </c>
      <c r="M397" t="n">
        <v>0</v>
      </c>
      <c r="N397" t="n">
        <v>0</v>
      </c>
      <c r="O397" t="n">
        <v>0</v>
      </c>
      <c r="P397" t="n">
        <v>0</v>
      </c>
      <c r="Q397" t="n">
        <v>0</v>
      </c>
      <c r="R397" s="2" t="inlineStr"/>
    </row>
    <row r="398" ht="15" customHeight="1">
      <c r="A398" t="inlineStr">
        <is>
          <t>A 45876-2024</t>
        </is>
      </c>
      <c r="B398" s="1" t="n">
        <v>45580</v>
      </c>
      <c r="C398" s="1" t="n">
        <v>45971</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21081-2023</t>
        </is>
      </c>
      <c r="B399" s="1" t="n">
        <v>45057</v>
      </c>
      <c r="C399" s="1" t="n">
        <v>45971</v>
      </c>
      <c r="D399" t="inlineStr">
        <is>
          <t>VÄRMLANDS LÄN</t>
        </is>
      </c>
      <c r="E399" t="inlineStr">
        <is>
          <t>ÅRJÄNG</t>
        </is>
      </c>
      <c r="G399" t="n">
        <v>5.1</v>
      </c>
      <c r="H399" t="n">
        <v>0</v>
      </c>
      <c r="I399" t="n">
        <v>0</v>
      </c>
      <c r="J399" t="n">
        <v>0</v>
      </c>
      <c r="K399" t="n">
        <v>0</v>
      </c>
      <c r="L399" t="n">
        <v>0</v>
      </c>
      <c r="M399" t="n">
        <v>0</v>
      </c>
      <c r="N399" t="n">
        <v>0</v>
      </c>
      <c r="O399" t="n">
        <v>0</v>
      </c>
      <c r="P399" t="n">
        <v>0</v>
      </c>
      <c r="Q399" t="n">
        <v>0</v>
      </c>
      <c r="R399" s="2" t="inlineStr"/>
    </row>
    <row r="400" ht="15" customHeight="1">
      <c r="A400" t="inlineStr">
        <is>
          <t>A 10180-2023</t>
        </is>
      </c>
      <c r="B400" s="1" t="n">
        <v>44986</v>
      </c>
      <c r="C400" s="1" t="n">
        <v>45971</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69862-2021</t>
        </is>
      </c>
      <c r="B401" s="1" t="n">
        <v>44532</v>
      </c>
      <c r="C401" s="1" t="n">
        <v>45971</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29558-2024</t>
        </is>
      </c>
      <c r="B402" s="1" t="n">
        <v>45484</v>
      </c>
      <c r="C402" s="1" t="n">
        <v>45971</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23754-2024</t>
        </is>
      </c>
      <c r="B403" s="1" t="n">
        <v>45455</v>
      </c>
      <c r="C403" s="1" t="n">
        <v>45971</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99-2025</t>
        </is>
      </c>
      <c r="B404" s="1" t="n">
        <v>45649</v>
      </c>
      <c r="C404" s="1" t="n">
        <v>45971</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4404-2025</t>
        </is>
      </c>
      <c r="B405" s="1" t="n">
        <v>45686</v>
      </c>
      <c r="C405" s="1" t="n">
        <v>45971</v>
      </c>
      <c r="D405" t="inlineStr">
        <is>
          <t>VÄRMLANDS LÄN</t>
        </is>
      </c>
      <c r="E405" t="inlineStr">
        <is>
          <t>ÅRJÄNG</t>
        </is>
      </c>
      <c r="F405" t="inlineStr">
        <is>
          <t>Kyrkan</t>
        </is>
      </c>
      <c r="G405" t="n">
        <v>4.8</v>
      </c>
      <c r="H405" t="n">
        <v>0</v>
      </c>
      <c r="I405" t="n">
        <v>0</v>
      </c>
      <c r="J405" t="n">
        <v>0</v>
      </c>
      <c r="K405" t="n">
        <v>0</v>
      </c>
      <c r="L405" t="n">
        <v>0</v>
      </c>
      <c r="M405" t="n">
        <v>0</v>
      </c>
      <c r="N405" t="n">
        <v>0</v>
      </c>
      <c r="O405" t="n">
        <v>0</v>
      </c>
      <c r="P405" t="n">
        <v>0</v>
      </c>
      <c r="Q405" t="n">
        <v>0</v>
      </c>
      <c r="R405" s="2" t="inlineStr"/>
    </row>
    <row r="406" ht="15" customHeight="1">
      <c r="A406" t="inlineStr">
        <is>
          <t>A 40465-2023</t>
        </is>
      </c>
      <c r="B406" s="1" t="n">
        <v>45170.34325231481</v>
      </c>
      <c r="C406" s="1" t="n">
        <v>45971</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47647-2021</t>
        </is>
      </c>
      <c r="B407" s="1" t="n">
        <v>44448.40790509259</v>
      </c>
      <c r="C407" s="1" t="n">
        <v>45971</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40366-2022</t>
        </is>
      </c>
      <c r="B408" s="1" t="n">
        <v>44823.38884259259</v>
      </c>
      <c r="C408" s="1" t="n">
        <v>45971</v>
      </c>
      <c r="D408" t="inlineStr">
        <is>
          <t>VÄRMLANDS LÄN</t>
        </is>
      </c>
      <c r="E408" t="inlineStr">
        <is>
          <t>ÅRJÄNG</t>
        </is>
      </c>
      <c r="G408" t="n">
        <v>3.2</v>
      </c>
      <c r="H408" t="n">
        <v>0</v>
      </c>
      <c r="I408" t="n">
        <v>0</v>
      </c>
      <c r="J408" t="n">
        <v>0</v>
      </c>
      <c r="K408" t="n">
        <v>0</v>
      </c>
      <c r="L408" t="n">
        <v>0</v>
      </c>
      <c r="M408" t="n">
        <v>0</v>
      </c>
      <c r="N408" t="n">
        <v>0</v>
      </c>
      <c r="O408" t="n">
        <v>0</v>
      </c>
      <c r="P408" t="n">
        <v>0</v>
      </c>
      <c r="Q408" t="n">
        <v>0</v>
      </c>
      <c r="R408" s="2" t="inlineStr"/>
    </row>
    <row r="409" ht="15" customHeight="1">
      <c r="A409" t="inlineStr">
        <is>
          <t>A 28115-2025</t>
        </is>
      </c>
      <c r="B409" s="1" t="n">
        <v>45818</v>
      </c>
      <c r="C409" s="1" t="n">
        <v>45971</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12352-2021</t>
        </is>
      </c>
      <c r="B410" s="1" t="n">
        <v>44267.44386574074</v>
      </c>
      <c r="C410" s="1" t="n">
        <v>45971</v>
      </c>
      <c r="D410" t="inlineStr">
        <is>
          <t>VÄRMLANDS LÄN</t>
        </is>
      </c>
      <c r="E410" t="inlineStr">
        <is>
          <t>ÅRJÄNG</t>
        </is>
      </c>
      <c r="G410" t="n">
        <v>7.1</v>
      </c>
      <c r="H410" t="n">
        <v>0</v>
      </c>
      <c r="I410" t="n">
        <v>0</v>
      </c>
      <c r="J410" t="n">
        <v>0</v>
      </c>
      <c r="K410" t="n">
        <v>0</v>
      </c>
      <c r="L410" t="n">
        <v>0</v>
      </c>
      <c r="M410" t="n">
        <v>0</v>
      </c>
      <c r="N410" t="n">
        <v>0</v>
      </c>
      <c r="O410" t="n">
        <v>0</v>
      </c>
      <c r="P410" t="n">
        <v>0</v>
      </c>
      <c r="Q410" t="n">
        <v>0</v>
      </c>
      <c r="R410" s="2" t="inlineStr"/>
    </row>
    <row r="411" ht="15" customHeight="1">
      <c r="A411" t="inlineStr">
        <is>
          <t>A 23870-2023</t>
        </is>
      </c>
      <c r="B411" s="1" t="n">
        <v>45078</v>
      </c>
      <c r="C411" s="1" t="n">
        <v>45971</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23216-2023</t>
        </is>
      </c>
      <c r="B412" s="1" t="n">
        <v>45075</v>
      </c>
      <c r="C412" s="1" t="n">
        <v>45971</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45962-2021</t>
        </is>
      </c>
      <c r="B413" s="1" t="n">
        <v>44441</v>
      </c>
      <c r="C413" s="1" t="n">
        <v>45971</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58436-2023</t>
        </is>
      </c>
      <c r="B414" s="1" t="n">
        <v>45250</v>
      </c>
      <c r="C414" s="1" t="n">
        <v>45971</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19850-2025</t>
        </is>
      </c>
      <c r="B415" s="1" t="n">
        <v>45771</v>
      </c>
      <c r="C415" s="1" t="n">
        <v>45971</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19877-2025</t>
        </is>
      </c>
      <c r="B416" s="1" t="n">
        <v>45771.55351851852</v>
      </c>
      <c r="C416" s="1" t="n">
        <v>45971</v>
      </c>
      <c r="D416" t="inlineStr">
        <is>
          <t>VÄRMLANDS LÄN</t>
        </is>
      </c>
      <c r="E416" t="inlineStr">
        <is>
          <t>ÅRJÄNG</t>
        </is>
      </c>
      <c r="G416" t="n">
        <v>6.3</v>
      </c>
      <c r="H416" t="n">
        <v>0</v>
      </c>
      <c r="I416" t="n">
        <v>0</v>
      </c>
      <c r="J416" t="n">
        <v>0</v>
      </c>
      <c r="K416" t="n">
        <v>0</v>
      </c>
      <c r="L416" t="n">
        <v>0</v>
      </c>
      <c r="M416" t="n">
        <v>0</v>
      </c>
      <c r="N416" t="n">
        <v>0</v>
      </c>
      <c r="O416" t="n">
        <v>0</v>
      </c>
      <c r="P416" t="n">
        <v>0</v>
      </c>
      <c r="Q416" t="n">
        <v>0</v>
      </c>
      <c r="R416" s="2" t="inlineStr"/>
    </row>
    <row r="417" ht="15" customHeight="1">
      <c r="A417" t="inlineStr">
        <is>
          <t>A 74086-2021</t>
        </is>
      </c>
      <c r="B417" s="1" t="n">
        <v>44557.58112268519</v>
      </c>
      <c r="C417" s="1" t="n">
        <v>45971</v>
      </c>
      <c r="D417" t="inlineStr">
        <is>
          <t>VÄRMLANDS LÄN</t>
        </is>
      </c>
      <c r="E417" t="inlineStr">
        <is>
          <t>ÅRJÄNG</t>
        </is>
      </c>
      <c r="G417" t="n">
        <v>3.6</v>
      </c>
      <c r="H417" t="n">
        <v>0</v>
      </c>
      <c r="I417" t="n">
        <v>0</v>
      </c>
      <c r="J417" t="n">
        <v>0</v>
      </c>
      <c r="K417" t="n">
        <v>0</v>
      </c>
      <c r="L417" t="n">
        <v>0</v>
      </c>
      <c r="M417" t="n">
        <v>0</v>
      </c>
      <c r="N417" t="n">
        <v>0</v>
      </c>
      <c r="O417" t="n">
        <v>0</v>
      </c>
      <c r="P417" t="n">
        <v>0</v>
      </c>
      <c r="Q417" t="n">
        <v>0</v>
      </c>
      <c r="R417" s="2" t="inlineStr"/>
    </row>
    <row r="418" ht="15" customHeight="1">
      <c r="A418" t="inlineStr">
        <is>
          <t>A 62261-2023</t>
        </is>
      </c>
      <c r="B418" s="1" t="n">
        <v>45266</v>
      </c>
      <c r="C418" s="1" t="n">
        <v>45971</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60126-2024</t>
        </is>
      </c>
      <c r="B419" s="1" t="n">
        <v>45642.5919212963</v>
      </c>
      <c r="C419" s="1" t="n">
        <v>45971</v>
      </c>
      <c r="D419" t="inlineStr">
        <is>
          <t>VÄRMLANDS LÄN</t>
        </is>
      </c>
      <c r="E419" t="inlineStr">
        <is>
          <t>ÅRJÄNG</t>
        </is>
      </c>
      <c r="G419" t="n">
        <v>1.2</v>
      </c>
      <c r="H419" t="n">
        <v>0</v>
      </c>
      <c r="I419" t="n">
        <v>0</v>
      </c>
      <c r="J419" t="n">
        <v>0</v>
      </c>
      <c r="K419" t="n">
        <v>0</v>
      </c>
      <c r="L419" t="n">
        <v>0</v>
      </c>
      <c r="M419" t="n">
        <v>0</v>
      </c>
      <c r="N419" t="n">
        <v>0</v>
      </c>
      <c r="O419" t="n">
        <v>0</v>
      </c>
      <c r="P419" t="n">
        <v>0</v>
      </c>
      <c r="Q419" t="n">
        <v>0</v>
      </c>
      <c r="R419" s="2" t="inlineStr"/>
    </row>
    <row r="420" ht="15" customHeight="1">
      <c r="A420" t="inlineStr">
        <is>
          <t>A 49641-2021</t>
        </is>
      </c>
      <c r="B420" s="1" t="n">
        <v>44455.44327546296</v>
      </c>
      <c r="C420" s="1" t="n">
        <v>45971</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12907-2022</t>
        </is>
      </c>
      <c r="B421" s="1" t="n">
        <v>44642.62002314815</v>
      </c>
      <c r="C421" s="1" t="n">
        <v>45971</v>
      </c>
      <c r="D421" t="inlineStr">
        <is>
          <t>VÄRMLANDS LÄN</t>
        </is>
      </c>
      <c r="E421" t="inlineStr">
        <is>
          <t>ÅRJÄNG</t>
        </is>
      </c>
      <c r="G421" t="n">
        <v>7.3</v>
      </c>
      <c r="H421" t="n">
        <v>0</v>
      </c>
      <c r="I421" t="n">
        <v>0</v>
      </c>
      <c r="J421" t="n">
        <v>0</v>
      </c>
      <c r="K421" t="n">
        <v>0</v>
      </c>
      <c r="L421" t="n">
        <v>0</v>
      </c>
      <c r="M421" t="n">
        <v>0</v>
      </c>
      <c r="N421" t="n">
        <v>0</v>
      </c>
      <c r="O421" t="n">
        <v>0</v>
      </c>
      <c r="P421" t="n">
        <v>0</v>
      </c>
      <c r="Q421" t="n">
        <v>0</v>
      </c>
      <c r="R421" s="2" t="inlineStr"/>
    </row>
    <row r="422" ht="15" customHeight="1">
      <c r="A422" t="inlineStr">
        <is>
          <t>A 32338-2024</t>
        </is>
      </c>
      <c r="B422" s="1" t="n">
        <v>45512</v>
      </c>
      <c r="C422" s="1" t="n">
        <v>45971</v>
      </c>
      <c r="D422" t="inlineStr">
        <is>
          <t>VÄRMLANDS LÄN</t>
        </is>
      </c>
      <c r="E422" t="inlineStr">
        <is>
          <t>ÅRJÄNG</t>
        </is>
      </c>
      <c r="G422" t="n">
        <v>2.1</v>
      </c>
      <c r="H422" t="n">
        <v>0</v>
      </c>
      <c r="I422" t="n">
        <v>0</v>
      </c>
      <c r="J422" t="n">
        <v>0</v>
      </c>
      <c r="K422" t="n">
        <v>0</v>
      </c>
      <c r="L422" t="n">
        <v>0</v>
      </c>
      <c r="M422" t="n">
        <v>0</v>
      </c>
      <c r="N422" t="n">
        <v>0</v>
      </c>
      <c r="O422" t="n">
        <v>0</v>
      </c>
      <c r="P422" t="n">
        <v>0</v>
      </c>
      <c r="Q422" t="n">
        <v>0</v>
      </c>
      <c r="R422" s="2" t="inlineStr"/>
    </row>
    <row r="423" ht="15" customHeight="1">
      <c r="A423" t="inlineStr">
        <is>
          <t>A 13060-2022</t>
        </is>
      </c>
      <c r="B423" s="1" t="n">
        <v>44643</v>
      </c>
      <c r="C423" s="1" t="n">
        <v>45971</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5863-2023</t>
        </is>
      </c>
      <c r="B424" s="1" t="n">
        <v>44963</v>
      </c>
      <c r="C424" s="1" t="n">
        <v>45971</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47007-2025</t>
        </is>
      </c>
      <c r="B425" s="1" t="n">
        <v>45929.56689814815</v>
      </c>
      <c r="C425" s="1" t="n">
        <v>45971</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39094-2025</t>
        </is>
      </c>
      <c r="B426" s="1" t="n">
        <v>45888.4933912037</v>
      </c>
      <c r="C426" s="1" t="n">
        <v>45971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39096-2025</t>
        </is>
      </c>
      <c r="B427" s="1" t="n">
        <v>45888.50145833333</v>
      </c>
      <c r="C427" s="1" t="n">
        <v>45971</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39079-2025</t>
        </is>
      </c>
      <c r="B428" s="1" t="n">
        <v>45888.48422453704</v>
      </c>
      <c r="C428" s="1" t="n">
        <v>45971</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13160-2022</t>
        </is>
      </c>
      <c r="B429" s="1" t="n">
        <v>44644.43545138889</v>
      </c>
      <c r="C429" s="1" t="n">
        <v>45971</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8885-2021</t>
        </is>
      </c>
      <c r="B430" s="1" t="n">
        <v>44248</v>
      </c>
      <c r="C430" s="1" t="n">
        <v>45971</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46942-2025</t>
        </is>
      </c>
      <c r="B431" s="1" t="n">
        <v>45929.45822916667</v>
      </c>
      <c r="C431" s="1" t="n">
        <v>45971</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47502-2025</t>
        </is>
      </c>
      <c r="B432" s="1" t="n">
        <v>45930.85274305556</v>
      </c>
      <c r="C432" s="1" t="n">
        <v>45971</v>
      </c>
      <c r="D432" t="inlineStr">
        <is>
          <t>VÄRMLANDS LÄN</t>
        </is>
      </c>
      <c r="E432" t="inlineStr">
        <is>
          <t>ÅRJÄNG</t>
        </is>
      </c>
      <c r="G432" t="n">
        <v>10.5</v>
      </c>
      <c r="H432" t="n">
        <v>0</v>
      </c>
      <c r="I432" t="n">
        <v>0</v>
      </c>
      <c r="J432" t="n">
        <v>0</v>
      </c>
      <c r="K432" t="n">
        <v>0</v>
      </c>
      <c r="L432" t="n">
        <v>0</v>
      </c>
      <c r="M432" t="n">
        <v>0</v>
      </c>
      <c r="N432" t="n">
        <v>0</v>
      </c>
      <c r="O432" t="n">
        <v>0</v>
      </c>
      <c r="P432" t="n">
        <v>0</v>
      </c>
      <c r="Q432" t="n">
        <v>0</v>
      </c>
      <c r="R432" s="2" t="inlineStr"/>
    </row>
    <row r="433" ht="15" customHeight="1">
      <c r="A433" t="inlineStr">
        <is>
          <t>A 38867-2025</t>
        </is>
      </c>
      <c r="B433" s="1" t="n">
        <v>45887</v>
      </c>
      <c r="C433" s="1" t="n">
        <v>45971</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47211-2025</t>
        </is>
      </c>
      <c r="B434" s="1" t="n">
        <v>45930.3815625</v>
      </c>
      <c r="C434" s="1" t="n">
        <v>45971</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47225-2025</t>
        </is>
      </c>
      <c r="B435" s="1" t="n">
        <v>45930.39145833333</v>
      </c>
      <c r="C435" s="1" t="n">
        <v>45971</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38742-2025</t>
        </is>
      </c>
      <c r="B436" s="1" t="n">
        <v>45887.37425925926</v>
      </c>
      <c r="C436" s="1" t="n">
        <v>45971</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1279-2025</t>
        </is>
      </c>
      <c r="B437" s="1" t="n">
        <v>45667.48987268518</v>
      </c>
      <c r="C437" s="1" t="n">
        <v>45971</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60930-2021</t>
        </is>
      </c>
      <c r="B438" s="1" t="n">
        <v>44497.46921296296</v>
      </c>
      <c r="C438" s="1" t="n">
        <v>45971</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47426-2025</t>
        </is>
      </c>
      <c r="B439" s="1" t="n">
        <v>45930.63482638889</v>
      </c>
      <c r="C439" s="1" t="n">
        <v>45971</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12209-2023</t>
        </is>
      </c>
      <c r="B440" s="1" t="n">
        <v>44998</v>
      </c>
      <c r="C440" s="1" t="n">
        <v>45971</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45994-2025</t>
        </is>
      </c>
      <c r="B441" s="1" t="n">
        <v>45924</v>
      </c>
      <c r="C441" s="1" t="n">
        <v>45971</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13155-2024</t>
        </is>
      </c>
      <c r="B442" s="1" t="n">
        <v>45386</v>
      </c>
      <c r="C442" s="1" t="n">
        <v>45971</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10873-2023</t>
        </is>
      </c>
      <c r="B443" s="1" t="n">
        <v>44991.42243055555</v>
      </c>
      <c r="C443" s="1" t="n">
        <v>45971</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26866-2024</t>
        </is>
      </c>
      <c r="B444" s="1" t="n">
        <v>45470</v>
      </c>
      <c r="C444" s="1" t="n">
        <v>45971</v>
      </c>
      <c r="D444" t="inlineStr">
        <is>
          <t>VÄRMLANDS LÄN</t>
        </is>
      </c>
      <c r="E444" t="inlineStr">
        <is>
          <t>ÅRJÄNG</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44365.42443287037</v>
      </c>
      <c r="C445" s="1" t="n">
        <v>45971</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35157-2021</t>
        </is>
      </c>
      <c r="B446" s="1" t="n">
        <v>44383</v>
      </c>
      <c r="C446" s="1" t="n">
        <v>45971</v>
      </c>
      <c r="D446" t="inlineStr">
        <is>
          <t>VÄRMLANDS LÄN</t>
        </is>
      </c>
      <c r="E446" t="inlineStr">
        <is>
          <t>ÅRJÄNG</t>
        </is>
      </c>
      <c r="G446" t="n">
        <v>1.1</v>
      </c>
      <c r="H446" t="n">
        <v>0</v>
      </c>
      <c r="I446" t="n">
        <v>0</v>
      </c>
      <c r="J446" t="n">
        <v>0</v>
      </c>
      <c r="K446" t="n">
        <v>0</v>
      </c>
      <c r="L446" t="n">
        <v>0</v>
      </c>
      <c r="M446" t="n">
        <v>0</v>
      </c>
      <c r="N446" t="n">
        <v>0</v>
      </c>
      <c r="O446" t="n">
        <v>0</v>
      </c>
      <c r="P446" t="n">
        <v>0</v>
      </c>
      <c r="Q446" t="n">
        <v>0</v>
      </c>
      <c r="R446" s="2" t="inlineStr"/>
    </row>
    <row r="447" ht="15" customHeight="1">
      <c r="A447" t="inlineStr">
        <is>
          <t>A 49133-2024</t>
        </is>
      </c>
      <c r="B447" s="1" t="n">
        <v>45594</v>
      </c>
      <c r="C447" s="1" t="n">
        <v>45971</v>
      </c>
      <c r="D447" t="inlineStr">
        <is>
          <t>VÄRMLANDS LÄN</t>
        </is>
      </c>
      <c r="E447" t="inlineStr">
        <is>
          <t>ÅRJÄNG</t>
        </is>
      </c>
      <c r="G447" t="n">
        <v>7.5</v>
      </c>
      <c r="H447" t="n">
        <v>0</v>
      </c>
      <c r="I447" t="n">
        <v>0</v>
      </c>
      <c r="J447" t="n">
        <v>0</v>
      </c>
      <c r="K447" t="n">
        <v>0</v>
      </c>
      <c r="L447" t="n">
        <v>0</v>
      </c>
      <c r="M447" t="n">
        <v>0</v>
      </c>
      <c r="N447" t="n">
        <v>0</v>
      </c>
      <c r="O447" t="n">
        <v>0</v>
      </c>
      <c r="P447" t="n">
        <v>0</v>
      </c>
      <c r="Q447" t="n">
        <v>0</v>
      </c>
      <c r="R447" s="2" t="inlineStr"/>
    </row>
    <row r="448" ht="15" customHeight="1">
      <c r="A448" t="inlineStr">
        <is>
          <t>A 21706-2024</t>
        </is>
      </c>
      <c r="B448" s="1" t="n">
        <v>45442</v>
      </c>
      <c r="C448" s="1" t="n">
        <v>45971</v>
      </c>
      <c r="D448" t="inlineStr">
        <is>
          <t>VÄRMLANDS LÄN</t>
        </is>
      </c>
      <c r="E448" t="inlineStr">
        <is>
          <t>ÅRJÄNG</t>
        </is>
      </c>
      <c r="G448" t="n">
        <v>10.4</v>
      </c>
      <c r="H448" t="n">
        <v>0</v>
      </c>
      <c r="I448" t="n">
        <v>0</v>
      </c>
      <c r="J448" t="n">
        <v>0</v>
      </c>
      <c r="K448" t="n">
        <v>0</v>
      </c>
      <c r="L448" t="n">
        <v>0</v>
      </c>
      <c r="M448" t="n">
        <v>0</v>
      </c>
      <c r="N448" t="n">
        <v>0</v>
      </c>
      <c r="O448" t="n">
        <v>0</v>
      </c>
      <c r="P448" t="n">
        <v>0</v>
      </c>
      <c r="Q448" t="n">
        <v>0</v>
      </c>
      <c r="R448" s="2" t="inlineStr"/>
    </row>
    <row r="449" ht="15" customHeight="1">
      <c r="A449" t="inlineStr">
        <is>
          <t>A 26284-2021</t>
        </is>
      </c>
      <c r="B449" s="1" t="n">
        <v>44347</v>
      </c>
      <c r="C449" s="1" t="n">
        <v>45971</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43040-2023</t>
        </is>
      </c>
      <c r="B450" s="1" t="n">
        <v>45182.68716435185</v>
      </c>
      <c r="C450" s="1" t="n">
        <v>45971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12740-2025</t>
        </is>
      </c>
      <c r="B451" s="1" t="n">
        <v>45733</v>
      </c>
      <c r="C451" s="1" t="n">
        <v>45971</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1415-2025</t>
        </is>
      </c>
      <c r="B452" s="1" t="n">
        <v>45668.32795138889</v>
      </c>
      <c r="C452" s="1" t="n">
        <v>45971</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8232-2025</t>
        </is>
      </c>
      <c r="B453" s="1" t="n">
        <v>45708.47144675926</v>
      </c>
      <c r="C453" s="1" t="n">
        <v>45971</v>
      </c>
      <c r="D453" t="inlineStr">
        <is>
          <t>VÄRMLANDS LÄN</t>
        </is>
      </c>
      <c r="E453" t="inlineStr">
        <is>
          <t>ÅRJÄNG</t>
        </is>
      </c>
      <c r="G453" t="n">
        <v>1.5</v>
      </c>
      <c r="H453" t="n">
        <v>0</v>
      </c>
      <c r="I453" t="n">
        <v>0</v>
      </c>
      <c r="J453" t="n">
        <v>0</v>
      </c>
      <c r="K453" t="n">
        <v>0</v>
      </c>
      <c r="L453" t="n">
        <v>0</v>
      </c>
      <c r="M453" t="n">
        <v>0</v>
      </c>
      <c r="N453" t="n">
        <v>0</v>
      </c>
      <c r="O453" t="n">
        <v>0</v>
      </c>
      <c r="P453" t="n">
        <v>0</v>
      </c>
      <c r="Q453" t="n">
        <v>0</v>
      </c>
      <c r="R453" s="2" t="inlineStr"/>
    </row>
    <row r="454" ht="15" customHeight="1">
      <c r="A454" t="inlineStr">
        <is>
          <t>A 15300-2025</t>
        </is>
      </c>
      <c r="B454" s="1" t="n">
        <v>45746</v>
      </c>
      <c r="C454" s="1" t="n">
        <v>45971</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49701-2022</t>
        </is>
      </c>
      <c r="B455" s="1" t="n">
        <v>44862.53201388889</v>
      </c>
      <c r="C455" s="1" t="n">
        <v>45971</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16562-2024</t>
        </is>
      </c>
      <c r="B456" s="1" t="n">
        <v>45408.45829861111</v>
      </c>
      <c r="C456" s="1" t="n">
        <v>45971</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6962-2025</t>
        </is>
      </c>
      <c r="B457" s="1" t="n">
        <v>45701</v>
      </c>
      <c r="C457" s="1" t="n">
        <v>45971</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46249-2023</t>
        </is>
      </c>
      <c r="B458" s="1" t="n">
        <v>45196.89337962963</v>
      </c>
      <c r="C458" s="1" t="n">
        <v>45971</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60172-2023</t>
        </is>
      </c>
      <c r="B459" s="1" t="n">
        <v>45257</v>
      </c>
      <c r="C459" s="1" t="n">
        <v>45971</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10510-2023</t>
        </is>
      </c>
      <c r="B460" s="1" t="n">
        <v>44987.73665509259</v>
      </c>
      <c r="C460" s="1" t="n">
        <v>45971</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21392-2023</t>
        </is>
      </c>
      <c r="B461" s="1" t="n">
        <v>45061</v>
      </c>
      <c r="C461" s="1" t="n">
        <v>45971</v>
      </c>
      <c r="D461" t="inlineStr">
        <is>
          <t>VÄRMLANDS LÄN</t>
        </is>
      </c>
      <c r="E461" t="inlineStr">
        <is>
          <t>ÅRJÄNG</t>
        </is>
      </c>
      <c r="G461" t="n">
        <v>11.7</v>
      </c>
      <c r="H461" t="n">
        <v>0</v>
      </c>
      <c r="I461" t="n">
        <v>0</v>
      </c>
      <c r="J461" t="n">
        <v>0</v>
      </c>
      <c r="K461" t="n">
        <v>0</v>
      </c>
      <c r="L461" t="n">
        <v>0</v>
      </c>
      <c r="M461" t="n">
        <v>0</v>
      </c>
      <c r="N461" t="n">
        <v>0</v>
      </c>
      <c r="O461" t="n">
        <v>0</v>
      </c>
      <c r="P461" t="n">
        <v>0</v>
      </c>
      <c r="Q461" t="n">
        <v>0</v>
      </c>
      <c r="R461" s="2" t="inlineStr"/>
    </row>
    <row r="462" ht="15" customHeight="1">
      <c r="A462" t="inlineStr">
        <is>
          <t>A 44140-2024</t>
        </is>
      </c>
      <c r="B462" s="1" t="n">
        <v>45572</v>
      </c>
      <c r="C462" s="1" t="n">
        <v>45971</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3458-2025</t>
        </is>
      </c>
      <c r="B463" s="1" t="n">
        <v>45680.48917824074</v>
      </c>
      <c r="C463" s="1" t="n">
        <v>45971</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3479-2025</t>
        </is>
      </c>
      <c r="B464" s="1" t="n">
        <v>45680.53805555555</v>
      </c>
      <c r="C464" s="1" t="n">
        <v>45971</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10574-2023</t>
        </is>
      </c>
      <c r="B465" s="1" t="n">
        <v>44984</v>
      </c>
      <c r="C465" s="1" t="n">
        <v>45971</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62901-2021</t>
        </is>
      </c>
      <c r="B466" s="1" t="n">
        <v>44504</v>
      </c>
      <c r="C466" s="1" t="n">
        <v>45971</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15730-2023</t>
        </is>
      </c>
      <c r="B467" s="1" t="n">
        <v>45021</v>
      </c>
      <c r="C467" s="1" t="n">
        <v>45971</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26833-2024</t>
        </is>
      </c>
      <c r="B468" s="1" t="n">
        <v>45470</v>
      </c>
      <c r="C468" s="1" t="n">
        <v>45971</v>
      </c>
      <c r="D468" t="inlineStr">
        <is>
          <t>VÄRMLANDS LÄN</t>
        </is>
      </c>
      <c r="E468" t="inlineStr">
        <is>
          <t>ÅRJÄNG</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9441-2021</t>
        </is>
      </c>
      <c r="B469" s="1" t="n">
        <v>44251</v>
      </c>
      <c r="C469" s="1" t="n">
        <v>45971</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33831-2023</t>
        </is>
      </c>
      <c r="B470" s="1" t="n">
        <v>45121</v>
      </c>
      <c r="C470" s="1" t="n">
        <v>45971</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23690-2024</t>
        </is>
      </c>
      <c r="B471" s="1" t="n">
        <v>45454.65612268518</v>
      </c>
      <c r="C471" s="1" t="n">
        <v>45971</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7184-2024</t>
        </is>
      </c>
      <c r="B472" s="1" t="n">
        <v>45344</v>
      </c>
      <c r="C472" s="1" t="n">
        <v>45971</v>
      </c>
      <c r="D472" t="inlineStr">
        <is>
          <t>VÄRMLANDS LÄN</t>
        </is>
      </c>
      <c r="E472" t="inlineStr">
        <is>
          <t>ÅRJÄNG</t>
        </is>
      </c>
      <c r="G472" t="n">
        <v>1.3</v>
      </c>
      <c r="H472" t="n">
        <v>0</v>
      </c>
      <c r="I472" t="n">
        <v>0</v>
      </c>
      <c r="J472" t="n">
        <v>0</v>
      </c>
      <c r="K472" t="n">
        <v>0</v>
      </c>
      <c r="L472" t="n">
        <v>0</v>
      </c>
      <c r="M472" t="n">
        <v>0</v>
      </c>
      <c r="N472" t="n">
        <v>0</v>
      </c>
      <c r="O472" t="n">
        <v>0</v>
      </c>
      <c r="P472" t="n">
        <v>0</v>
      </c>
      <c r="Q472" t="n">
        <v>0</v>
      </c>
      <c r="R472" s="2" t="inlineStr"/>
    </row>
    <row r="473" ht="15" customHeight="1">
      <c r="A473" t="inlineStr">
        <is>
          <t>A 59070-2024</t>
        </is>
      </c>
      <c r="B473" s="1" t="n">
        <v>45636.95711805556</v>
      </c>
      <c r="C473" s="1" t="n">
        <v>45971</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480-2025</t>
        </is>
      </c>
      <c r="B474" s="1" t="n">
        <v>45664</v>
      </c>
      <c r="C474" s="1" t="n">
        <v>45971</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2253-2025</t>
        </is>
      </c>
      <c r="B475" s="1" t="n">
        <v>45673</v>
      </c>
      <c r="C475" s="1" t="n">
        <v>45971</v>
      </c>
      <c r="D475" t="inlineStr">
        <is>
          <t>VÄRMLANDS LÄN</t>
        </is>
      </c>
      <c r="E475" t="inlineStr">
        <is>
          <t>ÅRJÄNG</t>
        </is>
      </c>
      <c r="G475" t="n">
        <v>12.4</v>
      </c>
      <c r="H475" t="n">
        <v>0</v>
      </c>
      <c r="I475" t="n">
        <v>0</v>
      </c>
      <c r="J475" t="n">
        <v>0</v>
      </c>
      <c r="K475" t="n">
        <v>0</v>
      </c>
      <c r="L475" t="n">
        <v>0</v>
      </c>
      <c r="M475" t="n">
        <v>0</v>
      </c>
      <c r="N475" t="n">
        <v>0</v>
      </c>
      <c r="O475" t="n">
        <v>0</v>
      </c>
      <c r="P475" t="n">
        <v>0</v>
      </c>
      <c r="Q475" t="n">
        <v>0</v>
      </c>
      <c r="R475" s="2" t="inlineStr"/>
    </row>
    <row r="476" ht="15" customHeight="1">
      <c r="A476" t="inlineStr">
        <is>
          <t>A 4976-2025</t>
        </is>
      </c>
      <c r="B476" s="1" t="n">
        <v>45690.86565972222</v>
      </c>
      <c r="C476" s="1" t="n">
        <v>45971</v>
      </c>
      <c r="D476" t="inlineStr">
        <is>
          <t>VÄRMLANDS LÄN</t>
        </is>
      </c>
      <c r="E476" t="inlineStr">
        <is>
          <t>ÅRJÄNG</t>
        </is>
      </c>
      <c r="G476" t="n">
        <v>4.5</v>
      </c>
      <c r="H476" t="n">
        <v>0</v>
      </c>
      <c r="I476" t="n">
        <v>0</v>
      </c>
      <c r="J476" t="n">
        <v>0</v>
      </c>
      <c r="K476" t="n">
        <v>0</v>
      </c>
      <c r="L476" t="n">
        <v>0</v>
      </c>
      <c r="M476" t="n">
        <v>0</v>
      </c>
      <c r="N476" t="n">
        <v>0</v>
      </c>
      <c r="O476" t="n">
        <v>0</v>
      </c>
      <c r="P476" t="n">
        <v>0</v>
      </c>
      <c r="Q476" t="n">
        <v>0</v>
      </c>
      <c r="R476" s="2" t="inlineStr"/>
    </row>
    <row r="477" ht="15" customHeight="1">
      <c r="A477" t="inlineStr">
        <is>
          <t>A 13726-2024</t>
        </is>
      </c>
      <c r="B477" s="1" t="n">
        <v>45390.68759259259</v>
      </c>
      <c r="C477" s="1" t="n">
        <v>45971</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57992-2023</t>
        </is>
      </c>
      <c r="B478" s="1" t="n">
        <v>45244</v>
      </c>
      <c r="C478" s="1" t="n">
        <v>45971</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29603-2024</t>
        </is>
      </c>
      <c r="B479" s="1" t="n">
        <v>45484</v>
      </c>
      <c r="C479" s="1" t="n">
        <v>45971</v>
      </c>
      <c r="D479" t="inlineStr">
        <is>
          <t>VÄRMLANDS LÄN</t>
        </is>
      </c>
      <c r="E479" t="inlineStr">
        <is>
          <t>ÅRJÄNG</t>
        </is>
      </c>
      <c r="G479" t="n">
        <v>7.5</v>
      </c>
      <c r="H479" t="n">
        <v>0</v>
      </c>
      <c r="I479" t="n">
        <v>0</v>
      </c>
      <c r="J479" t="n">
        <v>0</v>
      </c>
      <c r="K479" t="n">
        <v>0</v>
      </c>
      <c r="L479" t="n">
        <v>0</v>
      </c>
      <c r="M479" t="n">
        <v>0</v>
      </c>
      <c r="N479" t="n">
        <v>0</v>
      </c>
      <c r="O479" t="n">
        <v>0</v>
      </c>
      <c r="P479" t="n">
        <v>0</v>
      </c>
      <c r="Q479" t="n">
        <v>0</v>
      </c>
      <c r="R479" s="2" t="inlineStr"/>
    </row>
    <row r="480" ht="15" customHeight="1">
      <c r="A480" t="inlineStr">
        <is>
          <t>A 12068-2022</t>
        </is>
      </c>
      <c r="B480" s="1" t="n">
        <v>44636</v>
      </c>
      <c r="C480" s="1" t="n">
        <v>45971</v>
      </c>
      <c r="D480" t="inlineStr">
        <is>
          <t>VÄRMLANDS LÄN</t>
        </is>
      </c>
      <c r="E480" t="inlineStr">
        <is>
          <t>ÅRJÄNG</t>
        </is>
      </c>
      <c r="G480" t="n">
        <v>4.3</v>
      </c>
      <c r="H480" t="n">
        <v>0</v>
      </c>
      <c r="I480" t="n">
        <v>0</v>
      </c>
      <c r="J480" t="n">
        <v>0</v>
      </c>
      <c r="K480" t="n">
        <v>0</v>
      </c>
      <c r="L480" t="n">
        <v>0</v>
      </c>
      <c r="M480" t="n">
        <v>0</v>
      </c>
      <c r="N480" t="n">
        <v>0</v>
      </c>
      <c r="O480" t="n">
        <v>0</v>
      </c>
      <c r="P480" t="n">
        <v>0</v>
      </c>
      <c r="Q480" t="n">
        <v>0</v>
      </c>
      <c r="R480" s="2" t="inlineStr"/>
    </row>
    <row r="481" ht="15" customHeight="1">
      <c r="A481" t="inlineStr">
        <is>
          <t>A 54437-2021</t>
        </is>
      </c>
      <c r="B481" s="1" t="n">
        <v>44459</v>
      </c>
      <c r="C481" s="1" t="n">
        <v>45971</v>
      </c>
      <c r="D481" t="inlineStr">
        <is>
          <t>VÄRMLANDS LÄN</t>
        </is>
      </c>
      <c r="E481" t="inlineStr">
        <is>
          <t>ÅRJÄNG</t>
        </is>
      </c>
      <c r="G481" t="n">
        <v>3.5</v>
      </c>
      <c r="H481" t="n">
        <v>0</v>
      </c>
      <c r="I481" t="n">
        <v>0</v>
      </c>
      <c r="J481" t="n">
        <v>0</v>
      </c>
      <c r="K481" t="n">
        <v>0</v>
      </c>
      <c r="L481" t="n">
        <v>0</v>
      </c>
      <c r="M481" t="n">
        <v>0</v>
      </c>
      <c r="N481" t="n">
        <v>0</v>
      </c>
      <c r="O481" t="n">
        <v>0</v>
      </c>
      <c r="P481" t="n">
        <v>0</v>
      </c>
      <c r="Q481" t="n">
        <v>0</v>
      </c>
      <c r="R481" s="2" t="inlineStr"/>
    </row>
    <row r="482" ht="15" customHeight="1">
      <c r="A482" t="inlineStr">
        <is>
          <t>A 13814-2024</t>
        </is>
      </c>
      <c r="B482" s="1" t="n">
        <v>45391</v>
      </c>
      <c r="C482" s="1" t="n">
        <v>45971</v>
      </c>
      <c r="D482" t="inlineStr">
        <is>
          <t>VÄRMLANDS LÄN</t>
        </is>
      </c>
      <c r="E482" t="inlineStr">
        <is>
          <t>ÅRJÄNG</t>
        </is>
      </c>
      <c r="G482" t="n">
        <v>2.4</v>
      </c>
      <c r="H482" t="n">
        <v>0</v>
      </c>
      <c r="I482" t="n">
        <v>0</v>
      </c>
      <c r="J482" t="n">
        <v>0</v>
      </c>
      <c r="K482" t="n">
        <v>0</v>
      </c>
      <c r="L482" t="n">
        <v>0</v>
      </c>
      <c r="M482" t="n">
        <v>0</v>
      </c>
      <c r="N482" t="n">
        <v>0</v>
      </c>
      <c r="O482" t="n">
        <v>0</v>
      </c>
      <c r="P482" t="n">
        <v>0</v>
      </c>
      <c r="Q482" t="n">
        <v>0</v>
      </c>
      <c r="R482" s="2" t="inlineStr"/>
    </row>
    <row r="483" ht="15" customHeight="1">
      <c r="A483" t="inlineStr">
        <is>
          <t>A 13819-2024</t>
        </is>
      </c>
      <c r="B483" s="1" t="n">
        <v>45391.42252314815</v>
      </c>
      <c r="C483" s="1" t="n">
        <v>45971</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15546-2025</t>
        </is>
      </c>
      <c r="B484" s="1" t="n">
        <v>45747</v>
      </c>
      <c r="C484" s="1" t="n">
        <v>45971</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12082-2023</t>
        </is>
      </c>
      <c r="B485" s="1" t="n">
        <v>44997.78215277778</v>
      </c>
      <c r="C485" s="1" t="n">
        <v>45971</v>
      </c>
      <c r="D485" t="inlineStr">
        <is>
          <t>VÄRMLANDS LÄN</t>
        </is>
      </c>
      <c r="E485" t="inlineStr">
        <is>
          <t>ÅRJÄNG</t>
        </is>
      </c>
      <c r="G485" t="n">
        <v>1.3</v>
      </c>
      <c r="H485" t="n">
        <v>0</v>
      </c>
      <c r="I485" t="n">
        <v>0</v>
      </c>
      <c r="J485" t="n">
        <v>0</v>
      </c>
      <c r="K485" t="n">
        <v>0</v>
      </c>
      <c r="L485" t="n">
        <v>0</v>
      </c>
      <c r="M485" t="n">
        <v>0</v>
      </c>
      <c r="N485" t="n">
        <v>0</v>
      </c>
      <c r="O485" t="n">
        <v>0</v>
      </c>
      <c r="P485" t="n">
        <v>0</v>
      </c>
      <c r="Q485" t="n">
        <v>0</v>
      </c>
      <c r="R485" s="2" t="inlineStr"/>
    </row>
    <row r="486" ht="15" customHeight="1">
      <c r="A486" t="inlineStr">
        <is>
          <t>A 51269-2022</t>
        </is>
      </c>
      <c r="B486" s="1" t="n">
        <v>44868</v>
      </c>
      <c r="C486" s="1" t="n">
        <v>45971</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61913-2024</t>
        </is>
      </c>
      <c r="B487" s="1" t="n">
        <v>45653.38708333333</v>
      </c>
      <c r="C487" s="1" t="n">
        <v>45971</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5931-2023</t>
        </is>
      </c>
      <c r="B488" s="1" t="n">
        <v>44963</v>
      </c>
      <c r="C488" s="1" t="n">
        <v>45971</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33728-2021</t>
        </is>
      </c>
      <c r="B489" s="1" t="n">
        <v>44378.47640046296</v>
      </c>
      <c r="C489" s="1" t="n">
        <v>45971</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7660-2025</t>
        </is>
      </c>
      <c r="B490" s="1" t="n">
        <v>45706.32505787037</v>
      </c>
      <c r="C490" s="1" t="n">
        <v>45971</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62609-2023</t>
        </is>
      </c>
      <c r="B491" s="1" t="n">
        <v>45267</v>
      </c>
      <c r="C491" s="1" t="n">
        <v>45971</v>
      </c>
      <c r="D491" t="inlineStr">
        <is>
          <t>VÄRMLANDS LÄN</t>
        </is>
      </c>
      <c r="E491" t="inlineStr">
        <is>
          <t>ÅRJÄNG</t>
        </is>
      </c>
      <c r="G491" t="n">
        <v>14.4</v>
      </c>
      <c r="H491" t="n">
        <v>0</v>
      </c>
      <c r="I491" t="n">
        <v>0</v>
      </c>
      <c r="J491" t="n">
        <v>0</v>
      </c>
      <c r="K491" t="n">
        <v>0</v>
      </c>
      <c r="L491" t="n">
        <v>0</v>
      </c>
      <c r="M491" t="n">
        <v>0</v>
      </c>
      <c r="N491" t="n">
        <v>0</v>
      </c>
      <c r="O491" t="n">
        <v>0</v>
      </c>
      <c r="P491" t="n">
        <v>0</v>
      </c>
      <c r="Q491" t="n">
        <v>0</v>
      </c>
      <c r="R491" s="2" t="inlineStr"/>
    </row>
    <row r="492" ht="15" customHeight="1">
      <c r="A492" t="inlineStr">
        <is>
          <t>A 34526-2023</t>
        </is>
      </c>
      <c r="B492" s="1" t="n">
        <v>45140.41518518519</v>
      </c>
      <c r="C492" s="1" t="n">
        <v>45971</v>
      </c>
      <c r="D492" t="inlineStr">
        <is>
          <t>VÄRMLANDS LÄN</t>
        </is>
      </c>
      <c r="E492" t="inlineStr">
        <is>
          <t>ÅRJÄNG</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52278-2023</t>
        </is>
      </c>
      <c r="B493" s="1" t="n">
        <v>45224.57358796296</v>
      </c>
      <c r="C493" s="1" t="n">
        <v>45971</v>
      </c>
      <c r="D493" t="inlineStr">
        <is>
          <t>VÄRMLANDS LÄN</t>
        </is>
      </c>
      <c r="E493" t="inlineStr">
        <is>
          <t>ÅRJÄNG</t>
        </is>
      </c>
      <c r="G493" t="n">
        <v>3.1</v>
      </c>
      <c r="H493" t="n">
        <v>0</v>
      </c>
      <c r="I493" t="n">
        <v>0</v>
      </c>
      <c r="J493" t="n">
        <v>0</v>
      </c>
      <c r="K493" t="n">
        <v>0</v>
      </c>
      <c r="L493" t="n">
        <v>0</v>
      </c>
      <c r="M493" t="n">
        <v>0</v>
      </c>
      <c r="N493" t="n">
        <v>0</v>
      </c>
      <c r="O493" t="n">
        <v>0</v>
      </c>
      <c r="P493" t="n">
        <v>0</v>
      </c>
      <c r="Q493" t="n">
        <v>0</v>
      </c>
      <c r="R493" s="2" t="inlineStr"/>
    </row>
    <row r="494" ht="15" customHeight="1">
      <c r="A494" t="inlineStr">
        <is>
          <t>A 13317-2025</t>
        </is>
      </c>
      <c r="B494" s="1" t="n">
        <v>45735.59452546296</v>
      </c>
      <c r="C494" s="1" t="n">
        <v>45971</v>
      </c>
      <c r="D494" t="inlineStr">
        <is>
          <t>VÄRMLANDS LÄN</t>
        </is>
      </c>
      <c r="E494" t="inlineStr">
        <is>
          <t>ÅRJÄNG</t>
        </is>
      </c>
      <c r="G494" t="n">
        <v>3.7</v>
      </c>
      <c r="H494" t="n">
        <v>0</v>
      </c>
      <c r="I494" t="n">
        <v>0</v>
      </c>
      <c r="J494" t="n">
        <v>0</v>
      </c>
      <c r="K494" t="n">
        <v>0</v>
      </c>
      <c r="L494" t="n">
        <v>0</v>
      </c>
      <c r="M494" t="n">
        <v>0</v>
      </c>
      <c r="N494" t="n">
        <v>0</v>
      </c>
      <c r="O494" t="n">
        <v>0</v>
      </c>
      <c r="P494" t="n">
        <v>0</v>
      </c>
      <c r="Q494" t="n">
        <v>0</v>
      </c>
      <c r="R494" s="2" t="inlineStr"/>
    </row>
    <row r="495" ht="15" customHeight="1">
      <c r="A495" t="inlineStr">
        <is>
          <t>A 50388-2024</t>
        </is>
      </c>
      <c r="B495" s="1" t="n">
        <v>45600</v>
      </c>
      <c r="C495" s="1" t="n">
        <v>45971</v>
      </c>
      <c r="D495" t="inlineStr">
        <is>
          <t>VÄRMLANDS LÄN</t>
        </is>
      </c>
      <c r="E495" t="inlineStr">
        <is>
          <t>ÅRJÄNG</t>
        </is>
      </c>
      <c r="G495" t="n">
        <v>1.3</v>
      </c>
      <c r="H495" t="n">
        <v>0</v>
      </c>
      <c r="I495" t="n">
        <v>0</v>
      </c>
      <c r="J495" t="n">
        <v>0</v>
      </c>
      <c r="K495" t="n">
        <v>0</v>
      </c>
      <c r="L495" t="n">
        <v>0</v>
      </c>
      <c r="M495" t="n">
        <v>0</v>
      </c>
      <c r="N495" t="n">
        <v>0</v>
      </c>
      <c r="O495" t="n">
        <v>0</v>
      </c>
      <c r="P495" t="n">
        <v>0</v>
      </c>
      <c r="Q495" t="n">
        <v>0</v>
      </c>
      <c r="R495" s="2" t="inlineStr"/>
    </row>
    <row r="496" ht="15" customHeight="1">
      <c r="A496" t="inlineStr">
        <is>
          <t>A 64903-2023</t>
        </is>
      </c>
      <c r="B496" s="1" t="n">
        <v>45282</v>
      </c>
      <c r="C496" s="1" t="n">
        <v>45971</v>
      </c>
      <c r="D496" t="inlineStr">
        <is>
          <t>VÄRMLANDS LÄN</t>
        </is>
      </c>
      <c r="E496" t="inlineStr">
        <is>
          <t>ÅRJÄNG</t>
        </is>
      </c>
      <c r="G496" t="n">
        <v>7.5</v>
      </c>
      <c r="H496" t="n">
        <v>0</v>
      </c>
      <c r="I496" t="n">
        <v>0</v>
      </c>
      <c r="J496" t="n">
        <v>0</v>
      </c>
      <c r="K496" t="n">
        <v>0</v>
      </c>
      <c r="L496" t="n">
        <v>0</v>
      </c>
      <c r="M496" t="n">
        <v>0</v>
      </c>
      <c r="N496" t="n">
        <v>0</v>
      </c>
      <c r="O496" t="n">
        <v>0</v>
      </c>
      <c r="P496" t="n">
        <v>0</v>
      </c>
      <c r="Q496" t="n">
        <v>0</v>
      </c>
      <c r="R496" s="2" t="inlineStr"/>
    </row>
    <row r="497" ht="15" customHeight="1">
      <c r="A497" t="inlineStr">
        <is>
          <t>A 48130-2023</t>
        </is>
      </c>
      <c r="B497" s="1" t="n">
        <v>45201</v>
      </c>
      <c r="C497" s="1" t="n">
        <v>45971</v>
      </c>
      <c r="D497" t="inlineStr">
        <is>
          <t>VÄRMLANDS LÄN</t>
        </is>
      </c>
      <c r="E497" t="inlineStr">
        <is>
          <t>ÅRJÄNG</t>
        </is>
      </c>
      <c r="G497" t="n">
        <v>3</v>
      </c>
      <c r="H497" t="n">
        <v>0</v>
      </c>
      <c r="I497" t="n">
        <v>0</v>
      </c>
      <c r="J497" t="n">
        <v>0</v>
      </c>
      <c r="K497" t="n">
        <v>0</v>
      </c>
      <c r="L497" t="n">
        <v>0</v>
      </c>
      <c r="M497" t="n">
        <v>0</v>
      </c>
      <c r="N497" t="n">
        <v>0</v>
      </c>
      <c r="O497" t="n">
        <v>0</v>
      </c>
      <c r="P497" t="n">
        <v>0</v>
      </c>
      <c r="Q497" t="n">
        <v>0</v>
      </c>
      <c r="R497" s="2" t="inlineStr"/>
    </row>
    <row r="498" ht="15" customHeight="1">
      <c r="A498" t="inlineStr">
        <is>
          <t>A 24339-2024</t>
        </is>
      </c>
      <c r="B498" s="1" t="n">
        <v>45457</v>
      </c>
      <c r="C498" s="1" t="n">
        <v>45971</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8918-2025</t>
        </is>
      </c>
      <c r="B499" s="1" t="n">
        <v>45713.43067129629</v>
      </c>
      <c r="C499" s="1" t="n">
        <v>45971</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17878-2024</t>
        </is>
      </c>
      <c r="B500" s="1" t="n">
        <v>45419</v>
      </c>
      <c r="C500" s="1" t="n">
        <v>45971</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64151-2023</t>
        </is>
      </c>
      <c r="B501" s="1" t="n">
        <v>45279.58803240741</v>
      </c>
      <c r="C501" s="1" t="n">
        <v>45971</v>
      </c>
      <c r="D501" t="inlineStr">
        <is>
          <t>VÄRMLANDS LÄN</t>
        </is>
      </c>
      <c r="E501" t="inlineStr">
        <is>
          <t>ÅRJÄNG</t>
        </is>
      </c>
      <c r="G501" t="n">
        <v>24.5</v>
      </c>
      <c r="H501" t="n">
        <v>0</v>
      </c>
      <c r="I501" t="n">
        <v>0</v>
      </c>
      <c r="J501" t="n">
        <v>0</v>
      </c>
      <c r="K501" t="n">
        <v>0</v>
      </c>
      <c r="L501" t="n">
        <v>0</v>
      </c>
      <c r="M501" t="n">
        <v>0</v>
      </c>
      <c r="N501" t="n">
        <v>0</v>
      </c>
      <c r="O501" t="n">
        <v>0</v>
      </c>
      <c r="P501" t="n">
        <v>0</v>
      </c>
      <c r="Q501" t="n">
        <v>0</v>
      </c>
      <c r="R501" s="2" t="inlineStr"/>
    </row>
    <row r="502" ht="15" customHeight="1">
      <c r="A502" t="inlineStr">
        <is>
          <t>A 36641-2021</t>
        </is>
      </c>
      <c r="B502" s="1" t="n">
        <v>44392.31038194444</v>
      </c>
      <c r="C502" s="1" t="n">
        <v>45971</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8838-2023</t>
        </is>
      </c>
      <c r="B503" s="1" t="n">
        <v>44978</v>
      </c>
      <c r="C503" s="1" t="n">
        <v>45971</v>
      </c>
      <c r="D503" t="inlineStr">
        <is>
          <t>VÄRMLANDS LÄN</t>
        </is>
      </c>
      <c r="E503" t="inlineStr">
        <is>
          <t>ÅRJÄNG</t>
        </is>
      </c>
      <c r="G503" t="n">
        <v>7</v>
      </c>
      <c r="H503" t="n">
        <v>0</v>
      </c>
      <c r="I503" t="n">
        <v>0</v>
      </c>
      <c r="J503" t="n">
        <v>0</v>
      </c>
      <c r="K503" t="n">
        <v>0</v>
      </c>
      <c r="L503" t="n">
        <v>0</v>
      </c>
      <c r="M503" t="n">
        <v>0</v>
      </c>
      <c r="N503" t="n">
        <v>0</v>
      </c>
      <c r="O503" t="n">
        <v>0</v>
      </c>
      <c r="P503" t="n">
        <v>0</v>
      </c>
      <c r="Q503" t="n">
        <v>0</v>
      </c>
      <c r="R503" s="2" t="inlineStr"/>
    </row>
    <row r="504" ht="15" customHeight="1">
      <c r="A504" t="inlineStr">
        <is>
          <t>A 58141-2023</t>
        </is>
      </c>
      <c r="B504" s="1" t="n">
        <v>45245</v>
      </c>
      <c r="C504" s="1" t="n">
        <v>45971</v>
      </c>
      <c r="D504" t="inlineStr">
        <is>
          <t>VÄRMLANDS LÄN</t>
        </is>
      </c>
      <c r="E504" t="inlineStr">
        <is>
          <t>ÅRJÄNG</t>
        </is>
      </c>
      <c r="G504" t="n">
        <v>6.2</v>
      </c>
      <c r="H504" t="n">
        <v>0</v>
      </c>
      <c r="I504" t="n">
        <v>0</v>
      </c>
      <c r="J504" t="n">
        <v>0</v>
      </c>
      <c r="K504" t="n">
        <v>0</v>
      </c>
      <c r="L504" t="n">
        <v>0</v>
      </c>
      <c r="M504" t="n">
        <v>0</v>
      </c>
      <c r="N504" t="n">
        <v>0</v>
      </c>
      <c r="O504" t="n">
        <v>0</v>
      </c>
      <c r="P504" t="n">
        <v>0</v>
      </c>
      <c r="Q504" t="n">
        <v>0</v>
      </c>
      <c r="R504" s="2" t="inlineStr"/>
    </row>
    <row r="505" ht="15" customHeight="1">
      <c r="A505" t="inlineStr">
        <is>
          <t>A 27138-2024</t>
        </is>
      </c>
      <c r="B505" s="1" t="n">
        <v>45471</v>
      </c>
      <c r="C505" s="1" t="n">
        <v>45971</v>
      </c>
      <c r="D505" t="inlineStr">
        <is>
          <t>VÄRMLANDS LÄN</t>
        </is>
      </c>
      <c r="E505" t="inlineStr">
        <is>
          <t>ÅRJÄNG</t>
        </is>
      </c>
      <c r="G505" t="n">
        <v>5.7</v>
      </c>
      <c r="H505" t="n">
        <v>0</v>
      </c>
      <c r="I505" t="n">
        <v>0</v>
      </c>
      <c r="J505" t="n">
        <v>0</v>
      </c>
      <c r="K505" t="n">
        <v>0</v>
      </c>
      <c r="L505" t="n">
        <v>0</v>
      </c>
      <c r="M505" t="n">
        <v>0</v>
      </c>
      <c r="N505" t="n">
        <v>0</v>
      </c>
      <c r="O505" t="n">
        <v>0</v>
      </c>
      <c r="P505" t="n">
        <v>0</v>
      </c>
      <c r="Q505" t="n">
        <v>0</v>
      </c>
      <c r="R505" s="2" t="inlineStr"/>
    </row>
    <row r="506" ht="15" customHeight="1">
      <c r="A506" t="inlineStr">
        <is>
          <t>A 27001-2021</t>
        </is>
      </c>
      <c r="B506" s="1" t="n">
        <v>44350.35271990741</v>
      </c>
      <c r="C506" s="1" t="n">
        <v>45971</v>
      </c>
      <c r="D506" t="inlineStr">
        <is>
          <t>VÄRMLANDS LÄN</t>
        </is>
      </c>
      <c r="E506" t="inlineStr">
        <is>
          <t>ÅRJÄNG</t>
        </is>
      </c>
      <c r="G506" t="n">
        <v>3.7</v>
      </c>
      <c r="H506" t="n">
        <v>0</v>
      </c>
      <c r="I506" t="n">
        <v>0</v>
      </c>
      <c r="J506" t="n">
        <v>0</v>
      </c>
      <c r="K506" t="n">
        <v>0</v>
      </c>
      <c r="L506" t="n">
        <v>0</v>
      </c>
      <c r="M506" t="n">
        <v>0</v>
      </c>
      <c r="N506" t="n">
        <v>0</v>
      </c>
      <c r="O506" t="n">
        <v>0</v>
      </c>
      <c r="P506" t="n">
        <v>0</v>
      </c>
      <c r="Q506" t="n">
        <v>0</v>
      </c>
      <c r="R506" s="2" t="inlineStr"/>
    </row>
    <row r="507" ht="15" customHeight="1">
      <c r="A507" t="inlineStr">
        <is>
          <t>A 33304-2021</t>
        </is>
      </c>
      <c r="B507" s="1" t="n">
        <v>44377.43040509259</v>
      </c>
      <c r="C507" s="1" t="n">
        <v>45971</v>
      </c>
      <c r="D507" t="inlineStr">
        <is>
          <t>VÄRMLANDS LÄN</t>
        </is>
      </c>
      <c r="E507" t="inlineStr">
        <is>
          <t>ÅRJÄNG</t>
        </is>
      </c>
      <c r="G507" t="n">
        <v>4.9</v>
      </c>
      <c r="H507" t="n">
        <v>0</v>
      </c>
      <c r="I507" t="n">
        <v>0</v>
      </c>
      <c r="J507" t="n">
        <v>0</v>
      </c>
      <c r="K507" t="n">
        <v>0</v>
      </c>
      <c r="L507" t="n">
        <v>0</v>
      </c>
      <c r="M507" t="n">
        <v>0</v>
      </c>
      <c r="N507" t="n">
        <v>0</v>
      </c>
      <c r="O507" t="n">
        <v>0</v>
      </c>
      <c r="P507" t="n">
        <v>0</v>
      </c>
      <c r="Q507" t="n">
        <v>0</v>
      </c>
      <c r="R507" s="2" t="inlineStr"/>
    </row>
    <row r="508" ht="15" customHeight="1">
      <c r="A508" t="inlineStr">
        <is>
          <t>A 42576-2021</t>
        </is>
      </c>
      <c r="B508" s="1" t="n">
        <v>44428</v>
      </c>
      <c r="C508" s="1" t="n">
        <v>45971</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30693-2021</t>
        </is>
      </c>
      <c r="B509" s="1" t="n">
        <v>44365</v>
      </c>
      <c r="C509" s="1" t="n">
        <v>45971</v>
      </c>
      <c r="D509" t="inlineStr">
        <is>
          <t>VÄRMLANDS LÄN</t>
        </is>
      </c>
      <c r="E509" t="inlineStr">
        <is>
          <t>ÅRJÄNG</t>
        </is>
      </c>
      <c r="G509" t="n">
        <v>8.4</v>
      </c>
      <c r="H509" t="n">
        <v>0</v>
      </c>
      <c r="I509" t="n">
        <v>0</v>
      </c>
      <c r="J509" t="n">
        <v>0</v>
      </c>
      <c r="K509" t="n">
        <v>0</v>
      </c>
      <c r="L509" t="n">
        <v>0</v>
      </c>
      <c r="M509" t="n">
        <v>0</v>
      </c>
      <c r="N509" t="n">
        <v>0</v>
      </c>
      <c r="O509" t="n">
        <v>0</v>
      </c>
      <c r="P509" t="n">
        <v>0</v>
      </c>
      <c r="Q509" t="n">
        <v>0</v>
      </c>
      <c r="R509" s="2" t="inlineStr"/>
    </row>
    <row r="510" ht="15" customHeight="1">
      <c r="A510" t="inlineStr">
        <is>
          <t>A 33525-2022</t>
        </is>
      </c>
      <c r="B510" s="1" t="n">
        <v>44789.31077546296</v>
      </c>
      <c r="C510" s="1" t="n">
        <v>45971</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4763-2023</t>
        </is>
      </c>
      <c r="B511" s="1" t="n">
        <v>44957.57651620371</v>
      </c>
      <c r="C511" s="1" t="n">
        <v>45971</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26781-2025</t>
        </is>
      </c>
      <c r="B512" s="1" t="n">
        <v>45810.58258101852</v>
      </c>
      <c r="C512" s="1" t="n">
        <v>45971</v>
      </c>
      <c r="D512" t="inlineStr">
        <is>
          <t>VÄRMLANDS LÄN</t>
        </is>
      </c>
      <c r="E512" t="inlineStr">
        <is>
          <t>ÅRJÄNG</t>
        </is>
      </c>
      <c r="G512" t="n">
        <v>4.2</v>
      </c>
      <c r="H512" t="n">
        <v>0</v>
      </c>
      <c r="I512" t="n">
        <v>0</v>
      </c>
      <c r="J512" t="n">
        <v>0</v>
      </c>
      <c r="K512" t="n">
        <v>0</v>
      </c>
      <c r="L512" t="n">
        <v>0</v>
      </c>
      <c r="M512" t="n">
        <v>0</v>
      </c>
      <c r="N512" t="n">
        <v>0</v>
      </c>
      <c r="O512" t="n">
        <v>0</v>
      </c>
      <c r="P512" t="n">
        <v>0</v>
      </c>
      <c r="Q512" t="n">
        <v>0</v>
      </c>
      <c r="R512" s="2" t="inlineStr"/>
    </row>
    <row r="513" ht="15" customHeight="1">
      <c r="A513" t="inlineStr">
        <is>
          <t>A 72476-2021</t>
        </is>
      </c>
      <c r="B513" s="1" t="n">
        <v>44545.86997685185</v>
      </c>
      <c r="C513" s="1" t="n">
        <v>45971</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7877-2025</t>
        </is>
      </c>
      <c r="B514" s="1" t="n">
        <v>45706.76609953704</v>
      </c>
      <c r="C514" s="1" t="n">
        <v>45971</v>
      </c>
      <c r="D514" t="inlineStr">
        <is>
          <t>VÄRMLANDS LÄN</t>
        </is>
      </c>
      <c r="E514" t="inlineStr">
        <is>
          <t>ÅRJÄNG</t>
        </is>
      </c>
      <c r="G514" t="n">
        <v>2.8</v>
      </c>
      <c r="H514" t="n">
        <v>0</v>
      </c>
      <c r="I514" t="n">
        <v>0</v>
      </c>
      <c r="J514" t="n">
        <v>0</v>
      </c>
      <c r="K514" t="n">
        <v>0</v>
      </c>
      <c r="L514" t="n">
        <v>0</v>
      </c>
      <c r="M514" t="n">
        <v>0</v>
      </c>
      <c r="N514" t="n">
        <v>0</v>
      </c>
      <c r="O514" t="n">
        <v>0</v>
      </c>
      <c r="P514" t="n">
        <v>0</v>
      </c>
      <c r="Q514" t="n">
        <v>0</v>
      </c>
      <c r="R514" s="2" t="inlineStr"/>
    </row>
    <row r="515" ht="15" customHeight="1">
      <c r="A515" t="inlineStr">
        <is>
          <t>A 51258-2022</t>
        </is>
      </c>
      <c r="B515" s="1" t="n">
        <v>44868.67460648148</v>
      </c>
      <c r="C515" s="1" t="n">
        <v>45971</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11815-2025</t>
        </is>
      </c>
      <c r="B516" s="1" t="n">
        <v>45728.28719907408</v>
      </c>
      <c r="C516" s="1" t="n">
        <v>45971</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15165-2025</t>
        </is>
      </c>
      <c r="B517" s="1" t="n">
        <v>45744.48599537037</v>
      </c>
      <c r="C517" s="1" t="n">
        <v>45971</v>
      </c>
      <c r="D517" t="inlineStr">
        <is>
          <t>VÄRMLANDS LÄN</t>
        </is>
      </c>
      <c r="E517" t="inlineStr">
        <is>
          <t>ÅRJÄNG</t>
        </is>
      </c>
      <c r="G517" t="n">
        <v>3</v>
      </c>
      <c r="H517" t="n">
        <v>0</v>
      </c>
      <c r="I517" t="n">
        <v>0</v>
      </c>
      <c r="J517" t="n">
        <v>0</v>
      </c>
      <c r="K517" t="n">
        <v>0</v>
      </c>
      <c r="L517" t="n">
        <v>0</v>
      </c>
      <c r="M517" t="n">
        <v>0</v>
      </c>
      <c r="N517" t="n">
        <v>0</v>
      </c>
      <c r="O517" t="n">
        <v>0</v>
      </c>
      <c r="P517" t="n">
        <v>0</v>
      </c>
      <c r="Q517" t="n">
        <v>0</v>
      </c>
      <c r="R517" s="2" t="inlineStr"/>
    </row>
    <row r="518" ht="15" customHeight="1">
      <c r="A518" t="inlineStr">
        <is>
          <t>A 19242-2025</t>
        </is>
      </c>
      <c r="B518" s="1" t="n">
        <v>45769.47761574074</v>
      </c>
      <c r="C518" s="1" t="n">
        <v>45971</v>
      </c>
      <c r="D518" t="inlineStr">
        <is>
          <t>VÄRMLANDS LÄN</t>
        </is>
      </c>
      <c r="E518" t="inlineStr">
        <is>
          <t>ÅRJÄNG</t>
        </is>
      </c>
      <c r="G518" t="n">
        <v>17.5</v>
      </c>
      <c r="H518" t="n">
        <v>0</v>
      </c>
      <c r="I518" t="n">
        <v>0</v>
      </c>
      <c r="J518" t="n">
        <v>0</v>
      </c>
      <c r="K518" t="n">
        <v>0</v>
      </c>
      <c r="L518" t="n">
        <v>0</v>
      </c>
      <c r="M518" t="n">
        <v>0</v>
      </c>
      <c r="N518" t="n">
        <v>0</v>
      </c>
      <c r="O518" t="n">
        <v>0</v>
      </c>
      <c r="P518" t="n">
        <v>0</v>
      </c>
      <c r="Q518" t="n">
        <v>0</v>
      </c>
      <c r="R518" s="2" t="inlineStr"/>
    </row>
    <row r="519" ht="15" customHeight="1">
      <c r="A519" t="inlineStr">
        <is>
          <t>A 55377-2024</t>
        </is>
      </c>
      <c r="B519" s="1" t="n">
        <v>45621.9885300926</v>
      </c>
      <c r="C519" s="1" t="n">
        <v>45971</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39008-2023</t>
        </is>
      </c>
      <c r="B520" s="1" t="n">
        <v>45162</v>
      </c>
      <c r="C520" s="1" t="n">
        <v>45971</v>
      </c>
      <c r="D520" t="inlineStr">
        <is>
          <t>VÄRMLANDS LÄN</t>
        </is>
      </c>
      <c r="E520" t="inlineStr">
        <is>
          <t>ÅRJÄNG</t>
        </is>
      </c>
      <c r="G520" t="n">
        <v>5.1</v>
      </c>
      <c r="H520" t="n">
        <v>0</v>
      </c>
      <c r="I520" t="n">
        <v>0</v>
      </c>
      <c r="J520" t="n">
        <v>0</v>
      </c>
      <c r="K520" t="n">
        <v>0</v>
      </c>
      <c r="L520" t="n">
        <v>0</v>
      </c>
      <c r="M520" t="n">
        <v>0</v>
      </c>
      <c r="N520" t="n">
        <v>0</v>
      </c>
      <c r="O520" t="n">
        <v>0</v>
      </c>
      <c r="P520" t="n">
        <v>0</v>
      </c>
      <c r="Q520" t="n">
        <v>0</v>
      </c>
      <c r="R520" s="2" t="inlineStr"/>
    </row>
    <row r="521" ht="15" customHeight="1">
      <c r="A521" t="inlineStr">
        <is>
          <t>A 16977-2025</t>
        </is>
      </c>
      <c r="B521" s="1" t="n">
        <v>45755.47517361111</v>
      </c>
      <c r="C521" s="1" t="n">
        <v>45971</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23847-2023</t>
        </is>
      </c>
      <c r="B522" s="1" t="n">
        <v>45078</v>
      </c>
      <c r="C522" s="1" t="n">
        <v>45971</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15327-2022</t>
        </is>
      </c>
      <c r="B523" s="1" t="n">
        <v>44659</v>
      </c>
      <c r="C523" s="1" t="n">
        <v>45971</v>
      </c>
      <c r="D523" t="inlineStr">
        <is>
          <t>VÄRMLANDS LÄN</t>
        </is>
      </c>
      <c r="E523" t="inlineStr">
        <is>
          <t>ÅRJÄNG</t>
        </is>
      </c>
      <c r="G523" t="n">
        <v>4</v>
      </c>
      <c r="H523" t="n">
        <v>0</v>
      </c>
      <c r="I523" t="n">
        <v>0</v>
      </c>
      <c r="J523" t="n">
        <v>0</v>
      </c>
      <c r="K523" t="n">
        <v>0</v>
      </c>
      <c r="L523" t="n">
        <v>0</v>
      </c>
      <c r="M523" t="n">
        <v>0</v>
      </c>
      <c r="N523" t="n">
        <v>0</v>
      </c>
      <c r="O523" t="n">
        <v>0</v>
      </c>
      <c r="P523" t="n">
        <v>0</v>
      </c>
      <c r="Q523" t="n">
        <v>0</v>
      </c>
      <c r="R523" s="2" t="inlineStr"/>
    </row>
    <row r="524" ht="15" customHeight="1">
      <c r="A524" t="inlineStr">
        <is>
          <t>A 19246-2024</t>
        </is>
      </c>
      <c r="B524" s="1" t="n">
        <v>45428</v>
      </c>
      <c r="C524" s="1" t="n">
        <v>45971</v>
      </c>
      <c r="D524" t="inlineStr">
        <is>
          <t>VÄRMLANDS LÄN</t>
        </is>
      </c>
      <c r="E524" t="inlineStr">
        <is>
          <t>ÅRJÄNG</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1665-2023</t>
        </is>
      </c>
      <c r="B525" s="1" t="n">
        <v>44938</v>
      </c>
      <c r="C525" s="1" t="n">
        <v>45971</v>
      </c>
      <c r="D525" t="inlineStr">
        <is>
          <t>VÄRMLANDS LÄN</t>
        </is>
      </c>
      <c r="E525" t="inlineStr">
        <is>
          <t>ÅRJÄNG</t>
        </is>
      </c>
      <c r="G525" t="n">
        <v>5.1</v>
      </c>
      <c r="H525" t="n">
        <v>0</v>
      </c>
      <c r="I525" t="n">
        <v>0</v>
      </c>
      <c r="J525" t="n">
        <v>0</v>
      </c>
      <c r="K525" t="n">
        <v>0</v>
      </c>
      <c r="L525" t="n">
        <v>0</v>
      </c>
      <c r="M525" t="n">
        <v>0</v>
      </c>
      <c r="N525" t="n">
        <v>0</v>
      </c>
      <c r="O525" t="n">
        <v>0</v>
      </c>
      <c r="P525" t="n">
        <v>0</v>
      </c>
      <c r="Q525" t="n">
        <v>0</v>
      </c>
      <c r="R525" s="2" t="inlineStr"/>
    </row>
    <row r="526" ht="15" customHeight="1">
      <c r="A526" t="inlineStr">
        <is>
          <t>A 38158-2023</t>
        </is>
      </c>
      <c r="B526" s="1" t="n">
        <v>45161</v>
      </c>
      <c r="C526" s="1" t="n">
        <v>45971</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28733-2024</t>
        </is>
      </c>
      <c r="B527" s="1" t="n">
        <v>45478</v>
      </c>
      <c r="C527" s="1" t="n">
        <v>45971</v>
      </c>
      <c r="D527" t="inlineStr">
        <is>
          <t>VÄRMLANDS LÄN</t>
        </is>
      </c>
      <c r="E527" t="inlineStr">
        <is>
          <t>ÅRJÄNG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51493-2023</t>
        </is>
      </c>
      <c r="B528" s="1" t="n">
        <v>45215</v>
      </c>
      <c r="C528" s="1" t="n">
        <v>45971</v>
      </c>
      <c r="D528" t="inlineStr">
        <is>
          <t>VÄRMLANDS LÄN</t>
        </is>
      </c>
      <c r="E528" t="inlineStr">
        <is>
          <t>ÅRJÄNG</t>
        </is>
      </c>
      <c r="F528" t="inlineStr">
        <is>
          <t>Övriga Aktiebolag</t>
        </is>
      </c>
      <c r="G528" t="n">
        <v>9.1</v>
      </c>
      <c r="H528" t="n">
        <v>0</v>
      </c>
      <c r="I528" t="n">
        <v>0</v>
      </c>
      <c r="J528" t="n">
        <v>0</v>
      </c>
      <c r="K528" t="n">
        <v>0</v>
      </c>
      <c r="L528" t="n">
        <v>0</v>
      </c>
      <c r="M528" t="n">
        <v>0</v>
      </c>
      <c r="N528" t="n">
        <v>0</v>
      </c>
      <c r="O528" t="n">
        <v>0</v>
      </c>
      <c r="P528" t="n">
        <v>0</v>
      </c>
      <c r="Q528" t="n">
        <v>0</v>
      </c>
      <c r="R528" s="2" t="inlineStr"/>
    </row>
    <row r="529" ht="15" customHeight="1">
      <c r="A529" t="inlineStr">
        <is>
          <t>A 18309-2025</t>
        </is>
      </c>
      <c r="B529" s="1" t="n">
        <v>45762.44186342593</v>
      </c>
      <c r="C529" s="1" t="n">
        <v>45971</v>
      </c>
      <c r="D529" t="inlineStr">
        <is>
          <t>VÄRMLANDS LÄN</t>
        </is>
      </c>
      <c r="E529" t="inlineStr">
        <is>
          <t>ÅRJÄNG</t>
        </is>
      </c>
      <c r="G529" t="n">
        <v>6.2</v>
      </c>
      <c r="H529" t="n">
        <v>0</v>
      </c>
      <c r="I529" t="n">
        <v>0</v>
      </c>
      <c r="J529" t="n">
        <v>0</v>
      </c>
      <c r="K529" t="n">
        <v>0</v>
      </c>
      <c r="L529" t="n">
        <v>0</v>
      </c>
      <c r="M529" t="n">
        <v>0</v>
      </c>
      <c r="N529" t="n">
        <v>0</v>
      </c>
      <c r="O529" t="n">
        <v>0</v>
      </c>
      <c r="P529" t="n">
        <v>0</v>
      </c>
      <c r="Q529" t="n">
        <v>0</v>
      </c>
      <c r="R529" s="2" t="inlineStr"/>
    </row>
    <row r="530" ht="15" customHeight="1">
      <c r="A530" t="inlineStr">
        <is>
          <t>A 71812-2021</t>
        </is>
      </c>
      <c r="B530" s="1" t="n">
        <v>44539</v>
      </c>
      <c r="C530" s="1" t="n">
        <v>45971</v>
      </c>
      <c r="D530" t="inlineStr">
        <is>
          <t>VÄRMLANDS LÄN</t>
        </is>
      </c>
      <c r="E530" t="inlineStr">
        <is>
          <t>ÅRJÄNG</t>
        </is>
      </c>
      <c r="G530" t="n">
        <v>9</v>
      </c>
      <c r="H530" t="n">
        <v>0</v>
      </c>
      <c r="I530" t="n">
        <v>0</v>
      </c>
      <c r="J530" t="n">
        <v>0</v>
      </c>
      <c r="K530" t="n">
        <v>0</v>
      </c>
      <c r="L530" t="n">
        <v>0</v>
      </c>
      <c r="M530" t="n">
        <v>0</v>
      </c>
      <c r="N530" t="n">
        <v>0</v>
      </c>
      <c r="O530" t="n">
        <v>0</v>
      </c>
      <c r="P530" t="n">
        <v>0</v>
      </c>
      <c r="Q530" t="n">
        <v>0</v>
      </c>
      <c r="R530" s="2" t="inlineStr"/>
    </row>
    <row r="531" ht="15" customHeight="1">
      <c r="A531" t="inlineStr">
        <is>
          <t>A 34580-2023</t>
        </is>
      </c>
      <c r="B531" s="1" t="n">
        <v>45135</v>
      </c>
      <c r="C531" s="1" t="n">
        <v>45971</v>
      </c>
      <c r="D531" t="inlineStr">
        <is>
          <t>VÄRMLANDS LÄN</t>
        </is>
      </c>
      <c r="E531" t="inlineStr">
        <is>
          <t>ÅRJÄNG</t>
        </is>
      </c>
      <c r="F531" t="inlineStr">
        <is>
          <t>Övriga Aktiebolag</t>
        </is>
      </c>
      <c r="G531" t="n">
        <v>4</v>
      </c>
      <c r="H531" t="n">
        <v>0</v>
      </c>
      <c r="I531" t="n">
        <v>0</v>
      </c>
      <c r="J531" t="n">
        <v>0</v>
      </c>
      <c r="K531" t="n">
        <v>0</v>
      </c>
      <c r="L531" t="n">
        <v>0</v>
      </c>
      <c r="M531" t="n">
        <v>0</v>
      </c>
      <c r="N531" t="n">
        <v>0</v>
      </c>
      <c r="O531" t="n">
        <v>0</v>
      </c>
      <c r="P531" t="n">
        <v>0</v>
      </c>
      <c r="Q531" t="n">
        <v>0</v>
      </c>
      <c r="R531" s="2" t="inlineStr"/>
    </row>
    <row r="532" ht="15" customHeight="1">
      <c r="A532" t="inlineStr">
        <is>
          <t>A 92-2022</t>
        </is>
      </c>
      <c r="B532" s="1" t="n">
        <v>44564</v>
      </c>
      <c r="C532" s="1" t="n">
        <v>45971</v>
      </c>
      <c r="D532" t="inlineStr">
        <is>
          <t>VÄRMLANDS LÄN</t>
        </is>
      </c>
      <c r="E532" t="inlineStr">
        <is>
          <t>ÅRJÄNG</t>
        </is>
      </c>
      <c r="G532" t="n">
        <v>10.4</v>
      </c>
      <c r="H532" t="n">
        <v>0</v>
      </c>
      <c r="I532" t="n">
        <v>0</v>
      </c>
      <c r="J532" t="n">
        <v>0</v>
      </c>
      <c r="K532" t="n">
        <v>0</v>
      </c>
      <c r="L532" t="n">
        <v>0</v>
      </c>
      <c r="M532" t="n">
        <v>0</v>
      </c>
      <c r="N532" t="n">
        <v>0</v>
      </c>
      <c r="O532" t="n">
        <v>0</v>
      </c>
      <c r="P532" t="n">
        <v>0</v>
      </c>
      <c r="Q532" t="n">
        <v>0</v>
      </c>
      <c r="R532" s="2" t="inlineStr"/>
    </row>
    <row r="533" ht="15" customHeight="1">
      <c r="A533" t="inlineStr">
        <is>
          <t>A 14917-2025</t>
        </is>
      </c>
      <c r="B533" s="1" t="n">
        <v>45743.53748842593</v>
      </c>
      <c r="C533" s="1" t="n">
        <v>45971</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9489-2023</t>
        </is>
      </c>
      <c r="B534" s="1" t="n">
        <v>44981</v>
      </c>
      <c r="C534" s="1" t="n">
        <v>45971</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54950-2022</t>
        </is>
      </c>
      <c r="B535" s="1" t="n">
        <v>44886</v>
      </c>
      <c r="C535" s="1" t="n">
        <v>45971</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15164-2023</t>
        </is>
      </c>
      <c r="B536" s="1" t="n">
        <v>45016.59475694445</v>
      </c>
      <c r="C536" s="1" t="n">
        <v>45971</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36642-2021</t>
        </is>
      </c>
      <c r="B537" s="1" t="n">
        <v>44392</v>
      </c>
      <c r="C537" s="1" t="n">
        <v>45971</v>
      </c>
      <c r="D537" t="inlineStr">
        <is>
          <t>VÄRMLANDS LÄN</t>
        </is>
      </c>
      <c r="E537" t="inlineStr">
        <is>
          <t>ÅRJÄNG</t>
        </is>
      </c>
      <c r="G537" t="n">
        <v>6.1</v>
      </c>
      <c r="H537" t="n">
        <v>0</v>
      </c>
      <c r="I537" t="n">
        <v>0</v>
      </c>
      <c r="J537" t="n">
        <v>0</v>
      </c>
      <c r="K537" t="n">
        <v>0</v>
      </c>
      <c r="L537" t="n">
        <v>0</v>
      </c>
      <c r="M537" t="n">
        <v>0</v>
      </c>
      <c r="N537" t="n">
        <v>0</v>
      </c>
      <c r="O537" t="n">
        <v>0</v>
      </c>
      <c r="P537" t="n">
        <v>0</v>
      </c>
      <c r="Q537" t="n">
        <v>0</v>
      </c>
      <c r="R537" s="2" t="inlineStr"/>
    </row>
    <row r="538" ht="15" customHeight="1">
      <c r="A538" t="inlineStr">
        <is>
          <t>A 1717-2025</t>
        </is>
      </c>
      <c r="B538" s="1" t="n">
        <v>45671.32938657407</v>
      </c>
      <c r="C538" s="1" t="n">
        <v>45971</v>
      </c>
      <c r="D538" t="inlineStr">
        <is>
          <t>VÄRMLANDS LÄN</t>
        </is>
      </c>
      <c r="E538" t="inlineStr">
        <is>
          <t>ÅRJÄNG</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62240-2022</t>
        </is>
      </c>
      <c r="B539" s="1" t="n">
        <v>44922</v>
      </c>
      <c r="C539" s="1" t="n">
        <v>45971</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19245-2024</t>
        </is>
      </c>
      <c r="B540" s="1" t="n">
        <v>45428</v>
      </c>
      <c r="C540" s="1" t="n">
        <v>45971</v>
      </c>
      <c r="D540" t="inlineStr">
        <is>
          <t>VÄRMLANDS LÄN</t>
        </is>
      </c>
      <c r="E540" t="inlineStr">
        <is>
          <t>ÅRJÄNG</t>
        </is>
      </c>
      <c r="F540" t="inlineStr">
        <is>
          <t>Bergvik skog väst AB</t>
        </is>
      </c>
      <c r="G540" t="n">
        <v>3</v>
      </c>
      <c r="H540" t="n">
        <v>0</v>
      </c>
      <c r="I540" t="n">
        <v>0</v>
      </c>
      <c r="J540" t="n">
        <v>0</v>
      </c>
      <c r="K540" t="n">
        <v>0</v>
      </c>
      <c r="L540" t="n">
        <v>0</v>
      </c>
      <c r="M540" t="n">
        <v>0</v>
      </c>
      <c r="N540" t="n">
        <v>0</v>
      </c>
      <c r="O540" t="n">
        <v>0</v>
      </c>
      <c r="P540" t="n">
        <v>0</v>
      </c>
      <c r="Q540" t="n">
        <v>0</v>
      </c>
      <c r="R540" s="2" t="inlineStr"/>
    </row>
    <row r="541" ht="15" customHeight="1">
      <c r="A541" t="inlineStr">
        <is>
          <t>A 61154-2021</t>
        </is>
      </c>
      <c r="B541" s="1" t="n">
        <v>44497</v>
      </c>
      <c r="C541" s="1" t="n">
        <v>45971</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39187-2024</t>
        </is>
      </c>
      <c r="B542" s="1" t="n">
        <v>45548.66915509259</v>
      </c>
      <c r="C542" s="1" t="n">
        <v>45971</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13871-2025</t>
        </is>
      </c>
      <c r="B543" s="1" t="n">
        <v>45737.58568287037</v>
      </c>
      <c r="C543" s="1" t="n">
        <v>45971</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24483-2024</t>
        </is>
      </c>
      <c r="B544" s="1" t="n">
        <v>45459</v>
      </c>
      <c r="C544" s="1" t="n">
        <v>45971</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2969-2022</t>
        </is>
      </c>
      <c r="B545" s="1" t="n">
        <v>44581.70811342593</v>
      </c>
      <c r="C545" s="1" t="n">
        <v>45971</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24273-2023</t>
        </is>
      </c>
      <c r="B546" s="1" t="n">
        <v>45079.6764699074</v>
      </c>
      <c r="C546" s="1" t="n">
        <v>45971</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56940-2024</t>
        </is>
      </c>
      <c r="B547" s="1" t="n">
        <v>45628.61755787037</v>
      </c>
      <c r="C547" s="1" t="n">
        <v>45971</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45971</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45971</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45971</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36282-2024</t>
        </is>
      </c>
      <c r="B551" s="1" t="n">
        <v>45534.5887962963</v>
      </c>
      <c r="C551" s="1" t="n">
        <v>45971</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36344-2023</t>
        </is>
      </c>
      <c r="B552" s="1" t="n">
        <v>45152</v>
      </c>
      <c r="C552" s="1" t="n">
        <v>45971</v>
      </c>
      <c r="D552" t="inlineStr">
        <is>
          <t>VÄRMLANDS LÄN</t>
        </is>
      </c>
      <c r="E552" t="inlineStr">
        <is>
          <t>ÅRJÄNG</t>
        </is>
      </c>
      <c r="G552" t="n">
        <v>7.7</v>
      </c>
      <c r="H552" t="n">
        <v>0</v>
      </c>
      <c r="I552" t="n">
        <v>0</v>
      </c>
      <c r="J552" t="n">
        <v>0</v>
      </c>
      <c r="K552" t="n">
        <v>0</v>
      </c>
      <c r="L552" t="n">
        <v>0</v>
      </c>
      <c r="M552" t="n">
        <v>0</v>
      </c>
      <c r="N552" t="n">
        <v>0</v>
      </c>
      <c r="O552" t="n">
        <v>0</v>
      </c>
      <c r="P552" t="n">
        <v>0</v>
      </c>
      <c r="Q552" t="n">
        <v>0</v>
      </c>
      <c r="R552" s="2" t="inlineStr"/>
    </row>
    <row r="553" ht="15" customHeight="1">
      <c r="A553" t="inlineStr">
        <is>
          <t>A 23904-2023</t>
        </is>
      </c>
      <c r="B553" s="1" t="n">
        <v>45078.55413194445</v>
      </c>
      <c r="C553" s="1" t="n">
        <v>45971</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21177-2023</t>
        </is>
      </c>
      <c r="B554" s="1" t="n">
        <v>45062</v>
      </c>
      <c r="C554" s="1" t="n">
        <v>45971</v>
      </c>
      <c r="D554" t="inlineStr">
        <is>
          <t>VÄRMLANDS LÄN</t>
        </is>
      </c>
      <c r="E554" t="inlineStr">
        <is>
          <t>ÅRJÄNG</t>
        </is>
      </c>
      <c r="G554" t="n">
        <v>0.7</v>
      </c>
      <c r="H554" t="n">
        <v>0</v>
      </c>
      <c r="I554" t="n">
        <v>0</v>
      </c>
      <c r="J554" t="n">
        <v>0</v>
      </c>
      <c r="K554" t="n">
        <v>0</v>
      </c>
      <c r="L554" t="n">
        <v>0</v>
      </c>
      <c r="M554" t="n">
        <v>0</v>
      </c>
      <c r="N554" t="n">
        <v>0</v>
      </c>
      <c r="O554" t="n">
        <v>0</v>
      </c>
      <c r="P554" t="n">
        <v>0</v>
      </c>
      <c r="Q554" t="n">
        <v>0</v>
      </c>
      <c r="R554" s="2" t="inlineStr"/>
    </row>
    <row r="555" ht="15" customHeight="1">
      <c r="A555" t="inlineStr">
        <is>
          <t>A 46317-2024</t>
        </is>
      </c>
      <c r="B555" s="1" t="n">
        <v>45581.74462962963</v>
      </c>
      <c r="C555" s="1" t="n">
        <v>45971</v>
      </c>
      <c r="D555" t="inlineStr">
        <is>
          <t>VÄRMLANDS LÄN</t>
        </is>
      </c>
      <c r="E555" t="inlineStr">
        <is>
          <t>ÅRJÄNG</t>
        </is>
      </c>
      <c r="G555" t="n">
        <v>3.5</v>
      </c>
      <c r="H555" t="n">
        <v>0</v>
      </c>
      <c r="I555" t="n">
        <v>0</v>
      </c>
      <c r="J555" t="n">
        <v>0</v>
      </c>
      <c r="K555" t="n">
        <v>0</v>
      </c>
      <c r="L555" t="n">
        <v>0</v>
      </c>
      <c r="M555" t="n">
        <v>0</v>
      </c>
      <c r="N555" t="n">
        <v>0</v>
      </c>
      <c r="O555" t="n">
        <v>0</v>
      </c>
      <c r="P555" t="n">
        <v>0</v>
      </c>
      <c r="Q555" t="n">
        <v>0</v>
      </c>
      <c r="R555" s="2" t="inlineStr"/>
    </row>
    <row r="556" ht="15" customHeight="1">
      <c r="A556" t="inlineStr">
        <is>
          <t>A 61545-2024</t>
        </is>
      </c>
      <c r="B556" s="1" t="n">
        <v>45646.59966435185</v>
      </c>
      <c r="C556" s="1" t="n">
        <v>45971</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47112-2025</t>
        </is>
      </c>
      <c r="B557" s="1" t="n">
        <v>45929.66966435185</v>
      </c>
      <c r="C557" s="1" t="n">
        <v>45971</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59746-2023</t>
        </is>
      </c>
      <c r="B558" s="1" t="n">
        <v>45254</v>
      </c>
      <c r="C558" s="1" t="n">
        <v>45971</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56566-2022</t>
        </is>
      </c>
      <c r="B559" s="1" t="n">
        <v>44893.50795138889</v>
      </c>
      <c r="C559" s="1" t="n">
        <v>45971</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37347-2024</t>
        </is>
      </c>
      <c r="B560" s="1" t="n">
        <v>45540</v>
      </c>
      <c r="C560" s="1" t="n">
        <v>45971</v>
      </c>
      <c r="D560" t="inlineStr">
        <is>
          <t>VÄRMLANDS LÄN</t>
        </is>
      </c>
      <c r="E560" t="inlineStr">
        <is>
          <t>ÅRJÄNG</t>
        </is>
      </c>
      <c r="G560" t="n">
        <v>1.9</v>
      </c>
      <c r="H560" t="n">
        <v>0</v>
      </c>
      <c r="I560" t="n">
        <v>0</v>
      </c>
      <c r="J560" t="n">
        <v>0</v>
      </c>
      <c r="K560" t="n">
        <v>0</v>
      </c>
      <c r="L560" t="n">
        <v>0</v>
      </c>
      <c r="M560" t="n">
        <v>0</v>
      </c>
      <c r="N560" t="n">
        <v>0</v>
      </c>
      <c r="O560" t="n">
        <v>0</v>
      </c>
      <c r="P560" t="n">
        <v>0</v>
      </c>
      <c r="Q560" t="n">
        <v>0</v>
      </c>
      <c r="R560" s="2" t="inlineStr"/>
    </row>
    <row r="561" ht="15" customHeight="1">
      <c r="A561" t="inlineStr">
        <is>
          <t>A 34172-2024</t>
        </is>
      </c>
      <c r="B561" s="1" t="n">
        <v>45524</v>
      </c>
      <c r="C561" s="1" t="n">
        <v>45971</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7700-2023</t>
        </is>
      </c>
      <c r="B562" s="1" t="n">
        <v>44967</v>
      </c>
      <c r="C562" s="1" t="n">
        <v>45971</v>
      </c>
      <c r="D562" t="inlineStr">
        <is>
          <t>VÄRMLANDS LÄN</t>
        </is>
      </c>
      <c r="E562" t="inlineStr">
        <is>
          <t>ÅRJÄNG</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36862-2025</t>
        </is>
      </c>
      <c r="B563" s="1" t="n">
        <v>45874</v>
      </c>
      <c r="C563" s="1" t="n">
        <v>45971</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37356-2024</t>
        </is>
      </c>
      <c r="B564" s="1" t="n">
        <v>45540</v>
      </c>
      <c r="C564" s="1" t="n">
        <v>45971</v>
      </c>
      <c r="D564" t="inlineStr">
        <is>
          <t>VÄRMLANDS LÄN</t>
        </is>
      </c>
      <c r="E564" t="inlineStr">
        <is>
          <t>ÅRJÄNG</t>
        </is>
      </c>
      <c r="G564" t="n">
        <v>3.4</v>
      </c>
      <c r="H564" t="n">
        <v>0</v>
      </c>
      <c r="I564" t="n">
        <v>0</v>
      </c>
      <c r="J564" t="n">
        <v>0</v>
      </c>
      <c r="K564" t="n">
        <v>0</v>
      </c>
      <c r="L564" t="n">
        <v>0</v>
      </c>
      <c r="M564" t="n">
        <v>0</v>
      </c>
      <c r="N564" t="n">
        <v>0</v>
      </c>
      <c r="O564" t="n">
        <v>0</v>
      </c>
      <c r="P564" t="n">
        <v>0</v>
      </c>
      <c r="Q564" t="n">
        <v>0</v>
      </c>
      <c r="R564" s="2" t="inlineStr"/>
    </row>
    <row r="565" ht="15" customHeight="1">
      <c r="A565" t="inlineStr">
        <is>
          <t>A 55091-2023</t>
        </is>
      </c>
      <c r="B565" s="1" t="n">
        <v>45237</v>
      </c>
      <c r="C565" s="1" t="n">
        <v>45971</v>
      </c>
      <c r="D565" t="inlineStr">
        <is>
          <t>VÄRMLANDS LÄN</t>
        </is>
      </c>
      <c r="E565" t="inlineStr">
        <is>
          <t>ÅRJÄNG</t>
        </is>
      </c>
      <c r="G565" t="n">
        <v>3.8</v>
      </c>
      <c r="H565" t="n">
        <v>0</v>
      </c>
      <c r="I565" t="n">
        <v>0</v>
      </c>
      <c r="J565" t="n">
        <v>0</v>
      </c>
      <c r="K565" t="n">
        <v>0</v>
      </c>
      <c r="L565" t="n">
        <v>0</v>
      </c>
      <c r="M565" t="n">
        <v>0</v>
      </c>
      <c r="N565" t="n">
        <v>0</v>
      </c>
      <c r="O565" t="n">
        <v>0</v>
      </c>
      <c r="P565" t="n">
        <v>0</v>
      </c>
      <c r="Q565" t="n">
        <v>0</v>
      </c>
      <c r="R565" s="2" t="inlineStr"/>
    </row>
    <row r="566" ht="15" customHeight="1">
      <c r="A566" t="inlineStr">
        <is>
          <t>A 9425-2025</t>
        </is>
      </c>
      <c r="B566" s="1" t="n">
        <v>45715.40350694444</v>
      </c>
      <c r="C566" s="1" t="n">
        <v>45971</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46023-2025</t>
        </is>
      </c>
      <c r="B567" s="1" t="n">
        <v>45924</v>
      </c>
      <c r="C567" s="1" t="n">
        <v>45971</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55517-2023</t>
        </is>
      </c>
      <c r="B568" s="1" t="n">
        <v>45232</v>
      </c>
      <c r="C568" s="1" t="n">
        <v>45971</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1580-2025</t>
        </is>
      </c>
      <c r="B569" s="1" t="n">
        <v>45670</v>
      </c>
      <c r="C569" s="1" t="n">
        <v>45971</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39557-2023</t>
        </is>
      </c>
      <c r="B570" s="1" t="n">
        <v>45167.38633101852</v>
      </c>
      <c r="C570" s="1" t="n">
        <v>45971</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32950-2024</t>
        </is>
      </c>
      <c r="B571" s="1" t="n">
        <v>45517.36038194445</v>
      </c>
      <c r="C571" s="1" t="n">
        <v>45971</v>
      </c>
      <c r="D571" t="inlineStr">
        <is>
          <t>VÄRMLANDS LÄN</t>
        </is>
      </c>
      <c r="E571" t="inlineStr">
        <is>
          <t>ÅRJÄNG</t>
        </is>
      </c>
      <c r="G571" t="n">
        <v>1</v>
      </c>
      <c r="H571" t="n">
        <v>0</v>
      </c>
      <c r="I571" t="n">
        <v>0</v>
      </c>
      <c r="J571" t="n">
        <v>0</v>
      </c>
      <c r="K571" t="n">
        <v>0</v>
      </c>
      <c r="L571" t="n">
        <v>0</v>
      </c>
      <c r="M571" t="n">
        <v>0</v>
      </c>
      <c r="N571" t="n">
        <v>0</v>
      </c>
      <c r="O571" t="n">
        <v>0</v>
      </c>
      <c r="P571" t="n">
        <v>0</v>
      </c>
      <c r="Q571" t="n">
        <v>0</v>
      </c>
      <c r="R571" s="2" t="inlineStr"/>
    </row>
    <row r="572" ht="15" customHeight="1">
      <c r="A572" t="inlineStr">
        <is>
          <t>A 39369-2025</t>
        </is>
      </c>
      <c r="B572" s="1" t="n">
        <v>45889.57848379629</v>
      </c>
      <c r="C572" s="1" t="n">
        <v>45971</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2551-2025</t>
        </is>
      </c>
      <c r="B573" s="1" t="n">
        <v>45674.63969907408</v>
      </c>
      <c r="C573" s="1" t="n">
        <v>45971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3848-2025</t>
        </is>
      </c>
      <c r="B574" s="1" t="n">
        <v>45683</v>
      </c>
      <c r="C574" s="1" t="n">
        <v>45971</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47833-2023</t>
        </is>
      </c>
      <c r="B575" s="1" t="n">
        <v>45204.36287037037</v>
      </c>
      <c r="C575" s="1" t="n">
        <v>45971</v>
      </c>
      <c r="D575" t="inlineStr">
        <is>
          <t>VÄRMLANDS LÄN</t>
        </is>
      </c>
      <c r="E575" t="inlineStr">
        <is>
          <t>ÅRJÄNG</t>
        </is>
      </c>
      <c r="G575" t="n">
        <v>4.4</v>
      </c>
      <c r="H575" t="n">
        <v>0</v>
      </c>
      <c r="I575" t="n">
        <v>0</v>
      </c>
      <c r="J575" t="n">
        <v>0</v>
      </c>
      <c r="K575" t="n">
        <v>0</v>
      </c>
      <c r="L575" t="n">
        <v>0</v>
      </c>
      <c r="M575" t="n">
        <v>0</v>
      </c>
      <c r="N575" t="n">
        <v>0</v>
      </c>
      <c r="O575" t="n">
        <v>0</v>
      </c>
      <c r="P575" t="n">
        <v>0</v>
      </c>
      <c r="Q575" t="n">
        <v>0</v>
      </c>
      <c r="R575" s="2" t="inlineStr"/>
    </row>
    <row r="576" ht="15" customHeight="1">
      <c r="A576" t="inlineStr">
        <is>
          <t>A 47572-2025</t>
        </is>
      </c>
      <c r="B576" s="1" t="n">
        <v>45931.39658564814</v>
      </c>
      <c r="C576" s="1" t="n">
        <v>45971</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47604-2025</t>
        </is>
      </c>
      <c r="B577" s="1" t="n">
        <v>45931.46254629629</v>
      </c>
      <c r="C577" s="1" t="n">
        <v>45971</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39578-2025</t>
        </is>
      </c>
      <c r="B578" s="1" t="n">
        <v>45890.49292824074</v>
      </c>
      <c r="C578" s="1" t="n">
        <v>45971</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47695-2025</t>
        </is>
      </c>
      <c r="B579" s="1" t="n">
        <v>45931.59943287037</v>
      </c>
      <c r="C579" s="1" t="n">
        <v>45971</v>
      </c>
      <c r="D579" t="inlineStr">
        <is>
          <t>VÄRMLANDS LÄN</t>
        </is>
      </c>
      <c r="E579" t="inlineStr">
        <is>
          <t>ÅRJÄNG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40352-2023</t>
        </is>
      </c>
      <c r="B580" s="1" t="n">
        <v>45168</v>
      </c>
      <c r="C580" s="1" t="n">
        <v>45971</v>
      </c>
      <c r="D580" t="inlineStr">
        <is>
          <t>VÄRMLANDS LÄN</t>
        </is>
      </c>
      <c r="E580" t="inlineStr">
        <is>
          <t>ÅRJÄNG</t>
        </is>
      </c>
      <c r="G580" t="n">
        <v>3.4</v>
      </c>
      <c r="H580" t="n">
        <v>0</v>
      </c>
      <c r="I580" t="n">
        <v>0</v>
      </c>
      <c r="J580" t="n">
        <v>0</v>
      </c>
      <c r="K580" t="n">
        <v>0</v>
      </c>
      <c r="L580" t="n">
        <v>0</v>
      </c>
      <c r="M580" t="n">
        <v>0</v>
      </c>
      <c r="N580" t="n">
        <v>0</v>
      </c>
      <c r="O580" t="n">
        <v>0</v>
      </c>
      <c r="P580" t="n">
        <v>0</v>
      </c>
      <c r="Q580" t="n">
        <v>0</v>
      </c>
      <c r="R580" s="2" t="inlineStr"/>
    </row>
    <row r="581" ht="15" customHeight="1">
      <c r="A581" t="inlineStr">
        <is>
          <t>A 68328-2021</t>
        </is>
      </c>
      <c r="B581" s="1" t="n">
        <v>44527.35875</v>
      </c>
      <c r="C581" s="1" t="n">
        <v>45971</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15210-2025</t>
        </is>
      </c>
      <c r="B582" s="1" t="n">
        <v>45744</v>
      </c>
      <c r="C582" s="1" t="n">
        <v>45971</v>
      </c>
      <c r="D582" t="inlineStr">
        <is>
          <t>VÄRMLANDS LÄN</t>
        </is>
      </c>
      <c r="E582" t="inlineStr">
        <is>
          <t>ÅRJÄNG</t>
        </is>
      </c>
      <c r="G582" t="n">
        <v>2.7</v>
      </c>
      <c r="H582" t="n">
        <v>0</v>
      </c>
      <c r="I582" t="n">
        <v>0</v>
      </c>
      <c r="J582" t="n">
        <v>0</v>
      </c>
      <c r="K582" t="n">
        <v>0</v>
      </c>
      <c r="L582" t="n">
        <v>0</v>
      </c>
      <c r="M582" t="n">
        <v>0</v>
      </c>
      <c r="N582" t="n">
        <v>0</v>
      </c>
      <c r="O582" t="n">
        <v>0</v>
      </c>
      <c r="P582" t="n">
        <v>0</v>
      </c>
      <c r="Q582" t="n">
        <v>0</v>
      </c>
      <c r="R582" s="2" t="inlineStr"/>
    </row>
    <row r="583" ht="15" customHeight="1">
      <c r="A583" t="inlineStr">
        <is>
          <t>A 52741-2024</t>
        </is>
      </c>
      <c r="B583" s="1" t="n">
        <v>45610</v>
      </c>
      <c r="C583" s="1" t="n">
        <v>45971</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44934-2024</t>
        </is>
      </c>
      <c r="B584" s="1" t="n">
        <v>45575</v>
      </c>
      <c r="C584" s="1" t="n">
        <v>45971</v>
      </c>
      <c r="D584" t="inlineStr">
        <is>
          <t>VÄRMLANDS LÄN</t>
        </is>
      </c>
      <c r="E584" t="inlineStr">
        <is>
          <t>ÅRJÄNG</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55167-2024</t>
        </is>
      </c>
      <c r="B585" s="1" t="n">
        <v>45621</v>
      </c>
      <c r="C585" s="1" t="n">
        <v>45971</v>
      </c>
      <c r="D585" t="inlineStr">
        <is>
          <t>VÄRMLANDS LÄN</t>
        </is>
      </c>
      <c r="E585" t="inlineStr">
        <is>
          <t>ÅRJÄNG</t>
        </is>
      </c>
      <c r="F585" t="inlineStr">
        <is>
          <t>Bergvik skog väst AB</t>
        </is>
      </c>
      <c r="G585" t="n">
        <v>7.9</v>
      </c>
      <c r="H585" t="n">
        <v>0</v>
      </c>
      <c r="I585" t="n">
        <v>0</v>
      </c>
      <c r="J585" t="n">
        <v>0</v>
      </c>
      <c r="K585" t="n">
        <v>0</v>
      </c>
      <c r="L585" t="n">
        <v>0</v>
      </c>
      <c r="M585" t="n">
        <v>0</v>
      </c>
      <c r="N585" t="n">
        <v>0</v>
      </c>
      <c r="O585" t="n">
        <v>0</v>
      </c>
      <c r="P585" t="n">
        <v>0</v>
      </c>
      <c r="Q585" t="n">
        <v>0</v>
      </c>
      <c r="R585" s="2" t="inlineStr"/>
    </row>
    <row r="586" ht="15" customHeight="1">
      <c r="A586" t="inlineStr">
        <is>
          <t>A 33017-2022</t>
        </is>
      </c>
      <c r="B586" s="1" t="n">
        <v>44785.32934027778</v>
      </c>
      <c r="C586" s="1" t="n">
        <v>45971</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16112-2025</t>
        </is>
      </c>
      <c r="B587" s="1" t="n">
        <v>45750.37240740741</v>
      </c>
      <c r="C587" s="1" t="n">
        <v>45971</v>
      </c>
      <c r="D587" t="inlineStr">
        <is>
          <t>VÄRMLANDS LÄN</t>
        </is>
      </c>
      <c r="E587" t="inlineStr">
        <is>
          <t>ÅRJÄNG</t>
        </is>
      </c>
      <c r="G587" t="n">
        <v>0.7</v>
      </c>
      <c r="H587" t="n">
        <v>0</v>
      </c>
      <c r="I587" t="n">
        <v>0</v>
      </c>
      <c r="J587" t="n">
        <v>0</v>
      </c>
      <c r="K587" t="n">
        <v>0</v>
      </c>
      <c r="L587" t="n">
        <v>0</v>
      </c>
      <c r="M587" t="n">
        <v>0</v>
      </c>
      <c r="N587" t="n">
        <v>0</v>
      </c>
      <c r="O587" t="n">
        <v>0</v>
      </c>
      <c r="P587" t="n">
        <v>0</v>
      </c>
      <c r="Q587" t="n">
        <v>0</v>
      </c>
      <c r="R587" s="2" t="inlineStr"/>
    </row>
    <row r="588" ht="15" customHeight="1">
      <c r="A588" t="inlineStr">
        <is>
          <t>A 43794-2024</t>
        </is>
      </c>
      <c r="B588" s="1" t="n">
        <v>45571.53519675926</v>
      </c>
      <c r="C588" s="1" t="n">
        <v>45971</v>
      </c>
      <c r="D588" t="inlineStr">
        <is>
          <t>VÄRMLANDS LÄN</t>
        </is>
      </c>
      <c r="E588" t="inlineStr">
        <is>
          <t>ÅRJÄNG</t>
        </is>
      </c>
      <c r="G588" t="n">
        <v>0.6</v>
      </c>
      <c r="H588" t="n">
        <v>0</v>
      </c>
      <c r="I588" t="n">
        <v>0</v>
      </c>
      <c r="J588" t="n">
        <v>0</v>
      </c>
      <c r="K588" t="n">
        <v>0</v>
      </c>
      <c r="L588" t="n">
        <v>0</v>
      </c>
      <c r="M588" t="n">
        <v>0</v>
      </c>
      <c r="N588" t="n">
        <v>0</v>
      </c>
      <c r="O588" t="n">
        <v>0</v>
      </c>
      <c r="P588" t="n">
        <v>0</v>
      </c>
      <c r="Q588" t="n">
        <v>0</v>
      </c>
      <c r="R588" s="2" t="inlineStr"/>
    </row>
    <row r="589" ht="15" customHeight="1">
      <c r="A589" t="inlineStr">
        <is>
          <t>A 16383-2022</t>
        </is>
      </c>
      <c r="B589" s="1" t="n">
        <v>44671</v>
      </c>
      <c r="C589" s="1" t="n">
        <v>45971</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13620-2023</t>
        </is>
      </c>
      <c r="B590" s="1" t="n">
        <v>45006</v>
      </c>
      <c r="C590" s="1" t="n">
        <v>45971</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33738-2021</t>
        </is>
      </c>
      <c r="B591" s="1" t="n">
        <v>44378.48505787037</v>
      </c>
      <c r="C591" s="1" t="n">
        <v>45971</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5095-2023</t>
        </is>
      </c>
      <c r="B592" s="1" t="n">
        <v>44953</v>
      </c>
      <c r="C592" s="1" t="n">
        <v>45971</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38065-2024</t>
        </is>
      </c>
      <c r="B593" s="1" t="n">
        <v>45544.8249537037</v>
      </c>
      <c r="C593" s="1" t="n">
        <v>45971</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16666-2025</t>
        </is>
      </c>
      <c r="B594" s="1" t="n">
        <v>45754</v>
      </c>
      <c r="C594" s="1" t="n">
        <v>45971</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16806-2024</t>
        </is>
      </c>
      <c r="B595" s="1" t="n">
        <v>45411.45510416666</v>
      </c>
      <c r="C595" s="1" t="n">
        <v>45971</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37325-2024</t>
        </is>
      </c>
      <c r="B596" s="1" t="n">
        <v>45540</v>
      </c>
      <c r="C596" s="1" t="n">
        <v>45971</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12659-2025</t>
        </is>
      </c>
      <c r="B597" s="1" t="n">
        <v>45733.42350694445</v>
      </c>
      <c r="C597" s="1" t="n">
        <v>45971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9749-2024</t>
        </is>
      </c>
      <c r="B598" s="1" t="n">
        <v>45362</v>
      </c>
      <c r="C598" s="1" t="n">
        <v>45971</v>
      </c>
      <c r="D598" t="inlineStr">
        <is>
          <t>VÄRMLANDS LÄN</t>
        </is>
      </c>
      <c r="E598" t="inlineStr">
        <is>
          <t>ÅRJÄNG</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58788-2024</t>
        </is>
      </c>
      <c r="B599" s="1" t="n">
        <v>45635.96372685185</v>
      </c>
      <c r="C599" s="1" t="n">
        <v>45971</v>
      </c>
      <c r="D599" t="inlineStr">
        <is>
          <t>VÄRMLANDS LÄN</t>
        </is>
      </c>
      <c r="E599" t="inlineStr">
        <is>
          <t>ÅRJÄNG</t>
        </is>
      </c>
      <c r="G599" t="n">
        <v>12.4</v>
      </c>
      <c r="H599" t="n">
        <v>0</v>
      </c>
      <c r="I599" t="n">
        <v>0</v>
      </c>
      <c r="J599" t="n">
        <v>0</v>
      </c>
      <c r="K599" t="n">
        <v>0</v>
      </c>
      <c r="L599" t="n">
        <v>0</v>
      </c>
      <c r="M599" t="n">
        <v>0</v>
      </c>
      <c r="N599" t="n">
        <v>0</v>
      </c>
      <c r="O599" t="n">
        <v>0</v>
      </c>
      <c r="P599" t="n">
        <v>0</v>
      </c>
      <c r="Q599" t="n">
        <v>0</v>
      </c>
      <c r="R599" s="2" t="inlineStr"/>
    </row>
    <row r="600" ht="15" customHeight="1">
      <c r="A600" t="inlineStr">
        <is>
          <t>A 8614-2023</t>
        </is>
      </c>
      <c r="B600" s="1" t="n">
        <v>44977</v>
      </c>
      <c r="C600" s="1" t="n">
        <v>45971</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60377-2023</t>
        </is>
      </c>
      <c r="B601" s="1" t="n">
        <v>45259.40993055556</v>
      </c>
      <c r="C601" s="1" t="n">
        <v>45971</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1571-2025</t>
        </is>
      </c>
      <c r="B602" s="1" t="n">
        <v>45670.55496527778</v>
      </c>
      <c r="C602" s="1" t="n">
        <v>45971</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23334-2023</t>
        </is>
      </c>
      <c r="B603" s="1" t="n">
        <v>45076</v>
      </c>
      <c r="C603" s="1" t="n">
        <v>45971</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61873-2023</t>
        </is>
      </c>
      <c r="B604" s="1" t="n">
        <v>45266.40989583333</v>
      </c>
      <c r="C604" s="1" t="n">
        <v>45971</v>
      </c>
      <c r="D604" t="inlineStr">
        <is>
          <t>VÄRMLANDS LÄN</t>
        </is>
      </c>
      <c r="E604" t="inlineStr">
        <is>
          <t>ÅRJÄNG</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40458-2023</t>
        </is>
      </c>
      <c r="B605" s="1" t="n">
        <v>45170.32993055556</v>
      </c>
      <c r="C605" s="1" t="n">
        <v>45971</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37353-2024</t>
        </is>
      </c>
      <c r="B606" s="1" t="n">
        <v>45540</v>
      </c>
      <c r="C606" s="1" t="n">
        <v>45971</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16010-2024</t>
        </is>
      </c>
      <c r="B607" s="1" t="n">
        <v>45405</v>
      </c>
      <c r="C607" s="1" t="n">
        <v>45971</v>
      </c>
      <c r="D607" t="inlineStr">
        <is>
          <t>VÄRMLANDS LÄN</t>
        </is>
      </c>
      <c r="E607" t="inlineStr">
        <is>
          <t>ÅRJÄNG</t>
        </is>
      </c>
      <c r="G607" t="n">
        <v>4.6</v>
      </c>
      <c r="H607" t="n">
        <v>0</v>
      </c>
      <c r="I607" t="n">
        <v>0</v>
      </c>
      <c r="J607" t="n">
        <v>0</v>
      </c>
      <c r="K607" t="n">
        <v>0</v>
      </c>
      <c r="L607" t="n">
        <v>0</v>
      </c>
      <c r="M607" t="n">
        <v>0</v>
      </c>
      <c r="N607" t="n">
        <v>0</v>
      </c>
      <c r="O607" t="n">
        <v>0</v>
      </c>
      <c r="P607" t="n">
        <v>0</v>
      </c>
      <c r="Q607" t="n">
        <v>0</v>
      </c>
      <c r="R607" s="2" t="inlineStr"/>
    </row>
    <row r="608" ht="15" customHeight="1">
      <c r="A608" t="inlineStr">
        <is>
          <t>A 62966-2023</t>
        </is>
      </c>
      <c r="B608" s="1" t="n">
        <v>45272.57006944445</v>
      </c>
      <c r="C608" s="1" t="n">
        <v>45971</v>
      </c>
      <c r="D608" t="inlineStr">
        <is>
          <t>VÄRMLANDS LÄN</t>
        </is>
      </c>
      <c r="E608" t="inlineStr">
        <is>
          <t>ÅRJÄNG</t>
        </is>
      </c>
      <c r="G608" t="n">
        <v>4.5</v>
      </c>
      <c r="H608" t="n">
        <v>0</v>
      </c>
      <c r="I608" t="n">
        <v>0</v>
      </c>
      <c r="J608" t="n">
        <v>0</v>
      </c>
      <c r="K608" t="n">
        <v>0</v>
      </c>
      <c r="L608" t="n">
        <v>0</v>
      </c>
      <c r="M608" t="n">
        <v>0</v>
      </c>
      <c r="N608" t="n">
        <v>0</v>
      </c>
      <c r="O608" t="n">
        <v>0</v>
      </c>
      <c r="P608" t="n">
        <v>0</v>
      </c>
      <c r="Q608" t="n">
        <v>0</v>
      </c>
      <c r="R608" s="2" t="inlineStr"/>
    </row>
    <row r="609" ht="15" customHeight="1">
      <c r="A609" t="inlineStr">
        <is>
          <t>A 54425-2021</t>
        </is>
      </c>
      <c r="B609" s="1" t="n">
        <v>44459</v>
      </c>
      <c r="C609" s="1" t="n">
        <v>45971</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12687-2025</t>
        </is>
      </c>
      <c r="B610" s="1" t="n">
        <v>45733.44953703704</v>
      </c>
      <c r="C610" s="1" t="n">
        <v>45971</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28260-2024</t>
        </is>
      </c>
      <c r="B611" s="1" t="n">
        <v>45477</v>
      </c>
      <c r="C611" s="1" t="n">
        <v>45971</v>
      </c>
      <c r="D611" t="inlineStr">
        <is>
          <t>VÄRMLANDS LÄN</t>
        </is>
      </c>
      <c r="E611" t="inlineStr">
        <is>
          <t>ÅRJÄNG</t>
        </is>
      </c>
      <c r="G611" t="n">
        <v>2.4</v>
      </c>
      <c r="H611" t="n">
        <v>0</v>
      </c>
      <c r="I611" t="n">
        <v>0</v>
      </c>
      <c r="J611" t="n">
        <v>0</v>
      </c>
      <c r="K611" t="n">
        <v>0</v>
      </c>
      <c r="L611" t="n">
        <v>0</v>
      </c>
      <c r="M611" t="n">
        <v>0</v>
      </c>
      <c r="N611" t="n">
        <v>0</v>
      </c>
      <c r="O611" t="n">
        <v>0</v>
      </c>
      <c r="P611" t="n">
        <v>0</v>
      </c>
      <c r="Q611" t="n">
        <v>0</v>
      </c>
      <c r="R611" s="2" t="inlineStr"/>
    </row>
    <row r="612" ht="15" customHeight="1">
      <c r="A612" t="inlineStr">
        <is>
          <t>A 1560-2025</t>
        </is>
      </c>
      <c r="B612" s="1" t="n">
        <v>45670.53878472222</v>
      </c>
      <c r="C612" s="1" t="n">
        <v>45971</v>
      </c>
      <c r="D612" t="inlineStr">
        <is>
          <t>VÄRMLANDS LÄN</t>
        </is>
      </c>
      <c r="E612" t="inlineStr">
        <is>
          <t>ÅRJÄNG</t>
        </is>
      </c>
      <c r="G612" t="n">
        <v>2.7</v>
      </c>
      <c r="H612" t="n">
        <v>0</v>
      </c>
      <c r="I612" t="n">
        <v>0</v>
      </c>
      <c r="J612" t="n">
        <v>0</v>
      </c>
      <c r="K612" t="n">
        <v>0</v>
      </c>
      <c r="L612" t="n">
        <v>0</v>
      </c>
      <c r="M612" t="n">
        <v>0</v>
      </c>
      <c r="N612" t="n">
        <v>0</v>
      </c>
      <c r="O612" t="n">
        <v>0</v>
      </c>
      <c r="P612" t="n">
        <v>0</v>
      </c>
      <c r="Q612" t="n">
        <v>0</v>
      </c>
      <c r="R612" s="2" t="inlineStr"/>
    </row>
    <row r="613" ht="15" customHeight="1">
      <c r="A613" t="inlineStr">
        <is>
          <t>A 1200-2023</t>
        </is>
      </c>
      <c r="B613" s="1" t="n">
        <v>44935</v>
      </c>
      <c r="C613" s="1" t="n">
        <v>45971</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30710-2023</t>
        </is>
      </c>
      <c r="B614" s="1" t="n">
        <v>45112.59900462963</v>
      </c>
      <c r="C614" s="1" t="n">
        <v>45971</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8255-2025</t>
        </is>
      </c>
      <c r="B615" s="1" t="n">
        <v>45708.49788194444</v>
      </c>
      <c r="C615" s="1" t="n">
        <v>45971</v>
      </c>
      <c r="D615" t="inlineStr">
        <is>
          <t>VÄRMLANDS LÄN</t>
        </is>
      </c>
      <c r="E615" t="inlineStr">
        <is>
          <t>ÅRJÄNG</t>
        </is>
      </c>
      <c r="G615" t="n">
        <v>4</v>
      </c>
      <c r="H615" t="n">
        <v>0</v>
      </c>
      <c r="I615" t="n">
        <v>0</v>
      </c>
      <c r="J615" t="n">
        <v>0</v>
      </c>
      <c r="K615" t="n">
        <v>0</v>
      </c>
      <c r="L615" t="n">
        <v>0</v>
      </c>
      <c r="M615" t="n">
        <v>0</v>
      </c>
      <c r="N615" t="n">
        <v>0</v>
      </c>
      <c r="O615" t="n">
        <v>0</v>
      </c>
      <c r="P615" t="n">
        <v>0</v>
      </c>
      <c r="Q615" t="n">
        <v>0</v>
      </c>
      <c r="R615" s="2" t="inlineStr"/>
    </row>
    <row r="616" ht="15" customHeight="1">
      <c r="A616" t="inlineStr">
        <is>
          <t>A 40628-2024</t>
        </is>
      </c>
      <c r="B616" s="1" t="n">
        <v>45557.61668981481</v>
      </c>
      <c r="C616" s="1" t="n">
        <v>45971</v>
      </c>
      <c r="D616" t="inlineStr">
        <is>
          <t>VÄRMLANDS LÄN</t>
        </is>
      </c>
      <c r="E616" t="inlineStr">
        <is>
          <t>ÅRJÄNG</t>
        </is>
      </c>
      <c r="G616" t="n">
        <v>3.3</v>
      </c>
      <c r="H616" t="n">
        <v>0</v>
      </c>
      <c r="I616" t="n">
        <v>0</v>
      </c>
      <c r="J616" t="n">
        <v>0</v>
      </c>
      <c r="K616" t="n">
        <v>0</v>
      </c>
      <c r="L616" t="n">
        <v>0</v>
      </c>
      <c r="M616" t="n">
        <v>0</v>
      </c>
      <c r="N616" t="n">
        <v>0</v>
      </c>
      <c r="O616" t="n">
        <v>0</v>
      </c>
      <c r="P616" t="n">
        <v>0</v>
      </c>
      <c r="Q616" t="n">
        <v>0</v>
      </c>
      <c r="R616" s="2" t="inlineStr"/>
    </row>
    <row r="617" ht="15" customHeight="1">
      <c r="A617" t="inlineStr">
        <is>
          <t>A 42783-2024</t>
        </is>
      </c>
      <c r="B617" s="1" t="n">
        <v>45566</v>
      </c>
      <c r="C617" s="1" t="n">
        <v>45971</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34409-2023</t>
        </is>
      </c>
      <c r="B618" s="1" t="n">
        <v>45139.56662037037</v>
      </c>
      <c r="C618" s="1" t="n">
        <v>45971</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45971</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5106-2023</t>
        </is>
      </c>
      <c r="B620" s="1" t="n">
        <v>44953</v>
      </c>
      <c r="C620" s="1" t="n">
        <v>45971</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15951-2025</t>
        </is>
      </c>
      <c r="B621" s="1" t="n">
        <v>45749</v>
      </c>
      <c r="C621" s="1" t="n">
        <v>45971</v>
      </c>
      <c r="D621" t="inlineStr">
        <is>
          <t>VÄRMLANDS LÄN</t>
        </is>
      </c>
      <c r="E621" t="inlineStr">
        <is>
          <t>ÅRJÄNG</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14710-2025</t>
        </is>
      </c>
      <c r="B622" s="1" t="n">
        <v>45742.60868055555</v>
      </c>
      <c r="C622" s="1" t="n">
        <v>45971</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15248-2025</t>
        </is>
      </c>
      <c r="B623" s="1" t="n">
        <v>45744</v>
      </c>
      <c r="C623" s="1" t="n">
        <v>45971</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2222-2023</t>
        </is>
      </c>
      <c r="B624" s="1" t="n">
        <v>44942.4250462963</v>
      </c>
      <c r="C624" s="1" t="n">
        <v>45971</v>
      </c>
      <c r="D624" t="inlineStr">
        <is>
          <t>VÄRMLANDS LÄN</t>
        </is>
      </c>
      <c r="E624" t="inlineStr">
        <is>
          <t>ÅRJÄNG</t>
        </is>
      </c>
      <c r="G624" t="n">
        <v>5.7</v>
      </c>
      <c r="H624" t="n">
        <v>0</v>
      </c>
      <c r="I624" t="n">
        <v>0</v>
      </c>
      <c r="J624" t="n">
        <v>0</v>
      </c>
      <c r="K624" t="n">
        <v>0</v>
      </c>
      <c r="L624" t="n">
        <v>0</v>
      </c>
      <c r="M624" t="n">
        <v>0</v>
      </c>
      <c r="N624" t="n">
        <v>0</v>
      </c>
      <c r="O624" t="n">
        <v>0</v>
      </c>
      <c r="P624" t="n">
        <v>0</v>
      </c>
      <c r="Q624" t="n">
        <v>0</v>
      </c>
      <c r="R624" s="2" t="inlineStr"/>
    </row>
    <row r="625" ht="15" customHeight="1">
      <c r="A625" t="inlineStr">
        <is>
          <t>A 29263-2023</t>
        </is>
      </c>
      <c r="B625" s="1" t="n">
        <v>45105</v>
      </c>
      <c r="C625" s="1" t="n">
        <v>45971</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8818-2022</t>
        </is>
      </c>
      <c r="B626" s="1" t="n">
        <v>44614.45849537037</v>
      </c>
      <c r="C626" s="1" t="n">
        <v>45971</v>
      </c>
      <c r="D626" t="inlineStr">
        <is>
          <t>VÄRMLANDS LÄN</t>
        </is>
      </c>
      <c r="E626" t="inlineStr">
        <is>
          <t>ÅRJÄNG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42233-2024</t>
        </is>
      </c>
      <c r="B627" s="1" t="n">
        <v>45562</v>
      </c>
      <c r="C627" s="1" t="n">
        <v>45971</v>
      </c>
      <c r="D627" t="inlineStr">
        <is>
          <t>VÄRMLANDS LÄN</t>
        </is>
      </c>
      <c r="E627" t="inlineStr">
        <is>
          <t>ÅRJÄNG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34181-2024</t>
        </is>
      </c>
      <c r="B628" s="1" t="n">
        <v>45524</v>
      </c>
      <c r="C628" s="1" t="n">
        <v>45971</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34184-2024</t>
        </is>
      </c>
      <c r="B629" s="1" t="n">
        <v>45524</v>
      </c>
      <c r="C629" s="1" t="n">
        <v>45971</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20354-2023</t>
        </is>
      </c>
      <c r="B630" s="1" t="n">
        <v>45056</v>
      </c>
      <c r="C630" s="1" t="n">
        <v>45971</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424-2025</t>
        </is>
      </c>
      <c r="B631" s="1" t="n">
        <v>45664</v>
      </c>
      <c r="C631" s="1" t="n">
        <v>45971</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13869-2025</t>
        </is>
      </c>
      <c r="B632" s="1" t="n">
        <v>45737.58268518518</v>
      </c>
      <c r="C632" s="1" t="n">
        <v>45971</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6559-2025</t>
        </is>
      </c>
      <c r="B633" s="1" t="n">
        <v>45699.73678240741</v>
      </c>
      <c r="C633" s="1" t="n">
        <v>45971</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6522-2021</t>
        </is>
      </c>
      <c r="B634" s="1" t="n">
        <v>44236</v>
      </c>
      <c r="C634" s="1" t="n">
        <v>45971</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74463-2021</t>
        </is>
      </c>
      <c r="B635" s="1" t="n">
        <v>44560.5255787037</v>
      </c>
      <c r="C635" s="1" t="n">
        <v>45971</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62963-2023</t>
        </is>
      </c>
      <c r="B636" s="1" t="n">
        <v>45271</v>
      </c>
      <c r="C636" s="1" t="n">
        <v>45971</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59479-2024</t>
        </is>
      </c>
      <c r="B637" s="1" t="n">
        <v>45638.52420138889</v>
      </c>
      <c r="C637" s="1" t="n">
        <v>45971</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13481-2025</t>
        </is>
      </c>
      <c r="B638" s="1" t="n">
        <v>45736</v>
      </c>
      <c r="C638" s="1" t="n">
        <v>45971</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34144-2022</t>
        </is>
      </c>
      <c r="B639" s="1" t="n">
        <v>44791.55983796297</v>
      </c>
      <c r="C639" s="1" t="n">
        <v>45971</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27045-2021</t>
        </is>
      </c>
      <c r="B640" s="1" t="n">
        <v>44350.43223379629</v>
      </c>
      <c r="C640" s="1" t="n">
        <v>45971</v>
      </c>
      <c r="D640" t="inlineStr">
        <is>
          <t>VÄRMLANDS LÄN</t>
        </is>
      </c>
      <c r="E640" t="inlineStr">
        <is>
          <t>ÅRJÄNG</t>
        </is>
      </c>
      <c r="G640" t="n">
        <v>2</v>
      </c>
      <c r="H640" t="n">
        <v>0</v>
      </c>
      <c r="I640" t="n">
        <v>0</v>
      </c>
      <c r="J640" t="n">
        <v>0</v>
      </c>
      <c r="K640" t="n">
        <v>0</v>
      </c>
      <c r="L640" t="n">
        <v>0</v>
      </c>
      <c r="M640" t="n">
        <v>0</v>
      </c>
      <c r="N640" t="n">
        <v>0</v>
      </c>
      <c r="O640" t="n">
        <v>0</v>
      </c>
      <c r="P640" t="n">
        <v>0</v>
      </c>
      <c r="Q640" t="n">
        <v>0</v>
      </c>
      <c r="R640" s="2" t="inlineStr"/>
    </row>
    <row r="641" ht="15" customHeight="1">
      <c r="A641" t="inlineStr">
        <is>
          <t>A 13196-2023</t>
        </is>
      </c>
      <c r="B641" s="1" t="n">
        <v>45002</v>
      </c>
      <c r="C641" s="1" t="n">
        <v>45971</v>
      </c>
      <c r="D641" t="inlineStr">
        <is>
          <t>VÄRMLANDS LÄN</t>
        </is>
      </c>
      <c r="E641" t="inlineStr">
        <is>
          <t>ÅRJÄNG</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16613-2022</t>
        </is>
      </c>
      <c r="B642" s="1" t="n">
        <v>44672</v>
      </c>
      <c r="C642" s="1" t="n">
        <v>45971</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61814-2024</t>
        </is>
      </c>
      <c r="B643" s="1" t="n">
        <v>45646</v>
      </c>
      <c r="C643" s="1" t="n">
        <v>45971</v>
      </c>
      <c r="D643" t="inlineStr">
        <is>
          <t>VÄRMLANDS LÄN</t>
        </is>
      </c>
      <c r="E643" t="inlineStr">
        <is>
          <t>ÅRJÄNG</t>
        </is>
      </c>
      <c r="G643" t="n">
        <v>5.3</v>
      </c>
      <c r="H643" t="n">
        <v>0</v>
      </c>
      <c r="I643" t="n">
        <v>0</v>
      </c>
      <c r="J643" t="n">
        <v>0</v>
      </c>
      <c r="K643" t="n">
        <v>0</v>
      </c>
      <c r="L643" t="n">
        <v>0</v>
      </c>
      <c r="M643" t="n">
        <v>0</v>
      </c>
      <c r="N643" t="n">
        <v>0</v>
      </c>
      <c r="O643" t="n">
        <v>0</v>
      </c>
      <c r="P643" t="n">
        <v>0</v>
      </c>
      <c r="Q643" t="n">
        <v>0</v>
      </c>
      <c r="R643" s="2" t="inlineStr"/>
    </row>
    <row r="644" ht="15" customHeight="1">
      <c r="A644" t="inlineStr">
        <is>
          <t>A 15575-2025</t>
        </is>
      </c>
      <c r="B644" s="1" t="n">
        <v>45747</v>
      </c>
      <c r="C644" s="1" t="n">
        <v>45971</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15577-2025</t>
        </is>
      </c>
      <c r="B645" s="1" t="n">
        <v>45747</v>
      </c>
      <c r="C645" s="1" t="n">
        <v>45971</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5416-2025</t>
        </is>
      </c>
      <c r="B646" s="1" t="n">
        <v>45692.67990740741</v>
      </c>
      <c r="C646" s="1" t="n">
        <v>45971</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21996-2021</t>
        </is>
      </c>
      <c r="B647" s="1" t="n">
        <v>44323</v>
      </c>
      <c r="C647" s="1" t="n">
        <v>45971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23871-2023</t>
        </is>
      </c>
      <c r="B648" s="1" t="n">
        <v>45078</v>
      </c>
      <c r="C648" s="1" t="n">
        <v>45971</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34387-2023</t>
        </is>
      </c>
      <c r="B649" s="1" t="n">
        <v>45139.50744212963</v>
      </c>
      <c r="C649" s="1" t="n">
        <v>45971</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48014-2023</t>
        </is>
      </c>
      <c r="B650" s="1" t="n">
        <v>45198</v>
      </c>
      <c r="C650" s="1" t="n">
        <v>45971</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15237-2025</t>
        </is>
      </c>
      <c r="B651" s="1" t="n">
        <v>45744</v>
      </c>
      <c r="C651" s="1" t="n">
        <v>45971</v>
      </c>
      <c r="D651" t="inlineStr">
        <is>
          <t>VÄRMLANDS LÄN</t>
        </is>
      </c>
      <c r="E651" t="inlineStr">
        <is>
          <t>ÅRJÄNG</t>
        </is>
      </c>
      <c r="G651" t="n">
        <v>29.5</v>
      </c>
      <c r="H651" t="n">
        <v>0</v>
      </c>
      <c r="I651" t="n">
        <v>0</v>
      </c>
      <c r="J651" t="n">
        <v>0</v>
      </c>
      <c r="K651" t="n">
        <v>0</v>
      </c>
      <c r="L651" t="n">
        <v>0</v>
      </c>
      <c r="M651" t="n">
        <v>0</v>
      </c>
      <c r="N651" t="n">
        <v>0</v>
      </c>
      <c r="O651" t="n">
        <v>0</v>
      </c>
      <c r="P651" t="n">
        <v>0</v>
      </c>
      <c r="Q651" t="n">
        <v>0</v>
      </c>
      <c r="R651" s="2" t="inlineStr"/>
    </row>
    <row r="652" ht="15" customHeight="1">
      <c r="A652" t="inlineStr">
        <is>
          <t>A 19843-2025</t>
        </is>
      </c>
      <c r="B652" s="1" t="n">
        <v>45771</v>
      </c>
      <c r="C652" s="1" t="n">
        <v>45971</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10681-2024</t>
        </is>
      </c>
      <c r="B653" s="1" t="n">
        <v>45369.36349537037</v>
      </c>
      <c r="C653" s="1" t="n">
        <v>45971</v>
      </c>
      <c r="D653" t="inlineStr">
        <is>
          <t>VÄRMLANDS LÄN</t>
        </is>
      </c>
      <c r="E653" t="inlineStr">
        <is>
          <t>ÅRJÄNG</t>
        </is>
      </c>
      <c r="G653" t="n">
        <v>0.5</v>
      </c>
      <c r="H653" t="n">
        <v>0</v>
      </c>
      <c r="I653" t="n">
        <v>0</v>
      </c>
      <c r="J653" t="n">
        <v>0</v>
      </c>
      <c r="K653" t="n">
        <v>0</v>
      </c>
      <c r="L653" t="n">
        <v>0</v>
      </c>
      <c r="M653" t="n">
        <v>0</v>
      </c>
      <c r="N653" t="n">
        <v>0</v>
      </c>
      <c r="O653" t="n">
        <v>0</v>
      </c>
      <c r="P653" t="n">
        <v>0</v>
      </c>
      <c r="Q653" t="n">
        <v>0</v>
      </c>
      <c r="R653" s="2" t="inlineStr"/>
    </row>
    <row r="654" ht="15" customHeight="1">
      <c r="A654" t="inlineStr">
        <is>
          <t>A 6354-2024</t>
        </is>
      </c>
      <c r="B654" s="1" t="n">
        <v>45338.46987268519</v>
      </c>
      <c r="C654" s="1" t="n">
        <v>45971</v>
      </c>
      <c r="D654" t="inlineStr">
        <is>
          <t>VÄRMLANDS LÄN</t>
        </is>
      </c>
      <c r="E654" t="inlineStr">
        <is>
          <t>ÅRJÄNG</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11718-2024</t>
        </is>
      </c>
      <c r="B655" s="1" t="n">
        <v>45373.63803240741</v>
      </c>
      <c r="C655" s="1" t="n">
        <v>45971</v>
      </c>
      <c r="D655" t="inlineStr">
        <is>
          <t>VÄRMLANDS LÄN</t>
        </is>
      </c>
      <c r="E655" t="inlineStr">
        <is>
          <t>ÅRJÄNG</t>
        </is>
      </c>
      <c r="G655" t="n">
        <v>2.3</v>
      </c>
      <c r="H655" t="n">
        <v>0</v>
      </c>
      <c r="I655" t="n">
        <v>0</v>
      </c>
      <c r="J655" t="n">
        <v>0</v>
      </c>
      <c r="K655" t="n">
        <v>0</v>
      </c>
      <c r="L655" t="n">
        <v>0</v>
      </c>
      <c r="M655" t="n">
        <v>0</v>
      </c>
      <c r="N655" t="n">
        <v>0</v>
      </c>
      <c r="O655" t="n">
        <v>0</v>
      </c>
      <c r="P655" t="n">
        <v>0</v>
      </c>
      <c r="Q655" t="n">
        <v>0</v>
      </c>
      <c r="R655" s="2" t="inlineStr"/>
    </row>
    <row r="656" ht="15" customHeight="1">
      <c r="A656" t="inlineStr">
        <is>
          <t>A 65773-2020</t>
        </is>
      </c>
      <c r="B656" s="1" t="n">
        <v>44174</v>
      </c>
      <c r="C656" s="1" t="n">
        <v>45971</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65781-2020</t>
        </is>
      </c>
      <c r="B657" s="1" t="n">
        <v>44174</v>
      </c>
      <c r="C657" s="1" t="n">
        <v>45971</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48156-2025</t>
        </is>
      </c>
      <c r="B658" s="1" t="n">
        <v>45933.41744212963</v>
      </c>
      <c r="C658" s="1" t="n">
        <v>45971</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48567-2025</t>
        </is>
      </c>
      <c r="B659" s="1" t="n">
        <v>45936.44805555556</v>
      </c>
      <c r="C659" s="1" t="n">
        <v>45971</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40232-2025</t>
        </is>
      </c>
      <c r="B660" s="1" t="n">
        <v>45894.7147800926</v>
      </c>
      <c r="C660" s="1" t="n">
        <v>45971</v>
      </c>
      <c r="D660" t="inlineStr">
        <is>
          <t>VÄRMLANDS LÄN</t>
        </is>
      </c>
      <c r="E660" t="inlineStr">
        <is>
          <t>ÅRJÄNG</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58769-2024</t>
        </is>
      </c>
      <c r="B661" s="1" t="n">
        <v>45635.75688657408</v>
      </c>
      <c r="C661" s="1" t="n">
        <v>45971</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47623-2025</t>
        </is>
      </c>
      <c r="B662" s="1" t="n">
        <v>45931</v>
      </c>
      <c r="C662" s="1" t="n">
        <v>45971</v>
      </c>
      <c r="D662" t="inlineStr">
        <is>
          <t>VÄRMLANDS LÄN</t>
        </is>
      </c>
      <c r="E662" t="inlineStr">
        <is>
          <t>ÅRJÄNG</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48225-2025</t>
        </is>
      </c>
      <c r="B663" s="1" t="n">
        <v>45933.50998842593</v>
      </c>
      <c r="C663" s="1" t="n">
        <v>45971</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3463-2025</t>
        </is>
      </c>
      <c r="B664" s="1" t="n">
        <v>45680.49807870371</v>
      </c>
      <c r="C664" s="1" t="n">
        <v>45971</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54900-2024</t>
        </is>
      </c>
      <c r="B665" s="1" t="n">
        <v>45618.64770833333</v>
      </c>
      <c r="C665" s="1" t="n">
        <v>45971</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39781-2025</t>
        </is>
      </c>
      <c r="B666" s="1" t="n">
        <v>45891</v>
      </c>
      <c r="C666" s="1" t="n">
        <v>45971</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48781-2024</t>
        </is>
      </c>
      <c r="B667" s="1" t="n">
        <v>45593</v>
      </c>
      <c r="C667" s="1" t="n">
        <v>45971</v>
      </c>
      <c r="D667" t="inlineStr">
        <is>
          <t>VÄRMLANDS LÄN</t>
        </is>
      </c>
      <c r="E667" t="inlineStr">
        <is>
          <t>ÅRJÄNG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21519-2024</t>
        </is>
      </c>
      <c r="B668" s="1" t="n">
        <v>45441</v>
      </c>
      <c r="C668" s="1" t="n">
        <v>45971</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59068-2024</t>
        </is>
      </c>
      <c r="B669" s="1" t="n">
        <v>45636.95376157408</v>
      </c>
      <c r="C669" s="1" t="n">
        <v>45971</v>
      </c>
      <c r="D669" t="inlineStr">
        <is>
          <t>VÄRMLANDS LÄN</t>
        </is>
      </c>
      <c r="E669" t="inlineStr">
        <is>
          <t>ÅRJÄNG</t>
        </is>
      </c>
      <c r="G669" t="n">
        <v>3.2</v>
      </c>
      <c r="H669" t="n">
        <v>0</v>
      </c>
      <c r="I669" t="n">
        <v>0</v>
      </c>
      <c r="J669" t="n">
        <v>0</v>
      </c>
      <c r="K669" t="n">
        <v>0</v>
      </c>
      <c r="L669" t="n">
        <v>0</v>
      </c>
      <c r="M669" t="n">
        <v>0</v>
      </c>
      <c r="N669" t="n">
        <v>0</v>
      </c>
      <c r="O669" t="n">
        <v>0</v>
      </c>
      <c r="P669" t="n">
        <v>0</v>
      </c>
      <c r="Q669" t="n">
        <v>0</v>
      </c>
      <c r="R669" s="2" t="inlineStr"/>
    </row>
    <row r="670" ht="15" customHeight="1">
      <c r="A670" t="inlineStr">
        <is>
          <t>A 11776-2025</t>
        </is>
      </c>
      <c r="B670" s="1" t="n">
        <v>45727.70334490741</v>
      </c>
      <c r="C670" s="1" t="n">
        <v>45971</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23940-2023</t>
        </is>
      </c>
      <c r="B671" s="1" t="n">
        <v>45075</v>
      </c>
      <c r="C671" s="1" t="n">
        <v>45971</v>
      </c>
      <c r="D671" t="inlineStr">
        <is>
          <t>VÄRMLANDS LÄN</t>
        </is>
      </c>
      <c r="E671" t="inlineStr">
        <is>
          <t>ÅRJÄNG</t>
        </is>
      </c>
      <c r="G671" t="n">
        <v>1.3</v>
      </c>
      <c r="H671" t="n">
        <v>0</v>
      </c>
      <c r="I671" t="n">
        <v>0</v>
      </c>
      <c r="J671" t="n">
        <v>0</v>
      </c>
      <c r="K671" t="n">
        <v>0</v>
      </c>
      <c r="L671" t="n">
        <v>0</v>
      </c>
      <c r="M671" t="n">
        <v>0</v>
      </c>
      <c r="N671" t="n">
        <v>0</v>
      </c>
      <c r="O671" t="n">
        <v>0</v>
      </c>
      <c r="P671" t="n">
        <v>0</v>
      </c>
      <c r="Q671" t="n">
        <v>0</v>
      </c>
      <c r="R671" s="2" t="inlineStr"/>
    </row>
    <row r="672" ht="15" customHeight="1">
      <c r="A672" t="inlineStr">
        <is>
          <t>A 40219-2025</t>
        </is>
      </c>
      <c r="B672" s="1" t="n">
        <v>45894.69025462963</v>
      </c>
      <c r="C672" s="1" t="n">
        <v>45971</v>
      </c>
      <c r="D672" t="inlineStr">
        <is>
          <t>VÄRMLANDS LÄN</t>
        </is>
      </c>
      <c r="E672" t="inlineStr">
        <is>
          <t>ÅRJÄNG</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45971</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39536-2022</t>
        </is>
      </c>
      <c r="B674" s="1" t="n">
        <v>44818</v>
      </c>
      <c r="C674" s="1" t="n">
        <v>45971</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20337-2023</t>
        </is>
      </c>
      <c r="B675" s="1" t="n">
        <v>45056.48157407407</v>
      </c>
      <c r="C675" s="1" t="n">
        <v>45971</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42045-2024</t>
        </is>
      </c>
      <c r="B676" s="1" t="n">
        <v>45561</v>
      </c>
      <c r="C676" s="1" t="n">
        <v>45971</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44593.86192129629</v>
      </c>
      <c r="C677" s="1" t="n">
        <v>45971</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45971</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25495-2024</t>
        </is>
      </c>
      <c r="B679" s="1" t="n">
        <v>45463</v>
      </c>
      <c r="C679" s="1" t="n">
        <v>45971</v>
      </c>
      <c r="D679" t="inlineStr">
        <is>
          <t>VÄRMLANDS LÄN</t>
        </is>
      </c>
      <c r="E679" t="inlineStr">
        <is>
          <t>ÅRJÄNG</t>
        </is>
      </c>
      <c r="F679" t="inlineStr">
        <is>
          <t>Kyrkan</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11793-2023</t>
        </is>
      </c>
      <c r="B680" s="1" t="n">
        <v>44993</v>
      </c>
      <c r="C680" s="1" t="n">
        <v>45971</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2-2024</t>
        </is>
      </c>
      <c r="B681" s="1" t="n">
        <v>45292.54944444444</v>
      </c>
      <c r="C681" s="1" t="n">
        <v>45971</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7995-2025</t>
        </is>
      </c>
      <c r="B682" s="1" t="n">
        <v>45707.515625</v>
      </c>
      <c r="C682" s="1" t="n">
        <v>45971</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40349-2024</t>
        </is>
      </c>
      <c r="B683" s="1" t="n">
        <v>45555.35849537037</v>
      </c>
      <c r="C683" s="1" t="n">
        <v>45971</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14788-2025</t>
        </is>
      </c>
      <c r="B684" s="1" t="n">
        <v>45742.78112268518</v>
      </c>
      <c r="C684" s="1" t="n">
        <v>45971</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22032-2023</t>
        </is>
      </c>
      <c r="B685" s="1" t="n">
        <v>45069.35378472223</v>
      </c>
      <c r="C685" s="1" t="n">
        <v>45971</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32367-2023</t>
        </is>
      </c>
      <c r="B686" s="1" t="n">
        <v>45120.57167824074</v>
      </c>
      <c r="C686" s="1" t="n">
        <v>45971</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58014-2022</t>
        </is>
      </c>
      <c r="B687" s="1" t="n">
        <v>44893</v>
      </c>
      <c r="C687" s="1" t="n">
        <v>45971</v>
      </c>
      <c r="D687" t="inlineStr">
        <is>
          <t>VÄRMLANDS LÄN</t>
        </is>
      </c>
      <c r="E687" t="inlineStr">
        <is>
          <t>ÅRJÄNG</t>
        </is>
      </c>
      <c r="G687" t="n">
        <v>1.9</v>
      </c>
      <c r="H687" t="n">
        <v>0</v>
      </c>
      <c r="I687" t="n">
        <v>0</v>
      </c>
      <c r="J687" t="n">
        <v>0</v>
      </c>
      <c r="K687" t="n">
        <v>0</v>
      </c>
      <c r="L687" t="n">
        <v>0</v>
      </c>
      <c r="M687" t="n">
        <v>0</v>
      </c>
      <c r="N687" t="n">
        <v>0</v>
      </c>
      <c r="O687" t="n">
        <v>0</v>
      </c>
      <c r="P687" t="n">
        <v>0</v>
      </c>
      <c r="Q687" t="n">
        <v>0</v>
      </c>
      <c r="R687" s="2" t="inlineStr"/>
    </row>
    <row r="688" ht="15" customHeight="1">
      <c r="A688" t="inlineStr">
        <is>
          <t>A 32373-2023</t>
        </is>
      </c>
      <c r="B688" s="1" t="n">
        <v>45120.58025462963</v>
      </c>
      <c r="C688" s="1" t="n">
        <v>45971</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37191-2023</t>
        </is>
      </c>
      <c r="B689" s="1" t="n">
        <v>45154</v>
      </c>
      <c r="C689" s="1" t="n">
        <v>45971</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56682-2021</t>
        </is>
      </c>
      <c r="B690" s="1" t="n">
        <v>44481</v>
      </c>
      <c r="C690" s="1" t="n">
        <v>45971</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21365-2022</t>
        </is>
      </c>
      <c r="B691" s="1" t="n">
        <v>44705</v>
      </c>
      <c r="C691" s="1" t="n">
        <v>45971</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3968-2025</t>
        </is>
      </c>
      <c r="B692" s="1" t="n">
        <v>45684.51925925926</v>
      </c>
      <c r="C692" s="1" t="n">
        <v>45971</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52773-2022</t>
        </is>
      </c>
      <c r="B693" s="1" t="n">
        <v>44875.35628472222</v>
      </c>
      <c r="C693" s="1" t="n">
        <v>45971</v>
      </c>
      <c r="D693" t="inlineStr">
        <is>
          <t>VÄRMLANDS LÄN</t>
        </is>
      </c>
      <c r="E693" t="inlineStr">
        <is>
          <t>ÅRJÄNG</t>
        </is>
      </c>
      <c r="G693" t="n">
        <v>4.1</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45971</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36018-2024</t>
        </is>
      </c>
      <c r="B695" s="1" t="n">
        <v>45533</v>
      </c>
      <c r="C695" s="1" t="n">
        <v>45971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36035-2024</t>
        </is>
      </c>
      <c r="B696" s="1" t="n">
        <v>45533.59534722222</v>
      </c>
      <c r="C696" s="1" t="n">
        <v>45971</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6562-2023</t>
        </is>
      </c>
      <c r="B697" s="1" t="n">
        <v>44966</v>
      </c>
      <c r="C697" s="1" t="n">
        <v>45971</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6646-2025</t>
        </is>
      </c>
      <c r="B698" s="1" t="n">
        <v>45700</v>
      </c>
      <c r="C698" s="1" t="n">
        <v>45971</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43650-2024</t>
        </is>
      </c>
      <c r="B699" s="1" t="n">
        <v>45569.53091435185</v>
      </c>
      <c r="C699" s="1" t="n">
        <v>45971</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58152-2024</t>
        </is>
      </c>
      <c r="B700" s="1" t="n">
        <v>45632.43947916666</v>
      </c>
      <c r="C700" s="1" t="n">
        <v>45971</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21513-2024</t>
        </is>
      </c>
      <c r="B701" s="1" t="n">
        <v>45441</v>
      </c>
      <c r="C701" s="1" t="n">
        <v>45971</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14509-2022</t>
        </is>
      </c>
      <c r="B702" s="1" t="n">
        <v>44655</v>
      </c>
      <c r="C702" s="1" t="n">
        <v>45971</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57178-2023</t>
        </is>
      </c>
      <c r="B703" s="1" t="n">
        <v>45240</v>
      </c>
      <c r="C703" s="1" t="n">
        <v>45971</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15574-2025</t>
        </is>
      </c>
      <c r="B704" s="1" t="n">
        <v>45747</v>
      </c>
      <c r="C704" s="1" t="n">
        <v>45971</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10625-2025</t>
        </is>
      </c>
      <c r="B705" s="1" t="n">
        <v>45721</v>
      </c>
      <c r="C705" s="1" t="n">
        <v>45971</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10627-2025</t>
        </is>
      </c>
      <c r="B706" s="1" t="n">
        <v>45721</v>
      </c>
      <c r="C706" s="1" t="n">
        <v>45971</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39905-2025</t>
        </is>
      </c>
      <c r="B707" s="1" t="n">
        <v>45891.63949074074</v>
      </c>
      <c r="C707" s="1" t="n">
        <v>45971</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59384-2023</t>
        </is>
      </c>
      <c r="B708" s="1" t="n">
        <v>45253</v>
      </c>
      <c r="C708" s="1" t="n">
        <v>45971</v>
      </c>
      <c r="D708" t="inlineStr">
        <is>
          <t>VÄRMLANDS LÄN</t>
        </is>
      </c>
      <c r="E708" t="inlineStr">
        <is>
          <t>ÅRJÄNG</t>
        </is>
      </c>
      <c r="G708" t="n">
        <v>1.7</v>
      </c>
      <c r="H708" t="n">
        <v>0</v>
      </c>
      <c r="I708" t="n">
        <v>0</v>
      </c>
      <c r="J708" t="n">
        <v>0</v>
      </c>
      <c r="K708" t="n">
        <v>0</v>
      </c>
      <c r="L708" t="n">
        <v>0</v>
      </c>
      <c r="M708" t="n">
        <v>0</v>
      </c>
      <c r="N708" t="n">
        <v>0</v>
      </c>
      <c r="O708" t="n">
        <v>0</v>
      </c>
      <c r="P708" t="n">
        <v>0</v>
      </c>
      <c r="Q708" t="n">
        <v>0</v>
      </c>
      <c r="R708" s="2" t="inlineStr"/>
    </row>
    <row r="709" ht="15" customHeight="1">
      <c r="A709" t="inlineStr">
        <is>
          <t>A 71472-2021</t>
        </is>
      </c>
      <c r="B709" s="1" t="n">
        <v>44540</v>
      </c>
      <c r="C709" s="1" t="n">
        <v>45971</v>
      </c>
      <c r="D709" t="inlineStr">
        <is>
          <t>VÄRMLANDS LÄN</t>
        </is>
      </c>
      <c r="E709" t="inlineStr">
        <is>
          <t>ÅRJÄNG</t>
        </is>
      </c>
      <c r="G709" t="n">
        <v>1.9</v>
      </c>
      <c r="H709" t="n">
        <v>0</v>
      </c>
      <c r="I709" t="n">
        <v>0</v>
      </c>
      <c r="J709" t="n">
        <v>0</v>
      </c>
      <c r="K709" t="n">
        <v>0</v>
      </c>
      <c r="L709" t="n">
        <v>0</v>
      </c>
      <c r="M709" t="n">
        <v>0</v>
      </c>
      <c r="N709" t="n">
        <v>0</v>
      </c>
      <c r="O709" t="n">
        <v>0</v>
      </c>
      <c r="P709" t="n">
        <v>0</v>
      </c>
      <c r="Q709" t="n">
        <v>0</v>
      </c>
      <c r="R709" s="2" t="inlineStr"/>
    </row>
    <row r="710" ht="15" customHeight="1">
      <c r="A710" t="inlineStr">
        <is>
          <t>A 3471-2023</t>
        </is>
      </c>
      <c r="B710" s="1" t="n">
        <v>44949</v>
      </c>
      <c r="C710" s="1" t="n">
        <v>45971</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59617-2022</t>
        </is>
      </c>
      <c r="B711" s="1" t="n">
        <v>44907</v>
      </c>
      <c r="C711" s="1" t="n">
        <v>45971</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56329-2024</t>
        </is>
      </c>
      <c r="B712" s="1" t="n">
        <v>45624.79435185185</v>
      </c>
      <c r="C712" s="1" t="n">
        <v>45971</v>
      </c>
      <c r="D712" t="inlineStr">
        <is>
          <t>VÄRMLANDS LÄN</t>
        </is>
      </c>
      <c r="E712" t="inlineStr">
        <is>
          <t>ÅRJÄNG</t>
        </is>
      </c>
      <c r="G712" t="n">
        <v>4.6</v>
      </c>
      <c r="H712" t="n">
        <v>0</v>
      </c>
      <c r="I712" t="n">
        <v>0</v>
      </c>
      <c r="J712" t="n">
        <v>0</v>
      </c>
      <c r="K712" t="n">
        <v>0</v>
      </c>
      <c r="L712" t="n">
        <v>0</v>
      </c>
      <c r="M712" t="n">
        <v>0</v>
      </c>
      <c r="N712" t="n">
        <v>0</v>
      </c>
      <c r="O712" t="n">
        <v>0</v>
      </c>
      <c r="P712" t="n">
        <v>0</v>
      </c>
      <c r="Q712" t="n">
        <v>0</v>
      </c>
      <c r="R712" s="2" t="inlineStr"/>
    </row>
    <row r="713" ht="15" customHeight="1">
      <c r="A713" t="inlineStr">
        <is>
          <t>A 59887-2023</t>
        </is>
      </c>
      <c r="B713" s="1" t="n">
        <v>45257.59917824074</v>
      </c>
      <c r="C713" s="1" t="n">
        <v>45971</v>
      </c>
      <c r="D713" t="inlineStr">
        <is>
          <t>VÄRMLANDS LÄN</t>
        </is>
      </c>
      <c r="E713" t="inlineStr">
        <is>
          <t>ÅRJÄNG</t>
        </is>
      </c>
      <c r="G713" t="n">
        <v>3.9</v>
      </c>
      <c r="H713" t="n">
        <v>0</v>
      </c>
      <c r="I713" t="n">
        <v>0</v>
      </c>
      <c r="J713" t="n">
        <v>0</v>
      </c>
      <c r="K713" t="n">
        <v>0</v>
      </c>
      <c r="L713" t="n">
        <v>0</v>
      </c>
      <c r="M713" t="n">
        <v>0</v>
      </c>
      <c r="N713" t="n">
        <v>0</v>
      </c>
      <c r="O713" t="n">
        <v>0</v>
      </c>
      <c r="P713" t="n">
        <v>0</v>
      </c>
      <c r="Q713" t="n">
        <v>0</v>
      </c>
      <c r="R713" s="2" t="inlineStr"/>
    </row>
    <row r="714" ht="15" customHeight="1">
      <c r="A714" t="inlineStr">
        <is>
          <t>A 37382-2024</t>
        </is>
      </c>
      <c r="B714" s="1" t="n">
        <v>45540</v>
      </c>
      <c r="C714" s="1" t="n">
        <v>45971</v>
      </c>
      <c r="D714" t="inlineStr">
        <is>
          <t>VÄRMLANDS LÄN</t>
        </is>
      </c>
      <c r="E714" t="inlineStr">
        <is>
          <t>ÅRJÄNG</t>
        </is>
      </c>
      <c r="G714" t="n">
        <v>12.3</v>
      </c>
      <c r="H714" t="n">
        <v>0</v>
      </c>
      <c r="I714" t="n">
        <v>0</v>
      </c>
      <c r="J714" t="n">
        <v>0</v>
      </c>
      <c r="K714" t="n">
        <v>0</v>
      </c>
      <c r="L714" t="n">
        <v>0</v>
      </c>
      <c r="M714" t="n">
        <v>0</v>
      </c>
      <c r="N714" t="n">
        <v>0</v>
      </c>
      <c r="O714" t="n">
        <v>0</v>
      </c>
      <c r="P714" t="n">
        <v>0</v>
      </c>
      <c r="Q714" t="n">
        <v>0</v>
      </c>
      <c r="R714" s="2" t="inlineStr"/>
    </row>
    <row r="715" ht="15" customHeight="1">
      <c r="A715" t="inlineStr">
        <is>
          <t>A 15718-2023</t>
        </is>
      </c>
      <c r="B715" s="1" t="n">
        <v>45021.55432870371</v>
      </c>
      <c r="C715" s="1" t="n">
        <v>45971</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48911-2024</t>
        </is>
      </c>
      <c r="B716" s="1" t="n">
        <v>45594.36512731481</v>
      </c>
      <c r="C716" s="1" t="n">
        <v>45971</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8215-2025</t>
        </is>
      </c>
      <c r="B717" s="1" t="n">
        <v>45708.44832175926</v>
      </c>
      <c r="C717" s="1" t="n">
        <v>45971</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8230-2025</t>
        </is>
      </c>
      <c r="B718" s="1" t="n">
        <v>45708.47010416666</v>
      </c>
      <c r="C718" s="1" t="n">
        <v>45971</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65171-2023</t>
        </is>
      </c>
      <c r="B719" s="1" t="n">
        <v>45288.71099537037</v>
      </c>
      <c r="C719" s="1" t="n">
        <v>45971</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59071-2024</t>
        </is>
      </c>
      <c r="B720" s="1" t="n">
        <v>45636.96637731481</v>
      </c>
      <c r="C720" s="1" t="n">
        <v>45971</v>
      </c>
      <c r="D720" t="inlineStr">
        <is>
          <t>VÄRMLANDS LÄN</t>
        </is>
      </c>
      <c r="E720" t="inlineStr">
        <is>
          <t>ÅRJÄNG</t>
        </is>
      </c>
      <c r="G720" t="n">
        <v>4.2</v>
      </c>
      <c r="H720" t="n">
        <v>0</v>
      </c>
      <c r="I720" t="n">
        <v>0</v>
      </c>
      <c r="J720" t="n">
        <v>0</v>
      </c>
      <c r="K720" t="n">
        <v>0</v>
      </c>
      <c r="L720" t="n">
        <v>0</v>
      </c>
      <c r="M720" t="n">
        <v>0</v>
      </c>
      <c r="N720" t="n">
        <v>0</v>
      </c>
      <c r="O720" t="n">
        <v>0</v>
      </c>
      <c r="P720" t="n">
        <v>0</v>
      </c>
      <c r="Q720" t="n">
        <v>0</v>
      </c>
      <c r="R720" s="2" t="inlineStr"/>
    </row>
    <row r="721" ht="15" customHeight="1">
      <c r="A721" t="inlineStr">
        <is>
          <t>A 59073-2024</t>
        </is>
      </c>
      <c r="B721" s="1" t="n">
        <v>45636.97232638889</v>
      </c>
      <c r="C721" s="1" t="n">
        <v>45971</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7098-2024</t>
        </is>
      </c>
      <c r="B722" s="1" t="n">
        <v>45343</v>
      </c>
      <c r="C722" s="1" t="n">
        <v>45971</v>
      </c>
      <c r="D722" t="inlineStr">
        <is>
          <t>VÄRMLANDS LÄN</t>
        </is>
      </c>
      <c r="E722" t="inlineStr">
        <is>
          <t>ÅRJÄNG</t>
        </is>
      </c>
      <c r="G722" t="n">
        <v>5</v>
      </c>
      <c r="H722" t="n">
        <v>0</v>
      </c>
      <c r="I722" t="n">
        <v>0</v>
      </c>
      <c r="J722" t="n">
        <v>0</v>
      </c>
      <c r="K722" t="n">
        <v>0</v>
      </c>
      <c r="L722" t="n">
        <v>0</v>
      </c>
      <c r="M722" t="n">
        <v>0</v>
      </c>
      <c r="N722" t="n">
        <v>0</v>
      </c>
      <c r="O722" t="n">
        <v>0</v>
      </c>
      <c r="P722" t="n">
        <v>0</v>
      </c>
      <c r="Q722" t="n">
        <v>0</v>
      </c>
      <c r="R722" s="2" t="inlineStr"/>
    </row>
    <row r="723" ht="15" customHeight="1">
      <c r="A723" t="inlineStr">
        <is>
          <t>A 7100-2024</t>
        </is>
      </c>
      <c r="B723" s="1" t="n">
        <v>45343</v>
      </c>
      <c r="C723" s="1" t="n">
        <v>45971</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45651-2024</t>
        </is>
      </c>
      <c r="B724" s="1" t="n">
        <v>45579</v>
      </c>
      <c r="C724" s="1" t="n">
        <v>45971</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28864-2023</t>
        </is>
      </c>
      <c r="B725" s="1" t="n">
        <v>45104</v>
      </c>
      <c r="C725" s="1" t="n">
        <v>45971</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70591-2021</t>
        </is>
      </c>
      <c r="B726" s="1" t="n">
        <v>44537.41471064815</v>
      </c>
      <c r="C726" s="1" t="n">
        <v>45971</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40346-2024</t>
        </is>
      </c>
      <c r="B727" s="1" t="n">
        <v>45555.34840277778</v>
      </c>
      <c r="C727" s="1" t="n">
        <v>45971</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10117-2023</t>
        </is>
      </c>
      <c r="B728" s="1" t="n">
        <v>44986.34331018518</v>
      </c>
      <c r="C728" s="1" t="n">
        <v>45971</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36563-2024</t>
        </is>
      </c>
      <c r="B729" s="1" t="n">
        <v>45537</v>
      </c>
      <c r="C729" s="1" t="n">
        <v>45971</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15579-2025</t>
        </is>
      </c>
      <c r="B730" s="1" t="n">
        <v>45747</v>
      </c>
      <c r="C730" s="1" t="n">
        <v>45971</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49785-2024</t>
        </is>
      </c>
      <c r="B731" s="1" t="n">
        <v>45597.35758101852</v>
      </c>
      <c r="C731" s="1" t="n">
        <v>45971</v>
      </c>
      <c r="D731" t="inlineStr">
        <is>
          <t>VÄRMLANDS LÄN</t>
        </is>
      </c>
      <c r="E731" t="inlineStr">
        <is>
          <t>ÅRJÄNG</t>
        </is>
      </c>
      <c r="G731" t="n">
        <v>0.6</v>
      </c>
      <c r="H731" t="n">
        <v>0</v>
      </c>
      <c r="I731" t="n">
        <v>0</v>
      </c>
      <c r="J731" t="n">
        <v>0</v>
      </c>
      <c r="K731" t="n">
        <v>0</v>
      </c>
      <c r="L731" t="n">
        <v>0</v>
      </c>
      <c r="M731" t="n">
        <v>0</v>
      </c>
      <c r="N731" t="n">
        <v>0</v>
      </c>
      <c r="O731" t="n">
        <v>0</v>
      </c>
      <c r="P731" t="n">
        <v>0</v>
      </c>
      <c r="Q731" t="n">
        <v>0</v>
      </c>
      <c r="R731" s="2" t="inlineStr"/>
    </row>
    <row r="732" ht="15" customHeight="1">
      <c r="A732" t="inlineStr">
        <is>
          <t>A 58491-2023</t>
        </is>
      </c>
      <c r="B732" s="1" t="n">
        <v>45246</v>
      </c>
      <c r="C732" s="1" t="n">
        <v>45971</v>
      </c>
      <c r="D732" t="inlineStr">
        <is>
          <t>VÄRMLANDS LÄN</t>
        </is>
      </c>
      <c r="E732" t="inlineStr">
        <is>
          <t>ÅRJÄNG</t>
        </is>
      </c>
      <c r="G732" t="n">
        <v>11.4</v>
      </c>
      <c r="H732" t="n">
        <v>0</v>
      </c>
      <c r="I732" t="n">
        <v>0</v>
      </c>
      <c r="J732" t="n">
        <v>0</v>
      </c>
      <c r="K732" t="n">
        <v>0</v>
      </c>
      <c r="L732" t="n">
        <v>0</v>
      </c>
      <c r="M732" t="n">
        <v>0</v>
      </c>
      <c r="N732" t="n">
        <v>0</v>
      </c>
      <c r="O732" t="n">
        <v>0</v>
      </c>
      <c r="P732" t="n">
        <v>0</v>
      </c>
      <c r="Q732" t="n">
        <v>0</v>
      </c>
      <c r="R732" s="2" t="inlineStr"/>
    </row>
    <row r="733" ht="15" customHeight="1">
      <c r="A733" t="inlineStr">
        <is>
          <t>A 15303-2025</t>
        </is>
      </c>
      <c r="B733" s="1" t="n">
        <v>45746</v>
      </c>
      <c r="C733" s="1" t="n">
        <v>45971</v>
      </c>
      <c r="D733" t="inlineStr">
        <is>
          <t>VÄRMLANDS LÄN</t>
        </is>
      </c>
      <c r="E733" t="inlineStr">
        <is>
          <t>ÅRJÄNG</t>
        </is>
      </c>
      <c r="G733" t="n">
        <v>8</v>
      </c>
      <c r="H733" t="n">
        <v>0</v>
      </c>
      <c r="I733" t="n">
        <v>0</v>
      </c>
      <c r="J733" t="n">
        <v>0</v>
      </c>
      <c r="K733" t="n">
        <v>0</v>
      </c>
      <c r="L733" t="n">
        <v>0</v>
      </c>
      <c r="M733" t="n">
        <v>0</v>
      </c>
      <c r="N733" t="n">
        <v>0</v>
      </c>
      <c r="O733" t="n">
        <v>0</v>
      </c>
      <c r="P733" t="n">
        <v>0</v>
      </c>
      <c r="Q733" t="n">
        <v>0</v>
      </c>
      <c r="R733" s="2" t="inlineStr"/>
    </row>
    <row r="734" ht="15" customHeight="1">
      <c r="A734" t="inlineStr">
        <is>
          <t>A 10239-2023</t>
        </is>
      </c>
      <c r="B734" s="1" t="n">
        <v>44986</v>
      </c>
      <c r="C734" s="1" t="n">
        <v>45971</v>
      </c>
      <c r="D734" t="inlineStr">
        <is>
          <t>VÄRMLANDS LÄN</t>
        </is>
      </c>
      <c r="E734" t="inlineStr">
        <is>
          <t>ÅRJÄNG</t>
        </is>
      </c>
      <c r="G734" t="n">
        <v>5.4</v>
      </c>
      <c r="H734" t="n">
        <v>0</v>
      </c>
      <c r="I734" t="n">
        <v>0</v>
      </c>
      <c r="J734" t="n">
        <v>0</v>
      </c>
      <c r="K734" t="n">
        <v>0</v>
      </c>
      <c r="L734" t="n">
        <v>0</v>
      </c>
      <c r="M734" t="n">
        <v>0</v>
      </c>
      <c r="N734" t="n">
        <v>0</v>
      </c>
      <c r="O734" t="n">
        <v>0</v>
      </c>
      <c r="P734" t="n">
        <v>0</v>
      </c>
      <c r="Q734" t="n">
        <v>0</v>
      </c>
      <c r="R734" s="2" t="inlineStr"/>
    </row>
    <row r="735" ht="15" customHeight="1">
      <c r="A735" t="inlineStr">
        <is>
          <t>A 60191-2023</t>
        </is>
      </c>
      <c r="B735" s="1" t="n">
        <v>45257</v>
      </c>
      <c r="C735" s="1" t="n">
        <v>45971</v>
      </c>
      <c r="D735" t="inlineStr">
        <is>
          <t>VÄRMLANDS LÄN</t>
        </is>
      </c>
      <c r="E735" t="inlineStr">
        <is>
          <t>ÅRJÄNG</t>
        </is>
      </c>
      <c r="G735" t="n">
        <v>7.6</v>
      </c>
      <c r="H735" t="n">
        <v>0</v>
      </c>
      <c r="I735" t="n">
        <v>0</v>
      </c>
      <c r="J735" t="n">
        <v>0</v>
      </c>
      <c r="K735" t="n">
        <v>0</v>
      </c>
      <c r="L735" t="n">
        <v>0</v>
      </c>
      <c r="M735" t="n">
        <v>0</v>
      </c>
      <c r="N735" t="n">
        <v>0</v>
      </c>
      <c r="O735" t="n">
        <v>0</v>
      </c>
      <c r="P735" t="n">
        <v>0</v>
      </c>
      <c r="Q735" t="n">
        <v>0</v>
      </c>
      <c r="R735" s="2" t="inlineStr"/>
    </row>
    <row r="736" ht="15" customHeight="1">
      <c r="A736" t="inlineStr">
        <is>
          <t>A 11401-2025</t>
        </is>
      </c>
      <c r="B736" s="1" t="n">
        <v>45726</v>
      </c>
      <c r="C736" s="1" t="n">
        <v>45971</v>
      </c>
      <c r="D736" t="inlineStr">
        <is>
          <t>VÄRMLANDS LÄN</t>
        </is>
      </c>
      <c r="E736" t="inlineStr">
        <is>
          <t>ÅRJÄNG</t>
        </is>
      </c>
      <c r="G736" t="n">
        <v>0.4</v>
      </c>
      <c r="H736" t="n">
        <v>0</v>
      </c>
      <c r="I736" t="n">
        <v>0</v>
      </c>
      <c r="J736" t="n">
        <v>0</v>
      </c>
      <c r="K736" t="n">
        <v>0</v>
      </c>
      <c r="L736" t="n">
        <v>0</v>
      </c>
      <c r="M736" t="n">
        <v>0</v>
      </c>
      <c r="N736" t="n">
        <v>0</v>
      </c>
      <c r="O736" t="n">
        <v>0</v>
      </c>
      <c r="P736" t="n">
        <v>0</v>
      </c>
      <c r="Q736" t="n">
        <v>0</v>
      </c>
      <c r="R736" s="2" t="inlineStr"/>
    </row>
    <row r="737" ht="15" customHeight="1">
      <c r="A737" t="inlineStr">
        <is>
          <t>A 4784-2023</t>
        </is>
      </c>
      <c r="B737" s="1" t="n">
        <v>44957.59476851852</v>
      </c>
      <c r="C737" s="1" t="n">
        <v>45971</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55901-2023</t>
        </is>
      </c>
      <c r="B738" s="1" t="n">
        <v>45239.86618055555</v>
      </c>
      <c r="C738" s="1" t="n">
        <v>45971</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58789-2024</t>
        </is>
      </c>
      <c r="B739" s="1" t="n">
        <v>45635.98438657408</v>
      </c>
      <c r="C739" s="1" t="n">
        <v>45971</v>
      </c>
      <c r="D739" t="inlineStr">
        <is>
          <t>VÄRMLANDS LÄN</t>
        </is>
      </c>
      <c r="E739" t="inlineStr">
        <is>
          <t>ÅRJÄNG</t>
        </is>
      </c>
      <c r="G739" t="n">
        <v>7.8</v>
      </c>
      <c r="H739" t="n">
        <v>0</v>
      </c>
      <c r="I739" t="n">
        <v>0</v>
      </c>
      <c r="J739" t="n">
        <v>0</v>
      </c>
      <c r="K739" t="n">
        <v>0</v>
      </c>
      <c r="L739" t="n">
        <v>0</v>
      </c>
      <c r="M739" t="n">
        <v>0</v>
      </c>
      <c r="N739" t="n">
        <v>0</v>
      </c>
      <c r="O739" t="n">
        <v>0</v>
      </c>
      <c r="P739" t="n">
        <v>0</v>
      </c>
      <c r="Q739" t="n">
        <v>0</v>
      </c>
      <c r="R739" s="2" t="inlineStr"/>
    </row>
    <row r="740" ht="15" customHeight="1">
      <c r="A740" t="inlineStr">
        <is>
          <t>A 43029-2021</t>
        </is>
      </c>
      <c r="B740" s="1" t="n">
        <v>44431.49302083333</v>
      </c>
      <c r="C740" s="1" t="n">
        <v>45971</v>
      </c>
      <c r="D740" t="inlineStr">
        <is>
          <t>VÄRMLANDS LÄN</t>
        </is>
      </c>
      <c r="E740" t="inlineStr">
        <is>
          <t>ÅRJÄNG</t>
        </is>
      </c>
      <c r="G740" t="n">
        <v>5.5</v>
      </c>
      <c r="H740" t="n">
        <v>0</v>
      </c>
      <c r="I740" t="n">
        <v>0</v>
      </c>
      <c r="J740" t="n">
        <v>0</v>
      </c>
      <c r="K740" t="n">
        <v>0</v>
      </c>
      <c r="L740" t="n">
        <v>0</v>
      </c>
      <c r="M740" t="n">
        <v>0</v>
      </c>
      <c r="N740" t="n">
        <v>0</v>
      </c>
      <c r="O740" t="n">
        <v>0</v>
      </c>
      <c r="P740" t="n">
        <v>0</v>
      </c>
      <c r="Q740" t="n">
        <v>0</v>
      </c>
      <c r="R740" s="2" t="inlineStr"/>
    </row>
    <row r="741" ht="15" customHeight="1">
      <c r="A741" t="inlineStr">
        <is>
          <t>A 29792-2022</t>
        </is>
      </c>
      <c r="B741" s="1" t="n">
        <v>44755.67122685185</v>
      </c>
      <c r="C741" s="1" t="n">
        <v>45971</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30346-2022</t>
        </is>
      </c>
      <c r="B742" s="1" t="n">
        <v>44760.55734953703</v>
      </c>
      <c r="C742" s="1" t="n">
        <v>45971</v>
      </c>
      <c r="D742" t="inlineStr">
        <is>
          <t>VÄRMLANDS LÄN</t>
        </is>
      </c>
      <c r="E742" t="inlineStr">
        <is>
          <t>ÅRJÄNG</t>
        </is>
      </c>
      <c r="G742" t="n">
        <v>6</v>
      </c>
      <c r="H742" t="n">
        <v>0</v>
      </c>
      <c r="I742" t="n">
        <v>0</v>
      </c>
      <c r="J742" t="n">
        <v>0</v>
      </c>
      <c r="K742" t="n">
        <v>0</v>
      </c>
      <c r="L742" t="n">
        <v>0</v>
      </c>
      <c r="M742" t="n">
        <v>0</v>
      </c>
      <c r="N742" t="n">
        <v>0</v>
      </c>
      <c r="O742" t="n">
        <v>0</v>
      </c>
      <c r="P742" t="n">
        <v>0</v>
      </c>
      <c r="Q742" t="n">
        <v>0</v>
      </c>
      <c r="R742" s="2" t="inlineStr"/>
    </row>
    <row r="743" ht="15" customHeight="1">
      <c r="A743" t="inlineStr">
        <is>
          <t>A 32550-2024</t>
        </is>
      </c>
      <c r="B743" s="1" t="n">
        <v>45513.50606481481</v>
      </c>
      <c r="C743" s="1" t="n">
        <v>45971</v>
      </c>
      <c r="D743" t="inlineStr">
        <is>
          <t>VÄRMLANDS LÄN</t>
        </is>
      </c>
      <c r="E743" t="inlineStr">
        <is>
          <t>ÅRJÄNG</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10126-2023</t>
        </is>
      </c>
      <c r="B744" s="1" t="n">
        <v>44980</v>
      </c>
      <c r="C744" s="1" t="n">
        <v>45971</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34889-2022</t>
        </is>
      </c>
      <c r="B745" s="1" t="n">
        <v>44796</v>
      </c>
      <c r="C745" s="1" t="n">
        <v>45971</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14310-2022</t>
        </is>
      </c>
      <c r="B746" s="1" t="n">
        <v>44652</v>
      </c>
      <c r="C746" s="1" t="n">
        <v>45971</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69839-2021</t>
        </is>
      </c>
      <c r="B747" s="1" t="n">
        <v>44532</v>
      </c>
      <c r="C747" s="1" t="n">
        <v>45971</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46319-2024</t>
        </is>
      </c>
      <c r="B748" s="1" t="n">
        <v>45581.760625</v>
      </c>
      <c r="C748" s="1" t="n">
        <v>45971</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1377-2023</t>
        </is>
      </c>
      <c r="B749" s="1" t="n">
        <v>44936.67111111111</v>
      </c>
      <c r="C749" s="1" t="n">
        <v>45971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15230-2025</t>
        </is>
      </c>
      <c r="B750" s="1" t="n">
        <v>45744</v>
      </c>
      <c r="C750" s="1" t="n">
        <v>45971</v>
      </c>
      <c r="D750" t="inlineStr">
        <is>
          <t>VÄRMLANDS LÄN</t>
        </is>
      </c>
      <c r="E750" t="inlineStr">
        <is>
          <t>ÅRJÄNG</t>
        </is>
      </c>
      <c r="G750" t="n">
        <v>17.1</v>
      </c>
      <c r="H750" t="n">
        <v>0</v>
      </c>
      <c r="I750" t="n">
        <v>0</v>
      </c>
      <c r="J750" t="n">
        <v>0</v>
      </c>
      <c r="K750" t="n">
        <v>0</v>
      </c>
      <c r="L750" t="n">
        <v>0</v>
      </c>
      <c r="M750" t="n">
        <v>0</v>
      </c>
      <c r="N750" t="n">
        <v>0</v>
      </c>
      <c r="O750" t="n">
        <v>0</v>
      </c>
      <c r="P750" t="n">
        <v>0</v>
      </c>
      <c r="Q750" t="n">
        <v>0</v>
      </c>
      <c r="R750" s="2" t="inlineStr"/>
    </row>
    <row r="751" ht="15" customHeight="1">
      <c r="A751" t="inlineStr">
        <is>
          <t>A 39776-2025</t>
        </is>
      </c>
      <c r="B751" s="1" t="n">
        <v>45891</v>
      </c>
      <c r="C751" s="1" t="n">
        <v>45971</v>
      </c>
      <c r="D751" t="inlineStr">
        <is>
          <t>VÄRMLANDS LÄN</t>
        </is>
      </c>
      <c r="E751" t="inlineStr">
        <is>
          <t>ÅRJÄNG</t>
        </is>
      </c>
      <c r="G751" t="n">
        <v>2.7</v>
      </c>
      <c r="H751" t="n">
        <v>0</v>
      </c>
      <c r="I751" t="n">
        <v>0</v>
      </c>
      <c r="J751" t="n">
        <v>0</v>
      </c>
      <c r="K751" t="n">
        <v>0</v>
      </c>
      <c r="L751" t="n">
        <v>0</v>
      </c>
      <c r="M751" t="n">
        <v>0</v>
      </c>
      <c r="N751" t="n">
        <v>0</v>
      </c>
      <c r="O751" t="n">
        <v>0</v>
      </c>
      <c r="P751" t="n">
        <v>0</v>
      </c>
      <c r="Q751" t="n">
        <v>0</v>
      </c>
      <c r="R751" s="2" t="inlineStr"/>
    </row>
    <row r="752" ht="15" customHeight="1">
      <c r="A752" t="inlineStr">
        <is>
          <t>A 39779-2025</t>
        </is>
      </c>
      <c r="B752" s="1" t="n">
        <v>45891</v>
      </c>
      <c r="C752" s="1" t="n">
        <v>45971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14917-2024</t>
        </is>
      </c>
      <c r="B753" s="1" t="n">
        <v>45398</v>
      </c>
      <c r="C753" s="1" t="n">
        <v>45971</v>
      </c>
      <c r="D753" t="inlineStr">
        <is>
          <t>VÄRMLANDS LÄN</t>
        </is>
      </c>
      <c r="E753" t="inlineStr">
        <is>
          <t>ÅRJÄNG</t>
        </is>
      </c>
      <c r="G753" t="n">
        <v>19.9</v>
      </c>
      <c r="H753" t="n">
        <v>0</v>
      </c>
      <c r="I753" t="n">
        <v>0</v>
      </c>
      <c r="J753" t="n">
        <v>0</v>
      </c>
      <c r="K753" t="n">
        <v>0</v>
      </c>
      <c r="L753" t="n">
        <v>0</v>
      </c>
      <c r="M753" t="n">
        <v>0</v>
      </c>
      <c r="N753" t="n">
        <v>0</v>
      </c>
      <c r="O753" t="n">
        <v>0</v>
      </c>
      <c r="P753" t="n">
        <v>0</v>
      </c>
      <c r="Q753" t="n">
        <v>0</v>
      </c>
      <c r="R753" s="2" t="inlineStr"/>
    </row>
    <row r="754" ht="15" customHeight="1">
      <c r="A754" t="inlineStr">
        <is>
          <t>A 3734-2023</t>
        </is>
      </c>
      <c r="B754" s="1" t="n">
        <v>44948</v>
      </c>
      <c r="C754" s="1" t="n">
        <v>45971</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20372-2025</t>
        </is>
      </c>
      <c r="B755" s="1" t="n">
        <v>45775.42027777778</v>
      </c>
      <c r="C755" s="1" t="n">
        <v>45971</v>
      </c>
      <c r="D755" t="inlineStr">
        <is>
          <t>VÄRMLANDS LÄN</t>
        </is>
      </c>
      <c r="E755" t="inlineStr">
        <is>
          <t>ÅRJÄNG</t>
        </is>
      </c>
      <c r="G755" t="n">
        <v>0.8</v>
      </c>
      <c r="H755" t="n">
        <v>0</v>
      </c>
      <c r="I755" t="n">
        <v>0</v>
      </c>
      <c r="J755" t="n">
        <v>0</v>
      </c>
      <c r="K755" t="n">
        <v>0</v>
      </c>
      <c r="L755" t="n">
        <v>0</v>
      </c>
      <c r="M755" t="n">
        <v>0</v>
      </c>
      <c r="N755" t="n">
        <v>0</v>
      </c>
      <c r="O755" t="n">
        <v>0</v>
      </c>
      <c r="P755" t="n">
        <v>0</v>
      </c>
      <c r="Q755" t="n">
        <v>0</v>
      </c>
      <c r="R755" s="2" t="inlineStr"/>
    </row>
    <row r="756" ht="15" customHeight="1">
      <c r="A756" t="inlineStr">
        <is>
          <t>A 53793-2024</t>
        </is>
      </c>
      <c r="B756" s="1" t="n">
        <v>45615</v>
      </c>
      <c r="C756" s="1" t="n">
        <v>45971</v>
      </c>
      <c r="D756" t="inlineStr">
        <is>
          <t>VÄRMLANDS LÄN</t>
        </is>
      </c>
      <c r="E756" t="inlineStr">
        <is>
          <t>ÅRJÄNG</t>
        </is>
      </c>
      <c r="G756" t="n">
        <v>4.9</v>
      </c>
      <c r="H756" t="n">
        <v>0</v>
      </c>
      <c r="I756" t="n">
        <v>0</v>
      </c>
      <c r="J756" t="n">
        <v>0</v>
      </c>
      <c r="K756" t="n">
        <v>0</v>
      </c>
      <c r="L756" t="n">
        <v>0</v>
      </c>
      <c r="M756" t="n">
        <v>0</v>
      </c>
      <c r="N756" t="n">
        <v>0</v>
      </c>
      <c r="O756" t="n">
        <v>0</v>
      </c>
      <c r="P756" t="n">
        <v>0</v>
      </c>
      <c r="Q756" t="n">
        <v>0</v>
      </c>
      <c r="R756" s="2" t="inlineStr"/>
    </row>
    <row r="757" ht="15" customHeight="1">
      <c r="A757" t="inlineStr">
        <is>
          <t>A 45634-2023</t>
        </is>
      </c>
      <c r="B757" s="1" t="n">
        <v>45194</v>
      </c>
      <c r="C757" s="1" t="n">
        <v>45971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15537-2024</t>
        </is>
      </c>
      <c r="B758" s="1" t="n">
        <v>45401</v>
      </c>
      <c r="C758" s="1" t="n">
        <v>45971</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60975-2022</t>
        </is>
      </c>
      <c r="B759" s="1" t="n">
        <v>44914</v>
      </c>
      <c r="C759" s="1" t="n">
        <v>45971</v>
      </c>
      <c r="D759" t="inlineStr">
        <is>
          <t>VÄRMLANDS LÄN</t>
        </is>
      </c>
      <c r="E759" t="inlineStr">
        <is>
          <t>ÅRJÄNG</t>
        </is>
      </c>
      <c r="G759" t="n">
        <v>1.3</v>
      </c>
      <c r="H759" t="n">
        <v>0</v>
      </c>
      <c r="I759" t="n">
        <v>0</v>
      </c>
      <c r="J759" t="n">
        <v>0</v>
      </c>
      <c r="K759" t="n">
        <v>0</v>
      </c>
      <c r="L759" t="n">
        <v>0</v>
      </c>
      <c r="M759" t="n">
        <v>0</v>
      </c>
      <c r="N759" t="n">
        <v>0</v>
      </c>
      <c r="O759" t="n">
        <v>0</v>
      </c>
      <c r="P759" t="n">
        <v>0</v>
      </c>
      <c r="Q759" t="n">
        <v>0</v>
      </c>
      <c r="R759" s="2" t="inlineStr"/>
    </row>
    <row r="760" ht="15" customHeight="1">
      <c r="A760" t="inlineStr">
        <is>
          <t>A 39156-2024</t>
        </is>
      </c>
      <c r="B760" s="1" t="n">
        <v>45548.62956018518</v>
      </c>
      <c r="C760" s="1" t="n">
        <v>45971</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6551-2025</t>
        </is>
      </c>
      <c r="B761" s="1" t="n">
        <v>45699.71454861111</v>
      </c>
      <c r="C761" s="1" t="n">
        <v>45971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34350-2023</t>
        </is>
      </c>
      <c r="B762" s="1" t="n">
        <v>45139.40969907407</v>
      </c>
      <c r="C762" s="1" t="n">
        <v>45971</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7619-2023</t>
        </is>
      </c>
      <c r="B763" s="1" t="n">
        <v>44967</v>
      </c>
      <c r="C763" s="1" t="n">
        <v>45971</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48444-2023</t>
        </is>
      </c>
      <c r="B764" s="1" t="n">
        <v>45206.37090277778</v>
      </c>
      <c r="C764" s="1" t="n">
        <v>45971</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60377-2022</t>
        </is>
      </c>
      <c r="B765" s="1" t="n">
        <v>44904</v>
      </c>
      <c r="C765" s="1" t="n">
        <v>45971</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65844-2021</t>
        </is>
      </c>
      <c r="B766" s="1" t="n">
        <v>44517.36067129629</v>
      </c>
      <c r="C766" s="1" t="n">
        <v>45971</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58290-2024</t>
        </is>
      </c>
      <c r="B767" s="1" t="n">
        <v>45632.5916087963</v>
      </c>
      <c r="C767" s="1" t="n">
        <v>45971</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1615-2025</t>
        </is>
      </c>
      <c r="B768" s="1" t="n">
        <v>45670.60484953703</v>
      </c>
      <c r="C768" s="1" t="n">
        <v>45971</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39725-2025</t>
        </is>
      </c>
      <c r="B769" s="1" t="n">
        <v>45891</v>
      </c>
      <c r="C769" s="1" t="n">
        <v>45971</v>
      </c>
      <c r="D769" t="inlineStr">
        <is>
          <t>VÄRMLANDS LÄN</t>
        </is>
      </c>
      <c r="E769" t="inlineStr">
        <is>
          <t>ÅRJÄNG</t>
        </is>
      </c>
      <c r="G769" t="n">
        <v>4.2</v>
      </c>
      <c r="H769" t="n">
        <v>0</v>
      </c>
      <c r="I769" t="n">
        <v>0</v>
      </c>
      <c r="J769" t="n">
        <v>0</v>
      </c>
      <c r="K769" t="n">
        <v>0</v>
      </c>
      <c r="L769" t="n">
        <v>0</v>
      </c>
      <c r="M769" t="n">
        <v>0</v>
      </c>
      <c r="N769" t="n">
        <v>0</v>
      </c>
      <c r="O769" t="n">
        <v>0</v>
      </c>
      <c r="P769" t="n">
        <v>0</v>
      </c>
      <c r="Q769" t="n">
        <v>0</v>
      </c>
      <c r="R769" s="2" t="inlineStr"/>
    </row>
    <row r="770" ht="15" customHeight="1">
      <c r="A770" t="inlineStr">
        <is>
          <t>A 45827-2024</t>
        </is>
      </c>
      <c r="B770" s="1" t="n">
        <v>45579</v>
      </c>
      <c r="C770" s="1" t="n">
        <v>45971</v>
      </c>
      <c r="D770" t="inlineStr">
        <is>
          <t>VÄRMLANDS LÄN</t>
        </is>
      </c>
      <c r="E770" t="inlineStr">
        <is>
          <t>ÅRJÄNG</t>
        </is>
      </c>
      <c r="G770" t="n">
        <v>4.9</v>
      </c>
      <c r="H770" t="n">
        <v>0</v>
      </c>
      <c r="I770" t="n">
        <v>0</v>
      </c>
      <c r="J770" t="n">
        <v>0</v>
      </c>
      <c r="K770" t="n">
        <v>0</v>
      </c>
      <c r="L770" t="n">
        <v>0</v>
      </c>
      <c r="M770" t="n">
        <v>0</v>
      </c>
      <c r="N770" t="n">
        <v>0</v>
      </c>
      <c r="O770" t="n">
        <v>0</v>
      </c>
      <c r="P770" t="n">
        <v>0</v>
      </c>
      <c r="Q770" t="n">
        <v>0</v>
      </c>
      <c r="R770" s="2" t="inlineStr"/>
    </row>
    <row r="771" ht="15" customHeight="1">
      <c r="A771" t="inlineStr">
        <is>
          <t>A 46315-2024</t>
        </is>
      </c>
      <c r="B771" s="1" t="n">
        <v>45581.73703703703</v>
      </c>
      <c r="C771" s="1" t="n">
        <v>45971</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14910-2025</t>
        </is>
      </c>
      <c r="B772" s="1" t="n">
        <v>45743.52327546296</v>
      </c>
      <c r="C772" s="1" t="n">
        <v>45971</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32778-2024</t>
        </is>
      </c>
      <c r="B773" s="1" t="n">
        <v>45516.5083912037</v>
      </c>
      <c r="C773" s="1" t="n">
        <v>45971</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8685-2024</t>
        </is>
      </c>
      <c r="B774" s="1" t="n">
        <v>45356</v>
      </c>
      <c r="C774" s="1" t="n">
        <v>45971</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48658-2025</t>
        </is>
      </c>
      <c r="B775" s="1" t="n">
        <v>45936.56628472222</v>
      </c>
      <c r="C775" s="1" t="n">
        <v>45971</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49057-2024</t>
        </is>
      </c>
      <c r="B776" s="1" t="n">
        <v>45594</v>
      </c>
      <c r="C776" s="1" t="n">
        <v>45971</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47629-2025</t>
        </is>
      </c>
      <c r="B777" s="1" t="n">
        <v>45931</v>
      </c>
      <c r="C777" s="1" t="n">
        <v>45971</v>
      </c>
      <c r="D777" t="inlineStr">
        <is>
          <t>VÄRMLANDS LÄN</t>
        </is>
      </c>
      <c r="E777" t="inlineStr">
        <is>
          <t>ÅRJÄNG</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48206-2025</t>
        </is>
      </c>
      <c r="B778" s="1" t="n">
        <v>45933.4884837963</v>
      </c>
      <c r="C778" s="1" t="n">
        <v>45971</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68687-2020</t>
        </is>
      </c>
      <c r="B779" s="1" t="n">
        <v>44187</v>
      </c>
      <c r="C779" s="1" t="n">
        <v>45971</v>
      </c>
      <c r="D779" t="inlineStr">
        <is>
          <t>VÄRMLANDS LÄN</t>
        </is>
      </c>
      <c r="E779" t="inlineStr">
        <is>
          <t>ÅRJÄNG</t>
        </is>
      </c>
      <c r="G779" t="n">
        <v>7.6</v>
      </c>
      <c r="H779" t="n">
        <v>0</v>
      </c>
      <c r="I779" t="n">
        <v>0</v>
      </c>
      <c r="J779" t="n">
        <v>0</v>
      </c>
      <c r="K779" t="n">
        <v>0</v>
      </c>
      <c r="L779" t="n">
        <v>0</v>
      </c>
      <c r="M779" t="n">
        <v>0</v>
      </c>
      <c r="N779" t="n">
        <v>0</v>
      </c>
      <c r="O779" t="n">
        <v>0</v>
      </c>
      <c r="P779" t="n">
        <v>0</v>
      </c>
      <c r="Q779" t="n">
        <v>0</v>
      </c>
      <c r="R779" s="2" t="inlineStr"/>
    </row>
    <row r="780" ht="15" customHeight="1">
      <c r="A780" t="inlineStr">
        <is>
          <t>A 49441-2025</t>
        </is>
      </c>
      <c r="B780" s="1" t="n">
        <v>45938.88782407407</v>
      </c>
      <c r="C780" s="1" t="n">
        <v>45971</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49442-2025</t>
        </is>
      </c>
      <c r="B781" s="1" t="n">
        <v>45938.88975694445</v>
      </c>
      <c r="C781" s="1" t="n">
        <v>45971</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49439-2025</t>
        </is>
      </c>
      <c r="B782" s="1" t="n">
        <v>45938.88315972222</v>
      </c>
      <c r="C782" s="1" t="n">
        <v>45971</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49424-2025</t>
        </is>
      </c>
      <c r="B783" s="1" t="n">
        <v>45938.72657407408</v>
      </c>
      <c r="C783" s="1" t="n">
        <v>45971</v>
      </c>
      <c r="D783" t="inlineStr">
        <is>
          <t>VÄRMLANDS LÄN</t>
        </is>
      </c>
      <c r="E783" t="inlineStr">
        <is>
          <t>ÅRJÄNG</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49436-2025</t>
        </is>
      </c>
      <c r="B784" s="1" t="n">
        <v>45938.87913194444</v>
      </c>
      <c r="C784" s="1" t="n">
        <v>45971</v>
      </c>
      <c r="D784" t="inlineStr">
        <is>
          <t>VÄRMLANDS LÄN</t>
        </is>
      </c>
      <c r="E784" t="inlineStr">
        <is>
          <t>ÅRJÄNG</t>
        </is>
      </c>
      <c r="G784" t="n">
        <v>13.9</v>
      </c>
      <c r="H784" t="n">
        <v>0</v>
      </c>
      <c r="I784" t="n">
        <v>0</v>
      </c>
      <c r="J784" t="n">
        <v>0</v>
      </c>
      <c r="K784" t="n">
        <v>0</v>
      </c>
      <c r="L784" t="n">
        <v>0</v>
      </c>
      <c r="M784" t="n">
        <v>0</v>
      </c>
      <c r="N784" t="n">
        <v>0</v>
      </c>
      <c r="O784" t="n">
        <v>0</v>
      </c>
      <c r="P784" t="n">
        <v>0</v>
      </c>
      <c r="Q784" t="n">
        <v>0</v>
      </c>
      <c r="R784" s="2" t="inlineStr"/>
    </row>
    <row r="785" ht="15" customHeight="1">
      <c r="A785" t="inlineStr">
        <is>
          <t>A 49437-2025</t>
        </is>
      </c>
      <c r="B785" s="1" t="n">
        <v>45938.8803587963</v>
      </c>
      <c r="C785" s="1" t="n">
        <v>45971</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40497-2025</t>
        </is>
      </c>
      <c r="B786" s="1" t="n">
        <v>45896.32087962963</v>
      </c>
      <c r="C786" s="1" t="n">
        <v>45971</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42230-2024</t>
        </is>
      </c>
      <c r="B787" s="1" t="n">
        <v>45562</v>
      </c>
      <c r="C787" s="1" t="n">
        <v>45971</v>
      </c>
      <c r="D787" t="inlineStr">
        <is>
          <t>VÄRMLANDS LÄN</t>
        </is>
      </c>
      <c r="E787" t="inlineStr">
        <is>
          <t>ÅRJÄNG</t>
        </is>
      </c>
      <c r="G787" t="n">
        <v>8.6</v>
      </c>
      <c r="H787" t="n">
        <v>0</v>
      </c>
      <c r="I787" t="n">
        <v>0</v>
      </c>
      <c r="J787" t="n">
        <v>0</v>
      </c>
      <c r="K787" t="n">
        <v>0</v>
      </c>
      <c r="L787" t="n">
        <v>0</v>
      </c>
      <c r="M787" t="n">
        <v>0</v>
      </c>
      <c r="N787" t="n">
        <v>0</v>
      </c>
      <c r="O787" t="n">
        <v>0</v>
      </c>
      <c r="P787" t="n">
        <v>0</v>
      </c>
      <c r="Q787" t="n">
        <v>0</v>
      </c>
      <c r="R787" s="2" t="inlineStr"/>
    </row>
    <row r="788" ht="15" customHeight="1">
      <c r="A788" t="inlineStr">
        <is>
          <t>A 64690-2023</t>
        </is>
      </c>
      <c r="B788" s="1" t="n">
        <v>45281.63434027778</v>
      </c>
      <c r="C788" s="1" t="n">
        <v>45971</v>
      </c>
      <c r="D788" t="inlineStr">
        <is>
          <t>VÄRMLANDS LÄN</t>
        </is>
      </c>
      <c r="E788" t="inlineStr">
        <is>
          <t>ÅRJÄNG</t>
        </is>
      </c>
      <c r="G788" t="n">
        <v>2.1</v>
      </c>
      <c r="H788" t="n">
        <v>0</v>
      </c>
      <c r="I788" t="n">
        <v>0</v>
      </c>
      <c r="J788" t="n">
        <v>0</v>
      </c>
      <c r="K788" t="n">
        <v>0</v>
      </c>
      <c r="L788" t="n">
        <v>0</v>
      </c>
      <c r="M788" t="n">
        <v>0</v>
      </c>
      <c r="N788" t="n">
        <v>0</v>
      </c>
      <c r="O788" t="n">
        <v>0</v>
      </c>
      <c r="P788" t="n">
        <v>0</v>
      </c>
      <c r="Q788" t="n">
        <v>0</v>
      </c>
      <c r="R788" s="2" t="inlineStr"/>
    </row>
    <row r="789" ht="15" customHeight="1">
      <c r="A789" t="inlineStr">
        <is>
          <t>A 9489-2025</t>
        </is>
      </c>
      <c r="B789" s="1" t="n">
        <v>45715</v>
      </c>
      <c r="C789" s="1" t="n">
        <v>45971</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37220-2024</t>
        </is>
      </c>
      <c r="B790" s="1" t="n">
        <v>45539.84837962963</v>
      </c>
      <c r="C790" s="1" t="n">
        <v>45971</v>
      </c>
      <c r="D790" t="inlineStr">
        <is>
          <t>VÄRMLANDS LÄN</t>
        </is>
      </c>
      <c r="E790" t="inlineStr">
        <is>
          <t>ÅRJÄNG</t>
        </is>
      </c>
      <c r="G790" t="n">
        <v>3.5</v>
      </c>
      <c r="H790" t="n">
        <v>0</v>
      </c>
      <c r="I790" t="n">
        <v>0</v>
      </c>
      <c r="J790" t="n">
        <v>0</v>
      </c>
      <c r="K790" t="n">
        <v>0</v>
      </c>
      <c r="L790" t="n">
        <v>0</v>
      </c>
      <c r="M790" t="n">
        <v>0</v>
      </c>
      <c r="N790" t="n">
        <v>0</v>
      </c>
      <c r="O790" t="n">
        <v>0</v>
      </c>
      <c r="P790" t="n">
        <v>0</v>
      </c>
      <c r="Q790" t="n">
        <v>0</v>
      </c>
      <c r="R790" s="2" t="inlineStr"/>
    </row>
    <row r="791" ht="15" customHeight="1">
      <c r="A791" t="inlineStr">
        <is>
          <t>A 7574-2024</t>
        </is>
      </c>
      <c r="B791" s="1" t="n">
        <v>45348</v>
      </c>
      <c r="C791" s="1" t="n">
        <v>45971</v>
      </c>
      <c r="D791" t="inlineStr">
        <is>
          <t>VÄRMLANDS LÄN</t>
        </is>
      </c>
      <c r="E791" t="inlineStr">
        <is>
          <t>ÅRJÄNG</t>
        </is>
      </c>
      <c r="G791" t="n">
        <v>4.6</v>
      </c>
      <c r="H791" t="n">
        <v>0</v>
      </c>
      <c r="I791" t="n">
        <v>0</v>
      </c>
      <c r="J791" t="n">
        <v>0</v>
      </c>
      <c r="K791" t="n">
        <v>0</v>
      </c>
      <c r="L791" t="n">
        <v>0</v>
      </c>
      <c r="M791" t="n">
        <v>0</v>
      </c>
      <c r="N791" t="n">
        <v>0</v>
      </c>
      <c r="O791" t="n">
        <v>0</v>
      </c>
      <c r="P791" t="n">
        <v>0</v>
      </c>
      <c r="Q791" t="n">
        <v>0</v>
      </c>
      <c r="R791" s="2" t="inlineStr"/>
    </row>
    <row r="792" ht="15" customHeight="1">
      <c r="A792" t="inlineStr">
        <is>
          <t>A 40449-2025</t>
        </is>
      </c>
      <c r="B792" s="1" t="n">
        <v>45895</v>
      </c>
      <c r="C792" s="1" t="n">
        <v>45971</v>
      </c>
      <c r="D792" t="inlineStr">
        <is>
          <t>VÄRMLANDS LÄN</t>
        </is>
      </c>
      <c r="E792" t="inlineStr">
        <is>
          <t>ÅRJÄNG</t>
        </is>
      </c>
      <c r="G792" t="n">
        <v>2.5</v>
      </c>
      <c r="H792" t="n">
        <v>0</v>
      </c>
      <c r="I792" t="n">
        <v>0</v>
      </c>
      <c r="J792" t="n">
        <v>0</v>
      </c>
      <c r="K792" t="n">
        <v>0</v>
      </c>
      <c r="L792" t="n">
        <v>0</v>
      </c>
      <c r="M792" t="n">
        <v>0</v>
      </c>
      <c r="N792" t="n">
        <v>0</v>
      </c>
      <c r="O792" t="n">
        <v>0</v>
      </c>
      <c r="P792" t="n">
        <v>0</v>
      </c>
      <c r="Q792" t="n">
        <v>0</v>
      </c>
      <c r="R792" s="2" t="inlineStr"/>
    </row>
    <row r="793" ht="15" customHeight="1">
      <c r="A793" t="inlineStr">
        <is>
          <t>A 12006-2023</t>
        </is>
      </c>
      <c r="B793" s="1" t="n">
        <v>44995.61495370371</v>
      </c>
      <c r="C793" s="1" t="n">
        <v>45971</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60886-2023</t>
        </is>
      </c>
      <c r="B794" s="1" t="n">
        <v>45261</v>
      </c>
      <c r="C794" s="1" t="n">
        <v>45971</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31622-2024</t>
        </is>
      </c>
      <c r="B795" s="1" t="n">
        <v>45506</v>
      </c>
      <c r="C795" s="1" t="n">
        <v>45971</v>
      </c>
      <c r="D795" t="inlineStr">
        <is>
          <t>VÄRMLANDS LÄN</t>
        </is>
      </c>
      <c r="E795" t="inlineStr">
        <is>
          <t>ÅRJÄNG</t>
        </is>
      </c>
      <c r="G795" t="n">
        <v>4</v>
      </c>
      <c r="H795" t="n">
        <v>0</v>
      </c>
      <c r="I795" t="n">
        <v>0</v>
      </c>
      <c r="J795" t="n">
        <v>0</v>
      </c>
      <c r="K795" t="n">
        <v>0</v>
      </c>
      <c r="L795" t="n">
        <v>0</v>
      </c>
      <c r="M795" t="n">
        <v>0</v>
      </c>
      <c r="N795" t="n">
        <v>0</v>
      </c>
      <c r="O795" t="n">
        <v>0</v>
      </c>
      <c r="P795" t="n">
        <v>0</v>
      </c>
      <c r="Q795" t="n">
        <v>0</v>
      </c>
      <c r="R795" s="2" t="inlineStr"/>
    </row>
    <row r="796" ht="15" customHeight="1">
      <c r="A796" t="inlineStr">
        <is>
          <t>A 4189-2025</t>
        </is>
      </c>
      <c r="B796" s="1" t="n">
        <v>45685</v>
      </c>
      <c r="C796" s="1" t="n">
        <v>45971</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40602-2025</t>
        </is>
      </c>
      <c r="B797" s="1" t="n">
        <v>45896</v>
      </c>
      <c r="C797" s="1" t="n">
        <v>45971</v>
      </c>
      <c r="D797" t="inlineStr">
        <is>
          <t>VÄRMLANDS LÄN</t>
        </is>
      </c>
      <c r="E797" t="inlineStr">
        <is>
          <t>ÅRJÄNG</t>
        </is>
      </c>
      <c r="G797" t="n">
        <v>1.8</v>
      </c>
      <c r="H797" t="n">
        <v>0</v>
      </c>
      <c r="I797" t="n">
        <v>0</v>
      </c>
      <c r="J797" t="n">
        <v>0</v>
      </c>
      <c r="K797" t="n">
        <v>0</v>
      </c>
      <c r="L797" t="n">
        <v>0</v>
      </c>
      <c r="M797" t="n">
        <v>0</v>
      </c>
      <c r="N797" t="n">
        <v>0</v>
      </c>
      <c r="O797" t="n">
        <v>0</v>
      </c>
      <c r="P797" t="n">
        <v>0</v>
      </c>
      <c r="Q797" t="n">
        <v>0</v>
      </c>
      <c r="R797" s="2" t="inlineStr"/>
    </row>
    <row r="798" ht="15" customHeight="1">
      <c r="A798" t="inlineStr">
        <is>
          <t>A 40601-2025</t>
        </is>
      </c>
      <c r="B798" s="1" t="n">
        <v>45896</v>
      </c>
      <c r="C798" s="1" t="n">
        <v>45971</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24216-2024</t>
        </is>
      </c>
      <c r="B799" s="1" t="n">
        <v>45457</v>
      </c>
      <c r="C799" s="1" t="n">
        <v>45971</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52803-2024</t>
        </is>
      </c>
      <c r="B800" s="1" t="n">
        <v>45610</v>
      </c>
      <c r="C800" s="1" t="n">
        <v>45971</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20747-2025</t>
        </is>
      </c>
      <c r="B801" s="1" t="n">
        <v>45776.56221064815</v>
      </c>
      <c r="C801" s="1" t="n">
        <v>45971</v>
      </c>
      <c r="D801" t="inlineStr">
        <is>
          <t>VÄRMLANDS LÄN</t>
        </is>
      </c>
      <c r="E801" t="inlineStr">
        <is>
          <t>ÅRJÄNG</t>
        </is>
      </c>
      <c r="G801" t="n">
        <v>12.2</v>
      </c>
      <c r="H801" t="n">
        <v>0</v>
      </c>
      <c r="I801" t="n">
        <v>0</v>
      </c>
      <c r="J801" t="n">
        <v>0</v>
      </c>
      <c r="K801" t="n">
        <v>0</v>
      </c>
      <c r="L801" t="n">
        <v>0</v>
      </c>
      <c r="M801" t="n">
        <v>0</v>
      </c>
      <c r="N801" t="n">
        <v>0</v>
      </c>
      <c r="O801" t="n">
        <v>0</v>
      </c>
      <c r="P801" t="n">
        <v>0</v>
      </c>
      <c r="Q801" t="n">
        <v>0</v>
      </c>
      <c r="R801" s="2" t="inlineStr"/>
    </row>
    <row r="802" ht="15" customHeight="1">
      <c r="A802" t="inlineStr">
        <is>
          <t>A 6405-2024</t>
        </is>
      </c>
      <c r="B802" s="1" t="n">
        <v>45338</v>
      </c>
      <c r="C802" s="1" t="n">
        <v>45971</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50112-2024</t>
        </is>
      </c>
      <c r="B803" s="1" t="n">
        <v>45600</v>
      </c>
      <c r="C803" s="1" t="n">
        <v>45971</v>
      </c>
      <c r="D803" t="inlineStr">
        <is>
          <t>VÄRMLANDS LÄN</t>
        </is>
      </c>
      <c r="E803" t="inlineStr">
        <is>
          <t>ÅRJÄNG</t>
        </is>
      </c>
      <c r="G803" t="n">
        <v>2.8</v>
      </c>
      <c r="H803" t="n">
        <v>0</v>
      </c>
      <c r="I803" t="n">
        <v>0</v>
      </c>
      <c r="J803" t="n">
        <v>0</v>
      </c>
      <c r="K803" t="n">
        <v>0</v>
      </c>
      <c r="L803" t="n">
        <v>0</v>
      </c>
      <c r="M803" t="n">
        <v>0</v>
      </c>
      <c r="N803" t="n">
        <v>0</v>
      </c>
      <c r="O803" t="n">
        <v>0</v>
      </c>
      <c r="P803" t="n">
        <v>0</v>
      </c>
      <c r="Q803" t="n">
        <v>0</v>
      </c>
      <c r="R803" s="2" t="inlineStr"/>
    </row>
    <row r="804" ht="15" customHeight="1">
      <c r="A804" t="inlineStr">
        <is>
          <t>A 13859-2023</t>
        </is>
      </c>
      <c r="B804" s="1" t="n">
        <v>45007.63384259259</v>
      </c>
      <c r="C804" s="1" t="n">
        <v>45971</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18388-2025</t>
        </is>
      </c>
      <c r="B805" s="1" t="n">
        <v>45762</v>
      </c>
      <c r="C805" s="1" t="n">
        <v>45971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20975-2025</t>
        </is>
      </c>
      <c r="B806" s="1" t="n">
        <v>45777.45922453704</v>
      </c>
      <c r="C806" s="1" t="n">
        <v>45971</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20957-2025</t>
        </is>
      </c>
      <c r="B807" s="1" t="n">
        <v>45777.44613425926</v>
      </c>
      <c r="C807" s="1" t="n">
        <v>45971</v>
      </c>
      <c r="D807" t="inlineStr">
        <is>
          <t>VÄRMLANDS LÄN</t>
        </is>
      </c>
      <c r="E807" t="inlineStr">
        <is>
          <t>ÅRJÄNG</t>
        </is>
      </c>
      <c r="G807" t="n">
        <v>6.2</v>
      </c>
      <c r="H807" t="n">
        <v>0</v>
      </c>
      <c r="I807" t="n">
        <v>0</v>
      </c>
      <c r="J807" t="n">
        <v>0</v>
      </c>
      <c r="K807" t="n">
        <v>0</v>
      </c>
      <c r="L807" t="n">
        <v>0</v>
      </c>
      <c r="M807" t="n">
        <v>0</v>
      </c>
      <c r="N807" t="n">
        <v>0</v>
      </c>
      <c r="O807" t="n">
        <v>0</v>
      </c>
      <c r="P807" t="n">
        <v>0</v>
      </c>
      <c r="Q807" t="n">
        <v>0</v>
      </c>
      <c r="R807" s="2" t="inlineStr"/>
    </row>
    <row r="808" ht="15" customHeight="1">
      <c r="A808" t="inlineStr">
        <is>
          <t>A 63796-2021</t>
        </is>
      </c>
      <c r="B808" s="1" t="n">
        <v>44509</v>
      </c>
      <c r="C808" s="1" t="n">
        <v>45971</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56168-2024</t>
        </is>
      </c>
      <c r="B809" s="1" t="n">
        <v>45623</v>
      </c>
      <c r="C809" s="1" t="n">
        <v>45971</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1912-2024</t>
        </is>
      </c>
      <c r="B810" s="1" t="n">
        <v>45308</v>
      </c>
      <c r="C810" s="1" t="n">
        <v>45971</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45971</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57161-2024</t>
        </is>
      </c>
      <c r="B812" s="1" t="n">
        <v>45628</v>
      </c>
      <c r="C812" s="1" t="n">
        <v>45971</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50941-2023</t>
        </is>
      </c>
      <c r="B813" s="1" t="n">
        <v>45218</v>
      </c>
      <c r="C813" s="1" t="n">
        <v>45971</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57651-2024</t>
        </is>
      </c>
      <c r="B814" s="1" t="n">
        <v>45630</v>
      </c>
      <c r="C814" s="1" t="n">
        <v>45971</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60202-2023</t>
        </is>
      </c>
      <c r="B815" s="1" t="n">
        <v>45257</v>
      </c>
      <c r="C815" s="1" t="n">
        <v>45971</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28317-2023</t>
        </is>
      </c>
      <c r="B816" s="1" t="n">
        <v>45099</v>
      </c>
      <c r="C816" s="1" t="n">
        <v>45971</v>
      </c>
      <c r="D816" t="inlineStr">
        <is>
          <t>VÄRMLANDS LÄN</t>
        </is>
      </c>
      <c r="E816" t="inlineStr">
        <is>
          <t>ÅRJÄNG</t>
        </is>
      </c>
      <c r="G816" t="n">
        <v>10.2</v>
      </c>
      <c r="H816" t="n">
        <v>0</v>
      </c>
      <c r="I816" t="n">
        <v>0</v>
      </c>
      <c r="J816" t="n">
        <v>0</v>
      </c>
      <c r="K816" t="n">
        <v>0</v>
      </c>
      <c r="L816" t="n">
        <v>0</v>
      </c>
      <c r="M816" t="n">
        <v>0</v>
      </c>
      <c r="N816" t="n">
        <v>0</v>
      </c>
      <c r="O816" t="n">
        <v>0</v>
      </c>
      <c r="P816" t="n">
        <v>0</v>
      </c>
      <c r="Q816" t="n">
        <v>0</v>
      </c>
      <c r="R816" s="2" t="inlineStr"/>
    </row>
    <row r="817" ht="15" customHeight="1">
      <c r="A817" t="inlineStr">
        <is>
          <t>A 35133-2024</t>
        </is>
      </c>
      <c r="B817" s="1" t="n">
        <v>45529</v>
      </c>
      <c r="C817" s="1" t="n">
        <v>45971</v>
      </c>
      <c r="D817" t="inlineStr">
        <is>
          <t>VÄRMLANDS LÄN</t>
        </is>
      </c>
      <c r="E817" t="inlineStr">
        <is>
          <t>ÅRJÄNG</t>
        </is>
      </c>
      <c r="G817" t="n">
        <v>10.2</v>
      </c>
      <c r="H817" t="n">
        <v>0</v>
      </c>
      <c r="I817" t="n">
        <v>0</v>
      </c>
      <c r="J817" t="n">
        <v>0</v>
      </c>
      <c r="K817" t="n">
        <v>0</v>
      </c>
      <c r="L817" t="n">
        <v>0</v>
      </c>
      <c r="M817" t="n">
        <v>0</v>
      </c>
      <c r="N817" t="n">
        <v>0</v>
      </c>
      <c r="O817" t="n">
        <v>0</v>
      </c>
      <c r="P817" t="n">
        <v>0</v>
      </c>
      <c r="Q817" t="n">
        <v>0</v>
      </c>
      <c r="R817" s="2" t="inlineStr"/>
    </row>
    <row r="818" ht="15" customHeight="1">
      <c r="A818" t="inlineStr">
        <is>
          <t>A 4465-2022</t>
        </is>
      </c>
      <c r="B818" s="1" t="n">
        <v>44589.60690972222</v>
      </c>
      <c r="C818" s="1" t="n">
        <v>45971</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58874-2023</t>
        </is>
      </c>
      <c r="B819" s="1" t="n">
        <v>45252</v>
      </c>
      <c r="C819" s="1" t="n">
        <v>45971</v>
      </c>
      <c r="D819" t="inlineStr">
        <is>
          <t>VÄRMLANDS LÄN</t>
        </is>
      </c>
      <c r="E819" t="inlineStr">
        <is>
          <t>ÅRJÄNG</t>
        </is>
      </c>
      <c r="G819" t="n">
        <v>2.5</v>
      </c>
      <c r="H819" t="n">
        <v>0</v>
      </c>
      <c r="I819" t="n">
        <v>0</v>
      </c>
      <c r="J819" t="n">
        <v>0</v>
      </c>
      <c r="K819" t="n">
        <v>0</v>
      </c>
      <c r="L819" t="n">
        <v>0</v>
      </c>
      <c r="M819" t="n">
        <v>0</v>
      </c>
      <c r="N819" t="n">
        <v>0</v>
      </c>
      <c r="O819" t="n">
        <v>0</v>
      </c>
      <c r="P819" t="n">
        <v>0</v>
      </c>
      <c r="Q819" t="n">
        <v>0</v>
      </c>
      <c r="R819" s="2" t="inlineStr"/>
    </row>
    <row r="820" ht="15" customHeight="1">
      <c r="A820" t="inlineStr">
        <is>
          <t>A 42236-2024</t>
        </is>
      </c>
      <c r="B820" s="1" t="n">
        <v>45562</v>
      </c>
      <c r="C820" s="1" t="n">
        <v>45971</v>
      </c>
      <c r="D820" t="inlineStr">
        <is>
          <t>VÄRMLANDS LÄN</t>
        </is>
      </c>
      <c r="E820" t="inlineStr">
        <is>
          <t>ÅRJÄNG</t>
        </is>
      </c>
      <c r="G820" t="n">
        <v>3</v>
      </c>
      <c r="H820" t="n">
        <v>0</v>
      </c>
      <c r="I820" t="n">
        <v>0</v>
      </c>
      <c r="J820" t="n">
        <v>0</v>
      </c>
      <c r="K820" t="n">
        <v>0</v>
      </c>
      <c r="L820" t="n">
        <v>0</v>
      </c>
      <c r="M820" t="n">
        <v>0</v>
      </c>
      <c r="N820" t="n">
        <v>0</v>
      </c>
      <c r="O820" t="n">
        <v>0</v>
      </c>
      <c r="P820" t="n">
        <v>0</v>
      </c>
      <c r="Q820" t="n">
        <v>0</v>
      </c>
      <c r="R820" s="2" t="inlineStr"/>
    </row>
    <row r="821" ht="15" customHeight="1">
      <c r="A821" t="inlineStr">
        <is>
          <t>A 59484-2024</t>
        </is>
      </c>
      <c r="B821" s="1" t="n">
        <v>45638</v>
      </c>
      <c r="C821" s="1" t="n">
        <v>45971</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21258-2025</t>
        </is>
      </c>
      <c r="B822" s="1" t="n">
        <v>45779.59001157407</v>
      </c>
      <c r="C822" s="1" t="n">
        <v>45971</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51260-2024</t>
        </is>
      </c>
      <c r="B823" s="1" t="n">
        <v>45602</v>
      </c>
      <c r="C823" s="1" t="n">
        <v>45971</v>
      </c>
      <c r="D823" t="inlineStr">
        <is>
          <t>VÄRMLANDS LÄN</t>
        </is>
      </c>
      <c r="E823" t="inlineStr">
        <is>
          <t>ÅRJÄNG</t>
        </is>
      </c>
      <c r="G823" t="n">
        <v>1.7</v>
      </c>
      <c r="H823" t="n">
        <v>0</v>
      </c>
      <c r="I823" t="n">
        <v>0</v>
      </c>
      <c r="J823" t="n">
        <v>0</v>
      </c>
      <c r="K823" t="n">
        <v>0</v>
      </c>
      <c r="L823" t="n">
        <v>0</v>
      </c>
      <c r="M823" t="n">
        <v>0</v>
      </c>
      <c r="N823" t="n">
        <v>0</v>
      </c>
      <c r="O823" t="n">
        <v>0</v>
      </c>
      <c r="P823" t="n">
        <v>0</v>
      </c>
      <c r="Q823" t="n">
        <v>0</v>
      </c>
      <c r="R823" s="2" t="inlineStr"/>
    </row>
    <row r="824" ht="15" customHeight="1">
      <c r="A824" t="inlineStr">
        <is>
          <t>A 41205-2024</t>
        </is>
      </c>
      <c r="B824" s="1" t="n">
        <v>45559</v>
      </c>
      <c r="C824" s="1" t="n">
        <v>45971</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62357-2021</t>
        </is>
      </c>
      <c r="B825" s="1" t="n">
        <v>44503.45271990741</v>
      </c>
      <c r="C825" s="1" t="n">
        <v>45971</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29570-2023</t>
        </is>
      </c>
      <c r="B826" s="1" t="n">
        <v>45106.6989699074</v>
      </c>
      <c r="C826" s="1" t="n">
        <v>45971</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11198-2025</t>
        </is>
      </c>
      <c r="B827" s="1" t="n">
        <v>45725</v>
      </c>
      <c r="C827" s="1" t="n">
        <v>45971</v>
      </c>
      <c r="D827" t="inlineStr">
        <is>
          <t>VÄRMLANDS LÄN</t>
        </is>
      </c>
      <c r="E827" t="inlineStr">
        <is>
          <t>ÅRJÄNG</t>
        </is>
      </c>
      <c r="G827" t="n">
        <v>3.5</v>
      </c>
      <c r="H827" t="n">
        <v>0</v>
      </c>
      <c r="I827" t="n">
        <v>0</v>
      </c>
      <c r="J827" t="n">
        <v>0</v>
      </c>
      <c r="K827" t="n">
        <v>0</v>
      </c>
      <c r="L827" t="n">
        <v>0</v>
      </c>
      <c r="M827" t="n">
        <v>0</v>
      </c>
      <c r="N827" t="n">
        <v>0</v>
      </c>
      <c r="O827" t="n">
        <v>0</v>
      </c>
      <c r="P827" t="n">
        <v>0</v>
      </c>
      <c r="Q827" t="n">
        <v>0</v>
      </c>
      <c r="R827" s="2" t="inlineStr"/>
    </row>
    <row r="828" ht="15" customHeight="1">
      <c r="A828" t="inlineStr">
        <is>
          <t>A 49540-2025</t>
        </is>
      </c>
      <c r="B828" s="1" t="n">
        <v>45939.42537037037</v>
      </c>
      <c r="C828" s="1" t="n">
        <v>45971</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52382-2024</t>
        </is>
      </c>
      <c r="B829" s="1" t="n">
        <v>45608</v>
      </c>
      <c r="C829" s="1" t="n">
        <v>45971</v>
      </c>
      <c r="D829" t="inlineStr">
        <is>
          <t>VÄRMLANDS LÄN</t>
        </is>
      </c>
      <c r="E829" t="inlineStr">
        <is>
          <t>ÅRJÄNG</t>
        </is>
      </c>
      <c r="G829" t="n">
        <v>8.9</v>
      </c>
      <c r="H829" t="n">
        <v>0</v>
      </c>
      <c r="I829" t="n">
        <v>0</v>
      </c>
      <c r="J829" t="n">
        <v>0</v>
      </c>
      <c r="K829" t="n">
        <v>0</v>
      </c>
      <c r="L829" t="n">
        <v>0</v>
      </c>
      <c r="M829" t="n">
        <v>0</v>
      </c>
      <c r="N829" t="n">
        <v>0</v>
      </c>
      <c r="O829" t="n">
        <v>0</v>
      </c>
      <c r="P829" t="n">
        <v>0</v>
      </c>
      <c r="Q829" t="n">
        <v>0</v>
      </c>
      <c r="R829" s="2" t="inlineStr"/>
    </row>
    <row r="830" ht="15" customHeight="1">
      <c r="A830" t="inlineStr">
        <is>
          <t>A 29204-2023</t>
        </is>
      </c>
      <c r="B830" s="1" t="n">
        <v>45105.5669212963</v>
      </c>
      <c r="C830" s="1" t="n">
        <v>45971</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7193-2024</t>
        </is>
      </c>
      <c r="B831" s="1" t="n">
        <v>45344</v>
      </c>
      <c r="C831" s="1" t="n">
        <v>45971</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45971</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1467-2025</t>
        </is>
      </c>
      <c r="B833" s="1" t="n">
        <v>45667</v>
      </c>
      <c r="C833" s="1" t="n">
        <v>45971</v>
      </c>
      <c r="D833" t="inlineStr">
        <is>
          <t>VÄRMLANDS LÄN</t>
        </is>
      </c>
      <c r="E833" t="inlineStr">
        <is>
          <t>ÅRJÄNG</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41229-2025</t>
        </is>
      </c>
      <c r="B834" s="1" t="n">
        <v>45898.59108796297</v>
      </c>
      <c r="C834" s="1" t="n">
        <v>45971</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31793-2023</t>
        </is>
      </c>
      <c r="B835" s="1" t="n">
        <v>45118.43685185185</v>
      </c>
      <c r="C835" s="1" t="n">
        <v>45971</v>
      </c>
      <c r="D835" t="inlineStr">
        <is>
          <t>VÄRMLANDS LÄN</t>
        </is>
      </c>
      <c r="E835" t="inlineStr">
        <is>
          <t>ÅRJÄNG</t>
        </is>
      </c>
      <c r="G835" t="n">
        <v>10.9</v>
      </c>
      <c r="H835" t="n">
        <v>0</v>
      </c>
      <c r="I835" t="n">
        <v>0</v>
      </c>
      <c r="J835" t="n">
        <v>0</v>
      </c>
      <c r="K835" t="n">
        <v>0</v>
      </c>
      <c r="L835" t="n">
        <v>0</v>
      </c>
      <c r="M835" t="n">
        <v>0</v>
      </c>
      <c r="N835" t="n">
        <v>0</v>
      </c>
      <c r="O835" t="n">
        <v>0</v>
      </c>
      <c r="P835" t="n">
        <v>0</v>
      </c>
      <c r="Q835" t="n">
        <v>0</v>
      </c>
      <c r="R835" s="2" t="inlineStr"/>
    </row>
    <row r="836" ht="15" customHeight="1">
      <c r="A836" t="inlineStr">
        <is>
          <t>A 50347-2024</t>
        </is>
      </c>
      <c r="B836" s="1" t="n">
        <v>45600</v>
      </c>
      <c r="C836" s="1" t="n">
        <v>45971</v>
      </c>
      <c r="D836" t="inlineStr">
        <is>
          <t>VÄRMLANDS LÄN</t>
        </is>
      </c>
      <c r="E836" t="inlineStr">
        <is>
          <t>ÅRJÄNG</t>
        </is>
      </c>
      <c r="G836" t="n">
        <v>3</v>
      </c>
      <c r="H836" t="n">
        <v>0</v>
      </c>
      <c r="I836" t="n">
        <v>0</v>
      </c>
      <c r="J836" t="n">
        <v>0</v>
      </c>
      <c r="K836" t="n">
        <v>0</v>
      </c>
      <c r="L836" t="n">
        <v>0</v>
      </c>
      <c r="M836" t="n">
        <v>0</v>
      </c>
      <c r="N836" t="n">
        <v>0</v>
      </c>
      <c r="O836" t="n">
        <v>0</v>
      </c>
      <c r="P836" t="n">
        <v>0</v>
      </c>
      <c r="Q836" t="n">
        <v>0</v>
      </c>
      <c r="R836" s="2" t="inlineStr"/>
    </row>
    <row r="837" ht="15" customHeight="1">
      <c r="A837" t="inlineStr">
        <is>
          <t>A 17015-2023</t>
        </is>
      </c>
      <c r="B837" s="1" t="n">
        <v>45030</v>
      </c>
      <c r="C837" s="1" t="n">
        <v>45971</v>
      </c>
      <c r="D837" t="inlineStr">
        <is>
          <t>VÄRMLANDS LÄN</t>
        </is>
      </c>
      <c r="E837" t="inlineStr">
        <is>
          <t>ÅRJÄNG</t>
        </is>
      </c>
      <c r="F837" t="inlineStr">
        <is>
          <t>Övriga Aktiebolag</t>
        </is>
      </c>
      <c r="G837" t="n">
        <v>13.9</v>
      </c>
      <c r="H837" t="n">
        <v>0</v>
      </c>
      <c r="I837" t="n">
        <v>0</v>
      </c>
      <c r="J837" t="n">
        <v>0</v>
      </c>
      <c r="K837" t="n">
        <v>0</v>
      </c>
      <c r="L837" t="n">
        <v>0</v>
      </c>
      <c r="M837" t="n">
        <v>0</v>
      </c>
      <c r="N837" t="n">
        <v>0</v>
      </c>
      <c r="O837" t="n">
        <v>0</v>
      </c>
      <c r="P837" t="n">
        <v>0</v>
      </c>
      <c r="Q837" t="n">
        <v>0</v>
      </c>
      <c r="R837" s="2" t="inlineStr"/>
    </row>
    <row r="838" ht="15" customHeight="1">
      <c r="A838" t="inlineStr">
        <is>
          <t>A 67134-2020</t>
        </is>
      </c>
      <c r="B838" s="1" t="n">
        <v>44179</v>
      </c>
      <c r="C838" s="1" t="n">
        <v>45971</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22276-2025</t>
        </is>
      </c>
      <c r="B839" s="1" t="n">
        <v>45786.32737268518</v>
      </c>
      <c r="C839" s="1" t="n">
        <v>45971</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40699-2025</t>
        </is>
      </c>
      <c r="B840" s="1" t="n">
        <v>45897.31958333333</v>
      </c>
      <c r="C840" s="1" t="n">
        <v>45971</v>
      </c>
      <c r="D840" t="inlineStr">
        <is>
          <t>VÄRMLANDS LÄN</t>
        </is>
      </c>
      <c r="E840" t="inlineStr">
        <is>
          <t>ÅRJÄNG</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38840-2023</t>
        </is>
      </c>
      <c r="B841" s="1" t="n">
        <v>45163.48267361111</v>
      </c>
      <c r="C841" s="1" t="n">
        <v>45971</v>
      </c>
      <c r="D841" t="inlineStr">
        <is>
          <t>VÄRMLANDS LÄN</t>
        </is>
      </c>
      <c r="E841" t="inlineStr">
        <is>
          <t>ÅRJÄNG</t>
        </is>
      </c>
      <c r="G841" t="n">
        <v>2.4</v>
      </c>
      <c r="H841" t="n">
        <v>0</v>
      </c>
      <c r="I841" t="n">
        <v>0</v>
      </c>
      <c r="J841" t="n">
        <v>0</v>
      </c>
      <c r="K841" t="n">
        <v>0</v>
      </c>
      <c r="L841" t="n">
        <v>0</v>
      </c>
      <c r="M841" t="n">
        <v>0</v>
      </c>
      <c r="N841" t="n">
        <v>0</v>
      </c>
      <c r="O841" t="n">
        <v>0</v>
      </c>
      <c r="P841" t="n">
        <v>0</v>
      </c>
      <c r="Q841" t="n">
        <v>0</v>
      </c>
      <c r="R841" s="2" t="inlineStr"/>
    </row>
    <row r="842" ht="15" customHeight="1">
      <c r="A842" t="inlineStr">
        <is>
          <t>A 22352-2025</t>
        </is>
      </c>
      <c r="B842" s="1" t="n">
        <v>45786.45491898148</v>
      </c>
      <c r="C842" s="1" t="n">
        <v>45971</v>
      </c>
      <c r="D842" t="inlineStr">
        <is>
          <t>VÄRMLANDS LÄN</t>
        </is>
      </c>
      <c r="E842" t="inlineStr">
        <is>
          <t>ÅRJÄNG</t>
        </is>
      </c>
      <c r="G842" t="n">
        <v>5.4</v>
      </c>
      <c r="H842" t="n">
        <v>0</v>
      </c>
      <c r="I842" t="n">
        <v>0</v>
      </c>
      <c r="J842" t="n">
        <v>0</v>
      </c>
      <c r="K842" t="n">
        <v>0</v>
      </c>
      <c r="L842" t="n">
        <v>0</v>
      </c>
      <c r="M842" t="n">
        <v>0</v>
      </c>
      <c r="N842" t="n">
        <v>0</v>
      </c>
      <c r="O842" t="n">
        <v>0</v>
      </c>
      <c r="P842" t="n">
        <v>0</v>
      </c>
      <c r="Q842" t="n">
        <v>0</v>
      </c>
      <c r="R842" s="2" t="inlineStr"/>
    </row>
    <row r="843" ht="15" customHeight="1">
      <c r="A843" t="inlineStr">
        <is>
          <t>A 36195-2023</t>
        </is>
      </c>
      <c r="B843" s="1" t="n">
        <v>45149</v>
      </c>
      <c r="C843" s="1" t="n">
        <v>45971</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63203-2021</t>
        </is>
      </c>
      <c r="B844" s="1" t="n">
        <v>44507.78568287037</v>
      </c>
      <c r="C844" s="1" t="n">
        <v>45971</v>
      </c>
      <c r="D844" t="inlineStr">
        <is>
          <t>VÄRMLANDS LÄN</t>
        </is>
      </c>
      <c r="E844" t="inlineStr">
        <is>
          <t>ÅRJÄNG</t>
        </is>
      </c>
      <c r="G844" t="n">
        <v>2.8</v>
      </c>
      <c r="H844" t="n">
        <v>0</v>
      </c>
      <c r="I844" t="n">
        <v>0</v>
      </c>
      <c r="J844" t="n">
        <v>0</v>
      </c>
      <c r="K844" t="n">
        <v>0</v>
      </c>
      <c r="L844" t="n">
        <v>0</v>
      </c>
      <c r="M844" t="n">
        <v>0</v>
      </c>
      <c r="N844" t="n">
        <v>0</v>
      </c>
      <c r="O844" t="n">
        <v>0</v>
      </c>
      <c r="P844" t="n">
        <v>0</v>
      </c>
      <c r="Q844" t="n">
        <v>0</v>
      </c>
      <c r="R844" s="2" t="inlineStr"/>
    </row>
    <row r="845" ht="15" customHeight="1">
      <c r="A845" t="inlineStr">
        <is>
          <t>A 8094-2025</t>
        </is>
      </c>
      <c r="B845" s="1" t="n">
        <v>45707.68126157407</v>
      </c>
      <c r="C845" s="1" t="n">
        <v>45971</v>
      </c>
      <c r="D845" t="inlineStr">
        <is>
          <t>VÄRMLANDS LÄN</t>
        </is>
      </c>
      <c r="E845" t="inlineStr">
        <is>
          <t>ÅRJÄNG</t>
        </is>
      </c>
      <c r="G845" t="n">
        <v>12.6</v>
      </c>
      <c r="H845" t="n">
        <v>0</v>
      </c>
      <c r="I845" t="n">
        <v>0</v>
      </c>
      <c r="J845" t="n">
        <v>0</v>
      </c>
      <c r="K845" t="n">
        <v>0</v>
      </c>
      <c r="L845" t="n">
        <v>0</v>
      </c>
      <c r="M845" t="n">
        <v>0</v>
      </c>
      <c r="N845" t="n">
        <v>0</v>
      </c>
      <c r="O845" t="n">
        <v>0</v>
      </c>
      <c r="P845" t="n">
        <v>0</v>
      </c>
      <c r="Q845" t="n">
        <v>0</v>
      </c>
      <c r="R845" s="2" t="inlineStr"/>
    </row>
    <row r="846" ht="15" customHeight="1">
      <c r="A846" t="inlineStr">
        <is>
          <t>A 49936-2025</t>
        </is>
      </c>
      <c r="B846" s="1" t="n">
        <v>45940.66287037037</v>
      </c>
      <c r="C846" s="1" t="n">
        <v>45971</v>
      </c>
      <c r="D846" t="inlineStr">
        <is>
          <t>VÄRMLANDS LÄN</t>
        </is>
      </c>
      <c r="E846" t="inlineStr">
        <is>
          <t>ÅRJÄNG</t>
        </is>
      </c>
      <c r="F846" t="inlineStr">
        <is>
          <t>Kyrkan</t>
        </is>
      </c>
      <c r="G846" t="n">
        <v>5.3</v>
      </c>
      <c r="H846" t="n">
        <v>0</v>
      </c>
      <c r="I846" t="n">
        <v>0</v>
      </c>
      <c r="J846" t="n">
        <v>0</v>
      </c>
      <c r="K846" t="n">
        <v>0</v>
      </c>
      <c r="L846" t="n">
        <v>0</v>
      </c>
      <c r="M846" t="n">
        <v>0</v>
      </c>
      <c r="N846" t="n">
        <v>0</v>
      </c>
      <c r="O846" t="n">
        <v>0</v>
      </c>
      <c r="P846" t="n">
        <v>0</v>
      </c>
      <c r="Q846" t="n">
        <v>0</v>
      </c>
      <c r="R846" s="2" t="inlineStr"/>
    </row>
    <row r="847" ht="15" customHeight="1">
      <c r="A847" t="inlineStr">
        <is>
          <t>A 22281-2025</t>
        </is>
      </c>
      <c r="B847" s="1" t="n">
        <v>45786.33900462963</v>
      </c>
      <c r="C847" s="1" t="n">
        <v>45971</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7445-2024</t>
        </is>
      </c>
      <c r="B848" s="1" t="n">
        <v>45345.73023148148</v>
      </c>
      <c r="C848" s="1" t="n">
        <v>45971</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45635-2024</t>
        </is>
      </c>
      <c r="B849" s="1" t="n">
        <v>45579</v>
      </c>
      <c r="C849" s="1" t="n">
        <v>45971</v>
      </c>
      <c r="D849" t="inlineStr">
        <is>
          <t>VÄRMLANDS LÄN</t>
        </is>
      </c>
      <c r="E849" t="inlineStr">
        <is>
          <t>ÅRJÄNG</t>
        </is>
      </c>
      <c r="G849" t="n">
        <v>9.1</v>
      </c>
      <c r="H849" t="n">
        <v>0</v>
      </c>
      <c r="I849" t="n">
        <v>0</v>
      </c>
      <c r="J849" t="n">
        <v>0</v>
      </c>
      <c r="K849" t="n">
        <v>0</v>
      </c>
      <c r="L849" t="n">
        <v>0</v>
      </c>
      <c r="M849" t="n">
        <v>0</v>
      </c>
      <c r="N849" t="n">
        <v>0</v>
      </c>
      <c r="O849" t="n">
        <v>0</v>
      </c>
      <c r="P849" t="n">
        <v>0</v>
      </c>
      <c r="Q849" t="n">
        <v>0</v>
      </c>
      <c r="R849" s="2" t="inlineStr"/>
    </row>
    <row r="850" ht="15" customHeight="1">
      <c r="A850" t="inlineStr">
        <is>
          <t>A 54382-2024</t>
        </is>
      </c>
      <c r="B850" s="1" t="n">
        <v>45617.44510416667</v>
      </c>
      <c r="C850" s="1" t="n">
        <v>45971</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56115-2024</t>
        </is>
      </c>
      <c r="B851" s="1" t="n">
        <v>45624.45351851852</v>
      </c>
      <c r="C851" s="1" t="n">
        <v>45971</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56116-2024</t>
        </is>
      </c>
      <c r="B852" s="1" t="n">
        <v>45624.45506944445</v>
      </c>
      <c r="C852" s="1" t="n">
        <v>45971</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8625-2022</t>
        </is>
      </c>
      <c r="B853" s="1" t="n">
        <v>44613.61064814815</v>
      </c>
      <c r="C853" s="1" t="n">
        <v>45971</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36017-2024</t>
        </is>
      </c>
      <c r="B854" s="1" t="n">
        <v>45533</v>
      </c>
      <c r="C854" s="1" t="n">
        <v>45971</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22667-2025</t>
        </is>
      </c>
      <c r="B855" s="1" t="n">
        <v>45789</v>
      </c>
      <c r="C855" s="1" t="n">
        <v>45971</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57152-2024</t>
        </is>
      </c>
      <c r="B856" s="1" t="n">
        <v>45628</v>
      </c>
      <c r="C856" s="1" t="n">
        <v>45971</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57158-2024</t>
        </is>
      </c>
      <c r="B857" s="1" t="n">
        <v>45628</v>
      </c>
      <c r="C857" s="1" t="n">
        <v>45971</v>
      </c>
      <c r="D857" t="inlineStr">
        <is>
          <t>VÄRMLANDS LÄN</t>
        </is>
      </c>
      <c r="E857" t="inlineStr">
        <is>
          <t>ÅRJÄNG</t>
        </is>
      </c>
      <c r="G857" t="n">
        <v>6.3</v>
      </c>
      <c r="H857" t="n">
        <v>0</v>
      </c>
      <c r="I857" t="n">
        <v>0</v>
      </c>
      <c r="J857" t="n">
        <v>0</v>
      </c>
      <c r="K857" t="n">
        <v>0</v>
      </c>
      <c r="L857" t="n">
        <v>0</v>
      </c>
      <c r="M857" t="n">
        <v>0</v>
      </c>
      <c r="N857" t="n">
        <v>0</v>
      </c>
      <c r="O857" t="n">
        <v>0</v>
      </c>
      <c r="P857" t="n">
        <v>0</v>
      </c>
      <c r="Q857" t="n">
        <v>0</v>
      </c>
      <c r="R857" s="2" t="inlineStr"/>
    </row>
    <row r="858" ht="15" customHeight="1">
      <c r="A858" t="inlineStr">
        <is>
          <t>A 55686-2024</t>
        </is>
      </c>
      <c r="B858" s="1" t="n">
        <v>45622</v>
      </c>
      <c r="C858" s="1" t="n">
        <v>45971</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58540-2024</t>
        </is>
      </c>
      <c r="B859" s="1" t="n">
        <v>45635</v>
      </c>
      <c r="C859" s="1" t="n">
        <v>45971</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1929-2025</t>
        </is>
      </c>
      <c r="B860" s="1" t="n">
        <v>45671.73023148148</v>
      </c>
      <c r="C860" s="1" t="n">
        <v>45971</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23039-2025</t>
        </is>
      </c>
      <c r="B861" s="1" t="n">
        <v>45790</v>
      </c>
      <c r="C861" s="1" t="n">
        <v>45971</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22556-2025</t>
        </is>
      </c>
      <c r="B862" s="1" t="n">
        <v>45788.93663194445</v>
      </c>
      <c r="C862" s="1" t="n">
        <v>45971</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37026-2024</t>
        </is>
      </c>
      <c r="B863" s="1" t="n">
        <v>45539</v>
      </c>
      <c r="C863" s="1" t="n">
        <v>45971</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11899-2025</t>
        </is>
      </c>
      <c r="B864" s="1" t="n">
        <v>45728</v>
      </c>
      <c r="C864" s="1" t="n">
        <v>45971</v>
      </c>
      <c r="D864" t="inlineStr">
        <is>
          <t>VÄRMLANDS LÄN</t>
        </is>
      </c>
      <c r="E864" t="inlineStr">
        <is>
          <t>ÅRJÄNG</t>
        </is>
      </c>
      <c r="G864" t="n">
        <v>3.9</v>
      </c>
      <c r="H864" t="n">
        <v>0</v>
      </c>
      <c r="I864" t="n">
        <v>0</v>
      </c>
      <c r="J864" t="n">
        <v>0</v>
      </c>
      <c r="K864" t="n">
        <v>0</v>
      </c>
      <c r="L864" t="n">
        <v>0</v>
      </c>
      <c r="M864" t="n">
        <v>0</v>
      </c>
      <c r="N864" t="n">
        <v>0</v>
      </c>
      <c r="O864" t="n">
        <v>0</v>
      </c>
      <c r="P864" t="n">
        <v>0</v>
      </c>
      <c r="Q864" t="n">
        <v>0</v>
      </c>
      <c r="R864" s="2" t="inlineStr"/>
    </row>
    <row r="865" ht="15" customHeight="1">
      <c r="A865" t="inlineStr">
        <is>
          <t>A 22635-2025</t>
        </is>
      </c>
      <c r="B865" s="1" t="n">
        <v>45789</v>
      </c>
      <c r="C865" s="1" t="n">
        <v>45971</v>
      </c>
      <c r="D865" t="inlineStr">
        <is>
          <t>VÄRMLANDS LÄN</t>
        </is>
      </c>
      <c r="E865" t="inlineStr">
        <is>
          <t>ÅRJÄNG</t>
        </is>
      </c>
      <c r="G865" t="n">
        <v>5.2</v>
      </c>
      <c r="H865" t="n">
        <v>0</v>
      </c>
      <c r="I865" t="n">
        <v>0</v>
      </c>
      <c r="J865" t="n">
        <v>0</v>
      </c>
      <c r="K865" t="n">
        <v>0</v>
      </c>
      <c r="L865" t="n">
        <v>0</v>
      </c>
      <c r="M865" t="n">
        <v>0</v>
      </c>
      <c r="N865" t="n">
        <v>0</v>
      </c>
      <c r="O865" t="n">
        <v>0</v>
      </c>
      <c r="P865" t="n">
        <v>0</v>
      </c>
      <c r="Q865" t="n">
        <v>0</v>
      </c>
      <c r="R865" s="2" t="inlineStr"/>
    </row>
    <row r="866" ht="15" customHeight="1">
      <c r="A866" t="inlineStr">
        <is>
          <t>A 22727-2025</t>
        </is>
      </c>
      <c r="B866" s="1" t="n">
        <v>45789.5744212963</v>
      </c>
      <c r="C866" s="1" t="n">
        <v>45971</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49727-2025</t>
        </is>
      </c>
      <c r="B867" s="1" t="n">
        <v>45939</v>
      </c>
      <c r="C867" s="1" t="n">
        <v>45971</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47028-2024</t>
        </is>
      </c>
      <c r="B868" s="1" t="n">
        <v>45586</v>
      </c>
      <c r="C868" s="1" t="n">
        <v>45971</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37029-2024</t>
        </is>
      </c>
      <c r="B869" s="1" t="n">
        <v>45539.38806712963</v>
      </c>
      <c r="C869" s="1" t="n">
        <v>45971</v>
      </c>
      <c r="D869" t="inlineStr">
        <is>
          <t>VÄRMLANDS LÄN</t>
        </is>
      </c>
      <c r="E869" t="inlineStr">
        <is>
          <t>ÅRJÄNG</t>
        </is>
      </c>
      <c r="G869" t="n">
        <v>4.7</v>
      </c>
      <c r="H869" t="n">
        <v>0</v>
      </c>
      <c r="I869" t="n">
        <v>0</v>
      </c>
      <c r="J869" t="n">
        <v>0</v>
      </c>
      <c r="K869" t="n">
        <v>0</v>
      </c>
      <c r="L869" t="n">
        <v>0</v>
      </c>
      <c r="M869" t="n">
        <v>0</v>
      </c>
      <c r="N869" t="n">
        <v>0</v>
      </c>
      <c r="O869" t="n">
        <v>0</v>
      </c>
      <c r="P869" t="n">
        <v>0</v>
      </c>
      <c r="Q869" t="n">
        <v>0</v>
      </c>
      <c r="R869" s="2" t="inlineStr"/>
    </row>
    <row r="870" ht="15" customHeight="1">
      <c r="A870" t="inlineStr">
        <is>
          <t>A 43659-2024</t>
        </is>
      </c>
      <c r="B870" s="1" t="n">
        <v>45569</v>
      </c>
      <c r="C870" s="1" t="n">
        <v>45971</v>
      </c>
      <c r="D870" t="inlineStr">
        <is>
          <t>VÄRMLANDS LÄN</t>
        </is>
      </c>
      <c r="E870" t="inlineStr">
        <is>
          <t>ÅRJÄNG</t>
        </is>
      </c>
      <c r="G870" t="n">
        <v>6</v>
      </c>
      <c r="H870" t="n">
        <v>0</v>
      </c>
      <c r="I870" t="n">
        <v>0</v>
      </c>
      <c r="J870" t="n">
        <v>0</v>
      </c>
      <c r="K870" t="n">
        <v>0</v>
      </c>
      <c r="L870" t="n">
        <v>0</v>
      </c>
      <c r="M870" t="n">
        <v>0</v>
      </c>
      <c r="N870" t="n">
        <v>0</v>
      </c>
      <c r="O870" t="n">
        <v>0</v>
      </c>
      <c r="P870" t="n">
        <v>0</v>
      </c>
      <c r="Q870" t="n">
        <v>0</v>
      </c>
      <c r="R870" s="2" t="inlineStr"/>
    </row>
    <row r="871" ht="15" customHeight="1">
      <c r="A871" t="inlineStr">
        <is>
          <t>A 16012-2024</t>
        </is>
      </c>
      <c r="B871" s="1" t="n">
        <v>45405.6524074074</v>
      </c>
      <c r="C871" s="1" t="n">
        <v>45971</v>
      </c>
      <c r="D871" t="inlineStr">
        <is>
          <t>VÄRMLANDS LÄN</t>
        </is>
      </c>
      <c r="E871" t="inlineStr">
        <is>
          <t>ÅRJÄNG</t>
        </is>
      </c>
      <c r="G871" t="n">
        <v>6.1</v>
      </c>
      <c r="H871" t="n">
        <v>0</v>
      </c>
      <c r="I871" t="n">
        <v>0</v>
      </c>
      <c r="J871" t="n">
        <v>0</v>
      </c>
      <c r="K871" t="n">
        <v>0</v>
      </c>
      <c r="L871" t="n">
        <v>0</v>
      </c>
      <c r="M871" t="n">
        <v>0</v>
      </c>
      <c r="N871" t="n">
        <v>0</v>
      </c>
      <c r="O871" t="n">
        <v>0</v>
      </c>
      <c r="P871" t="n">
        <v>0</v>
      </c>
      <c r="Q871" t="n">
        <v>0</v>
      </c>
      <c r="R871" s="2" t="inlineStr"/>
    </row>
    <row r="872" ht="15" customHeight="1">
      <c r="A872" t="inlineStr">
        <is>
          <t>A 31794-2023</t>
        </is>
      </c>
      <c r="B872" s="1" t="n">
        <v>45118.43856481482</v>
      </c>
      <c r="C872" s="1" t="n">
        <v>45971</v>
      </c>
      <c r="D872" t="inlineStr">
        <is>
          <t>VÄRMLANDS LÄN</t>
        </is>
      </c>
      <c r="E872" t="inlineStr">
        <is>
          <t>ÅRJÄNG</t>
        </is>
      </c>
      <c r="G872" t="n">
        <v>2.3</v>
      </c>
      <c r="H872" t="n">
        <v>0</v>
      </c>
      <c r="I872" t="n">
        <v>0</v>
      </c>
      <c r="J872" t="n">
        <v>0</v>
      </c>
      <c r="K872" t="n">
        <v>0</v>
      </c>
      <c r="L872" t="n">
        <v>0</v>
      </c>
      <c r="M872" t="n">
        <v>0</v>
      </c>
      <c r="N872" t="n">
        <v>0</v>
      </c>
      <c r="O872" t="n">
        <v>0</v>
      </c>
      <c r="P872" t="n">
        <v>0</v>
      </c>
      <c r="Q872" t="n">
        <v>0</v>
      </c>
      <c r="R872" s="2" t="inlineStr"/>
    </row>
    <row r="873" ht="15" customHeight="1">
      <c r="A873" t="inlineStr">
        <is>
          <t>A 57126-2024</t>
        </is>
      </c>
      <c r="B873" s="1" t="n">
        <v>45629.37579861111</v>
      </c>
      <c r="C873" s="1" t="n">
        <v>45971</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17426-2025</t>
        </is>
      </c>
      <c r="B874" s="1" t="n">
        <v>45757.40153935185</v>
      </c>
      <c r="C874" s="1" t="n">
        <v>45971</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49914-2025</t>
        </is>
      </c>
      <c r="B875" s="1" t="n">
        <v>45940.61268518519</v>
      </c>
      <c r="C875" s="1" t="n">
        <v>45971</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58270-2024</t>
        </is>
      </c>
      <c r="B876" s="1" t="n">
        <v>45632.56928240741</v>
      </c>
      <c r="C876" s="1" t="n">
        <v>45971</v>
      </c>
      <c r="D876" t="inlineStr">
        <is>
          <t>VÄRMLANDS LÄN</t>
        </is>
      </c>
      <c r="E876" t="inlineStr">
        <is>
          <t>ÅRJÄNG</t>
        </is>
      </c>
      <c r="G876" t="n">
        <v>2.4</v>
      </c>
      <c r="H876" t="n">
        <v>0</v>
      </c>
      <c r="I876" t="n">
        <v>0</v>
      </c>
      <c r="J876" t="n">
        <v>0</v>
      </c>
      <c r="K876" t="n">
        <v>0</v>
      </c>
      <c r="L876" t="n">
        <v>0</v>
      </c>
      <c r="M876" t="n">
        <v>0</v>
      </c>
      <c r="N876" t="n">
        <v>0</v>
      </c>
      <c r="O876" t="n">
        <v>0</v>
      </c>
      <c r="P876" t="n">
        <v>0</v>
      </c>
      <c r="Q876" t="n">
        <v>0</v>
      </c>
      <c r="R876" s="2" t="inlineStr"/>
    </row>
    <row r="877" ht="15" customHeight="1">
      <c r="A877" t="inlineStr">
        <is>
          <t>A 62266-2023</t>
        </is>
      </c>
      <c r="B877" s="1" t="n">
        <v>45266</v>
      </c>
      <c r="C877" s="1" t="n">
        <v>45971</v>
      </c>
      <c r="D877" t="inlineStr">
        <is>
          <t>VÄRMLANDS LÄN</t>
        </is>
      </c>
      <c r="E877" t="inlineStr">
        <is>
          <t>ÅRJÄNG</t>
        </is>
      </c>
      <c r="G877" t="n">
        <v>10.5</v>
      </c>
      <c r="H877" t="n">
        <v>0</v>
      </c>
      <c r="I877" t="n">
        <v>0</v>
      </c>
      <c r="J877" t="n">
        <v>0</v>
      </c>
      <c r="K877" t="n">
        <v>0</v>
      </c>
      <c r="L877" t="n">
        <v>0</v>
      </c>
      <c r="M877" t="n">
        <v>0</v>
      </c>
      <c r="N877" t="n">
        <v>0</v>
      </c>
      <c r="O877" t="n">
        <v>0</v>
      </c>
      <c r="P877" t="n">
        <v>0</v>
      </c>
      <c r="Q877" t="n">
        <v>0</v>
      </c>
      <c r="R877" s="2" t="inlineStr"/>
    </row>
    <row r="878" ht="15" customHeight="1">
      <c r="A878" t="inlineStr">
        <is>
          <t>A 47981-2023</t>
        </is>
      </c>
      <c r="B878" s="1" t="n">
        <v>45198</v>
      </c>
      <c r="C878" s="1" t="n">
        <v>45971</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49728-2025</t>
        </is>
      </c>
      <c r="B879" s="1" t="n">
        <v>45939</v>
      </c>
      <c r="C879" s="1" t="n">
        <v>45971</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49959-2025</t>
        </is>
      </c>
      <c r="B880" s="1" t="n">
        <v>45941.33649305555</v>
      </c>
      <c r="C880" s="1" t="n">
        <v>45971</v>
      </c>
      <c r="D880" t="inlineStr">
        <is>
          <t>VÄRMLANDS LÄN</t>
        </is>
      </c>
      <c r="E880" t="inlineStr">
        <is>
          <t>ÅRJÄNG</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20463-2024</t>
        </is>
      </c>
      <c r="B881" s="1" t="n">
        <v>45435</v>
      </c>
      <c r="C881" s="1" t="n">
        <v>45971</v>
      </c>
      <c r="D881" t="inlineStr">
        <is>
          <t>VÄRMLANDS LÄN</t>
        </is>
      </c>
      <c r="E881" t="inlineStr">
        <is>
          <t>ÅRJÄNG</t>
        </is>
      </c>
      <c r="G881" t="n">
        <v>3.2</v>
      </c>
      <c r="H881" t="n">
        <v>0</v>
      </c>
      <c r="I881" t="n">
        <v>0</v>
      </c>
      <c r="J881" t="n">
        <v>0</v>
      </c>
      <c r="K881" t="n">
        <v>0</v>
      </c>
      <c r="L881" t="n">
        <v>0</v>
      </c>
      <c r="M881" t="n">
        <v>0</v>
      </c>
      <c r="N881" t="n">
        <v>0</v>
      </c>
      <c r="O881" t="n">
        <v>0</v>
      </c>
      <c r="P881" t="n">
        <v>0</v>
      </c>
      <c r="Q881" t="n">
        <v>0</v>
      </c>
      <c r="R881" s="2" t="inlineStr"/>
    </row>
    <row r="882" ht="15" customHeight="1">
      <c r="A882" t="inlineStr">
        <is>
          <t>A 41467-2025</t>
        </is>
      </c>
      <c r="B882" s="1" t="n">
        <v>45901.45755787037</v>
      </c>
      <c r="C882" s="1" t="n">
        <v>45971</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41496-2025</t>
        </is>
      </c>
      <c r="B883" s="1" t="n">
        <v>45901</v>
      </c>
      <c r="C883" s="1" t="n">
        <v>45971</v>
      </c>
      <c r="D883" t="inlineStr">
        <is>
          <t>VÄRMLANDS LÄN</t>
        </is>
      </c>
      <c r="E883" t="inlineStr">
        <is>
          <t>ÅRJÄNG</t>
        </is>
      </c>
      <c r="G883" t="n">
        <v>5.8</v>
      </c>
      <c r="H883" t="n">
        <v>0</v>
      </c>
      <c r="I883" t="n">
        <v>0</v>
      </c>
      <c r="J883" t="n">
        <v>0</v>
      </c>
      <c r="K883" t="n">
        <v>0</v>
      </c>
      <c r="L883" t="n">
        <v>0</v>
      </c>
      <c r="M883" t="n">
        <v>0</v>
      </c>
      <c r="N883" t="n">
        <v>0</v>
      </c>
      <c r="O883" t="n">
        <v>0</v>
      </c>
      <c r="P883" t="n">
        <v>0</v>
      </c>
      <c r="Q883" t="n">
        <v>0</v>
      </c>
      <c r="R883" s="2" t="inlineStr"/>
    </row>
    <row r="884" ht="15" customHeight="1">
      <c r="A884" t="inlineStr">
        <is>
          <t>A 41499-2025</t>
        </is>
      </c>
      <c r="B884" s="1" t="n">
        <v>45901</v>
      </c>
      <c r="C884" s="1" t="n">
        <v>45971</v>
      </c>
      <c r="D884" t="inlineStr">
        <is>
          <t>VÄRMLANDS LÄN</t>
        </is>
      </c>
      <c r="E884" t="inlineStr">
        <is>
          <t>ÅRJÄNG</t>
        </is>
      </c>
      <c r="G884" t="n">
        <v>2.7</v>
      </c>
      <c r="H884" t="n">
        <v>0</v>
      </c>
      <c r="I884" t="n">
        <v>0</v>
      </c>
      <c r="J884" t="n">
        <v>0</v>
      </c>
      <c r="K884" t="n">
        <v>0</v>
      </c>
      <c r="L884" t="n">
        <v>0</v>
      </c>
      <c r="M884" t="n">
        <v>0</v>
      </c>
      <c r="N884" t="n">
        <v>0</v>
      </c>
      <c r="O884" t="n">
        <v>0</v>
      </c>
      <c r="P884" t="n">
        <v>0</v>
      </c>
      <c r="Q884" t="n">
        <v>0</v>
      </c>
      <c r="R884" s="2" t="inlineStr"/>
    </row>
    <row r="885" ht="15" customHeight="1">
      <c r="A885" t="inlineStr">
        <is>
          <t>A 50108-2025</t>
        </is>
      </c>
      <c r="B885" s="1" t="n">
        <v>45943</v>
      </c>
      <c r="C885" s="1" t="n">
        <v>45971</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50118-2025</t>
        </is>
      </c>
      <c r="B886" s="1" t="n">
        <v>45943</v>
      </c>
      <c r="C886" s="1" t="n">
        <v>45971</v>
      </c>
      <c r="D886" t="inlineStr">
        <is>
          <t>VÄRMLANDS LÄN</t>
        </is>
      </c>
      <c r="E886" t="inlineStr">
        <is>
          <t>ÅRJÄNG</t>
        </is>
      </c>
      <c r="G886" t="n">
        <v>7.7</v>
      </c>
      <c r="H886" t="n">
        <v>0</v>
      </c>
      <c r="I886" t="n">
        <v>0</v>
      </c>
      <c r="J886" t="n">
        <v>0</v>
      </c>
      <c r="K886" t="n">
        <v>0</v>
      </c>
      <c r="L886" t="n">
        <v>0</v>
      </c>
      <c r="M886" t="n">
        <v>0</v>
      </c>
      <c r="N886" t="n">
        <v>0</v>
      </c>
      <c r="O886" t="n">
        <v>0</v>
      </c>
      <c r="P886" t="n">
        <v>0</v>
      </c>
      <c r="Q886" t="n">
        <v>0</v>
      </c>
      <c r="R886" s="2" t="inlineStr"/>
    </row>
    <row r="887" ht="15" customHeight="1">
      <c r="A887" t="inlineStr">
        <is>
          <t>A 50187-2025</t>
        </is>
      </c>
      <c r="B887" s="1" t="n">
        <v>45943.62962962963</v>
      </c>
      <c r="C887" s="1" t="n">
        <v>45971</v>
      </c>
      <c r="D887" t="inlineStr">
        <is>
          <t>VÄRMLANDS LÄN</t>
        </is>
      </c>
      <c r="E887" t="inlineStr">
        <is>
          <t>ÅRJÄNG</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41763-2025</t>
        </is>
      </c>
      <c r="B888" s="1" t="n">
        <v>45902.54175925926</v>
      </c>
      <c r="C888" s="1" t="n">
        <v>45971</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41772-2025</t>
        </is>
      </c>
      <c r="B889" s="1" t="n">
        <v>45902.55828703703</v>
      </c>
      <c r="C889" s="1" t="n">
        <v>45971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41771-2025</t>
        </is>
      </c>
      <c r="B890" s="1" t="n">
        <v>45902.55228009259</v>
      </c>
      <c r="C890" s="1" t="n">
        <v>45971</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50050-2025</t>
        </is>
      </c>
      <c r="B891" s="1" t="n">
        <v>45942</v>
      </c>
      <c r="C891" s="1" t="n">
        <v>45971</v>
      </c>
      <c r="D891" t="inlineStr">
        <is>
          <t>VÄRMLANDS LÄN</t>
        </is>
      </c>
      <c r="E891" t="inlineStr">
        <is>
          <t>ÅRJÄNG</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50114-2025</t>
        </is>
      </c>
      <c r="B892" s="1" t="n">
        <v>45943</v>
      </c>
      <c r="C892" s="1" t="n">
        <v>45971</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49958-2025</t>
        </is>
      </c>
      <c r="B893" s="1" t="n">
        <v>45941.33325231481</v>
      </c>
      <c r="C893" s="1" t="n">
        <v>45971</v>
      </c>
      <c r="D893" t="inlineStr">
        <is>
          <t>VÄRMLANDS LÄN</t>
        </is>
      </c>
      <c r="E893" t="inlineStr">
        <is>
          <t>ÅRJÄNG</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73363-2021</t>
        </is>
      </c>
      <c r="B894" s="1" t="n">
        <v>44550</v>
      </c>
      <c r="C894" s="1" t="n">
        <v>45971</v>
      </c>
      <c r="D894" t="inlineStr">
        <is>
          <t>VÄRMLANDS LÄN</t>
        </is>
      </c>
      <c r="E894" t="inlineStr">
        <is>
          <t>ÅRJÄNG</t>
        </is>
      </c>
      <c r="G894" t="n">
        <v>11.5</v>
      </c>
      <c r="H894" t="n">
        <v>0</v>
      </c>
      <c r="I894" t="n">
        <v>0</v>
      </c>
      <c r="J894" t="n">
        <v>0</v>
      </c>
      <c r="K894" t="n">
        <v>0</v>
      </c>
      <c r="L894" t="n">
        <v>0</v>
      </c>
      <c r="M894" t="n">
        <v>0</v>
      </c>
      <c r="N894" t="n">
        <v>0</v>
      </c>
      <c r="O894" t="n">
        <v>0</v>
      </c>
      <c r="P894" t="n">
        <v>0</v>
      </c>
      <c r="Q894" t="n">
        <v>0</v>
      </c>
      <c r="R894" s="2" t="inlineStr"/>
    </row>
    <row r="895" ht="15" customHeight="1">
      <c r="A895" t="inlineStr">
        <is>
          <t>A 1289-2025</t>
        </is>
      </c>
      <c r="B895" s="1" t="n">
        <v>45667.51412037037</v>
      </c>
      <c r="C895" s="1" t="n">
        <v>45971</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41488-2025</t>
        </is>
      </c>
      <c r="B896" s="1" t="n">
        <v>45901.48288194444</v>
      </c>
      <c r="C896" s="1" t="n">
        <v>45971</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30993-2024</t>
        </is>
      </c>
      <c r="B897" s="1" t="n">
        <v>45499</v>
      </c>
      <c r="C897" s="1" t="n">
        <v>45971</v>
      </c>
      <c r="D897" t="inlineStr">
        <is>
          <t>VÄRMLANDS LÄN</t>
        </is>
      </c>
      <c r="E897" t="inlineStr">
        <is>
          <t>ÅRJÄNG</t>
        </is>
      </c>
      <c r="F897" t="inlineStr">
        <is>
          <t>Kyrkan</t>
        </is>
      </c>
      <c r="G897" t="n">
        <v>4.7</v>
      </c>
      <c r="H897" t="n">
        <v>0</v>
      </c>
      <c r="I897" t="n">
        <v>0</v>
      </c>
      <c r="J897" t="n">
        <v>0</v>
      </c>
      <c r="K897" t="n">
        <v>0</v>
      </c>
      <c r="L897" t="n">
        <v>0</v>
      </c>
      <c r="M897" t="n">
        <v>0</v>
      </c>
      <c r="N897" t="n">
        <v>0</v>
      </c>
      <c r="O897" t="n">
        <v>0</v>
      </c>
      <c r="P897" t="n">
        <v>0</v>
      </c>
      <c r="Q897" t="n">
        <v>0</v>
      </c>
      <c r="R897" s="2" t="inlineStr"/>
    </row>
    <row r="898" ht="15" customHeight="1">
      <c r="A898" t="inlineStr">
        <is>
          <t>A 37122-2022</t>
        </is>
      </c>
      <c r="B898" s="1" t="n">
        <v>44806</v>
      </c>
      <c r="C898" s="1" t="n">
        <v>45971</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59014-2024</t>
        </is>
      </c>
      <c r="B899" s="1" t="n">
        <v>45636</v>
      </c>
      <c r="C899" s="1" t="n">
        <v>45971</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521-2025</t>
        </is>
      </c>
      <c r="B900" s="1" t="n">
        <v>45664.48826388889</v>
      </c>
      <c r="C900" s="1" t="n">
        <v>45971</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37061-2023</t>
        </is>
      </c>
      <c r="B901" s="1" t="n">
        <v>45155</v>
      </c>
      <c r="C901" s="1" t="n">
        <v>45971</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20028-2023</t>
        </is>
      </c>
      <c r="B902" s="1" t="n">
        <v>45054.64534722222</v>
      </c>
      <c r="C902" s="1" t="n">
        <v>45971</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34643-2024</t>
        </is>
      </c>
      <c r="B903" s="1" t="n">
        <v>45526</v>
      </c>
      <c r="C903" s="1" t="n">
        <v>45971</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56644-2024</t>
        </is>
      </c>
      <c r="B904" s="1" t="n">
        <v>45625</v>
      </c>
      <c r="C904" s="1" t="n">
        <v>45971</v>
      </c>
      <c r="D904" t="inlineStr">
        <is>
          <t>VÄRMLANDS LÄN</t>
        </is>
      </c>
      <c r="E904" t="inlineStr">
        <is>
          <t>ÅRJÄNG</t>
        </is>
      </c>
      <c r="G904" t="n">
        <v>12.6</v>
      </c>
      <c r="H904" t="n">
        <v>0</v>
      </c>
      <c r="I904" t="n">
        <v>0</v>
      </c>
      <c r="J904" t="n">
        <v>0</v>
      </c>
      <c r="K904" t="n">
        <v>0</v>
      </c>
      <c r="L904" t="n">
        <v>0</v>
      </c>
      <c r="M904" t="n">
        <v>0</v>
      </c>
      <c r="N904" t="n">
        <v>0</v>
      </c>
      <c r="O904" t="n">
        <v>0</v>
      </c>
      <c r="P904" t="n">
        <v>0</v>
      </c>
      <c r="Q904" t="n">
        <v>0</v>
      </c>
      <c r="R904" s="2" t="inlineStr"/>
    </row>
    <row r="905" ht="15" customHeight="1">
      <c r="A905" t="inlineStr">
        <is>
          <t>A 40360-2024</t>
        </is>
      </c>
      <c r="B905" s="1" t="n">
        <v>45555</v>
      </c>
      <c r="C905" s="1" t="n">
        <v>45971</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45124-2024</t>
        </is>
      </c>
      <c r="B906" s="1" t="n">
        <v>45575</v>
      </c>
      <c r="C906" s="1" t="n">
        <v>45971</v>
      </c>
      <c r="D906" t="inlineStr">
        <is>
          <t>VÄRMLANDS LÄN</t>
        </is>
      </c>
      <c r="E906" t="inlineStr">
        <is>
          <t>ÅRJÄNG</t>
        </is>
      </c>
      <c r="G906" t="n">
        <v>2.8</v>
      </c>
      <c r="H906" t="n">
        <v>0</v>
      </c>
      <c r="I906" t="n">
        <v>0</v>
      </c>
      <c r="J906" t="n">
        <v>0</v>
      </c>
      <c r="K906" t="n">
        <v>0</v>
      </c>
      <c r="L906" t="n">
        <v>0</v>
      </c>
      <c r="M906" t="n">
        <v>0</v>
      </c>
      <c r="N906" t="n">
        <v>0</v>
      </c>
      <c r="O906" t="n">
        <v>0</v>
      </c>
      <c r="P906" t="n">
        <v>0</v>
      </c>
      <c r="Q906" t="n">
        <v>0</v>
      </c>
      <c r="R906" s="2" t="inlineStr"/>
    </row>
    <row r="907" ht="15" customHeight="1">
      <c r="A907" t="inlineStr">
        <is>
          <t>A 5507-2024</t>
        </is>
      </c>
      <c r="B907" s="1" t="n">
        <v>45334.36188657407</v>
      </c>
      <c r="C907" s="1" t="n">
        <v>45971</v>
      </c>
      <c r="D907" t="inlineStr">
        <is>
          <t>VÄRMLANDS LÄN</t>
        </is>
      </c>
      <c r="E907" t="inlineStr">
        <is>
          <t>ÅRJÄNG</t>
        </is>
      </c>
      <c r="G907" t="n">
        <v>4.8</v>
      </c>
      <c r="H907" t="n">
        <v>0</v>
      </c>
      <c r="I907" t="n">
        <v>0</v>
      </c>
      <c r="J907" t="n">
        <v>0</v>
      </c>
      <c r="K907" t="n">
        <v>0</v>
      </c>
      <c r="L907" t="n">
        <v>0</v>
      </c>
      <c r="M907" t="n">
        <v>0</v>
      </c>
      <c r="N907" t="n">
        <v>0</v>
      </c>
      <c r="O907" t="n">
        <v>0</v>
      </c>
      <c r="P907" t="n">
        <v>0</v>
      </c>
      <c r="Q907" t="n">
        <v>0</v>
      </c>
      <c r="R907" s="2" t="inlineStr"/>
    </row>
    <row r="908" ht="15" customHeight="1">
      <c r="A908" t="inlineStr">
        <is>
          <t>A 50112-2025</t>
        </is>
      </c>
      <c r="B908" s="1" t="n">
        <v>45943</v>
      </c>
      <c r="C908" s="1" t="n">
        <v>45971</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73623-2021</t>
        </is>
      </c>
      <c r="B909" s="1" t="n">
        <v>44552</v>
      </c>
      <c r="C909" s="1" t="n">
        <v>45971</v>
      </c>
      <c r="D909" t="inlineStr">
        <is>
          <t>VÄRMLANDS LÄN</t>
        </is>
      </c>
      <c r="E909" t="inlineStr">
        <is>
          <t>ÅRJÄNG</t>
        </is>
      </c>
      <c r="G909" t="n">
        <v>7.4</v>
      </c>
      <c r="H909" t="n">
        <v>0</v>
      </c>
      <c r="I909" t="n">
        <v>0</v>
      </c>
      <c r="J909" t="n">
        <v>0</v>
      </c>
      <c r="K909" t="n">
        <v>0</v>
      </c>
      <c r="L909" t="n">
        <v>0</v>
      </c>
      <c r="M909" t="n">
        <v>0</v>
      </c>
      <c r="N909" t="n">
        <v>0</v>
      </c>
      <c r="O909" t="n">
        <v>0</v>
      </c>
      <c r="P909" t="n">
        <v>0</v>
      </c>
      <c r="Q909" t="n">
        <v>0</v>
      </c>
      <c r="R909" s="2" t="inlineStr"/>
    </row>
    <row r="910" ht="15" customHeight="1">
      <c r="A910" t="inlineStr">
        <is>
          <t>A 4606-2024</t>
        </is>
      </c>
      <c r="B910" s="1" t="n">
        <v>45328.3225</v>
      </c>
      <c r="C910" s="1" t="n">
        <v>45971</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53332-2023</t>
        </is>
      </c>
      <c r="B911" s="1" t="n">
        <v>45229</v>
      </c>
      <c r="C911" s="1" t="n">
        <v>45971</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19313-2023</t>
        </is>
      </c>
      <c r="B912" s="1" t="n">
        <v>45049</v>
      </c>
      <c r="C912" s="1" t="n">
        <v>45971</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50918-2023</t>
        </is>
      </c>
      <c r="B913" s="1" t="n">
        <v>45218.4339699074</v>
      </c>
      <c r="C913" s="1" t="n">
        <v>45971</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41725-2025</t>
        </is>
      </c>
      <c r="B914" s="1" t="n">
        <v>45902.45458333333</v>
      </c>
      <c r="C914" s="1" t="n">
        <v>45971</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56342-2024</t>
        </is>
      </c>
      <c r="B915" s="1" t="n">
        <v>45624</v>
      </c>
      <c r="C915" s="1" t="n">
        <v>45971</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56347-2024</t>
        </is>
      </c>
      <c r="B916" s="1" t="n">
        <v>45624</v>
      </c>
      <c r="C916" s="1" t="n">
        <v>45971</v>
      </c>
      <c r="D916" t="inlineStr">
        <is>
          <t>VÄRMLANDS LÄN</t>
        </is>
      </c>
      <c r="E916" t="inlineStr">
        <is>
          <t>ÅRJÄNG</t>
        </is>
      </c>
      <c r="G916" t="n">
        <v>4.7</v>
      </c>
      <c r="H916" t="n">
        <v>0</v>
      </c>
      <c r="I916" t="n">
        <v>0</v>
      </c>
      <c r="J916" t="n">
        <v>0</v>
      </c>
      <c r="K916" t="n">
        <v>0</v>
      </c>
      <c r="L916" t="n">
        <v>0</v>
      </c>
      <c r="M916" t="n">
        <v>0</v>
      </c>
      <c r="N916" t="n">
        <v>0</v>
      </c>
      <c r="O916" t="n">
        <v>0</v>
      </c>
      <c r="P916" t="n">
        <v>0</v>
      </c>
      <c r="Q916" t="n">
        <v>0</v>
      </c>
      <c r="R916" s="2" t="inlineStr"/>
    </row>
    <row r="917" ht="15" customHeight="1">
      <c r="A917" t="inlineStr">
        <is>
          <t>A 24252-2025</t>
        </is>
      </c>
      <c r="B917" s="1" t="n">
        <v>45797.40376157407</v>
      </c>
      <c r="C917" s="1" t="n">
        <v>45971</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41201-2024</t>
        </is>
      </c>
      <c r="B918" s="1" t="n">
        <v>45559</v>
      </c>
      <c r="C918" s="1" t="n">
        <v>45971</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23945-2023</t>
        </is>
      </c>
      <c r="B919" s="1" t="n">
        <v>45075</v>
      </c>
      <c r="C919" s="1" t="n">
        <v>45971</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58435-2024</t>
        </is>
      </c>
      <c r="B920" s="1" t="n">
        <v>45634</v>
      </c>
      <c r="C920" s="1" t="n">
        <v>45971</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32541-2023</t>
        </is>
      </c>
      <c r="B921" s="1" t="n">
        <v>45121.39616898148</v>
      </c>
      <c r="C921" s="1" t="n">
        <v>45971</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11704-2025</t>
        </is>
      </c>
      <c r="B922" s="1" t="n">
        <v>45727.57896990741</v>
      </c>
      <c r="C922" s="1" t="n">
        <v>45971</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24983-2025</t>
        </is>
      </c>
      <c r="B923" s="1" t="n">
        <v>45799.59841435185</v>
      </c>
      <c r="C923" s="1" t="n">
        <v>45971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15903-2022</t>
        </is>
      </c>
      <c r="B924" s="1" t="n">
        <v>44664.57841435185</v>
      </c>
      <c r="C924" s="1" t="n">
        <v>45971</v>
      </c>
      <c r="D924" t="inlineStr">
        <is>
          <t>VÄRMLANDS LÄN</t>
        </is>
      </c>
      <c r="E924" t="inlineStr">
        <is>
          <t>ÅRJÄNG</t>
        </is>
      </c>
      <c r="G924" t="n">
        <v>5</v>
      </c>
      <c r="H924" t="n">
        <v>0</v>
      </c>
      <c r="I924" t="n">
        <v>0</v>
      </c>
      <c r="J924" t="n">
        <v>0</v>
      </c>
      <c r="K924" t="n">
        <v>0</v>
      </c>
      <c r="L924" t="n">
        <v>0</v>
      </c>
      <c r="M924" t="n">
        <v>0</v>
      </c>
      <c r="N924" t="n">
        <v>0</v>
      </c>
      <c r="O924" t="n">
        <v>0</v>
      </c>
      <c r="P924" t="n">
        <v>0</v>
      </c>
      <c r="Q924" t="n">
        <v>0</v>
      </c>
      <c r="R924" s="2" t="inlineStr"/>
    </row>
    <row r="925" ht="15" customHeight="1">
      <c r="A925" t="inlineStr">
        <is>
          <t>A 50620-2025</t>
        </is>
      </c>
      <c r="B925" s="1" t="n">
        <v>45945.63163194444</v>
      </c>
      <c r="C925" s="1" t="n">
        <v>45971</v>
      </c>
      <c r="D925" t="inlineStr">
        <is>
          <t>VÄRMLANDS LÄN</t>
        </is>
      </c>
      <c r="E925" t="inlineStr">
        <is>
          <t>ÅRJÄNG</t>
        </is>
      </c>
      <c r="G925" t="n">
        <v>7.7</v>
      </c>
      <c r="H925" t="n">
        <v>0</v>
      </c>
      <c r="I925" t="n">
        <v>0</v>
      </c>
      <c r="J925" t="n">
        <v>0</v>
      </c>
      <c r="K925" t="n">
        <v>0</v>
      </c>
      <c r="L925" t="n">
        <v>0</v>
      </c>
      <c r="M925" t="n">
        <v>0</v>
      </c>
      <c r="N925" t="n">
        <v>0</v>
      </c>
      <c r="O925" t="n">
        <v>0</v>
      </c>
      <c r="P925" t="n">
        <v>0</v>
      </c>
      <c r="Q925" t="n">
        <v>0</v>
      </c>
      <c r="R925" s="2" t="inlineStr"/>
    </row>
    <row r="926" ht="15" customHeight="1">
      <c r="A926" t="inlineStr">
        <is>
          <t>A 37765-2023</t>
        </is>
      </c>
      <c r="B926" s="1" t="n">
        <v>45159</v>
      </c>
      <c r="C926" s="1" t="n">
        <v>45971</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61226-2024</t>
        </is>
      </c>
      <c r="B927" s="1" t="n">
        <v>45645.66853009259</v>
      </c>
      <c r="C927" s="1" t="n">
        <v>45971</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51157-2024</t>
        </is>
      </c>
      <c r="B928" s="1" t="n">
        <v>45603</v>
      </c>
      <c r="C928" s="1" t="n">
        <v>45971</v>
      </c>
      <c r="D928" t="inlineStr">
        <is>
          <t>VÄRMLANDS LÄN</t>
        </is>
      </c>
      <c r="E928" t="inlineStr">
        <is>
          <t>ÅRJÄNG</t>
        </is>
      </c>
      <c r="G928" t="n">
        <v>6.3</v>
      </c>
      <c r="H928" t="n">
        <v>0</v>
      </c>
      <c r="I928" t="n">
        <v>0</v>
      </c>
      <c r="J928" t="n">
        <v>0</v>
      </c>
      <c r="K928" t="n">
        <v>0</v>
      </c>
      <c r="L928" t="n">
        <v>0</v>
      </c>
      <c r="M928" t="n">
        <v>0</v>
      </c>
      <c r="N928" t="n">
        <v>0</v>
      </c>
      <c r="O928" t="n">
        <v>0</v>
      </c>
      <c r="P928" t="n">
        <v>0</v>
      </c>
      <c r="Q928" t="n">
        <v>0</v>
      </c>
      <c r="R928" s="2" t="inlineStr"/>
    </row>
    <row r="929" ht="15" customHeight="1">
      <c r="A929" t="inlineStr">
        <is>
          <t>A 4798-2022</t>
        </is>
      </c>
      <c r="B929" s="1" t="n">
        <v>44592.6534375</v>
      </c>
      <c r="C929" s="1" t="n">
        <v>45971</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60020-2024</t>
        </is>
      </c>
      <c r="B930" s="1" t="n">
        <v>45642.44655092592</v>
      </c>
      <c r="C930" s="1" t="n">
        <v>45971</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45971</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50841-2025</t>
        </is>
      </c>
      <c r="B932" s="1" t="n">
        <v>45946.57050925926</v>
      </c>
      <c r="C932" s="1" t="n">
        <v>45971</v>
      </c>
      <c r="D932" t="inlineStr">
        <is>
          <t>VÄRMLANDS LÄN</t>
        </is>
      </c>
      <c r="E932" t="inlineStr">
        <is>
          <t>ÅRJÄNG</t>
        </is>
      </c>
      <c r="F932" t="inlineStr">
        <is>
          <t>Kyrkan</t>
        </is>
      </c>
      <c r="G932" t="n">
        <v>2.4</v>
      </c>
      <c r="H932" t="n">
        <v>0</v>
      </c>
      <c r="I932" t="n">
        <v>0</v>
      </c>
      <c r="J932" t="n">
        <v>0</v>
      </c>
      <c r="K932" t="n">
        <v>0</v>
      </c>
      <c r="L932" t="n">
        <v>0</v>
      </c>
      <c r="M932" t="n">
        <v>0</v>
      </c>
      <c r="N932" t="n">
        <v>0</v>
      </c>
      <c r="O932" t="n">
        <v>0</v>
      </c>
      <c r="P932" t="n">
        <v>0</v>
      </c>
      <c r="Q932" t="n">
        <v>0</v>
      </c>
      <c r="R932" s="2" t="inlineStr"/>
    </row>
    <row r="933" ht="15" customHeight="1">
      <c r="A933" t="inlineStr">
        <is>
          <t>A 50847-2025</t>
        </is>
      </c>
      <c r="B933" s="1" t="n">
        <v>45946.57590277777</v>
      </c>
      <c r="C933" s="1" t="n">
        <v>45971</v>
      </c>
      <c r="D933" t="inlineStr">
        <is>
          <t>VÄRMLANDS LÄN</t>
        </is>
      </c>
      <c r="E933" t="inlineStr">
        <is>
          <t>ÅRJÄNG</t>
        </is>
      </c>
      <c r="F933" t="inlineStr">
        <is>
          <t>Kyrkan</t>
        </is>
      </c>
      <c r="G933" t="n">
        <v>4.3</v>
      </c>
      <c r="H933" t="n">
        <v>0</v>
      </c>
      <c r="I933" t="n">
        <v>0</v>
      </c>
      <c r="J933" t="n">
        <v>0</v>
      </c>
      <c r="K933" t="n">
        <v>0</v>
      </c>
      <c r="L933" t="n">
        <v>0</v>
      </c>
      <c r="M933" t="n">
        <v>0</v>
      </c>
      <c r="N933" t="n">
        <v>0</v>
      </c>
      <c r="O933" t="n">
        <v>0</v>
      </c>
      <c r="P933" t="n">
        <v>0</v>
      </c>
      <c r="Q933" t="n">
        <v>0</v>
      </c>
      <c r="R933" s="2" t="inlineStr"/>
    </row>
    <row r="934" ht="15" customHeight="1">
      <c r="A934" t="inlineStr">
        <is>
          <t>A 20674-2023</t>
        </is>
      </c>
      <c r="B934" s="1" t="n">
        <v>45058</v>
      </c>
      <c r="C934" s="1" t="n">
        <v>45971</v>
      </c>
      <c r="D934" t="inlineStr">
        <is>
          <t>VÄRMLANDS LÄN</t>
        </is>
      </c>
      <c r="E934" t="inlineStr">
        <is>
          <t>ÅRJÄNG</t>
        </is>
      </c>
      <c r="G934" t="n">
        <v>11.1</v>
      </c>
      <c r="H934" t="n">
        <v>0</v>
      </c>
      <c r="I934" t="n">
        <v>0</v>
      </c>
      <c r="J934" t="n">
        <v>0</v>
      </c>
      <c r="K934" t="n">
        <v>0</v>
      </c>
      <c r="L934" t="n">
        <v>0</v>
      </c>
      <c r="M934" t="n">
        <v>0</v>
      </c>
      <c r="N934" t="n">
        <v>0</v>
      </c>
      <c r="O934" t="n">
        <v>0</v>
      </c>
      <c r="P934" t="n">
        <v>0</v>
      </c>
      <c r="Q934" t="n">
        <v>0</v>
      </c>
      <c r="R934" s="2" t="inlineStr"/>
    </row>
    <row r="935" ht="15" customHeight="1">
      <c r="A935" t="inlineStr">
        <is>
          <t>A 39096-2023</t>
        </is>
      </c>
      <c r="B935" s="1" t="n">
        <v>45164.55570601852</v>
      </c>
      <c r="C935" s="1" t="n">
        <v>45971</v>
      </c>
      <c r="D935" t="inlineStr">
        <is>
          <t>VÄRMLANDS LÄN</t>
        </is>
      </c>
      <c r="E935" t="inlineStr">
        <is>
          <t>ÅRJÄNG</t>
        </is>
      </c>
      <c r="G935" t="n">
        <v>5.1</v>
      </c>
      <c r="H935" t="n">
        <v>0</v>
      </c>
      <c r="I935" t="n">
        <v>0</v>
      </c>
      <c r="J935" t="n">
        <v>0</v>
      </c>
      <c r="K935" t="n">
        <v>0</v>
      </c>
      <c r="L935" t="n">
        <v>0</v>
      </c>
      <c r="M935" t="n">
        <v>0</v>
      </c>
      <c r="N935" t="n">
        <v>0</v>
      </c>
      <c r="O935" t="n">
        <v>0</v>
      </c>
      <c r="P935" t="n">
        <v>0</v>
      </c>
      <c r="Q935" t="n">
        <v>0</v>
      </c>
      <c r="R935" s="2" t="inlineStr"/>
    </row>
    <row r="936" ht="15" customHeight="1">
      <c r="A936" t="inlineStr">
        <is>
          <t>A 42333-2025</t>
        </is>
      </c>
      <c r="B936" s="1" t="n">
        <v>45904</v>
      </c>
      <c r="C936" s="1" t="n">
        <v>45971</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23878-2023</t>
        </is>
      </c>
      <c r="B937" s="1" t="n">
        <v>45078</v>
      </c>
      <c r="C937" s="1" t="n">
        <v>45971</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39178-2023</t>
        </is>
      </c>
      <c r="B938" s="1" t="n">
        <v>45166.38395833333</v>
      </c>
      <c r="C938" s="1" t="n">
        <v>45971</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5332-2025</t>
        </is>
      </c>
      <c r="B939" s="1" t="n">
        <v>45692.53978009259</v>
      </c>
      <c r="C939" s="1" t="n">
        <v>45971</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52574-2024</t>
        </is>
      </c>
      <c r="B940" s="1" t="n">
        <v>45609</v>
      </c>
      <c r="C940" s="1" t="n">
        <v>45971</v>
      </c>
      <c r="D940" t="inlineStr">
        <is>
          <t>VÄRMLANDS LÄN</t>
        </is>
      </c>
      <c r="E940" t="inlineStr">
        <is>
          <t>ÅRJÄNG</t>
        </is>
      </c>
      <c r="G940" t="n">
        <v>0.2</v>
      </c>
      <c r="H940" t="n">
        <v>0</v>
      </c>
      <c r="I940" t="n">
        <v>0</v>
      </c>
      <c r="J940" t="n">
        <v>0</v>
      </c>
      <c r="K940" t="n">
        <v>0</v>
      </c>
      <c r="L940" t="n">
        <v>0</v>
      </c>
      <c r="M940" t="n">
        <v>0</v>
      </c>
      <c r="N940" t="n">
        <v>0</v>
      </c>
      <c r="O940" t="n">
        <v>0</v>
      </c>
      <c r="P940" t="n">
        <v>0</v>
      </c>
      <c r="Q940" t="n">
        <v>0</v>
      </c>
      <c r="R940" s="2" t="inlineStr"/>
    </row>
    <row r="941" ht="15" customHeight="1">
      <c r="A941" t="inlineStr">
        <is>
          <t>A 3656-2022</t>
        </is>
      </c>
      <c r="B941" s="1" t="n">
        <v>44586</v>
      </c>
      <c r="C941" s="1" t="n">
        <v>45971</v>
      </c>
      <c r="D941" t="inlineStr">
        <is>
          <t>VÄRMLANDS LÄN</t>
        </is>
      </c>
      <c r="E941" t="inlineStr">
        <is>
          <t>ÅRJÄNG</t>
        </is>
      </c>
      <c r="G941" t="n">
        <v>11.7</v>
      </c>
      <c r="H941" t="n">
        <v>0</v>
      </c>
      <c r="I941" t="n">
        <v>0</v>
      </c>
      <c r="J941" t="n">
        <v>0</v>
      </c>
      <c r="K941" t="n">
        <v>0</v>
      </c>
      <c r="L941" t="n">
        <v>0</v>
      </c>
      <c r="M941" t="n">
        <v>0</v>
      </c>
      <c r="N941" t="n">
        <v>0</v>
      </c>
      <c r="O941" t="n">
        <v>0</v>
      </c>
      <c r="P941" t="n">
        <v>0</v>
      </c>
      <c r="Q941" t="n">
        <v>0</v>
      </c>
      <c r="R941" s="2" t="inlineStr"/>
    </row>
    <row r="942" ht="15" customHeight="1">
      <c r="A942" t="inlineStr">
        <is>
          <t>A 11392-2024</t>
        </is>
      </c>
      <c r="B942" s="1" t="n">
        <v>45372</v>
      </c>
      <c r="C942" s="1" t="n">
        <v>45971</v>
      </c>
      <c r="D942" t="inlineStr">
        <is>
          <t>VÄRMLANDS LÄN</t>
        </is>
      </c>
      <c r="E942" t="inlineStr">
        <is>
          <t>ÅRJÄNG</t>
        </is>
      </c>
      <c r="G942" t="n">
        <v>3.6</v>
      </c>
      <c r="H942" t="n">
        <v>0</v>
      </c>
      <c r="I942" t="n">
        <v>0</v>
      </c>
      <c r="J942" t="n">
        <v>0</v>
      </c>
      <c r="K942" t="n">
        <v>0</v>
      </c>
      <c r="L942" t="n">
        <v>0</v>
      </c>
      <c r="M942" t="n">
        <v>0</v>
      </c>
      <c r="N942" t="n">
        <v>0</v>
      </c>
      <c r="O942" t="n">
        <v>0</v>
      </c>
      <c r="P942" t="n">
        <v>0</v>
      </c>
      <c r="Q942" t="n">
        <v>0</v>
      </c>
      <c r="R942" s="2" t="inlineStr"/>
    </row>
    <row r="943" ht="15" customHeight="1">
      <c r="A943" t="inlineStr">
        <is>
          <t>A 70461-2021</t>
        </is>
      </c>
      <c r="B943" s="1" t="n">
        <v>44536</v>
      </c>
      <c r="C943" s="1" t="n">
        <v>45971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38707-2023</t>
        </is>
      </c>
      <c r="B944" s="1" t="n">
        <v>45163.34018518519</v>
      </c>
      <c r="C944" s="1" t="n">
        <v>45971</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50545-2025</t>
        </is>
      </c>
      <c r="B945" s="1" t="n">
        <v>45945.50777777778</v>
      </c>
      <c r="C945" s="1" t="n">
        <v>45971</v>
      </c>
      <c r="D945" t="inlineStr">
        <is>
          <t>VÄRMLANDS LÄN</t>
        </is>
      </c>
      <c r="E945" t="inlineStr">
        <is>
          <t>ÅRJÄNG</t>
        </is>
      </c>
      <c r="G945" t="n">
        <v>0.7</v>
      </c>
      <c r="H945" t="n">
        <v>0</v>
      </c>
      <c r="I945" t="n">
        <v>0</v>
      </c>
      <c r="J945" t="n">
        <v>0</v>
      </c>
      <c r="K945" t="n">
        <v>0</v>
      </c>
      <c r="L945" t="n">
        <v>0</v>
      </c>
      <c r="M945" t="n">
        <v>0</v>
      </c>
      <c r="N945" t="n">
        <v>0</v>
      </c>
      <c r="O945" t="n">
        <v>0</v>
      </c>
      <c r="P945" t="n">
        <v>0</v>
      </c>
      <c r="Q945" t="n">
        <v>0</v>
      </c>
      <c r="R945" s="2" t="inlineStr"/>
    </row>
    <row r="946" ht="15" customHeight="1">
      <c r="A946" t="inlineStr">
        <is>
          <t>A 50551-2025</t>
        </is>
      </c>
      <c r="B946" s="1" t="n">
        <v>45945.52244212963</v>
      </c>
      <c r="C946" s="1" t="n">
        <v>45971</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50554-2025</t>
        </is>
      </c>
      <c r="B947" s="1" t="n">
        <v>45945.52561342593</v>
      </c>
      <c r="C947" s="1" t="n">
        <v>45971</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26258-2025</t>
        </is>
      </c>
      <c r="B948" s="1" t="n">
        <v>45805.58349537037</v>
      </c>
      <c r="C948" s="1" t="n">
        <v>45971</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5319-2025</t>
        </is>
      </c>
      <c r="B949" s="1" t="n">
        <v>45692.52384259259</v>
      </c>
      <c r="C949" s="1" t="n">
        <v>45971</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12840-2025</t>
        </is>
      </c>
      <c r="B950" s="1" t="n">
        <v>45733</v>
      </c>
      <c r="C950" s="1" t="n">
        <v>45971</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50624-2025</t>
        </is>
      </c>
      <c r="B951" s="1" t="n">
        <v>45945.63518518519</v>
      </c>
      <c r="C951" s="1" t="n">
        <v>45971</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50295-2025</t>
        </is>
      </c>
      <c r="B952" s="1" t="n">
        <v>45944</v>
      </c>
      <c r="C952" s="1" t="n">
        <v>45971</v>
      </c>
      <c r="D952" t="inlineStr">
        <is>
          <t>VÄRMLANDS LÄN</t>
        </is>
      </c>
      <c r="E952" t="inlineStr">
        <is>
          <t>ÅRJÄNG</t>
        </is>
      </c>
      <c r="G952" t="n">
        <v>6</v>
      </c>
      <c r="H952" t="n">
        <v>0</v>
      </c>
      <c r="I952" t="n">
        <v>0</v>
      </c>
      <c r="J952" t="n">
        <v>0</v>
      </c>
      <c r="K952" t="n">
        <v>0</v>
      </c>
      <c r="L952" t="n">
        <v>0</v>
      </c>
      <c r="M952" t="n">
        <v>0</v>
      </c>
      <c r="N952" t="n">
        <v>0</v>
      </c>
      <c r="O952" t="n">
        <v>0</v>
      </c>
      <c r="P952" t="n">
        <v>0</v>
      </c>
      <c r="Q952" t="n">
        <v>0</v>
      </c>
      <c r="R952" s="2" t="inlineStr"/>
    </row>
    <row r="953" ht="15" customHeight="1">
      <c r="A953" t="inlineStr">
        <is>
          <t>A 50304-2025</t>
        </is>
      </c>
      <c r="B953" s="1" t="n">
        <v>45944</v>
      </c>
      <c r="C953" s="1" t="n">
        <v>45971</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45643-2023</t>
        </is>
      </c>
      <c r="B954" s="1" t="n">
        <v>45194.69827546296</v>
      </c>
      <c r="C954" s="1" t="n">
        <v>45971</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8146-2024</t>
        </is>
      </c>
      <c r="B955" s="1" t="n">
        <v>45351.57671296296</v>
      </c>
      <c r="C955" s="1" t="n">
        <v>45971</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50931-2025</t>
        </is>
      </c>
      <c r="B956" s="1" t="n">
        <v>45946.68568287037</v>
      </c>
      <c r="C956" s="1" t="n">
        <v>45971</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26758-2025</t>
        </is>
      </c>
      <c r="B957" s="1" t="n">
        <v>45807</v>
      </c>
      <c r="C957" s="1" t="n">
        <v>45971</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55071-2024</t>
        </is>
      </c>
      <c r="B958" s="1" t="n">
        <v>45621.41861111111</v>
      </c>
      <c r="C958" s="1" t="n">
        <v>45971</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26728-2025</t>
        </is>
      </c>
      <c r="B959" s="1" t="n">
        <v>45810.50186342592</v>
      </c>
      <c r="C959" s="1" t="n">
        <v>45971</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6577-2025</t>
        </is>
      </c>
      <c r="B960" s="1" t="n">
        <v>45699.87793981482</v>
      </c>
      <c r="C960" s="1" t="n">
        <v>45971</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50709-2025</t>
        </is>
      </c>
      <c r="B961" s="1" t="n">
        <v>45946</v>
      </c>
      <c r="C961" s="1" t="n">
        <v>45971</v>
      </c>
      <c r="D961" t="inlineStr">
        <is>
          <t>VÄRMLANDS LÄN</t>
        </is>
      </c>
      <c r="E961" t="inlineStr">
        <is>
          <t>ÅRJÄNG</t>
        </is>
      </c>
      <c r="G961" t="n">
        <v>3.3</v>
      </c>
      <c r="H961" t="n">
        <v>0</v>
      </c>
      <c r="I961" t="n">
        <v>0</v>
      </c>
      <c r="J961" t="n">
        <v>0</v>
      </c>
      <c r="K961" t="n">
        <v>0</v>
      </c>
      <c r="L961" t="n">
        <v>0</v>
      </c>
      <c r="M961" t="n">
        <v>0</v>
      </c>
      <c r="N961" t="n">
        <v>0</v>
      </c>
      <c r="O961" t="n">
        <v>0</v>
      </c>
      <c r="P961" t="n">
        <v>0</v>
      </c>
      <c r="Q961" t="n">
        <v>0</v>
      </c>
      <c r="R961" s="2" t="inlineStr"/>
    </row>
    <row r="962" ht="15" customHeight="1">
      <c r="A962" t="inlineStr">
        <is>
          <t>A 52579-2024</t>
        </is>
      </c>
      <c r="B962" s="1" t="n">
        <v>45609</v>
      </c>
      <c r="C962" s="1" t="n">
        <v>45971</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51435-2025</t>
        </is>
      </c>
      <c r="B963" s="1" t="n">
        <v>45950.56015046296</v>
      </c>
      <c r="C963" s="1" t="n">
        <v>45971</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24789-2024</t>
        </is>
      </c>
      <c r="B964" s="1" t="n">
        <v>45460</v>
      </c>
      <c r="C964" s="1" t="n">
        <v>45971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44556-2023</t>
        </is>
      </c>
      <c r="B965" s="1" t="n">
        <v>45189.53738425926</v>
      </c>
      <c r="C965" s="1" t="n">
        <v>45971</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51430-2025</t>
        </is>
      </c>
      <c r="B966" s="1" t="n">
        <v>45950.54824074074</v>
      </c>
      <c r="C966" s="1" t="n">
        <v>45971</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42677-2025</t>
        </is>
      </c>
      <c r="B967" s="1" t="n">
        <v>45908.32836805555</v>
      </c>
      <c r="C967" s="1" t="n">
        <v>45971</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55432-2024</t>
        </is>
      </c>
      <c r="B968" s="1" t="n">
        <v>45622</v>
      </c>
      <c r="C968" s="1" t="n">
        <v>45971</v>
      </c>
      <c r="D968" t="inlineStr">
        <is>
          <t>VÄRMLANDS LÄN</t>
        </is>
      </c>
      <c r="E968" t="inlineStr">
        <is>
          <t>ÅRJÄNG</t>
        </is>
      </c>
      <c r="G968" t="n">
        <v>6.9</v>
      </c>
      <c r="H968" t="n">
        <v>0</v>
      </c>
      <c r="I968" t="n">
        <v>0</v>
      </c>
      <c r="J968" t="n">
        <v>0</v>
      </c>
      <c r="K968" t="n">
        <v>0</v>
      </c>
      <c r="L968" t="n">
        <v>0</v>
      </c>
      <c r="M968" t="n">
        <v>0</v>
      </c>
      <c r="N968" t="n">
        <v>0</v>
      </c>
      <c r="O968" t="n">
        <v>0</v>
      </c>
      <c r="P968" t="n">
        <v>0</v>
      </c>
      <c r="Q968" t="n">
        <v>0</v>
      </c>
      <c r="R968" s="2" t="inlineStr"/>
    </row>
    <row r="969" ht="15" customHeight="1">
      <c r="A969" t="inlineStr">
        <is>
          <t>A 24971-2025</t>
        </is>
      </c>
      <c r="B969" s="1" t="n">
        <v>45799</v>
      </c>
      <c r="C969" s="1" t="n">
        <v>45971</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51265-2024</t>
        </is>
      </c>
      <c r="B970" s="1" t="n">
        <v>45602</v>
      </c>
      <c r="C970" s="1" t="n">
        <v>45971</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4865-2024</t>
        </is>
      </c>
      <c r="B971" s="1" t="n">
        <v>45329</v>
      </c>
      <c r="C971" s="1" t="n">
        <v>45971</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26783-2024</t>
        </is>
      </c>
      <c r="B972" s="1" t="n">
        <v>45470</v>
      </c>
      <c r="C972" s="1" t="n">
        <v>45971</v>
      </c>
      <c r="D972" t="inlineStr">
        <is>
          <t>VÄRMLANDS LÄN</t>
        </is>
      </c>
      <c r="E972" t="inlineStr">
        <is>
          <t>ÅRJÄNG</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18718-2023</t>
        </is>
      </c>
      <c r="B973" s="1" t="n">
        <v>45043.65459490741</v>
      </c>
      <c r="C973" s="1" t="n">
        <v>45971</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13029-2025</t>
        </is>
      </c>
      <c r="B974" s="1" t="n">
        <v>45734.5703125</v>
      </c>
      <c r="C974" s="1" t="n">
        <v>45971</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26434-2025</t>
        </is>
      </c>
      <c r="B975" s="1" t="n">
        <v>45807.39797453704</v>
      </c>
      <c r="C975" s="1" t="n">
        <v>45971</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53742-2024</t>
        </is>
      </c>
      <c r="B976" s="1" t="n">
        <v>45615.47130787037</v>
      </c>
      <c r="C976" s="1" t="n">
        <v>45971</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42562-2025</t>
        </is>
      </c>
      <c r="B977" s="1" t="n">
        <v>45905.59986111111</v>
      </c>
      <c r="C977" s="1" t="n">
        <v>45971</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51282-2025</t>
        </is>
      </c>
      <c r="B978" s="1" t="n">
        <v>45950.33694444445</v>
      </c>
      <c r="C978" s="1" t="n">
        <v>45971</v>
      </c>
      <c r="D978" t="inlineStr">
        <is>
          <t>VÄRMLANDS LÄN</t>
        </is>
      </c>
      <c r="E978" t="inlineStr">
        <is>
          <t>ÅRJÄNG</t>
        </is>
      </c>
      <c r="F978" t="inlineStr">
        <is>
          <t>Bergvik skog väst AB</t>
        </is>
      </c>
      <c r="G978" t="n">
        <v>2.4</v>
      </c>
      <c r="H978" t="n">
        <v>0</v>
      </c>
      <c r="I978" t="n">
        <v>0</v>
      </c>
      <c r="J978" t="n">
        <v>0</v>
      </c>
      <c r="K978" t="n">
        <v>0</v>
      </c>
      <c r="L978" t="n">
        <v>0</v>
      </c>
      <c r="M978" t="n">
        <v>0</v>
      </c>
      <c r="N978" t="n">
        <v>0</v>
      </c>
      <c r="O978" t="n">
        <v>0</v>
      </c>
      <c r="P978" t="n">
        <v>0</v>
      </c>
      <c r="Q978" t="n">
        <v>0</v>
      </c>
      <c r="R978" s="2" t="inlineStr"/>
    </row>
    <row r="979" ht="15" customHeight="1">
      <c r="A979" t="inlineStr">
        <is>
          <t>A 332-2021</t>
        </is>
      </c>
      <c r="B979" s="1" t="n">
        <v>44201</v>
      </c>
      <c r="C979" s="1" t="n">
        <v>45971</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56769-2024</t>
        </is>
      </c>
      <c r="B980" s="1" t="n">
        <v>45628.41550925926</v>
      </c>
      <c r="C980" s="1" t="n">
        <v>45971</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4137-2025</t>
        </is>
      </c>
      <c r="B981" s="1" t="n">
        <v>45685.35232638889</v>
      </c>
      <c r="C981" s="1" t="n">
        <v>45971</v>
      </c>
      <c r="D981" t="inlineStr">
        <is>
          <t>VÄRMLANDS LÄN</t>
        </is>
      </c>
      <c r="E981" t="inlineStr">
        <is>
          <t>ÅRJÄNG</t>
        </is>
      </c>
      <c r="G981" t="n">
        <v>3.3</v>
      </c>
      <c r="H981" t="n">
        <v>0</v>
      </c>
      <c r="I981" t="n">
        <v>0</v>
      </c>
      <c r="J981" t="n">
        <v>0</v>
      </c>
      <c r="K981" t="n">
        <v>0</v>
      </c>
      <c r="L981" t="n">
        <v>0</v>
      </c>
      <c r="M981" t="n">
        <v>0</v>
      </c>
      <c r="N981" t="n">
        <v>0</v>
      </c>
      <c r="O981" t="n">
        <v>0</v>
      </c>
      <c r="P981" t="n">
        <v>0</v>
      </c>
      <c r="Q981" t="n">
        <v>0</v>
      </c>
      <c r="R981" s="2" t="inlineStr"/>
    </row>
    <row r="982" ht="15" customHeight="1">
      <c r="A982" t="inlineStr">
        <is>
          <t>A 43517-2024</t>
        </is>
      </c>
      <c r="B982" s="1" t="n">
        <v>45569.32800925926</v>
      </c>
      <c r="C982" s="1" t="n">
        <v>45971</v>
      </c>
      <c r="D982" t="inlineStr">
        <is>
          <t>VÄRMLANDS LÄN</t>
        </is>
      </c>
      <c r="E982" t="inlineStr">
        <is>
          <t>ÅRJÄNG</t>
        </is>
      </c>
      <c r="G982" t="n">
        <v>5.9</v>
      </c>
      <c r="H982" t="n">
        <v>0</v>
      </c>
      <c r="I982" t="n">
        <v>0</v>
      </c>
      <c r="J982" t="n">
        <v>0</v>
      </c>
      <c r="K982" t="n">
        <v>0</v>
      </c>
      <c r="L982" t="n">
        <v>0</v>
      </c>
      <c r="M982" t="n">
        <v>0</v>
      </c>
      <c r="N982" t="n">
        <v>0</v>
      </c>
      <c r="O982" t="n">
        <v>0</v>
      </c>
      <c r="P982" t="n">
        <v>0</v>
      </c>
      <c r="Q982" t="n">
        <v>0</v>
      </c>
      <c r="R982" s="2" t="inlineStr"/>
    </row>
    <row r="983" ht="15" customHeight="1">
      <c r="A983" t="inlineStr">
        <is>
          <t>A 38057-2024</t>
        </is>
      </c>
      <c r="B983" s="1" t="n">
        <v>45544.73293981481</v>
      </c>
      <c r="C983" s="1" t="n">
        <v>45971</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15323-2025</t>
        </is>
      </c>
      <c r="B984" s="1" t="n">
        <v>45747.32385416667</v>
      </c>
      <c r="C984" s="1" t="n">
        <v>45971</v>
      </c>
      <c r="D984" t="inlineStr">
        <is>
          <t>VÄRMLANDS LÄN</t>
        </is>
      </c>
      <c r="E984" t="inlineStr">
        <is>
          <t>ÅRJÄNG</t>
        </is>
      </c>
      <c r="G984" t="n">
        <v>5.5</v>
      </c>
      <c r="H984" t="n">
        <v>0</v>
      </c>
      <c r="I984" t="n">
        <v>0</v>
      </c>
      <c r="J984" t="n">
        <v>0</v>
      </c>
      <c r="K984" t="n">
        <v>0</v>
      </c>
      <c r="L984" t="n">
        <v>0</v>
      </c>
      <c r="M984" t="n">
        <v>0</v>
      </c>
      <c r="N984" t="n">
        <v>0</v>
      </c>
      <c r="O984" t="n">
        <v>0</v>
      </c>
      <c r="P984" t="n">
        <v>0</v>
      </c>
      <c r="Q984" t="n">
        <v>0</v>
      </c>
      <c r="R984" s="2" t="inlineStr"/>
    </row>
    <row r="985" ht="15" customHeight="1">
      <c r="A985" t="inlineStr">
        <is>
          <t>A 43012-2025</t>
        </is>
      </c>
      <c r="B985" s="1" t="n">
        <v>45909.48989583334</v>
      </c>
      <c r="C985" s="1" t="n">
        <v>45971</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42971-2025</t>
        </is>
      </c>
      <c r="B986" s="1" t="n">
        <v>45909.41502314815</v>
      </c>
      <c r="C986" s="1" t="n">
        <v>45971</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43162-2025</t>
        </is>
      </c>
      <c r="B987" s="1" t="n">
        <v>45910</v>
      </c>
      <c r="C987" s="1" t="n">
        <v>45971</v>
      </c>
      <c r="D987" t="inlineStr">
        <is>
          <t>VÄRMLANDS LÄN</t>
        </is>
      </c>
      <c r="E987" t="inlineStr">
        <is>
          <t>ÅRJÄNG</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4582-2025</t>
        </is>
      </c>
      <c r="B988" s="1" t="n">
        <v>45687</v>
      </c>
      <c r="C988" s="1" t="n">
        <v>45971</v>
      </c>
      <c r="D988" t="inlineStr">
        <is>
          <t>VÄRMLANDS LÄN</t>
        </is>
      </c>
      <c r="E988" t="inlineStr">
        <is>
          <t>ÅRJÄNG</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60909-2024</t>
        </is>
      </c>
      <c r="B989" s="1" t="n">
        <v>45645</v>
      </c>
      <c r="C989" s="1" t="n">
        <v>45971</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43025-2025</t>
        </is>
      </c>
      <c r="B990" s="1" t="n">
        <v>45909.53126157408</v>
      </c>
      <c r="C990" s="1" t="n">
        <v>45971</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43047-2025</t>
        </is>
      </c>
      <c r="B991" s="1" t="n">
        <v>45909.56127314815</v>
      </c>
      <c r="C991" s="1" t="n">
        <v>45971</v>
      </c>
      <c r="D991" t="inlineStr">
        <is>
          <t>VÄRMLANDS LÄN</t>
        </is>
      </c>
      <c r="E991" t="inlineStr">
        <is>
          <t>ÅRJÄNG</t>
        </is>
      </c>
      <c r="G991" t="n">
        <v>6.3</v>
      </c>
      <c r="H991" t="n">
        <v>0</v>
      </c>
      <c r="I991" t="n">
        <v>0</v>
      </c>
      <c r="J991" t="n">
        <v>0</v>
      </c>
      <c r="K991" t="n">
        <v>0</v>
      </c>
      <c r="L991" t="n">
        <v>0</v>
      </c>
      <c r="M991" t="n">
        <v>0</v>
      </c>
      <c r="N991" t="n">
        <v>0</v>
      </c>
      <c r="O991" t="n">
        <v>0</v>
      </c>
      <c r="P991" t="n">
        <v>0</v>
      </c>
      <c r="Q991" t="n">
        <v>0</v>
      </c>
      <c r="R991" s="2" t="inlineStr"/>
    </row>
    <row r="992" ht="15" customHeight="1">
      <c r="A992" t="inlineStr">
        <is>
          <t>A 8357-2025</t>
        </is>
      </c>
      <c r="B992" s="1" t="n">
        <v>45708.79896990741</v>
      </c>
      <c r="C992" s="1" t="n">
        <v>45971</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10321-2025</t>
        </is>
      </c>
      <c r="B993" s="1" t="n">
        <v>45720</v>
      </c>
      <c r="C993" s="1" t="n">
        <v>45971</v>
      </c>
      <c r="D993" t="inlineStr">
        <is>
          <t>VÄRMLANDS LÄN</t>
        </is>
      </c>
      <c r="E993" t="inlineStr">
        <is>
          <t>ÅRJÄNG</t>
        </is>
      </c>
      <c r="G993" t="n">
        <v>3.4</v>
      </c>
      <c r="H993" t="n">
        <v>0</v>
      </c>
      <c r="I993" t="n">
        <v>0</v>
      </c>
      <c r="J993" t="n">
        <v>0</v>
      </c>
      <c r="K993" t="n">
        <v>0</v>
      </c>
      <c r="L993" t="n">
        <v>0</v>
      </c>
      <c r="M993" t="n">
        <v>0</v>
      </c>
      <c r="N993" t="n">
        <v>0</v>
      </c>
      <c r="O993" t="n">
        <v>0</v>
      </c>
      <c r="P993" t="n">
        <v>0</v>
      </c>
      <c r="Q993" t="n">
        <v>0</v>
      </c>
      <c r="R993" s="2" t="inlineStr"/>
    </row>
    <row r="994" ht="15" customHeight="1">
      <c r="A994" t="inlineStr">
        <is>
          <t>A 44004-2023</t>
        </is>
      </c>
      <c r="B994" s="1" t="n">
        <v>45188.30134259259</v>
      </c>
      <c r="C994" s="1" t="n">
        <v>45971</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44007-2023</t>
        </is>
      </c>
      <c r="B995" s="1" t="n">
        <v>45188.31231481482</v>
      </c>
      <c r="C995" s="1" t="n">
        <v>45971</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56348-2024</t>
        </is>
      </c>
      <c r="B996" s="1" t="n">
        <v>45624</v>
      </c>
      <c r="C996" s="1" t="n">
        <v>45971</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5741-2025</t>
        </is>
      </c>
      <c r="B997" s="1" t="n">
        <v>45694.52100694444</v>
      </c>
      <c r="C997" s="1" t="n">
        <v>45971</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26998-2025</t>
        </is>
      </c>
      <c r="B998" s="1" t="n">
        <v>45811</v>
      </c>
      <c r="C998" s="1" t="n">
        <v>45971</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24964-2025</t>
        </is>
      </c>
      <c r="B999" s="1" t="n">
        <v>45799</v>
      </c>
      <c r="C999" s="1" t="n">
        <v>45971</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43050-2025</t>
        </is>
      </c>
      <c r="B1000" s="1" t="n">
        <v>45909.56809027777</v>
      </c>
      <c r="C1000" s="1" t="n">
        <v>45971</v>
      </c>
      <c r="D1000" t="inlineStr">
        <is>
          <t>VÄRMLANDS LÄN</t>
        </is>
      </c>
      <c r="E1000" t="inlineStr">
        <is>
          <t>ÅRJÄNG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26959-2025</t>
        </is>
      </c>
      <c r="B1001" s="1" t="n">
        <v>45811.45909722222</v>
      </c>
      <c r="C1001" s="1" t="n">
        <v>45971</v>
      </c>
      <c r="D1001" t="inlineStr">
        <is>
          <t>VÄRMLANDS LÄN</t>
        </is>
      </c>
      <c r="E1001" t="inlineStr">
        <is>
          <t>ÅRJÄNG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27120-2025</t>
        </is>
      </c>
      <c r="B1002" s="1" t="n">
        <v>45811.76232638889</v>
      </c>
      <c r="C1002" s="1" t="n">
        <v>45971</v>
      </c>
      <c r="D1002" t="inlineStr">
        <is>
          <t>VÄRMLANDS LÄN</t>
        </is>
      </c>
      <c r="E1002" t="inlineStr">
        <is>
          <t>ÅRJÄNG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283-2025</t>
        </is>
      </c>
      <c r="B1003" s="1" t="n">
        <v>45656</v>
      </c>
      <c r="C1003" s="1" t="n">
        <v>45971</v>
      </c>
      <c r="D1003" t="inlineStr">
        <is>
          <t>VÄRMLANDS LÄN</t>
        </is>
      </c>
      <c r="E1003" t="inlineStr">
        <is>
          <t>ÅRJÄNG</t>
        </is>
      </c>
      <c r="F1003" t="inlineStr">
        <is>
          <t>Övriga Aktiebolag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27247-2025</t>
        </is>
      </c>
      <c r="B1004" s="1" t="n">
        <v>45812.46612268518</v>
      </c>
      <c r="C1004" s="1" t="n">
        <v>45971</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5127-2025</t>
        </is>
      </c>
      <c r="B1005" s="1" t="n">
        <v>45691.56623842593</v>
      </c>
      <c r="C1005" s="1" t="n">
        <v>45971</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55422-2023</t>
        </is>
      </c>
      <c r="B1006" s="1" t="n">
        <v>45238.41858796297</v>
      </c>
      <c r="C1006" s="1" t="n">
        <v>45971</v>
      </c>
      <c r="D1006" t="inlineStr">
        <is>
          <t>VÄRMLANDS LÄN</t>
        </is>
      </c>
      <c r="E1006" t="inlineStr">
        <is>
          <t>ÅRJÄNG</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43426-2025</t>
        </is>
      </c>
      <c r="B1007" s="1" t="n">
        <v>45911.41869212963</v>
      </c>
      <c r="C1007" s="1" t="n">
        <v>45971</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43484-2025</t>
        </is>
      </c>
      <c r="B1008" s="1" t="n">
        <v>45911.5033912037</v>
      </c>
      <c r="C1008" s="1" t="n">
        <v>45971</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8601-2022</t>
        </is>
      </c>
      <c r="B1009" s="1" t="n">
        <v>44613.57193287037</v>
      </c>
      <c r="C1009" s="1" t="n">
        <v>45971</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56060-2023</t>
        </is>
      </c>
      <c r="B1010" s="1" t="n">
        <v>45233</v>
      </c>
      <c r="C1010" s="1" t="n">
        <v>45971</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56655-2024</t>
        </is>
      </c>
      <c r="B1011" s="1" t="n">
        <v>45625</v>
      </c>
      <c r="C1011" s="1" t="n">
        <v>45971</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27240-2023</t>
        </is>
      </c>
      <c r="B1012" s="1" t="n">
        <v>45096</v>
      </c>
      <c r="C1012" s="1" t="n">
        <v>45971</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12137-2025</t>
        </is>
      </c>
      <c r="B1013" s="1" t="n">
        <v>45729.39879629629</v>
      </c>
      <c r="C1013" s="1" t="n">
        <v>45971</v>
      </c>
      <c r="D1013" t="inlineStr">
        <is>
          <t>VÄRMLANDS LÄN</t>
        </is>
      </c>
      <c r="E1013" t="inlineStr">
        <is>
          <t>ÅRJÄNG</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62720-2023</t>
        </is>
      </c>
      <c r="B1014" s="1" t="n">
        <v>45271.5799537037</v>
      </c>
      <c r="C1014" s="1" t="n">
        <v>45971</v>
      </c>
      <c r="D1014" t="inlineStr">
        <is>
          <t>VÄRMLANDS LÄN</t>
        </is>
      </c>
      <c r="E1014" t="inlineStr">
        <is>
          <t>ÅRJÄNG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46351-2023</t>
        </is>
      </c>
      <c r="B1015" s="1" t="n">
        <v>45197.42811342593</v>
      </c>
      <c r="C1015" s="1" t="n">
        <v>45971</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17361-2022</t>
        </is>
      </c>
      <c r="B1016" s="1" t="n">
        <v>44678.6044675926</v>
      </c>
      <c r="C1016" s="1" t="n">
        <v>45971</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43434-2025</t>
        </is>
      </c>
      <c r="B1017" s="1" t="n">
        <v>45911.42743055556</v>
      </c>
      <c r="C1017" s="1" t="n">
        <v>45971</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4408-2025</t>
        </is>
      </c>
      <c r="B1018" s="1" t="n">
        <v>45686</v>
      </c>
      <c r="C1018" s="1" t="n">
        <v>45971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57546-2024</t>
        </is>
      </c>
      <c r="B1019" s="1" t="n">
        <v>45629</v>
      </c>
      <c r="C1019" s="1" t="n">
        <v>45971</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9427-2025</t>
        </is>
      </c>
      <c r="B1020" s="1" t="n">
        <v>45715</v>
      </c>
      <c r="C1020" s="1" t="n">
        <v>45971</v>
      </c>
      <c r="D1020" t="inlineStr">
        <is>
          <t>VÄRMLANDS LÄN</t>
        </is>
      </c>
      <c r="E1020" t="inlineStr">
        <is>
          <t>ÅRJÄNG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24444-2025</t>
        </is>
      </c>
      <c r="B1021" s="1" t="n">
        <v>45798</v>
      </c>
      <c r="C1021" s="1" t="n">
        <v>45971</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57306-2023</t>
        </is>
      </c>
      <c r="B1022" s="1" t="n">
        <v>45245.62431712963</v>
      </c>
      <c r="C1022" s="1" t="n">
        <v>45971</v>
      </c>
      <c r="D1022" t="inlineStr">
        <is>
          <t>VÄRMLANDS LÄN</t>
        </is>
      </c>
      <c r="E1022" t="inlineStr">
        <is>
          <t>ÅRJÄNG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28874-2025</t>
        </is>
      </c>
      <c r="B1023" s="1" t="n">
        <v>45820</v>
      </c>
      <c r="C1023" s="1" t="n">
        <v>45971</v>
      </c>
      <c r="D1023" t="inlineStr">
        <is>
          <t>VÄRMLANDS LÄN</t>
        </is>
      </c>
      <c r="E1023" t="inlineStr">
        <is>
          <t>ÅRJÄNG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48357-2023</t>
        </is>
      </c>
      <c r="B1024" s="1" t="n">
        <v>45202</v>
      </c>
      <c r="C1024" s="1" t="n">
        <v>45971</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39434-2023</t>
        </is>
      </c>
      <c r="B1025" s="1" t="n">
        <v>45166.69690972222</v>
      </c>
      <c r="C1025" s="1" t="n">
        <v>45971</v>
      </c>
      <c r="D1025" t="inlineStr">
        <is>
          <t>VÄRMLANDS LÄN</t>
        </is>
      </c>
      <c r="E1025" t="inlineStr">
        <is>
          <t>ÅRJÄNG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28690-2025</t>
        </is>
      </c>
      <c r="B1026" s="1" t="n">
        <v>45819.73236111111</v>
      </c>
      <c r="C1026" s="1" t="n">
        <v>45971</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28711-2025</t>
        </is>
      </c>
      <c r="B1027" s="1" t="n">
        <v>45820.33701388889</v>
      </c>
      <c r="C1027" s="1" t="n">
        <v>45971</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28797-2025</t>
        </is>
      </c>
      <c r="B1028" s="1" t="n">
        <v>45820.48179398148</v>
      </c>
      <c r="C1028" s="1" t="n">
        <v>45971</v>
      </c>
      <c r="D1028" t="inlineStr">
        <is>
          <t>VÄRMLANDS LÄN</t>
        </is>
      </c>
      <c r="E1028" t="inlineStr">
        <is>
          <t>ÅRJÄNG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28793-2025</t>
        </is>
      </c>
      <c r="B1029" s="1" t="n">
        <v>45820.47452546296</v>
      </c>
      <c r="C1029" s="1" t="n">
        <v>45971</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24445-2025</t>
        </is>
      </c>
      <c r="B1030" s="1" t="n">
        <v>45798</v>
      </c>
      <c r="C1030" s="1" t="n">
        <v>45971</v>
      </c>
      <c r="D1030" t="inlineStr">
        <is>
          <t>VÄRMLANDS LÄN</t>
        </is>
      </c>
      <c r="E1030" t="inlineStr">
        <is>
          <t>ÅRJÄNG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28948-2025</t>
        </is>
      </c>
      <c r="B1031" s="1" t="n">
        <v>45820</v>
      </c>
      <c r="C1031" s="1" t="n">
        <v>45971</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28949-2025</t>
        </is>
      </c>
      <c r="B1032" s="1" t="n">
        <v>45820</v>
      </c>
      <c r="C1032" s="1" t="n">
        <v>45971</v>
      </c>
      <c r="D1032" t="inlineStr">
        <is>
          <t>VÄRMLANDS LÄN</t>
        </is>
      </c>
      <c r="E1032" t="inlineStr">
        <is>
          <t>ÅRJÄNG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28710-2025</t>
        </is>
      </c>
      <c r="B1033" s="1" t="n">
        <v>45820.32953703704</v>
      </c>
      <c r="C1033" s="1" t="n">
        <v>45971</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28554-2025</t>
        </is>
      </c>
      <c r="B1034" s="1" t="n">
        <v>45819.53761574074</v>
      </c>
      <c r="C1034" s="1" t="n">
        <v>45971</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29136-2025</t>
        </is>
      </c>
      <c r="B1035" s="1" t="n">
        <v>45821</v>
      </c>
      <c r="C1035" s="1" t="n">
        <v>45971</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29138-2025</t>
        </is>
      </c>
      <c r="B1036" s="1" t="n">
        <v>45821</v>
      </c>
      <c r="C1036" s="1" t="n">
        <v>45971</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29146-2025</t>
        </is>
      </c>
      <c r="B1037" s="1" t="n">
        <v>45821</v>
      </c>
      <c r="C1037" s="1" t="n">
        <v>45971</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29007-2025</t>
        </is>
      </c>
      <c r="B1038" s="1" t="n">
        <v>45821</v>
      </c>
      <c r="C1038" s="1" t="n">
        <v>45971</v>
      </c>
      <c r="D1038" t="inlineStr">
        <is>
          <t>VÄRMLANDS LÄN</t>
        </is>
      </c>
      <c r="E1038" t="inlineStr">
        <is>
          <t>ÅRJÄNG</t>
        </is>
      </c>
      <c r="F1038" t="inlineStr">
        <is>
          <t>Bergvik skog väst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29026-2025</t>
        </is>
      </c>
      <c r="B1039" s="1" t="n">
        <v>45821</v>
      </c>
      <c r="C1039" s="1" t="n">
        <v>45971</v>
      </c>
      <c r="D1039" t="inlineStr">
        <is>
          <t>VÄRMLANDS LÄN</t>
        </is>
      </c>
      <c r="E1039" t="inlineStr">
        <is>
          <t>ÅRJÄNG</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29082-2025</t>
        </is>
      </c>
      <c r="B1040" s="1" t="n">
        <v>45821</v>
      </c>
      <c r="C1040" s="1" t="n">
        <v>45971</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236-2025</t>
        </is>
      </c>
      <c r="B1041" s="1" t="n">
        <v>45653</v>
      </c>
      <c r="C1041" s="1" t="n">
        <v>45971</v>
      </c>
      <c r="D1041" t="inlineStr">
        <is>
          <t>VÄRMLANDS LÄN</t>
        </is>
      </c>
      <c r="E1041" t="inlineStr">
        <is>
          <t>ÅRJÄNG</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29166-2025</t>
        </is>
      </c>
      <c r="B1042" s="1" t="n">
        <v>45821.68682870371</v>
      </c>
      <c r="C1042" s="1" t="n">
        <v>45971</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45971</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45971</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28992-2025</t>
        </is>
      </c>
      <c r="B1045" s="1" t="n">
        <v>45821</v>
      </c>
      <c r="C1045" s="1" t="n">
        <v>45971</v>
      </c>
      <c r="D1045" t="inlineStr">
        <is>
          <t>VÄRMLANDS LÄN</t>
        </is>
      </c>
      <c r="E1045" t="inlineStr">
        <is>
          <t>ÅRJÄNG</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29208-2025</t>
        </is>
      </c>
      <c r="B1046" s="1" t="n">
        <v>45823.80380787037</v>
      </c>
      <c r="C1046" s="1" t="n">
        <v>45971</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17827-2025</t>
        </is>
      </c>
      <c r="B1047" s="1" t="n">
        <v>45758.57596064815</v>
      </c>
      <c r="C1047" s="1" t="n">
        <v>45971</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29169-2025</t>
        </is>
      </c>
      <c r="B1048" s="1" t="n">
        <v>45821.69650462963</v>
      </c>
      <c r="C1048" s="1" t="n">
        <v>45971</v>
      </c>
      <c r="D1048" t="inlineStr">
        <is>
          <t>VÄRMLANDS LÄN</t>
        </is>
      </c>
      <c r="E1048" t="inlineStr">
        <is>
          <t>ÅRJÄNG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19920-2024</t>
        </is>
      </c>
      <c r="B1049" s="1" t="n">
        <v>45433.58947916667</v>
      </c>
      <c r="C1049" s="1" t="n">
        <v>45971</v>
      </c>
      <c r="D1049" t="inlineStr">
        <is>
          <t>VÄRMLANDS LÄN</t>
        </is>
      </c>
      <c r="E1049" t="inlineStr">
        <is>
          <t>ÅRJÄNG</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45971</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45971</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32095-2024</t>
        </is>
      </c>
      <c r="B1052" s="1" t="n">
        <v>45511.39107638889</v>
      </c>
      <c r="C1052" s="1" t="n">
        <v>45971</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301-2025</t>
        </is>
      </c>
      <c r="B1053" s="1" t="n">
        <v>45660.56</v>
      </c>
      <c r="C1053" s="1" t="n">
        <v>45971</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52855-2025</t>
        </is>
      </c>
      <c r="B1054" s="1" t="n">
        <v>45957.50030092592</v>
      </c>
      <c r="C1054" s="1" t="n">
        <v>45971</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30134-2025</t>
        </is>
      </c>
      <c r="B1055" s="1" t="n">
        <v>45826</v>
      </c>
      <c r="C1055" s="1" t="n">
        <v>45971</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29783-2025</t>
        </is>
      </c>
      <c r="B1056" s="1" t="n">
        <v>45825</v>
      </c>
      <c r="C1056" s="1" t="n">
        <v>45971</v>
      </c>
      <c r="D1056" t="inlineStr">
        <is>
          <t>VÄRMLANDS LÄN</t>
        </is>
      </c>
      <c r="E1056" t="inlineStr">
        <is>
          <t>ÅRJÄNG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29624-2025</t>
        </is>
      </c>
      <c r="B1057" s="1" t="n">
        <v>45825.44246527777</v>
      </c>
      <c r="C1057" s="1" t="n">
        <v>45971</v>
      </c>
      <c r="D1057" t="inlineStr">
        <is>
          <t>VÄRMLANDS LÄN</t>
        </is>
      </c>
      <c r="E1057" t="inlineStr">
        <is>
          <t>ÅRJÄNG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14434-2025</t>
        </is>
      </c>
      <c r="B1058" s="1" t="n">
        <v>45741</v>
      </c>
      <c r="C1058" s="1" t="n">
        <v>45971</v>
      </c>
      <c r="D1058" t="inlineStr">
        <is>
          <t>VÄRMLANDS LÄN</t>
        </is>
      </c>
      <c r="E1058" t="inlineStr">
        <is>
          <t>ÅRJÄNG</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19248-2025</t>
        </is>
      </c>
      <c r="B1059" s="1" t="n">
        <v>45769.48710648148</v>
      </c>
      <c r="C1059" s="1" t="n">
        <v>45971</v>
      </c>
      <c r="D1059" t="inlineStr">
        <is>
          <t>VÄRMLANDS LÄN</t>
        </is>
      </c>
      <c r="E1059" t="inlineStr">
        <is>
          <t>ÅRJÄNG</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6109-2025</t>
        </is>
      </c>
      <c r="B1060" s="1" t="n">
        <v>45698.31012731481</v>
      </c>
      <c r="C1060" s="1" t="n">
        <v>45971</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21443-2022</t>
        </is>
      </c>
      <c r="B1061" s="1" t="n">
        <v>44706.35293981482</v>
      </c>
      <c r="C1061" s="1" t="n">
        <v>45971</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48203-2023</t>
        </is>
      </c>
      <c r="B1062" s="1" t="n">
        <v>45200</v>
      </c>
      <c r="C1062" s="1" t="n">
        <v>45971</v>
      </c>
      <c r="D1062" t="inlineStr">
        <is>
          <t>VÄRMLANDS LÄN</t>
        </is>
      </c>
      <c r="E1062" t="inlineStr">
        <is>
          <t>ÅRJÄNG</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42667-2023</t>
        </is>
      </c>
      <c r="B1063" s="1" t="n">
        <v>45176</v>
      </c>
      <c r="C1063" s="1" t="n">
        <v>45971</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13504-2025</t>
        </is>
      </c>
      <c r="B1064" s="1" t="n">
        <v>45736.46400462963</v>
      </c>
      <c r="C1064" s="1" t="n">
        <v>45971</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16519-2025</t>
        </is>
      </c>
      <c r="B1065" s="1" t="n">
        <v>45751</v>
      </c>
      <c r="C1065" s="1" t="n">
        <v>45971</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53554-2023</t>
        </is>
      </c>
      <c r="B1066" s="1" t="n">
        <v>45230</v>
      </c>
      <c r="C1066" s="1" t="n">
        <v>45971</v>
      </c>
      <c r="D1066" t="inlineStr">
        <is>
          <t>VÄRMLANDS LÄN</t>
        </is>
      </c>
      <c r="E1066" t="inlineStr">
        <is>
          <t>ÅRJÄNG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46957-2024</t>
        </is>
      </c>
      <c r="B1067" s="1" t="n">
        <v>45586</v>
      </c>
      <c r="C1067" s="1" t="n">
        <v>45971</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55574-2023</t>
        </is>
      </c>
      <c r="B1068" s="1" t="n">
        <v>45232</v>
      </c>
      <c r="C1068" s="1" t="n">
        <v>45971</v>
      </c>
      <c r="D1068" t="inlineStr">
        <is>
          <t>VÄRMLANDS LÄN</t>
        </is>
      </c>
      <c r="E1068" t="inlineStr">
        <is>
          <t>ÅRJÄNG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3729-2025</t>
        </is>
      </c>
      <c r="B1069" s="1" t="n">
        <v>45681.5497800926</v>
      </c>
      <c r="C1069" s="1" t="n">
        <v>45971</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60207-2023</t>
        </is>
      </c>
      <c r="B1070" s="1" t="n">
        <v>45257</v>
      </c>
      <c r="C1070" s="1" t="n">
        <v>45971</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44300-2025</t>
        </is>
      </c>
      <c r="B1071" s="1" t="n">
        <v>45916.3702662037</v>
      </c>
      <c r="C1071" s="1" t="n">
        <v>45971</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58434-2023</t>
        </is>
      </c>
      <c r="B1072" s="1" t="n">
        <v>45250</v>
      </c>
      <c r="C1072" s="1" t="n">
        <v>45971</v>
      </c>
      <c r="D1072" t="inlineStr">
        <is>
          <t>VÄRMLANDS LÄN</t>
        </is>
      </c>
      <c r="E1072" t="inlineStr">
        <is>
          <t>ÅRJÄNG</t>
        </is>
      </c>
      <c r="F1072" t="inlineStr">
        <is>
          <t>Naturvårdsverket</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44452-2025</t>
        </is>
      </c>
      <c r="B1073" s="1" t="n">
        <v>45916</v>
      </c>
      <c r="C1073" s="1" t="n">
        <v>45971</v>
      </c>
      <c r="D1073" t="inlineStr">
        <is>
          <t>VÄRMLANDS LÄN</t>
        </is>
      </c>
      <c r="E1073" t="inlineStr">
        <is>
          <t>ÅRJÄNG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31111-2025</t>
        </is>
      </c>
      <c r="B1074" s="1" t="n">
        <v>45831</v>
      </c>
      <c r="C1074" s="1" t="n">
        <v>45971</v>
      </c>
      <c r="D1074" t="inlineStr">
        <is>
          <t>VÄRMLANDS LÄN</t>
        </is>
      </c>
      <c r="E1074" t="inlineStr">
        <is>
          <t>ÅRJÄNG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53160-2025</t>
        </is>
      </c>
      <c r="B1075" s="1" t="n">
        <v>45958.49123842592</v>
      </c>
      <c r="C1075" s="1" t="n">
        <v>45971</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30761-2025</t>
        </is>
      </c>
      <c r="B1076" s="1" t="n">
        <v>45831</v>
      </c>
      <c r="C1076" s="1" t="n">
        <v>45971</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30579-2025</t>
        </is>
      </c>
      <c r="B1077" s="1" t="n">
        <v>45831.41965277777</v>
      </c>
      <c r="C1077" s="1" t="n">
        <v>45971</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8356-2025</t>
        </is>
      </c>
      <c r="B1078" s="1" t="n">
        <v>45708.79752314815</v>
      </c>
      <c r="C1078" s="1" t="n">
        <v>45971</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30611-2025</t>
        </is>
      </c>
      <c r="B1079" s="1" t="n">
        <v>45831.46104166667</v>
      </c>
      <c r="C1079" s="1" t="n">
        <v>45971</v>
      </c>
      <c r="D1079" t="inlineStr">
        <is>
          <t>VÄRMLANDS LÄN</t>
        </is>
      </c>
      <c r="E1079" t="inlineStr">
        <is>
          <t>ÅRJÄNG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53158-2025</t>
        </is>
      </c>
      <c r="B1080" s="1" t="n">
        <v>45958.49064814814</v>
      </c>
      <c r="C1080" s="1" t="n">
        <v>45971</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18256-2024</t>
        </is>
      </c>
      <c r="B1081" s="1" t="n">
        <v>45421.52498842592</v>
      </c>
      <c r="C1081" s="1" t="n">
        <v>45971</v>
      </c>
      <c r="D1081" t="inlineStr">
        <is>
          <t>VÄRMLANDS LÄN</t>
        </is>
      </c>
      <c r="E1081" t="inlineStr">
        <is>
          <t>ÅRJÄNG</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30658-2025</t>
        </is>
      </c>
      <c r="B1082" s="1" t="n">
        <v>45831.5072337963</v>
      </c>
      <c r="C1082" s="1" t="n">
        <v>45971</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31063-2025</t>
        </is>
      </c>
      <c r="B1083" s="1" t="n">
        <v>45831</v>
      </c>
      <c r="C1083" s="1" t="n">
        <v>45971</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31073-2025</t>
        </is>
      </c>
      <c r="B1084" s="1" t="n">
        <v>45831</v>
      </c>
      <c r="C1084" s="1" t="n">
        <v>45971</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30604-2025</t>
        </is>
      </c>
      <c r="B1085" s="1" t="n">
        <v>45831.45185185185</v>
      </c>
      <c r="C1085" s="1" t="n">
        <v>45971</v>
      </c>
      <c r="D1085" t="inlineStr">
        <is>
          <t>VÄRMLANDS LÄN</t>
        </is>
      </c>
      <c r="E1085" t="inlineStr">
        <is>
          <t>ÅRJÄNG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24477-2022</t>
        </is>
      </c>
      <c r="B1086" s="1" t="n">
        <v>44726.65575231481</v>
      </c>
      <c r="C1086" s="1" t="n">
        <v>45971</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53073-2025</t>
        </is>
      </c>
      <c r="B1087" s="1" t="n">
        <v>45958.38311342592</v>
      </c>
      <c r="C1087" s="1" t="n">
        <v>45971</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53103-2025</t>
        </is>
      </c>
      <c r="B1088" s="1" t="n">
        <v>45958.43097222222</v>
      </c>
      <c r="C1088" s="1" t="n">
        <v>45971</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33525-2023</t>
        </is>
      </c>
      <c r="B1089" s="1" t="n">
        <v>45131.51326388889</v>
      </c>
      <c r="C1089" s="1" t="n">
        <v>45971</v>
      </c>
      <c r="D1089" t="inlineStr">
        <is>
          <t>VÄRMLANDS LÄN</t>
        </is>
      </c>
      <c r="E1089" t="inlineStr">
        <is>
          <t>ÅRJÄNG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46441-2023</t>
        </is>
      </c>
      <c r="B1090" s="1" t="n">
        <v>45197</v>
      </c>
      <c r="C1090" s="1" t="n">
        <v>45971</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59352-2022</t>
        </is>
      </c>
      <c r="B1091" s="1" t="n">
        <v>44904.7077199074</v>
      </c>
      <c r="C1091" s="1" t="n">
        <v>45971</v>
      </c>
      <c r="D1091" t="inlineStr">
        <is>
          <t>VÄRMLANDS LÄN</t>
        </is>
      </c>
      <c r="E1091" t="inlineStr">
        <is>
          <t>ÅRJÄNG</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44456-2025</t>
        </is>
      </c>
      <c r="B1092" s="1" t="n">
        <v>45916</v>
      </c>
      <c r="C1092" s="1" t="n">
        <v>45971</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1115-2024</t>
        </is>
      </c>
      <c r="B1093" s="1" t="n">
        <v>45302</v>
      </c>
      <c r="C1093" s="1" t="n">
        <v>45971</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48453-2023</t>
        </is>
      </c>
      <c r="B1094" s="1" t="n">
        <v>45206.4346412037</v>
      </c>
      <c r="C1094" s="1" t="n">
        <v>45971</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31282-2025</t>
        </is>
      </c>
      <c r="B1095" s="1" t="n">
        <v>45833</v>
      </c>
      <c r="C1095" s="1" t="n">
        <v>45971</v>
      </c>
      <c r="D1095" t="inlineStr">
        <is>
          <t>VÄRMLANDS LÄN</t>
        </is>
      </c>
      <c r="E1095" t="inlineStr">
        <is>
          <t>ÅRJÄNG</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53022-2025</t>
        </is>
      </c>
      <c r="B1096" s="1" t="n">
        <v>45958.24024305555</v>
      </c>
      <c r="C1096" s="1" t="n">
        <v>45971</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53024-2025</t>
        </is>
      </c>
      <c r="B1097" s="1" t="n">
        <v>45958.32211805556</v>
      </c>
      <c r="C1097" s="1" t="n">
        <v>45971</v>
      </c>
      <c r="D1097" t="inlineStr">
        <is>
          <t>VÄRMLANDS LÄN</t>
        </is>
      </c>
      <c r="E1097" t="inlineStr">
        <is>
          <t>ÅRJÄNG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31710-2025</t>
        </is>
      </c>
      <c r="B1098" s="1" t="n">
        <v>45834.4325462963</v>
      </c>
      <c r="C1098" s="1" t="n">
        <v>45971</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52709-2025</t>
        </is>
      </c>
      <c r="B1099" s="1" t="n">
        <v>45953</v>
      </c>
      <c r="C1099" s="1" t="n">
        <v>45971</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59784-2023</t>
        </is>
      </c>
      <c r="B1100" s="1" t="n">
        <v>45257</v>
      </c>
      <c r="C1100" s="1" t="n">
        <v>45971</v>
      </c>
      <c r="D1100" t="inlineStr">
        <is>
          <t>VÄRMLANDS LÄN</t>
        </is>
      </c>
      <c r="E1100" t="inlineStr">
        <is>
          <t>ÅRJÄNG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59801-2023</t>
        </is>
      </c>
      <c r="B1101" s="1" t="n">
        <v>45254</v>
      </c>
      <c r="C1101" s="1" t="n">
        <v>45971</v>
      </c>
      <c r="D1101" t="inlineStr">
        <is>
          <t>VÄRMLANDS LÄN</t>
        </is>
      </c>
      <c r="E1101" t="inlineStr">
        <is>
          <t>ÅRJÄNG</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44451-2025</t>
        </is>
      </c>
      <c r="B1102" s="1" t="n">
        <v>45916</v>
      </c>
      <c r="C1102" s="1" t="n">
        <v>45971</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31591-2025</t>
        </is>
      </c>
      <c r="B1103" s="1" t="n">
        <v>45833</v>
      </c>
      <c r="C1103" s="1" t="n">
        <v>45971</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27311-2022</t>
        </is>
      </c>
      <c r="B1104" s="1" t="n">
        <v>44728</v>
      </c>
      <c r="C1104" s="1" t="n">
        <v>45971</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31433-2025</t>
        </is>
      </c>
      <c r="B1105" s="1" t="n">
        <v>45833</v>
      </c>
      <c r="C1105" s="1" t="n">
        <v>45971</v>
      </c>
      <c r="D1105" t="inlineStr">
        <is>
          <t>VÄRMLANDS LÄN</t>
        </is>
      </c>
      <c r="E1105" t="inlineStr">
        <is>
          <t>ÅRJÄNG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44924-2025</t>
        </is>
      </c>
      <c r="B1106" s="1" t="n">
        <v>45918</v>
      </c>
      <c r="C1106" s="1" t="n">
        <v>45971</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31393-2025</t>
        </is>
      </c>
      <c r="B1107" s="1" t="n">
        <v>45833.46305555556</v>
      </c>
      <c r="C1107" s="1" t="n">
        <v>45971</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53298-2025</t>
        </is>
      </c>
      <c r="B1108" s="1" t="n">
        <v>45959.23447916667</v>
      </c>
      <c r="C1108" s="1" t="n">
        <v>45971</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15954-2025</t>
        </is>
      </c>
      <c r="B1109" s="1" t="n">
        <v>45749</v>
      </c>
      <c r="C1109" s="1" t="n">
        <v>45971</v>
      </c>
      <c r="D1109" t="inlineStr">
        <is>
          <t>VÄRMLANDS LÄN</t>
        </is>
      </c>
      <c r="E1109" t="inlineStr">
        <is>
          <t>ÅRJÄNG</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53642-2025</t>
        </is>
      </c>
      <c r="B1110" s="1" t="n">
        <v>45960.51290509259</v>
      </c>
      <c r="C1110" s="1" t="n">
        <v>45971</v>
      </c>
      <c r="D1110" t="inlineStr">
        <is>
          <t>VÄRMLANDS LÄN</t>
        </is>
      </c>
      <c r="E1110" t="inlineStr">
        <is>
          <t>ÅRJÄNG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32321-2025</t>
        </is>
      </c>
      <c r="B1111" s="1" t="n">
        <v>45836</v>
      </c>
      <c r="C1111" s="1" t="n">
        <v>45971</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32330-2025</t>
        </is>
      </c>
      <c r="B1112" s="1" t="n">
        <v>45836.50547453704</v>
      </c>
      <c r="C1112" s="1" t="n">
        <v>45971</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32324-2025</t>
        </is>
      </c>
      <c r="B1113" s="1" t="n">
        <v>45836.43634259259</v>
      </c>
      <c r="C1113" s="1" t="n">
        <v>45971</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44768-2025</t>
        </is>
      </c>
      <c r="B1114" s="1" t="n">
        <v>45917.74274305555</v>
      </c>
      <c r="C1114" s="1" t="n">
        <v>45971</v>
      </c>
      <c r="D1114" t="inlineStr">
        <is>
          <t>VÄRMLANDS LÄN</t>
        </is>
      </c>
      <c r="E1114" t="inlineStr">
        <is>
          <t>ÅRJÄNG</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687-2024</t>
        </is>
      </c>
      <c r="B1115" s="1" t="n">
        <v>45300.37333333334</v>
      </c>
      <c r="C1115" s="1" t="n">
        <v>45971</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713-2024</t>
        </is>
      </c>
      <c r="B1116" s="1" t="n">
        <v>45300.4261574074</v>
      </c>
      <c r="C1116" s="1" t="n">
        <v>45971</v>
      </c>
      <c r="D1116" t="inlineStr">
        <is>
          <t>VÄRMLANDS LÄN</t>
        </is>
      </c>
      <c r="E1116" t="inlineStr">
        <is>
          <t>ÅRJÄNG</t>
        </is>
      </c>
      <c r="F1116" t="inlineStr">
        <is>
          <t>Kyrkan</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8835-2025</t>
        </is>
      </c>
      <c r="B1117" s="1" t="n">
        <v>45712.92547453703</v>
      </c>
      <c r="C1117" s="1" t="n">
        <v>45971</v>
      </c>
      <c r="D1117" t="inlineStr">
        <is>
          <t>VÄRMLANDS LÄN</t>
        </is>
      </c>
      <c r="E1117" t="inlineStr">
        <is>
          <t>ÅRJÄNG</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62288-2023</t>
        </is>
      </c>
      <c r="B1118" s="1" t="n">
        <v>45267.65707175926</v>
      </c>
      <c r="C1118" s="1" t="n">
        <v>45971</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18389-2022</t>
        </is>
      </c>
      <c r="B1119" s="1" t="n">
        <v>44685</v>
      </c>
      <c r="C1119" s="1" t="n">
        <v>45971</v>
      </c>
      <c r="D1119" t="inlineStr">
        <is>
          <t>VÄRMLANDS LÄN</t>
        </is>
      </c>
      <c r="E1119" t="inlineStr">
        <is>
          <t>ÅRJÄNG</t>
        </is>
      </c>
      <c r="G1119" t="n">
        <v>11.1</v>
      </c>
      <c r="H1119" t="n">
        <v>0</v>
      </c>
      <c r="I1119" t="n">
        <v>0</v>
      </c>
      <c r="J1119" t="n">
        <v>0</v>
      </c>
      <c r="K1119" t="n">
        <v>0</v>
      </c>
      <c r="L1119" t="n">
        <v>0</v>
      </c>
      <c r="M1119" t="n">
        <v>0</v>
      </c>
      <c r="N1119" t="n">
        <v>0</v>
      </c>
      <c r="O1119" t="n">
        <v>0</v>
      </c>
      <c r="P1119" t="n">
        <v>0</v>
      </c>
      <c r="Q1119" t="n">
        <v>0</v>
      </c>
      <c r="R1119" s="2" t="inlineStr"/>
    </row>
    <row r="1120" ht="15" customHeight="1">
      <c r="A1120" t="inlineStr">
        <is>
          <t>A 32326-2025</t>
        </is>
      </c>
      <c r="B1120" s="1" t="n">
        <v>45836.44392361111</v>
      </c>
      <c r="C1120" s="1" t="n">
        <v>45971</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12993-2025</t>
        </is>
      </c>
      <c r="B1121" s="1" t="n">
        <v>45734.48583333333</v>
      </c>
      <c r="C1121" s="1" t="n">
        <v>45971</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9630-2025</t>
        </is>
      </c>
      <c r="B1122" s="1" t="n">
        <v>45715.71145833333</v>
      </c>
      <c r="C1122" s="1" t="n">
        <v>45971</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32920-2025</t>
        </is>
      </c>
      <c r="B1123" s="1" t="n">
        <v>45839</v>
      </c>
      <c r="C1123" s="1" t="n">
        <v>45971</v>
      </c>
      <c r="D1123" t="inlineStr">
        <is>
          <t>VÄRMLANDS LÄN</t>
        </is>
      </c>
      <c r="E1123" t="inlineStr">
        <is>
          <t>ÅRJÄNG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32730-2025</t>
        </is>
      </c>
      <c r="B1124" s="1" t="n">
        <v>45839.40315972222</v>
      </c>
      <c r="C1124" s="1" t="n">
        <v>45971</v>
      </c>
      <c r="D1124" t="inlineStr">
        <is>
          <t>VÄRMLANDS LÄN</t>
        </is>
      </c>
      <c r="E1124" t="inlineStr">
        <is>
          <t>ÅRJÄNG</t>
        </is>
      </c>
      <c r="F1124" t="inlineStr">
        <is>
          <t>Kyrkan</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57142-2024</t>
        </is>
      </c>
      <c r="B1125" s="1" t="n">
        <v>45628</v>
      </c>
      <c r="C1125" s="1" t="n">
        <v>45971</v>
      </c>
      <c r="D1125" t="inlineStr">
        <is>
          <t>VÄRMLANDS LÄN</t>
        </is>
      </c>
      <c r="E1125" t="inlineStr">
        <is>
          <t>ÅRJÄNG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45971</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33237-2025</t>
        </is>
      </c>
      <c r="B1127" s="1" t="n">
        <v>45840</v>
      </c>
      <c r="C1127" s="1" t="n">
        <v>45971</v>
      </c>
      <c r="D1127" t="inlineStr">
        <is>
          <t>VÄRMLANDS LÄN</t>
        </is>
      </c>
      <c r="E1127" t="inlineStr">
        <is>
          <t>ÅRJÄNG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14446-2025</t>
        </is>
      </c>
      <c r="B1128" s="1" t="n">
        <v>45741.53552083333</v>
      </c>
      <c r="C1128" s="1" t="n">
        <v>45971</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32924-2025</t>
        </is>
      </c>
      <c r="B1129" s="1" t="n">
        <v>45839.65589120371</v>
      </c>
      <c r="C1129" s="1" t="n">
        <v>45971</v>
      </c>
      <c r="D1129" t="inlineStr">
        <is>
          <t>VÄRMLANDS LÄN</t>
        </is>
      </c>
      <c r="E1129" t="inlineStr">
        <is>
          <t>ÅRJÄNG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8833-2025</t>
        </is>
      </c>
      <c r="B1130" s="1" t="n">
        <v>45712.91263888889</v>
      </c>
      <c r="C1130" s="1" t="n">
        <v>45971</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26265-2024</t>
        </is>
      </c>
      <c r="B1131" s="1" t="n">
        <v>45468</v>
      </c>
      <c r="C1131" s="1" t="n">
        <v>45971</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64381-2023</t>
        </is>
      </c>
      <c r="B1132" s="1" t="n">
        <v>45280</v>
      </c>
      <c r="C1132" s="1" t="n">
        <v>45971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4545-2024</t>
        </is>
      </c>
      <c r="B1133" s="1" t="n">
        <v>45327</v>
      </c>
      <c r="C1133" s="1" t="n">
        <v>45971</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33412-2025</t>
        </is>
      </c>
      <c r="B1134" s="1" t="n">
        <v>45841</v>
      </c>
      <c r="C1134" s="1" t="n">
        <v>45971</v>
      </c>
      <c r="D1134" t="inlineStr">
        <is>
          <t>VÄRMLANDS LÄN</t>
        </is>
      </c>
      <c r="E1134" t="inlineStr">
        <is>
          <t>ÅRJÄNG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53751-2025</t>
        </is>
      </c>
      <c r="B1135" s="1" t="n">
        <v>45960.65855324074</v>
      </c>
      <c r="C1135" s="1" t="n">
        <v>45971</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53752-2025</t>
        </is>
      </c>
      <c r="B1136" s="1" t="n">
        <v>45960.66131944444</v>
      </c>
      <c r="C1136" s="1" t="n">
        <v>45971</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33526-2025</t>
        </is>
      </c>
      <c r="B1137" s="1" t="n">
        <v>45841.54869212963</v>
      </c>
      <c r="C1137" s="1" t="n">
        <v>45971</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47332-2022</t>
        </is>
      </c>
      <c r="B1138" s="1" t="n">
        <v>44853</v>
      </c>
      <c r="C1138" s="1" t="n">
        <v>45971</v>
      </c>
      <c r="D1138" t="inlineStr">
        <is>
          <t>VÄRMLANDS LÄN</t>
        </is>
      </c>
      <c r="E1138" t="inlineStr">
        <is>
          <t>ÅRJÄNG</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33600-2025</t>
        </is>
      </c>
      <c r="B1139" s="1" t="n">
        <v>45841.60918981482</v>
      </c>
      <c r="C1139" s="1" t="n">
        <v>45971</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21145-2022</t>
        </is>
      </c>
      <c r="B1140" s="1" t="n">
        <v>44704</v>
      </c>
      <c r="C1140" s="1" t="n">
        <v>45971</v>
      </c>
      <c r="D1140" t="inlineStr">
        <is>
          <t>VÄRMLANDS LÄN</t>
        </is>
      </c>
      <c r="E1140" t="inlineStr">
        <is>
          <t>ÅRJÄNG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33481-2025</t>
        </is>
      </c>
      <c r="B1141" s="1" t="n">
        <v>45841</v>
      </c>
      <c r="C1141" s="1" t="n">
        <v>45971</v>
      </c>
      <c r="D1141" t="inlineStr">
        <is>
          <t>VÄRMLANDS LÄN</t>
        </is>
      </c>
      <c r="E1141" t="inlineStr">
        <is>
          <t>ÅRJÄNG</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33832-2025</t>
        </is>
      </c>
      <c r="B1142" s="1" t="n">
        <v>45842.47506944444</v>
      </c>
      <c r="C1142" s="1" t="n">
        <v>45971</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44956-2025</t>
        </is>
      </c>
      <c r="B1143" s="1" t="n">
        <v>45918.61452546297</v>
      </c>
      <c r="C1143" s="1" t="n">
        <v>45971</v>
      </c>
      <c r="D1143" t="inlineStr">
        <is>
          <t>VÄRMLANDS LÄN</t>
        </is>
      </c>
      <c r="E1143" t="inlineStr">
        <is>
          <t>ÅRJÄNG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19621-2025</t>
        </is>
      </c>
      <c r="B1144" s="1" t="n">
        <v>45770</v>
      </c>
      <c r="C1144" s="1" t="n">
        <v>45971</v>
      </c>
      <c r="D1144" t="inlineStr">
        <is>
          <t>VÄRMLANDS LÄN</t>
        </is>
      </c>
      <c r="E1144" t="inlineStr">
        <is>
          <t>ÅRJÄNG</t>
        </is>
      </c>
      <c r="F1144" t="inlineStr">
        <is>
          <t>Övriga Aktiebolag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48389-2021</t>
        </is>
      </c>
      <c r="B1145" s="1" t="n">
        <v>44452.26943287037</v>
      </c>
      <c r="C1145" s="1" t="n">
        <v>45971</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33993-2025</t>
        </is>
      </c>
      <c r="B1146" s="1" t="n">
        <v>45843.61189814815</v>
      </c>
      <c r="C1146" s="1" t="n">
        <v>45971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34148-2025</t>
        </is>
      </c>
      <c r="B1147" s="1" t="n">
        <v>45844</v>
      </c>
      <c r="C1147" s="1" t="n">
        <v>45971</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33998-2025</t>
        </is>
      </c>
      <c r="B1148" s="1" t="n">
        <v>45843.99453703704</v>
      </c>
      <c r="C1148" s="1" t="n">
        <v>45971</v>
      </c>
      <c r="D1148" t="inlineStr">
        <is>
          <t>VÄRMLANDS LÄN</t>
        </is>
      </c>
      <c r="E1148" t="inlineStr">
        <is>
          <t>ÅRJÄNG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34243-2025</t>
        </is>
      </c>
      <c r="B1149" s="1" t="n">
        <v>45845</v>
      </c>
      <c r="C1149" s="1" t="n">
        <v>45971</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9662-2024</t>
        </is>
      </c>
      <c r="B1150" s="1" t="n">
        <v>45362.43423611111</v>
      </c>
      <c r="C1150" s="1" t="n">
        <v>45971</v>
      </c>
      <c r="D1150" t="inlineStr">
        <is>
          <t>VÄRMLANDS LÄN</t>
        </is>
      </c>
      <c r="E1150" t="inlineStr">
        <is>
          <t>ÅRJÄNG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45099-2025</t>
        </is>
      </c>
      <c r="B1151" s="1" t="n">
        <v>45919</v>
      </c>
      <c r="C1151" s="1" t="n">
        <v>45971</v>
      </c>
      <c r="D1151" t="inlineStr">
        <is>
          <t>VÄRMLANDS LÄN</t>
        </is>
      </c>
      <c r="E1151" t="inlineStr">
        <is>
          <t>ÅRJÄNG</t>
        </is>
      </c>
      <c r="F1151" t="inlineStr">
        <is>
          <t>Övriga Aktiebolag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7794-2024</t>
        </is>
      </c>
      <c r="B1152" s="1" t="n">
        <v>45349</v>
      </c>
      <c r="C1152" s="1" t="n">
        <v>45971</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34248-2025</t>
        </is>
      </c>
      <c r="B1153" s="1" t="n">
        <v>45845</v>
      </c>
      <c r="C1153" s="1" t="n">
        <v>45971</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34252-2025</t>
        </is>
      </c>
      <c r="B1154" s="1" t="n">
        <v>45845</v>
      </c>
      <c r="C1154" s="1" t="n">
        <v>45971</v>
      </c>
      <c r="D1154" t="inlineStr">
        <is>
          <t>VÄRMLANDS LÄN</t>
        </is>
      </c>
      <c r="E1154" t="inlineStr">
        <is>
          <t>ÅRJÄNG</t>
        </is>
      </c>
      <c r="G1154" t="n">
        <v>7.1</v>
      </c>
      <c r="H1154" t="n">
        <v>0</v>
      </c>
      <c r="I1154" t="n">
        <v>0</v>
      </c>
      <c r="J1154" t="n">
        <v>0</v>
      </c>
      <c r="K1154" t="n">
        <v>0</v>
      </c>
      <c r="L1154" t="n">
        <v>0</v>
      </c>
      <c r="M1154" t="n">
        <v>0</v>
      </c>
      <c r="N1154" t="n">
        <v>0</v>
      </c>
      <c r="O1154" t="n">
        <v>0</v>
      </c>
      <c r="P1154" t="n">
        <v>0</v>
      </c>
      <c r="Q1154" t="n">
        <v>0</v>
      </c>
      <c r="R1154" s="2" t="inlineStr"/>
      <c r="U1154">
        <f>HYPERLINK("https://klasma.github.io/Logging_1765/knärot/A 34252-2025 karta knärot.png", "A 34252-2025")</f>
        <v/>
      </c>
      <c r="V1154">
        <f>HYPERLINK("https://klasma.github.io/Logging_1765/klagomål/A 34252-2025 FSC-klagomål.docx", "A 34252-2025")</f>
        <v/>
      </c>
      <c r="W1154">
        <f>HYPERLINK("https://klasma.github.io/Logging_1765/klagomålsmail/A 34252-2025 FSC-klagomål mail.docx", "A 34252-2025")</f>
        <v/>
      </c>
      <c r="X1154">
        <f>HYPERLINK("https://klasma.github.io/Logging_1765/tillsyn/A 34252-2025 tillsynsbegäran.docx", "A 34252-2025")</f>
        <v/>
      </c>
      <c r="Y1154">
        <f>HYPERLINK("https://klasma.github.io/Logging_1765/tillsynsmail/A 34252-2025 tillsynsbegäran mail.docx", "A 34252-2025")</f>
        <v/>
      </c>
    </row>
    <row r="1155" ht="15" customHeight="1">
      <c r="A1155" t="inlineStr">
        <is>
          <t>A 34077-2025</t>
        </is>
      </c>
      <c r="B1155" s="1" t="n">
        <v>45845.45206018518</v>
      </c>
      <c r="C1155" s="1" t="n">
        <v>45971</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13784-2024</t>
        </is>
      </c>
      <c r="B1156" s="1" t="n">
        <v>45391.33817129629</v>
      </c>
      <c r="C1156" s="1" t="n">
        <v>45971</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34230-2025</t>
        </is>
      </c>
      <c r="B1157" s="1" t="n">
        <v>45845</v>
      </c>
      <c r="C1157" s="1" t="n">
        <v>45971</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34235-2025</t>
        </is>
      </c>
      <c r="B1158" s="1" t="n">
        <v>45845</v>
      </c>
      <c r="C1158" s="1" t="n">
        <v>45971</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45130-2025</t>
        </is>
      </c>
      <c r="B1159" s="1" t="n">
        <v>45919</v>
      </c>
      <c r="C1159" s="1" t="n">
        <v>45971</v>
      </c>
      <c r="D1159" t="inlineStr">
        <is>
          <t>VÄRMLANDS LÄN</t>
        </is>
      </c>
      <c r="E1159" t="inlineStr">
        <is>
          <t>ÅRJÄNG</t>
        </is>
      </c>
      <c r="F1159" t="inlineStr">
        <is>
          <t>Övriga Aktiebolag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46096-2021</t>
        </is>
      </c>
      <c r="B1160" s="1" t="n">
        <v>44442</v>
      </c>
      <c r="C1160" s="1" t="n">
        <v>45971</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54155-2025</t>
        </is>
      </c>
      <c r="B1161" s="1" t="n">
        <v>45964.49306712963</v>
      </c>
      <c r="C1161" s="1" t="n">
        <v>45971</v>
      </c>
      <c r="D1161" t="inlineStr">
        <is>
          <t>VÄRMLANDS LÄN</t>
        </is>
      </c>
      <c r="E1161" t="inlineStr">
        <is>
          <t>ÅRJÄNG</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45161-2025</t>
        </is>
      </c>
      <c r="B1162" s="1" t="n">
        <v>45919</v>
      </c>
      <c r="C1162" s="1" t="n">
        <v>45971</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34839-2025</t>
        </is>
      </c>
      <c r="B1163" s="1" t="n">
        <v>45849.39505787037</v>
      </c>
      <c r="C1163" s="1" t="n">
        <v>45971</v>
      </c>
      <c r="D1163" t="inlineStr">
        <is>
          <t>VÄRMLANDS LÄN</t>
        </is>
      </c>
      <c r="E1163" t="inlineStr">
        <is>
          <t>ÅRJÄNG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10338-2024</t>
        </is>
      </c>
      <c r="B1164" s="1" t="n">
        <v>45365.58712962963</v>
      </c>
      <c r="C1164" s="1" t="n">
        <v>45971</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34840-2025</t>
        </is>
      </c>
      <c r="B1165" s="1" t="n">
        <v>45849</v>
      </c>
      <c r="C1165" s="1" t="n">
        <v>45971</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45137-2025</t>
        </is>
      </c>
      <c r="B1166" s="1" t="n">
        <v>45919</v>
      </c>
      <c r="C1166" s="1" t="n">
        <v>45971</v>
      </c>
      <c r="D1166" t="inlineStr">
        <is>
          <t>VÄRMLANDS LÄN</t>
        </is>
      </c>
      <c r="E1166" t="inlineStr">
        <is>
          <t>ÅRJÄNG</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51895-2022</t>
        </is>
      </c>
      <c r="B1167" s="1" t="n">
        <v>44872.61237268519</v>
      </c>
      <c r="C1167" s="1" t="n">
        <v>45971</v>
      </c>
      <c r="D1167" t="inlineStr">
        <is>
          <t>VÄRMLANDS LÄN</t>
        </is>
      </c>
      <c r="E1167" t="inlineStr">
        <is>
          <t>ÅRJÄNG</t>
        </is>
      </c>
      <c r="F1167" t="inlineStr">
        <is>
          <t>Kyrkan</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35104-2025</t>
        </is>
      </c>
      <c r="B1168" s="1" t="n">
        <v>45852.57070601852</v>
      </c>
      <c r="C1168" s="1" t="n">
        <v>45971</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45332-2025</t>
        </is>
      </c>
      <c r="B1169" s="1" t="n">
        <v>45922</v>
      </c>
      <c r="C1169" s="1" t="n">
        <v>45971</v>
      </c>
      <c r="D1169" t="inlineStr">
        <is>
          <t>VÄRMLANDS LÄN</t>
        </is>
      </c>
      <c r="E1169" t="inlineStr">
        <is>
          <t>ÅRJÄNG</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3861-2025</t>
        </is>
      </c>
      <c r="B1170" s="1" t="n">
        <v>45683</v>
      </c>
      <c r="C1170" s="1" t="n">
        <v>45971</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34831-2025</t>
        </is>
      </c>
      <c r="B1171" s="1" t="n">
        <v>45849</v>
      </c>
      <c r="C1171" s="1" t="n">
        <v>45971</v>
      </c>
      <c r="D1171" t="inlineStr">
        <is>
          <t>VÄRMLANDS LÄN</t>
        </is>
      </c>
      <c r="E1171" t="inlineStr">
        <is>
          <t>ÅRJÄNG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45329-2025</t>
        </is>
      </c>
      <c r="B1172" s="1" t="n">
        <v>45922</v>
      </c>
      <c r="C1172" s="1" t="n">
        <v>45971</v>
      </c>
      <c r="D1172" t="inlineStr">
        <is>
          <t>VÄRMLANDS LÄN</t>
        </is>
      </c>
      <c r="E1172" t="inlineStr">
        <is>
          <t>ÅRJÄNG</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13647-2025</t>
        </is>
      </c>
      <c r="B1173" s="1" t="n">
        <v>45736.69149305556</v>
      </c>
      <c r="C1173" s="1" t="n">
        <v>45971</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5256-2023</t>
        </is>
      </c>
      <c r="B1174" s="1" t="n">
        <v>44959.45520833333</v>
      </c>
      <c r="C1174" s="1" t="n">
        <v>45971</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45524-2025</t>
        </is>
      </c>
      <c r="B1175" s="1" t="n">
        <v>45922</v>
      </c>
      <c r="C1175" s="1" t="n">
        <v>45971</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45192-2025</t>
        </is>
      </c>
      <c r="B1176" s="1" t="n">
        <v>45919</v>
      </c>
      <c r="C1176" s="1" t="n">
        <v>45971</v>
      </c>
      <c r="D1176" t="inlineStr">
        <is>
          <t>VÄRMLANDS LÄN</t>
        </is>
      </c>
      <c r="E1176" t="inlineStr">
        <is>
          <t>ÅRJÄNG</t>
        </is>
      </c>
      <c r="F1176" t="inlineStr">
        <is>
          <t>Bergvik skog väst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35295-2025</t>
        </is>
      </c>
      <c r="B1177" s="1" t="n">
        <v>45854.40325231481</v>
      </c>
      <c r="C1177" s="1" t="n">
        <v>45971</v>
      </c>
      <c r="D1177" t="inlineStr">
        <is>
          <t>VÄRMLANDS LÄN</t>
        </is>
      </c>
      <c r="E1177" t="inlineStr">
        <is>
          <t>ÅRJÄNG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35304-2025</t>
        </is>
      </c>
      <c r="B1178" s="1" t="n">
        <v>45854.43931712963</v>
      </c>
      <c r="C1178" s="1" t="n">
        <v>45971</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34163-2025</t>
        </is>
      </c>
      <c r="B1179" s="1" t="n">
        <v>45844</v>
      </c>
      <c r="C1179" s="1" t="n">
        <v>45971</v>
      </c>
      <c r="D1179" t="inlineStr">
        <is>
          <t>VÄRMLANDS LÄN</t>
        </is>
      </c>
      <c r="E1179" t="inlineStr">
        <is>
          <t>ÅRJÄNG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34075-2025</t>
        </is>
      </c>
      <c r="B1180" s="1" t="n">
        <v>45845</v>
      </c>
      <c r="C1180" s="1" t="n">
        <v>45971</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34159-2025</t>
        </is>
      </c>
      <c r="B1181" s="1" t="n">
        <v>45844</v>
      </c>
      <c r="C1181" s="1" t="n">
        <v>45971</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59624-2022</t>
        </is>
      </c>
      <c r="B1182" s="1" t="n">
        <v>44907.90521990741</v>
      </c>
      <c r="C1182" s="1" t="n">
        <v>45971</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45515-2025</t>
        </is>
      </c>
      <c r="B1183" s="1" t="n">
        <v>45922</v>
      </c>
      <c r="C1183" s="1" t="n">
        <v>45971</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64229-2023</t>
        </is>
      </c>
      <c r="B1184" s="1" t="n">
        <v>45279</v>
      </c>
      <c r="C1184" s="1" t="n">
        <v>45971</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45590-2025</t>
        </is>
      </c>
      <c r="B1185" s="1" t="n">
        <v>45922</v>
      </c>
      <c r="C1185" s="1" t="n">
        <v>45971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45599-2025</t>
        </is>
      </c>
      <c r="B1186" s="1" t="n">
        <v>45922</v>
      </c>
      <c r="C1186" s="1" t="n">
        <v>45971</v>
      </c>
      <c r="D1186" t="inlineStr">
        <is>
          <t>VÄRMLANDS LÄN</t>
        </is>
      </c>
      <c r="E1186" t="inlineStr">
        <is>
          <t>ÅRJÄNG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45203-2025</t>
        </is>
      </c>
      <c r="B1187" s="1" t="n">
        <v>45919</v>
      </c>
      <c r="C1187" s="1" t="n">
        <v>45971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47634-2025</t>
        </is>
      </c>
      <c r="B1188" s="1" t="n">
        <v>45931</v>
      </c>
      <c r="C1188" s="1" t="n">
        <v>45971</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35414-2025</t>
        </is>
      </c>
      <c r="B1189" s="1" t="n">
        <v>45855</v>
      </c>
      <c r="C1189" s="1" t="n">
        <v>45971</v>
      </c>
      <c r="D1189" t="inlineStr">
        <is>
          <t>VÄRMLANDS LÄN</t>
        </is>
      </c>
      <c r="E1189" t="inlineStr">
        <is>
          <t>ÅRJÄNG</t>
        </is>
      </c>
      <c r="F1189" t="inlineStr">
        <is>
          <t>Bergvik skog väst AB</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45971</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49780-2024</t>
        </is>
      </c>
      <c r="B1191" s="1" t="n">
        <v>45597</v>
      </c>
      <c r="C1191" s="1" t="n">
        <v>45971</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45162-2025</t>
        </is>
      </c>
      <c r="B1192" s="1" t="n">
        <v>45919</v>
      </c>
      <c r="C1192" s="1" t="n">
        <v>45971</v>
      </c>
      <c r="D1192" t="inlineStr">
        <is>
          <t>VÄRMLANDS LÄN</t>
        </is>
      </c>
      <c r="E1192" t="inlineStr">
        <is>
          <t>ÅRJÄNG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45581-2025</t>
        </is>
      </c>
      <c r="B1193" s="1" t="n">
        <v>45922</v>
      </c>
      <c r="C1193" s="1" t="n">
        <v>45971</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7443-2024</t>
        </is>
      </c>
      <c r="B1194" s="1" t="n">
        <v>45345.72207175926</v>
      </c>
      <c r="C1194" s="1" t="n">
        <v>45971</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45411-2025</t>
        </is>
      </c>
      <c r="B1195" s="1" t="n">
        <v>45922</v>
      </c>
      <c r="C1195" s="1" t="n">
        <v>45971</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60903-2023</t>
        </is>
      </c>
      <c r="B1196" s="1" t="n">
        <v>45261</v>
      </c>
      <c r="C1196" s="1" t="n">
        <v>45971</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54111-2025</t>
        </is>
      </c>
      <c r="B1197" s="1" t="n">
        <v>45964.43324074074</v>
      </c>
      <c r="C1197" s="1" t="n">
        <v>45971</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58486-2023</t>
        </is>
      </c>
      <c r="B1198" s="1" t="n">
        <v>45246</v>
      </c>
      <c r="C1198" s="1" t="n">
        <v>45971</v>
      </c>
      <c r="D1198" t="inlineStr">
        <is>
          <t>VÄRMLANDS LÄN</t>
        </is>
      </c>
      <c r="E1198" t="inlineStr">
        <is>
          <t>ÅRJÄNG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36587-2024</t>
        </is>
      </c>
      <c r="B1199" s="1" t="n">
        <v>45537</v>
      </c>
      <c r="C1199" s="1" t="n">
        <v>45971</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45166-2025</t>
        </is>
      </c>
      <c r="B1200" s="1" t="n">
        <v>45919</v>
      </c>
      <c r="C1200" s="1" t="n">
        <v>45971</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23971-2023</t>
        </is>
      </c>
      <c r="B1201" s="1" t="n">
        <v>45078.63996527778</v>
      </c>
      <c r="C1201" s="1" t="n">
        <v>45971</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35869-2025</t>
        </is>
      </c>
      <c r="B1202" s="1" t="n">
        <v>45862</v>
      </c>
      <c r="C1202" s="1" t="n">
        <v>45971</v>
      </c>
      <c r="D1202" t="inlineStr">
        <is>
          <t>VÄRMLANDS LÄN</t>
        </is>
      </c>
      <c r="E1202" t="inlineStr">
        <is>
          <t>ÅRJÄNG</t>
        </is>
      </c>
      <c r="F1202" t="inlineStr">
        <is>
          <t>Bergvik skog väst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48805-2022</t>
        </is>
      </c>
      <c r="B1203" s="1" t="n">
        <v>44854</v>
      </c>
      <c r="C1203" s="1" t="n">
        <v>45971</v>
      </c>
      <c r="D1203" t="inlineStr">
        <is>
          <t>VÄRMLANDS LÄN</t>
        </is>
      </c>
      <c r="E1203" t="inlineStr">
        <is>
          <t>ÅRJÄNG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36143-2025</t>
        </is>
      </c>
      <c r="B1204" s="1" t="n">
        <v>45866.68708333333</v>
      </c>
      <c r="C1204" s="1" t="n">
        <v>45971</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54129-2025</t>
        </is>
      </c>
      <c r="B1205" s="1" t="n">
        <v>45964.46063657408</v>
      </c>
      <c r="C1205" s="1" t="n">
        <v>45971</v>
      </c>
      <c r="D1205" t="inlineStr">
        <is>
          <t>VÄRMLANDS LÄN</t>
        </is>
      </c>
      <c r="E1205" t="inlineStr">
        <is>
          <t>ÅRJÄNG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57708-2024</t>
        </is>
      </c>
      <c r="B1206" s="1" t="n">
        <v>45630</v>
      </c>
      <c r="C1206" s="1" t="n">
        <v>45971</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54159-2025</t>
        </is>
      </c>
      <c r="B1207" s="1" t="n">
        <v>45964.50344907407</v>
      </c>
      <c r="C1207" s="1" t="n">
        <v>45971</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15547-2025</t>
        </is>
      </c>
      <c r="B1208" s="1" t="n">
        <v>45747</v>
      </c>
      <c r="C1208" s="1" t="n">
        <v>45971</v>
      </c>
      <c r="D1208" t="inlineStr">
        <is>
          <t>VÄRMLANDS LÄN</t>
        </is>
      </c>
      <c r="E1208" t="inlineStr">
        <is>
          <t>ÅRJÄNG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15548-2025</t>
        </is>
      </c>
      <c r="B1209" s="1" t="n">
        <v>45747</v>
      </c>
      <c r="C1209" s="1" t="n">
        <v>45971</v>
      </c>
      <c r="D1209" t="inlineStr">
        <is>
          <t>VÄRMLANDS LÄN</t>
        </is>
      </c>
      <c r="E1209" t="inlineStr">
        <is>
          <t>ÅRJÄNG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6107-2024</t>
        </is>
      </c>
      <c r="B1210" s="1" t="n">
        <v>45337</v>
      </c>
      <c r="C1210" s="1" t="n">
        <v>45971</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44257-2025</t>
        </is>
      </c>
      <c r="B1211" s="1" t="n">
        <v>45915</v>
      </c>
      <c r="C1211" s="1" t="n">
        <v>45971</v>
      </c>
      <c r="D1211" t="inlineStr">
        <is>
          <t>VÄRMLANDS LÄN</t>
        </is>
      </c>
      <c r="E1211" t="inlineStr">
        <is>
          <t>ÅRJÄNG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54013-2023</t>
        </is>
      </c>
      <c r="B1212" s="1" t="n">
        <v>45231.81550925926</v>
      </c>
      <c r="C1212" s="1" t="n">
        <v>45971</v>
      </c>
      <c r="D1212" t="inlineStr">
        <is>
          <t>VÄRMLANDS LÄN</t>
        </is>
      </c>
      <c r="E1212" t="inlineStr">
        <is>
          <t>ÅRJÄNG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15308-2022</t>
        </is>
      </c>
      <c r="B1213" s="1" t="n">
        <v>44659.45865740741</v>
      </c>
      <c r="C1213" s="1" t="n">
        <v>45971</v>
      </c>
      <c r="D1213" t="inlineStr">
        <is>
          <t>VÄRMLANDS LÄN</t>
        </is>
      </c>
      <c r="E1213" t="inlineStr">
        <is>
          <t>ÅRJÄNG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7114-2023</t>
        </is>
      </c>
      <c r="B1214" s="1" t="n">
        <v>44970.39068287037</v>
      </c>
      <c r="C1214" s="1" t="n">
        <v>45971</v>
      </c>
      <c r="D1214" t="inlineStr">
        <is>
          <t>VÄRMLANDS LÄN</t>
        </is>
      </c>
      <c r="E1214" t="inlineStr">
        <is>
          <t>ÅRJÄNG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59976-2022</t>
        </is>
      </c>
      <c r="B1215" s="1" t="n">
        <v>44901</v>
      </c>
      <c r="C1215" s="1" t="n">
        <v>45971</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3298-2025</t>
        </is>
      </c>
      <c r="B1216" s="1" t="n">
        <v>45679.64770833333</v>
      </c>
      <c r="C1216" s="1" t="n">
        <v>45971</v>
      </c>
      <c r="D1216" t="inlineStr">
        <is>
          <t>VÄRMLANDS LÄN</t>
        </is>
      </c>
      <c r="E1216" t="inlineStr">
        <is>
          <t>ÅRJÄNG</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41283-2023</t>
        </is>
      </c>
      <c r="B1217" s="1" t="n">
        <v>45174.57032407408</v>
      </c>
      <c r="C1217" s="1" t="n">
        <v>45971</v>
      </c>
      <c r="D1217" t="inlineStr">
        <is>
          <t>VÄRMLANDS LÄN</t>
        </is>
      </c>
      <c r="E1217" t="inlineStr">
        <is>
          <t>ÅRJÄNG</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36592-2024</t>
        </is>
      </c>
      <c r="B1218" s="1" t="n">
        <v>45537</v>
      </c>
      <c r="C1218" s="1" t="n">
        <v>45971</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56757-2023</t>
        </is>
      </c>
      <c r="B1219" s="1" t="n">
        <v>45244.37539351852</v>
      </c>
      <c r="C1219" s="1" t="n">
        <v>45971</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49891-2022</t>
        </is>
      </c>
      <c r="B1220" s="1" t="n">
        <v>44864</v>
      </c>
      <c r="C1220" s="1" t="n">
        <v>45971</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36461-2025</t>
        </is>
      </c>
      <c r="B1221" s="1" t="n">
        <v>45869</v>
      </c>
      <c r="C1221" s="1" t="n">
        <v>45971</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59811-2023</t>
        </is>
      </c>
      <c r="B1222" s="1" t="n">
        <v>45254</v>
      </c>
      <c r="C1222" s="1" t="n">
        <v>45971</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36450-2025</t>
        </is>
      </c>
      <c r="B1223" s="1" t="n">
        <v>45869</v>
      </c>
      <c r="C1223" s="1" t="n">
        <v>45971</v>
      </c>
      <c r="D1223" t="inlineStr">
        <is>
          <t>VÄRMLANDS LÄN</t>
        </is>
      </c>
      <c r="E1223" t="inlineStr">
        <is>
          <t>ÅRJÄNG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34205-2025</t>
        </is>
      </c>
      <c r="B1224" s="1" t="n">
        <v>45845</v>
      </c>
      <c r="C1224" s="1" t="n">
        <v>45971</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24916-2024</t>
        </is>
      </c>
      <c r="B1225" s="1" t="n">
        <v>45461.6058449074</v>
      </c>
      <c r="C1225" s="1" t="n">
        <v>45971</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4135-2025</t>
        </is>
      </c>
      <c r="B1226" s="1" t="n">
        <v>45685</v>
      </c>
      <c r="C1226" s="1" t="n">
        <v>45971</v>
      </c>
      <c r="D1226" t="inlineStr">
        <is>
          <t>VÄRMLANDS LÄN</t>
        </is>
      </c>
      <c r="E1226" t="inlineStr">
        <is>
          <t>ÅRJÄNG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27692-2024</t>
        </is>
      </c>
      <c r="B1227" s="1" t="n">
        <v>45474</v>
      </c>
      <c r="C1227" s="1" t="n">
        <v>45971</v>
      </c>
      <c r="D1227" t="inlineStr">
        <is>
          <t>VÄRMLANDS LÄN</t>
        </is>
      </c>
      <c r="E1227" t="inlineStr">
        <is>
          <t>ÅRJÄNG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34425-2021</t>
        </is>
      </c>
      <c r="B1228" s="1" t="n">
        <v>44380</v>
      </c>
      <c r="C1228" s="1" t="n">
        <v>45971</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32973-2021</t>
        </is>
      </c>
      <c r="B1229" s="1" t="n">
        <v>44376</v>
      </c>
      <c r="C1229" s="1" t="n">
        <v>45971</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36819-2025</t>
        </is>
      </c>
      <c r="B1230" s="1" t="n">
        <v>45873.84164351852</v>
      </c>
      <c r="C1230" s="1" t="n">
        <v>45971</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36834-2025</t>
        </is>
      </c>
      <c r="B1231" s="1" t="n">
        <v>45874.35965277778</v>
      </c>
      <c r="C1231" s="1" t="n">
        <v>45971</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56333-2024</t>
        </is>
      </c>
      <c r="B1232" s="1" t="n">
        <v>45624.8005324074</v>
      </c>
      <c r="C1232" s="1" t="n">
        <v>45971</v>
      </c>
      <c r="D1232" t="inlineStr">
        <is>
          <t>VÄRMLANDS LÄN</t>
        </is>
      </c>
      <c r="E1232" t="inlineStr">
        <is>
          <t>ÅRJÄNG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36752-2025</t>
        </is>
      </c>
      <c r="B1233" s="1" t="n">
        <v>45873</v>
      </c>
      <c r="C1233" s="1" t="n">
        <v>45971</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61764-2022</t>
        </is>
      </c>
      <c r="B1234" s="1" t="n">
        <v>44911</v>
      </c>
      <c r="C1234" s="1" t="n">
        <v>45971</v>
      </c>
      <c r="D1234" t="inlineStr">
        <is>
          <t>VÄRMLANDS LÄN</t>
        </is>
      </c>
      <c r="E1234" t="inlineStr">
        <is>
          <t>ÅRJÄNG</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19052-2023</t>
        </is>
      </c>
      <c r="B1235" s="1" t="n">
        <v>45047</v>
      </c>
      <c r="C1235" s="1" t="n">
        <v>45971</v>
      </c>
      <c r="D1235" t="inlineStr">
        <is>
          <t>VÄRMLANDS LÄN</t>
        </is>
      </c>
      <c r="E1235" t="inlineStr">
        <is>
          <t>ÅRJÄNG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36857-2025</t>
        </is>
      </c>
      <c r="B1236" s="1" t="n">
        <v>45874.40488425926</v>
      </c>
      <c r="C1236" s="1" t="n">
        <v>45971</v>
      </c>
      <c r="D1236" t="inlineStr">
        <is>
          <t>VÄRMLANDS LÄN</t>
        </is>
      </c>
      <c r="E1236" t="inlineStr">
        <is>
          <t>ÅRJÄNG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36751-2025</t>
        </is>
      </c>
      <c r="B1237" s="1" t="n">
        <v>45873</v>
      </c>
      <c r="C1237" s="1" t="n">
        <v>45971</v>
      </c>
      <c r="D1237" t="inlineStr">
        <is>
          <t>VÄRMLANDS LÄN</t>
        </is>
      </c>
      <c r="E1237" t="inlineStr">
        <is>
          <t>ÅRJÄNG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36827-2025</t>
        </is>
      </c>
      <c r="B1238" s="1" t="n">
        <v>45874</v>
      </c>
      <c r="C1238" s="1" t="n">
        <v>45971</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36839-2025</t>
        </is>
      </c>
      <c r="B1239" s="1" t="n">
        <v>45874</v>
      </c>
      <c r="C1239" s="1" t="n">
        <v>45971</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36780-2025</t>
        </is>
      </c>
      <c r="B1240" s="1" t="n">
        <v>45873</v>
      </c>
      <c r="C1240" s="1" t="n">
        <v>45971</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36831-2025</t>
        </is>
      </c>
      <c r="B1241" s="1" t="n">
        <v>45874</v>
      </c>
      <c r="C1241" s="1" t="n">
        <v>45971</v>
      </c>
      <c r="D1241" t="inlineStr">
        <is>
          <t>VÄRMLANDS LÄN</t>
        </is>
      </c>
      <c r="E1241" t="inlineStr">
        <is>
          <t>ÅRJÄNG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36865-2025</t>
        </is>
      </c>
      <c r="B1242" s="1" t="n">
        <v>45874.41655092593</v>
      </c>
      <c r="C1242" s="1" t="n">
        <v>45971</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54418-2025</t>
        </is>
      </c>
      <c r="B1243" s="1" t="n">
        <v>45965.48027777778</v>
      </c>
      <c r="C1243" s="1" t="n">
        <v>45971</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54420-2025</t>
        </is>
      </c>
      <c r="B1244" s="1" t="n">
        <v>45965.4834837963</v>
      </c>
      <c r="C1244" s="1" t="n">
        <v>45971</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54430-2025</t>
        </is>
      </c>
      <c r="B1245" s="1" t="n">
        <v>45965.49414351852</v>
      </c>
      <c r="C1245" s="1" t="n">
        <v>45971</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15570-2025</t>
        </is>
      </c>
      <c r="B1246" s="1" t="n">
        <v>45747</v>
      </c>
      <c r="C1246" s="1" t="n">
        <v>45971</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15572-2025</t>
        </is>
      </c>
      <c r="B1247" s="1" t="n">
        <v>45747</v>
      </c>
      <c r="C1247" s="1" t="n">
        <v>45971</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15578-2025</t>
        </is>
      </c>
      <c r="B1248" s="1" t="n">
        <v>45747</v>
      </c>
      <c r="C1248" s="1" t="n">
        <v>45971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37247-2025</t>
        </is>
      </c>
      <c r="B1249" s="1" t="n">
        <v>45876.40268518519</v>
      </c>
      <c r="C1249" s="1" t="n">
        <v>45971</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69417-2021</t>
        </is>
      </c>
      <c r="B1250" s="1" t="n">
        <v>44531</v>
      </c>
      <c r="C1250" s="1" t="n">
        <v>45971</v>
      </c>
      <c r="D1250" t="inlineStr">
        <is>
          <t>VÄRMLANDS LÄN</t>
        </is>
      </c>
      <c r="E1250" t="inlineStr">
        <is>
          <t>ÅRJÄNG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45907-2025</t>
        </is>
      </c>
      <c r="B1251" s="1" t="n">
        <v>45923.70748842593</v>
      </c>
      <c r="C1251" s="1" t="n">
        <v>45971</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37071-2025</t>
        </is>
      </c>
      <c r="B1252" s="1" t="n">
        <v>45875.40101851852</v>
      </c>
      <c r="C1252" s="1" t="n">
        <v>45971</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45906-2025</t>
        </is>
      </c>
      <c r="B1253" s="1" t="n">
        <v>45923.70627314815</v>
      </c>
      <c r="C1253" s="1" t="n">
        <v>45971</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37419-2025</t>
        </is>
      </c>
      <c r="B1254" s="1" t="n">
        <v>45877</v>
      </c>
      <c r="C1254" s="1" t="n">
        <v>45971</v>
      </c>
      <c r="D1254" t="inlineStr">
        <is>
          <t>VÄRMLANDS LÄN</t>
        </is>
      </c>
      <c r="E1254" t="inlineStr">
        <is>
          <t>ÅRJÄNG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37484-2025</t>
        </is>
      </c>
      <c r="B1255" s="1" t="n">
        <v>45877</v>
      </c>
      <c r="C1255" s="1" t="n">
        <v>45971</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37507-2025</t>
        </is>
      </c>
      <c r="B1256" s="1" t="n">
        <v>45877</v>
      </c>
      <c r="C1256" s="1" t="n">
        <v>45971</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38482-2024</t>
        </is>
      </c>
      <c r="B1257" s="1" t="n">
        <v>45546</v>
      </c>
      <c r="C1257" s="1" t="n">
        <v>45971</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37402-2025</t>
        </is>
      </c>
      <c r="B1258" s="1" t="n">
        <v>45877</v>
      </c>
      <c r="C1258" s="1" t="n">
        <v>45971</v>
      </c>
      <c r="D1258" t="inlineStr">
        <is>
          <t>VÄRMLANDS LÄN</t>
        </is>
      </c>
      <c r="E1258" t="inlineStr">
        <is>
          <t>ÅRJÄNG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37416-2025</t>
        </is>
      </c>
      <c r="B1259" s="1" t="n">
        <v>45877</v>
      </c>
      <c r="C1259" s="1" t="n">
        <v>45971</v>
      </c>
      <c r="D1259" t="inlineStr">
        <is>
          <t>VÄRMLANDS LÄN</t>
        </is>
      </c>
      <c r="E1259" t="inlineStr">
        <is>
          <t>ÅRJÄNG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40447-2022</t>
        </is>
      </c>
      <c r="B1260" s="1" t="n">
        <v>44823</v>
      </c>
      <c r="C1260" s="1" t="n">
        <v>45971</v>
      </c>
      <c r="D1260" t="inlineStr">
        <is>
          <t>VÄRMLANDS LÄN</t>
        </is>
      </c>
      <c r="E1260" t="inlineStr">
        <is>
          <t>ÅRJÄNG</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37662-2025</t>
        </is>
      </c>
      <c r="B1261" s="1" t="n">
        <v>45880</v>
      </c>
      <c r="C1261" s="1" t="n">
        <v>45971</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37418-2025</t>
        </is>
      </c>
      <c r="B1262" s="1" t="n">
        <v>45877</v>
      </c>
      <c r="C1262" s="1" t="n">
        <v>45971</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37420-2025</t>
        </is>
      </c>
      <c r="B1263" s="1" t="n">
        <v>45877</v>
      </c>
      <c r="C1263" s="1" t="n">
        <v>45971</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37680-2025</t>
        </is>
      </c>
      <c r="B1264" s="1" t="n">
        <v>45880.54208333333</v>
      </c>
      <c r="C1264" s="1" t="n">
        <v>45971</v>
      </c>
      <c r="D1264" t="inlineStr">
        <is>
          <t>VÄRMLANDS LÄN</t>
        </is>
      </c>
      <c r="E1264" t="inlineStr">
        <is>
          <t>ÅRJÄNG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37681-2025</t>
        </is>
      </c>
      <c r="B1265" s="1" t="n">
        <v>45880</v>
      </c>
      <c r="C1265" s="1" t="n">
        <v>45971</v>
      </c>
      <c r="D1265" t="inlineStr">
        <is>
          <t>VÄRMLANDS LÄN</t>
        </is>
      </c>
      <c r="E1265" t="inlineStr">
        <is>
          <t>ÅRJÄNG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37555-2025</t>
        </is>
      </c>
      <c r="B1266" s="1" t="n">
        <v>45880</v>
      </c>
      <c r="C1266" s="1" t="n">
        <v>45971</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65837-2021</t>
        </is>
      </c>
      <c r="B1267" s="1" t="n">
        <v>44517.35402777778</v>
      </c>
      <c r="C1267" s="1" t="n">
        <v>45971</v>
      </c>
      <c r="D1267" t="inlineStr">
        <is>
          <t>VÄRMLANDS LÄN</t>
        </is>
      </c>
      <c r="E1267" t="inlineStr">
        <is>
          <t>ÅRJÄNG</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28314-2025</t>
        </is>
      </c>
      <c r="B1268" s="1" t="n">
        <v>45818.62592592592</v>
      </c>
      <c r="C1268" s="1" t="n">
        <v>45971</v>
      </c>
      <c r="D1268" t="inlineStr">
        <is>
          <t>VÄRMLANDS LÄN</t>
        </is>
      </c>
      <c r="E1268" t="inlineStr">
        <is>
          <t>ÅRJÄNG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37655-2025</t>
        </is>
      </c>
      <c r="B1269" s="1" t="n">
        <v>45880</v>
      </c>
      <c r="C1269" s="1" t="n">
        <v>45971</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37510-2025</t>
        </is>
      </c>
      <c r="B1270" s="1" t="n">
        <v>45877</v>
      </c>
      <c r="C1270" s="1" t="n">
        <v>45971</v>
      </c>
      <c r="D1270" t="inlineStr">
        <is>
          <t>VÄRMLANDS LÄN</t>
        </is>
      </c>
      <c r="E1270" t="inlineStr">
        <is>
          <t>ÅRJÄNG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49405-2022</t>
        </is>
      </c>
      <c r="B1271" s="1" t="n">
        <v>44861.63182870371</v>
      </c>
      <c r="C1271" s="1" t="n">
        <v>45971</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44417-2021</t>
        </is>
      </c>
      <c r="B1272" s="1" t="n">
        <v>44435.50591435185</v>
      </c>
      <c r="C1272" s="1" t="n">
        <v>45971</v>
      </c>
      <c r="D1272" t="inlineStr">
        <is>
          <t>VÄRMLANDS LÄN</t>
        </is>
      </c>
      <c r="E1272" t="inlineStr">
        <is>
          <t>ÅRJÄNG</t>
        </is>
      </c>
      <c r="G1272" t="n">
        <v>32.2</v>
      </c>
      <c r="H1272" t="n">
        <v>0</v>
      </c>
      <c r="I1272" t="n">
        <v>0</v>
      </c>
      <c r="J1272" t="n">
        <v>0</v>
      </c>
      <c r="K1272" t="n">
        <v>0</v>
      </c>
      <c r="L1272" t="n">
        <v>0</v>
      </c>
      <c r="M1272" t="n">
        <v>0</v>
      </c>
      <c r="N1272" t="n">
        <v>0</v>
      </c>
      <c r="O1272" t="n">
        <v>0</v>
      </c>
      <c r="P1272" t="n">
        <v>0</v>
      </c>
      <c r="Q1272" t="n">
        <v>0</v>
      </c>
      <c r="R1272" s="2" t="inlineStr"/>
    </row>
    <row r="1273" ht="15" customHeight="1">
      <c r="A1273" t="inlineStr">
        <is>
          <t>A 21362-2022</t>
        </is>
      </c>
      <c r="B1273" s="1" t="n">
        <v>44705</v>
      </c>
      <c r="C1273" s="1" t="n">
        <v>45971</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65854-2021</t>
        </is>
      </c>
      <c r="B1274" s="1" t="n">
        <v>44517.37467592592</v>
      </c>
      <c r="C1274" s="1" t="n">
        <v>45971</v>
      </c>
      <c r="D1274" t="inlineStr">
        <is>
          <t>VÄRMLANDS LÄN</t>
        </is>
      </c>
      <c r="E1274" t="inlineStr">
        <is>
          <t>ÅRJÄNG</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42149-2024</t>
        </is>
      </c>
      <c r="B1275" s="1" t="n">
        <v>45562.44591435185</v>
      </c>
      <c r="C1275" s="1" t="n">
        <v>45971</v>
      </c>
      <c r="D1275" t="inlineStr">
        <is>
          <t>VÄRMLANDS LÄN</t>
        </is>
      </c>
      <c r="E1275" t="inlineStr">
        <is>
          <t>ÅRJÄNG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8951-2021</t>
        </is>
      </c>
      <c r="B1276" s="1" t="n">
        <v>44246</v>
      </c>
      <c r="C1276" s="1" t="n">
        <v>45971</v>
      </c>
      <c r="D1276" t="inlineStr">
        <is>
          <t>VÄRMLANDS LÄN</t>
        </is>
      </c>
      <c r="E1276" t="inlineStr">
        <is>
          <t>ÅRJÄNG</t>
        </is>
      </c>
      <c r="F1276" t="inlineStr">
        <is>
          <t>Övriga Aktiebolag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47223-2021</t>
        </is>
      </c>
      <c r="B1277" s="1" t="n">
        <v>44446</v>
      </c>
      <c r="C1277" s="1" t="n">
        <v>45971</v>
      </c>
      <c r="D1277" t="inlineStr">
        <is>
          <t>VÄRMLANDS LÄN</t>
        </is>
      </c>
      <c r="E1277" t="inlineStr">
        <is>
          <t>ÅRJÄNG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4748-2023</t>
        </is>
      </c>
      <c r="B1278" s="1" t="n">
        <v>44957</v>
      </c>
      <c r="C1278" s="1" t="n">
        <v>45971</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43244-2023</t>
        </is>
      </c>
      <c r="B1279" s="1" t="n">
        <v>45183.48121527778</v>
      </c>
      <c r="C1279" s="1" t="n">
        <v>45971</v>
      </c>
      <c r="D1279" t="inlineStr">
        <is>
          <t>VÄRMLANDS LÄN</t>
        </is>
      </c>
      <c r="E1279" t="inlineStr">
        <is>
          <t>ÅRJÄNG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55276-2025</t>
        </is>
      </c>
      <c r="B1280" s="1" t="n">
        <v>45968.76534722222</v>
      </c>
      <c r="C1280" s="1" t="n">
        <v>45971</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55017-2025</t>
        </is>
      </c>
      <c r="B1281" s="1" t="n">
        <v>45967.61709490741</v>
      </c>
      <c r="C1281" s="1" t="n">
        <v>45971</v>
      </c>
      <c r="D1281" t="inlineStr">
        <is>
          <t>VÄRMLANDS LÄN</t>
        </is>
      </c>
      <c r="E1281" t="inlineStr">
        <is>
          <t>ÅRJÄNG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42141-2024</t>
        </is>
      </c>
      <c r="B1282" s="1" t="n">
        <v>45562.43354166667</v>
      </c>
      <c r="C1282" s="1" t="n">
        <v>45971</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54962-2025</t>
        </is>
      </c>
      <c r="B1283" s="1" t="n">
        <v>45967.4825462963</v>
      </c>
      <c r="C1283" s="1" t="n">
        <v>45971</v>
      </c>
      <c r="D1283" t="inlineStr">
        <is>
          <t>VÄRMLANDS LÄN</t>
        </is>
      </c>
      <c r="E1283" t="inlineStr">
        <is>
          <t>ÅRJÄNG</t>
        </is>
      </c>
      <c r="F1283" t="inlineStr">
        <is>
          <t>Kyrkan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11026-2023</t>
        </is>
      </c>
      <c r="B1284" s="1" t="n">
        <v>44991</v>
      </c>
      <c r="C1284" s="1" t="n">
        <v>45971</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42455-2024</t>
        </is>
      </c>
      <c r="B1285" s="1" t="n">
        <v>45565</v>
      </c>
      <c r="C1285" s="1" t="n">
        <v>45971</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37409-2025</t>
        </is>
      </c>
      <c r="B1286" s="1" t="n">
        <v>45877</v>
      </c>
      <c r="C1286" s="1" t="n">
        <v>45971</v>
      </c>
      <c r="D1286" t="inlineStr">
        <is>
          <t>VÄRMLANDS LÄN</t>
        </is>
      </c>
      <c r="E1286" t="inlineStr">
        <is>
          <t>ÅRJÄNG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3796-2021</t>
        </is>
      </c>
      <c r="B1287" s="1" t="n">
        <v>44221</v>
      </c>
      <c r="C1287" s="1" t="n">
        <v>45971</v>
      </c>
      <c r="D1287" t="inlineStr">
        <is>
          <t>VÄRMLANDS LÄN</t>
        </is>
      </c>
      <c r="E1287" t="inlineStr">
        <is>
          <t>ÅRJÄNG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46301-2025</t>
        </is>
      </c>
      <c r="B1288" s="1" t="n">
        <v>45925.41553240741</v>
      </c>
      <c r="C1288" s="1" t="n">
        <v>45971</v>
      </c>
      <c r="D1288" t="inlineStr">
        <is>
          <t>VÄRMLANDS LÄN</t>
        </is>
      </c>
      <c r="E1288" t="inlineStr">
        <is>
          <t>ÅRJÄNG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49673-2022</t>
        </is>
      </c>
      <c r="B1289" s="1" t="n">
        <v>44862.47881944444</v>
      </c>
      <c r="C1289" s="1" t="n">
        <v>45971</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46645-2025</t>
        </is>
      </c>
      <c r="B1290" s="1" t="n">
        <v>45926.47527777778</v>
      </c>
      <c r="C1290" s="1" t="n">
        <v>45971</v>
      </c>
      <c r="D1290" t="inlineStr">
        <is>
          <t>VÄRMLANDS LÄN</t>
        </is>
      </c>
      <c r="E1290" t="inlineStr">
        <is>
          <t>ÅRJÄNG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54335-2021</t>
        </is>
      </c>
      <c r="B1291" s="1" t="n">
        <v>44472.93063657408</v>
      </c>
      <c r="C1291" s="1" t="n">
        <v>45971</v>
      </c>
      <c r="D1291" t="inlineStr">
        <is>
          <t>VÄRMLANDS LÄN</t>
        </is>
      </c>
      <c r="E1291" t="inlineStr">
        <is>
          <t>ÅRJÄNG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11176-2023</t>
        </is>
      </c>
      <c r="B1292" s="1" t="n">
        <v>44987</v>
      </c>
      <c r="C1292" s="1" t="n">
        <v>45971</v>
      </c>
      <c r="D1292" t="inlineStr">
        <is>
          <t>VÄRMLANDS LÄN</t>
        </is>
      </c>
      <c r="E1292" t="inlineStr">
        <is>
          <t>ÅRJÄNG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55277-2025</t>
        </is>
      </c>
      <c r="B1293" s="1" t="n">
        <v>45968.77537037037</v>
      </c>
      <c r="C1293" s="1" t="n">
        <v>45971</v>
      </c>
      <c r="D1293" t="inlineStr">
        <is>
          <t>VÄRMLANDS LÄN</t>
        </is>
      </c>
      <c r="E1293" t="inlineStr">
        <is>
          <t>ÅRJÄNG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54990-2025</t>
        </is>
      </c>
      <c r="B1294" s="1" t="n">
        <v>45967.57292824074</v>
      </c>
      <c r="C1294" s="1" t="n">
        <v>45971</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c r="A1295" t="inlineStr">
        <is>
          <t>A 55285-2025</t>
        </is>
      </c>
      <c r="B1295" s="1" t="n">
        <v>45968.84447916667</v>
      </c>
      <c r="C1295" s="1" t="n">
        <v>45971</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2025-11-10T10:11:59Z</dcterms:created>
  <dcterms:modified xmlns:dcterms="http://purl.org/dc/terms/" xmlns:xsi="http://www.w3.org/2001/XMLSchema-instance" xsi:type="dcterms:W3CDTF">2025-11-10T10:12:00Z</dcterms:modified>
</cp:coreProperties>
</file>