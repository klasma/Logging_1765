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45337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45337</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45337</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45337</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45337</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45337</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45337</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45337</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45337</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45337</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45337</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45337</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45337</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45337</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45337</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45337</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45337</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45337</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45337</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45337</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45337</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45337</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26083-2019</t>
        </is>
      </c>
      <c r="B24" s="1" t="n">
        <v>43609</v>
      </c>
      <c r="C24" s="1" t="n">
        <v>45337</v>
      </c>
      <c r="D24" t="inlineStr">
        <is>
          <t>VÄRMLANDS LÄN</t>
        </is>
      </c>
      <c r="E24" t="inlineStr">
        <is>
          <t>ÅRJÄNG</t>
        </is>
      </c>
      <c r="F24" t="inlineStr">
        <is>
          <t>Bergvik skog väst AB</t>
        </is>
      </c>
      <c r="G24" t="n">
        <v>5.5</v>
      </c>
      <c r="H24" t="n">
        <v>2</v>
      </c>
      <c r="I24" t="n">
        <v>0</v>
      </c>
      <c r="J24" t="n">
        <v>1</v>
      </c>
      <c r="K24" t="n">
        <v>0</v>
      </c>
      <c r="L24" t="n">
        <v>0</v>
      </c>
      <c r="M24" t="n">
        <v>0</v>
      </c>
      <c r="N24" t="n">
        <v>0</v>
      </c>
      <c r="O24" t="n">
        <v>1</v>
      </c>
      <c r="P24" t="n">
        <v>0</v>
      </c>
      <c r="Q24" t="n">
        <v>2</v>
      </c>
      <c r="R24" s="2" t="inlineStr">
        <is>
          <t>Talltita
Orre</t>
        </is>
      </c>
      <c r="S24">
        <f>HYPERLINK("https://klasma.github.io/Logging_1765/artfynd/A 26083-2019 artfynd.xlsx", "A 26083-2019")</f>
        <v/>
      </c>
      <c r="T24">
        <f>HYPERLINK("https://klasma.github.io/Logging_1765/kartor/A 26083-2019 karta.png", "A 26083-2019")</f>
        <v/>
      </c>
      <c r="V24">
        <f>HYPERLINK("https://klasma.github.io/Logging_1765/klagomål/A 26083-2019 FSC-klagomål.docx", "A 26083-2019")</f>
        <v/>
      </c>
      <c r="W24">
        <f>HYPERLINK("https://klasma.github.io/Logging_1765/klagomålsmail/A 26083-2019 FSC-klagomål mail.docx", "A 26083-2019")</f>
        <v/>
      </c>
      <c r="X24">
        <f>HYPERLINK("https://klasma.github.io/Logging_1765/tillsyn/A 26083-2019 tillsynsbegäran.docx", "A 26083-2019")</f>
        <v/>
      </c>
      <c r="Y24">
        <f>HYPERLINK("https://klasma.github.io/Logging_1765/tillsynsmail/A 26083-2019 tillsynsbegäran mail.docx", "A 26083-2019")</f>
        <v/>
      </c>
      <c r="Z24">
        <f>HYPERLINK("https://klasma.github.io/Logging_1765/fåglar/A 26083-2019 prioriterade fågelarter.docx", "A 26083-2019")</f>
        <v/>
      </c>
    </row>
    <row r="25" ht="15" customHeight="1">
      <c r="A25" t="inlineStr">
        <is>
          <t>A 3380-2020</t>
        </is>
      </c>
      <c r="B25" s="1" t="n">
        <v>43852</v>
      </c>
      <c r="C25" s="1" t="n">
        <v>45337</v>
      </c>
      <c r="D25" t="inlineStr">
        <is>
          <t>VÄRMLANDS LÄN</t>
        </is>
      </c>
      <c r="E25" t="inlineStr">
        <is>
          <t>ÅRJÄNG</t>
        </is>
      </c>
      <c r="G25" t="n">
        <v>3.8</v>
      </c>
      <c r="H25" t="n">
        <v>1</v>
      </c>
      <c r="I25" t="n">
        <v>1</v>
      </c>
      <c r="J25" t="n">
        <v>1</v>
      </c>
      <c r="K25" t="n">
        <v>0</v>
      </c>
      <c r="L25" t="n">
        <v>0</v>
      </c>
      <c r="M25" t="n">
        <v>0</v>
      </c>
      <c r="N25" t="n">
        <v>0</v>
      </c>
      <c r="O25" t="n">
        <v>1</v>
      </c>
      <c r="P25" t="n">
        <v>0</v>
      </c>
      <c r="Q25" t="n">
        <v>2</v>
      </c>
      <c r="R25" s="2" t="inlineStr">
        <is>
          <t>Kådvaxskinn
Spindelblomster</t>
        </is>
      </c>
      <c r="S25">
        <f>HYPERLINK("https://klasma.github.io/Logging_1765/artfynd/A 3380-2020 artfynd.xlsx", "A 3380-2020")</f>
        <v/>
      </c>
      <c r="T25">
        <f>HYPERLINK("https://klasma.github.io/Logging_1765/kartor/A 3380-2020 karta.png", "A 3380-2020")</f>
        <v/>
      </c>
      <c r="V25">
        <f>HYPERLINK("https://klasma.github.io/Logging_1765/klagomål/A 3380-2020 FSC-klagomål.docx", "A 3380-2020")</f>
        <v/>
      </c>
      <c r="W25">
        <f>HYPERLINK("https://klasma.github.io/Logging_1765/klagomålsmail/A 3380-2020 FSC-klagomål mail.docx", "A 3380-2020")</f>
        <v/>
      </c>
      <c r="X25">
        <f>HYPERLINK("https://klasma.github.io/Logging_1765/tillsyn/A 3380-2020 tillsynsbegäran.docx", "A 3380-2020")</f>
        <v/>
      </c>
      <c r="Y25">
        <f>HYPERLINK("https://klasma.github.io/Logging_1765/tillsynsmail/A 3380-2020 tillsynsbegäran mail.docx", "A 3380-2020")</f>
        <v/>
      </c>
    </row>
    <row r="26" ht="15" customHeight="1">
      <c r="A26" t="inlineStr">
        <is>
          <t>A 9464-2020</t>
        </is>
      </c>
      <c r="B26" s="1" t="n">
        <v>43880</v>
      </c>
      <c r="C26" s="1" t="n">
        <v>45337</v>
      </c>
      <c r="D26" t="inlineStr">
        <is>
          <t>VÄRMLANDS LÄN</t>
        </is>
      </c>
      <c r="E26" t="inlineStr">
        <is>
          <t>ÅRJÄNG</t>
        </is>
      </c>
      <c r="G26" t="n">
        <v>5.3</v>
      </c>
      <c r="H26" t="n">
        <v>1</v>
      </c>
      <c r="I26" t="n">
        <v>1</v>
      </c>
      <c r="J26" t="n">
        <v>0</v>
      </c>
      <c r="K26" t="n">
        <v>1</v>
      </c>
      <c r="L26" t="n">
        <v>0</v>
      </c>
      <c r="M26" t="n">
        <v>0</v>
      </c>
      <c r="N26" t="n">
        <v>0</v>
      </c>
      <c r="O26" t="n">
        <v>1</v>
      </c>
      <c r="P26" t="n">
        <v>1</v>
      </c>
      <c r="Q26" t="n">
        <v>2</v>
      </c>
      <c r="R26" s="2" t="inlineStr">
        <is>
          <t>Knärot
Gullgröppa</t>
        </is>
      </c>
      <c r="S26">
        <f>HYPERLINK("https://klasma.github.io/Logging_1765/artfynd/A 9464-2020 artfynd.xlsx", "A 9464-2020")</f>
        <v/>
      </c>
      <c r="T26">
        <f>HYPERLINK("https://klasma.github.io/Logging_1765/kartor/A 9464-2020 karta.png", "A 9464-2020")</f>
        <v/>
      </c>
      <c r="U26">
        <f>HYPERLINK("https://klasma.github.io/Logging_1765/knärot/A 9464-2020 karta knärot.png", "A 9464-2020")</f>
        <v/>
      </c>
      <c r="V26">
        <f>HYPERLINK("https://klasma.github.io/Logging_1765/klagomål/A 9464-2020 FSC-klagomål.docx", "A 9464-2020")</f>
        <v/>
      </c>
      <c r="W26">
        <f>HYPERLINK("https://klasma.github.io/Logging_1765/klagomålsmail/A 9464-2020 FSC-klagomål mail.docx", "A 9464-2020")</f>
        <v/>
      </c>
      <c r="X26">
        <f>HYPERLINK("https://klasma.github.io/Logging_1765/tillsyn/A 9464-2020 tillsynsbegäran.docx", "A 9464-2020")</f>
        <v/>
      </c>
      <c r="Y26">
        <f>HYPERLINK("https://klasma.github.io/Logging_1765/tillsynsmail/A 9464-2020 tillsynsbegäran mail.docx", "A 9464-2020")</f>
        <v/>
      </c>
    </row>
    <row r="27" ht="15" customHeight="1">
      <c r="A27" t="inlineStr">
        <is>
          <t>A 65319-2021</t>
        </is>
      </c>
      <c r="B27" s="1" t="n">
        <v>44515</v>
      </c>
      <c r="C27" s="1" t="n">
        <v>45337</v>
      </c>
      <c r="D27" t="inlineStr">
        <is>
          <t>VÄRMLANDS LÄN</t>
        </is>
      </c>
      <c r="E27" t="inlineStr">
        <is>
          <t>ÅRJÄNG</t>
        </is>
      </c>
      <c r="G27" t="n">
        <v>4.9</v>
      </c>
      <c r="H27" t="n">
        <v>0</v>
      </c>
      <c r="I27" t="n">
        <v>0</v>
      </c>
      <c r="J27" t="n">
        <v>2</v>
      </c>
      <c r="K27" t="n">
        <v>0</v>
      </c>
      <c r="L27" t="n">
        <v>0</v>
      </c>
      <c r="M27" t="n">
        <v>0</v>
      </c>
      <c r="N27" t="n">
        <v>0</v>
      </c>
      <c r="O27" t="n">
        <v>2</v>
      </c>
      <c r="P27" t="n">
        <v>0</v>
      </c>
      <c r="Q27" t="n">
        <v>2</v>
      </c>
      <c r="R27" s="2" t="inlineStr">
        <is>
          <t>Garnlav
Lunglav</t>
        </is>
      </c>
      <c r="S27">
        <f>HYPERLINK("https://klasma.github.io/Logging_1765/artfynd/A 65319-2021 artfynd.xlsx", "A 65319-2021")</f>
        <v/>
      </c>
      <c r="T27">
        <f>HYPERLINK("https://klasma.github.io/Logging_1765/kartor/A 65319-2021 karta.png", "A 65319-2021")</f>
        <v/>
      </c>
      <c r="U27">
        <f>HYPERLINK("https://klasma.github.io/Logging_1765/knärot/A 65319-2021 karta knärot.png", "A 65319-2021")</f>
        <v/>
      </c>
      <c r="V27">
        <f>HYPERLINK("https://klasma.github.io/Logging_1765/klagomål/A 65319-2021 FSC-klagomål.docx", "A 65319-2021")</f>
        <v/>
      </c>
      <c r="W27">
        <f>HYPERLINK("https://klasma.github.io/Logging_1765/klagomålsmail/A 65319-2021 FSC-klagomål mail.docx", "A 65319-2021")</f>
        <v/>
      </c>
      <c r="X27">
        <f>HYPERLINK("https://klasma.github.io/Logging_1765/tillsyn/A 65319-2021 tillsynsbegäran.docx", "A 65319-2021")</f>
        <v/>
      </c>
      <c r="Y27">
        <f>HYPERLINK("https://klasma.github.io/Logging_1765/tillsynsmail/A 65319-2021 tillsynsbegäran mail.docx", "A 65319-2021")</f>
        <v/>
      </c>
    </row>
    <row r="28" ht="15" customHeight="1">
      <c r="A28" t="inlineStr">
        <is>
          <t>A 51928-2022</t>
        </is>
      </c>
      <c r="B28" s="1" t="n">
        <v>44872</v>
      </c>
      <c r="C28" s="1" t="n">
        <v>45337</v>
      </c>
      <c r="D28" t="inlineStr">
        <is>
          <t>VÄRMLANDS LÄN</t>
        </is>
      </c>
      <c r="E28" t="inlineStr">
        <is>
          <t>ÅRJÄNG</t>
        </is>
      </c>
      <c r="G28" t="n">
        <v>14.1</v>
      </c>
      <c r="H28" t="n">
        <v>1</v>
      </c>
      <c r="I28" t="n">
        <v>1</v>
      </c>
      <c r="J28" t="n">
        <v>0</v>
      </c>
      <c r="K28" t="n">
        <v>1</v>
      </c>
      <c r="L28" t="n">
        <v>0</v>
      </c>
      <c r="M28" t="n">
        <v>0</v>
      </c>
      <c r="N28" t="n">
        <v>0</v>
      </c>
      <c r="O28" t="n">
        <v>1</v>
      </c>
      <c r="P28" t="n">
        <v>1</v>
      </c>
      <c r="Q28" t="n">
        <v>2</v>
      </c>
      <c r="R28" s="2" t="inlineStr">
        <is>
          <t>Knärot
Dropptaggsvamp</t>
        </is>
      </c>
      <c r="S28">
        <f>HYPERLINK("https://klasma.github.io/Logging_1765/artfynd/A 51928-2022 artfynd.xlsx", "A 51928-2022")</f>
        <v/>
      </c>
      <c r="T28">
        <f>HYPERLINK("https://klasma.github.io/Logging_1765/kartor/A 51928-2022 karta.png", "A 51928-2022")</f>
        <v/>
      </c>
      <c r="U28">
        <f>HYPERLINK("https://klasma.github.io/Logging_1765/knärot/A 51928-2022 karta knärot.png", "A 51928-2022")</f>
        <v/>
      </c>
      <c r="V28">
        <f>HYPERLINK("https://klasma.github.io/Logging_1765/klagomål/A 51928-2022 FSC-klagomål.docx", "A 51928-2022")</f>
        <v/>
      </c>
      <c r="W28">
        <f>HYPERLINK("https://klasma.github.io/Logging_1765/klagomålsmail/A 51928-2022 FSC-klagomål mail.docx", "A 51928-2022")</f>
        <v/>
      </c>
      <c r="X28">
        <f>HYPERLINK("https://klasma.github.io/Logging_1765/tillsyn/A 51928-2022 tillsynsbegäran.docx", "A 51928-2022")</f>
        <v/>
      </c>
      <c r="Y28">
        <f>HYPERLINK("https://klasma.github.io/Logging_1765/tillsynsmail/A 51928-2022 tillsynsbegäran mail.docx", "A 51928-2022")</f>
        <v/>
      </c>
    </row>
    <row r="29" ht="15" customHeight="1">
      <c r="A29" t="inlineStr">
        <is>
          <t>A 1198-2023</t>
        </is>
      </c>
      <c r="B29" s="1" t="n">
        <v>44935</v>
      </c>
      <c r="C29" s="1" t="n">
        <v>45337</v>
      </c>
      <c r="D29" t="inlineStr">
        <is>
          <t>VÄRMLANDS LÄN</t>
        </is>
      </c>
      <c r="E29" t="inlineStr">
        <is>
          <t>ÅRJÄNG</t>
        </is>
      </c>
      <c r="G29" t="n">
        <v>19</v>
      </c>
      <c r="H29" t="n">
        <v>2</v>
      </c>
      <c r="I29" t="n">
        <v>0</v>
      </c>
      <c r="J29" t="n">
        <v>1</v>
      </c>
      <c r="K29" t="n">
        <v>0</v>
      </c>
      <c r="L29" t="n">
        <v>0</v>
      </c>
      <c r="M29" t="n">
        <v>0</v>
      </c>
      <c r="N29" t="n">
        <v>0</v>
      </c>
      <c r="O29" t="n">
        <v>1</v>
      </c>
      <c r="P29" t="n">
        <v>0</v>
      </c>
      <c r="Q29" t="n">
        <v>2</v>
      </c>
      <c r="R29" s="2" t="inlineStr">
        <is>
          <t>Talltita
Revlummer</t>
        </is>
      </c>
      <c r="S29">
        <f>HYPERLINK("https://klasma.github.io/Logging_1765/artfynd/A 1198-2023 artfynd.xlsx", "A 1198-2023")</f>
        <v/>
      </c>
      <c r="T29">
        <f>HYPERLINK("https://klasma.github.io/Logging_1765/kartor/A 1198-2023 karta.png", "A 1198-2023")</f>
        <v/>
      </c>
      <c r="V29">
        <f>HYPERLINK("https://klasma.github.io/Logging_1765/klagomål/A 1198-2023 FSC-klagomål.docx", "A 1198-2023")</f>
        <v/>
      </c>
      <c r="W29">
        <f>HYPERLINK("https://klasma.github.io/Logging_1765/klagomålsmail/A 1198-2023 FSC-klagomål mail.docx", "A 1198-2023")</f>
        <v/>
      </c>
      <c r="X29">
        <f>HYPERLINK("https://klasma.github.io/Logging_1765/tillsyn/A 1198-2023 tillsynsbegäran.docx", "A 1198-2023")</f>
        <v/>
      </c>
      <c r="Y29">
        <f>HYPERLINK("https://klasma.github.io/Logging_1765/tillsynsmail/A 1198-2023 tillsynsbegäran mail.docx", "A 1198-2023")</f>
        <v/>
      </c>
      <c r="Z29">
        <f>HYPERLINK("https://klasma.github.io/Logging_1765/fåglar/A 1198-2023 prioriterade fågelarter.docx", "A 1198-2023")</f>
        <v/>
      </c>
    </row>
    <row r="30" ht="15" customHeight="1">
      <c r="A30" t="inlineStr">
        <is>
          <t>A 12949-2023</t>
        </is>
      </c>
      <c r="B30" s="1" t="n">
        <v>45001</v>
      </c>
      <c r="C30" s="1" t="n">
        <v>45337</v>
      </c>
      <c r="D30" t="inlineStr">
        <is>
          <t>VÄRMLANDS LÄN</t>
        </is>
      </c>
      <c r="E30" t="inlineStr">
        <is>
          <t>ÅRJÄNG</t>
        </is>
      </c>
      <c r="G30" t="n">
        <v>10.4</v>
      </c>
      <c r="H30" t="n">
        <v>0</v>
      </c>
      <c r="I30" t="n">
        <v>1</v>
      </c>
      <c r="J30" t="n">
        <v>1</v>
      </c>
      <c r="K30" t="n">
        <v>0</v>
      </c>
      <c r="L30" t="n">
        <v>0</v>
      </c>
      <c r="M30" t="n">
        <v>0</v>
      </c>
      <c r="N30" t="n">
        <v>0</v>
      </c>
      <c r="O30" t="n">
        <v>1</v>
      </c>
      <c r="P30" t="n">
        <v>0</v>
      </c>
      <c r="Q30" t="n">
        <v>2</v>
      </c>
      <c r="R30" s="2" t="inlineStr">
        <is>
          <t>Motaggsvamp
Dropptaggsvamp</t>
        </is>
      </c>
      <c r="S30">
        <f>HYPERLINK("https://klasma.github.io/Logging_1765/artfynd/A 12949-2023 artfynd.xlsx", "A 12949-2023")</f>
        <v/>
      </c>
      <c r="T30">
        <f>HYPERLINK("https://klasma.github.io/Logging_1765/kartor/A 12949-2023 karta.png", "A 12949-2023")</f>
        <v/>
      </c>
      <c r="V30">
        <f>HYPERLINK("https://klasma.github.io/Logging_1765/klagomål/A 12949-2023 FSC-klagomål.docx", "A 12949-2023")</f>
        <v/>
      </c>
      <c r="W30">
        <f>HYPERLINK("https://klasma.github.io/Logging_1765/klagomålsmail/A 12949-2023 FSC-klagomål mail.docx", "A 12949-2023")</f>
        <v/>
      </c>
      <c r="X30">
        <f>HYPERLINK("https://klasma.github.io/Logging_1765/tillsyn/A 12949-2023 tillsynsbegäran.docx", "A 12949-2023")</f>
        <v/>
      </c>
      <c r="Y30">
        <f>HYPERLINK("https://klasma.github.io/Logging_1765/tillsynsmail/A 12949-2023 tillsynsbegäran mail.docx", "A 12949-2023")</f>
        <v/>
      </c>
    </row>
    <row r="31" ht="15" customHeight="1">
      <c r="A31" t="inlineStr">
        <is>
          <t>A 48678-2023</t>
        </is>
      </c>
      <c r="B31" s="1" t="n">
        <v>45208</v>
      </c>
      <c r="C31" s="1" t="n">
        <v>45337</v>
      </c>
      <c r="D31" t="inlineStr">
        <is>
          <t>VÄRMLANDS LÄN</t>
        </is>
      </c>
      <c r="E31" t="inlineStr">
        <is>
          <t>ÅRJÄNG</t>
        </is>
      </c>
      <c r="G31" t="n">
        <v>7.5</v>
      </c>
      <c r="H31" t="n">
        <v>1</v>
      </c>
      <c r="I31" t="n">
        <v>1</v>
      </c>
      <c r="J31" t="n">
        <v>0</v>
      </c>
      <c r="K31" t="n">
        <v>0</v>
      </c>
      <c r="L31" t="n">
        <v>0</v>
      </c>
      <c r="M31" t="n">
        <v>0</v>
      </c>
      <c r="N31" t="n">
        <v>0</v>
      </c>
      <c r="O31" t="n">
        <v>0</v>
      </c>
      <c r="P31" t="n">
        <v>0</v>
      </c>
      <c r="Q31" t="n">
        <v>2</v>
      </c>
      <c r="R31" s="2" t="inlineStr">
        <is>
          <t>Dropptaggsvamp
Tjäder</t>
        </is>
      </c>
      <c r="S31">
        <f>HYPERLINK("https://klasma.github.io/Logging_1765/artfynd/A 48678-2023 artfynd.xlsx", "A 48678-2023")</f>
        <v/>
      </c>
      <c r="T31">
        <f>HYPERLINK("https://klasma.github.io/Logging_1765/kartor/A 48678-2023 karta.png", "A 48678-2023")</f>
        <v/>
      </c>
      <c r="V31">
        <f>HYPERLINK("https://klasma.github.io/Logging_1765/klagomål/A 48678-2023 FSC-klagomål.docx", "A 48678-2023")</f>
        <v/>
      </c>
      <c r="W31">
        <f>HYPERLINK("https://klasma.github.io/Logging_1765/klagomålsmail/A 48678-2023 FSC-klagomål mail.docx", "A 48678-2023")</f>
        <v/>
      </c>
      <c r="X31">
        <f>HYPERLINK("https://klasma.github.io/Logging_1765/tillsyn/A 48678-2023 tillsynsbegäran.docx", "A 48678-2023")</f>
        <v/>
      </c>
      <c r="Y31">
        <f>HYPERLINK("https://klasma.github.io/Logging_1765/tillsynsmail/A 48678-2023 tillsynsbegäran mail.docx", "A 48678-2023")</f>
        <v/>
      </c>
      <c r="Z31">
        <f>HYPERLINK("https://klasma.github.io/Logging_1765/fåglar/A 48678-2023 prioriterade fågelarter.docx", "A 48678-2023")</f>
        <v/>
      </c>
    </row>
    <row r="32" ht="15" customHeight="1">
      <c r="A32" t="inlineStr">
        <is>
          <t>A 60688-2023</t>
        </is>
      </c>
      <c r="B32" s="1" t="n">
        <v>45260</v>
      </c>
      <c r="C32" s="1" t="n">
        <v>45337</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63921-2023</t>
        </is>
      </c>
      <c r="B33" s="1" t="n">
        <v>45278</v>
      </c>
      <c r="C33" s="1" t="n">
        <v>45337</v>
      </c>
      <c r="D33" t="inlineStr">
        <is>
          <t>VÄRMLANDS LÄN</t>
        </is>
      </c>
      <c r="E33" t="inlineStr">
        <is>
          <t>ÅRJÄNG</t>
        </is>
      </c>
      <c r="G33" t="n">
        <v>6.2</v>
      </c>
      <c r="H33" t="n">
        <v>1</v>
      </c>
      <c r="I33" t="n">
        <v>1</v>
      </c>
      <c r="J33" t="n">
        <v>1</v>
      </c>
      <c r="K33" t="n">
        <v>0</v>
      </c>
      <c r="L33" t="n">
        <v>0</v>
      </c>
      <c r="M33" t="n">
        <v>0</v>
      </c>
      <c r="N33" t="n">
        <v>0</v>
      </c>
      <c r="O33" t="n">
        <v>1</v>
      </c>
      <c r="P33" t="n">
        <v>0</v>
      </c>
      <c r="Q33" t="n">
        <v>2</v>
      </c>
      <c r="R33" s="2" t="inlineStr">
        <is>
          <t>Talltita
Vedticka</t>
        </is>
      </c>
      <c r="S33">
        <f>HYPERLINK("https://klasma.github.io/Logging_1765/artfynd/A 63921-2023 artfynd.xlsx", "A 63921-2023")</f>
        <v/>
      </c>
      <c r="T33">
        <f>HYPERLINK("https://klasma.github.io/Logging_1765/kartor/A 63921-2023 karta.png", "A 63921-2023")</f>
        <v/>
      </c>
      <c r="V33">
        <f>HYPERLINK("https://klasma.github.io/Logging_1765/klagomål/A 63921-2023 FSC-klagomål.docx", "A 63921-2023")</f>
        <v/>
      </c>
      <c r="W33">
        <f>HYPERLINK("https://klasma.github.io/Logging_1765/klagomålsmail/A 63921-2023 FSC-klagomål mail.docx", "A 63921-2023")</f>
        <v/>
      </c>
      <c r="X33">
        <f>HYPERLINK("https://klasma.github.io/Logging_1765/tillsyn/A 63921-2023 tillsynsbegäran.docx", "A 63921-2023")</f>
        <v/>
      </c>
      <c r="Y33">
        <f>HYPERLINK("https://klasma.github.io/Logging_1765/tillsynsmail/A 63921-2023 tillsynsbegäran mail.docx", "A 63921-2023")</f>
        <v/>
      </c>
      <c r="Z33">
        <f>HYPERLINK("https://klasma.github.io/Logging_1765/fåglar/A 63921-2023 prioriterade fågelarter.docx", "A 63921-2023")</f>
        <v/>
      </c>
    </row>
    <row r="34" ht="15" customHeight="1">
      <c r="A34" t="inlineStr">
        <is>
          <t>A 29032-2019</t>
        </is>
      </c>
      <c r="B34" s="1" t="n">
        <v>43621</v>
      </c>
      <c r="C34" s="1" t="n">
        <v>45337</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45337</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45337</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45337</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45337</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45337</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45337</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45337</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45337</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45337</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45337</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45337</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45337</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45337</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45337</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45337</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45337</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45337</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45337</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45337</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45337</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45337</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45337</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45337</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45337</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45337</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45337</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45337</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45337</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45337</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45337</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45337</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45337</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45337</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45337</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45337</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45337</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45337</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45337</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45337</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45337</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45337</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45337</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45337</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45337</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45337</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45337</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45337</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45337</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45337</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45337</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45337</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45337</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45337</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45337</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45337</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45337</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45337</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45337</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45337</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45337</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45337</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45337</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45337</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45337</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45337</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45337</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45337</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45337</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45337</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45337</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45337</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45337</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45337</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45337</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45337</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45337</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45337</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45337</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45337</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45337</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45337</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45337</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45337</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45337</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45337</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45337</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45337</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45337</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45337</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45337</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45337</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45337</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45337</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45337</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45337</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45337</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45337</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45337</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45337</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45337</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45337</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45337</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45337</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45337</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45337</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45337</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45337</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45337</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45337</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45337</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45337</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45337</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45337</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45337</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45337</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45337</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45337</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45337</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45337</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45337</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45337</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45337</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45337</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45337</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45337</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45337</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45337</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45337</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45337</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45337</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45337</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45337</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45337</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45337</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45337</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45337</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45337</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45337</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45337</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45337</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45337</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45337</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45337</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45337</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45337</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45337</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45337</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45337</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45337</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45337</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45337</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45337</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45337</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45337</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45337</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45337</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45337</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45337</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45337</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45337</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45337</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45337</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45337</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45337</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45337</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45337</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45337</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45337</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45337</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45337</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45337</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45337</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45337</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45337</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45337</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45337</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45337</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45337</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45337</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45337</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45337</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45337</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45337</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45337</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45337</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45337</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45337</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45337</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45337</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45337</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45337</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45337</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45337</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45337</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45337</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45337</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45337</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45337</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45337</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45337</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45337</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45337</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45337</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45337</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45337</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45337</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45337</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45337</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45337</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45337</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45337</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45337</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45337</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45337</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45337</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45337</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45337</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45337</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45337</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45337</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45337</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45337</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45337</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45337</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45337</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45337</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45337</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45337</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45337</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45337</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45337</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45337</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45337</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45337</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45337</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45337</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45337</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45337</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45337</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45337</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45337</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45337</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45337</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45337</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45337</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45337</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45337</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45337</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45337</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45337</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45337</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45337</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45337</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45337</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45337</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45337</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45337</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45337</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45337</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45337</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45337</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45337</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45337</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45337</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45337</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45337</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45337</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45337</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45337</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45337</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45337</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45337</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45337</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45337</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45337</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45337</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45337</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45337</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45337</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45337</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45337</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45337</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45337</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45337</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45337</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45337</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45337</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45337</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45337</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45337</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45337</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45337</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45337</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45337</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45337</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45337</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45337</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45337</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45337</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45337</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45337</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45337</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45337</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45337</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45337</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45337</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45337</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45337</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45337</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45337</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45337</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45337</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45337</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45337</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45337</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45337</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45337</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45337</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45337</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45337</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45337</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45337</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45337</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45337</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45337</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45337</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45337</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45337</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45337</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45337</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45337</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45337</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45337</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45337</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45337</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45337</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45337</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45337</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45337</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45337</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45337</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45337</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45337</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45337</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45337</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45337</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45337</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45337</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45337</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45337</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45337</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45337</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45337</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45337</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45337</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45337</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45337</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45337</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45337</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45337</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45337</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45337</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45337</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45337</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45337</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45337</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45337</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45337</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45337</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45337</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45337</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45337</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45337</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45337</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45337</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45337</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45337</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45337</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45337</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45337</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45337</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45337</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45337</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45337</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45337</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45337</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45337</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45337</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45337</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45337</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45337</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45337</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45337</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45337</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45337</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45337</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45337</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45337</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45337</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45337</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45337</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45337</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45337</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45337</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45337</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45337</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45337</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45337</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45337</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45337</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45337</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45337</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45337</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45337</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45337</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45337</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45337</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45337</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45337</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45337</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45337</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45337</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45337</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45337</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45337</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45337</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45337</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45337</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45337</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45337</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45337</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45337</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45337</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45337</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45337</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45337</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45337</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45337</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45337</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45337</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45337</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45337</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45337</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45337</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45337</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45337</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45337</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45337</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45337</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45337</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45337</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45337</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45337</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45337</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45337</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45337</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45337</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45337</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45337</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45337</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45337</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45337</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45337</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45337</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45337</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45337</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45337</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45337</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45337</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45337</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45337</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45337</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45337</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45337</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45337</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45337</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45337</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45337</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45337</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45337</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45337</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45337</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45337</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45337</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45337</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45337</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45337</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45337</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45337</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45337</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45337</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45337</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45337</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45337</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45337</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45337</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45337</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45337</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45337</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45337</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45337</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45337</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45337</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45337</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45337</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45337</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45337</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45337</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45337</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45337</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45337</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45337</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45337</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45337</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45337</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45337</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45337</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45337</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45337</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45337</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45337</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45337</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45337</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45337</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45337</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45337</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45337</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45337</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45337</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45337</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45337</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45337</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45337</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45337</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45337</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45337</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45337</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45337</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45337</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45337</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45337</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45337</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45337</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45337</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45337</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45337</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45337</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45337</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45337</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45337</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45337</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45337</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45337</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45337</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45337</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45337</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45337</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45337</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45337</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45337</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45337</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45337</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45337</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45337</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45337</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45337</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45337</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45337</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45337</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45337</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45337</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45337</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45337</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45337</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45337</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45337</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45337</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45337</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45337</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45337</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45337</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45337</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45337</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45337</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45337</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45337</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45337</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45337</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45337</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45337</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45337</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45337</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45337</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45337</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45337</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45337</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45337</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45337</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45337</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45337</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45337</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45337</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45337</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45337</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45337</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45337</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45337</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45337</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45337</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45337</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45337</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45337</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45337</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45337</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45337</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45337</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45337</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45337</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45337</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45337</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45337</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45337</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45337</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45337</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45337</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45337</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45337</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45337</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45337</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45337</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45337</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45337</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45337</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45337</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45337</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45337</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45337</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45337</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45337</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45337</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45337</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45337</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45337</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45337</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45337</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45337</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45337</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45337</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45337</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45337</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45337</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45337</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45337</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45337</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45337</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45337</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45337</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45337</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45337</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45337</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45337</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45337</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45337</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45337</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45337</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45337</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45337</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45337</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45337</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45337</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45337</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45337</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45337</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45337</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45337</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45337</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45337</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45337</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45337</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45337</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45337</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45337</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45337</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45337</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45337</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45337</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45337</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45337</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45337</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45337</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45337</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45337</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45337</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45337</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45337</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45337</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45337</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45337</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45337</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45337</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45337</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45337</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45337</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45337</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45337</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45337</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45337</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45337</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45337</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45337</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45337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45337</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45337</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45337</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45337</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45337</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45337</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45337</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45337</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45337</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45337</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45337</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45337</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45337</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45337</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45337</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45337</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45337</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45337</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45337</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45337</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45337</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45337</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45337</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45337</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45337</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45337</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45337</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45337</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45337</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45337</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45337</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45337</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45337</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45337</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45337</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45337</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45337</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45337</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45337</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45337</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45337</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45337</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45337</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45337</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45337</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45337</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45337</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45337</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45337</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45337</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45337</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45337</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45337</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45337</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45337</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45337</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45337</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45337</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45337</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45337</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45337</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45337</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45337</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45337</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45337</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45337</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45337</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45337</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45337</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45337</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45337</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45337</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45337</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45337</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45337</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45337</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45337</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45337</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45337</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45337</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45337</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45337</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45337</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45337</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45337</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45337</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45337</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45337</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45337</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45337</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45337</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45337</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45337</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45337</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45337</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45337</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45337</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45337</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45337</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45337</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45337</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45337</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45337</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45337</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45337</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45337</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45337</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45337</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45337</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45337</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45337</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45337</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45337</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45337</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45337</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45337</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45337</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45337</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45337</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45337</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45337</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45337</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45337</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45337</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45337</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45337</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45337</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45337</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45337</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45337</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45337</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45337</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45337</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45337</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45337</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45337</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45337</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45337</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45337</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45337</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45337</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45337</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45337</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45337</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45337</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45337</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45337</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45337</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45337</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45337</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45337</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45337</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45337</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45337</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45337</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45337</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45337</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45337</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45337</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45337</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45337</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45337</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45337</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45337</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45337</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45337</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45337</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45337</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45337</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45337</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45337</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45337</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45337</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45337</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45337</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45337</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45337</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45337</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45337</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45337</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45337</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45337</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45337</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45337</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45337</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45337</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45337</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45337</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45337</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45337</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45337</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45337</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45337</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45337</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45337</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45337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45337</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45337</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45337</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45337</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45337</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45337</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45337</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45337</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45337</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45337</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45337</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45337</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45337</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45337</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45337</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45337</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45337</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45337</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45337</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45337</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45337</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45337</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45337</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45337</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45337</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45337</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45337</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45337</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45337</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45337</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45337</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45337</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45337</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45337</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45337</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45337</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45337</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45337</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45337</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45337</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45337</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45337</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45337</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45337</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45337</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45337</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45337</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45337</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45337</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45337</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45337</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45337</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45337</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45337</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45337</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45337</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45337</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45337</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45337</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45337</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45337</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45337</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45337</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45337</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45337</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45337</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45337</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45337</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45337</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45337</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45337</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45337</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45337</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45337</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45337</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45337</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45337</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45337</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45337</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45337</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45337</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45337</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45337</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45337</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45337</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45337</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45337</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45337</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45337</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45337</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45337</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45337</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45337</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45337</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45337</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45337</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45337</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45337</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45337</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45337</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45337</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45337</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45337</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45337</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45337</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45337</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45337</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45337</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45337</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45337</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45337</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45337</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45337</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45337</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45337</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45337</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45337</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45337</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45337</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45337</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45337</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45337</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45337</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45337</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45337</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45337</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45337</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45337</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45337</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45337</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45337</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45337</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45337</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45337</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45337</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45337</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45337</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45337</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45337</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45337</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45337</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45337</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45337</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45337</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45337</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45337</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45337</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45337</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45337</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45337</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45337</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45337</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45337</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45337</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45337</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45337</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45337</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45337</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45337</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45337</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45337</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45337</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45337</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45337</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45337</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45337</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45337</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45337</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45337</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45337</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45337</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45337</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45337</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45337</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45337</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45337</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45337</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45337</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45337</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45337</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45337</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45337</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45337</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45337</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45337</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45337</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45337</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45337</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45337</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45337</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45337</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45337</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45337</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45337</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45337</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45337</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45337</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45337</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45337</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45337</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45337</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45337</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45337</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45337</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45337</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45337</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45337</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45337</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45337</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45337</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45337</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45337</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45337</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45337</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45337</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45337</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45337</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45337</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45337</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45337</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45337</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45337</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45337</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45337</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45337</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45337</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45337</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45337</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45337</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45337</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45337</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45337</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45337</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45337</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45337</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45337</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45337</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45337</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45337</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45337</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45337</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45337</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45337</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45337</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45337</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45337</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45337</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45337</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45337</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45337</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45337</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45337</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45337</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45337</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45337</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45337</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45337</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45337</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45337</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45337</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45337</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45337</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45337</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45337</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45337</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45337</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45337</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45337</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45337</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45337</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45337</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45337</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45337</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45337</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45337</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45337</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45337</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45337</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45337</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45337</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45337</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45337</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45337</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45337</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45337</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45337</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45337</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45337</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45337</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45337</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45337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45337</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45337</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45337</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45337</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45337</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45337</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45337</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45337</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45337</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45337</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45337</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45337</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45337</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45337</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45337</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45337</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45337</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45337</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45337</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45337</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45337</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45337</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45337</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45337</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45337</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45337</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45337</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45337</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45337</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45337</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45337</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45337</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45337</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45337</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45337</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45337</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45337</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45337</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45337</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45337</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45337</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45337</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45337</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45337</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45337</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45337</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45337</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45337</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45337</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45337</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45337</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45337</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45337</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45337</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45337</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45337</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45337</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45337</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45337</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45337</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45337</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45337</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45337</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45337</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45337</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45337</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45337</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45337</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45337</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45337</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45337</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45337</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45337</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45337</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45337</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45337</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45337</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45337</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45337</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45337</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45337</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45337</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45337</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45337</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45337</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45337</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45337</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45337</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45337</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45337</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45337</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45337</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45337</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45337</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45337</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45337</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45337</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45337</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45337</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45337</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45337</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45337</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45337</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45337</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45337</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45337</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45337</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45337</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45337</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45337</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45337</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45337</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45337</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45337</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45337</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45337</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45337</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45337</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45337</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45337</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45337</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45337</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45337</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45337</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45337</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45337</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45337</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45337</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45337</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45337</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45337</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45337</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45337</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45337</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45337</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45337</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45337</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45337</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45337</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45337</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45337</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45337</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45337</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45337</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45337</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45337</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45337</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45337</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45337</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45337</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45337</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45337</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45337</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45337</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45337</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45337</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45337</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45337</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45337</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45337</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45337</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45337</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45337</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45337</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45337</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45337</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45337</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45337</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45337</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45337</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45337</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45337</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45337</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45337</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45337</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45337</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45337</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45337</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45337</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45337</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45337</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45337</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45337</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45337</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45337</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45337</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45337</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45337</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45337</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45337</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45337</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45337</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45337</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45337</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45337</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45337</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45337</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45337</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45337</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45337</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45337</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45337</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45337</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c r="A1436" t="inlineStr">
        <is>
          <t>A 5806-2024</t>
        </is>
      </c>
      <c r="B1436" s="1" t="n">
        <v>45335</v>
      </c>
      <c r="C1436" s="1" t="n">
        <v>45337</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2024-02-15T10:57:41Z</dcterms:created>
  <dcterms:modified xmlns:dcterms="http://purl.org/dc/terms/" xmlns:xsi="http://www.w3.org/2001/XMLSchema-instance" xsi:type="dcterms:W3CDTF">2024-02-15T10:57:42Z</dcterms:modified>
</cp:coreProperties>
</file>