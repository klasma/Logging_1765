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45574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45574</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45574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45574</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45574</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45574</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45574</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45574</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45574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45574</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45574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45574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45574</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45574</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45574</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45574</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45574</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45574</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45574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45574</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45574</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45574</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45574</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45574</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45574</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45574</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45574</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45574</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45574</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45574</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45574</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45574</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45574</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45574</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45574</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45574</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45574</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45574</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45574</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45574</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45574</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45574</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45574</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45574</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45574</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45574</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45574</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45574</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45574</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45574</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45574</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45574</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45574</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45574</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48449-2021</t>
        </is>
      </c>
      <c r="B56" s="1" t="n">
        <v>44452</v>
      </c>
      <c r="C56" s="1" t="n">
        <v>45574</v>
      </c>
      <c r="D56" t="inlineStr">
        <is>
          <t>VÄRMLANDS LÄN</t>
        </is>
      </c>
      <c r="E56" t="inlineStr">
        <is>
          <t>ÅRJÄNG</t>
        </is>
      </c>
      <c r="G56" t="n">
        <v>0.9</v>
      </c>
      <c r="H56" t="n">
        <v>1</v>
      </c>
      <c r="I56" t="n">
        <v>0</v>
      </c>
      <c r="J56" t="n">
        <v>0</v>
      </c>
      <c r="K56" t="n">
        <v>1</v>
      </c>
      <c r="L56" t="n">
        <v>0</v>
      </c>
      <c r="M56" t="n">
        <v>0</v>
      </c>
      <c r="N56" t="n">
        <v>0</v>
      </c>
      <c r="O56" t="n">
        <v>1</v>
      </c>
      <c r="P56" t="n">
        <v>1</v>
      </c>
      <c r="Q56" t="n">
        <v>1</v>
      </c>
      <c r="R56" s="2" t="inlineStr">
        <is>
          <t>Knärot</t>
        </is>
      </c>
      <c r="S56">
        <f>HYPERLINK("https://klasma.github.io/Logging_1765/artfynd/A 48449-2021 artfynd.xlsx", "A 48449-2021")</f>
        <v/>
      </c>
      <c r="T56">
        <f>HYPERLINK("https://klasma.github.io/Logging_1765/kartor/A 48449-2021 karta.png", "A 48449-2021")</f>
        <v/>
      </c>
      <c r="U56">
        <f>HYPERLINK("https://klasma.github.io/Logging_1765/knärot/A 48449-2021 karta knärot.png", "A 48449-2021")</f>
        <v/>
      </c>
      <c r="V56">
        <f>HYPERLINK("https://klasma.github.io/Logging_1765/klagomål/A 48449-2021 FSC-klagomål.docx", "A 48449-2021")</f>
        <v/>
      </c>
      <c r="W56">
        <f>HYPERLINK("https://klasma.github.io/Logging_1765/klagomålsmail/A 48449-2021 FSC-klagomål mail.docx", "A 48449-2021")</f>
        <v/>
      </c>
      <c r="X56">
        <f>HYPERLINK("https://klasma.github.io/Logging_1765/tillsyn/A 48449-2021 tillsynsbegäran.docx", "A 48449-2021")</f>
        <v/>
      </c>
      <c r="Y56">
        <f>HYPERLINK("https://klasma.github.io/Logging_1765/tillsynsmail/A 48449-2021 tillsynsbegäran mail.docx", "A 48449-2021")</f>
        <v/>
      </c>
    </row>
    <row r="57" ht="15" customHeight="1">
      <c r="A57" t="inlineStr">
        <is>
          <t>A 11682-2022</t>
        </is>
      </c>
      <c r="B57" s="1" t="n">
        <v>44631</v>
      </c>
      <c r="C57" s="1" t="n">
        <v>45574</v>
      </c>
      <c r="D57" t="inlineStr">
        <is>
          <t>VÄRMLANDS LÄN</t>
        </is>
      </c>
      <c r="E57" t="inlineStr">
        <is>
          <t>ÅRJÄNG</t>
        </is>
      </c>
      <c r="G57" t="n">
        <v>19.9</v>
      </c>
      <c r="H57" t="n">
        <v>0</v>
      </c>
      <c r="I57" t="n">
        <v>0</v>
      </c>
      <c r="J57" t="n">
        <v>1</v>
      </c>
      <c r="K57" t="n">
        <v>0</v>
      </c>
      <c r="L57" t="n">
        <v>0</v>
      </c>
      <c r="M57" t="n">
        <v>0</v>
      </c>
      <c r="N57" t="n">
        <v>0</v>
      </c>
      <c r="O57" t="n">
        <v>1</v>
      </c>
      <c r="P57" t="n">
        <v>0</v>
      </c>
      <c r="Q57" t="n">
        <v>1</v>
      </c>
      <c r="R57" s="2" t="inlineStr">
        <is>
          <t>Skogsklocka</t>
        </is>
      </c>
      <c r="S57">
        <f>HYPERLINK("https://klasma.github.io/Logging_1765/artfynd/A 11682-2022 artfynd.xlsx", "A 11682-2022")</f>
        <v/>
      </c>
      <c r="T57">
        <f>HYPERLINK("https://klasma.github.io/Logging_1765/kartor/A 11682-2022 karta.png", "A 11682-2022")</f>
        <v/>
      </c>
      <c r="V57">
        <f>HYPERLINK("https://klasma.github.io/Logging_1765/klagomål/A 11682-2022 FSC-klagomål.docx", "A 11682-2022")</f>
        <v/>
      </c>
      <c r="W57">
        <f>HYPERLINK("https://klasma.github.io/Logging_1765/klagomålsmail/A 11682-2022 FSC-klagomål mail.docx", "A 11682-2022")</f>
        <v/>
      </c>
      <c r="X57">
        <f>HYPERLINK("https://klasma.github.io/Logging_1765/tillsyn/A 11682-2022 tillsynsbegäran.docx", "A 11682-2022")</f>
        <v/>
      </c>
      <c r="Y57">
        <f>HYPERLINK("https://klasma.github.io/Logging_1765/tillsynsmail/A 11682-2022 tillsynsbegäran mail.docx", "A 11682-2022")</f>
        <v/>
      </c>
    </row>
    <row r="58" ht="15" customHeight="1">
      <c r="A58" t="inlineStr">
        <is>
          <t>A 45938-2022</t>
        </is>
      </c>
      <c r="B58" s="1" t="n">
        <v>44846</v>
      </c>
      <c r="C58" s="1" t="n">
        <v>45574</v>
      </c>
      <c r="D58" t="inlineStr">
        <is>
          <t>VÄRMLANDS LÄN</t>
        </is>
      </c>
      <c r="E58" t="inlineStr">
        <is>
          <t>ÅRJÄNG</t>
        </is>
      </c>
      <c r="G58" t="n">
        <v>4.4</v>
      </c>
      <c r="H58" t="n">
        <v>1</v>
      </c>
      <c r="I58" t="n">
        <v>0</v>
      </c>
      <c r="J58" t="n">
        <v>0</v>
      </c>
      <c r="K58" t="n">
        <v>1</v>
      </c>
      <c r="L58" t="n">
        <v>0</v>
      </c>
      <c r="M58" t="n">
        <v>0</v>
      </c>
      <c r="N58" t="n">
        <v>0</v>
      </c>
      <c r="O58" t="n">
        <v>1</v>
      </c>
      <c r="P58" t="n">
        <v>1</v>
      </c>
      <c r="Q58" t="n">
        <v>1</v>
      </c>
      <c r="R58" s="2" t="inlineStr">
        <is>
          <t>Knärot</t>
        </is>
      </c>
      <c r="S58">
        <f>HYPERLINK("https://klasma.github.io/Logging_1765/artfynd/A 45938-2022 artfynd.xlsx", "A 45938-2022")</f>
        <v/>
      </c>
      <c r="T58">
        <f>HYPERLINK("https://klasma.github.io/Logging_1765/kartor/A 45938-2022 karta.png", "A 45938-2022")</f>
        <v/>
      </c>
      <c r="U58">
        <f>HYPERLINK("https://klasma.github.io/Logging_1765/knärot/A 45938-2022 karta knärot.png", "A 45938-2022")</f>
        <v/>
      </c>
      <c r="V58">
        <f>HYPERLINK("https://klasma.github.io/Logging_1765/klagomål/A 45938-2022 FSC-klagomål.docx", "A 45938-2022")</f>
        <v/>
      </c>
      <c r="W58">
        <f>HYPERLINK("https://klasma.github.io/Logging_1765/klagomålsmail/A 45938-2022 FSC-klagomål mail.docx", "A 45938-2022")</f>
        <v/>
      </c>
      <c r="X58">
        <f>HYPERLINK("https://klasma.github.io/Logging_1765/tillsyn/A 45938-2022 tillsynsbegäran.docx", "A 45938-2022")</f>
        <v/>
      </c>
      <c r="Y58">
        <f>HYPERLINK("https://klasma.github.io/Logging_1765/tillsynsmail/A 45938-2022 tillsynsbegäran mail.docx", "A 45938-2022")</f>
        <v/>
      </c>
    </row>
    <row r="59" ht="15" customHeight="1">
      <c r="A59" t="inlineStr">
        <is>
          <t>A 52166-2022</t>
        </is>
      </c>
      <c r="B59" s="1" t="n">
        <v>44873</v>
      </c>
      <c r="C59" s="1" t="n">
        <v>45574</v>
      </c>
      <c r="D59" t="inlineStr">
        <is>
          <t>VÄRMLANDS LÄN</t>
        </is>
      </c>
      <c r="E59" t="inlineStr">
        <is>
          <t>ÅRJÄNG</t>
        </is>
      </c>
      <c r="G59" t="n">
        <v>12.9</v>
      </c>
      <c r="H59" t="n">
        <v>1</v>
      </c>
      <c r="I59" t="n">
        <v>0</v>
      </c>
      <c r="J59" t="n">
        <v>0</v>
      </c>
      <c r="K59" t="n">
        <v>0</v>
      </c>
      <c r="L59" t="n">
        <v>0</v>
      </c>
      <c r="M59" t="n">
        <v>0</v>
      </c>
      <c r="N59" t="n">
        <v>0</v>
      </c>
      <c r="O59" t="n">
        <v>0</v>
      </c>
      <c r="P59" t="n">
        <v>0</v>
      </c>
      <c r="Q59" t="n">
        <v>1</v>
      </c>
      <c r="R59" s="2" t="inlineStr">
        <is>
          <t>Blåsippa</t>
        </is>
      </c>
      <c r="S59">
        <f>HYPERLINK("https://klasma.github.io/Logging_1765/artfynd/A 52166-2022 artfynd.xlsx", "A 52166-2022")</f>
        <v/>
      </c>
      <c r="T59">
        <f>HYPERLINK("https://klasma.github.io/Logging_1765/kartor/A 52166-2022 karta.png", "A 52166-2022")</f>
        <v/>
      </c>
      <c r="V59">
        <f>HYPERLINK("https://klasma.github.io/Logging_1765/klagomål/A 52166-2022 FSC-klagomål.docx", "A 52166-2022")</f>
        <v/>
      </c>
      <c r="W59">
        <f>HYPERLINK("https://klasma.github.io/Logging_1765/klagomålsmail/A 52166-2022 FSC-klagomål mail.docx", "A 52166-2022")</f>
        <v/>
      </c>
      <c r="X59">
        <f>HYPERLINK("https://klasma.github.io/Logging_1765/tillsyn/A 52166-2022 tillsynsbegäran.docx", "A 52166-2022")</f>
        <v/>
      </c>
      <c r="Y59">
        <f>HYPERLINK("https://klasma.github.io/Logging_1765/tillsynsmail/A 52166-2022 tillsynsbegäran mail.docx", "A 52166-2022")</f>
        <v/>
      </c>
    </row>
    <row r="60" ht="15" customHeight="1">
      <c r="A60" t="inlineStr">
        <is>
          <t>A 30550-2023</t>
        </is>
      </c>
      <c r="B60" s="1" t="n">
        <v>45111</v>
      </c>
      <c r="C60" s="1" t="n">
        <v>45574</v>
      </c>
      <c r="D60" t="inlineStr">
        <is>
          <t>VÄRMLANDS LÄN</t>
        </is>
      </c>
      <c r="E60" t="inlineStr">
        <is>
          <t>ÅRJÄNG</t>
        </is>
      </c>
      <c r="G60" t="n">
        <v>3</v>
      </c>
      <c r="H60" t="n">
        <v>0</v>
      </c>
      <c r="I60" t="n">
        <v>0</v>
      </c>
      <c r="J60" t="n">
        <v>1</v>
      </c>
      <c r="K60" t="n">
        <v>0</v>
      </c>
      <c r="L60" t="n">
        <v>0</v>
      </c>
      <c r="M60" t="n">
        <v>0</v>
      </c>
      <c r="N60" t="n">
        <v>0</v>
      </c>
      <c r="O60" t="n">
        <v>1</v>
      </c>
      <c r="P60" t="n">
        <v>0</v>
      </c>
      <c r="Q60" t="n">
        <v>1</v>
      </c>
      <c r="R60" s="2" t="inlineStr">
        <is>
          <t>Lunglav</t>
        </is>
      </c>
      <c r="S60">
        <f>HYPERLINK("https://klasma.github.io/Logging_1765/artfynd/A 30550-2023 artfynd.xlsx", "A 30550-2023")</f>
        <v/>
      </c>
      <c r="T60">
        <f>HYPERLINK("https://klasma.github.io/Logging_1765/kartor/A 30550-2023 karta.png", "A 30550-2023")</f>
        <v/>
      </c>
      <c r="V60">
        <f>HYPERLINK("https://klasma.github.io/Logging_1765/klagomål/A 30550-2023 FSC-klagomål.docx", "A 30550-2023")</f>
        <v/>
      </c>
      <c r="W60">
        <f>HYPERLINK("https://klasma.github.io/Logging_1765/klagomålsmail/A 30550-2023 FSC-klagomål mail.docx", "A 30550-2023")</f>
        <v/>
      </c>
      <c r="X60">
        <f>HYPERLINK("https://klasma.github.io/Logging_1765/tillsyn/A 30550-2023 tillsynsbegäran.docx", "A 30550-2023")</f>
        <v/>
      </c>
      <c r="Y60">
        <f>HYPERLINK("https://klasma.github.io/Logging_1765/tillsynsmail/A 30550-2023 tillsynsbegäran mail.docx", "A 30550-2023")</f>
        <v/>
      </c>
    </row>
    <row r="61" ht="15" customHeight="1">
      <c r="A61" t="inlineStr">
        <is>
          <t>A 500-2024</t>
        </is>
      </c>
      <c r="B61" s="1" t="n">
        <v>45299</v>
      </c>
      <c r="C61" s="1" t="n">
        <v>45574</v>
      </c>
      <c r="D61" t="inlineStr">
        <is>
          <t>VÄRMLANDS LÄN</t>
        </is>
      </c>
      <c r="E61" t="inlineStr">
        <is>
          <t>ÅRJÄNG</t>
        </is>
      </c>
      <c r="F61" t="inlineStr">
        <is>
          <t>Kyrkan</t>
        </is>
      </c>
      <c r="G61" t="n">
        <v>5.4</v>
      </c>
      <c r="H61" t="n">
        <v>0</v>
      </c>
      <c r="I61" t="n">
        <v>0</v>
      </c>
      <c r="J61" t="n">
        <v>1</v>
      </c>
      <c r="K61" t="n">
        <v>0</v>
      </c>
      <c r="L61" t="n">
        <v>0</v>
      </c>
      <c r="M61" t="n">
        <v>0</v>
      </c>
      <c r="N61" t="n">
        <v>0</v>
      </c>
      <c r="O61" t="n">
        <v>1</v>
      </c>
      <c r="P61" t="n">
        <v>0</v>
      </c>
      <c r="Q61" t="n">
        <v>1</v>
      </c>
      <c r="R61" s="2" t="inlineStr">
        <is>
          <t>Skogsklocka</t>
        </is>
      </c>
      <c r="S61">
        <f>HYPERLINK("https://klasma.github.io/Logging_1765/artfynd/A 500-2024 artfynd.xlsx", "A 500-2024")</f>
        <v/>
      </c>
      <c r="T61">
        <f>HYPERLINK("https://klasma.github.io/Logging_1765/kartor/A 500-2024 karta.png", "A 500-2024")</f>
        <v/>
      </c>
      <c r="V61">
        <f>HYPERLINK("https://klasma.github.io/Logging_1765/klagomål/A 500-2024 FSC-klagomål.docx", "A 500-2024")</f>
        <v/>
      </c>
      <c r="W61">
        <f>HYPERLINK("https://klasma.github.io/Logging_1765/klagomålsmail/A 500-2024 FSC-klagomål mail.docx", "A 500-2024")</f>
        <v/>
      </c>
      <c r="X61">
        <f>HYPERLINK("https://klasma.github.io/Logging_1765/tillsyn/A 500-2024 tillsynsbegäran.docx", "A 500-2024")</f>
        <v/>
      </c>
      <c r="Y61">
        <f>HYPERLINK("https://klasma.github.io/Logging_1765/tillsynsmail/A 500-2024 tillsynsbegäran mail.docx", "A 500-2024")</f>
        <v/>
      </c>
    </row>
    <row r="62" ht="15" customHeight="1">
      <c r="A62" t="inlineStr">
        <is>
          <t>A 5806-2024</t>
        </is>
      </c>
      <c r="B62" s="1" t="n">
        <v>45335</v>
      </c>
      <c r="C62" s="1" t="n">
        <v>45574</v>
      </c>
      <c r="D62" t="inlineStr">
        <is>
          <t>VÄRMLANDS LÄN</t>
        </is>
      </c>
      <c r="E62" t="inlineStr">
        <is>
          <t>ÅRJÄNG</t>
        </is>
      </c>
      <c r="G62" t="n">
        <v>1.5</v>
      </c>
      <c r="H62" t="n">
        <v>1</v>
      </c>
      <c r="I62" t="n">
        <v>0</v>
      </c>
      <c r="J62" t="n">
        <v>0</v>
      </c>
      <c r="K62" t="n">
        <v>0</v>
      </c>
      <c r="L62" t="n">
        <v>0</v>
      </c>
      <c r="M62" t="n">
        <v>0</v>
      </c>
      <c r="N62" t="n">
        <v>0</v>
      </c>
      <c r="O62" t="n">
        <v>0</v>
      </c>
      <c r="P62" t="n">
        <v>0</v>
      </c>
      <c r="Q62" t="n">
        <v>1</v>
      </c>
      <c r="R62" s="2" t="inlineStr">
        <is>
          <t>Mattlummer</t>
        </is>
      </c>
      <c r="S62">
        <f>HYPERLINK("https://klasma.github.io/Logging_1765/artfynd/A 5806-2024 artfynd.xlsx", "A 5806-2024")</f>
        <v/>
      </c>
      <c r="T62">
        <f>HYPERLINK("https://klasma.github.io/Logging_1765/kartor/A 5806-2024 karta.png", "A 5806-2024")</f>
        <v/>
      </c>
      <c r="V62">
        <f>HYPERLINK("https://klasma.github.io/Logging_1765/klagomål/A 5806-2024 FSC-klagomål.docx", "A 5806-2024")</f>
        <v/>
      </c>
      <c r="W62">
        <f>HYPERLINK("https://klasma.github.io/Logging_1765/klagomålsmail/A 5806-2024 FSC-klagomål mail.docx", "A 5806-2024")</f>
        <v/>
      </c>
      <c r="X62">
        <f>HYPERLINK("https://klasma.github.io/Logging_1765/tillsyn/A 5806-2024 tillsynsbegäran.docx", "A 5806-2024")</f>
        <v/>
      </c>
      <c r="Y62">
        <f>HYPERLINK("https://klasma.github.io/Logging_1765/tillsynsmail/A 5806-2024 tillsynsbegäran mail.docx", "A 5806-2024")</f>
        <v/>
      </c>
    </row>
    <row r="63" ht="15" customHeight="1">
      <c r="A63" t="inlineStr">
        <is>
          <t>A 7447-2024</t>
        </is>
      </c>
      <c r="B63" s="1" t="n">
        <v>45345</v>
      </c>
      <c r="C63" s="1" t="n">
        <v>45574</v>
      </c>
      <c r="D63" t="inlineStr">
        <is>
          <t>VÄRMLANDS LÄN</t>
        </is>
      </c>
      <c r="E63" t="inlineStr">
        <is>
          <t>ÅRJÄNG</t>
        </is>
      </c>
      <c r="G63" t="n">
        <v>1.3</v>
      </c>
      <c r="H63" t="n">
        <v>1</v>
      </c>
      <c r="I63" t="n">
        <v>0</v>
      </c>
      <c r="J63" t="n">
        <v>0</v>
      </c>
      <c r="K63" t="n">
        <v>0</v>
      </c>
      <c r="L63" t="n">
        <v>0</v>
      </c>
      <c r="M63" t="n">
        <v>0</v>
      </c>
      <c r="N63" t="n">
        <v>0</v>
      </c>
      <c r="O63" t="n">
        <v>0</v>
      </c>
      <c r="P63" t="n">
        <v>0</v>
      </c>
      <c r="Q63" t="n">
        <v>1</v>
      </c>
      <c r="R63" s="2" t="inlineStr">
        <is>
          <t>Tjäder</t>
        </is>
      </c>
      <c r="S63">
        <f>HYPERLINK("https://klasma.github.io/Logging_1765/artfynd/A 7447-2024 artfynd.xlsx", "A 7447-2024")</f>
        <v/>
      </c>
      <c r="T63">
        <f>HYPERLINK("https://klasma.github.io/Logging_1765/kartor/A 7447-2024 karta.png", "A 7447-2024")</f>
        <v/>
      </c>
      <c r="V63">
        <f>HYPERLINK("https://klasma.github.io/Logging_1765/klagomål/A 7447-2024 FSC-klagomål.docx", "A 7447-2024")</f>
        <v/>
      </c>
      <c r="W63">
        <f>HYPERLINK("https://klasma.github.io/Logging_1765/klagomålsmail/A 7447-2024 FSC-klagomål mail.docx", "A 7447-2024")</f>
        <v/>
      </c>
      <c r="X63">
        <f>HYPERLINK("https://klasma.github.io/Logging_1765/tillsyn/A 7447-2024 tillsynsbegäran.docx", "A 7447-2024")</f>
        <v/>
      </c>
      <c r="Y63">
        <f>HYPERLINK("https://klasma.github.io/Logging_1765/tillsynsmail/A 7447-2024 tillsynsbegäran mail.docx", "A 7447-2024")</f>
        <v/>
      </c>
      <c r="Z63">
        <f>HYPERLINK("https://klasma.github.io/Logging_1765/fåglar/A 7447-2024 prioriterade fågelarter.docx", "A 7447-2024")</f>
        <v/>
      </c>
    </row>
    <row r="64" ht="15" customHeight="1">
      <c r="A64" t="inlineStr">
        <is>
          <t>A 10554-2024</t>
        </is>
      </c>
      <c r="B64" s="1" t="n">
        <v>45366</v>
      </c>
      <c r="C64" s="1" t="n">
        <v>45574</v>
      </c>
      <c r="D64" t="inlineStr">
        <is>
          <t>VÄRMLANDS LÄN</t>
        </is>
      </c>
      <c r="E64" t="inlineStr">
        <is>
          <t>ÅRJÄNG</t>
        </is>
      </c>
      <c r="G64" t="n">
        <v>7.4</v>
      </c>
      <c r="H64" t="n">
        <v>0</v>
      </c>
      <c r="I64" t="n">
        <v>0</v>
      </c>
      <c r="J64" t="n">
        <v>1</v>
      </c>
      <c r="K64" t="n">
        <v>0</v>
      </c>
      <c r="L64" t="n">
        <v>0</v>
      </c>
      <c r="M64" t="n">
        <v>0</v>
      </c>
      <c r="N64" t="n">
        <v>0</v>
      </c>
      <c r="O64" t="n">
        <v>1</v>
      </c>
      <c r="P64" t="n">
        <v>0</v>
      </c>
      <c r="Q64" t="n">
        <v>1</v>
      </c>
      <c r="R64" s="2" t="inlineStr">
        <is>
          <t>Skogsklocka</t>
        </is>
      </c>
      <c r="S64">
        <f>HYPERLINK("https://klasma.github.io/Logging_1765/artfynd/A 10554-2024 artfynd.xlsx", "A 10554-2024")</f>
        <v/>
      </c>
      <c r="T64">
        <f>HYPERLINK("https://klasma.github.io/Logging_1765/kartor/A 10554-2024 karta.png", "A 10554-2024")</f>
        <v/>
      </c>
      <c r="V64">
        <f>HYPERLINK("https://klasma.github.io/Logging_1765/klagomål/A 10554-2024 FSC-klagomål.docx", "A 10554-2024")</f>
        <v/>
      </c>
      <c r="W64">
        <f>HYPERLINK("https://klasma.github.io/Logging_1765/klagomålsmail/A 10554-2024 FSC-klagomål mail.docx", "A 10554-2024")</f>
        <v/>
      </c>
      <c r="X64">
        <f>HYPERLINK("https://klasma.github.io/Logging_1765/tillsyn/A 10554-2024 tillsynsbegäran.docx", "A 10554-2024")</f>
        <v/>
      </c>
      <c r="Y64">
        <f>HYPERLINK("https://klasma.github.io/Logging_1765/tillsynsmail/A 10554-2024 tillsynsbegäran mail.docx", "A 10554-2024")</f>
        <v/>
      </c>
    </row>
    <row r="65" ht="15" customHeight="1">
      <c r="A65" t="inlineStr">
        <is>
          <t>A 11151-2024</t>
        </is>
      </c>
      <c r="B65" s="1" t="n">
        <v>45371</v>
      </c>
      <c r="C65" s="1" t="n">
        <v>45574</v>
      </c>
      <c r="D65" t="inlineStr">
        <is>
          <t>VÄRMLANDS LÄN</t>
        </is>
      </c>
      <c r="E65" t="inlineStr">
        <is>
          <t>ÅRJÄNG</t>
        </is>
      </c>
      <c r="G65" t="n">
        <v>10.1</v>
      </c>
      <c r="H65" t="n">
        <v>1</v>
      </c>
      <c r="I65" t="n">
        <v>0</v>
      </c>
      <c r="J65" t="n">
        <v>1</v>
      </c>
      <c r="K65" t="n">
        <v>0</v>
      </c>
      <c r="L65" t="n">
        <v>0</v>
      </c>
      <c r="M65" t="n">
        <v>0</v>
      </c>
      <c r="N65" t="n">
        <v>0</v>
      </c>
      <c r="O65" t="n">
        <v>1</v>
      </c>
      <c r="P65" t="n">
        <v>0</v>
      </c>
      <c r="Q65" t="n">
        <v>1</v>
      </c>
      <c r="R65" s="2" t="inlineStr">
        <is>
          <t>Spillkråka</t>
        </is>
      </c>
      <c r="S65">
        <f>HYPERLINK("https://klasma.github.io/Logging_1765/artfynd/A 11151-2024 artfynd.xlsx", "A 11151-2024")</f>
        <v/>
      </c>
      <c r="T65">
        <f>HYPERLINK("https://klasma.github.io/Logging_1765/kartor/A 11151-2024 karta.png", "A 11151-2024")</f>
        <v/>
      </c>
      <c r="V65">
        <f>HYPERLINK("https://klasma.github.io/Logging_1765/klagomål/A 11151-2024 FSC-klagomål.docx", "A 11151-2024")</f>
        <v/>
      </c>
      <c r="W65">
        <f>HYPERLINK("https://klasma.github.io/Logging_1765/klagomålsmail/A 11151-2024 FSC-klagomål mail.docx", "A 11151-2024")</f>
        <v/>
      </c>
      <c r="X65">
        <f>HYPERLINK("https://klasma.github.io/Logging_1765/tillsyn/A 11151-2024 tillsynsbegäran.docx", "A 11151-2024")</f>
        <v/>
      </c>
      <c r="Y65">
        <f>HYPERLINK("https://klasma.github.io/Logging_1765/tillsynsmail/A 11151-2024 tillsynsbegäran mail.docx", "A 11151-2024")</f>
        <v/>
      </c>
      <c r="Z65">
        <f>HYPERLINK("https://klasma.github.io/Logging_1765/fåglar/A 11151-2024 prioriterade fågelarter.docx", "A 11151-2024")</f>
        <v/>
      </c>
    </row>
    <row r="66" ht="15" customHeight="1">
      <c r="A66" t="inlineStr">
        <is>
          <t>A 12257-2024</t>
        </is>
      </c>
      <c r="B66" s="1" t="n">
        <v>45378</v>
      </c>
      <c r="C66" s="1" t="n">
        <v>45574</v>
      </c>
      <c r="D66" t="inlineStr">
        <is>
          <t>VÄRMLANDS LÄN</t>
        </is>
      </c>
      <c r="E66" t="inlineStr">
        <is>
          <t>ÅRJÄNG</t>
        </is>
      </c>
      <c r="G66" t="n">
        <v>1.5</v>
      </c>
      <c r="H66" t="n">
        <v>0</v>
      </c>
      <c r="I66" t="n">
        <v>1</v>
      </c>
      <c r="J66" t="n">
        <v>0</v>
      </c>
      <c r="K66" t="n">
        <v>0</v>
      </c>
      <c r="L66" t="n">
        <v>0</v>
      </c>
      <c r="M66" t="n">
        <v>0</v>
      </c>
      <c r="N66" t="n">
        <v>0</v>
      </c>
      <c r="O66" t="n">
        <v>0</v>
      </c>
      <c r="P66" t="n">
        <v>0</v>
      </c>
      <c r="Q66" t="n">
        <v>1</v>
      </c>
      <c r="R66" s="2" t="inlineStr">
        <is>
          <t>Kattfotslav</t>
        </is>
      </c>
      <c r="S66">
        <f>HYPERLINK("https://klasma.github.io/Logging_1765/artfynd/A 12257-2024 artfynd.xlsx", "A 12257-2024")</f>
        <v/>
      </c>
      <c r="T66">
        <f>HYPERLINK("https://klasma.github.io/Logging_1765/kartor/A 12257-2024 karta.png", "A 12257-2024")</f>
        <v/>
      </c>
      <c r="V66">
        <f>HYPERLINK("https://klasma.github.io/Logging_1765/klagomål/A 12257-2024 FSC-klagomål.docx", "A 12257-2024")</f>
        <v/>
      </c>
      <c r="W66">
        <f>HYPERLINK("https://klasma.github.io/Logging_1765/klagomålsmail/A 12257-2024 FSC-klagomål mail.docx", "A 12257-2024")</f>
        <v/>
      </c>
      <c r="X66">
        <f>HYPERLINK("https://klasma.github.io/Logging_1765/tillsyn/A 12257-2024 tillsynsbegäran.docx", "A 12257-2024")</f>
        <v/>
      </c>
      <c r="Y66">
        <f>HYPERLINK("https://klasma.github.io/Logging_1765/tillsynsmail/A 12257-2024 tillsynsbegäran mail.docx", "A 12257-2024")</f>
        <v/>
      </c>
    </row>
    <row r="67" ht="15" customHeight="1">
      <c r="A67" t="inlineStr">
        <is>
          <t>A 27726-2024</t>
        </is>
      </c>
      <c r="B67" s="1" t="n">
        <v>45475</v>
      </c>
      <c r="C67" s="1" t="n">
        <v>45574</v>
      </c>
      <c r="D67" t="inlineStr">
        <is>
          <t>VÄRMLANDS LÄN</t>
        </is>
      </c>
      <c r="E67" t="inlineStr">
        <is>
          <t>ÅRJÄNG</t>
        </is>
      </c>
      <c r="G67" t="n">
        <v>4.6</v>
      </c>
      <c r="H67" t="n">
        <v>0</v>
      </c>
      <c r="I67" t="n">
        <v>0</v>
      </c>
      <c r="J67" t="n">
        <v>0</v>
      </c>
      <c r="K67" t="n">
        <v>1</v>
      </c>
      <c r="L67" t="n">
        <v>0</v>
      </c>
      <c r="M67" t="n">
        <v>0</v>
      </c>
      <c r="N67" t="n">
        <v>0</v>
      </c>
      <c r="O67" t="n">
        <v>1</v>
      </c>
      <c r="P67" t="n">
        <v>1</v>
      </c>
      <c r="Q67" t="n">
        <v>1</v>
      </c>
      <c r="R67" s="2" t="inlineStr">
        <is>
          <t>Slåttergubbe</t>
        </is>
      </c>
      <c r="S67">
        <f>HYPERLINK("https://klasma.github.io/Logging_1765/artfynd/A 27726-2024 artfynd.xlsx", "A 27726-2024")</f>
        <v/>
      </c>
      <c r="T67">
        <f>HYPERLINK("https://klasma.github.io/Logging_1765/kartor/A 27726-2024 karta.png", "A 27726-2024")</f>
        <v/>
      </c>
      <c r="V67">
        <f>HYPERLINK("https://klasma.github.io/Logging_1765/klagomål/A 27726-2024 FSC-klagomål.docx", "A 27726-2024")</f>
        <v/>
      </c>
      <c r="W67">
        <f>HYPERLINK("https://klasma.github.io/Logging_1765/klagomålsmail/A 27726-2024 FSC-klagomål mail.docx", "A 27726-2024")</f>
        <v/>
      </c>
      <c r="X67">
        <f>HYPERLINK("https://klasma.github.io/Logging_1765/tillsyn/A 27726-2024 tillsynsbegäran.docx", "A 27726-2024")</f>
        <v/>
      </c>
      <c r="Y67">
        <f>HYPERLINK("https://klasma.github.io/Logging_1765/tillsynsmail/A 27726-2024 tillsynsbegäran mail.docx", "A 27726-2024")</f>
        <v/>
      </c>
    </row>
    <row r="68" ht="15" customHeight="1">
      <c r="A68" t="inlineStr">
        <is>
          <t>A 28792-2024</t>
        </is>
      </c>
      <c r="B68" s="1" t="n">
        <v>45478</v>
      </c>
      <c r="C68" s="1" t="n">
        <v>45574</v>
      </c>
      <c r="D68" t="inlineStr">
        <is>
          <t>VÄRMLANDS LÄN</t>
        </is>
      </c>
      <c r="E68" t="inlineStr">
        <is>
          <t>ÅRJÄNG</t>
        </is>
      </c>
      <c r="F68" t="inlineStr">
        <is>
          <t>Bergvik skog väst AB</t>
        </is>
      </c>
      <c r="G68" t="n">
        <v>3.5</v>
      </c>
      <c r="H68" t="n">
        <v>1</v>
      </c>
      <c r="I68" t="n">
        <v>0</v>
      </c>
      <c r="J68" t="n">
        <v>1</v>
      </c>
      <c r="K68" t="n">
        <v>0</v>
      </c>
      <c r="L68" t="n">
        <v>0</v>
      </c>
      <c r="M68" t="n">
        <v>0</v>
      </c>
      <c r="N68" t="n">
        <v>0</v>
      </c>
      <c r="O68" t="n">
        <v>1</v>
      </c>
      <c r="P68" t="n">
        <v>0</v>
      </c>
      <c r="Q68" t="n">
        <v>1</v>
      </c>
      <c r="R68" s="2" t="inlineStr">
        <is>
          <t>Utter</t>
        </is>
      </c>
      <c r="S68">
        <f>HYPERLINK("https://klasma.github.io/Logging_1765/artfynd/A 28792-2024 artfynd.xlsx", "A 28792-2024")</f>
        <v/>
      </c>
      <c r="T68">
        <f>HYPERLINK("https://klasma.github.io/Logging_1765/kartor/A 28792-2024 karta.png", "A 28792-2024")</f>
        <v/>
      </c>
      <c r="V68">
        <f>HYPERLINK("https://klasma.github.io/Logging_1765/klagomål/A 28792-2024 FSC-klagomål.docx", "A 28792-2024")</f>
        <v/>
      </c>
      <c r="W68">
        <f>HYPERLINK("https://klasma.github.io/Logging_1765/klagomålsmail/A 28792-2024 FSC-klagomål mail.docx", "A 28792-2024")</f>
        <v/>
      </c>
      <c r="X68">
        <f>HYPERLINK("https://klasma.github.io/Logging_1765/tillsyn/A 28792-2024 tillsynsbegäran.docx", "A 28792-2024")</f>
        <v/>
      </c>
      <c r="Y68">
        <f>HYPERLINK("https://klasma.github.io/Logging_1765/tillsynsmail/A 28792-2024 tillsynsbegäran mail.docx", "A 28792-2024")</f>
        <v/>
      </c>
    </row>
    <row r="69" ht="15" customHeight="1">
      <c r="A69" t="inlineStr">
        <is>
          <t>A 17652-2019</t>
        </is>
      </c>
      <c r="B69" s="1" t="n">
        <v>43556</v>
      </c>
      <c r="C69" s="1" t="n">
        <v>45574</v>
      </c>
      <c r="D69" t="inlineStr">
        <is>
          <t>VÄRMLANDS LÄN</t>
        </is>
      </c>
      <c r="E69" t="inlineStr">
        <is>
          <t>ÅRJÄNG</t>
        </is>
      </c>
      <c r="G69" t="n">
        <v>0.5</v>
      </c>
      <c r="H69" t="n">
        <v>0</v>
      </c>
      <c r="I69" t="n">
        <v>0</v>
      </c>
      <c r="J69" t="n">
        <v>0</v>
      </c>
      <c r="K69" t="n">
        <v>0</v>
      </c>
      <c r="L69" t="n">
        <v>0</v>
      </c>
      <c r="M69" t="n">
        <v>0</v>
      </c>
      <c r="N69" t="n">
        <v>0</v>
      </c>
      <c r="O69" t="n">
        <v>0</v>
      </c>
      <c r="P69" t="n">
        <v>0</v>
      </c>
      <c r="Q69" t="n">
        <v>0</v>
      </c>
      <c r="R69" s="2" t="inlineStr"/>
    </row>
    <row r="70" ht="15" customHeight="1">
      <c r="A70" t="inlineStr">
        <is>
          <t>A 18103-2019</t>
        </is>
      </c>
      <c r="B70" s="1" t="n">
        <v>43558</v>
      </c>
      <c r="C70" s="1" t="n">
        <v>45574</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18332-2019</t>
        </is>
      </c>
      <c r="B71" s="1" t="n">
        <v>43559</v>
      </c>
      <c r="C71" s="1" t="n">
        <v>45574</v>
      </c>
      <c r="D71" t="inlineStr">
        <is>
          <t>VÄRMLANDS LÄN</t>
        </is>
      </c>
      <c r="E71" t="inlineStr">
        <is>
          <t>ÅRJÄNG</t>
        </is>
      </c>
      <c r="G71" t="n">
        <v>8.199999999999999</v>
      </c>
      <c r="H71" t="n">
        <v>0</v>
      </c>
      <c r="I71" t="n">
        <v>0</v>
      </c>
      <c r="J71" t="n">
        <v>0</v>
      </c>
      <c r="K71" t="n">
        <v>0</v>
      </c>
      <c r="L71" t="n">
        <v>0</v>
      </c>
      <c r="M71" t="n">
        <v>0</v>
      </c>
      <c r="N71" t="n">
        <v>0</v>
      </c>
      <c r="O71" t="n">
        <v>0</v>
      </c>
      <c r="P71" t="n">
        <v>0</v>
      </c>
      <c r="Q71" t="n">
        <v>0</v>
      </c>
      <c r="R71" s="2" t="inlineStr"/>
    </row>
    <row r="72" ht="15" customHeight="1">
      <c r="A72" t="inlineStr">
        <is>
          <t>A 18830-2019</t>
        </is>
      </c>
      <c r="B72" s="1" t="n">
        <v>43560</v>
      </c>
      <c r="C72" s="1" t="n">
        <v>45574</v>
      </c>
      <c r="D72" t="inlineStr">
        <is>
          <t>VÄRMLANDS LÄN</t>
        </is>
      </c>
      <c r="E72" t="inlineStr">
        <is>
          <t>ÅRJÄNG</t>
        </is>
      </c>
      <c r="G72" t="n">
        <v>10.4</v>
      </c>
      <c r="H72" t="n">
        <v>0</v>
      </c>
      <c r="I72" t="n">
        <v>0</v>
      </c>
      <c r="J72" t="n">
        <v>0</v>
      </c>
      <c r="K72" t="n">
        <v>0</v>
      </c>
      <c r="L72" t="n">
        <v>0</v>
      </c>
      <c r="M72" t="n">
        <v>0</v>
      </c>
      <c r="N72" t="n">
        <v>0</v>
      </c>
      <c r="O72" t="n">
        <v>0</v>
      </c>
      <c r="P72" t="n">
        <v>0</v>
      </c>
      <c r="Q72" t="n">
        <v>0</v>
      </c>
      <c r="R72" s="2" t="inlineStr"/>
    </row>
    <row r="73" ht="15" customHeight="1">
      <c r="A73" t="inlineStr">
        <is>
          <t>A 19032-2019</t>
        </is>
      </c>
      <c r="B73" s="1" t="n">
        <v>43563</v>
      </c>
      <c r="C73" s="1" t="n">
        <v>45574</v>
      </c>
      <c r="D73" t="inlineStr">
        <is>
          <t>VÄRMLANDS LÄN</t>
        </is>
      </c>
      <c r="E73" t="inlineStr">
        <is>
          <t>ÅRJÄNG</t>
        </is>
      </c>
      <c r="G73" t="n">
        <v>2.5</v>
      </c>
      <c r="H73" t="n">
        <v>0</v>
      </c>
      <c r="I73" t="n">
        <v>0</v>
      </c>
      <c r="J73" t="n">
        <v>0</v>
      </c>
      <c r="K73" t="n">
        <v>0</v>
      </c>
      <c r="L73" t="n">
        <v>0</v>
      </c>
      <c r="M73" t="n">
        <v>0</v>
      </c>
      <c r="N73" t="n">
        <v>0</v>
      </c>
      <c r="O73" t="n">
        <v>0</v>
      </c>
      <c r="P73" t="n">
        <v>0</v>
      </c>
      <c r="Q73" t="n">
        <v>0</v>
      </c>
      <c r="R73" s="2" t="inlineStr"/>
    </row>
    <row r="74" ht="15" customHeight="1">
      <c r="A74" t="inlineStr">
        <is>
          <t>A 19037-2019</t>
        </is>
      </c>
      <c r="B74" s="1" t="n">
        <v>43563</v>
      </c>
      <c r="C74" s="1" t="n">
        <v>45574</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19039-2019</t>
        </is>
      </c>
      <c r="B75" s="1" t="n">
        <v>43563</v>
      </c>
      <c r="C75" s="1" t="n">
        <v>45574</v>
      </c>
      <c r="D75" t="inlineStr">
        <is>
          <t>VÄRMLANDS LÄN</t>
        </is>
      </c>
      <c r="E75" t="inlineStr">
        <is>
          <t>ÅRJÄNG</t>
        </is>
      </c>
      <c r="G75" t="n">
        <v>1.6</v>
      </c>
      <c r="H75" t="n">
        <v>0</v>
      </c>
      <c r="I75" t="n">
        <v>0</v>
      </c>
      <c r="J75" t="n">
        <v>0</v>
      </c>
      <c r="K75" t="n">
        <v>0</v>
      </c>
      <c r="L75" t="n">
        <v>0</v>
      </c>
      <c r="M75" t="n">
        <v>0</v>
      </c>
      <c r="N75" t="n">
        <v>0</v>
      </c>
      <c r="O75" t="n">
        <v>0</v>
      </c>
      <c r="P75" t="n">
        <v>0</v>
      </c>
      <c r="Q75" t="n">
        <v>0</v>
      </c>
      <c r="R75" s="2" t="inlineStr"/>
    </row>
    <row r="76" ht="15" customHeight="1">
      <c r="A76" t="inlineStr">
        <is>
          <t>A 19781-2019</t>
        </is>
      </c>
      <c r="B76" s="1" t="n">
        <v>43567</v>
      </c>
      <c r="C76" s="1" t="n">
        <v>45574</v>
      </c>
      <c r="D76" t="inlineStr">
        <is>
          <t>VÄRMLANDS LÄN</t>
        </is>
      </c>
      <c r="E76" t="inlineStr">
        <is>
          <t>ÅRJÄNG</t>
        </is>
      </c>
      <c r="G76" t="n">
        <v>5.4</v>
      </c>
      <c r="H76" t="n">
        <v>0</v>
      </c>
      <c r="I76" t="n">
        <v>0</v>
      </c>
      <c r="J76" t="n">
        <v>0</v>
      </c>
      <c r="K76" t="n">
        <v>0</v>
      </c>
      <c r="L76" t="n">
        <v>0</v>
      </c>
      <c r="M76" t="n">
        <v>0</v>
      </c>
      <c r="N76" t="n">
        <v>0</v>
      </c>
      <c r="O76" t="n">
        <v>0</v>
      </c>
      <c r="P76" t="n">
        <v>0</v>
      </c>
      <c r="Q76" t="n">
        <v>0</v>
      </c>
      <c r="R76" s="2" t="inlineStr"/>
    </row>
    <row r="77" ht="15" customHeight="1">
      <c r="A77" t="inlineStr">
        <is>
          <t>A 19947-2019</t>
        </is>
      </c>
      <c r="B77" s="1" t="n">
        <v>43569</v>
      </c>
      <c r="C77" s="1" t="n">
        <v>45574</v>
      </c>
      <c r="D77" t="inlineStr">
        <is>
          <t>VÄRMLANDS LÄN</t>
        </is>
      </c>
      <c r="E77" t="inlineStr">
        <is>
          <t>ÅRJÄNG</t>
        </is>
      </c>
      <c r="G77" t="n">
        <v>2.9</v>
      </c>
      <c r="H77" t="n">
        <v>0</v>
      </c>
      <c r="I77" t="n">
        <v>0</v>
      </c>
      <c r="J77" t="n">
        <v>0</v>
      </c>
      <c r="K77" t="n">
        <v>0</v>
      </c>
      <c r="L77" t="n">
        <v>0</v>
      </c>
      <c r="M77" t="n">
        <v>0</v>
      </c>
      <c r="N77" t="n">
        <v>0</v>
      </c>
      <c r="O77" t="n">
        <v>0</v>
      </c>
      <c r="P77" t="n">
        <v>0</v>
      </c>
      <c r="Q77" t="n">
        <v>0</v>
      </c>
      <c r="R77" s="2" t="inlineStr"/>
    </row>
    <row r="78" ht="15" customHeight="1">
      <c r="A78" t="inlineStr">
        <is>
          <t>A 20189-2019</t>
        </is>
      </c>
      <c r="B78" s="1" t="n">
        <v>43570</v>
      </c>
      <c r="C78" s="1" t="n">
        <v>45574</v>
      </c>
      <c r="D78" t="inlineStr">
        <is>
          <t>VÄRMLANDS LÄN</t>
        </is>
      </c>
      <c r="E78" t="inlineStr">
        <is>
          <t>ÅRJÄNG</t>
        </is>
      </c>
      <c r="G78" t="n">
        <v>9</v>
      </c>
      <c r="H78" t="n">
        <v>0</v>
      </c>
      <c r="I78" t="n">
        <v>0</v>
      </c>
      <c r="J78" t="n">
        <v>0</v>
      </c>
      <c r="K78" t="n">
        <v>0</v>
      </c>
      <c r="L78" t="n">
        <v>0</v>
      </c>
      <c r="M78" t="n">
        <v>0</v>
      </c>
      <c r="N78" t="n">
        <v>0</v>
      </c>
      <c r="O78" t="n">
        <v>0</v>
      </c>
      <c r="P78" t="n">
        <v>0</v>
      </c>
      <c r="Q78" t="n">
        <v>0</v>
      </c>
      <c r="R78" s="2" t="inlineStr"/>
    </row>
    <row r="79" ht="15" customHeight="1">
      <c r="A79" t="inlineStr">
        <is>
          <t>A 20805-2019</t>
        </is>
      </c>
      <c r="B79" s="1" t="n">
        <v>43573</v>
      </c>
      <c r="C79" s="1" t="n">
        <v>45574</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20807-2019</t>
        </is>
      </c>
      <c r="B80" s="1" t="n">
        <v>43573</v>
      </c>
      <c r="C80" s="1" t="n">
        <v>45574</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21523-2019</t>
        </is>
      </c>
      <c r="B81" s="1" t="n">
        <v>43580</v>
      </c>
      <c r="C81" s="1" t="n">
        <v>45574</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21723-2019</t>
        </is>
      </c>
      <c r="B82" s="1" t="n">
        <v>43581</v>
      </c>
      <c r="C82" s="1" t="n">
        <v>45574</v>
      </c>
      <c r="D82" t="inlineStr">
        <is>
          <t>VÄRMLANDS LÄN</t>
        </is>
      </c>
      <c r="E82" t="inlineStr">
        <is>
          <t>ÅRJÄNG</t>
        </is>
      </c>
      <c r="F82" t="inlineStr">
        <is>
          <t>Bergvik skog väst AB</t>
        </is>
      </c>
      <c r="G82" t="n">
        <v>5.3</v>
      </c>
      <c r="H82" t="n">
        <v>0</v>
      </c>
      <c r="I82" t="n">
        <v>0</v>
      </c>
      <c r="J82" t="n">
        <v>0</v>
      </c>
      <c r="K82" t="n">
        <v>0</v>
      </c>
      <c r="L82" t="n">
        <v>0</v>
      </c>
      <c r="M82" t="n">
        <v>0</v>
      </c>
      <c r="N82" t="n">
        <v>0</v>
      </c>
      <c r="O82" t="n">
        <v>0</v>
      </c>
      <c r="P82" t="n">
        <v>0</v>
      </c>
      <c r="Q82" t="n">
        <v>0</v>
      </c>
      <c r="R82" s="2" t="inlineStr"/>
    </row>
    <row r="83" ht="15" customHeight="1">
      <c r="A83" t="inlineStr">
        <is>
          <t>A 21831-2019</t>
        </is>
      </c>
      <c r="B83" s="1" t="n">
        <v>43581</v>
      </c>
      <c r="C83" s="1" t="n">
        <v>45574</v>
      </c>
      <c r="D83" t="inlineStr">
        <is>
          <t>VÄRMLANDS LÄN</t>
        </is>
      </c>
      <c r="E83" t="inlineStr">
        <is>
          <t>ÅRJÄNG</t>
        </is>
      </c>
      <c r="F83" t="inlineStr">
        <is>
          <t>Kyrkan</t>
        </is>
      </c>
      <c r="G83" t="n">
        <v>0.9</v>
      </c>
      <c r="H83" t="n">
        <v>0</v>
      </c>
      <c r="I83" t="n">
        <v>0</v>
      </c>
      <c r="J83" t="n">
        <v>0</v>
      </c>
      <c r="K83" t="n">
        <v>0</v>
      </c>
      <c r="L83" t="n">
        <v>0</v>
      </c>
      <c r="M83" t="n">
        <v>0</v>
      </c>
      <c r="N83" t="n">
        <v>0</v>
      </c>
      <c r="O83" t="n">
        <v>0</v>
      </c>
      <c r="P83" t="n">
        <v>0</v>
      </c>
      <c r="Q83" t="n">
        <v>0</v>
      </c>
      <c r="R83" s="2" t="inlineStr"/>
    </row>
    <row r="84" ht="15" customHeight="1">
      <c r="A84" t="inlineStr">
        <is>
          <t>A 22116-2019</t>
        </is>
      </c>
      <c r="B84" s="1" t="n">
        <v>43585</v>
      </c>
      <c r="C84" s="1" t="n">
        <v>45574</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22173-2019</t>
        </is>
      </c>
      <c r="B85" s="1" t="n">
        <v>43585</v>
      </c>
      <c r="C85" s="1" t="n">
        <v>45574</v>
      </c>
      <c r="D85" t="inlineStr">
        <is>
          <t>VÄRMLANDS LÄN</t>
        </is>
      </c>
      <c r="E85" t="inlineStr">
        <is>
          <t>ÅRJÄNG</t>
        </is>
      </c>
      <c r="G85" t="n">
        <v>3.5</v>
      </c>
      <c r="H85" t="n">
        <v>0</v>
      </c>
      <c r="I85" t="n">
        <v>0</v>
      </c>
      <c r="J85" t="n">
        <v>0</v>
      </c>
      <c r="K85" t="n">
        <v>0</v>
      </c>
      <c r="L85" t="n">
        <v>0</v>
      </c>
      <c r="M85" t="n">
        <v>0</v>
      </c>
      <c r="N85" t="n">
        <v>0</v>
      </c>
      <c r="O85" t="n">
        <v>0</v>
      </c>
      <c r="P85" t="n">
        <v>0</v>
      </c>
      <c r="Q85" t="n">
        <v>0</v>
      </c>
      <c r="R85" s="2" t="inlineStr"/>
    </row>
    <row r="86" ht="15" customHeight="1">
      <c r="A86" t="inlineStr">
        <is>
          <t>A 22435-2019</t>
        </is>
      </c>
      <c r="B86" s="1" t="n">
        <v>43587</v>
      </c>
      <c r="C86" s="1" t="n">
        <v>45574</v>
      </c>
      <c r="D86" t="inlineStr">
        <is>
          <t>VÄRMLANDS LÄN</t>
        </is>
      </c>
      <c r="E86" t="inlineStr">
        <is>
          <t>ÅRJÄNG</t>
        </is>
      </c>
      <c r="G86" t="n">
        <v>2.1</v>
      </c>
      <c r="H86" t="n">
        <v>0</v>
      </c>
      <c r="I86" t="n">
        <v>0</v>
      </c>
      <c r="J86" t="n">
        <v>0</v>
      </c>
      <c r="K86" t="n">
        <v>0</v>
      </c>
      <c r="L86" t="n">
        <v>0</v>
      </c>
      <c r="M86" t="n">
        <v>0</v>
      </c>
      <c r="N86" t="n">
        <v>0</v>
      </c>
      <c r="O86" t="n">
        <v>0</v>
      </c>
      <c r="P86" t="n">
        <v>0</v>
      </c>
      <c r="Q86" t="n">
        <v>0</v>
      </c>
      <c r="R86" s="2" t="inlineStr"/>
    </row>
    <row r="87" ht="15" customHeight="1">
      <c r="A87" t="inlineStr">
        <is>
          <t>A 23555-2019</t>
        </is>
      </c>
      <c r="B87" s="1" t="n">
        <v>43594</v>
      </c>
      <c r="C87" s="1" t="n">
        <v>45574</v>
      </c>
      <c r="D87" t="inlineStr">
        <is>
          <t>VÄRMLANDS LÄN</t>
        </is>
      </c>
      <c r="E87" t="inlineStr">
        <is>
          <t>ÅRJÄNG</t>
        </is>
      </c>
      <c r="G87" t="n">
        <v>2.3</v>
      </c>
      <c r="H87" t="n">
        <v>0</v>
      </c>
      <c r="I87" t="n">
        <v>0</v>
      </c>
      <c r="J87" t="n">
        <v>0</v>
      </c>
      <c r="K87" t="n">
        <v>0</v>
      </c>
      <c r="L87" t="n">
        <v>0</v>
      </c>
      <c r="M87" t="n">
        <v>0</v>
      </c>
      <c r="N87" t="n">
        <v>0</v>
      </c>
      <c r="O87" t="n">
        <v>0</v>
      </c>
      <c r="P87" t="n">
        <v>0</v>
      </c>
      <c r="Q87" t="n">
        <v>0</v>
      </c>
      <c r="R87" s="2" t="inlineStr"/>
    </row>
    <row r="88" ht="15" customHeight="1">
      <c r="A88" t="inlineStr">
        <is>
          <t>A 23573-2019</t>
        </is>
      </c>
      <c r="B88" s="1" t="n">
        <v>43594</v>
      </c>
      <c r="C88" s="1" t="n">
        <v>45574</v>
      </c>
      <c r="D88" t="inlineStr">
        <is>
          <t>VÄRMLANDS LÄN</t>
        </is>
      </c>
      <c r="E88" t="inlineStr">
        <is>
          <t>ÅRJÄNG</t>
        </is>
      </c>
      <c r="G88" t="n">
        <v>4.9</v>
      </c>
      <c r="H88" t="n">
        <v>0</v>
      </c>
      <c r="I88" t="n">
        <v>0</v>
      </c>
      <c r="J88" t="n">
        <v>0</v>
      </c>
      <c r="K88" t="n">
        <v>0</v>
      </c>
      <c r="L88" t="n">
        <v>0</v>
      </c>
      <c r="M88" t="n">
        <v>0</v>
      </c>
      <c r="N88" t="n">
        <v>0</v>
      </c>
      <c r="O88" t="n">
        <v>0</v>
      </c>
      <c r="P88" t="n">
        <v>0</v>
      </c>
      <c r="Q88" t="n">
        <v>0</v>
      </c>
      <c r="R88" s="2" t="inlineStr"/>
    </row>
    <row r="89" ht="15" customHeight="1">
      <c r="A89" t="inlineStr">
        <is>
          <t>A 23600-2019</t>
        </is>
      </c>
      <c r="B89" s="1" t="n">
        <v>43594</v>
      </c>
      <c r="C89" s="1" t="n">
        <v>45574</v>
      </c>
      <c r="D89" t="inlineStr">
        <is>
          <t>VÄRMLANDS LÄN</t>
        </is>
      </c>
      <c r="E89" t="inlineStr">
        <is>
          <t>ÅRJÄNG</t>
        </is>
      </c>
      <c r="G89" t="n">
        <v>1.8</v>
      </c>
      <c r="H89" t="n">
        <v>0</v>
      </c>
      <c r="I89" t="n">
        <v>0</v>
      </c>
      <c r="J89" t="n">
        <v>0</v>
      </c>
      <c r="K89" t="n">
        <v>0</v>
      </c>
      <c r="L89" t="n">
        <v>0</v>
      </c>
      <c r="M89" t="n">
        <v>0</v>
      </c>
      <c r="N89" t="n">
        <v>0</v>
      </c>
      <c r="O89" t="n">
        <v>0</v>
      </c>
      <c r="P89" t="n">
        <v>0</v>
      </c>
      <c r="Q89" t="n">
        <v>0</v>
      </c>
      <c r="R89" s="2" t="inlineStr"/>
    </row>
    <row r="90" ht="15" customHeight="1">
      <c r="A90" t="inlineStr">
        <is>
          <t>A 23715-2019</t>
        </is>
      </c>
      <c r="B90" s="1" t="n">
        <v>43594</v>
      </c>
      <c r="C90" s="1" t="n">
        <v>45574</v>
      </c>
      <c r="D90" t="inlineStr">
        <is>
          <t>VÄRMLANDS LÄN</t>
        </is>
      </c>
      <c r="E90" t="inlineStr">
        <is>
          <t>ÅRJÄNG</t>
        </is>
      </c>
      <c r="G90" t="n">
        <v>6.8</v>
      </c>
      <c r="H90" t="n">
        <v>0</v>
      </c>
      <c r="I90" t="n">
        <v>0</v>
      </c>
      <c r="J90" t="n">
        <v>0</v>
      </c>
      <c r="K90" t="n">
        <v>0</v>
      </c>
      <c r="L90" t="n">
        <v>0</v>
      </c>
      <c r="M90" t="n">
        <v>0</v>
      </c>
      <c r="N90" t="n">
        <v>0</v>
      </c>
      <c r="O90" t="n">
        <v>0</v>
      </c>
      <c r="P90" t="n">
        <v>0</v>
      </c>
      <c r="Q90" t="n">
        <v>0</v>
      </c>
      <c r="R90" s="2" t="inlineStr"/>
    </row>
    <row r="91" ht="15" customHeight="1">
      <c r="A91" t="inlineStr">
        <is>
          <t>A 23716-2019</t>
        </is>
      </c>
      <c r="B91" s="1" t="n">
        <v>43594</v>
      </c>
      <c r="C91" s="1" t="n">
        <v>45574</v>
      </c>
      <c r="D91" t="inlineStr">
        <is>
          <t>VÄRMLANDS LÄN</t>
        </is>
      </c>
      <c r="E91" t="inlineStr">
        <is>
          <t>ÅRJÄNG</t>
        </is>
      </c>
      <c r="G91" t="n">
        <v>4.3</v>
      </c>
      <c r="H91" t="n">
        <v>0</v>
      </c>
      <c r="I91" t="n">
        <v>0</v>
      </c>
      <c r="J91" t="n">
        <v>0</v>
      </c>
      <c r="K91" t="n">
        <v>0</v>
      </c>
      <c r="L91" t="n">
        <v>0</v>
      </c>
      <c r="M91" t="n">
        <v>0</v>
      </c>
      <c r="N91" t="n">
        <v>0</v>
      </c>
      <c r="O91" t="n">
        <v>0</v>
      </c>
      <c r="P91" t="n">
        <v>0</v>
      </c>
      <c r="Q91" t="n">
        <v>0</v>
      </c>
      <c r="R91" s="2" t="inlineStr"/>
    </row>
    <row r="92" ht="15" customHeight="1">
      <c r="A92" t="inlineStr">
        <is>
          <t>A 23570-2019</t>
        </is>
      </c>
      <c r="B92" s="1" t="n">
        <v>43594</v>
      </c>
      <c r="C92" s="1" t="n">
        <v>45574</v>
      </c>
      <c r="D92" t="inlineStr">
        <is>
          <t>VÄRMLANDS LÄN</t>
        </is>
      </c>
      <c r="E92" t="inlineStr">
        <is>
          <t>ÅRJÄNG</t>
        </is>
      </c>
      <c r="G92" t="n">
        <v>2.9</v>
      </c>
      <c r="H92" t="n">
        <v>0</v>
      </c>
      <c r="I92" t="n">
        <v>0</v>
      </c>
      <c r="J92" t="n">
        <v>0</v>
      </c>
      <c r="K92" t="n">
        <v>0</v>
      </c>
      <c r="L92" t="n">
        <v>0</v>
      </c>
      <c r="M92" t="n">
        <v>0</v>
      </c>
      <c r="N92" t="n">
        <v>0</v>
      </c>
      <c r="O92" t="n">
        <v>0</v>
      </c>
      <c r="P92" t="n">
        <v>0</v>
      </c>
      <c r="Q92" t="n">
        <v>0</v>
      </c>
      <c r="R92" s="2" t="inlineStr"/>
    </row>
    <row r="93" ht="15" customHeight="1">
      <c r="A93" t="inlineStr">
        <is>
          <t>A 24337-2019</t>
        </is>
      </c>
      <c r="B93" s="1" t="n">
        <v>43598</v>
      </c>
      <c r="C93" s="1" t="n">
        <v>45574</v>
      </c>
      <c r="D93" t="inlineStr">
        <is>
          <t>VÄRMLANDS LÄN</t>
        </is>
      </c>
      <c r="E93" t="inlineStr">
        <is>
          <t>ÅRJÄNG</t>
        </is>
      </c>
      <c r="G93" t="n">
        <v>8.1</v>
      </c>
      <c r="H93" t="n">
        <v>0</v>
      </c>
      <c r="I93" t="n">
        <v>0</v>
      </c>
      <c r="J93" t="n">
        <v>0</v>
      </c>
      <c r="K93" t="n">
        <v>0</v>
      </c>
      <c r="L93" t="n">
        <v>0</v>
      </c>
      <c r="M93" t="n">
        <v>0</v>
      </c>
      <c r="N93" t="n">
        <v>0</v>
      </c>
      <c r="O93" t="n">
        <v>0</v>
      </c>
      <c r="P93" t="n">
        <v>0</v>
      </c>
      <c r="Q93" t="n">
        <v>0</v>
      </c>
      <c r="R93" s="2" t="inlineStr"/>
    </row>
    <row r="94" ht="15" customHeight="1">
      <c r="A94" t="inlineStr">
        <is>
          <t>A 24423-2019</t>
        </is>
      </c>
      <c r="B94" s="1" t="n">
        <v>43599</v>
      </c>
      <c r="C94" s="1" t="n">
        <v>45574</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25469-2019</t>
        </is>
      </c>
      <c r="B95" s="1" t="n">
        <v>43606</v>
      </c>
      <c r="C95" s="1" t="n">
        <v>45574</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25476-2019</t>
        </is>
      </c>
      <c r="B96" s="1" t="n">
        <v>43606</v>
      </c>
      <c r="C96" s="1" t="n">
        <v>45574</v>
      </c>
      <c r="D96" t="inlineStr">
        <is>
          <t>VÄRMLANDS LÄN</t>
        </is>
      </c>
      <c r="E96" t="inlineStr">
        <is>
          <t>ÅRJÄNG</t>
        </is>
      </c>
      <c r="G96" t="n">
        <v>5.3</v>
      </c>
      <c r="H96" t="n">
        <v>0</v>
      </c>
      <c r="I96" t="n">
        <v>0</v>
      </c>
      <c r="J96" t="n">
        <v>0</v>
      </c>
      <c r="K96" t="n">
        <v>0</v>
      </c>
      <c r="L96" t="n">
        <v>0</v>
      </c>
      <c r="M96" t="n">
        <v>0</v>
      </c>
      <c r="N96" t="n">
        <v>0</v>
      </c>
      <c r="O96" t="n">
        <v>0</v>
      </c>
      <c r="P96" t="n">
        <v>0</v>
      </c>
      <c r="Q96" t="n">
        <v>0</v>
      </c>
      <c r="R96" s="2" t="inlineStr"/>
    </row>
    <row r="97" ht="15" customHeight="1">
      <c r="A97" t="inlineStr">
        <is>
          <t>A 26488-2019</t>
        </is>
      </c>
      <c r="B97" s="1" t="n">
        <v>43606</v>
      </c>
      <c r="C97" s="1" t="n">
        <v>45574</v>
      </c>
      <c r="D97" t="inlineStr">
        <is>
          <t>VÄRMLANDS LÄN</t>
        </is>
      </c>
      <c r="E97" t="inlineStr">
        <is>
          <t>ÅRJÄNG</t>
        </is>
      </c>
      <c r="G97" t="n">
        <v>6.7</v>
      </c>
      <c r="H97" t="n">
        <v>0</v>
      </c>
      <c r="I97" t="n">
        <v>0</v>
      </c>
      <c r="J97" t="n">
        <v>0</v>
      </c>
      <c r="K97" t="n">
        <v>0</v>
      </c>
      <c r="L97" t="n">
        <v>0</v>
      </c>
      <c r="M97" t="n">
        <v>0</v>
      </c>
      <c r="N97" t="n">
        <v>0</v>
      </c>
      <c r="O97" t="n">
        <v>0</v>
      </c>
      <c r="P97" t="n">
        <v>0</v>
      </c>
      <c r="Q97" t="n">
        <v>0</v>
      </c>
      <c r="R97" s="2" t="inlineStr"/>
    </row>
    <row r="98" ht="15" customHeight="1">
      <c r="A98" t="inlineStr">
        <is>
          <t>A 25561-2019</t>
        </is>
      </c>
      <c r="B98" s="1" t="n">
        <v>43607</v>
      </c>
      <c r="C98" s="1" t="n">
        <v>45574</v>
      </c>
      <c r="D98" t="inlineStr">
        <is>
          <t>VÄRMLANDS LÄN</t>
        </is>
      </c>
      <c r="E98" t="inlineStr">
        <is>
          <t>ÅRJÄNG</t>
        </is>
      </c>
      <c r="G98" t="n">
        <v>6.3</v>
      </c>
      <c r="H98" t="n">
        <v>0</v>
      </c>
      <c r="I98" t="n">
        <v>0</v>
      </c>
      <c r="J98" t="n">
        <v>0</v>
      </c>
      <c r="K98" t="n">
        <v>0</v>
      </c>
      <c r="L98" t="n">
        <v>0</v>
      </c>
      <c r="M98" t="n">
        <v>0</v>
      </c>
      <c r="N98" t="n">
        <v>0</v>
      </c>
      <c r="O98" t="n">
        <v>0</v>
      </c>
      <c r="P98" t="n">
        <v>0</v>
      </c>
      <c r="Q98" t="n">
        <v>0</v>
      </c>
      <c r="R98" s="2" t="inlineStr"/>
    </row>
    <row r="99" ht="15" customHeight="1">
      <c r="A99" t="inlineStr">
        <is>
          <t>A 25750-2019</t>
        </is>
      </c>
      <c r="B99" s="1" t="n">
        <v>43608</v>
      </c>
      <c r="C99" s="1" t="n">
        <v>45574</v>
      </c>
      <c r="D99" t="inlineStr">
        <is>
          <t>VÄRMLANDS LÄN</t>
        </is>
      </c>
      <c r="E99" t="inlineStr">
        <is>
          <t>ÅRJÄNG</t>
        </is>
      </c>
      <c r="G99" t="n">
        <v>3.5</v>
      </c>
      <c r="H99" t="n">
        <v>0</v>
      </c>
      <c r="I99" t="n">
        <v>0</v>
      </c>
      <c r="J99" t="n">
        <v>0</v>
      </c>
      <c r="K99" t="n">
        <v>0</v>
      </c>
      <c r="L99" t="n">
        <v>0</v>
      </c>
      <c r="M99" t="n">
        <v>0</v>
      </c>
      <c r="N99" t="n">
        <v>0</v>
      </c>
      <c r="O99" t="n">
        <v>0</v>
      </c>
      <c r="P99" t="n">
        <v>0</v>
      </c>
      <c r="Q99" t="n">
        <v>0</v>
      </c>
      <c r="R99" s="2" t="inlineStr"/>
    </row>
    <row r="100" ht="15" customHeight="1">
      <c r="A100" t="inlineStr">
        <is>
          <t>A 27014-2019</t>
        </is>
      </c>
      <c r="B100" s="1" t="n">
        <v>43614</v>
      </c>
      <c r="C100" s="1" t="n">
        <v>45574</v>
      </c>
      <c r="D100" t="inlineStr">
        <is>
          <t>VÄRMLANDS LÄN</t>
        </is>
      </c>
      <c r="E100" t="inlineStr">
        <is>
          <t>ÅRJÄNG</t>
        </is>
      </c>
      <c r="G100" t="n">
        <v>4.6</v>
      </c>
      <c r="H100" t="n">
        <v>0</v>
      </c>
      <c r="I100" t="n">
        <v>0</v>
      </c>
      <c r="J100" t="n">
        <v>0</v>
      </c>
      <c r="K100" t="n">
        <v>0</v>
      </c>
      <c r="L100" t="n">
        <v>0</v>
      </c>
      <c r="M100" t="n">
        <v>0</v>
      </c>
      <c r="N100" t="n">
        <v>0</v>
      </c>
      <c r="O100" t="n">
        <v>0</v>
      </c>
      <c r="P100" t="n">
        <v>0</v>
      </c>
      <c r="Q100" t="n">
        <v>0</v>
      </c>
      <c r="R100" s="2" t="inlineStr"/>
    </row>
    <row r="101" ht="15" customHeight="1">
      <c r="A101" t="inlineStr">
        <is>
          <t>A 28727-2019</t>
        </is>
      </c>
      <c r="B101" s="1" t="n">
        <v>43614</v>
      </c>
      <c r="C101" s="1" t="n">
        <v>45574</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27470-2019</t>
        </is>
      </c>
      <c r="B102" s="1" t="n">
        <v>43619</v>
      </c>
      <c r="C102" s="1" t="n">
        <v>45574</v>
      </c>
      <c r="D102" t="inlineStr">
        <is>
          <t>VÄRMLANDS LÄN</t>
        </is>
      </c>
      <c r="E102" t="inlineStr">
        <is>
          <t>ÅRJÄNG</t>
        </is>
      </c>
      <c r="G102" t="n">
        <v>4.6</v>
      </c>
      <c r="H102" t="n">
        <v>0</v>
      </c>
      <c r="I102" t="n">
        <v>0</v>
      </c>
      <c r="J102" t="n">
        <v>0</v>
      </c>
      <c r="K102" t="n">
        <v>0</v>
      </c>
      <c r="L102" t="n">
        <v>0</v>
      </c>
      <c r="M102" t="n">
        <v>0</v>
      </c>
      <c r="N102" t="n">
        <v>0</v>
      </c>
      <c r="O102" t="n">
        <v>0</v>
      </c>
      <c r="P102" t="n">
        <v>0</v>
      </c>
      <c r="Q102" t="n">
        <v>0</v>
      </c>
      <c r="R102" s="2" t="inlineStr"/>
    </row>
    <row r="103" ht="15" customHeight="1">
      <c r="A103" t="inlineStr">
        <is>
          <t>A 28047-2019</t>
        </is>
      </c>
      <c r="B103" s="1" t="n">
        <v>43621</v>
      </c>
      <c r="C103" s="1" t="n">
        <v>45574</v>
      </c>
      <c r="D103" t="inlineStr">
        <is>
          <t>VÄRMLANDS LÄN</t>
        </is>
      </c>
      <c r="E103" t="inlineStr">
        <is>
          <t>ÅRJÄNG</t>
        </is>
      </c>
      <c r="G103" t="n">
        <v>2.2</v>
      </c>
      <c r="H103" t="n">
        <v>0</v>
      </c>
      <c r="I103" t="n">
        <v>0</v>
      </c>
      <c r="J103" t="n">
        <v>0</v>
      </c>
      <c r="K103" t="n">
        <v>0</v>
      </c>
      <c r="L103" t="n">
        <v>0</v>
      </c>
      <c r="M103" t="n">
        <v>0</v>
      </c>
      <c r="N103" t="n">
        <v>0</v>
      </c>
      <c r="O103" t="n">
        <v>0</v>
      </c>
      <c r="P103" t="n">
        <v>0</v>
      </c>
      <c r="Q103" t="n">
        <v>0</v>
      </c>
      <c r="R103" s="2" t="inlineStr"/>
    </row>
    <row r="104" ht="15" customHeight="1">
      <c r="A104" t="inlineStr">
        <is>
          <t>A 29043-2019</t>
        </is>
      </c>
      <c r="B104" s="1" t="n">
        <v>43621</v>
      </c>
      <c r="C104" s="1" t="n">
        <v>45574</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28865-2019</t>
        </is>
      </c>
      <c r="B105" s="1" t="n">
        <v>43628</v>
      </c>
      <c r="C105" s="1" t="n">
        <v>45574</v>
      </c>
      <c r="D105" t="inlineStr">
        <is>
          <t>VÄRMLANDS LÄN</t>
        </is>
      </c>
      <c r="E105" t="inlineStr">
        <is>
          <t>ÅRJÄNG</t>
        </is>
      </c>
      <c r="G105" t="n">
        <v>1.1</v>
      </c>
      <c r="H105" t="n">
        <v>0</v>
      </c>
      <c r="I105" t="n">
        <v>0</v>
      </c>
      <c r="J105" t="n">
        <v>0</v>
      </c>
      <c r="K105" t="n">
        <v>0</v>
      </c>
      <c r="L105" t="n">
        <v>0</v>
      </c>
      <c r="M105" t="n">
        <v>0</v>
      </c>
      <c r="N105" t="n">
        <v>0</v>
      </c>
      <c r="O105" t="n">
        <v>0</v>
      </c>
      <c r="P105" t="n">
        <v>0</v>
      </c>
      <c r="Q105" t="n">
        <v>0</v>
      </c>
      <c r="R105" s="2" t="inlineStr"/>
    </row>
    <row r="106" ht="15" customHeight="1">
      <c r="A106" t="inlineStr">
        <is>
          <t>A 30035-2019</t>
        </is>
      </c>
      <c r="B106" s="1" t="n">
        <v>43633</v>
      </c>
      <c r="C106" s="1" t="n">
        <v>45574</v>
      </c>
      <c r="D106" t="inlineStr">
        <is>
          <t>VÄRMLANDS LÄN</t>
        </is>
      </c>
      <c r="E106" t="inlineStr">
        <is>
          <t>ÅRJÄNG</t>
        </is>
      </c>
      <c r="G106" t="n">
        <v>2.3</v>
      </c>
      <c r="H106" t="n">
        <v>0</v>
      </c>
      <c r="I106" t="n">
        <v>0</v>
      </c>
      <c r="J106" t="n">
        <v>0</v>
      </c>
      <c r="K106" t="n">
        <v>0</v>
      </c>
      <c r="L106" t="n">
        <v>0</v>
      </c>
      <c r="M106" t="n">
        <v>0</v>
      </c>
      <c r="N106" t="n">
        <v>0</v>
      </c>
      <c r="O106" t="n">
        <v>0</v>
      </c>
      <c r="P106" t="n">
        <v>0</v>
      </c>
      <c r="Q106" t="n">
        <v>0</v>
      </c>
      <c r="R106" s="2" t="inlineStr"/>
    </row>
    <row r="107" ht="15" customHeight="1">
      <c r="A107" t="inlineStr">
        <is>
          <t>A 31379-2019</t>
        </is>
      </c>
      <c r="B107" s="1" t="n">
        <v>43636</v>
      </c>
      <c r="C107" s="1" t="n">
        <v>45574</v>
      </c>
      <c r="D107" t="inlineStr">
        <is>
          <t>VÄRMLANDS LÄN</t>
        </is>
      </c>
      <c r="E107" t="inlineStr">
        <is>
          <t>ÅRJÄNG</t>
        </is>
      </c>
      <c r="G107" t="n">
        <v>5</v>
      </c>
      <c r="H107" t="n">
        <v>0</v>
      </c>
      <c r="I107" t="n">
        <v>0</v>
      </c>
      <c r="J107" t="n">
        <v>0</v>
      </c>
      <c r="K107" t="n">
        <v>0</v>
      </c>
      <c r="L107" t="n">
        <v>0</v>
      </c>
      <c r="M107" t="n">
        <v>0</v>
      </c>
      <c r="N107" t="n">
        <v>0</v>
      </c>
      <c r="O107" t="n">
        <v>0</v>
      </c>
      <c r="P107" t="n">
        <v>0</v>
      </c>
      <c r="Q107" t="n">
        <v>0</v>
      </c>
      <c r="R107" s="2" t="inlineStr"/>
    </row>
    <row r="108" ht="15" customHeight="1">
      <c r="A108" t="inlineStr">
        <is>
          <t>A 31658-2019</t>
        </is>
      </c>
      <c r="B108" s="1" t="n">
        <v>43642</v>
      </c>
      <c r="C108" s="1" t="n">
        <v>45574</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33915-2019</t>
        </is>
      </c>
      <c r="B109" s="1" t="n">
        <v>43646</v>
      </c>
      <c r="C109" s="1" t="n">
        <v>45574</v>
      </c>
      <c r="D109" t="inlineStr">
        <is>
          <t>VÄRMLANDS LÄN</t>
        </is>
      </c>
      <c r="E109" t="inlineStr">
        <is>
          <t>ÅRJÄNG</t>
        </is>
      </c>
      <c r="F109" t="inlineStr">
        <is>
          <t>Övriga Aktiebolag</t>
        </is>
      </c>
      <c r="G109" t="n">
        <v>1.8</v>
      </c>
      <c r="H109" t="n">
        <v>0</v>
      </c>
      <c r="I109" t="n">
        <v>0</v>
      </c>
      <c r="J109" t="n">
        <v>0</v>
      </c>
      <c r="K109" t="n">
        <v>0</v>
      </c>
      <c r="L109" t="n">
        <v>0</v>
      </c>
      <c r="M109" t="n">
        <v>0</v>
      </c>
      <c r="N109" t="n">
        <v>0</v>
      </c>
      <c r="O109" t="n">
        <v>0</v>
      </c>
      <c r="P109" t="n">
        <v>0</v>
      </c>
      <c r="Q109" t="n">
        <v>0</v>
      </c>
      <c r="R109" s="2" t="inlineStr"/>
    </row>
    <row r="110" ht="15" customHeight="1">
      <c r="A110" t="inlineStr">
        <is>
          <t>A 33911-2019</t>
        </is>
      </c>
      <c r="B110" s="1" t="n">
        <v>43646</v>
      </c>
      <c r="C110" s="1" t="n">
        <v>45574</v>
      </c>
      <c r="D110" t="inlineStr">
        <is>
          <t>VÄRMLANDS LÄN</t>
        </is>
      </c>
      <c r="E110" t="inlineStr">
        <is>
          <t>ÅRJÄNG</t>
        </is>
      </c>
      <c r="F110" t="inlineStr">
        <is>
          <t>Övriga Aktiebolag</t>
        </is>
      </c>
      <c r="G110" t="n">
        <v>1.1</v>
      </c>
      <c r="H110" t="n">
        <v>0</v>
      </c>
      <c r="I110" t="n">
        <v>0</v>
      </c>
      <c r="J110" t="n">
        <v>0</v>
      </c>
      <c r="K110" t="n">
        <v>0</v>
      </c>
      <c r="L110" t="n">
        <v>0</v>
      </c>
      <c r="M110" t="n">
        <v>0</v>
      </c>
      <c r="N110" t="n">
        <v>0</v>
      </c>
      <c r="O110" t="n">
        <v>0</v>
      </c>
      <c r="P110" t="n">
        <v>0</v>
      </c>
      <c r="Q110" t="n">
        <v>0</v>
      </c>
      <c r="R110" s="2" t="inlineStr"/>
    </row>
    <row r="111" ht="15" customHeight="1">
      <c r="A111" t="inlineStr">
        <is>
          <t>A 34526-2019</t>
        </is>
      </c>
      <c r="B111" s="1" t="n">
        <v>43647</v>
      </c>
      <c r="C111" s="1" t="n">
        <v>45574</v>
      </c>
      <c r="D111" t="inlineStr">
        <is>
          <t>VÄRMLANDS LÄN</t>
        </is>
      </c>
      <c r="E111" t="inlineStr">
        <is>
          <t>ÅRJÄNG</t>
        </is>
      </c>
      <c r="G111" t="n">
        <v>3.4</v>
      </c>
      <c r="H111" t="n">
        <v>0</v>
      </c>
      <c r="I111" t="n">
        <v>0</v>
      </c>
      <c r="J111" t="n">
        <v>0</v>
      </c>
      <c r="K111" t="n">
        <v>0</v>
      </c>
      <c r="L111" t="n">
        <v>0</v>
      </c>
      <c r="M111" t="n">
        <v>0</v>
      </c>
      <c r="N111" t="n">
        <v>0</v>
      </c>
      <c r="O111" t="n">
        <v>0</v>
      </c>
      <c r="P111" t="n">
        <v>0</v>
      </c>
      <c r="Q111" t="n">
        <v>0</v>
      </c>
      <c r="R111" s="2" t="inlineStr"/>
    </row>
    <row r="112" ht="15" customHeight="1">
      <c r="A112" t="inlineStr">
        <is>
          <t>A 34646-2019</t>
        </is>
      </c>
      <c r="B112" s="1" t="n">
        <v>43648</v>
      </c>
      <c r="C112" s="1" t="n">
        <v>45574</v>
      </c>
      <c r="D112" t="inlineStr">
        <is>
          <t>VÄRMLANDS LÄN</t>
        </is>
      </c>
      <c r="E112" t="inlineStr">
        <is>
          <t>ÅRJÄNG</t>
        </is>
      </c>
      <c r="G112" t="n">
        <v>0.5</v>
      </c>
      <c r="H112" t="n">
        <v>0</v>
      </c>
      <c r="I112" t="n">
        <v>0</v>
      </c>
      <c r="J112" t="n">
        <v>0</v>
      </c>
      <c r="K112" t="n">
        <v>0</v>
      </c>
      <c r="L112" t="n">
        <v>0</v>
      </c>
      <c r="M112" t="n">
        <v>0</v>
      </c>
      <c r="N112" t="n">
        <v>0</v>
      </c>
      <c r="O112" t="n">
        <v>0</v>
      </c>
      <c r="P112" t="n">
        <v>0</v>
      </c>
      <c r="Q112" t="n">
        <v>0</v>
      </c>
      <c r="R112" s="2" t="inlineStr"/>
    </row>
    <row r="113" ht="15" customHeight="1">
      <c r="A113" t="inlineStr">
        <is>
          <t>A 33132-2019</t>
        </is>
      </c>
      <c r="B113" s="1" t="n">
        <v>43649</v>
      </c>
      <c r="C113" s="1" t="n">
        <v>45574</v>
      </c>
      <c r="D113" t="inlineStr">
        <is>
          <t>VÄRMLANDS LÄN</t>
        </is>
      </c>
      <c r="E113" t="inlineStr">
        <is>
          <t>ÅRJÄNG</t>
        </is>
      </c>
      <c r="G113" t="n">
        <v>2.8</v>
      </c>
      <c r="H113" t="n">
        <v>0</v>
      </c>
      <c r="I113" t="n">
        <v>0</v>
      </c>
      <c r="J113" t="n">
        <v>0</v>
      </c>
      <c r="K113" t="n">
        <v>0</v>
      </c>
      <c r="L113" t="n">
        <v>0</v>
      </c>
      <c r="M113" t="n">
        <v>0</v>
      </c>
      <c r="N113" t="n">
        <v>0</v>
      </c>
      <c r="O113" t="n">
        <v>0</v>
      </c>
      <c r="P113" t="n">
        <v>0</v>
      </c>
      <c r="Q113" t="n">
        <v>0</v>
      </c>
      <c r="R113" s="2" t="inlineStr"/>
    </row>
    <row r="114" ht="15" customHeight="1">
      <c r="A114" t="inlineStr">
        <is>
          <t>A 34762-2019</t>
        </is>
      </c>
      <c r="B114" s="1" t="n">
        <v>43649</v>
      </c>
      <c r="C114" s="1" t="n">
        <v>45574</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33192-2019</t>
        </is>
      </c>
      <c r="B115" s="1" t="n">
        <v>43649</v>
      </c>
      <c r="C115" s="1" t="n">
        <v>45574</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33195-2019</t>
        </is>
      </c>
      <c r="B116" s="1" t="n">
        <v>43649</v>
      </c>
      <c r="C116" s="1" t="n">
        <v>45574</v>
      </c>
      <c r="D116" t="inlineStr">
        <is>
          <t>VÄRMLANDS LÄN</t>
        </is>
      </c>
      <c r="E116" t="inlineStr">
        <is>
          <t>ÅRJÄNG</t>
        </is>
      </c>
      <c r="G116" t="n">
        <v>0.6</v>
      </c>
      <c r="H116" t="n">
        <v>0</v>
      </c>
      <c r="I116" t="n">
        <v>0</v>
      </c>
      <c r="J116" t="n">
        <v>0</v>
      </c>
      <c r="K116" t="n">
        <v>0</v>
      </c>
      <c r="L116" t="n">
        <v>0</v>
      </c>
      <c r="M116" t="n">
        <v>0</v>
      </c>
      <c r="N116" t="n">
        <v>0</v>
      </c>
      <c r="O116" t="n">
        <v>0</v>
      </c>
      <c r="P116" t="n">
        <v>0</v>
      </c>
      <c r="Q116" t="n">
        <v>0</v>
      </c>
      <c r="R116" s="2" t="inlineStr"/>
    </row>
    <row r="117" ht="15" customHeight="1">
      <c r="A117" t="inlineStr">
        <is>
          <t>A 33442-2019</t>
        </is>
      </c>
      <c r="B117" s="1" t="n">
        <v>43650</v>
      </c>
      <c r="C117" s="1" t="n">
        <v>45574</v>
      </c>
      <c r="D117" t="inlineStr">
        <is>
          <t>VÄRMLANDS LÄN</t>
        </is>
      </c>
      <c r="E117" t="inlineStr">
        <is>
          <t>ÅRJÄNG</t>
        </is>
      </c>
      <c r="G117" t="n">
        <v>1.5</v>
      </c>
      <c r="H117" t="n">
        <v>0</v>
      </c>
      <c r="I117" t="n">
        <v>0</v>
      </c>
      <c r="J117" t="n">
        <v>0</v>
      </c>
      <c r="K117" t="n">
        <v>0</v>
      </c>
      <c r="L117" t="n">
        <v>0</v>
      </c>
      <c r="M117" t="n">
        <v>0</v>
      </c>
      <c r="N117" t="n">
        <v>0</v>
      </c>
      <c r="O117" t="n">
        <v>0</v>
      </c>
      <c r="P117" t="n">
        <v>0</v>
      </c>
      <c r="Q117" t="n">
        <v>0</v>
      </c>
      <c r="R117" s="2" t="inlineStr"/>
    </row>
    <row r="118" ht="15" customHeight="1">
      <c r="A118" t="inlineStr">
        <is>
          <t>A 33443-2019</t>
        </is>
      </c>
      <c r="B118" s="1" t="n">
        <v>43650</v>
      </c>
      <c r="C118" s="1" t="n">
        <v>45574</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33870-2019</t>
        </is>
      </c>
      <c r="B119" s="1" t="n">
        <v>43652</v>
      </c>
      <c r="C119" s="1" t="n">
        <v>45574</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33899-2019</t>
        </is>
      </c>
      <c r="B120" s="1" t="n">
        <v>43653</v>
      </c>
      <c r="C120" s="1" t="n">
        <v>45574</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34096-2019</t>
        </is>
      </c>
      <c r="B121" s="1" t="n">
        <v>43654</v>
      </c>
      <c r="C121" s="1" t="n">
        <v>45574</v>
      </c>
      <c r="D121" t="inlineStr">
        <is>
          <t>VÄRMLANDS LÄN</t>
        </is>
      </c>
      <c r="E121" t="inlineStr">
        <is>
          <t>ÅRJÄNG</t>
        </is>
      </c>
      <c r="G121" t="n">
        <v>3.6</v>
      </c>
      <c r="H121" t="n">
        <v>0</v>
      </c>
      <c r="I121" t="n">
        <v>0</v>
      </c>
      <c r="J121" t="n">
        <v>0</v>
      </c>
      <c r="K121" t="n">
        <v>0</v>
      </c>
      <c r="L121" t="n">
        <v>0</v>
      </c>
      <c r="M121" t="n">
        <v>0</v>
      </c>
      <c r="N121" t="n">
        <v>0</v>
      </c>
      <c r="O121" t="n">
        <v>0</v>
      </c>
      <c r="P121" t="n">
        <v>0</v>
      </c>
      <c r="Q121" t="n">
        <v>0</v>
      </c>
      <c r="R121" s="2" t="inlineStr"/>
    </row>
    <row r="122" ht="15" customHeight="1">
      <c r="A122" t="inlineStr">
        <is>
          <t>A 33916-2019</t>
        </is>
      </c>
      <c r="B122" s="1" t="n">
        <v>43654</v>
      </c>
      <c r="C122" s="1" t="n">
        <v>45574</v>
      </c>
      <c r="D122" t="inlineStr">
        <is>
          <t>VÄRMLANDS LÄN</t>
        </is>
      </c>
      <c r="E122" t="inlineStr">
        <is>
          <t>ÅRJÄNG</t>
        </is>
      </c>
      <c r="G122" t="n">
        <v>3.5</v>
      </c>
      <c r="H122" t="n">
        <v>0</v>
      </c>
      <c r="I122" t="n">
        <v>0</v>
      </c>
      <c r="J122" t="n">
        <v>0</v>
      </c>
      <c r="K122" t="n">
        <v>0</v>
      </c>
      <c r="L122" t="n">
        <v>0</v>
      </c>
      <c r="M122" t="n">
        <v>0</v>
      </c>
      <c r="N122" t="n">
        <v>0</v>
      </c>
      <c r="O122" t="n">
        <v>0</v>
      </c>
      <c r="P122" t="n">
        <v>0</v>
      </c>
      <c r="Q122" t="n">
        <v>0</v>
      </c>
      <c r="R122" s="2" t="inlineStr"/>
    </row>
    <row r="123" ht="15" customHeight="1">
      <c r="A123" t="inlineStr">
        <is>
          <t>A 34184-2019</t>
        </is>
      </c>
      <c r="B123" s="1" t="n">
        <v>43655</v>
      </c>
      <c r="C123" s="1" t="n">
        <v>45574</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35680-2019</t>
        </is>
      </c>
      <c r="B124" s="1" t="n">
        <v>43655</v>
      </c>
      <c r="C124" s="1" t="n">
        <v>45574</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36884-2019</t>
        </is>
      </c>
      <c r="B125" s="1" t="n">
        <v>43675</v>
      </c>
      <c r="C125" s="1" t="n">
        <v>45574</v>
      </c>
      <c r="D125" t="inlineStr">
        <is>
          <t>VÄRMLANDS LÄN</t>
        </is>
      </c>
      <c r="E125" t="inlineStr">
        <is>
          <t>ÅRJÄNG</t>
        </is>
      </c>
      <c r="G125" t="n">
        <v>1.3</v>
      </c>
      <c r="H125" t="n">
        <v>0</v>
      </c>
      <c r="I125" t="n">
        <v>0</v>
      </c>
      <c r="J125" t="n">
        <v>0</v>
      </c>
      <c r="K125" t="n">
        <v>0</v>
      </c>
      <c r="L125" t="n">
        <v>0</v>
      </c>
      <c r="M125" t="n">
        <v>0</v>
      </c>
      <c r="N125" t="n">
        <v>0</v>
      </c>
      <c r="O125" t="n">
        <v>0</v>
      </c>
      <c r="P125" t="n">
        <v>0</v>
      </c>
      <c r="Q125" t="n">
        <v>0</v>
      </c>
      <c r="R125" s="2" t="inlineStr"/>
    </row>
    <row r="126" ht="15" customHeight="1">
      <c r="A126" t="inlineStr">
        <is>
          <t>A 38272-2019</t>
        </is>
      </c>
      <c r="B126" s="1" t="n">
        <v>43684</v>
      </c>
      <c r="C126" s="1" t="n">
        <v>45574</v>
      </c>
      <c r="D126" t="inlineStr">
        <is>
          <t>VÄRMLANDS LÄN</t>
        </is>
      </c>
      <c r="E126" t="inlineStr">
        <is>
          <t>ÅRJÄNG</t>
        </is>
      </c>
      <c r="G126" t="n">
        <v>7.4</v>
      </c>
      <c r="H126" t="n">
        <v>0</v>
      </c>
      <c r="I126" t="n">
        <v>0</v>
      </c>
      <c r="J126" t="n">
        <v>0</v>
      </c>
      <c r="K126" t="n">
        <v>0</v>
      </c>
      <c r="L126" t="n">
        <v>0</v>
      </c>
      <c r="M126" t="n">
        <v>0</v>
      </c>
      <c r="N126" t="n">
        <v>0</v>
      </c>
      <c r="O126" t="n">
        <v>0</v>
      </c>
      <c r="P126" t="n">
        <v>0</v>
      </c>
      <c r="Q126" t="n">
        <v>0</v>
      </c>
      <c r="R126" s="2" t="inlineStr"/>
    </row>
    <row r="127" ht="15" customHeight="1">
      <c r="A127" t="inlineStr">
        <is>
          <t>A 38668-2019</t>
        </is>
      </c>
      <c r="B127" s="1" t="n">
        <v>43684</v>
      </c>
      <c r="C127" s="1" t="n">
        <v>45574</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41334-2019</t>
        </is>
      </c>
      <c r="B128" s="1" t="n">
        <v>43696</v>
      </c>
      <c r="C128" s="1" t="n">
        <v>45574</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41616-2019</t>
        </is>
      </c>
      <c r="B129" s="1" t="n">
        <v>43697</v>
      </c>
      <c r="C129" s="1" t="n">
        <v>45574</v>
      </c>
      <c r="D129" t="inlineStr">
        <is>
          <t>VÄRMLANDS LÄN</t>
        </is>
      </c>
      <c r="E129" t="inlineStr">
        <is>
          <t>ÅRJÄNG</t>
        </is>
      </c>
      <c r="G129" t="n">
        <v>5.5</v>
      </c>
      <c r="H129" t="n">
        <v>0</v>
      </c>
      <c r="I129" t="n">
        <v>0</v>
      </c>
      <c r="J129" t="n">
        <v>0</v>
      </c>
      <c r="K129" t="n">
        <v>0</v>
      </c>
      <c r="L129" t="n">
        <v>0</v>
      </c>
      <c r="M129" t="n">
        <v>0</v>
      </c>
      <c r="N129" t="n">
        <v>0</v>
      </c>
      <c r="O129" t="n">
        <v>0</v>
      </c>
      <c r="P129" t="n">
        <v>0</v>
      </c>
      <c r="Q129" t="n">
        <v>0</v>
      </c>
      <c r="R129" s="2" t="inlineStr"/>
    </row>
    <row r="130" ht="15" customHeight="1">
      <c r="A130" t="inlineStr">
        <is>
          <t>A 41632-2019</t>
        </is>
      </c>
      <c r="B130" s="1" t="n">
        <v>43697</v>
      </c>
      <c r="C130" s="1" t="n">
        <v>45574</v>
      </c>
      <c r="D130" t="inlineStr">
        <is>
          <t>VÄRMLANDS LÄN</t>
        </is>
      </c>
      <c r="E130" t="inlineStr">
        <is>
          <t>ÅRJÄNG</t>
        </is>
      </c>
      <c r="G130" t="n">
        <v>1.7</v>
      </c>
      <c r="H130" t="n">
        <v>0</v>
      </c>
      <c r="I130" t="n">
        <v>0</v>
      </c>
      <c r="J130" t="n">
        <v>0</v>
      </c>
      <c r="K130" t="n">
        <v>0</v>
      </c>
      <c r="L130" t="n">
        <v>0</v>
      </c>
      <c r="M130" t="n">
        <v>0</v>
      </c>
      <c r="N130" t="n">
        <v>0</v>
      </c>
      <c r="O130" t="n">
        <v>0</v>
      </c>
      <c r="P130" t="n">
        <v>0</v>
      </c>
      <c r="Q130" t="n">
        <v>0</v>
      </c>
      <c r="R130" s="2" t="inlineStr"/>
    </row>
    <row r="131" ht="15" customHeight="1">
      <c r="A131" t="inlineStr">
        <is>
          <t>A 41275-2019</t>
        </is>
      </c>
      <c r="B131" s="1" t="n">
        <v>43698</v>
      </c>
      <c r="C131" s="1" t="n">
        <v>45574</v>
      </c>
      <c r="D131" t="inlineStr">
        <is>
          <t>VÄRMLANDS LÄN</t>
        </is>
      </c>
      <c r="E131" t="inlineStr">
        <is>
          <t>ÅRJÄNG</t>
        </is>
      </c>
      <c r="G131" t="n">
        <v>10.1</v>
      </c>
      <c r="H131" t="n">
        <v>0</v>
      </c>
      <c r="I131" t="n">
        <v>0</v>
      </c>
      <c r="J131" t="n">
        <v>0</v>
      </c>
      <c r="K131" t="n">
        <v>0</v>
      </c>
      <c r="L131" t="n">
        <v>0</v>
      </c>
      <c r="M131" t="n">
        <v>0</v>
      </c>
      <c r="N131" t="n">
        <v>0</v>
      </c>
      <c r="O131" t="n">
        <v>0</v>
      </c>
      <c r="P131" t="n">
        <v>0</v>
      </c>
      <c r="Q131" t="n">
        <v>0</v>
      </c>
      <c r="R131" s="2" t="inlineStr"/>
    </row>
    <row r="132" ht="15" customHeight="1">
      <c r="A132" t="inlineStr">
        <is>
          <t>A 41192-2019</t>
        </is>
      </c>
      <c r="B132" s="1" t="n">
        <v>43698</v>
      </c>
      <c r="C132" s="1" t="n">
        <v>45574</v>
      </c>
      <c r="D132" t="inlineStr">
        <is>
          <t>VÄRMLANDS LÄN</t>
        </is>
      </c>
      <c r="E132" t="inlineStr">
        <is>
          <t>ÅRJÄNG</t>
        </is>
      </c>
      <c r="G132" t="n">
        <v>2.8</v>
      </c>
      <c r="H132" t="n">
        <v>0</v>
      </c>
      <c r="I132" t="n">
        <v>0</v>
      </c>
      <c r="J132" t="n">
        <v>0</v>
      </c>
      <c r="K132" t="n">
        <v>0</v>
      </c>
      <c r="L132" t="n">
        <v>0</v>
      </c>
      <c r="M132" t="n">
        <v>0</v>
      </c>
      <c r="N132" t="n">
        <v>0</v>
      </c>
      <c r="O132" t="n">
        <v>0</v>
      </c>
      <c r="P132" t="n">
        <v>0</v>
      </c>
      <c r="Q132" t="n">
        <v>0</v>
      </c>
      <c r="R132" s="2" t="inlineStr"/>
    </row>
    <row r="133" ht="15" customHeight="1">
      <c r="A133" t="inlineStr">
        <is>
          <t>A 42851-2019</t>
        </is>
      </c>
      <c r="B133" s="1" t="n">
        <v>43699</v>
      </c>
      <c r="C133" s="1" t="n">
        <v>45574</v>
      </c>
      <c r="D133" t="inlineStr">
        <is>
          <t>VÄRMLANDS LÄN</t>
        </is>
      </c>
      <c r="E133" t="inlineStr">
        <is>
          <t>ÅRJÄNG</t>
        </is>
      </c>
      <c r="G133" t="n">
        <v>5.4</v>
      </c>
      <c r="H133" t="n">
        <v>0</v>
      </c>
      <c r="I133" t="n">
        <v>0</v>
      </c>
      <c r="J133" t="n">
        <v>0</v>
      </c>
      <c r="K133" t="n">
        <v>0</v>
      </c>
      <c r="L133" t="n">
        <v>0</v>
      </c>
      <c r="M133" t="n">
        <v>0</v>
      </c>
      <c r="N133" t="n">
        <v>0</v>
      </c>
      <c r="O133" t="n">
        <v>0</v>
      </c>
      <c r="P133" t="n">
        <v>0</v>
      </c>
      <c r="Q133" t="n">
        <v>0</v>
      </c>
      <c r="R133" s="2" t="inlineStr"/>
    </row>
    <row r="134" ht="15" customHeight="1">
      <c r="A134" t="inlineStr">
        <is>
          <t>A 42443-2019</t>
        </is>
      </c>
      <c r="B134" s="1" t="n">
        <v>43699</v>
      </c>
      <c r="C134" s="1" t="n">
        <v>45574</v>
      </c>
      <c r="D134" t="inlineStr">
        <is>
          <t>VÄRMLANDS LÄN</t>
        </is>
      </c>
      <c r="E134" t="inlineStr">
        <is>
          <t>ÅRJÄNG</t>
        </is>
      </c>
      <c r="G134" t="n">
        <v>2.2</v>
      </c>
      <c r="H134" t="n">
        <v>0</v>
      </c>
      <c r="I134" t="n">
        <v>0</v>
      </c>
      <c r="J134" t="n">
        <v>0</v>
      </c>
      <c r="K134" t="n">
        <v>0</v>
      </c>
      <c r="L134" t="n">
        <v>0</v>
      </c>
      <c r="M134" t="n">
        <v>0</v>
      </c>
      <c r="N134" t="n">
        <v>0</v>
      </c>
      <c r="O134" t="n">
        <v>0</v>
      </c>
      <c r="P134" t="n">
        <v>0</v>
      </c>
      <c r="Q134" t="n">
        <v>0</v>
      </c>
      <c r="R134" s="2" t="inlineStr"/>
    </row>
    <row r="135" ht="15" customHeight="1">
      <c r="A135" t="inlineStr">
        <is>
          <t>A 42837-2019</t>
        </is>
      </c>
      <c r="B135" s="1" t="n">
        <v>43699</v>
      </c>
      <c r="C135" s="1" t="n">
        <v>45574</v>
      </c>
      <c r="D135" t="inlineStr">
        <is>
          <t>VÄRMLANDS LÄN</t>
        </is>
      </c>
      <c r="E135" t="inlineStr">
        <is>
          <t>ÅRJÄNG</t>
        </is>
      </c>
      <c r="G135" t="n">
        <v>3</v>
      </c>
      <c r="H135" t="n">
        <v>0</v>
      </c>
      <c r="I135" t="n">
        <v>0</v>
      </c>
      <c r="J135" t="n">
        <v>0</v>
      </c>
      <c r="K135" t="n">
        <v>0</v>
      </c>
      <c r="L135" t="n">
        <v>0</v>
      </c>
      <c r="M135" t="n">
        <v>0</v>
      </c>
      <c r="N135" t="n">
        <v>0</v>
      </c>
      <c r="O135" t="n">
        <v>0</v>
      </c>
      <c r="P135" t="n">
        <v>0</v>
      </c>
      <c r="Q135" t="n">
        <v>0</v>
      </c>
      <c r="R135" s="2" t="inlineStr"/>
    </row>
    <row r="136" ht="15" customHeight="1">
      <c r="A136" t="inlineStr">
        <is>
          <t>A 41989-2019</t>
        </is>
      </c>
      <c r="B136" s="1" t="n">
        <v>43700</v>
      </c>
      <c r="C136" s="1" t="n">
        <v>45574</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41996-2019</t>
        </is>
      </c>
      <c r="B137" s="1" t="n">
        <v>43700</v>
      </c>
      <c r="C137" s="1" t="n">
        <v>45574</v>
      </c>
      <c r="D137" t="inlineStr">
        <is>
          <t>VÄRMLANDS LÄN</t>
        </is>
      </c>
      <c r="E137" t="inlineStr">
        <is>
          <t>ÅRJÄNG</t>
        </is>
      </c>
      <c r="G137" t="n">
        <v>4</v>
      </c>
      <c r="H137" t="n">
        <v>0</v>
      </c>
      <c r="I137" t="n">
        <v>0</v>
      </c>
      <c r="J137" t="n">
        <v>0</v>
      </c>
      <c r="K137" t="n">
        <v>0</v>
      </c>
      <c r="L137" t="n">
        <v>0</v>
      </c>
      <c r="M137" t="n">
        <v>0</v>
      </c>
      <c r="N137" t="n">
        <v>0</v>
      </c>
      <c r="O137" t="n">
        <v>0</v>
      </c>
      <c r="P137" t="n">
        <v>0</v>
      </c>
      <c r="Q137" t="n">
        <v>0</v>
      </c>
      <c r="R137" s="2" t="inlineStr"/>
    </row>
    <row r="138" ht="15" customHeight="1">
      <c r="A138" t="inlineStr">
        <is>
          <t>A 42853-2019</t>
        </is>
      </c>
      <c r="B138" s="1" t="n">
        <v>43700</v>
      </c>
      <c r="C138" s="1" t="n">
        <v>45574</v>
      </c>
      <c r="D138" t="inlineStr">
        <is>
          <t>VÄRMLANDS LÄN</t>
        </is>
      </c>
      <c r="E138" t="inlineStr">
        <is>
          <t>ÅRJÄNG</t>
        </is>
      </c>
      <c r="G138" t="n">
        <v>2.1</v>
      </c>
      <c r="H138" t="n">
        <v>0</v>
      </c>
      <c r="I138" t="n">
        <v>0</v>
      </c>
      <c r="J138" t="n">
        <v>0</v>
      </c>
      <c r="K138" t="n">
        <v>0</v>
      </c>
      <c r="L138" t="n">
        <v>0</v>
      </c>
      <c r="M138" t="n">
        <v>0</v>
      </c>
      <c r="N138" t="n">
        <v>0</v>
      </c>
      <c r="O138" t="n">
        <v>0</v>
      </c>
      <c r="P138" t="n">
        <v>0</v>
      </c>
      <c r="Q138" t="n">
        <v>0</v>
      </c>
      <c r="R138" s="2" t="inlineStr"/>
    </row>
    <row r="139" ht="15" customHeight="1">
      <c r="A139" t="inlineStr">
        <is>
          <t>A 42284-2019</t>
        </is>
      </c>
      <c r="B139" s="1" t="n">
        <v>43703</v>
      </c>
      <c r="C139" s="1" t="n">
        <v>45574</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43137-2019</t>
        </is>
      </c>
      <c r="B140" s="1" t="n">
        <v>43703</v>
      </c>
      <c r="C140" s="1" t="n">
        <v>45574</v>
      </c>
      <c r="D140" t="inlineStr">
        <is>
          <t>VÄRMLANDS LÄN</t>
        </is>
      </c>
      <c r="E140" t="inlineStr">
        <is>
          <t>ÅRJÄNG</t>
        </is>
      </c>
      <c r="G140" t="n">
        <v>2</v>
      </c>
      <c r="H140" t="n">
        <v>0</v>
      </c>
      <c r="I140" t="n">
        <v>0</v>
      </c>
      <c r="J140" t="n">
        <v>0</v>
      </c>
      <c r="K140" t="n">
        <v>0</v>
      </c>
      <c r="L140" t="n">
        <v>0</v>
      </c>
      <c r="M140" t="n">
        <v>0</v>
      </c>
      <c r="N140" t="n">
        <v>0</v>
      </c>
      <c r="O140" t="n">
        <v>0</v>
      </c>
      <c r="P140" t="n">
        <v>0</v>
      </c>
      <c r="Q140" t="n">
        <v>0</v>
      </c>
      <c r="R140" s="2" t="inlineStr"/>
    </row>
    <row r="141" ht="15" customHeight="1">
      <c r="A141" t="inlineStr">
        <is>
          <t>A 43141-2019</t>
        </is>
      </c>
      <c r="B141" s="1" t="n">
        <v>43703</v>
      </c>
      <c r="C141" s="1" t="n">
        <v>45574</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42904-2019</t>
        </is>
      </c>
      <c r="B142" s="1" t="n">
        <v>43705</v>
      </c>
      <c r="C142" s="1" t="n">
        <v>45574</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44380-2019</t>
        </is>
      </c>
      <c r="B143" s="1" t="n">
        <v>43705</v>
      </c>
      <c r="C143" s="1" t="n">
        <v>45574</v>
      </c>
      <c r="D143" t="inlineStr">
        <is>
          <t>VÄRMLANDS LÄN</t>
        </is>
      </c>
      <c r="E143" t="inlineStr">
        <is>
          <t>ÅRJÄNG</t>
        </is>
      </c>
      <c r="G143" t="n">
        <v>3.4</v>
      </c>
      <c r="H143" t="n">
        <v>0</v>
      </c>
      <c r="I143" t="n">
        <v>0</v>
      </c>
      <c r="J143" t="n">
        <v>0</v>
      </c>
      <c r="K143" t="n">
        <v>0</v>
      </c>
      <c r="L143" t="n">
        <v>0</v>
      </c>
      <c r="M143" t="n">
        <v>0</v>
      </c>
      <c r="N143" t="n">
        <v>0</v>
      </c>
      <c r="O143" t="n">
        <v>0</v>
      </c>
      <c r="P143" t="n">
        <v>0</v>
      </c>
      <c r="Q143" t="n">
        <v>0</v>
      </c>
      <c r="R143" s="2" t="inlineStr"/>
    </row>
    <row r="144" ht="15" customHeight="1">
      <c r="A144" t="inlineStr">
        <is>
          <t>A 44375-2019</t>
        </is>
      </c>
      <c r="B144" s="1" t="n">
        <v>43705</v>
      </c>
      <c r="C144" s="1" t="n">
        <v>45574</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44367-2019</t>
        </is>
      </c>
      <c r="B145" s="1" t="n">
        <v>43705</v>
      </c>
      <c r="C145" s="1" t="n">
        <v>45574</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43927-2019</t>
        </is>
      </c>
      <c r="B146" s="1" t="n">
        <v>43707</v>
      </c>
      <c r="C146" s="1" t="n">
        <v>45574</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43910-2019</t>
        </is>
      </c>
      <c r="B147" s="1" t="n">
        <v>43707</v>
      </c>
      <c r="C147" s="1" t="n">
        <v>45574</v>
      </c>
      <c r="D147" t="inlineStr">
        <is>
          <t>VÄRMLANDS LÄN</t>
        </is>
      </c>
      <c r="E147" t="inlineStr">
        <is>
          <t>ÅRJÄNG</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43643-2019</t>
        </is>
      </c>
      <c r="B148" s="1" t="n">
        <v>43707</v>
      </c>
      <c r="C148" s="1" t="n">
        <v>45574</v>
      </c>
      <c r="D148" t="inlineStr">
        <is>
          <t>VÄRMLANDS LÄN</t>
        </is>
      </c>
      <c r="E148" t="inlineStr">
        <is>
          <t>ÅRJÄNG</t>
        </is>
      </c>
      <c r="G148" t="n">
        <v>3.4</v>
      </c>
      <c r="H148" t="n">
        <v>0</v>
      </c>
      <c r="I148" t="n">
        <v>0</v>
      </c>
      <c r="J148" t="n">
        <v>0</v>
      </c>
      <c r="K148" t="n">
        <v>0</v>
      </c>
      <c r="L148" t="n">
        <v>0</v>
      </c>
      <c r="M148" t="n">
        <v>0</v>
      </c>
      <c r="N148" t="n">
        <v>0</v>
      </c>
      <c r="O148" t="n">
        <v>0</v>
      </c>
      <c r="P148" t="n">
        <v>0</v>
      </c>
      <c r="Q148" t="n">
        <v>0</v>
      </c>
      <c r="R148" s="2" t="inlineStr"/>
    </row>
    <row r="149" ht="15" customHeight="1">
      <c r="A149" t="inlineStr">
        <is>
          <t>A 44069-2019</t>
        </is>
      </c>
      <c r="B149" s="1" t="n">
        <v>43710</v>
      </c>
      <c r="C149" s="1" t="n">
        <v>45574</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44594-2019</t>
        </is>
      </c>
      <c r="B150" s="1" t="n">
        <v>43711</v>
      </c>
      <c r="C150" s="1" t="n">
        <v>45574</v>
      </c>
      <c r="D150" t="inlineStr">
        <is>
          <t>VÄRMLANDS LÄN</t>
        </is>
      </c>
      <c r="E150" t="inlineStr">
        <is>
          <t>ÅRJÄNG</t>
        </is>
      </c>
      <c r="G150" t="n">
        <v>1.9</v>
      </c>
      <c r="H150" t="n">
        <v>0</v>
      </c>
      <c r="I150" t="n">
        <v>0</v>
      </c>
      <c r="J150" t="n">
        <v>0</v>
      </c>
      <c r="K150" t="n">
        <v>0</v>
      </c>
      <c r="L150" t="n">
        <v>0</v>
      </c>
      <c r="M150" t="n">
        <v>0</v>
      </c>
      <c r="N150" t="n">
        <v>0</v>
      </c>
      <c r="O150" t="n">
        <v>0</v>
      </c>
      <c r="P150" t="n">
        <v>0</v>
      </c>
      <c r="Q150" t="n">
        <v>0</v>
      </c>
      <c r="R150" s="2" t="inlineStr"/>
    </row>
    <row r="151" ht="15" customHeight="1">
      <c r="A151" t="inlineStr">
        <is>
          <t>A 46799-2019</t>
        </is>
      </c>
      <c r="B151" s="1" t="n">
        <v>43718</v>
      </c>
      <c r="C151" s="1" t="n">
        <v>45574</v>
      </c>
      <c r="D151" t="inlineStr">
        <is>
          <t>VÄRMLANDS LÄN</t>
        </is>
      </c>
      <c r="E151" t="inlineStr">
        <is>
          <t>ÅRJÄNG</t>
        </is>
      </c>
      <c r="F151" t="inlineStr">
        <is>
          <t>Övriga Aktiebolag</t>
        </is>
      </c>
      <c r="G151" t="n">
        <v>2.5</v>
      </c>
      <c r="H151" t="n">
        <v>0</v>
      </c>
      <c r="I151" t="n">
        <v>0</v>
      </c>
      <c r="J151" t="n">
        <v>0</v>
      </c>
      <c r="K151" t="n">
        <v>0</v>
      </c>
      <c r="L151" t="n">
        <v>0</v>
      </c>
      <c r="M151" t="n">
        <v>0</v>
      </c>
      <c r="N151" t="n">
        <v>0</v>
      </c>
      <c r="O151" t="n">
        <v>0</v>
      </c>
      <c r="P151" t="n">
        <v>0</v>
      </c>
      <c r="Q151" t="n">
        <v>0</v>
      </c>
      <c r="R151" s="2" t="inlineStr"/>
    </row>
    <row r="152" ht="15" customHeight="1">
      <c r="A152" t="inlineStr">
        <is>
          <t>A 47272-2019</t>
        </is>
      </c>
      <c r="B152" s="1" t="n">
        <v>43721</v>
      </c>
      <c r="C152" s="1" t="n">
        <v>45574</v>
      </c>
      <c r="D152" t="inlineStr">
        <is>
          <t>VÄRMLANDS LÄN</t>
        </is>
      </c>
      <c r="E152" t="inlineStr">
        <is>
          <t>ÅRJÄNG</t>
        </is>
      </c>
      <c r="G152" t="n">
        <v>2.4</v>
      </c>
      <c r="H152" t="n">
        <v>0</v>
      </c>
      <c r="I152" t="n">
        <v>0</v>
      </c>
      <c r="J152" t="n">
        <v>0</v>
      </c>
      <c r="K152" t="n">
        <v>0</v>
      </c>
      <c r="L152" t="n">
        <v>0</v>
      </c>
      <c r="M152" t="n">
        <v>0</v>
      </c>
      <c r="N152" t="n">
        <v>0</v>
      </c>
      <c r="O152" t="n">
        <v>0</v>
      </c>
      <c r="P152" t="n">
        <v>0</v>
      </c>
      <c r="Q152" t="n">
        <v>0</v>
      </c>
      <c r="R152" s="2" t="inlineStr"/>
    </row>
    <row r="153" ht="15" customHeight="1">
      <c r="A153" t="inlineStr">
        <is>
          <t>A 47147-2019</t>
        </is>
      </c>
      <c r="B153" s="1" t="n">
        <v>43721</v>
      </c>
      <c r="C153" s="1" t="n">
        <v>45574</v>
      </c>
      <c r="D153" t="inlineStr">
        <is>
          <t>VÄRMLANDS LÄN</t>
        </is>
      </c>
      <c r="E153" t="inlineStr">
        <is>
          <t>ÅRJÄNG</t>
        </is>
      </c>
      <c r="G153" t="n">
        <v>0.3</v>
      </c>
      <c r="H153" t="n">
        <v>0</v>
      </c>
      <c r="I153" t="n">
        <v>0</v>
      </c>
      <c r="J153" t="n">
        <v>0</v>
      </c>
      <c r="K153" t="n">
        <v>0</v>
      </c>
      <c r="L153" t="n">
        <v>0</v>
      </c>
      <c r="M153" t="n">
        <v>0</v>
      </c>
      <c r="N153" t="n">
        <v>0</v>
      </c>
      <c r="O153" t="n">
        <v>0</v>
      </c>
      <c r="P153" t="n">
        <v>0</v>
      </c>
      <c r="Q153" t="n">
        <v>0</v>
      </c>
      <c r="R153" s="2" t="inlineStr"/>
    </row>
    <row r="154" ht="15" customHeight="1">
      <c r="A154" t="inlineStr">
        <is>
          <t>A 47620-2019</t>
        </is>
      </c>
      <c r="B154" s="1" t="n">
        <v>43724</v>
      </c>
      <c r="C154" s="1" t="n">
        <v>45574</v>
      </c>
      <c r="D154" t="inlineStr">
        <is>
          <t>VÄRMLANDS LÄN</t>
        </is>
      </c>
      <c r="E154" t="inlineStr">
        <is>
          <t>ÅRJÄNG</t>
        </is>
      </c>
      <c r="F154" t="inlineStr">
        <is>
          <t>Kyrkan</t>
        </is>
      </c>
      <c r="G154" t="n">
        <v>3.5</v>
      </c>
      <c r="H154" t="n">
        <v>0</v>
      </c>
      <c r="I154" t="n">
        <v>0</v>
      </c>
      <c r="J154" t="n">
        <v>0</v>
      </c>
      <c r="K154" t="n">
        <v>0</v>
      </c>
      <c r="L154" t="n">
        <v>0</v>
      </c>
      <c r="M154" t="n">
        <v>0</v>
      </c>
      <c r="N154" t="n">
        <v>0</v>
      </c>
      <c r="O154" t="n">
        <v>0</v>
      </c>
      <c r="P154" t="n">
        <v>0</v>
      </c>
      <c r="Q154" t="n">
        <v>0</v>
      </c>
      <c r="R154" s="2" t="inlineStr"/>
    </row>
    <row r="155" ht="15" customHeight="1">
      <c r="A155" t="inlineStr">
        <is>
          <t>A 49041-2019</t>
        </is>
      </c>
      <c r="B155" s="1" t="n">
        <v>43727</v>
      </c>
      <c r="C155" s="1" t="n">
        <v>45574</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48844-2019</t>
        </is>
      </c>
      <c r="B156" s="1" t="n">
        <v>43727</v>
      </c>
      <c r="C156" s="1" t="n">
        <v>45574</v>
      </c>
      <c r="D156" t="inlineStr">
        <is>
          <t>VÄRMLANDS LÄN</t>
        </is>
      </c>
      <c r="E156" t="inlineStr">
        <is>
          <t>ÅRJÄNG</t>
        </is>
      </c>
      <c r="G156" t="n">
        <v>2.7</v>
      </c>
      <c r="H156" t="n">
        <v>0</v>
      </c>
      <c r="I156" t="n">
        <v>0</v>
      </c>
      <c r="J156" t="n">
        <v>0</v>
      </c>
      <c r="K156" t="n">
        <v>0</v>
      </c>
      <c r="L156" t="n">
        <v>0</v>
      </c>
      <c r="M156" t="n">
        <v>0</v>
      </c>
      <c r="N156" t="n">
        <v>0</v>
      </c>
      <c r="O156" t="n">
        <v>0</v>
      </c>
      <c r="P156" t="n">
        <v>0</v>
      </c>
      <c r="Q156" t="n">
        <v>0</v>
      </c>
      <c r="R156" s="2" t="inlineStr"/>
    </row>
    <row r="157" ht="15" customHeight="1">
      <c r="A157" t="inlineStr">
        <is>
          <t>A 48857-2019</t>
        </is>
      </c>
      <c r="B157" s="1" t="n">
        <v>43727</v>
      </c>
      <c r="C157" s="1" t="n">
        <v>45574</v>
      </c>
      <c r="D157" t="inlineStr">
        <is>
          <t>VÄRMLANDS LÄN</t>
        </is>
      </c>
      <c r="E157" t="inlineStr">
        <is>
          <t>ÅRJÄNG</t>
        </is>
      </c>
      <c r="G157" t="n">
        <v>5.1</v>
      </c>
      <c r="H157" t="n">
        <v>0</v>
      </c>
      <c r="I157" t="n">
        <v>0</v>
      </c>
      <c r="J157" t="n">
        <v>0</v>
      </c>
      <c r="K157" t="n">
        <v>0</v>
      </c>
      <c r="L157" t="n">
        <v>0</v>
      </c>
      <c r="M157" t="n">
        <v>0</v>
      </c>
      <c r="N157" t="n">
        <v>0</v>
      </c>
      <c r="O157" t="n">
        <v>0</v>
      </c>
      <c r="P157" t="n">
        <v>0</v>
      </c>
      <c r="Q157" t="n">
        <v>0</v>
      </c>
      <c r="R157" s="2" t="inlineStr"/>
    </row>
    <row r="158" ht="15" customHeight="1">
      <c r="A158" t="inlineStr">
        <is>
          <t>A 48925-2019</t>
        </is>
      </c>
      <c r="B158" s="1" t="n">
        <v>43728</v>
      </c>
      <c r="C158" s="1" t="n">
        <v>45574</v>
      </c>
      <c r="D158" t="inlineStr">
        <is>
          <t>VÄRMLANDS LÄN</t>
        </is>
      </c>
      <c r="E158" t="inlineStr">
        <is>
          <t>ÅRJÄNG</t>
        </is>
      </c>
      <c r="G158" t="n">
        <v>6.8</v>
      </c>
      <c r="H158" t="n">
        <v>0</v>
      </c>
      <c r="I158" t="n">
        <v>0</v>
      </c>
      <c r="J158" t="n">
        <v>0</v>
      </c>
      <c r="K158" t="n">
        <v>0</v>
      </c>
      <c r="L158" t="n">
        <v>0</v>
      </c>
      <c r="M158" t="n">
        <v>0</v>
      </c>
      <c r="N158" t="n">
        <v>0</v>
      </c>
      <c r="O158" t="n">
        <v>0</v>
      </c>
      <c r="P158" t="n">
        <v>0</v>
      </c>
      <c r="Q158" t="n">
        <v>0</v>
      </c>
      <c r="R158" s="2" t="inlineStr"/>
    </row>
    <row r="159" ht="15" customHeight="1">
      <c r="A159" t="inlineStr">
        <is>
          <t>A 49577-2019</t>
        </is>
      </c>
      <c r="B159" s="1" t="n">
        <v>43730</v>
      </c>
      <c r="C159" s="1" t="n">
        <v>45574</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50482-2019</t>
        </is>
      </c>
      <c r="B160" s="1" t="n">
        <v>43731</v>
      </c>
      <c r="C160" s="1" t="n">
        <v>45574</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49650-2019</t>
        </is>
      </c>
      <c r="B161" s="1" t="n">
        <v>43732</v>
      </c>
      <c r="C161" s="1" t="n">
        <v>45574</v>
      </c>
      <c r="D161" t="inlineStr">
        <is>
          <t>VÄRMLANDS LÄN</t>
        </is>
      </c>
      <c r="E161" t="inlineStr">
        <is>
          <t>ÅRJÄNG</t>
        </is>
      </c>
      <c r="G161" t="n">
        <v>7.5</v>
      </c>
      <c r="H161" t="n">
        <v>0</v>
      </c>
      <c r="I161" t="n">
        <v>0</v>
      </c>
      <c r="J161" t="n">
        <v>0</v>
      </c>
      <c r="K161" t="n">
        <v>0</v>
      </c>
      <c r="L161" t="n">
        <v>0</v>
      </c>
      <c r="M161" t="n">
        <v>0</v>
      </c>
      <c r="N161" t="n">
        <v>0</v>
      </c>
      <c r="O161" t="n">
        <v>0</v>
      </c>
      <c r="P161" t="n">
        <v>0</v>
      </c>
      <c r="Q161" t="n">
        <v>0</v>
      </c>
      <c r="R161" s="2" t="inlineStr"/>
    </row>
    <row r="162" ht="15" customHeight="1">
      <c r="A162" t="inlineStr">
        <is>
          <t>A 50057-2019</t>
        </is>
      </c>
      <c r="B162" s="1" t="n">
        <v>43734</v>
      </c>
      <c r="C162" s="1" t="n">
        <v>45574</v>
      </c>
      <c r="D162" t="inlineStr">
        <is>
          <t>VÄRMLANDS LÄN</t>
        </is>
      </c>
      <c r="E162" t="inlineStr">
        <is>
          <t>ÅRJÄNG</t>
        </is>
      </c>
      <c r="G162" t="n">
        <v>0.7</v>
      </c>
      <c r="H162" t="n">
        <v>0</v>
      </c>
      <c r="I162" t="n">
        <v>0</v>
      </c>
      <c r="J162" t="n">
        <v>0</v>
      </c>
      <c r="K162" t="n">
        <v>0</v>
      </c>
      <c r="L162" t="n">
        <v>0</v>
      </c>
      <c r="M162" t="n">
        <v>0</v>
      </c>
      <c r="N162" t="n">
        <v>0</v>
      </c>
      <c r="O162" t="n">
        <v>0</v>
      </c>
      <c r="P162" t="n">
        <v>0</v>
      </c>
      <c r="Q162" t="n">
        <v>0</v>
      </c>
      <c r="R162" s="2" t="inlineStr"/>
    </row>
    <row r="163" ht="15" customHeight="1">
      <c r="A163" t="inlineStr">
        <is>
          <t>A 51725-2019</t>
        </is>
      </c>
      <c r="B163" s="1" t="n">
        <v>43734</v>
      </c>
      <c r="C163" s="1" t="n">
        <v>45574</v>
      </c>
      <c r="D163" t="inlineStr">
        <is>
          <t>VÄRMLANDS LÄN</t>
        </is>
      </c>
      <c r="E163" t="inlineStr">
        <is>
          <t>ÅRJÄNG</t>
        </is>
      </c>
      <c r="G163" t="n">
        <v>8.4</v>
      </c>
      <c r="H163" t="n">
        <v>0</v>
      </c>
      <c r="I163" t="n">
        <v>0</v>
      </c>
      <c r="J163" t="n">
        <v>0</v>
      </c>
      <c r="K163" t="n">
        <v>0</v>
      </c>
      <c r="L163" t="n">
        <v>0</v>
      </c>
      <c r="M163" t="n">
        <v>0</v>
      </c>
      <c r="N163" t="n">
        <v>0</v>
      </c>
      <c r="O163" t="n">
        <v>0</v>
      </c>
      <c r="P163" t="n">
        <v>0</v>
      </c>
      <c r="Q163" t="n">
        <v>0</v>
      </c>
      <c r="R163" s="2" t="inlineStr"/>
    </row>
    <row r="164" ht="15" customHeight="1">
      <c r="A164" t="inlineStr">
        <is>
          <t>A 51613-2019</t>
        </is>
      </c>
      <c r="B164" s="1" t="n">
        <v>43740</v>
      </c>
      <c r="C164" s="1" t="n">
        <v>45574</v>
      </c>
      <c r="D164" t="inlineStr">
        <is>
          <t>VÄRMLANDS LÄN</t>
        </is>
      </c>
      <c r="E164" t="inlineStr">
        <is>
          <t>ÅRJÄNG</t>
        </is>
      </c>
      <c r="G164" t="n">
        <v>2</v>
      </c>
      <c r="H164" t="n">
        <v>0</v>
      </c>
      <c r="I164" t="n">
        <v>0</v>
      </c>
      <c r="J164" t="n">
        <v>0</v>
      </c>
      <c r="K164" t="n">
        <v>0</v>
      </c>
      <c r="L164" t="n">
        <v>0</v>
      </c>
      <c r="M164" t="n">
        <v>0</v>
      </c>
      <c r="N164" t="n">
        <v>0</v>
      </c>
      <c r="O164" t="n">
        <v>0</v>
      </c>
      <c r="P164" t="n">
        <v>0</v>
      </c>
      <c r="Q164" t="n">
        <v>0</v>
      </c>
      <c r="R164" s="2" t="inlineStr"/>
    </row>
    <row r="165" ht="15" customHeight="1">
      <c r="A165" t="inlineStr">
        <is>
          <t>A 51609-2019</t>
        </is>
      </c>
      <c r="B165" s="1" t="n">
        <v>43740</v>
      </c>
      <c r="C165" s="1" t="n">
        <v>45574</v>
      </c>
      <c r="D165" t="inlineStr">
        <is>
          <t>VÄRMLANDS LÄN</t>
        </is>
      </c>
      <c r="E165" t="inlineStr">
        <is>
          <t>ÅRJÄNG</t>
        </is>
      </c>
      <c r="G165" t="n">
        <v>3.9</v>
      </c>
      <c r="H165" t="n">
        <v>0</v>
      </c>
      <c r="I165" t="n">
        <v>0</v>
      </c>
      <c r="J165" t="n">
        <v>0</v>
      </c>
      <c r="K165" t="n">
        <v>0</v>
      </c>
      <c r="L165" t="n">
        <v>0</v>
      </c>
      <c r="M165" t="n">
        <v>0</v>
      </c>
      <c r="N165" t="n">
        <v>0</v>
      </c>
      <c r="O165" t="n">
        <v>0</v>
      </c>
      <c r="P165" t="n">
        <v>0</v>
      </c>
      <c r="Q165" t="n">
        <v>0</v>
      </c>
      <c r="R165" s="2" t="inlineStr"/>
    </row>
    <row r="166" ht="15" customHeight="1">
      <c r="A166" t="inlineStr">
        <is>
          <t>A 51633-2019</t>
        </is>
      </c>
      <c r="B166" s="1" t="n">
        <v>43740</v>
      </c>
      <c r="C166" s="1" t="n">
        <v>45574</v>
      </c>
      <c r="D166" t="inlineStr">
        <is>
          <t>VÄRMLANDS LÄN</t>
        </is>
      </c>
      <c r="E166" t="inlineStr">
        <is>
          <t>ÅRJÄNG</t>
        </is>
      </c>
      <c r="G166" t="n">
        <v>1.7</v>
      </c>
      <c r="H166" t="n">
        <v>0</v>
      </c>
      <c r="I166" t="n">
        <v>0</v>
      </c>
      <c r="J166" t="n">
        <v>0</v>
      </c>
      <c r="K166" t="n">
        <v>0</v>
      </c>
      <c r="L166" t="n">
        <v>0</v>
      </c>
      <c r="M166" t="n">
        <v>0</v>
      </c>
      <c r="N166" t="n">
        <v>0</v>
      </c>
      <c r="O166" t="n">
        <v>0</v>
      </c>
      <c r="P166" t="n">
        <v>0</v>
      </c>
      <c r="Q166" t="n">
        <v>0</v>
      </c>
      <c r="R166" s="2" t="inlineStr"/>
    </row>
    <row r="167" ht="15" customHeight="1">
      <c r="A167" t="inlineStr">
        <is>
          <t>A 53599-2019</t>
        </is>
      </c>
      <c r="B167" s="1" t="n">
        <v>43741</v>
      </c>
      <c r="C167" s="1" t="n">
        <v>45574</v>
      </c>
      <c r="D167" t="inlineStr">
        <is>
          <t>VÄRMLANDS LÄN</t>
        </is>
      </c>
      <c r="E167" t="inlineStr">
        <is>
          <t>ÅRJÄNG</t>
        </is>
      </c>
      <c r="G167" t="n">
        <v>13</v>
      </c>
      <c r="H167" t="n">
        <v>0</v>
      </c>
      <c r="I167" t="n">
        <v>0</v>
      </c>
      <c r="J167" t="n">
        <v>0</v>
      </c>
      <c r="K167" t="n">
        <v>0</v>
      </c>
      <c r="L167" t="n">
        <v>0</v>
      </c>
      <c r="M167" t="n">
        <v>0</v>
      </c>
      <c r="N167" t="n">
        <v>0</v>
      </c>
      <c r="O167" t="n">
        <v>0</v>
      </c>
      <c r="P167" t="n">
        <v>0</v>
      </c>
      <c r="Q167" t="n">
        <v>0</v>
      </c>
      <c r="R167" s="2" t="inlineStr"/>
    </row>
    <row r="168" ht="15" customHeight="1">
      <c r="A168" t="inlineStr">
        <is>
          <t>A 54015-2019</t>
        </is>
      </c>
      <c r="B168" s="1" t="n">
        <v>43742</v>
      </c>
      <c r="C168" s="1" t="n">
        <v>45574</v>
      </c>
      <c r="D168" t="inlineStr">
        <is>
          <t>VÄRMLANDS LÄN</t>
        </is>
      </c>
      <c r="E168" t="inlineStr">
        <is>
          <t>ÅRJÄNG</t>
        </is>
      </c>
      <c r="G168" t="n">
        <v>1.7</v>
      </c>
      <c r="H168" t="n">
        <v>0</v>
      </c>
      <c r="I168" t="n">
        <v>0</v>
      </c>
      <c r="J168" t="n">
        <v>0</v>
      </c>
      <c r="K168" t="n">
        <v>0</v>
      </c>
      <c r="L168" t="n">
        <v>0</v>
      </c>
      <c r="M168" t="n">
        <v>0</v>
      </c>
      <c r="N168" t="n">
        <v>0</v>
      </c>
      <c r="O168" t="n">
        <v>0</v>
      </c>
      <c r="P168" t="n">
        <v>0</v>
      </c>
      <c r="Q168" t="n">
        <v>0</v>
      </c>
      <c r="R168" s="2" t="inlineStr"/>
    </row>
    <row r="169" ht="15" customHeight="1">
      <c r="A169" t="inlineStr">
        <is>
          <t>A 54599-2019</t>
        </is>
      </c>
      <c r="B169" s="1" t="n">
        <v>43748</v>
      </c>
      <c r="C169" s="1" t="n">
        <v>45574</v>
      </c>
      <c r="D169" t="inlineStr">
        <is>
          <t>VÄRMLANDS LÄN</t>
        </is>
      </c>
      <c r="E169" t="inlineStr">
        <is>
          <t>ÅRJÄNG</t>
        </is>
      </c>
      <c r="G169" t="n">
        <v>1.5</v>
      </c>
      <c r="H169" t="n">
        <v>0</v>
      </c>
      <c r="I169" t="n">
        <v>0</v>
      </c>
      <c r="J169" t="n">
        <v>0</v>
      </c>
      <c r="K169" t="n">
        <v>0</v>
      </c>
      <c r="L169" t="n">
        <v>0</v>
      </c>
      <c r="M169" t="n">
        <v>0</v>
      </c>
      <c r="N169" t="n">
        <v>0</v>
      </c>
      <c r="O169" t="n">
        <v>0</v>
      </c>
      <c r="P169" t="n">
        <v>0</v>
      </c>
      <c r="Q169" t="n">
        <v>0</v>
      </c>
      <c r="R169" s="2" t="inlineStr"/>
    </row>
    <row r="170" ht="15" customHeight="1">
      <c r="A170" t="inlineStr">
        <is>
          <t>A 53651-2019</t>
        </is>
      </c>
      <c r="B170" s="1" t="n">
        <v>43749</v>
      </c>
      <c r="C170" s="1" t="n">
        <v>45574</v>
      </c>
      <c r="D170" t="inlineStr">
        <is>
          <t>VÄRMLANDS LÄN</t>
        </is>
      </c>
      <c r="E170" t="inlineStr">
        <is>
          <t>ÅRJÄNG</t>
        </is>
      </c>
      <c r="G170" t="n">
        <v>1.1</v>
      </c>
      <c r="H170" t="n">
        <v>0</v>
      </c>
      <c r="I170" t="n">
        <v>0</v>
      </c>
      <c r="J170" t="n">
        <v>0</v>
      </c>
      <c r="K170" t="n">
        <v>0</v>
      </c>
      <c r="L170" t="n">
        <v>0</v>
      </c>
      <c r="M170" t="n">
        <v>0</v>
      </c>
      <c r="N170" t="n">
        <v>0</v>
      </c>
      <c r="O170" t="n">
        <v>0</v>
      </c>
      <c r="P170" t="n">
        <v>0</v>
      </c>
      <c r="Q170" t="n">
        <v>0</v>
      </c>
      <c r="R170" s="2" t="inlineStr"/>
    </row>
    <row r="171" ht="15" customHeight="1">
      <c r="A171" t="inlineStr">
        <is>
          <t>A 56060-2019</t>
        </is>
      </c>
      <c r="B171" s="1" t="n">
        <v>43759</v>
      </c>
      <c r="C171" s="1" t="n">
        <v>45574</v>
      </c>
      <c r="D171" t="inlineStr">
        <is>
          <t>VÄRMLANDS LÄN</t>
        </is>
      </c>
      <c r="E171" t="inlineStr">
        <is>
          <t>ÅRJÄNG</t>
        </is>
      </c>
      <c r="F171" t="inlineStr">
        <is>
          <t>Bergvik skog väst AB</t>
        </is>
      </c>
      <c r="G171" t="n">
        <v>10.2</v>
      </c>
      <c r="H171" t="n">
        <v>0</v>
      </c>
      <c r="I171" t="n">
        <v>0</v>
      </c>
      <c r="J171" t="n">
        <v>0</v>
      </c>
      <c r="K171" t="n">
        <v>0</v>
      </c>
      <c r="L171" t="n">
        <v>0</v>
      </c>
      <c r="M171" t="n">
        <v>0</v>
      </c>
      <c r="N171" t="n">
        <v>0</v>
      </c>
      <c r="O171" t="n">
        <v>0</v>
      </c>
      <c r="P171" t="n">
        <v>0</v>
      </c>
      <c r="Q171" t="n">
        <v>0</v>
      </c>
      <c r="R171" s="2" t="inlineStr"/>
    </row>
    <row r="172" ht="15" customHeight="1">
      <c r="A172" t="inlineStr">
        <is>
          <t>A 56331-2019</t>
        </is>
      </c>
      <c r="B172" s="1" t="n">
        <v>43762</v>
      </c>
      <c r="C172" s="1" t="n">
        <v>45574</v>
      </c>
      <c r="D172" t="inlineStr">
        <is>
          <t>VÄRMLANDS LÄN</t>
        </is>
      </c>
      <c r="E172" t="inlineStr">
        <is>
          <t>ÅRJÄNG</t>
        </is>
      </c>
      <c r="G172" t="n">
        <v>3.1</v>
      </c>
      <c r="H172" t="n">
        <v>0</v>
      </c>
      <c r="I172" t="n">
        <v>0</v>
      </c>
      <c r="J172" t="n">
        <v>0</v>
      </c>
      <c r="K172" t="n">
        <v>0</v>
      </c>
      <c r="L172" t="n">
        <v>0</v>
      </c>
      <c r="M172" t="n">
        <v>0</v>
      </c>
      <c r="N172" t="n">
        <v>0</v>
      </c>
      <c r="O172" t="n">
        <v>0</v>
      </c>
      <c r="P172" t="n">
        <v>0</v>
      </c>
      <c r="Q172" t="n">
        <v>0</v>
      </c>
      <c r="R172" s="2" t="inlineStr"/>
    </row>
    <row r="173" ht="15" customHeight="1">
      <c r="A173" t="inlineStr">
        <is>
          <t>A 56298-2019</t>
        </is>
      </c>
      <c r="B173" s="1" t="n">
        <v>43762</v>
      </c>
      <c r="C173" s="1" t="n">
        <v>45574</v>
      </c>
      <c r="D173" t="inlineStr">
        <is>
          <t>VÄRMLANDS LÄN</t>
        </is>
      </c>
      <c r="E173" t="inlineStr">
        <is>
          <t>ÅRJÄNG</t>
        </is>
      </c>
      <c r="G173" t="n">
        <v>5.9</v>
      </c>
      <c r="H173" t="n">
        <v>0</v>
      </c>
      <c r="I173" t="n">
        <v>0</v>
      </c>
      <c r="J173" t="n">
        <v>0</v>
      </c>
      <c r="K173" t="n">
        <v>0</v>
      </c>
      <c r="L173" t="n">
        <v>0</v>
      </c>
      <c r="M173" t="n">
        <v>0</v>
      </c>
      <c r="N173" t="n">
        <v>0</v>
      </c>
      <c r="O173" t="n">
        <v>0</v>
      </c>
      <c r="P173" t="n">
        <v>0</v>
      </c>
      <c r="Q173" t="n">
        <v>0</v>
      </c>
      <c r="R173" s="2" t="inlineStr"/>
    </row>
    <row r="174" ht="15" customHeight="1">
      <c r="A174" t="inlineStr">
        <is>
          <t>A 56329-2019</t>
        </is>
      </c>
      <c r="B174" s="1" t="n">
        <v>43762</v>
      </c>
      <c r="C174" s="1" t="n">
        <v>45574</v>
      </c>
      <c r="D174" t="inlineStr">
        <is>
          <t>VÄRMLANDS LÄN</t>
        </is>
      </c>
      <c r="E174" t="inlineStr">
        <is>
          <t>ÅRJÄNG</t>
        </is>
      </c>
      <c r="G174" t="n">
        <v>2.2</v>
      </c>
      <c r="H174" t="n">
        <v>0</v>
      </c>
      <c r="I174" t="n">
        <v>0</v>
      </c>
      <c r="J174" t="n">
        <v>0</v>
      </c>
      <c r="K174" t="n">
        <v>0</v>
      </c>
      <c r="L174" t="n">
        <v>0</v>
      </c>
      <c r="M174" t="n">
        <v>0</v>
      </c>
      <c r="N174" t="n">
        <v>0</v>
      </c>
      <c r="O174" t="n">
        <v>0</v>
      </c>
      <c r="P174" t="n">
        <v>0</v>
      </c>
      <c r="Q174" t="n">
        <v>0</v>
      </c>
      <c r="R174" s="2" t="inlineStr"/>
    </row>
    <row r="175" ht="15" customHeight="1">
      <c r="A175" t="inlineStr">
        <is>
          <t>A 57003-2019</t>
        </is>
      </c>
      <c r="B175" s="1" t="n">
        <v>43766</v>
      </c>
      <c r="C175" s="1" t="n">
        <v>45574</v>
      </c>
      <c r="D175" t="inlineStr">
        <is>
          <t>VÄRMLANDS LÄN</t>
        </is>
      </c>
      <c r="E175" t="inlineStr">
        <is>
          <t>ÅRJÄNG</t>
        </is>
      </c>
      <c r="G175" t="n">
        <v>2.6</v>
      </c>
      <c r="H175" t="n">
        <v>0</v>
      </c>
      <c r="I175" t="n">
        <v>0</v>
      </c>
      <c r="J175" t="n">
        <v>0</v>
      </c>
      <c r="K175" t="n">
        <v>0</v>
      </c>
      <c r="L175" t="n">
        <v>0</v>
      </c>
      <c r="M175" t="n">
        <v>0</v>
      </c>
      <c r="N175" t="n">
        <v>0</v>
      </c>
      <c r="O175" t="n">
        <v>0</v>
      </c>
      <c r="P175" t="n">
        <v>0</v>
      </c>
      <c r="Q175" t="n">
        <v>0</v>
      </c>
      <c r="R175" s="2" t="inlineStr"/>
    </row>
    <row r="176" ht="15" customHeight="1">
      <c r="A176" t="inlineStr">
        <is>
          <t>A 59037-2019</t>
        </is>
      </c>
      <c r="B176" s="1" t="n">
        <v>43768</v>
      </c>
      <c r="C176" s="1" t="n">
        <v>45574</v>
      </c>
      <c r="D176" t="inlineStr">
        <is>
          <t>VÄRMLANDS LÄN</t>
        </is>
      </c>
      <c r="E176" t="inlineStr">
        <is>
          <t>ÅRJÄNG</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57888-2019</t>
        </is>
      </c>
      <c r="B177" s="1" t="n">
        <v>43769</v>
      </c>
      <c r="C177" s="1" t="n">
        <v>45574</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58221-2019</t>
        </is>
      </c>
      <c r="B178" s="1" t="n">
        <v>43770</v>
      </c>
      <c r="C178" s="1" t="n">
        <v>45574</v>
      </c>
      <c r="D178" t="inlineStr">
        <is>
          <t>VÄRMLANDS LÄN</t>
        </is>
      </c>
      <c r="E178" t="inlineStr">
        <is>
          <t>ÅRJÄNG</t>
        </is>
      </c>
      <c r="G178" t="n">
        <v>2.3</v>
      </c>
      <c r="H178" t="n">
        <v>0</v>
      </c>
      <c r="I178" t="n">
        <v>0</v>
      </c>
      <c r="J178" t="n">
        <v>0</v>
      </c>
      <c r="K178" t="n">
        <v>0</v>
      </c>
      <c r="L178" t="n">
        <v>0</v>
      </c>
      <c r="M178" t="n">
        <v>0</v>
      </c>
      <c r="N178" t="n">
        <v>0</v>
      </c>
      <c r="O178" t="n">
        <v>0</v>
      </c>
      <c r="P178" t="n">
        <v>0</v>
      </c>
      <c r="Q178" t="n">
        <v>0</v>
      </c>
      <c r="R178" s="2" t="inlineStr"/>
    </row>
    <row r="179" ht="15" customHeight="1">
      <c r="A179" t="inlineStr">
        <is>
          <t>A 60029-2019</t>
        </is>
      </c>
      <c r="B179" s="1" t="n">
        <v>43776</v>
      </c>
      <c r="C179" s="1" t="n">
        <v>45574</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61167-2019</t>
        </is>
      </c>
      <c r="B180" s="1" t="n">
        <v>43782</v>
      </c>
      <c r="C180" s="1" t="n">
        <v>45574</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63210-2019</t>
        </is>
      </c>
      <c r="B181" s="1" t="n">
        <v>43791</v>
      </c>
      <c r="C181" s="1" t="n">
        <v>45574</v>
      </c>
      <c r="D181" t="inlineStr">
        <is>
          <t>VÄRMLANDS LÄN</t>
        </is>
      </c>
      <c r="E181" t="inlineStr">
        <is>
          <t>ÅRJÄNG</t>
        </is>
      </c>
      <c r="G181" t="n">
        <v>2.1</v>
      </c>
      <c r="H181" t="n">
        <v>0</v>
      </c>
      <c r="I181" t="n">
        <v>0</v>
      </c>
      <c r="J181" t="n">
        <v>0</v>
      </c>
      <c r="K181" t="n">
        <v>0</v>
      </c>
      <c r="L181" t="n">
        <v>0</v>
      </c>
      <c r="M181" t="n">
        <v>0</v>
      </c>
      <c r="N181" t="n">
        <v>0</v>
      </c>
      <c r="O181" t="n">
        <v>0</v>
      </c>
      <c r="P181" t="n">
        <v>0</v>
      </c>
      <c r="Q181" t="n">
        <v>0</v>
      </c>
      <c r="R181" s="2" t="inlineStr"/>
    </row>
    <row r="182" ht="15" customHeight="1">
      <c r="A182" t="inlineStr">
        <is>
          <t>A 66267-2019</t>
        </is>
      </c>
      <c r="B182" s="1" t="n">
        <v>43802</v>
      </c>
      <c r="C182" s="1" t="n">
        <v>45574</v>
      </c>
      <c r="D182" t="inlineStr">
        <is>
          <t>VÄRMLANDS LÄN</t>
        </is>
      </c>
      <c r="E182" t="inlineStr">
        <is>
          <t>ÅRJÄNG</t>
        </is>
      </c>
      <c r="G182" t="n">
        <v>2.5</v>
      </c>
      <c r="H182" t="n">
        <v>0</v>
      </c>
      <c r="I182" t="n">
        <v>0</v>
      </c>
      <c r="J182" t="n">
        <v>0</v>
      </c>
      <c r="K182" t="n">
        <v>0</v>
      </c>
      <c r="L182" t="n">
        <v>0</v>
      </c>
      <c r="M182" t="n">
        <v>0</v>
      </c>
      <c r="N182" t="n">
        <v>0</v>
      </c>
      <c r="O182" t="n">
        <v>0</v>
      </c>
      <c r="P182" t="n">
        <v>0</v>
      </c>
      <c r="Q182" t="n">
        <v>0</v>
      </c>
      <c r="R182" s="2" t="inlineStr"/>
    </row>
    <row r="183" ht="15" customHeight="1">
      <c r="A183" t="inlineStr">
        <is>
          <t>A 65609-2019</t>
        </is>
      </c>
      <c r="B183" s="1" t="n">
        <v>43804</v>
      </c>
      <c r="C183" s="1" t="n">
        <v>45574</v>
      </c>
      <c r="D183" t="inlineStr">
        <is>
          <t>VÄRMLANDS LÄN</t>
        </is>
      </c>
      <c r="E183" t="inlineStr">
        <is>
          <t>ÅRJÄNG</t>
        </is>
      </c>
      <c r="G183" t="n">
        <v>1.8</v>
      </c>
      <c r="H183" t="n">
        <v>0</v>
      </c>
      <c r="I183" t="n">
        <v>0</v>
      </c>
      <c r="J183" t="n">
        <v>0</v>
      </c>
      <c r="K183" t="n">
        <v>0</v>
      </c>
      <c r="L183" t="n">
        <v>0</v>
      </c>
      <c r="M183" t="n">
        <v>0</v>
      </c>
      <c r="N183" t="n">
        <v>0</v>
      </c>
      <c r="O183" t="n">
        <v>0</v>
      </c>
      <c r="P183" t="n">
        <v>0</v>
      </c>
      <c r="Q183" t="n">
        <v>0</v>
      </c>
      <c r="R183" s="2" t="inlineStr"/>
    </row>
    <row r="184" ht="15" customHeight="1">
      <c r="A184" t="inlineStr">
        <is>
          <t>A 68795-2019</t>
        </is>
      </c>
      <c r="B184" s="1" t="n">
        <v>43815</v>
      </c>
      <c r="C184" s="1" t="n">
        <v>45574</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68643-2019</t>
        </is>
      </c>
      <c r="B185" s="1" t="n">
        <v>43819</v>
      </c>
      <c r="C185" s="1" t="n">
        <v>45574</v>
      </c>
      <c r="D185" t="inlineStr">
        <is>
          <t>VÄRMLANDS LÄN</t>
        </is>
      </c>
      <c r="E185" t="inlineStr">
        <is>
          <t>ÅRJÄNG</t>
        </is>
      </c>
      <c r="G185" t="n">
        <v>2.8</v>
      </c>
      <c r="H185" t="n">
        <v>0</v>
      </c>
      <c r="I185" t="n">
        <v>0</v>
      </c>
      <c r="J185" t="n">
        <v>0</v>
      </c>
      <c r="K185" t="n">
        <v>0</v>
      </c>
      <c r="L185" t="n">
        <v>0</v>
      </c>
      <c r="M185" t="n">
        <v>0</v>
      </c>
      <c r="N185" t="n">
        <v>0</v>
      </c>
      <c r="O185" t="n">
        <v>0</v>
      </c>
      <c r="P185" t="n">
        <v>0</v>
      </c>
      <c r="Q185" t="n">
        <v>0</v>
      </c>
      <c r="R185" s="2" t="inlineStr"/>
    </row>
    <row r="186" ht="15" customHeight="1">
      <c r="A186" t="inlineStr">
        <is>
          <t>A 68639-2019</t>
        </is>
      </c>
      <c r="B186" s="1" t="n">
        <v>43819</v>
      </c>
      <c r="C186" s="1" t="n">
        <v>45574</v>
      </c>
      <c r="D186" t="inlineStr">
        <is>
          <t>VÄRMLANDS LÄN</t>
        </is>
      </c>
      <c r="E186" t="inlineStr">
        <is>
          <t>ÅRJÄNG</t>
        </is>
      </c>
      <c r="G186" t="n">
        <v>1.2</v>
      </c>
      <c r="H186" t="n">
        <v>0</v>
      </c>
      <c r="I186" t="n">
        <v>0</v>
      </c>
      <c r="J186" t="n">
        <v>0</v>
      </c>
      <c r="K186" t="n">
        <v>0</v>
      </c>
      <c r="L186" t="n">
        <v>0</v>
      </c>
      <c r="M186" t="n">
        <v>0</v>
      </c>
      <c r="N186" t="n">
        <v>0</v>
      </c>
      <c r="O186" t="n">
        <v>0</v>
      </c>
      <c r="P186" t="n">
        <v>0</v>
      </c>
      <c r="Q186" t="n">
        <v>0</v>
      </c>
      <c r="R186" s="2" t="inlineStr"/>
    </row>
    <row r="187" ht="15" customHeight="1">
      <c r="A187" t="inlineStr">
        <is>
          <t>A 1386-2020</t>
        </is>
      </c>
      <c r="B187" s="1" t="n">
        <v>43822</v>
      </c>
      <c r="C187" s="1" t="n">
        <v>45574</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1392-2020</t>
        </is>
      </c>
      <c r="B188" s="1" t="n">
        <v>43822</v>
      </c>
      <c r="C188" s="1" t="n">
        <v>45574</v>
      </c>
      <c r="D188" t="inlineStr">
        <is>
          <t>VÄRMLANDS LÄN</t>
        </is>
      </c>
      <c r="E188" t="inlineStr">
        <is>
          <t>ÅRJÄNG</t>
        </is>
      </c>
      <c r="G188" t="n">
        <v>8</v>
      </c>
      <c r="H188" t="n">
        <v>0</v>
      </c>
      <c r="I188" t="n">
        <v>0</v>
      </c>
      <c r="J188" t="n">
        <v>0</v>
      </c>
      <c r="K188" t="n">
        <v>0</v>
      </c>
      <c r="L188" t="n">
        <v>0</v>
      </c>
      <c r="M188" t="n">
        <v>0</v>
      </c>
      <c r="N188" t="n">
        <v>0</v>
      </c>
      <c r="O188" t="n">
        <v>0</v>
      </c>
      <c r="P188" t="n">
        <v>0</v>
      </c>
      <c r="Q188" t="n">
        <v>0</v>
      </c>
      <c r="R188" s="2" t="inlineStr"/>
    </row>
    <row r="189" ht="15" customHeight="1">
      <c r="A189" t="inlineStr">
        <is>
          <t>A 200-2020</t>
        </is>
      </c>
      <c r="B189" s="1" t="n">
        <v>43833</v>
      </c>
      <c r="C189" s="1" t="n">
        <v>45574</v>
      </c>
      <c r="D189" t="inlineStr">
        <is>
          <t>VÄRMLANDS LÄN</t>
        </is>
      </c>
      <c r="E189" t="inlineStr">
        <is>
          <t>ÅRJÄNG</t>
        </is>
      </c>
      <c r="G189" t="n">
        <v>7.3</v>
      </c>
      <c r="H189" t="n">
        <v>0</v>
      </c>
      <c r="I189" t="n">
        <v>0</v>
      </c>
      <c r="J189" t="n">
        <v>0</v>
      </c>
      <c r="K189" t="n">
        <v>0</v>
      </c>
      <c r="L189" t="n">
        <v>0</v>
      </c>
      <c r="M189" t="n">
        <v>0</v>
      </c>
      <c r="N189" t="n">
        <v>0</v>
      </c>
      <c r="O189" t="n">
        <v>0</v>
      </c>
      <c r="P189" t="n">
        <v>0</v>
      </c>
      <c r="Q189" t="n">
        <v>0</v>
      </c>
      <c r="R189" s="2" t="inlineStr"/>
    </row>
    <row r="190" ht="15" customHeight="1">
      <c r="A190" t="inlineStr">
        <is>
          <t>A 1460-2020</t>
        </is>
      </c>
      <c r="B190" s="1" t="n">
        <v>43843</v>
      </c>
      <c r="C190" s="1" t="n">
        <v>45574</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2910-2020</t>
        </is>
      </c>
      <c r="B191" s="1" t="n">
        <v>43843</v>
      </c>
      <c r="C191" s="1" t="n">
        <v>45574</v>
      </c>
      <c r="D191" t="inlineStr">
        <is>
          <t>VÄRMLANDS LÄN</t>
        </is>
      </c>
      <c r="E191" t="inlineStr">
        <is>
          <t>ÅRJÄNG</t>
        </is>
      </c>
      <c r="G191" t="n">
        <v>2.3</v>
      </c>
      <c r="H191" t="n">
        <v>0</v>
      </c>
      <c r="I191" t="n">
        <v>0</v>
      </c>
      <c r="J191" t="n">
        <v>0</v>
      </c>
      <c r="K191" t="n">
        <v>0</v>
      </c>
      <c r="L191" t="n">
        <v>0</v>
      </c>
      <c r="M191" t="n">
        <v>0</v>
      </c>
      <c r="N191" t="n">
        <v>0</v>
      </c>
      <c r="O191" t="n">
        <v>0</v>
      </c>
      <c r="P191" t="n">
        <v>0</v>
      </c>
      <c r="Q191" t="n">
        <v>0</v>
      </c>
      <c r="R191" s="2" t="inlineStr"/>
    </row>
    <row r="192" ht="15" customHeight="1">
      <c r="A192" t="inlineStr">
        <is>
          <t>A 2918-2020</t>
        </is>
      </c>
      <c r="B192" s="1" t="n">
        <v>43843</v>
      </c>
      <c r="C192" s="1" t="n">
        <v>45574</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2392-2020</t>
        </is>
      </c>
      <c r="B193" s="1" t="n">
        <v>43847</v>
      </c>
      <c r="C193" s="1" t="n">
        <v>45574</v>
      </c>
      <c r="D193" t="inlineStr">
        <is>
          <t>VÄRMLANDS LÄN</t>
        </is>
      </c>
      <c r="E193" t="inlineStr">
        <is>
          <t>ÅRJÄNG</t>
        </is>
      </c>
      <c r="G193" t="n">
        <v>3.3</v>
      </c>
      <c r="H193" t="n">
        <v>0</v>
      </c>
      <c r="I193" t="n">
        <v>0</v>
      </c>
      <c r="J193" t="n">
        <v>0</v>
      </c>
      <c r="K193" t="n">
        <v>0</v>
      </c>
      <c r="L193" t="n">
        <v>0</v>
      </c>
      <c r="M193" t="n">
        <v>0</v>
      </c>
      <c r="N193" t="n">
        <v>0</v>
      </c>
      <c r="O193" t="n">
        <v>0</v>
      </c>
      <c r="P193" t="n">
        <v>0</v>
      </c>
      <c r="Q193" t="n">
        <v>0</v>
      </c>
      <c r="R193" s="2" t="inlineStr"/>
    </row>
    <row r="194" ht="15" customHeight="1">
      <c r="A194" t="inlineStr">
        <is>
          <t>A 2437-2020</t>
        </is>
      </c>
      <c r="B194" s="1" t="n">
        <v>43847</v>
      </c>
      <c r="C194" s="1" t="n">
        <v>45574</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2389-2020</t>
        </is>
      </c>
      <c r="B195" s="1" t="n">
        <v>43847</v>
      </c>
      <c r="C195" s="1" t="n">
        <v>45574</v>
      </c>
      <c r="D195" t="inlineStr">
        <is>
          <t>VÄRMLANDS LÄN</t>
        </is>
      </c>
      <c r="E195" t="inlineStr">
        <is>
          <t>ÅRJÄNG</t>
        </is>
      </c>
      <c r="G195" t="n">
        <v>1.8</v>
      </c>
      <c r="H195" t="n">
        <v>0</v>
      </c>
      <c r="I195" t="n">
        <v>0</v>
      </c>
      <c r="J195" t="n">
        <v>0</v>
      </c>
      <c r="K195" t="n">
        <v>0</v>
      </c>
      <c r="L195" t="n">
        <v>0</v>
      </c>
      <c r="M195" t="n">
        <v>0</v>
      </c>
      <c r="N195" t="n">
        <v>0</v>
      </c>
      <c r="O195" t="n">
        <v>0</v>
      </c>
      <c r="P195" t="n">
        <v>0</v>
      </c>
      <c r="Q195" t="n">
        <v>0</v>
      </c>
      <c r="R195" s="2" t="inlineStr"/>
    </row>
    <row r="196" ht="15" customHeight="1">
      <c r="A196" t="inlineStr">
        <is>
          <t>A 2388-2020</t>
        </is>
      </c>
      <c r="B196" s="1" t="n">
        <v>43847</v>
      </c>
      <c r="C196" s="1" t="n">
        <v>45574</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2657-2020</t>
        </is>
      </c>
      <c r="B197" s="1" t="n">
        <v>43848</v>
      </c>
      <c r="C197" s="1" t="n">
        <v>45574</v>
      </c>
      <c r="D197" t="inlineStr">
        <is>
          <t>VÄRMLANDS LÄN</t>
        </is>
      </c>
      <c r="E197" t="inlineStr">
        <is>
          <t>ÅRJÄNG</t>
        </is>
      </c>
      <c r="G197" t="n">
        <v>2.4</v>
      </c>
      <c r="H197" t="n">
        <v>0</v>
      </c>
      <c r="I197" t="n">
        <v>0</v>
      </c>
      <c r="J197" t="n">
        <v>0</v>
      </c>
      <c r="K197" t="n">
        <v>0</v>
      </c>
      <c r="L197" t="n">
        <v>0</v>
      </c>
      <c r="M197" t="n">
        <v>0</v>
      </c>
      <c r="N197" t="n">
        <v>0</v>
      </c>
      <c r="O197" t="n">
        <v>0</v>
      </c>
      <c r="P197" t="n">
        <v>0</v>
      </c>
      <c r="Q197" t="n">
        <v>0</v>
      </c>
      <c r="R197" s="2" t="inlineStr"/>
    </row>
    <row r="198" ht="15" customHeight="1">
      <c r="A198" t="inlineStr">
        <is>
          <t>A 2656-2020</t>
        </is>
      </c>
      <c r="B198" s="1" t="n">
        <v>43848</v>
      </c>
      <c r="C198" s="1" t="n">
        <v>45574</v>
      </c>
      <c r="D198" t="inlineStr">
        <is>
          <t>VÄRMLANDS LÄN</t>
        </is>
      </c>
      <c r="E198" t="inlineStr">
        <is>
          <t>ÅRJÄNG</t>
        </is>
      </c>
      <c r="G198" t="n">
        <v>3.8</v>
      </c>
      <c r="H198" t="n">
        <v>0</v>
      </c>
      <c r="I198" t="n">
        <v>0</v>
      </c>
      <c r="J198" t="n">
        <v>0</v>
      </c>
      <c r="K198" t="n">
        <v>0</v>
      </c>
      <c r="L198" t="n">
        <v>0</v>
      </c>
      <c r="M198" t="n">
        <v>0</v>
      </c>
      <c r="N198" t="n">
        <v>0</v>
      </c>
      <c r="O198" t="n">
        <v>0</v>
      </c>
      <c r="P198" t="n">
        <v>0</v>
      </c>
      <c r="Q198" t="n">
        <v>0</v>
      </c>
      <c r="R198" s="2" t="inlineStr"/>
    </row>
    <row r="199" ht="15" customHeight="1">
      <c r="A199" t="inlineStr">
        <is>
          <t>A 3394-2020</t>
        </is>
      </c>
      <c r="B199" s="1" t="n">
        <v>43852</v>
      </c>
      <c r="C199" s="1" t="n">
        <v>45574</v>
      </c>
      <c r="D199" t="inlineStr">
        <is>
          <t>VÄRMLANDS LÄN</t>
        </is>
      </c>
      <c r="E199" t="inlineStr">
        <is>
          <t>ÅRJÄNG</t>
        </is>
      </c>
      <c r="G199" t="n">
        <v>1.1</v>
      </c>
      <c r="H199" t="n">
        <v>0</v>
      </c>
      <c r="I199" t="n">
        <v>0</v>
      </c>
      <c r="J199" t="n">
        <v>0</v>
      </c>
      <c r="K199" t="n">
        <v>0</v>
      </c>
      <c r="L199" t="n">
        <v>0</v>
      </c>
      <c r="M199" t="n">
        <v>0</v>
      </c>
      <c r="N199" t="n">
        <v>0</v>
      </c>
      <c r="O199" t="n">
        <v>0</v>
      </c>
      <c r="P199" t="n">
        <v>0</v>
      </c>
      <c r="Q199" t="n">
        <v>0</v>
      </c>
      <c r="R199" s="2" t="inlineStr"/>
    </row>
    <row r="200" ht="15" customHeight="1">
      <c r="A200" t="inlineStr">
        <is>
          <t>A 3316-2020</t>
        </is>
      </c>
      <c r="B200" s="1" t="n">
        <v>43852</v>
      </c>
      <c r="C200" s="1" t="n">
        <v>45574</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3323-2020</t>
        </is>
      </c>
      <c r="B201" s="1" t="n">
        <v>43852</v>
      </c>
      <c r="C201" s="1" t="n">
        <v>45574</v>
      </c>
      <c r="D201" t="inlineStr">
        <is>
          <t>VÄRMLANDS LÄN</t>
        </is>
      </c>
      <c r="E201" t="inlineStr">
        <is>
          <t>ÅRJÄNG</t>
        </is>
      </c>
      <c r="G201" t="n">
        <v>0.8</v>
      </c>
      <c r="H201" t="n">
        <v>0</v>
      </c>
      <c r="I201" t="n">
        <v>0</v>
      </c>
      <c r="J201" t="n">
        <v>0</v>
      </c>
      <c r="K201" t="n">
        <v>0</v>
      </c>
      <c r="L201" t="n">
        <v>0</v>
      </c>
      <c r="M201" t="n">
        <v>0</v>
      </c>
      <c r="N201" t="n">
        <v>0</v>
      </c>
      <c r="O201" t="n">
        <v>0</v>
      </c>
      <c r="P201" t="n">
        <v>0</v>
      </c>
      <c r="Q201" t="n">
        <v>0</v>
      </c>
      <c r="R201" s="2" t="inlineStr"/>
    </row>
    <row r="202" ht="15" customHeight="1">
      <c r="A202" t="inlineStr">
        <is>
          <t>A 3351-2020</t>
        </is>
      </c>
      <c r="B202" s="1" t="n">
        <v>43852</v>
      </c>
      <c r="C202" s="1" t="n">
        <v>45574</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3388-2020</t>
        </is>
      </c>
      <c r="B203" s="1" t="n">
        <v>43852</v>
      </c>
      <c r="C203" s="1" t="n">
        <v>45574</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5787-2020</t>
        </is>
      </c>
      <c r="B204" s="1" t="n">
        <v>43861</v>
      </c>
      <c r="C204" s="1" t="n">
        <v>45574</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5797-2020</t>
        </is>
      </c>
      <c r="B205" s="1" t="n">
        <v>43861</v>
      </c>
      <c r="C205" s="1" t="n">
        <v>45574</v>
      </c>
      <c r="D205" t="inlineStr">
        <is>
          <t>VÄRMLANDS LÄN</t>
        </is>
      </c>
      <c r="E205" t="inlineStr">
        <is>
          <t>ÅRJÄNG</t>
        </is>
      </c>
      <c r="G205" t="n">
        <v>4.7</v>
      </c>
      <c r="H205" t="n">
        <v>0</v>
      </c>
      <c r="I205" t="n">
        <v>0</v>
      </c>
      <c r="J205" t="n">
        <v>0</v>
      </c>
      <c r="K205" t="n">
        <v>0</v>
      </c>
      <c r="L205" t="n">
        <v>0</v>
      </c>
      <c r="M205" t="n">
        <v>0</v>
      </c>
      <c r="N205" t="n">
        <v>0</v>
      </c>
      <c r="O205" t="n">
        <v>0</v>
      </c>
      <c r="P205" t="n">
        <v>0</v>
      </c>
      <c r="Q205" t="n">
        <v>0</v>
      </c>
      <c r="R205" s="2" t="inlineStr"/>
    </row>
    <row r="206" ht="15" customHeight="1">
      <c r="A206" t="inlineStr">
        <is>
          <t>A 5783-2020</t>
        </is>
      </c>
      <c r="B206" s="1" t="n">
        <v>43861</v>
      </c>
      <c r="C206" s="1" t="n">
        <v>45574</v>
      </c>
      <c r="D206" t="inlineStr">
        <is>
          <t>VÄRMLANDS LÄN</t>
        </is>
      </c>
      <c r="E206" t="inlineStr">
        <is>
          <t>ÅRJÄNG</t>
        </is>
      </c>
      <c r="G206" t="n">
        <v>2.1</v>
      </c>
      <c r="H206" t="n">
        <v>0</v>
      </c>
      <c r="I206" t="n">
        <v>0</v>
      </c>
      <c r="J206" t="n">
        <v>0</v>
      </c>
      <c r="K206" t="n">
        <v>0</v>
      </c>
      <c r="L206" t="n">
        <v>0</v>
      </c>
      <c r="M206" t="n">
        <v>0</v>
      </c>
      <c r="N206" t="n">
        <v>0</v>
      </c>
      <c r="O206" t="n">
        <v>0</v>
      </c>
      <c r="P206" t="n">
        <v>0</v>
      </c>
      <c r="Q206" t="n">
        <v>0</v>
      </c>
      <c r="R206" s="2" t="inlineStr"/>
    </row>
    <row r="207" ht="15" customHeight="1">
      <c r="A207" t="inlineStr">
        <is>
          <t>A 5796-2020</t>
        </is>
      </c>
      <c r="B207" s="1" t="n">
        <v>43861</v>
      </c>
      <c r="C207" s="1" t="n">
        <v>45574</v>
      </c>
      <c r="D207" t="inlineStr">
        <is>
          <t>VÄRMLANDS LÄN</t>
        </is>
      </c>
      <c r="E207" t="inlineStr">
        <is>
          <t>ÅRJÄNG</t>
        </is>
      </c>
      <c r="G207" t="n">
        <v>4.2</v>
      </c>
      <c r="H207" t="n">
        <v>0</v>
      </c>
      <c r="I207" t="n">
        <v>0</v>
      </c>
      <c r="J207" t="n">
        <v>0</v>
      </c>
      <c r="K207" t="n">
        <v>0</v>
      </c>
      <c r="L207" t="n">
        <v>0</v>
      </c>
      <c r="M207" t="n">
        <v>0</v>
      </c>
      <c r="N207" t="n">
        <v>0</v>
      </c>
      <c r="O207" t="n">
        <v>0</v>
      </c>
      <c r="P207" t="n">
        <v>0</v>
      </c>
      <c r="Q207" t="n">
        <v>0</v>
      </c>
      <c r="R207" s="2" t="inlineStr"/>
    </row>
    <row r="208" ht="15" customHeight="1">
      <c r="A208" t="inlineStr">
        <is>
          <t>A 5794-2020</t>
        </is>
      </c>
      <c r="B208" s="1" t="n">
        <v>43861</v>
      </c>
      <c r="C208" s="1" t="n">
        <v>45574</v>
      </c>
      <c r="D208" t="inlineStr">
        <is>
          <t>VÄRMLANDS LÄN</t>
        </is>
      </c>
      <c r="E208" t="inlineStr">
        <is>
          <t>ÅRJÄNG</t>
        </is>
      </c>
      <c r="G208" t="n">
        <v>1.3</v>
      </c>
      <c r="H208" t="n">
        <v>0</v>
      </c>
      <c r="I208" t="n">
        <v>0</v>
      </c>
      <c r="J208" t="n">
        <v>0</v>
      </c>
      <c r="K208" t="n">
        <v>0</v>
      </c>
      <c r="L208" t="n">
        <v>0</v>
      </c>
      <c r="M208" t="n">
        <v>0</v>
      </c>
      <c r="N208" t="n">
        <v>0</v>
      </c>
      <c r="O208" t="n">
        <v>0</v>
      </c>
      <c r="P208" t="n">
        <v>0</v>
      </c>
      <c r="Q208" t="n">
        <v>0</v>
      </c>
      <c r="R208" s="2" t="inlineStr"/>
    </row>
    <row r="209" ht="15" customHeight="1">
      <c r="A209" t="inlineStr">
        <is>
          <t>A 5793-2020</t>
        </is>
      </c>
      <c r="B209" s="1" t="n">
        <v>43861</v>
      </c>
      <c r="C209" s="1" t="n">
        <v>45574</v>
      </c>
      <c r="D209" t="inlineStr">
        <is>
          <t>VÄRMLANDS LÄN</t>
        </is>
      </c>
      <c r="E209" t="inlineStr">
        <is>
          <t>ÅRJÄNG</t>
        </is>
      </c>
      <c r="G209" t="n">
        <v>2.7</v>
      </c>
      <c r="H209" t="n">
        <v>0</v>
      </c>
      <c r="I209" t="n">
        <v>0</v>
      </c>
      <c r="J209" t="n">
        <v>0</v>
      </c>
      <c r="K209" t="n">
        <v>0</v>
      </c>
      <c r="L209" t="n">
        <v>0</v>
      </c>
      <c r="M209" t="n">
        <v>0</v>
      </c>
      <c r="N209" t="n">
        <v>0</v>
      </c>
      <c r="O209" t="n">
        <v>0</v>
      </c>
      <c r="P209" t="n">
        <v>0</v>
      </c>
      <c r="Q209" t="n">
        <v>0</v>
      </c>
      <c r="R209" s="2" t="inlineStr"/>
    </row>
    <row r="210" ht="15" customHeight="1">
      <c r="A210" t="inlineStr">
        <is>
          <t>A 6426-2020</t>
        </is>
      </c>
      <c r="B210" s="1" t="n">
        <v>43866</v>
      </c>
      <c r="C210" s="1" t="n">
        <v>45574</v>
      </c>
      <c r="D210" t="inlineStr">
        <is>
          <t>VÄRMLANDS LÄN</t>
        </is>
      </c>
      <c r="E210" t="inlineStr">
        <is>
          <t>ÅRJÄNG</t>
        </is>
      </c>
      <c r="G210" t="n">
        <v>2</v>
      </c>
      <c r="H210" t="n">
        <v>0</v>
      </c>
      <c r="I210" t="n">
        <v>0</v>
      </c>
      <c r="J210" t="n">
        <v>0</v>
      </c>
      <c r="K210" t="n">
        <v>0</v>
      </c>
      <c r="L210" t="n">
        <v>0</v>
      </c>
      <c r="M210" t="n">
        <v>0</v>
      </c>
      <c r="N210" t="n">
        <v>0</v>
      </c>
      <c r="O210" t="n">
        <v>0</v>
      </c>
      <c r="P210" t="n">
        <v>0</v>
      </c>
      <c r="Q210" t="n">
        <v>0</v>
      </c>
      <c r="R210" s="2" t="inlineStr"/>
    </row>
    <row r="211" ht="15" customHeight="1">
      <c r="A211" t="inlineStr">
        <is>
          <t>A 6961-2020</t>
        </is>
      </c>
      <c r="B211" s="1" t="n">
        <v>43868</v>
      </c>
      <c r="C211" s="1" t="n">
        <v>45574</v>
      </c>
      <c r="D211" t="inlineStr">
        <is>
          <t>VÄRMLANDS LÄN</t>
        </is>
      </c>
      <c r="E211" t="inlineStr">
        <is>
          <t>ÅRJÄNG</t>
        </is>
      </c>
      <c r="G211" t="n">
        <v>9.9</v>
      </c>
      <c r="H211" t="n">
        <v>0</v>
      </c>
      <c r="I211" t="n">
        <v>0</v>
      </c>
      <c r="J211" t="n">
        <v>0</v>
      </c>
      <c r="K211" t="n">
        <v>0</v>
      </c>
      <c r="L211" t="n">
        <v>0</v>
      </c>
      <c r="M211" t="n">
        <v>0</v>
      </c>
      <c r="N211" t="n">
        <v>0</v>
      </c>
      <c r="O211" t="n">
        <v>0</v>
      </c>
      <c r="P211" t="n">
        <v>0</v>
      </c>
      <c r="Q211" t="n">
        <v>0</v>
      </c>
      <c r="R211" s="2" t="inlineStr"/>
    </row>
    <row r="212" ht="15" customHeight="1">
      <c r="A212" t="inlineStr">
        <is>
          <t>A 7232-2020</t>
        </is>
      </c>
      <c r="B212" s="1" t="n">
        <v>43868</v>
      </c>
      <c r="C212" s="1" t="n">
        <v>45574</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7524-2020</t>
        </is>
      </c>
      <c r="B213" s="1" t="n">
        <v>43872</v>
      </c>
      <c r="C213" s="1" t="n">
        <v>45574</v>
      </c>
      <c r="D213" t="inlineStr">
        <is>
          <t>VÄRMLANDS LÄN</t>
        </is>
      </c>
      <c r="E213" t="inlineStr">
        <is>
          <t>ÅRJÄNG</t>
        </is>
      </c>
      <c r="G213" t="n">
        <v>1.2</v>
      </c>
      <c r="H213" t="n">
        <v>0</v>
      </c>
      <c r="I213" t="n">
        <v>0</v>
      </c>
      <c r="J213" t="n">
        <v>0</v>
      </c>
      <c r="K213" t="n">
        <v>0</v>
      </c>
      <c r="L213" t="n">
        <v>0</v>
      </c>
      <c r="M213" t="n">
        <v>0</v>
      </c>
      <c r="N213" t="n">
        <v>0</v>
      </c>
      <c r="O213" t="n">
        <v>0</v>
      </c>
      <c r="P213" t="n">
        <v>0</v>
      </c>
      <c r="Q213" t="n">
        <v>0</v>
      </c>
      <c r="R213" s="2" t="inlineStr"/>
    </row>
    <row r="214" ht="15" customHeight="1">
      <c r="A214" t="inlineStr">
        <is>
          <t>A 7960-2020</t>
        </is>
      </c>
      <c r="B214" s="1" t="n">
        <v>43873</v>
      </c>
      <c r="C214" s="1" t="n">
        <v>45574</v>
      </c>
      <c r="D214" t="inlineStr">
        <is>
          <t>VÄRMLANDS LÄN</t>
        </is>
      </c>
      <c r="E214" t="inlineStr">
        <is>
          <t>ÅRJÄNG</t>
        </is>
      </c>
      <c r="G214" t="n">
        <v>0.7</v>
      </c>
      <c r="H214" t="n">
        <v>0</v>
      </c>
      <c r="I214" t="n">
        <v>0</v>
      </c>
      <c r="J214" t="n">
        <v>0</v>
      </c>
      <c r="K214" t="n">
        <v>0</v>
      </c>
      <c r="L214" t="n">
        <v>0</v>
      </c>
      <c r="M214" t="n">
        <v>0</v>
      </c>
      <c r="N214" t="n">
        <v>0</v>
      </c>
      <c r="O214" t="n">
        <v>0</v>
      </c>
      <c r="P214" t="n">
        <v>0</v>
      </c>
      <c r="Q214" t="n">
        <v>0</v>
      </c>
      <c r="R214" s="2" t="inlineStr"/>
    </row>
    <row r="215" ht="15" customHeight="1">
      <c r="A215" t="inlineStr">
        <is>
          <t>A 8288-2020</t>
        </is>
      </c>
      <c r="B215" s="1" t="n">
        <v>43874</v>
      </c>
      <c r="C215" s="1" t="n">
        <v>45574</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8652-2020</t>
        </is>
      </c>
      <c r="B216" s="1" t="n">
        <v>43878</v>
      </c>
      <c r="C216" s="1" t="n">
        <v>45574</v>
      </c>
      <c r="D216" t="inlineStr">
        <is>
          <t>VÄRMLANDS LÄN</t>
        </is>
      </c>
      <c r="E216" t="inlineStr">
        <is>
          <t>ÅRJÄNG</t>
        </is>
      </c>
      <c r="G216" t="n">
        <v>2.6</v>
      </c>
      <c r="H216" t="n">
        <v>0</v>
      </c>
      <c r="I216" t="n">
        <v>0</v>
      </c>
      <c r="J216" t="n">
        <v>0</v>
      </c>
      <c r="K216" t="n">
        <v>0</v>
      </c>
      <c r="L216" t="n">
        <v>0</v>
      </c>
      <c r="M216" t="n">
        <v>0</v>
      </c>
      <c r="N216" t="n">
        <v>0</v>
      </c>
      <c r="O216" t="n">
        <v>0</v>
      </c>
      <c r="P216" t="n">
        <v>0</v>
      </c>
      <c r="Q216" t="n">
        <v>0</v>
      </c>
      <c r="R216" s="2" t="inlineStr"/>
    </row>
    <row r="217" ht="15" customHeight="1">
      <c r="A217" t="inlineStr">
        <is>
          <t>A 8657-2020</t>
        </is>
      </c>
      <c r="B217" s="1" t="n">
        <v>43878</v>
      </c>
      <c r="C217" s="1" t="n">
        <v>45574</v>
      </c>
      <c r="D217" t="inlineStr">
        <is>
          <t>VÄRMLANDS LÄN</t>
        </is>
      </c>
      <c r="E217" t="inlineStr">
        <is>
          <t>ÅRJÄNG</t>
        </is>
      </c>
      <c r="G217" t="n">
        <v>3.3</v>
      </c>
      <c r="H217" t="n">
        <v>0</v>
      </c>
      <c r="I217" t="n">
        <v>0</v>
      </c>
      <c r="J217" t="n">
        <v>0</v>
      </c>
      <c r="K217" t="n">
        <v>0</v>
      </c>
      <c r="L217" t="n">
        <v>0</v>
      </c>
      <c r="M217" t="n">
        <v>0</v>
      </c>
      <c r="N217" t="n">
        <v>0</v>
      </c>
      <c r="O217" t="n">
        <v>0</v>
      </c>
      <c r="P217" t="n">
        <v>0</v>
      </c>
      <c r="Q217" t="n">
        <v>0</v>
      </c>
      <c r="R217" s="2" t="inlineStr"/>
    </row>
    <row r="218" ht="15" customHeight="1">
      <c r="A218" t="inlineStr">
        <is>
          <t>A 8749-2020</t>
        </is>
      </c>
      <c r="B218" s="1" t="n">
        <v>43878</v>
      </c>
      <c r="C218" s="1" t="n">
        <v>45574</v>
      </c>
      <c r="D218" t="inlineStr">
        <is>
          <t>VÄRMLANDS LÄN</t>
        </is>
      </c>
      <c r="E218" t="inlineStr">
        <is>
          <t>ÅRJÄNG</t>
        </is>
      </c>
      <c r="G218" t="n">
        <v>1.8</v>
      </c>
      <c r="H218" t="n">
        <v>0</v>
      </c>
      <c r="I218" t="n">
        <v>0</v>
      </c>
      <c r="J218" t="n">
        <v>0</v>
      </c>
      <c r="K218" t="n">
        <v>0</v>
      </c>
      <c r="L218" t="n">
        <v>0</v>
      </c>
      <c r="M218" t="n">
        <v>0</v>
      </c>
      <c r="N218" t="n">
        <v>0</v>
      </c>
      <c r="O218" t="n">
        <v>0</v>
      </c>
      <c r="P218" t="n">
        <v>0</v>
      </c>
      <c r="Q218" t="n">
        <v>0</v>
      </c>
      <c r="R218" s="2" t="inlineStr"/>
    </row>
    <row r="219" ht="15" customHeight="1">
      <c r="A219" t="inlineStr">
        <is>
          <t>A 9203-2020</t>
        </is>
      </c>
      <c r="B219" s="1" t="n">
        <v>43879</v>
      </c>
      <c r="C219" s="1" t="n">
        <v>45574</v>
      </c>
      <c r="D219" t="inlineStr">
        <is>
          <t>VÄRMLANDS LÄN</t>
        </is>
      </c>
      <c r="E219" t="inlineStr">
        <is>
          <t>ÅRJÄNG</t>
        </is>
      </c>
      <c r="G219" t="n">
        <v>3.6</v>
      </c>
      <c r="H219" t="n">
        <v>0</v>
      </c>
      <c r="I219" t="n">
        <v>0</v>
      </c>
      <c r="J219" t="n">
        <v>0</v>
      </c>
      <c r="K219" t="n">
        <v>0</v>
      </c>
      <c r="L219" t="n">
        <v>0</v>
      </c>
      <c r="M219" t="n">
        <v>0</v>
      </c>
      <c r="N219" t="n">
        <v>0</v>
      </c>
      <c r="O219" t="n">
        <v>0</v>
      </c>
      <c r="P219" t="n">
        <v>0</v>
      </c>
      <c r="Q219" t="n">
        <v>0</v>
      </c>
      <c r="R219" s="2" t="inlineStr"/>
    </row>
    <row r="220" ht="15" customHeight="1">
      <c r="A220" t="inlineStr">
        <is>
          <t>A 9242-2020</t>
        </is>
      </c>
      <c r="B220" s="1" t="n">
        <v>43879</v>
      </c>
      <c r="C220" s="1" t="n">
        <v>45574</v>
      </c>
      <c r="D220" t="inlineStr">
        <is>
          <t>VÄRMLANDS LÄN</t>
        </is>
      </c>
      <c r="E220" t="inlineStr">
        <is>
          <t>ÅRJÄNG</t>
        </is>
      </c>
      <c r="G220" t="n">
        <v>5.7</v>
      </c>
      <c r="H220" t="n">
        <v>0</v>
      </c>
      <c r="I220" t="n">
        <v>0</v>
      </c>
      <c r="J220" t="n">
        <v>0</v>
      </c>
      <c r="K220" t="n">
        <v>0</v>
      </c>
      <c r="L220" t="n">
        <v>0</v>
      </c>
      <c r="M220" t="n">
        <v>0</v>
      </c>
      <c r="N220" t="n">
        <v>0</v>
      </c>
      <c r="O220" t="n">
        <v>0</v>
      </c>
      <c r="P220" t="n">
        <v>0</v>
      </c>
      <c r="Q220" t="n">
        <v>0</v>
      </c>
      <c r="R220" s="2" t="inlineStr"/>
    </row>
    <row r="221" ht="15" customHeight="1">
      <c r="A221" t="inlineStr">
        <is>
          <t>A 10183-2020</t>
        </is>
      </c>
      <c r="B221" s="1" t="n">
        <v>43885</v>
      </c>
      <c r="C221" s="1" t="n">
        <v>45574</v>
      </c>
      <c r="D221" t="inlineStr">
        <is>
          <t>VÄRMLANDS LÄN</t>
        </is>
      </c>
      <c r="E221" t="inlineStr">
        <is>
          <t>ÅRJÄNG</t>
        </is>
      </c>
      <c r="G221" t="n">
        <v>0.8</v>
      </c>
      <c r="H221" t="n">
        <v>0</v>
      </c>
      <c r="I221" t="n">
        <v>0</v>
      </c>
      <c r="J221" t="n">
        <v>0</v>
      </c>
      <c r="K221" t="n">
        <v>0</v>
      </c>
      <c r="L221" t="n">
        <v>0</v>
      </c>
      <c r="M221" t="n">
        <v>0</v>
      </c>
      <c r="N221" t="n">
        <v>0</v>
      </c>
      <c r="O221" t="n">
        <v>0</v>
      </c>
      <c r="P221" t="n">
        <v>0</v>
      </c>
      <c r="Q221" t="n">
        <v>0</v>
      </c>
      <c r="R221" s="2" t="inlineStr"/>
    </row>
    <row r="222" ht="15" customHeight="1">
      <c r="A222" t="inlineStr">
        <is>
          <t>A 10184-2020</t>
        </is>
      </c>
      <c r="B222" s="1" t="n">
        <v>43885</v>
      </c>
      <c r="C222" s="1" t="n">
        <v>45574</v>
      </c>
      <c r="D222" t="inlineStr">
        <is>
          <t>VÄRMLANDS LÄN</t>
        </is>
      </c>
      <c r="E222" t="inlineStr">
        <is>
          <t>ÅRJÄNG</t>
        </is>
      </c>
      <c r="G222" t="n">
        <v>4.1</v>
      </c>
      <c r="H222" t="n">
        <v>0</v>
      </c>
      <c r="I222" t="n">
        <v>0</v>
      </c>
      <c r="J222" t="n">
        <v>0</v>
      </c>
      <c r="K222" t="n">
        <v>0</v>
      </c>
      <c r="L222" t="n">
        <v>0</v>
      </c>
      <c r="M222" t="n">
        <v>0</v>
      </c>
      <c r="N222" t="n">
        <v>0</v>
      </c>
      <c r="O222" t="n">
        <v>0</v>
      </c>
      <c r="P222" t="n">
        <v>0</v>
      </c>
      <c r="Q222" t="n">
        <v>0</v>
      </c>
      <c r="R222" s="2" t="inlineStr"/>
    </row>
    <row r="223" ht="15" customHeight="1">
      <c r="A223" t="inlineStr">
        <is>
          <t>A 10272-2020</t>
        </is>
      </c>
      <c r="B223" s="1" t="n">
        <v>43885</v>
      </c>
      <c r="C223" s="1" t="n">
        <v>45574</v>
      </c>
      <c r="D223" t="inlineStr">
        <is>
          <t>VÄRMLANDS LÄN</t>
        </is>
      </c>
      <c r="E223" t="inlineStr">
        <is>
          <t>ÅRJÄNG</t>
        </is>
      </c>
      <c r="G223" t="n">
        <v>3.3</v>
      </c>
      <c r="H223" t="n">
        <v>0</v>
      </c>
      <c r="I223" t="n">
        <v>0</v>
      </c>
      <c r="J223" t="n">
        <v>0</v>
      </c>
      <c r="K223" t="n">
        <v>0</v>
      </c>
      <c r="L223" t="n">
        <v>0</v>
      </c>
      <c r="M223" t="n">
        <v>0</v>
      </c>
      <c r="N223" t="n">
        <v>0</v>
      </c>
      <c r="O223" t="n">
        <v>0</v>
      </c>
      <c r="P223" t="n">
        <v>0</v>
      </c>
      <c r="Q223" t="n">
        <v>0</v>
      </c>
      <c r="R223" s="2" t="inlineStr"/>
    </row>
    <row r="224" ht="15" customHeight="1">
      <c r="A224" t="inlineStr">
        <is>
          <t>A 10483-2020</t>
        </is>
      </c>
      <c r="B224" s="1" t="n">
        <v>43886</v>
      </c>
      <c r="C224" s="1" t="n">
        <v>45574</v>
      </c>
      <c r="D224" t="inlineStr">
        <is>
          <t>VÄRMLANDS LÄN</t>
        </is>
      </c>
      <c r="E224" t="inlineStr">
        <is>
          <t>ÅRJÄNG</t>
        </is>
      </c>
      <c r="G224" t="n">
        <v>1.8</v>
      </c>
      <c r="H224" t="n">
        <v>0</v>
      </c>
      <c r="I224" t="n">
        <v>0</v>
      </c>
      <c r="J224" t="n">
        <v>0</v>
      </c>
      <c r="K224" t="n">
        <v>0</v>
      </c>
      <c r="L224" t="n">
        <v>0</v>
      </c>
      <c r="M224" t="n">
        <v>0</v>
      </c>
      <c r="N224" t="n">
        <v>0</v>
      </c>
      <c r="O224" t="n">
        <v>0</v>
      </c>
      <c r="P224" t="n">
        <v>0</v>
      </c>
      <c r="Q224" t="n">
        <v>0</v>
      </c>
      <c r="R224" s="2" t="inlineStr"/>
    </row>
    <row r="225" ht="15" customHeight="1">
      <c r="A225" t="inlineStr">
        <is>
          <t>A 10420-2020</t>
        </is>
      </c>
      <c r="B225" s="1" t="n">
        <v>43886</v>
      </c>
      <c r="C225" s="1" t="n">
        <v>45574</v>
      </c>
      <c r="D225" t="inlineStr">
        <is>
          <t>VÄRMLANDS LÄN</t>
        </is>
      </c>
      <c r="E225" t="inlineStr">
        <is>
          <t>ÅRJÄNG</t>
        </is>
      </c>
      <c r="G225" t="n">
        <v>4.2</v>
      </c>
      <c r="H225" t="n">
        <v>0</v>
      </c>
      <c r="I225" t="n">
        <v>0</v>
      </c>
      <c r="J225" t="n">
        <v>0</v>
      </c>
      <c r="K225" t="n">
        <v>0</v>
      </c>
      <c r="L225" t="n">
        <v>0</v>
      </c>
      <c r="M225" t="n">
        <v>0</v>
      </c>
      <c r="N225" t="n">
        <v>0</v>
      </c>
      <c r="O225" t="n">
        <v>0</v>
      </c>
      <c r="P225" t="n">
        <v>0</v>
      </c>
      <c r="Q225" t="n">
        <v>0</v>
      </c>
      <c r="R225" s="2" t="inlineStr"/>
    </row>
    <row r="226" ht="15" customHeight="1">
      <c r="A226" t="inlineStr">
        <is>
          <t>A 10538-2020</t>
        </is>
      </c>
      <c r="B226" s="1" t="n">
        <v>43886</v>
      </c>
      <c r="C226" s="1" t="n">
        <v>45574</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10131-2020</t>
        </is>
      </c>
      <c r="B227" s="1" t="n">
        <v>43887</v>
      </c>
      <c r="C227" s="1" t="n">
        <v>45574</v>
      </c>
      <c r="D227" t="inlineStr">
        <is>
          <t>VÄRMLANDS LÄN</t>
        </is>
      </c>
      <c r="E227" t="inlineStr">
        <is>
          <t>ÅRJÄNG</t>
        </is>
      </c>
      <c r="G227" t="n">
        <v>2.4</v>
      </c>
      <c r="H227" t="n">
        <v>0</v>
      </c>
      <c r="I227" t="n">
        <v>0</v>
      </c>
      <c r="J227" t="n">
        <v>0</v>
      </c>
      <c r="K227" t="n">
        <v>0</v>
      </c>
      <c r="L227" t="n">
        <v>0</v>
      </c>
      <c r="M227" t="n">
        <v>0</v>
      </c>
      <c r="N227" t="n">
        <v>0</v>
      </c>
      <c r="O227" t="n">
        <v>0</v>
      </c>
      <c r="P227" t="n">
        <v>0</v>
      </c>
      <c r="Q227" t="n">
        <v>0</v>
      </c>
      <c r="R227" s="2" t="inlineStr"/>
    </row>
    <row r="228" ht="15" customHeight="1">
      <c r="A228" t="inlineStr">
        <is>
          <t>A 10658-2020</t>
        </is>
      </c>
      <c r="B228" s="1" t="n">
        <v>43888</v>
      </c>
      <c r="C228" s="1" t="n">
        <v>45574</v>
      </c>
      <c r="D228" t="inlineStr">
        <is>
          <t>VÄRMLANDS LÄN</t>
        </is>
      </c>
      <c r="E228" t="inlineStr">
        <is>
          <t>ÅRJÄNG</t>
        </is>
      </c>
      <c r="G228" t="n">
        <v>2.7</v>
      </c>
      <c r="H228" t="n">
        <v>0</v>
      </c>
      <c r="I228" t="n">
        <v>0</v>
      </c>
      <c r="J228" t="n">
        <v>0</v>
      </c>
      <c r="K228" t="n">
        <v>0</v>
      </c>
      <c r="L228" t="n">
        <v>0</v>
      </c>
      <c r="M228" t="n">
        <v>0</v>
      </c>
      <c r="N228" t="n">
        <v>0</v>
      </c>
      <c r="O228" t="n">
        <v>0</v>
      </c>
      <c r="P228" t="n">
        <v>0</v>
      </c>
      <c r="Q228" t="n">
        <v>0</v>
      </c>
      <c r="R228" s="2" t="inlineStr"/>
    </row>
    <row r="229" ht="15" customHeight="1">
      <c r="A229" t="inlineStr">
        <is>
          <t>A 10937-2020</t>
        </is>
      </c>
      <c r="B229" s="1" t="n">
        <v>43889</v>
      </c>
      <c r="C229" s="1" t="n">
        <v>45574</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11206-2020</t>
        </is>
      </c>
      <c r="B230" s="1" t="n">
        <v>43892</v>
      </c>
      <c r="C230" s="1" t="n">
        <v>45574</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12575-2020</t>
        </is>
      </c>
      <c r="B231" s="1" t="n">
        <v>43892</v>
      </c>
      <c r="C231" s="1" t="n">
        <v>45574</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12573-2020</t>
        </is>
      </c>
      <c r="B232" s="1" t="n">
        <v>43892</v>
      </c>
      <c r="C232" s="1" t="n">
        <v>45574</v>
      </c>
      <c r="D232" t="inlineStr">
        <is>
          <t>VÄRMLANDS LÄN</t>
        </is>
      </c>
      <c r="E232" t="inlineStr">
        <is>
          <t>ÅRJÄNG</t>
        </is>
      </c>
      <c r="G232" t="n">
        <v>2.8</v>
      </c>
      <c r="H232" t="n">
        <v>0</v>
      </c>
      <c r="I232" t="n">
        <v>0</v>
      </c>
      <c r="J232" t="n">
        <v>0</v>
      </c>
      <c r="K232" t="n">
        <v>0</v>
      </c>
      <c r="L232" t="n">
        <v>0</v>
      </c>
      <c r="M232" t="n">
        <v>0</v>
      </c>
      <c r="N232" t="n">
        <v>0</v>
      </c>
      <c r="O232" t="n">
        <v>0</v>
      </c>
      <c r="P232" t="n">
        <v>0</v>
      </c>
      <c r="Q232" t="n">
        <v>0</v>
      </c>
      <c r="R232" s="2" t="inlineStr"/>
    </row>
    <row r="233" ht="15" customHeight="1">
      <c r="A233" t="inlineStr">
        <is>
          <t>A 11463-2020</t>
        </is>
      </c>
      <c r="B233" s="1" t="n">
        <v>43893</v>
      </c>
      <c r="C233" s="1" t="n">
        <v>45574</v>
      </c>
      <c r="D233" t="inlineStr">
        <is>
          <t>VÄRMLANDS LÄN</t>
        </is>
      </c>
      <c r="E233" t="inlineStr">
        <is>
          <t>ÅRJÄNG</t>
        </is>
      </c>
      <c r="G233" t="n">
        <v>0.9</v>
      </c>
      <c r="H233" t="n">
        <v>0</v>
      </c>
      <c r="I233" t="n">
        <v>0</v>
      </c>
      <c r="J233" t="n">
        <v>0</v>
      </c>
      <c r="K233" t="n">
        <v>0</v>
      </c>
      <c r="L233" t="n">
        <v>0</v>
      </c>
      <c r="M233" t="n">
        <v>0</v>
      </c>
      <c r="N233" t="n">
        <v>0</v>
      </c>
      <c r="O233" t="n">
        <v>0</v>
      </c>
      <c r="P233" t="n">
        <v>0</v>
      </c>
      <c r="Q233" t="n">
        <v>0</v>
      </c>
      <c r="R233" s="2" t="inlineStr"/>
    </row>
    <row r="234" ht="15" customHeight="1">
      <c r="A234" t="inlineStr">
        <is>
          <t>A 14104-2020</t>
        </is>
      </c>
      <c r="B234" s="1" t="n">
        <v>43899</v>
      </c>
      <c r="C234" s="1" t="n">
        <v>45574</v>
      </c>
      <c r="D234" t="inlineStr">
        <is>
          <t>VÄRMLANDS LÄN</t>
        </is>
      </c>
      <c r="E234" t="inlineStr">
        <is>
          <t>ÅRJÄNG</t>
        </is>
      </c>
      <c r="G234" t="n">
        <v>4.6</v>
      </c>
      <c r="H234" t="n">
        <v>0</v>
      </c>
      <c r="I234" t="n">
        <v>0</v>
      </c>
      <c r="J234" t="n">
        <v>0</v>
      </c>
      <c r="K234" t="n">
        <v>0</v>
      </c>
      <c r="L234" t="n">
        <v>0</v>
      </c>
      <c r="M234" t="n">
        <v>0</v>
      </c>
      <c r="N234" t="n">
        <v>0</v>
      </c>
      <c r="O234" t="n">
        <v>0</v>
      </c>
      <c r="P234" t="n">
        <v>0</v>
      </c>
      <c r="Q234" t="n">
        <v>0</v>
      </c>
      <c r="R234" s="2" t="inlineStr"/>
    </row>
    <row r="235" ht="15" customHeight="1">
      <c r="A235" t="inlineStr">
        <is>
          <t>A 18662-2020</t>
        </is>
      </c>
      <c r="B235" s="1" t="n">
        <v>43899</v>
      </c>
      <c r="C235" s="1" t="n">
        <v>45574</v>
      </c>
      <c r="D235" t="inlineStr">
        <is>
          <t>VÄRMLANDS LÄN</t>
        </is>
      </c>
      <c r="E235" t="inlineStr">
        <is>
          <t>ÅRJÄNG</t>
        </is>
      </c>
      <c r="G235" t="n">
        <v>3.7</v>
      </c>
      <c r="H235" t="n">
        <v>0</v>
      </c>
      <c r="I235" t="n">
        <v>0</v>
      </c>
      <c r="J235" t="n">
        <v>0</v>
      </c>
      <c r="K235" t="n">
        <v>0</v>
      </c>
      <c r="L235" t="n">
        <v>0</v>
      </c>
      <c r="M235" t="n">
        <v>0</v>
      </c>
      <c r="N235" t="n">
        <v>0</v>
      </c>
      <c r="O235" t="n">
        <v>0</v>
      </c>
      <c r="P235" t="n">
        <v>0</v>
      </c>
      <c r="Q235" t="n">
        <v>0</v>
      </c>
      <c r="R235" s="2" t="inlineStr"/>
    </row>
    <row r="236" ht="15" customHeight="1">
      <c r="A236" t="inlineStr">
        <is>
          <t>A 13091-2020</t>
        </is>
      </c>
      <c r="B236" s="1" t="n">
        <v>43901</v>
      </c>
      <c r="C236" s="1" t="n">
        <v>45574</v>
      </c>
      <c r="D236" t="inlineStr">
        <is>
          <t>VÄRMLANDS LÄN</t>
        </is>
      </c>
      <c r="E236" t="inlineStr">
        <is>
          <t>ÅRJÄNG</t>
        </is>
      </c>
      <c r="G236" t="n">
        <v>1.3</v>
      </c>
      <c r="H236" t="n">
        <v>0</v>
      </c>
      <c r="I236" t="n">
        <v>0</v>
      </c>
      <c r="J236" t="n">
        <v>0</v>
      </c>
      <c r="K236" t="n">
        <v>0</v>
      </c>
      <c r="L236" t="n">
        <v>0</v>
      </c>
      <c r="M236" t="n">
        <v>0</v>
      </c>
      <c r="N236" t="n">
        <v>0</v>
      </c>
      <c r="O236" t="n">
        <v>0</v>
      </c>
      <c r="P236" t="n">
        <v>0</v>
      </c>
      <c r="Q236" t="n">
        <v>0</v>
      </c>
      <c r="R236" s="2" t="inlineStr"/>
    </row>
    <row r="237" ht="15" customHeight="1">
      <c r="A237" t="inlineStr">
        <is>
          <t>A 13094-2020</t>
        </is>
      </c>
      <c r="B237" s="1" t="n">
        <v>43901</v>
      </c>
      <c r="C237" s="1" t="n">
        <v>45574</v>
      </c>
      <c r="D237" t="inlineStr">
        <is>
          <t>VÄRMLANDS LÄN</t>
        </is>
      </c>
      <c r="E237" t="inlineStr">
        <is>
          <t>ÅRJÄNG</t>
        </is>
      </c>
      <c r="G237" t="n">
        <v>3.6</v>
      </c>
      <c r="H237" t="n">
        <v>0</v>
      </c>
      <c r="I237" t="n">
        <v>0</v>
      </c>
      <c r="J237" t="n">
        <v>0</v>
      </c>
      <c r="K237" t="n">
        <v>0</v>
      </c>
      <c r="L237" t="n">
        <v>0</v>
      </c>
      <c r="M237" t="n">
        <v>0</v>
      </c>
      <c r="N237" t="n">
        <v>0</v>
      </c>
      <c r="O237" t="n">
        <v>0</v>
      </c>
      <c r="P237" t="n">
        <v>0</v>
      </c>
      <c r="Q237" t="n">
        <v>0</v>
      </c>
      <c r="R237" s="2" t="inlineStr"/>
    </row>
    <row r="238" ht="15" customHeight="1">
      <c r="A238" t="inlineStr">
        <is>
          <t>A 13549-2020</t>
        </is>
      </c>
      <c r="B238" s="1" t="n">
        <v>43902</v>
      </c>
      <c r="C238" s="1" t="n">
        <v>45574</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14608-2020</t>
        </is>
      </c>
      <c r="B239" s="1" t="n">
        <v>43902</v>
      </c>
      <c r="C239" s="1" t="n">
        <v>45574</v>
      </c>
      <c r="D239" t="inlineStr">
        <is>
          <t>VÄRMLANDS LÄN</t>
        </is>
      </c>
      <c r="E239" t="inlineStr">
        <is>
          <t>ÅRJÄNG</t>
        </is>
      </c>
      <c r="G239" t="n">
        <v>2.5</v>
      </c>
      <c r="H239" t="n">
        <v>0</v>
      </c>
      <c r="I239" t="n">
        <v>0</v>
      </c>
      <c r="J239" t="n">
        <v>0</v>
      </c>
      <c r="K239" t="n">
        <v>0</v>
      </c>
      <c r="L239" t="n">
        <v>0</v>
      </c>
      <c r="M239" t="n">
        <v>0</v>
      </c>
      <c r="N239" t="n">
        <v>0</v>
      </c>
      <c r="O239" t="n">
        <v>0</v>
      </c>
      <c r="P239" t="n">
        <v>0</v>
      </c>
      <c r="Q239" t="n">
        <v>0</v>
      </c>
      <c r="R239" s="2" t="inlineStr"/>
    </row>
    <row r="240" ht="15" customHeight="1">
      <c r="A240" t="inlineStr">
        <is>
          <t>A 14605-2020</t>
        </is>
      </c>
      <c r="B240" s="1" t="n">
        <v>43902</v>
      </c>
      <c r="C240" s="1" t="n">
        <v>45574</v>
      </c>
      <c r="D240" t="inlineStr">
        <is>
          <t>VÄRMLANDS LÄN</t>
        </is>
      </c>
      <c r="E240" t="inlineStr">
        <is>
          <t>ÅRJÄNG</t>
        </is>
      </c>
      <c r="G240" t="n">
        <v>3</v>
      </c>
      <c r="H240" t="n">
        <v>0</v>
      </c>
      <c r="I240" t="n">
        <v>0</v>
      </c>
      <c r="J240" t="n">
        <v>0</v>
      </c>
      <c r="K240" t="n">
        <v>0</v>
      </c>
      <c r="L240" t="n">
        <v>0</v>
      </c>
      <c r="M240" t="n">
        <v>0</v>
      </c>
      <c r="N240" t="n">
        <v>0</v>
      </c>
      <c r="O240" t="n">
        <v>0</v>
      </c>
      <c r="P240" t="n">
        <v>0</v>
      </c>
      <c r="Q240" t="n">
        <v>0</v>
      </c>
      <c r="R240" s="2" t="inlineStr"/>
    </row>
    <row r="241" ht="15" customHeight="1">
      <c r="A241" t="inlineStr">
        <is>
          <t>A 13630-2020</t>
        </is>
      </c>
      <c r="B241" s="1" t="n">
        <v>43903</v>
      </c>
      <c r="C241" s="1" t="n">
        <v>45574</v>
      </c>
      <c r="D241" t="inlineStr">
        <is>
          <t>VÄRMLANDS LÄN</t>
        </is>
      </c>
      <c r="E241" t="inlineStr">
        <is>
          <t>ÅRJÄNG</t>
        </is>
      </c>
      <c r="G241" t="n">
        <v>1.3</v>
      </c>
      <c r="H241" t="n">
        <v>0</v>
      </c>
      <c r="I241" t="n">
        <v>0</v>
      </c>
      <c r="J241" t="n">
        <v>0</v>
      </c>
      <c r="K241" t="n">
        <v>0</v>
      </c>
      <c r="L241" t="n">
        <v>0</v>
      </c>
      <c r="M241" t="n">
        <v>0</v>
      </c>
      <c r="N241" t="n">
        <v>0</v>
      </c>
      <c r="O241" t="n">
        <v>0</v>
      </c>
      <c r="P241" t="n">
        <v>0</v>
      </c>
      <c r="Q241" t="n">
        <v>0</v>
      </c>
      <c r="R241" s="2" t="inlineStr"/>
    </row>
    <row r="242" ht="15" customHeight="1">
      <c r="A242" t="inlineStr">
        <is>
          <t>A 13926-2020</t>
        </is>
      </c>
      <c r="B242" s="1" t="n">
        <v>43906</v>
      </c>
      <c r="C242" s="1" t="n">
        <v>45574</v>
      </c>
      <c r="D242" t="inlineStr">
        <is>
          <t>VÄRMLANDS LÄN</t>
        </is>
      </c>
      <c r="E242" t="inlineStr">
        <is>
          <t>ÅRJÄNG</t>
        </is>
      </c>
      <c r="G242" t="n">
        <v>1.5</v>
      </c>
      <c r="H242" t="n">
        <v>0</v>
      </c>
      <c r="I242" t="n">
        <v>0</v>
      </c>
      <c r="J242" t="n">
        <v>0</v>
      </c>
      <c r="K242" t="n">
        <v>0</v>
      </c>
      <c r="L242" t="n">
        <v>0</v>
      </c>
      <c r="M242" t="n">
        <v>0</v>
      </c>
      <c r="N242" t="n">
        <v>0</v>
      </c>
      <c r="O242" t="n">
        <v>0</v>
      </c>
      <c r="P242" t="n">
        <v>0</v>
      </c>
      <c r="Q242" t="n">
        <v>0</v>
      </c>
      <c r="R242" s="2" t="inlineStr"/>
    </row>
    <row r="243" ht="15" customHeight="1">
      <c r="A243" t="inlineStr">
        <is>
          <t>A 13929-2020</t>
        </is>
      </c>
      <c r="B243" s="1" t="n">
        <v>43906</v>
      </c>
      <c r="C243" s="1" t="n">
        <v>45574</v>
      </c>
      <c r="D243" t="inlineStr">
        <is>
          <t>VÄRMLANDS LÄN</t>
        </is>
      </c>
      <c r="E243" t="inlineStr">
        <is>
          <t>ÅRJÄNG</t>
        </is>
      </c>
      <c r="G243" t="n">
        <v>5.3</v>
      </c>
      <c r="H243" t="n">
        <v>0</v>
      </c>
      <c r="I243" t="n">
        <v>0</v>
      </c>
      <c r="J243" t="n">
        <v>0</v>
      </c>
      <c r="K243" t="n">
        <v>0</v>
      </c>
      <c r="L243" t="n">
        <v>0</v>
      </c>
      <c r="M243" t="n">
        <v>0</v>
      </c>
      <c r="N243" t="n">
        <v>0</v>
      </c>
      <c r="O243" t="n">
        <v>0</v>
      </c>
      <c r="P243" t="n">
        <v>0</v>
      </c>
      <c r="Q243" t="n">
        <v>0</v>
      </c>
      <c r="R243" s="2" t="inlineStr"/>
    </row>
    <row r="244" ht="15" customHeight="1">
      <c r="A244" t="inlineStr">
        <is>
          <t>A 14057-2020</t>
        </is>
      </c>
      <c r="B244" s="1" t="n">
        <v>43906</v>
      </c>
      <c r="C244" s="1" t="n">
        <v>45574</v>
      </c>
      <c r="D244" t="inlineStr">
        <is>
          <t>VÄRMLANDS LÄN</t>
        </is>
      </c>
      <c r="E244" t="inlineStr">
        <is>
          <t>ÅRJÄNG</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14892-2020</t>
        </is>
      </c>
      <c r="B245" s="1" t="n">
        <v>43906</v>
      </c>
      <c r="C245" s="1" t="n">
        <v>45574</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14059-2020</t>
        </is>
      </c>
      <c r="B246" s="1" t="n">
        <v>43906</v>
      </c>
      <c r="C246" s="1" t="n">
        <v>45574</v>
      </c>
      <c r="D246" t="inlineStr">
        <is>
          <t>VÄRMLANDS LÄN</t>
        </is>
      </c>
      <c r="E246" t="inlineStr">
        <is>
          <t>ÅRJÄNG</t>
        </is>
      </c>
      <c r="G246" t="n">
        <v>5</v>
      </c>
      <c r="H246" t="n">
        <v>0</v>
      </c>
      <c r="I246" t="n">
        <v>0</v>
      </c>
      <c r="J246" t="n">
        <v>0</v>
      </c>
      <c r="K246" t="n">
        <v>0</v>
      </c>
      <c r="L246" t="n">
        <v>0</v>
      </c>
      <c r="M246" t="n">
        <v>0</v>
      </c>
      <c r="N246" t="n">
        <v>0</v>
      </c>
      <c r="O246" t="n">
        <v>0</v>
      </c>
      <c r="P246" t="n">
        <v>0</v>
      </c>
      <c r="Q246" t="n">
        <v>0</v>
      </c>
      <c r="R246" s="2" t="inlineStr"/>
    </row>
    <row r="247" ht="15" customHeight="1">
      <c r="A247" t="inlineStr">
        <is>
          <t>A 14058-2020</t>
        </is>
      </c>
      <c r="B247" s="1" t="n">
        <v>43906</v>
      </c>
      <c r="C247" s="1" t="n">
        <v>45574</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14061-2020</t>
        </is>
      </c>
      <c r="B248" s="1" t="n">
        <v>43906</v>
      </c>
      <c r="C248" s="1" t="n">
        <v>45574</v>
      </c>
      <c r="D248" t="inlineStr">
        <is>
          <t>VÄRMLANDS LÄN</t>
        </is>
      </c>
      <c r="E248" t="inlineStr">
        <is>
          <t>ÅRJÄNG</t>
        </is>
      </c>
      <c r="G248" t="n">
        <v>0.7</v>
      </c>
      <c r="H248" t="n">
        <v>0</v>
      </c>
      <c r="I248" t="n">
        <v>0</v>
      </c>
      <c r="J248" t="n">
        <v>0</v>
      </c>
      <c r="K248" t="n">
        <v>0</v>
      </c>
      <c r="L248" t="n">
        <v>0</v>
      </c>
      <c r="M248" t="n">
        <v>0</v>
      </c>
      <c r="N248" t="n">
        <v>0</v>
      </c>
      <c r="O248" t="n">
        <v>0</v>
      </c>
      <c r="P248" t="n">
        <v>0</v>
      </c>
      <c r="Q248" t="n">
        <v>0</v>
      </c>
      <c r="R248" s="2" t="inlineStr"/>
    </row>
    <row r="249" ht="15" customHeight="1">
      <c r="A249" t="inlineStr">
        <is>
          <t>A 14128-2020</t>
        </is>
      </c>
      <c r="B249" s="1" t="n">
        <v>43907</v>
      </c>
      <c r="C249" s="1" t="n">
        <v>45574</v>
      </c>
      <c r="D249" t="inlineStr">
        <is>
          <t>VÄRMLANDS LÄN</t>
        </is>
      </c>
      <c r="E249" t="inlineStr">
        <is>
          <t>ÅRJÄNG</t>
        </is>
      </c>
      <c r="G249" t="n">
        <v>3.5</v>
      </c>
      <c r="H249" t="n">
        <v>0</v>
      </c>
      <c r="I249" t="n">
        <v>0</v>
      </c>
      <c r="J249" t="n">
        <v>0</v>
      </c>
      <c r="K249" t="n">
        <v>0</v>
      </c>
      <c r="L249" t="n">
        <v>0</v>
      </c>
      <c r="M249" t="n">
        <v>0</v>
      </c>
      <c r="N249" t="n">
        <v>0</v>
      </c>
      <c r="O249" t="n">
        <v>0</v>
      </c>
      <c r="P249" t="n">
        <v>0</v>
      </c>
      <c r="Q249" t="n">
        <v>0</v>
      </c>
      <c r="R249" s="2" t="inlineStr"/>
    </row>
    <row r="250" ht="15" customHeight="1">
      <c r="A250" t="inlineStr">
        <is>
          <t>A 14132-2020</t>
        </is>
      </c>
      <c r="B250" s="1" t="n">
        <v>43907</v>
      </c>
      <c r="C250" s="1" t="n">
        <v>45574</v>
      </c>
      <c r="D250" t="inlineStr">
        <is>
          <t>VÄRMLANDS LÄN</t>
        </is>
      </c>
      <c r="E250" t="inlineStr">
        <is>
          <t>ÅRJÄNG</t>
        </is>
      </c>
      <c r="G250" t="n">
        <v>4.4</v>
      </c>
      <c r="H250" t="n">
        <v>0</v>
      </c>
      <c r="I250" t="n">
        <v>0</v>
      </c>
      <c r="J250" t="n">
        <v>0</v>
      </c>
      <c r="K250" t="n">
        <v>0</v>
      </c>
      <c r="L250" t="n">
        <v>0</v>
      </c>
      <c r="M250" t="n">
        <v>0</v>
      </c>
      <c r="N250" t="n">
        <v>0</v>
      </c>
      <c r="O250" t="n">
        <v>0</v>
      </c>
      <c r="P250" t="n">
        <v>0</v>
      </c>
      <c r="Q250" t="n">
        <v>0</v>
      </c>
      <c r="R250" s="2" t="inlineStr"/>
    </row>
    <row r="251" ht="15" customHeight="1">
      <c r="A251" t="inlineStr">
        <is>
          <t>A 14928-2020</t>
        </is>
      </c>
      <c r="B251" s="1" t="n">
        <v>43910</v>
      </c>
      <c r="C251" s="1" t="n">
        <v>45574</v>
      </c>
      <c r="D251" t="inlineStr">
        <is>
          <t>VÄRMLANDS LÄN</t>
        </is>
      </c>
      <c r="E251" t="inlineStr">
        <is>
          <t>ÅRJÄNG</t>
        </is>
      </c>
      <c r="G251" t="n">
        <v>1.4</v>
      </c>
      <c r="H251" t="n">
        <v>0</v>
      </c>
      <c r="I251" t="n">
        <v>0</v>
      </c>
      <c r="J251" t="n">
        <v>0</v>
      </c>
      <c r="K251" t="n">
        <v>0</v>
      </c>
      <c r="L251" t="n">
        <v>0</v>
      </c>
      <c r="M251" t="n">
        <v>0</v>
      </c>
      <c r="N251" t="n">
        <v>0</v>
      </c>
      <c r="O251" t="n">
        <v>0</v>
      </c>
      <c r="P251" t="n">
        <v>0</v>
      </c>
      <c r="Q251" t="n">
        <v>0</v>
      </c>
      <c r="R251" s="2" t="inlineStr"/>
    </row>
    <row r="252" ht="15" customHeight="1">
      <c r="A252" t="inlineStr">
        <is>
          <t>A 15044-2020</t>
        </is>
      </c>
      <c r="B252" s="1" t="n">
        <v>43910</v>
      </c>
      <c r="C252" s="1" t="n">
        <v>45574</v>
      </c>
      <c r="D252" t="inlineStr">
        <is>
          <t>VÄRMLANDS LÄN</t>
        </is>
      </c>
      <c r="E252" t="inlineStr">
        <is>
          <t>ÅRJÄNG</t>
        </is>
      </c>
      <c r="G252" t="n">
        <v>2.7</v>
      </c>
      <c r="H252" t="n">
        <v>0</v>
      </c>
      <c r="I252" t="n">
        <v>0</v>
      </c>
      <c r="J252" t="n">
        <v>0</v>
      </c>
      <c r="K252" t="n">
        <v>0</v>
      </c>
      <c r="L252" t="n">
        <v>0</v>
      </c>
      <c r="M252" t="n">
        <v>0</v>
      </c>
      <c r="N252" t="n">
        <v>0</v>
      </c>
      <c r="O252" t="n">
        <v>0</v>
      </c>
      <c r="P252" t="n">
        <v>0</v>
      </c>
      <c r="Q252" t="n">
        <v>0</v>
      </c>
      <c r="R252" s="2" t="inlineStr"/>
    </row>
    <row r="253" ht="15" customHeight="1">
      <c r="A253" t="inlineStr">
        <is>
          <t>A 15864-2020</t>
        </is>
      </c>
      <c r="B253" s="1" t="n">
        <v>43915</v>
      </c>
      <c r="C253" s="1" t="n">
        <v>45574</v>
      </c>
      <c r="D253" t="inlineStr">
        <is>
          <t>VÄRMLANDS LÄN</t>
        </is>
      </c>
      <c r="E253" t="inlineStr">
        <is>
          <t>ÅRJÄNG</t>
        </is>
      </c>
      <c r="G253" t="n">
        <v>1.8</v>
      </c>
      <c r="H253" t="n">
        <v>0</v>
      </c>
      <c r="I253" t="n">
        <v>0</v>
      </c>
      <c r="J253" t="n">
        <v>0</v>
      </c>
      <c r="K253" t="n">
        <v>0</v>
      </c>
      <c r="L253" t="n">
        <v>0</v>
      </c>
      <c r="M253" t="n">
        <v>0</v>
      </c>
      <c r="N253" t="n">
        <v>0</v>
      </c>
      <c r="O253" t="n">
        <v>0</v>
      </c>
      <c r="P253" t="n">
        <v>0</v>
      </c>
      <c r="Q253" t="n">
        <v>0</v>
      </c>
      <c r="R253" s="2" t="inlineStr"/>
    </row>
    <row r="254" ht="15" customHeight="1">
      <c r="A254" t="inlineStr">
        <is>
          <t>A 15674-2020</t>
        </is>
      </c>
      <c r="B254" s="1" t="n">
        <v>43915</v>
      </c>
      <c r="C254" s="1" t="n">
        <v>45574</v>
      </c>
      <c r="D254" t="inlineStr">
        <is>
          <t>VÄRMLANDS LÄN</t>
        </is>
      </c>
      <c r="E254" t="inlineStr">
        <is>
          <t>ÅRJÄNG</t>
        </is>
      </c>
      <c r="G254" t="n">
        <v>3.4</v>
      </c>
      <c r="H254" t="n">
        <v>0</v>
      </c>
      <c r="I254" t="n">
        <v>0</v>
      </c>
      <c r="J254" t="n">
        <v>0</v>
      </c>
      <c r="K254" t="n">
        <v>0</v>
      </c>
      <c r="L254" t="n">
        <v>0</v>
      </c>
      <c r="M254" t="n">
        <v>0</v>
      </c>
      <c r="N254" t="n">
        <v>0</v>
      </c>
      <c r="O254" t="n">
        <v>0</v>
      </c>
      <c r="P254" t="n">
        <v>0</v>
      </c>
      <c r="Q254" t="n">
        <v>0</v>
      </c>
      <c r="R254" s="2" t="inlineStr"/>
    </row>
    <row r="255" ht="15" customHeight="1">
      <c r="A255" t="inlineStr">
        <is>
          <t>A 15669-2020</t>
        </is>
      </c>
      <c r="B255" s="1" t="n">
        <v>43915</v>
      </c>
      <c r="C255" s="1" t="n">
        <v>45574</v>
      </c>
      <c r="D255" t="inlineStr">
        <is>
          <t>VÄRMLANDS LÄN</t>
        </is>
      </c>
      <c r="E255" t="inlineStr">
        <is>
          <t>ÅRJÄNG</t>
        </is>
      </c>
      <c r="G255" t="n">
        <v>4.6</v>
      </c>
      <c r="H255" t="n">
        <v>0</v>
      </c>
      <c r="I255" t="n">
        <v>0</v>
      </c>
      <c r="J255" t="n">
        <v>0</v>
      </c>
      <c r="K255" t="n">
        <v>0</v>
      </c>
      <c r="L255" t="n">
        <v>0</v>
      </c>
      <c r="M255" t="n">
        <v>0</v>
      </c>
      <c r="N255" t="n">
        <v>0</v>
      </c>
      <c r="O255" t="n">
        <v>0</v>
      </c>
      <c r="P255" t="n">
        <v>0</v>
      </c>
      <c r="Q255" t="n">
        <v>0</v>
      </c>
      <c r="R255" s="2" t="inlineStr"/>
    </row>
    <row r="256" ht="15" customHeight="1">
      <c r="A256" t="inlineStr">
        <is>
          <t>A 16454-2020</t>
        </is>
      </c>
      <c r="B256" s="1" t="n">
        <v>43920</v>
      </c>
      <c r="C256" s="1" t="n">
        <v>45574</v>
      </c>
      <c r="D256" t="inlineStr">
        <is>
          <t>VÄRMLANDS LÄN</t>
        </is>
      </c>
      <c r="E256" t="inlineStr">
        <is>
          <t>ÅRJÄNG</t>
        </is>
      </c>
      <c r="G256" t="n">
        <v>2.6</v>
      </c>
      <c r="H256" t="n">
        <v>0</v>
      </c>
      <c r="I256" t="n">
        <v>0</v>
      </c>
      <c r="J256" t="n">
        <v>0</v>
      </c>
      <c r="K256" t="n">
        <v>0</v>
      </c>
      <c r="L256" t="n">
        <v>0</v>
      </c>
      <c r="M256" t="n">
        <v>0</v>
      </c>
      <c r="N256" t="n">
        <v>0</v>
      </c>
      <c r="O256" t="n">
        <v>0</v>
      </c>
      <c r="P256" t="n">
        <v>0</v>
      </c>
      <c r="Q256" t="n">
        <v>0</v>
      </c>
      <c r="R256" s="2" t="inlineStr"/>
    </row>
    <row r="257" ht="15" customHeight="1">
      <c r="A257" t="inlineStr">
        <is>
          <t>A 17596-2020</t>
        </is>
      </c>
      <c r="B257" s="1" t="n">
        <v>43921</v>
      </c>
      <c r="C257" s="1" t="n">
        <v>45574</v>
      </c>
      <c r="D257" t="inlineStr">
        <is>
          <t>VÄRMLANDS LÄN</t>
        </is>
      </c>
      <c r="E257" t="inlineStr">
        <is>
          <t>ÅRJÄNG</t>
        </is>
      </c>
      <c r="G257" t="n">
        <v>2.8</v>
      </c>
      <c r="H257" t="n">
        <v>0</v>
      </c>
      <c r="I257" t="n">
        <v>0</v>
      </c>
      <c r="J257" t="n">
        <v>0</v>
      </c>
      <c r="K257" t="n">
        <v>0</v>
      </c>
      <c r="L257" t="n">
        <v>0</v>
      </c>
      <c r="M257" t="n">
        <v>0</v>
      </c>
      <c r="N257" t="n">
        <v>0</v>
      </c>
      <c r="O257" t="n">
        <v>0</v>
      </c>
      <c r="P257" t="n">
        <v>0</v>
      </c>
      <c r="Q257" t="n">
        <v>0</v>
      </c>
      <c r="R257" s="2" t="inlineStr"/>
    </row>
    <row r="258" ht="15" customHeight="1">
      <c r="A258" t="inlineStr">
        <is>
          <t>A 17475-2020</t>
        </is>
      </c>
      <c r="B258" s="1" t="n">
        <v>43923</v>
      </c>
      <c r="C258" s="1" t="n">
        <v>45574</v>
      </c>
      <c r="D258" t="inlineStr">
        <is>
          <t>VÄRMLANDS LÄN</t>
        </is>
      </c>
      <c r="E258" t="inlineStr">
        <is>
          <t>ÅRJÄNG</t>
        </is>
      </c>
      <c r="G258" t="n">
        <v>4.2</v>
      </c>
      <c r="H258" t="n">
        <v>0</v>
      </c>
      <c r="I258" t="n">
        <v>0</v>
      </c>
      <c r="J258" t="n">
        <v>0</v>
      </c>
      <c r="K258" t="n">
        <v>0</v>
      </c>
      <c r="L258" t="n">
        <v>0</v>
      </c>
      <c r="M258" t="n">
        <v>0</v>
      </c>
      <c r="N258" t="n">
        <v>0</v>
      </c>
      <c r="O258" t="n">
        <v>0</v>
      </c>
      <c r="P258" t="n">
        <v>0</v>
      </c>
      <c r="Q258" t="n">
        <v>0</v>
      </c>
      <c r="R258" s="2" t="inlineStr"/>
    </row>
    <row r="259" ht="15" customHeight="1">
      <c r="A259" t="inlineStr">
        <is>
          <t>A 17751-2020</t>
        </is>
      </c>
      <c r="B259" s="1" t="n">
        <v>43924</v>
      </c>
      <c r="C259" s="1" t="n">
        <v>45574</v>
      </c>
      <c r="D259" t="inlineStr">
        <is>
          <t>VÄRMLANDS LÄN</t>
        </is>
      </c>
      <c r="E259" t="inlineStr">
        <is>
          <t>ÅRJÄNG</t>
        </is>
      </c>
      <c r="G259" t="n">
        <v>5.8</v>
      </c>
      <c r="H259" t="n">
        <v>0</v>
      </c>
      <c r="I259" t="n">
        <v>0</v>
      </c>
      <c r="J259" t="n">
        <v>0</v>
      </c>
      <c r="K259" t="n">
        <v>0</v>
      </c>
      <c r="L259" t="n">
        <v>0</v>
      </c>
      <c r="M259" t="n">
        <v>0</v>
      </c>
      <c r="N259" t="n">
        <v>0</v>
      </c>
      <c r="O259" t="n">
        <v>0</v>
      </c>
      <c r="P259" t="n">
        <v>0</v>
      </c>
      <c r="Q259" t="n">
        <v>0</v>
      </c>
      <c r="R259" s="2" t="inlineStr"/>
    </row>
    <row r="260" ht="15" customHeight="1">
      <c r="A260" t="inlineStr">
        <is>
          <t>A 17922-2020</t>
        </is>
      </c>
      <c r="B260" s="1" t="n">
        <v>43924</v>
      </c>
      <c r="C260" s="1" t="n">
        <v>45574</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18793-2020</t>
        </is>
      </c>
      <c r="B261" s="1" t="n">
        <v>43932</v>
      </c>
      <c r="C261" s="1" t="n">
        <v>45574</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21256-2020</t>
        </is>
      </c>
      <c r="B262" s="1" t="n">
        <v>43955</v>
      </c>
      <c r="C262" s="1" t="n">
        <v>45574</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22584-2020</t>
        </is>
      </c>
      <c r="B263" s="1" t="n">
        <v>43963</v>
      </c>
      <c r="C263" s="1" t="n">
        <v>45574</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22965-2020</t>
        </is>
      </c>
      <c r="B264" s="1" t="n">
        <v>43964</v>
      </c>
      <c r="C264" s="1" t="n">
        <v>45574</v>
      </c>
      <c r="D264" t="inlineStr">
        <is>
          <t>VÄRMLANDS LÄN</t>
        </is>
      </c>
      <c r="E264" t="inlineStr">
        <is>
          <t>ÅRJÄNG</t>
        </is>
      </c>
      <c r="G264" t="n">
        <v>4.7</v>
      </c>
      <c r="H264" t="n">
        <v>0</v>
      </c>
      <c r="I264" t="n">
        <v>0</v>
      </c>
      <c r="J264" t="n">
        <v>0</v>
      </c>
      <c r="K264" t="n">
        <v>0</v>
      </c>
      <c r="L264" t="n">
        <v>0</v>
      </c>
      <c r="M264" t="n">
        <v>0</v>
      </c>
      <c r="N264" t="n">
        <v>0</v>
      </c>
      <c r="O264" t="n">
        <v>0</v>
      </c>
      <c r="P264" t="n">
        <v>0</v>
      </c>
      <c r="Q264" t="n">
        <v>0</v>
      </c>
      <c r="R264" s="2" t="inlineStr"/>
    </row>
    <row r="265" ht="15" customHeight="1">
      <c r="A265" t="inlineStr">
        <is>
          <t>A 23216-2020</t>
        </is>
      </c>
      <c r="B265" s="1" t="n">
        <v>43965</v>
      </c>
      <c r="C265" s="1" t="n">
        <v>45574</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23211-2020</t>
        </is>
      </c>
      <c r="B266" s="1" t="n">
        <v>43965</v>
      </c>
      <c r="C266" s="1" t="n">
        <v>45574</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23493-2020</t>
        </is>
      </c>
      <c r="B267" s="1" t="n">
        <v>43969</v>
      </c>
      <c r="C267" s="1" t="n">
        <v>45574</v>
      </c>
      <c r="D267" t="inlineStr">
        <is>
          <t>VÄRMLANDS LÄN</t>
        </is>
      </c>
      <c r="E267" t="inlineStr">
        <is>
          <t>ÅRJÄNG</t>
        </is>
      </c>
      <c r="G267" t="n">
        <v>3.5</v>
      </c>
      <c r="H267" t="n">
        <v>0</v>
      </c>
      <c r="I267" t="n">
        <v>0</v>
      </c>
      <c r="J267" t="n">
        <v>0</v>
      </c>
      <c r="K267" t="n">
        <v>0</v>
      </c>
      <c r="L267" t="n">
        <v>0</v>
      </c>
      <c r="M267" t="n">
        <v>0</v>
      </c>
      <c r="N267" t="n">
        <v>0</v>
      </c>
      <c r="O267" t="n">
        <v>0</v>
      </c>
      <c r="P267" t="n">
        <v>0</v>
      </c>
      <c r="Q267" t="n">
        <v>0</v>
      </c>
      <c r="R267" s="2" t="inlineStr"/>
    </row>
    <row r="268" ht="15" customHeight="1">
      <c r="A268" t="inlineStr">
        <is>
          <t>A 24166-2020</t>
        </is>
      </c>
      <c r="B268" s="1" t="n">
        <v>43975</v>
      </c>
      <c r="C268" s="1" t="n">
        <v>45574</v>
      </c>
      <c r="D268" t="inlineStr">
        <is>
          <t>VÄRMLANDS LÄN</t>
        </is>
      </c>
      <c r="E268" t="inlineStr">
        <is>
          <t>ÅRJÄNG</t>
        </is>
      </c>
      <c r="G268" t="n">
        <v>3.4</v>
      </c>
      <c r="H268" t="n">
        <v>0</v>
      </c>
      <c r="I268" t="n">
        <v>0</v>
      </c>
      <c r="J268" t="n">
        <v>0</v>
      </c>
      <c r="K268" t="n">
        <v>0</v>
      </c>
      <c r="L268" t="n">
        <v>0</v>
      </c>
      <c r="M268" t="n">
        <v>0</v>
      </c>
      <c r="N268" t="n">
        <v>0</v>
      </c>
      <c r="O268" t="n">
        <v>0</v>
      </c>
      <c r="P268" t="n">
        <v>0</v>
      </c>
      <c r="Q268" t="n">
        <v>0</v>
      </c>
      <c r="R268" s="2" t="inlineStr"/>
    </row>
    <row r="269" ht="15" customHeight="1">
      <c r="A269" t="inlineStr">
        <is>
          <t>A 24718-2020</t>
        </is>
      </c>
      <c r="B269" s="1" t="n">
        <v>43978</v>
      </c>
      <c r="C269" s="1" t="n">
        <v>45574</v>
      </c>
      <c r="D269" t="inlineStr">
        <is>
          <t>VÄRMLANDS LÄN</t>
        </is>
      </c>
      <c r="E269" t="inlineStr">
        <is>
          <t>ÅRJÄNG</t>
        </is>
      </c>
      <c r="G269" t="n">
        <v>4.1</v>
      </c>
      <c r="H269" t="n">
        <v>0</v>
      </c>
      <c r="I269" t="n">
        <v>0</v>
      </c>
      <c r="J269" t="n">
        <v>0</v>
      </c>
      <c r="K269" t="n">
        <v>0</v>
      </c>
      <c r="L269" t="n">
        <v>0</v>
      </c>
      <c r="M269" t="n">
        <v>0</v>
      </c>
      <c r="N269" t="n">
        <v>0</v>
      </c>
      <c r="O269" t="n">
        <v>0</v>
      </c>
      <c r="P269" t="n">
        <v>0</v>
      </c>
      <c r="Q269" t="n">
        <v>0</v>
      </c>
      <c r="R269" s="2" t="inlineStr"/>
    </row>
    <row r="270" ht="15" customHeight="1">
      <c r="A270" t="inlineStr">
        <is>
          <t>A 24722-2020</t>
        </is>
      </c>
      <c r="B270" s="1" t="n">
        <v>43978</v>
      </c>
      <c r="C270" s="1" t="n">
        <v>45574</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24920-2020</t>
        </is>
      </c>
      <c r="B271" s="1" t="n">
        <v>43979</v>
      </c>
      <c r="C271" s="1" t="n">
        <v>45574</v>
      </c>
      <c r="D271" t="inlineStr">
        <is>
          <t>VÄRMLANDS LÄN</t>
        </is>
      </c>
      <c r="E271" t="inlineStr">
        <is>
          <t>ÅRJÄNG</t>
        </is>
      </c>
      <c r="G271" t="n">
        <v>2.1</v>
      </c>
      <c r="H271" t="n">
        <v>0</v>
      </c>
      <c r="I271" t="n">
        <v>0</v>
      </c>
      <c r="J271" t="n">
        <v>0</v>
      </c>
      <c r="K271" t="n">
        <v>0</v>
      </c>
      <c r="L271" t="n">
        <v>0</v>
      </c>
      <c r="M271" t="n">
        <v>0</v>
      </c>
      <c r="N271" t="n">
        <v>0</v>
      </c>
      <c r="O271" t="n">
        <v>0</v>
      </c>
      <c r="P271" t="n">
        <v>0</v>
      </c>
      <c r="Q271" t="n">
        <v>0</v>
      </c>
      <c r="R271" s="2" t="inlineStr"/>
    </row>
    <row r="272" ht="15" customHeight="1">
      <c r="A272" t="inlineStr">
        <is>
          <t>A 26132-2020</t>
        </is>
      </c>
      <c r="B272" s="1" t="n">
        <v>43985</v>
      </c>
      <c r="C272" s="1" t="n">
        <v>45574</v>
      </c>
      <c r="D272" t="inlineStr">
        <is>
          <t>VÄRMLANDS LÄN</t>
        </is>
      </c>
      <c r="E272" t="inlineStr">
        <is>
          <t>ÅRJÄNG</t>
        </is>
      </c>
      <c r="G272" t="n">
        <v>3.7</v>
      </c>
      <c r="H272" t="n">
        <v>0</v>
      </c>
      <c r="I272" t="n">
        <v>0</v>
      </c>
      <c r="J272" t="n">
        <v>0</v>
      </c>
      <c r="K272" t="n">
        <v>0</v>
      </c>
      <c r="L272" t="n">
        <v>0</v>
      </c>
      <c r="M272" t="n">
        <v>0</v>
      </c>
      <c r="N272" t="n">
        <v>0</v>
      </c>
      <c r="O272" t="n">
        <v>0</v>
      </c>
      <c r="P272" t="n">
        <v>0</v>
      </c>
      <c r="Q272" t="n">
        <v>0</v>
      </c>
      <c r="R272" s="2" t="inlineStr"/>
    </row>
    <row r="273" ht="15" customHeight="1">
      <c r="A273" t="inlineStr">
        <is>
          <t>A 26202-2020</t>
        </is>
      </c>
      <c r="B273" s="1" t="n">
        <v>43986</v>
      </c>
      <c r="C273" s="1" t="n">
        <v>45574</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26516-2020</t>
        </is>
      </c>
      <c r="B274" s="1" t="n">
        <v>43987</v>
      </c>
      <c r="C274" s="1" t="n">
        <v>45574</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26512-2020</t>
        </is>
      </c>
      <c r="B275" s="1" t="n">
        <v>43987</v>
      </c>
      <c r="C275" s="1" t="n">
        <v>45574</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29409-2020</t>
        </is>
      </c>
      <c r="B276" s="1" t="n">
        <v>44004</v>
      </c>
      <c r="C276" s="1" t="n">
        <v>45574</v>
      </c>
      <c r="D276" t="inlineStr">
        <is>
          <t>VÄRMLANDS LÄN</t>
        </is>
      </c>
      <c r="E276" t="inlineStr">
        <is>
          <t>ÅRJÄNG</t>
        </is>
      </c>
      <c r="G276" t="n">
        <v>0.7</v>
      </c>
      <c r="H276" t="n">
        <v>0</v>
      </c>
      <c r="I276" t="n">
        <v>0</v>
      </c>
      <c r="J276" t="n">
        <v>0</v>
      </c>
      <c r="K276" t="n">
        <v>0</v>
      </c>
      <c r="L276" t="n">
        <v>0</v>
      </c>
      <c r="M276" t="n">
        <v>0</v>
      </c>
      <c r="N276" t="n">
        <v>0</v>
      </c>
      <c r="O276" t="n">
        <v>0</v>
      </c>
      <c r="P276" t="n">
        <v>0</v>
      </c>
      <c r="Q276" t="n">
        <v>0</v>
      </c>
      <c r="R276" s="2" t="inlineStr"/>
    </row>
    <row r="277" ht="15" customHeight="1">
      <c r="A277" t="inlineStr">
        <is>
          <t>A 29438-2020</t>
        </is>
      </c>
      <c r="B277" s="1" t="n">
        <v>44004</v>
      </c>
      <c r="C277" s="1" t="n">
        <v>45574</v>
      </c>
      <c r="D277" t="inlineStr">
        <is>
          <t>VÄRMLANDS LÄN</t>
        </is>
      </c>
      <c r="E277" t="inlineStr">
        <is>
          <t>ÅRJÄNG</t>
        </is>
      </c>
      <c r="G277" t="n">
        <v>12.8</v>
      </c>
      <c r="H277" t="n">
        <v>0</v>
      </c>
      <c r="I277" t="n">
        <v>0</v>
      </c>
      <c r="J277" t="n">
        <v>0</v>
      </c>
      <c r="K277" t="n">
        <v>0</v>
      </c>
      <c r="L277" t="n">
        <v>0</v>
      </c>
      <c r="M277" t="n">
        <v>0</v>
      </c>
      <c r="N277" t="n">
        <v>0</v>
      </c>
      <c r="O277" t="n">
        <v>0</v>
      </c>
      <c r="P277" t="n">
        <v>0</v>
      </c>
      <c r="Q277" t="n">
        <v>0</v>
      </c>
      <c r="R277" s="2" t="inlineStr"/>
    </row>
    <row r="278" ht="15" customHeight="1">
      <c r="A278" t="inlineStr">
        <is>
          <t>A 29725-2020</t>
        </is>
      </c>
      <c r="B278" s="1" t="n">
        <v>44005</v>
      </c>
      <c r="C278" s="1" t="n">
        <v>45574</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29808-2020</t>
        </is>
      </c>
      <c r="B279" s="1" t="n">
        <v>44006</v>
      </c>
      <c r="C279" s="1" t="n">
        <v>45574</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29819-2020</t>
        </is>
      </c>
      <c r="B280" s="1" t="n">
        <v>44006</v>
      </c>
      <c r="C280" s="1" t="n">
        <v>45574</v>
      </c>
      <c r="D280" t="inlineStr">
        <is>
          <t>VÄRMLANDS LÄN</t>
        </is>
      </c>
      <c r="E280" t="inlineStr">
        <is>
          <t>ÅRJÄNG</t>
        </is>
      </c>
      <c r="G280" t="n">
        <v>2.7</v>
      </c>
      <c r="H280" t="n">
        <v>0</v>
      </c>
      <c r="I280" t="n">
        <v>0</v>
      </c>
      <c r="J280" t="n">
        <v>0</v>
      </c>
      <c r="K280" t="n">
        <v>0</v>
      </c>
      <c r="L280" t="n">
        <v>0</v>
      </c>
      <c r="M280" t="n">
        <v>0</v>
      </c>
      <c r="N280" t="n">
        <v>0</v>
      </c>
      <c r="O280" t="n">
        <v>0</v>
      </c>
      <c r="P280" t="n">
        <v>0</v>
      </c>
      <c r="Q280" t="n">
        <v>0</v>
      </c>
      <c r="R280" s="2" t="inlineStr"/>
    </row>
    <row r="281" ht="15" customHeight="1">
      <c r="A281" t="inlineStr">
        <is>
          <t>A 29829-2020</t>
        </is>
      </c>
      <c r="B281" s="1" t="n">
        <v>44006</v>
      </c>
      <c r="C281" s="1" t="n">
        <v>45574</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31521-2020</t>
        </is>
      </c>
      <c r="B282" s="1" t="n">
        <v>44013</v>
      </c>
      <c r="C282" s="1" t="n">
        <v>45574</v>
      </c>
      <c r="D282" t="inlineStr">
        <is>
          <t>VÄRMLANDS LÄN</t>
        </is>
      </c>
      <c r="E282" t="inlineStr">
        <is>
          <t>ÅRJÄNG</t>
        </is>
      </c>
      <c r="G282" t="n">
        <v>1</v>
      </c>
      <c r="H282" t="n">
        <v>0</v>
      </c>
      <c r="I282" t="n">
        <v>0</v>
      </c>
      <c r="J282" t="n">
        <v>0</v>
      </c>
      <c r="K282" t="n">
        <v>0</v>
      </c>
      <c r="L282" t="n">
        <v>0</v>
      </c>
      <c r="M282" t="n">
        <v>0</v>
      </c>
      <c r="N282" t="n">
        <v>0</v>
      </c>
      <c r="O282" t="n">
        <v>0</v>
      </c>
      <c r="P282" t="n">
        <v>0</v>
      </c>
      <c r="Q282" t="n">
        <v>0</v>
      </c>
      <c r="R282" s="2" t="inlineStr"/>
    </row>
    <row r="283" ht="15" customHeight="1">
      <c r="A283" t="inlineStr">
        <is>
          <t>A 31665-2020</t>
        </is>
      </c>
      <c r="B283" s="1" t="n">
        <v>44014</v>
      </c>
      <c r="C283" s="1" t="n">
        <v>45574</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31667-2020</t>
        </is>
      </c>
      <c r="B284" s="1" t="n">
        <v>44013</v>
      </c>
      <c r="C284" s="1" t="n">
        <v>45574</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32399-2020</t>
        </is>
      </c>
      <c r="B285" s="1" t="n">
        <v>44018</v>
      </c>
      <c r="C285" s="1" t="n">
        <v>45574</v>
      </c>
      <c r="D285" t="inlineStr">
        <is>
          <t>VÄRMLANDS LÄN</t>
        </is>
      </c>
      <c r="E285" t="inlineStr">
        <is>
          <t>ÅRJÄNG</t>
        </is>
      </c>
      <c r="G285" t="n">
        <v>2.3</v>
      </c>
      <c r="H285" t="n">
        <v>0</v>
      </c>
      <c r="I285" t="n">
        <v>0</v>
      </c>
      <c r="J285" t="n">
        <v>0</v>
      </c>
      <c r="K285" t="n">
        <v>0</v>
      </c>
      <c r="L285" t="n">
        <v>0</v>
      </c>
      <c r="M285" t="n">
        <v>0</v>
      </c>
      <c r="N285" t="n">
        <v>0</v>
      </c>
      <c r="O285" t="n">
        <v>0</v>
      </c>
      <c r="P285" t="n">
        <v>0</v>
      </c>
      <c r="Q285" t="n">
        <v>0</v>
      </c>
      <c r="R285" s="2" t="inlineStr"/>
    </row>
    <row r="286" ht="15" customHeight="1">
      <c r="A286" t="inlineStr">
        <is>
          <t>A 32956-2020</t>
        </is>
      </c>
      <c r="B286" s="1" t="n">
        <v>44019</v>
      </c>
      <c r="C286" s="1" t="n">
        <v>45574</v>
      </c>
      <c r="D286" t="inlineStr">
        <is>
          <t>VÄRMLANDS LÄN</t>
        </is>
      </c>
      <c r="E286" t="inlineStr">
        <is>
          <t>ÅRJÄNG</t>
        </is>
      </c>
      <c r="F286" t="inlineStr">
        <is>
          <t>Övriga Aktiebolag</t>
        </is>
      </c>
      <c r="G286" t="n">
        <v>3.8</v>
      </c>
      <c r="H286" t="n">
        <v>0</v>
      </c>
      <c r="I286" t="n">
        <v>0</v>
      </c>
      <c r="J286" t="n">
        <v>0</v>
      </c>
      <c r="K286" t="n">
        <v>0</v>
      </c>
      <c r="L286" t="n">
        <v>0</v>
      </c>
      <c r="M286" t="n">
        <v>0</v>
      </c>
      <c r="N286" t="n">
        <v>0</v>
      </c>
      <c r="O286" t="n">
        <v>0</v>
      </c>
      <c r="P286" t="n">
        <v>0</v>
      </c>
      <c r="Q286" t="n">
        <v>0</v>
      </c>
      <c r="R286" s="2" t="inlineStr"/>
    </row>
    <row r="287" ht="15" customHeight="1">
      <c r="A287" t="inlineStr">
        <is>
          <t>A 32962-2020</t>
        </is>
      </c>
      <c r="B287" s="1" t="n">
        <v>44019</v>
      </c>
      <c r="C287" s="1" t="n">
        <v>45574</v>
      </c>
      <c r="D287" t="inlineStr">
        <is>
          <t>VÄRMLANDS LÄN</t>
        </is>
      </c>
      <c r="E287" t="inlineStr">
        <is>
          <t>ÅRJÄNG</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34132-2020</t>
        </is>
      </c>
      <c r="B288" s="1" t="n">
        <v>44029</v>
      </c>
      <c r="C288" s="1" t="n">
        <v>45574</v>
      </c>
      <c r="D288" t="inlineStr">
        <is>
          <t>VÄRMLANDS LÄN</t>
        </is>
      </c>
      <c r="E288" t="inlineStr">
        <is>
          <t>ÅRJÄNG</t>
        </is>
      </c>
      <c r="G288" t="n">
        <v>5.3</v>
      </c>
      <c r="H288" t="n">
        <v>0</v>
      </c>
      <c r="I288" t="n">
        <v>0</v>
      </c>
      <c r="J288" t="n">
        <v>0</v>
      </c>
      <c r="K288" t="n">
        <v>0</v>
      </c>
      <c r="L288" t="n">
        <v>0</v>
      </c>
      <c r="M288" t="n">
        <v>0</v>
      </c>
      <c r="N288" t="n">
        <v>0</v>
      </c>
      <c r="O288" t="n">
        <v>0</v>
      </c>
      <c r="P288" t="n">
        <v>0</v>
      </c>
      <c r="Q288" t="n">
        <v>0</v>
      </c>
      <c r="R288" s="2" t="inlineStr"/>
    </row>
    <row r="289" ht="15" customHeight="1">
      <c r="A289" t="inlineStr">
        <is>
          <t>A 34834-2020</t>
        </is>
      </c>
      <c r="B289" s="1" t="n">
        <v>44036</v>
      </c>
      <c r="C289" s="1" t="n">
        <v>45574</v>
      </c>
      <c r="D289" t="inlineStr">
        <is>
          <t>VÄRMLANDS LÄN</t>
        </is>
      </c>
      <c r="E289" t="inlineStr">
        <is>
          <t>ÅRJÄNG</t>
        </is>
      </c>
      <c r="G289" t="n">
        <v>1.3</v>
      </c>
      <c r="H289" t="n">
        <v>0</v>
      </c>
      <c r="I289" t="n">
        <v>0</v>
      </c>
      <c r="J289" t="n">
        <v>0</v>
      </c>
      <c r="K289" t="n">
        <v>0</v>
      </c>
      <c r="L289" t="n">
        <v>0</v>
      </c>
      <c r="M289" t="n">
        <v>0</v>
      </c>
      <c r="N289" t="n">
        <v>0</v>
      </c>
      <c r="O289" t="n">
        <v>0</v>
      </c>
      <c r="P289" t="n">
        <v>0</v>
      </c>
      <c r="Q289" t="n">
        <v>0</v>
      </c>
      <c r="R289" s="2" t="inlineStr"/>
    </row>
    <row r="290" ht="15" customHeight="1">
      <c r="A290" t="inlineStr">
        <is>
          <t>A 34849-2020</t>
        </is>
      </c>
      <c r="B290" s="1" t="n">
        <v>44036</v>
      </c>
      <c r="C290" s="1" t="n">
        <v>45574</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34825-2020</t>
        </is>
      </c>
      <c r="B291" s="1" t="n">
        <v>44036</v>
      </c>
      <c r="C291" s="1" t="n">
        <v>45574</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34830-2020</t>
        </is>
      </c>
      <c r="B292" s="1" t="n">
        <v>44036</v>
      </c>
      <c r="C292" s="1" t="n">
        <v>45574</v>
      </c>
      <c r="D292" t="inlineStr">
        <is>
          <t>VÄRMLANDS LÄN</t>
        </is>
      </c>
      <c r="E292" t="inlineStr">
        <is>
          <t>ÅRJÄNG</t>
        </is>
      </c>
      <c r="G292" t="n">
        <v>0.8</v>
      </c>
      <c r="H292" t="n">
        <v>0</v>
      </c>
      <c r="I292" t="n">
        <v>0</v>
      </c>
      <c r="J292" t="n">
        <v>0</v>
      </c>
      <c r="K292" t="n">
        <v>0</v>
      </c>
      <c r="L292" t="n">
        <v>0</v>
      </c>
      <c r="M292" t="n">
        <v>0</v>
      </c>
      <c r="N292" t="n">
        <v>0</v>
      </c>
      <c r="O292" t="n">
        <v>0</v>
      </c>
      <c r="P292" t="n">
        <v>0</v>
      </c>
      <c r="Q292" t="n">
        <v>0</v>
      </c>
      <c r="R292" s="2" t="inlineStr"/>
    </row>
    <row r="293" ht="15" customHeight="1">
      <c r="A293" t="inlineStr">
        <is>
          <t>A 34835-2020</t>
        </is>
      </c>
      <c r="B293" s="1" t="n">
        <v>44036</v>
      </c>
      <c r="C293" s="1" t="n">
        <v>45574</v>
      </c>
      <c r="D293" t="inlineStr">
        <is>
          <t>VÄRMLANDS LÄN</t>
        </is>
      </c>
      <c r="E293" t="inlineStr">
        <is>
          <t>ÅRJÄNG</t>
        </is>
      </c>
      <c r="G293" t="n">
        <v>0.5</v>
      </c>
      <c r="H293" t="n">
        <v>0</v>
      </c>
      <c r="I293" t="n">
        <v>0</v>
      </c>
      <c r="J293" t="n">
        <v>0</v>
      </c>
      <c r="K293" t="n">
        <v>0</v>
      </c>
      <c r="L293" t="n">
        <v>0</v>
      </c>
      <c r="M293" t="n">
        <v>0</v>
      </c>
      <c r="N293" t="n">
        <v>0</v>
      </c>
      <c r="O293" t="n">
        <v>0</v>
      </c>
      <c r="P293" t="n">
        <v>0</v>
      </c>
      <c r="Q293" t="n">
        <v>0</v>
      </c>
      <c r="R293" s="2" t="inlineStr"/>
    </row>
    <row r="294" ht="15" customHeight="1">
      <c r="A294" t="inlineStr">
        <is>
          <t>A 34844-2020</t>
        </is>
      </c>
      <c r="B294" s="1" t="n">
        <v>44036</v>
      </c>
      <c r="C294" s="1" t="n">
        <v>45574</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34851-2020</t>
        </is>
      </c>
      <c r="B295" s="1" t="n">
        <v>44036</v>
      </c>
      <c r="C295" s="1" t="n">
        <v>45574</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34833-2020</t>
        </is>
      </c>
      <c r="B296" s="1" t="n">
        <v>44036</v>
      </c>
      <c r="C296" s="1" t="n">
        <v>45574</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34832-2020</t>
        </is>
      </c>
      <c r="B297" s="1" t="n">
        <v>44036</v>
      </c>
      <c r="C297" s="1" t="n">
        <v>45574</v>
      </c>
      <c r="D297" t="inlineStr">
        <is>
          <t>VÄRMLANDS LÄN</t>
        </is>
      </c>
      <c r="E297" t="inlineStr">
        <is>
          <t>ÅRJÄNG</t>
        </is>
      </c>
      <c r="G297" t="n">
        <v>3.1</v>
      </c>
      <c r="H297" t="n">
        <v>0</v>
      </c>
      <c r="I297" t="n">
        <v>0</v>
      </c>
      <c r="J297" t="n">
        <v>0</v>
      </c>
      <c r="K297" t="n">
        <v>0</v>
      </c>
      <c r="L297" t="n">
        <v>0</v>
      </c>
      <c r="M297" t="n">
        <v>0</v>
      </c>
      <c r="N297" t="n">
        <v>0</v>
      </c>
      <c r="O297" t="n">
        <v>0</v>
      </c>
      <c r="P297" t="n">
        <v>0</v>
      </c>
      <c r="Q297" t="n">
        <v>0</v>
      </c>
      <c r="R297" s="2" t="inlineStr"/>
    </row>
    <row r="298" ht="15" customHeight="1">
      <c r="A298" t="inlineStr">
        <is>
          <t>A 34827-2020</t>
        </is>
      </c>
      <c r="B298" s="1" t="n">
        <v>44036</v>
      </c>
      <c r="C298" s="1" t="n">
        <v>45574</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35163-2020</t>
        </is>
      </c>
      <c r="B299" s="1" t="n">
        <v>44040</v>
      </c>
      <c r="C299" s="1" t="n">
        <v>45574</v>
      </c>
      <c r="D299" t="inlineStr">
        <is>
          <t>VÄRMLANDS LÄN</t>
        </is>
      </c>
      <c r="E299" t="inlineStr">
        <is>
          <t>ÅRJÄNG</t>
        </is>
      </c>
      <c r="F299" t="inlineStr">
        <is>
          <t>Övriga Aktiebolag</t>
        </is>
      </c>
      <c r="G299" t="n">
        <v>2</v>
      </c>
      <c r="H299" t="n">
        <v>0</v>
      </c>
      <c r="I299" t="n">
        <v>0</v>
      </c>
      <c r="J299" t="n">
        <v>0</v>
      </c>
      <c r="K299" t="n">
        <v>0</v>
      </c>
      <c r="L299" t="n">
        <v>0</v>
      </c>
      <c r="M299" t="n">
        <v>0</v>
      </c>
      <c r="N299" t="n">
        <v>0</v>
      </c>
      <c r="O299" t="n">
        <v>0</v>
      </c>
      <c r="P299" t="n">
        <v>0</v>
      </c>
      <c r="Q299" t="n">
        <v>0</v>
      </c>
      <c r="R299" s="2" t="inlineStr"/>
    </row>
    <row r="300" ht="15" customHeight="1">
      <c r="A300" t="inlineStr">
        <is>
          <t>A 35410-2020</t>
        </is>
      </c>
      <c r="B300" s="1" t="n">
        <v>44042</v>
      </c>
      <c r="C300" s="1" t="n">
        <v>45574</v>
      </c>
      <c r="D300" t="inlineStr">
        <is>
          <t>VÄRMLANDS LÄN</t>
        </is>
      </c>
      <c r="E300" t="inlineStr">
        <is>
          <t>ÅRJÄNG</t>
        </is>
      </c>
      <c r="G300" t="n">
        <v>6.8</v>
      </c>
      <c r="H300" t="n">
        <v>0</v>
      </c>
      <c r="I300" t="n">
        <v>0</v>
      </c>
      <c r="J300" t="n">
        <v>0</v>
      </c>
      <c r="K300" t="n">
        <v>0</v>
      </c>
      <c r="L300" t="n">
        <v>0</v>
      </c>
      <c r="M300" t="n">
        <v>0</v>
      </c>
      <c r="N300" t="n">
        <v>0</v>
      </c>
      <c r="O300" t="n">
        <v>0</v>
      </c>
      <c r="P300" t="n">
        <v>0</v>
      </c>
      <c r="Q300" t="n">
        <v>0</v>
      </c>
      <c r="R300" s="2" t="inlineStr"/>
    </row>
    <row r="301" ht="15" customHeight="1">
      <c r="A301" t="inlineStr">
        <is>
          <t>A 35842-2020</t>
        </is>
      </c>
      <c r="B301" s="1" t="n">
        <v>44047</v>
      </c>
      <c r="C301" s="1" t="n">
        <v>45574</v>
      </c>
      <c r="D301" t="inlineStr">
        <is>
          <t>VÄRMLANDS LÄN</t>
        </is>
      </c>
      <c r="E301" t="inlineStr">
        <is>
          <t>ÅRJÄNG</t>
        </is>
      </c>
      <c r="G301" t="n">
        <v>2.6</v>
      </c>
      <c r="H301" t="n">
        <v>0</v>
      </c>
      <c r="I301" t="n">
        <v>0</v>
      </c>
      <c r="J301" t="n">
        <v>0</v>
      </c>
      <c r="K301" t="n">
        <v>0</v>
      </c>
      <c r="L301" t="n">
        <v>0</v>
      </c>
      <c r="M301" t="n">
        <v>0</v>
      </c>
      <c r="N301" t="n">
        <v>0</v>
      </c>
      <c r="O301" t="n">
        <v>0</v>
      </c>
      <c r="P301" t="n">
        <v>0</v>
      </c>
      <c r="Q301" t="n">
        <v>0</v>
      </c>
      <c r="R301" s="2" t="inlineStr"/>
    </row>
    <row r="302" ht="15" customHeight="1">
      <c r="A302" t="inlineStr">
        <is>
          <t>A 36537-2020</t>
        </is>
      </c>
      <c r="B302" s="1" t="n">
        <v>44050</v>
      </c>
      <c r="C302" s="1" t="n">
        <v>45574</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37058-2020</t>
        </is>
      </c>
      <c r="B303" s="1" t="n">
        <v>44054</v>
      </c>
      <c r="C303" s="1" t="n">
        <v>45574</v>
      </c>
      <c r="D303" t="inlineStr">
        <is>
          <t>VÄRMLANDS LÄN</t>
        </is>
      </c>
      <c r="E303" t="inlineStr">
        <is>
          <t>ÅRJÄNG</t>
        </is>
      </c>
      <c r="G303" t="n">
        <v>3</v>
      </c>
      <c r="H303" t="n">
        <v>0</v>
      </c>
      <c r="I303" t="n">
        <v>0</v>
      </c>
      <c r="J303" t="n">
        <v>0</v>
      </c>
      <c r="K303" t="n">
        <v>0</v>
      </c>
      <c r="L303" t="n">
        <v>0</v>
      </c>
      <c r="M303" t="n">
        <v>0</v>
      </c>
      <c r="N303" t="n">
        <v>0</v>
      </c>
      <c r="O303" t="n">
        <v>0</v>
      </c>
      <c r="P303" t="n">
        <v>0</v>
      </c>
      <c r="Q303" t="n">
        <v>0</v>
      </c>
      <c r="R303" s="2" t="inlineStr"/>
    </row>
    <row r="304" ht="15" customHeight="1">
      <c r="A304" t="inlineStr">
        <is>
          <t>A 37010-2020</t>
        </is>
      </c>
      <c r="B304" s="1" t="n">
        <v>44054</v>
      </c>
      <c r="C304" s="1" t="n">
        <v>45574</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38177-2020</t>
        </is>
      </c>
      <c r="B305" s="1" t="n">
        <v>44060</v>
      </c>
      <c r="C305" s="1" t="n">
        <v>45574</v>
      </c>
      <c r="D305" t="inlineStr">
        <is>
          <t>VÄRMLANDS LÄN</t>
        </is>
      </c>
      <c r="E305" t="inlineStr">
        <is>
          <t>ÅRJÄNG</t>
        </is>
      </c>
      <c r="F305" t="inlineStr">
        <is>
          <t>Övriga Aktiebolag</t>
        </is>
      </c>
      <c r="G305" t="n">
        <v>9</v>
      </c>
      <c r="H305" t="n">
        <v>0</v>
      </c>
      <c r="I305" t="n">
        <v>0</v>
      </c>
      <c r="J305" t="n">
        <v>0</v>
      </c>
      <c r="K305" t="n">
        <v>0</v>
      </c>
      <c r="L305" t="n">
        <v>0</v>
      </c>
      <c r="M305" t="n">
        <v>0</v>
      </c>
      <c r="N305" t="n">
        <v>0</v>
      </c>
      <c r="O305" t="n">
        <v>0</v>
      </c>
      <c r="P305" t="n">
        <v>0</v>
      </c>
      <c r="Q305" t="n">
        <v>0</v>
      </c>
      <c r="R305" s="2" t="inlineStr"/>
    </row>
    <row r="306" ht="15" customHeight="1">
      <c r="A306" t="inlineStr">
        <is>
          <t>A 38696-2020</t>
        </is>
      </c>
      <c r="B306" s="1" t="n">
        <v>44061</v>
      </c>
      <c r="C306" s="1" t="n">
        <v>45574</v>
      </c>
      <c r="D306" t="inlineStr">
        <is>
          <t>VÄRMLANDS LÄN</t>
        </is>
      </c>
      <c r="E306" t="inlineStr">
        <is>
          <t>ÅRJÄNG</t>
        </is>
      </c>
      <c r="G306" t="n">
        <v>1.6</v>
      </c>
      <c r="H306" t="n">
        <v>0</v>
      </c>
      <c r="I306" t="n">
        <v>0</v>
      </c>
      <c r="J306" t="n">
        <v>0</v>
      </c>
      <c r="K306" t="n">
        <v>0</v>
      </c>
      <c r="L306" t="n">
        <v>0</v>
      </c>
      <c r="M306" t="n">
        <v>0</v>
      </c>
      <c r="N306" t="n">
        <v>0</v>
      </c>
      <c r="O306" t="n">
        <v>0</v>
      </c>
      <c r="P306" t="n">
        <v>0</v>
      </c>
      <c r="Q306" t="n">
        <v>0</v>
      </c>
      <c r="R306" s="2" t="inlineStr"/>
    </row>
    <row r="307" ht="15" customHeight="1">
      <c r="A307" t="inlineStr">
        <is>
          <t>A 39215-2020</t>
        </is>
      </c>
      <c r="B307" s="1" t="n">
        <v>44063</v>
      </c>
      <c r="C307" s="1" t="n">
        <v>45574</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40553-2020</t>
        </is>
      </c>
      <c r="B308" s="1" t="n">
        <v>44069</v>
      </c>
      <c r="C308" s="1" t="n">
        <v>45574</v>
      </c>
      <c r="D308" t="inlineStr">
        <is>
          <t>VÄRMLANDS LÄN</t>
        </is>
      </c>
      <c r="E308" t="inlineStr">
        <is>
          <t>ÅRJÄNG</t>
        </is>
      </c>
      <c r="G308" t="n">
        <v>5.6</v>
      </c>
      <c r="H308" t="n">
        <v>0</v>
      </c>
      <c r="I308" t="n">
        <v>0</v>
      </c>
      <c r="J308" t="n">
        <v>0</v>
      </c>
      <c r="K308" t="n">
        <v>0</v>
      </c>
      <c r="L308" t="n">
        <v>0</v>
      </c>
      <c r="M308" t="n">
        <v>0</v>
      </c>
      <c r="N308" t="n">
        <v>0</v>
      </c>
      <c r="O308" t="n">
        <v>0</v>
      </c>
      <c r="P308" t="n">
        <v>0</v>
      </c>
      <c r="Q308" t="n">
        <v>0</v>
      </c>
      <c r="R308" s="2" t="inlineStr"/>
    </row>
    <row r="309" ht="15" customHeight="1">
      <c r="A309" t="inlineStr">
        <is>
          <t>A 40572-2020</t>
        </is>
      </c>
      <c r="B309" s="1" t="n">
        <v>44069</v>
      </c>
      <c r="C309" s="1" t="n">
        <v>45574</v>
      </c>
      <c r="D309" t="inlineStr">
        <is>
          <t>VÄRMLANDS LÄN</t>
        </is>
      </c>
      <c r="E309" t="inlineStr">
        <is>
          <t>ÅRJÄNG</t>
        </is>
      </c>
      <c r="G309" t="n">
        <v>15.8</v>
      </c>
      <c r="H309" t="n">
        <v>0</v>
      </c>
      <c r="I309" t="n">
        <v>0</v>
      </c>
      <c r="J309" t="n">
        <v>0</v>
      </c>
      <c r="K309" t="n">
        <v>0</v>
      </c>
      <c r="L309" t="n">
        <v>0</v>
      </c>
      <c r="M309" t="n">
        <v>0</v>
      </c>
      <c r="N309" t="n">
        <v>0</v>
      </c>
      <c r="O309" t="n">
        <v>0</v>
      </c>
      <c r="P309" t="n">
        <v>0</v>
      </c>
      <c r="Q309" t="n">
        <v>0</v>
      </c>
      <c r="R309" s="2" t="inlineStr"/>
    </row>
    <row r="310" ht="15" customHeight="1">
      <c r="A310" t="inlineStr">
        <is>
          <t>A 40781-2020</t>
        </is>
      </c>
      <c r="B310" s="1" t="n">
        <v>44070</v>
      </c>
      <c r="C310" s="1" t="n">
        <v>45574</v>
      </c>
      <c r="D310" t="inlineStr">
        <is>
          <t>VÄRMLANDS LÄN</t>
        </is>
      </c>
      <c r="E310" t="inlineStr">
        <is>
          <t>ÅRJÄNG</t>
        </is>
      </c>
      <c r="G310" t="n">
        <v>7.8</v>
      </c>
      <c r="H310" t="n">
        <v>0</v>
      </c>
      <c r="I310" t="n">
        <v>0</v>
      </c>
      <c r="J310" t="n">
        <v>0</v>
      </c>
      <c r="K310" t="n">
        <v>0</v>
      </c>
      <c r="L310" t="n">
        <v>0</v>
      </c>
      <c r="M310" t="n">
        <v>0</v>
      </c>
      <c r="N310" t="n">
        <v>0</v>
      </c>
      <c r="O310" t="n">
        <v>0</v>
      </c>
      <c r="P310" t="n">
        <v>0</v>
      </c>
      <c r="Q310" t="n">
        <v>0</v>
      </c>
      <c r="R310" s="2" t="inlineStr"/>
    </row>
    <row r="311" ht="15" customHeight="1">
      <c r="A311" t="inlineStr">
        <is>
          <t>A 42431-2020</t>
        </is>
      </c>
      <c r="B311" s="1" t="n">
        <v>44074</v>
      </c>
      <c r="C311" s="1" t="n">
        <v>45574</v>
      </c>
      <c r="D311" t="inlineStr">
        <is>
          <t>VÄRMLANDS LÄN</t>
        </is>
      </c>
      <c r="E311" t="inlineStr">
        <is>
          <t>ÅRJÄNG</t>
        </is>
      </c>
      <c r="G311" t="n">
        <v>1.7</v>
      </c>
      <c r="H311" t="n">
        <v>0</v>
      </c>
      <c r="I311" t="n">
        <v>0</v>
      </c>
      <c r="J311" t="n">
        <v>0</v>
      </c>
      <c r="K311" t="n">
        <v>0</v>
      </c>
      <c r="L311" t="n">
        <v>0</v>
      </c>
      <c r="M311" t="n">
        <v>0</v>
      </c>
      <c r="N311" t="n">
        <v>0</v>
      </c>
      <c r="O311" t="n">
        <v>0</v>
      </c>
      <c r="P311" t="n">
        <v>0</v>
      </c>
      <c r="Q311" t="n">
        <v>0</v>
      </c>
      <c r="R311" s="2" t="inlineStr"/>
    </row>
    <row r="312" ht="15" customHeight="1">
      <c r="A312" t="inlineStr">
        <is>
          <t>A 42427-2020</t>
        </is>
      </c>
      <c r="B312" s="1" t="n">
        <v>44074</v>
      </c>
      <c r="C312" s="1" t="n">
        <v>45574</v>
      </c>
      <c r="D312" t="inlineStr">
        <is>
          <t>VÄRMLANDS LÄN</t>
        </is>
      </c>
      <c r="E312" t="inlineStr">
        <is>
          <t>ÅRJÄNG</t>
        </is>
      </c>
      <c r="G312" t="n">
        <v>2.8</v>
      </c>
      <c r="H312" t="n">
        <v>0</v>
      </c>
      <c r="I312" t="n">
        <v>0</v>
      </c>
      <c r="J312" t="n">
        <v>0</v>
      </c>
      <c r="K312" t="n">
        <v>0</v>
      </c>
      <c r="L312" t="n">
        <v>0</v>
      </c>
      <c r="M312" t="n">
        <v>0</v>
      </c>
      <c r="N312" t="n">
        <v>0</v>
      </c>
      <c r="O312" t="n">
        <v>0</v>
      </c>
      <c r="P312" t="n">
        <v>0</v>
      </c>
      <c r="Q312" t="n">
        <v>0</v>
      </c>
      <c r="R312" s="2" t="inlineStr"/>
    </row>
    <row r="313" ht="15" customHeight="1">
      <c r="A313" t="inlineStr">
        <is>
          <t>A 42267-2020</t>
        </is>
      </c>
      <c r="B313" s="1" t="n">
        <v>44076</v>
      </c>
      <c r="C313" s="1" t="n">
        <v>45574</v>
      </c>
      <c r="D313" t="inlineStr">
        <is>
          <t>VÄRMLANDS LÄN</t>
        </is>
      </c>
      <c r="E313" t="inlineStr">
        <is>
          <t>ÅRJÄNG</t>
        </is>
      </c>
      <c r="G313" t="n">
        <v>1.3</v>
      </c>
      <c r="H313" t="n">
        <v>0</v>
      </c>
      <c r="I313" t="n">
        <v>0</v>
      </c>
      <c r="J313" t="n">
        <v>0</v>
      </c>
      <c r="K313" t="n">
        <v>0</v>
      </c>
      <c r="L313" t="n">
        <v>0</v>
      </c>
      <c r="M313" t="n">
        <v>0</v>
      </c>
      <c r="N313" t="n">
        <v>0</v>
      </c>
      <c r="O313" t="n">
        <v>0</v>
      </c>
      <c r="P313" t="n">
        <v>0</v>
      </c>
      <c r="Q313" t="n">
        <v>0</v>
      </c>
      <c r="R313" s="2" t="inlineStr"/>
    </row>
    <row r="314" ht="15" customHeight="1">
      <c r="A314" t="inlineStr">
        <is>
          <t>A 43267-2020</t>
        </is>
      </c>
      <c r="B314" s="1" t="n">
        <v>44081</v>
      </c>
      <c r="C314" s="1" t="n">
        <v>45574</v>
      </c>
      <c r="D314" t="inlineStr">
        <is>
          <t>VÄRMLANDS LÄN</t>
        </is>
      </c>
      <c r="E314" t="inlineStr">
        <is>
          <t>ÅRJÄNG</t>
        </is>
      </c>
      <c r="G314" t="n">
        <v>6.6</v>
      </c>
      <c r="H314" t="n">
        <v>0</v>
      </c>
      <c r="I314" t="n">
        <v>0</v>
      </c>
      <c r="J314" t="n">
        <v>0</v>
      </c>
      <c r="K314" t="n">
        <v>0</v>
      </c>
      <c r="L314" t="n">
        <v>0</v>
      </c>
      <c r="M314" t="n">
        <v>0</v>
      </c>
      <c r="N314" t="n">
        <v>0</v>
      </c>
      <c r="O314" t="n">
        <v>0</v>
      </c>
      <c r="P314" t="n">
        <v>0</v>
      </c>
      <c r="Q314" t="n">
        <v>0</v>
      </c>
      <c r="R314" s="2" t="inlineStr"/>
    </row>
    <row r="315" ht="15" customHeight="1">
      <c r="A315" t="inlineStr">
        <is>
          <t>A 44298-2020</t>
        </is>
      </c>
      <c r="B315" s="1" t="n">
        <v>44084</v>
      </c>
      <c r="C315" s="1" t="n">
        <v>45574</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44319-2020</t>
        </is>
      </c>
      <c r="B316" s="1" t="n">
        <v>44084</v>
      </c>
      <c r="C316" s="1" t="n">
        <v>45574</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45971-2020</t>
        </is>
      </c>
      <c r="B317" s="1" t="n">
        <v>44091</v>
      </c>
      <c r="C317" s="1" t="n">
        <v>45574</v>
      </c>
      <c r="D317" t="inlineStr">
        <is>
          <t>VÄRMLANDS LÄN</t>
        </is>
      </c>
      <c r="E317" t="inlineStr">
        <is>
          <t>ÅRJÄNG</t>
        </is>
      </c>
      <c r="G317" t="n">
        <v>12.7</v>
      </c>
      <c r="H317" t="n">
        <v>0</v>
      </c>
      <c r="I317" t="n">
        <v>0</v>
      </c>
      <c r="J317" t="n">
        <v>0</v>
      </c>
      <c r="K317" t="n">
        <v>0</v>
      </c>
      <c r="L317" t="n">
        <v>0</v>
      </c>
      <c r="M317" t="n">
        <v>0</v>
      </c>
      <c r="N317" t="n">
        <v>0</v>
      </c>
      <c r="O317" t="n">
        <v>0</v>
      </c>
      <c r="P317" t="n">
        <v>0</v>
      </c>
      <c r="Q317" t="n">
        <v>0</v>
      </c>
      <c r="R317" s="2" t="inlineStr"/>
    </row>
    <row r="318" ht="15" customHeight="1">
      <c r="A318" t="inlineStr">
        <is>
          <t>A 46002-2020</t>
        </is>
      </c>
      <c r="B318" s="1" t="n">
        <v>44091</v>
      </c>
      <c r="C318" s="1" t="n">
        <v>45574</v>
      </c>
      <c r="D318" t="inlineStr">
        <is>
          <t>VÄRMLANDS LÄN</t>
        </is>
      </c>
      <c r="E318" t="inlineStr">
        <is>
          <t>ÅRJÄNG</t>
        </is>
      </c>
      <c r="G318" t="n">
        <v>1.6</v>
      </c>
      <c r="H318" t="n">
        <v>0</v>
      </c>
      <c r="I318" t="n">
        <v>0</v>
      </c>
      <c r="J318" t="n">
        <v>0</v>
      </c>
      <c r="K318" t="n">
        <v>0</v>
      </c>
      <c r="L318" t="n">
        <v>0</v>
      </c>
      <c r="M318" t="n">
        <v>0</v>
      </c>
      <c r="N318" t="n">
        <v>0</v>
      </c>
      <c r="O318" t="n">
        <v>0</v>
      </c>
      <c r="P318" t="n">
        <v>0</v>
      </c>
      <c r="Q318" t="n">
        <v>0</v>
      </c>
      <c r="R318" s="2" t="inlineStr"/>
    </row>
    <row r="319" ht="15" customHeight="1">
      <c r="A319" t="inlineStr">
        <is>
          <t>A 46981-2020</t>
        </is>
      </c>
      <c r="B319" s="1" t="n">
        <v>44096</v>
      </c>
      <c r="C319" s="1" t="n">
        <v>45574</v>
      </c>
      <c r="D319" t="inlineStr">
        <is>
          <t>VÄRMLANDS LÄN</t>
        </is>
      </c>
      <c r="E319" t="inlineStr">
        <is>
          <t>ÅRJÄNG</t>
        </is>
      </c>
      <c r="G319" t="n">
        <v>5.1</v>
      </c>
      <c r="H319" t="n">
        <v>0</v>
      </c>
      <c r="I319" t="n">
        <v>0</v>
      </c>
      <c r="J319" t="n">
        <v>0</v>
      </c>
      <c r="K319" t="n">
        <v>0</v>
      </c>
      <c r="L319" t="n">
        <v>0</v>
      </c>
      <c r="M319" t="n">
        <v>0</v>
      </c>
      <c r="N319" t="n">
        <v>0</v>
      </c>
      <c r="O319" t="n">
        <v>0</v>
      </c>
      <c r="P319" t="n">
        <v>0</v>
      </c>
      <c r="Q319" t="n">
        <v>0</v>
      </c>
      <c r="R319" s="2" t="inlineStr"/>
    </row>
    <row r="320" ht="15" customHeight="1">
      <c r="A320" t="inlineStr">
        <is>
          <t>A 47394-2020</t>
        </is>
      </c>
      <c r="B320" s="1" t="n">
        <v>44097</v>
      </c>
      <c r="C320" s="1" t="n">
        <v>45574</v>
      </c>
      <c r="D320" t="inlineStr">
        <is>
          <t>VÄRMLANDS LÄN</t>
        </is>
      </c>
      <c r="E320" t="inlineStr">
        <is>
          <t>ÅRJÄNG</t>
        </is>
      </c>
      <c r="G320" t="n">
        <v>1.6</v>
      </c>
      <c r="H320" t="n">
        <v>0</v>
      </c>
      <c r="I320" t="n">
        <v>0</v>
      </c>
      <c r="J320" t="n">
        <v>0</v>
      </c>
      <c r="K320" t="n">
        <v>0</v>
      </c>
      <c r="L320" t="n">
        <v>0</v>
      </c>
      <c r="M320" t="n">
        <v>0</v>
      </c>
      <c r="N320" t="n">
        <v>0</v>
      </c>
      <c r="O320" t="n">
        <v>0</v>
      </c>
      <c r="P320" t="n">
        <v>0</v>
      </c>
      <c r="Q320" t="n">
        <v>0</v>
      </c>
      <c r="R320" s="2" t="inlineStr"/>
    </row>
    <row r="321" ht="15" customHeight="1">
      <c r="A321" t="inlineStr">
        <is>
          <t>A 48089-2020</t>
        </is>
      </c>
      <c r="B321" s="1" t="n">
        <v>44101</v>
      </c>
      <c r="C321" s="1" t="n">
        <v>45574</v>
      </c>
      <c r="D321" t="inlineStr">
        <is>
          <t>VÄRMLANDS LÄN</t>
        </is>
      </c>
      <c r="E321" t="inlineStr">
        <is>
          <t>ÅRJÄNG</t>
        </is>
      </c>
      <c r="G321" t="n">
        <v>6.7</v>
      </c>
      <c r="H321" t="n">
        <v>0</v>
      </c>
      <c r="I321" t="n">
        <v>0</v>
      </c>
      <c r="J321" t="n">
        <v>0</v>
      </c>
      <c r="K321" t="n">
        <v>0</v>
      </c>
      <c r="L321" t="n">
        <v>0</v>
      </c>
      <c r="M321" t="n">
        <v>0</v>
      </c>
      <c r="N321" t="n">
        <v>0</v>
      </c>
      <c r="O321" t="n">
        <v>0</v>
      </c>
      <c r="P321" t="n">
        <v>0</v>
      </c>
      <c r="Q321" t="n">
        <v>0</v>
      </c>
      <c r="R321" s="2" t="inlineStr"/>
    </row>
    <row r="322" ht="15" customHeight="1">
      <c r="A322" t="inlineStr">
        <is>
          <t>A 48374-2020</t>
        </is>
      </c>
      <c r="B322" s="1" t="n">
        <v>44102</v>
      </c>
      <c r="C322" s="1" t="n">
        <v>45574</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48132-2020</t>
        </is>
      </c>
      <c r="B323" s="1" t="n">
        <v>44102</v>
      </c>
      <c r="C323" s="1" t="n">
        <v>45574</v>
      </c>
      <c r="D323" t="inlineStr">
        <is>
          <t>VÄRMLANDS LÄN</t>
        </is>
      </c>
      <c r="E323" t="inlineStr">
        <is>
          <t>ÅRJÄNG</t>
        </is>
      </c>
      <c r="G323" t="n">
        <v>4.1</v>
      </c>
      <c r="H323" t="n">
        <v>0</v>
      </c>
      <c r="I323" t="n">
        <v>0</v>
      </c>
      <c r="J323" t="n">
        <v>0</v>
      </c>
      <c r="K323" t="n">
        <v>0</v>
      </c>
      <c r="L323" t="n">
        <v>0</v>
      </c>
      <c r="M323" t="n">
        <v>0</v>
      </c>
      <c r="N323" t="n">
        <v>0</v>
      </c>
      <c r="O323" t="n">
        <v>0</v>
      </c>
      <c r="P323" t="n">
        <v>0</v>
      </c>
      <c r="Q323" t="n">
        <v>0</v>
      </c>
      <c r="R323" s="2" t="inlineStr"/>
    </row>
    <row r="324" ht="15" customHeight="1">
      <c r="A324" t="inlineStr">
        <is>
          <t>A 48594-2020</t>
        </is>
      </c>
      <c r="B324" s="1" t="n">
        <v>44103</v>
      </c>
      <c r="C324" s="1" t="n">
        <v>45574</v>
      </c>
      <c r="D324" t="inlineStr">
        <is>
          <t>VÄRMLANDS LÄN</t>
        </is>
      </c>
      <c r="E324" t="inlineStr">
        <is>
          <t>ÅRJÄNG</t>
        </is>
      </c>
      <c r="G324" t="n">
        <v>1.5</v>
      </c>
      <c r="H324" t="n">
        <v>0</v>
      </c>
      <c r="I324" t="n">
        <v>0</v>
      </c>
      <c r="J324" t="n">
        <v>0</v>
      </c>
      <c r="K324" t="n">
        <v>0</v>
      </c>
      <c r="L324" t="n">
        <v>0</v>
      </c>
      <c r="M324" t="n">
        <v>0</v>
      </c>
      <c r="N324" t="n">
        <v>0</v>
      </c>
      <c r="O324" t="n">
        <v>0</v>
      </c>
      <c r="P324" t="n">
        <v>0</v>
      </c>
      <c r="Q324" t="n">
        <v>0</v>
      </c>
      <c r="R324" s="2" t="inlineStr"/>
    </row>
    <row r="325" ht="15" customHeight="1">
      <c r="A325" t="inlineStr">
        <is>
          <t>A 48652-2020</t>
        </is>
      </c>
      <c r="B325" s="1" t="n">
        <v>44103</v>
      </c>
      <c r="C325" s="1" t="n">
        <v>45574</v>
      </c>
      <c r="D325" t="inlineStr">
        <is>
          <t>VÄRMLANDS LÄN</t>
        </is>
      </c>
      <c r="E325" t="inlineStr">
        <is>
          <t>ÅRJÄNG</t>
        </is>
      </c>
      <c r="G325" t="n">
        <v>4.9</v>
      </c>
      <c r="H325" t="n">
        <v>0</v>
      </c>
      <c r="I325" t="n">
        <v>0</v>
      </c>
      <c r="J325" t="n">
        <v>0</v>
      </c>
      <c r="K325" t="n">
        <v>0</v>
      </c>
      <c r="L325" t="n">
        <v>0</v>
      </c>
      <c r="M325" t="n">
        <v>0</v>
      </c>
      <c r="N325" t="n">
        <v>0</v>
      </c>
      <c r="O325" t="n">
        <v>0</v>
      </c>
      <c r="P325" t="n">
        <v>0</v>
      </c>
      <c r="Q325" t="n">
        <v>0</v>
      </c>
      <c r="R325" s="2" t="inlineStr"/>
    </row>
    <row r="326" ht="15" customHeight="1">
      <c r="A326" t="inlineStr">
        <is>
          <t>A 50664-2020</t>
        </is>
      </c>
      <c r="B326" s="1" t="n">
        <v>44105</v>
      </c>
      <c r="C326" s="1" t="n">
        <v>45574</v>
      </c>
      <c r="D326" t="inlineStr">
        <is>
          <t>VÄRMLANDS LÄN</t>
        </is>
      </c>
      <c r="E326" t="inlineStr">
        <is>
          <t>ÅRJÄNG</t>
        </is>
      </c>
      <c r="G326" t="n">
        <v>2.3</v>
      </c>
      <c r="H326" t="n">
        <v>0</v>
      </c>
      <c r="I326" t="n">
        <v>0</v>
      </c>
      <c r="J326" t="n">
        <v>0</v>
      </c>
      <c r="K326" t="n">
        <v>0</v>
      </c>
      <c r="L326" t="n">
        <v>0</v>
      </c>
      <c r="M326" t="n">
        <v>0</v>
      </c>
      <c r="N326" t="n">
        <v>0</v>
      </c>
      <c r="O326" t="n">
        <v>0</v>
      </c>
      <c r="P326" t="n">
        <v>0</v>
      </c>
      <c r="Q326" t="n">
        <v>0</v>
      </c>
      <c r="R326" s="2" t="inlineStr"/>
    </row>
    <row r="327" ht="15" customHeight="1">
      <c r="A327" t="inlineStr">
        <is>
          <t>A 49945-2020</t>
        </is>
      </c>
      <c r="B327" s="1" t="n">
        <v>44109</v>
      </c>
      <c r="C327" s="1" t="n">
        <v>45574</v>
      </c>
      <c r="D327" t="inlineStr">
        <is>
          <t>VÄRMLANDS LÄN</t>
        </is>
      </c>
      <c r="E327" t="inlineStr">
        <is>
          <t>ÅRJÄNG</t>
        </is>
      </c>
      <c r="G327" t="n">
        <v>11.7</v>
      </c>
      <c r="H327" t="n">
        <v>0</v>
      </c>
      <c r="I327" t="n">
        <v>0</v>
      </c>
      <c r="J327" t="n">
        <v>0</v>
      </c>
      <c r="K327" t="n">
        <v>0</v>
      </c>
      <c r="L327" t="n">
        <v>0</v>
      </c>
      <c r="M327" t="n">
        <v>0</v>
      </c>
      <c r="N327" t="n">
        <v>0</v>
      </c>
      <c r="O327" t="n">
        <v>0</v>
      </c>
      <c r="P327" t="n">
        <v>0</v>
      </c>
      <c r="Q327" t="n">
        <v>0</v>
      </c>
      <c r="R327" s="2" t="inlineStr"/>
    </row>
    <row r="328" ht="15" customHeight="1">
      <c r="A328" t="inlineStr">
        <is>
          <t>A 50296-2020</t>
        </is>
      </c>
      <c r="B328" s="1" t="n">
        <v>44110</v>
      </c>
      <c r="C328" s="1" t="n">
        <v>45574</v>
      </c>
      <c r="D328" t="inlineStr">
        <is>
          <t>VÄRMLANDS LÄN</t>
        </is>
      </c>
      <c r="E328" t="inlineStr">
        <is>
          <t>ÅRJÄNG</t>
        </is>
      </c>
      <c r="G328" t="n">
        <v>7.4</v>
      </c>
      <c r="H328" t="n">
        <v>0</v>
      </c>
      <c r="I328" t="n">
        <v>0</v>
      </c>
      <c r="J328" t="n">
        <v>0</v>
      </c>
      <c r="K328" t="n">
        <v>0</v>
      </c>
      <c r="L328" t="n">
        <v>0</v>
      </c>
      <c r="M328" t="n">
        <v>0</v>
      </c>
      <c r="N328" t="n">
        <v>0</v>
      </c>
      <c r="O328" t="n">
        <v>0</v>
      </c>
      <c r="P328" t="n">
        <v>0</v>
      </c>
      <c r="Q328" t="n">
        <v>0</v>
      </c>
      <c r="R328" s="2" t="inlineStr"/>
    </row>
    <row r="329" ht="15" customHeight="1">
      <c r="A329" t="inlineStr">
        <is>
          <t>A 50295-2020</t>
        </is>
      </c>
      <c r="B329" s="1" t="n">
        <v>44110</v>
      </c>
      <c r="C329" s="1" t="n">
        <v>45574</v>
      </c>
      <c r="D329" t="inlineStr">
        <is>
          <t>VÄRMLANDS LÄN</t>
        </is>
      </c>
      <c r="E329" t="inlineStr">
        <is>
          <t>ÅRJÄNG</t>
        </is>
      </c>
      <c r="G329" t="n">
        <v>3.5</v>
      </c>
      <c r="H329" t="n">
        <v>0</v>
      </c>
      <c r="I329" t="n">
        <v>0</v>
      </c>
      <c r="J329" t="n">
        <v>0</v>
      </c>
      <c r="K329" t="n">
        <v>0</v>
      </c>
      <c r="L329" t="n">
        <v>0</v>
      </c>
      <c r="M329" t="n">
        <v>0</v>
      </c>
      <c r="N329" t="n">
        <v>0</v>
      </c>
      <c r="O329" t="n">
        <v>0</v>
      </c>
      <c r="P329" t="n">
        <v>0</v>
      </c>
      <c r="Q329" t="n">
        <v>0</v>
      </c>
      <c r="R329" s="2" t="inlineStr"/>
    </row>
    <row r="330" ht="15" customHeight="1">
      <c r="A330" t="inlineStr">
        <is>
          <t>A 51455-2020</t>
        </is>
      </c>
      <c r="B330" s="1" t="n">
        <v>44113</v>
      </c>
      <c r="C330" s="1" t="n">
        <v>45574</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53235-2020</t>
        </is>
      </c>
      <c r="B331" s="1" t="n">
        <v>44123</v>
      </c>
      <c r="C331" s="1" t="n">
        <v>45574</v>
      </c>
      <c r="D331" t="inlineStr">
        <is>
          <t>VÄRMLANDS LÄN</t>
        </is>
      </c>
      <c r="E331" t="inlineStr">
        <is>
          <t>ÅRJÄNG</t>
        </is>
      </c>
      <c r="G331" t="n">
        <v>3.9</v>
      </c>
      <c r="H331" t="n">
        <v>0</v>
      </c>
      <c r="I331" t="n">
        <v>0</v>
      </c>
      <c r="J331" t="n">
        <v>0</v>
      </c>
      <c r="K331" t="n">
        <v>0</v>
      </c>
      <c r="L331" t="n">
        <v>0</v>
      </c>
      <c r="M331" t="n">
        <v>0</v>
      </c>
      <c r="N331" t="n">
        <v>0</v>
      </c>
      <c r="O331" t="n">
        <v>0</v>
      </c>
      <c r="P331" t="n">
        <v>0</v>
      </c>
      <c r="Q331" t="n">
        <v>0</v>
      </c>
      <c r="R331" s="2" t="inlineStr"/>
    </row>
    <row r="332" ht="15" customHeight="1">
      <c r="A332" t="inlineStr">
        <is>
          <t>A 56849-2020</t>
        </is>
      </c>
      <c r="B332" s="1" t="n">
        <v>44134</v>
      </c>
      <c r="C332" s="1" t="n">
        <v>45574</v>
      </c>
      <c r="D332" t="inlineStr">
        <is>
          <t>VÄRMLANDS LÄN</t>
        </is>
      </c>
      <c r="E332" t="inlineStr">
        <is>
          <t>ÅRJÄNG</t>
        </is>
      </c>
      <c r="G332" t="n">
        <v>5.1</v>
      </c>
      <c r="H332" t="n">
        <v>0</v>
      </c>
      <c r="I332" t="n">
        <v>0</v>
      </c>
      <c r="J332" t="n">
        <v>0</v>
      </c>
      <c r="K332" t="n">
        <v>0</v>
      </c>
      <c r="L332" t="n">
        <v>0</v>
      </c>
      <c r="M332" t="n">
        <v>0</v>
      </c>
      <c r="N332" t="n">
        <v>0</v>
      </c>
      <c r="O332" t="n">
        <v>0</v>
      </c>
      <c r="P332" t="n">
        <v>0</v>
      </c>
      <c r="Q332" t="n">
        <v>0</v>
      </c>
      <c r="R332" s="2" t="inlineStr"/>
    </row>
    <row r="333" ht="15" customHeight="1">
      <c r="A333" t="inlineStr">
        <is>
          <t>A 56287-2020</t>
        </is>
      </c>
      <c r="B333" s="1" t="n">
        <v>44134</v>
      </c>
      <c r="C333" s="1" t="n">
        <v>45574</v>
      </c>
      <c r="D333" t="inlineStr">
        <is>
          <t>VÄRMLANDS LÄN</t>
        </is>
      </c>
      <c r="E333" t="inlineStr">
        <is>
          <t>ÅRJÄNG</t>
        </is>
      </c>
      <c r="G333" t="n">
        <v>6</v>
      </c>
      <c r="H333" t="n">
        <v>0</v>
      </c>
      <c r="I333" t="n">
        <v>0</v>
      </c>
      <c r="J333" t="n">
        <v>0</v>
      </c>
      <c r="K333" t="n">
        <v>0</v>
      </c>
      <c r="L333" t="n">
        <v>0</v>
      </c>
      <c r="M333" t="n">
        <v>0</v>
      </c>
      <c r="N333" t="n">
        <v>0</v>
      </c>
      <c r="O333" t="n">
        <v>0</v>
      </c>
      <c r="P333" t="n">
        <v>0</v>
      </c>
      <c r="Q333" t="n">
        <v>0</v>
      </c>
      <c r="R333" s="2" t="inlineStr"/>
    </row>
    <row r="334" ht="15" customHeight="1">
      <c r="A334" t="inlineStr">
        <is>
          <t>A 56908-2020</t>
        </is>
      </c>
      <c r="B334" s="1" t="n">
        <v>44138</v>
      </c>
      <c r="C334" s="1" t="n">
        <v>45574</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57605-2020</t>
        </is>
      </c>
      <c r="B335" s="1" t="n">
        <v>44140</v>
      </c>
      <c r="C335" s="1" t="n">
        <v>45574</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57437-2020</t>
        </is>
      </c>
      <c r="B336" s="1" t="n">
        <v>44140</v>
      </c>
      <c r="C336" s="1" t="n">
        <v>45574</v>
      </c>
      <c r="D336" t="inlineStr">
        <is>
          <t>VÄRMLANDS LÄN</t>
        </is>
      </c>
      <c r="E336" t="inlineStr">
        <is>
          <t>ÅRJÄNG</t>
        </is>
      </c>
      <c r="G336" t="n">
        <v>3.7</v>
      </c>
      <c r="H336" t="n">
        <v>0</v>
      </c>
      <c r="I336" t="n">
        <v>0</v>
      </c>
      <c r="J336" t="n">
        <v>0</v>
      </c>
      <c r="K336" t="n">
        <v>0</v>
      </c>
      <c r="L336" t="n">
        <v>0</v>
      </c>
      <c r="M336" t="n">
        <v>0</v>
      </c>
      <c r="N336" t="n">
        <v>0</v>
      </c>
      <c r="O336" t="n">
        <v>0</v>
      </c>
      <c r="P336" t="n">
        <v>0</v>
      </c>
      <c r="Q336" t="n">
        <v>0</v>
      </c>
      <c r="R336" s="2" t="inlineStr"/>
    </row>
    <row r="337" ht="15" customHeight="1">
      <c r="A337" t="inlineStr">
        <is>
          <t>A 57444-2020</t>
        </is>
      </c>
      <c r="B337" s="1" t="n">
        <v>44140</v>
      </c>
      <c r="C337" s="1" t="n">
        <v>45574</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57748-2020</t>
        </is>
      </c>
      <c r="B338" s="1" t="n">
        <v>44140</v>
      </c>
      <c r="C338" s="1" t="n">
        <v>45574</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57761-2020</t>
        </is>
      </c>
      <c r="B339" s="1" t="n">
        <v>44140</v>
      </c>
      <c r="C339" s="1" t="n">
        <v>45574</v>
      </c>
      <c r="D339" t="inlineStr">
        <is>
          <t>VÄRMLANDS LÄN</t>
        </is>
      </c>
      <c r="E339" t="inlineStr">
        <is>
          <t>ÅRJÄNG</t>
        </is>
      </c>
      <c r="G339" t="n">
        <v>1.2</v>
      </c>
      <c r="H339" t="n">
        <v>0</v>
      </c>
      <c r="I339" t="n">
        <v>0</v>
      </c>
      <c r="J339" t="n">
        <v>0</v>
      </c>
      <c r="K339" t="n">
        <v>0</v>
      </c>
      <c r="L339" t="n">
        <v>0</v>
      </c>
      <c r="M339" t="n">
        <v>0</v>
      </c>
      <c r="N339" t="n">
        <v>0</v>
      </c>
      <c r="O339" t="n">
        <v>0</v>
      </c>
      <c r="P339" t="n">
        <v>0</v>
      </c>
      <c r="Q339" t="n">
        <v>0</v>
      </c>
      <c r="R339" s="2" t="inlineStr"/>
    </row>
    <row r="340" ht="15" customHeight="1">
      <c r="A340" t="inlineStr">
        <is>
          <t>A 58629-2020</t>
        </is>
      </c>
      <c r="B340" s="1" t="n">
        <v>44145</v>
      </c>
      <c r="C340" s="1" t="n">
        <v>45574</v>
      </c>
      <c r="D340" t="inlineStr">
        <is>
          <t>VÄRMLANDS LÄN</t>
        </is>
      </c>
      <c r="E340" t="inlineStr">
        <is>
          <t>ÅRJÄNG</t>
        </is>
      </c>
      <c r="G340" t="n">
        <v>1.3</v>
      </c>
      <c r="H340" t="n">
        <v>0</v>
      </c>
      <c r="I340" t="n">
        <v>0</v>
      </c>
      <c r="J340" t="n">
        <v>0</v>
      </c>
      <c r="K340" t="n">
        <v>0</v>
      </c>
      <c r="L340" t="n">
        <v>0</v>
      </c>
      <c r="M340" t="n">
        <v>0</v>
      </c>
      <c r="N340" t="n">
        <v>0</v>
      </c>
      <c r="O340" t="n">
        <v>0</v>
      </c>
      <c r="P340" t="n">
        <v>0</v>
      </c>
      <c r="Q340" t="n">
        <v>0</v>
      </c>
      <c r="R340" s="2" t="inlineStr"/>
    </row>
    <row r="341" ht="15" customHeight="1">
      <c r="A341" t="inlineStr">
        <is>
          <t>A 59656-2020</t>
        </is>
      </c>
      <c r="B341" s="1" t="n">
        <v>44151</v>
      </c>
      <c r="C341" s="1" t="n">
        <v>45574</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60732-2020</t>
        </is>
      </c>
      <c r="B342" s="1" t="n">
        <v>44153</v>
      </c>
      <c r="C342" s="1" t="n">
        <v>45574</v>
      </c>
      <c r="D342" t="inlineStr">
        <is>
          <t>VÄRMLANDS LÄN</t>
        </is>
      </c>
      <c r="E342" t="inlineStr">
        <is>
          <t>ÅRJÄNG</t>
        </is>
      </c>
      <c r="G342" t="n">
        <v>2</v>
      </c>
      <c r="H342" t="n">
        <v>0</v>
      </c>
      <c r="I342" t="n">
        <v>0</v>
      </c>
      <c r="J342" t="n">
        <v>0</v>
      </c>
      <c r="K342" t="n">
        <v>0</v>
      </c>
      <c r="L342" t="n">
        <v>0</v>
      </c>
      <c r="M342" t="n">
        <v>0</v>
      </c>
      <c r="N342" t="n">
        <v>0</v>
      </c>
      <c r="O342" t="n">
        <v>0</v>
      </c>
      <c r="P342" t="n">
        <v>0</v>
      </c>
      <c r="Q342" t="n">
        <v>0</v>
      </c>
      <c r="R342" s="2" t="inlineStr"/>
    </row>
    <row r="343" ht="15" customHeight="1">
      <c r="A343" t="inlineStr">
        <is>
          <t>A 61868-2020</t>
        </is>
      </c>
      <c r="B343" s="1" t="n">
        <v>44155</v>
      </c>
      <c r="C343" s="1" t="n">
        <v>45574</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61846-2020</t>
        </is>
      </c>
      <c r="B344" s="1" t="n">
        <v>44159</v>
      </c>
      <c r="C344" s="1" t="n">
        <v>45574</v>
      </c>
      <c r="D344" t="inlineStr">
        <is>
          <t>VÄRMLANDS LÄN</t>
        </is>
      </c>
      <c r="E344" t="inlineStr">
        <is>
          <t>ÅRJÄNG</t>
        </is>
      </c>
      <c r="G344" t="n">
        <v>2</v>
      </c>
      <c r="H344" t="n">
        <v>0</v>
      </c>
      <c r="I344" t="n">
        <v>0</v>
      </c>
      <c r="J344" t="n">
        <v>0</v>
      </c>
      <c r="K344" t="n">
        <v>0</v>
      </c>
      <c r="L344" t="n">
        <v>0</v>
      </c>
      <c r="M344" t="n">
        <v>0</v>
      </c>
      <c r="N344" t="n">
        <v>0</v>
      </c>
      <c r="O344" t="n">
        <v>0</v>
      </c>
      <c r="P344" t="n">
        <v>0</v>
      </c>
      <c r="Q344" t="n">
        <v>0</v>
      </c>
      <c r="R344" s="2" t="inlineStr"/>
    </row>
    <row r="345" ht="15" customHeight="1">
      <c r="A345" t="inlineStr">
        <is>
          <t>A 63383-2020</t>
        </is>
      </c>
      <c r="B345" s="1" t="n">
        <v>44165</v>
      </c>
      <c r="C345" s="1" t="n">
        <v>45574</v>
      </c>
      <c r="D345" t="inlineStr">
        <is>
          <t>VÄRMLANDS LÄN</t>
        </is>
      </c>
      <c r="E345" t="inlineStr">
        <is>
          <t>ÅRJÄNG</t>
        </is>
      </c>
      <c r="G345" t="n">
        <v>2.7</v>
      </c>
      <c r="H345" t="n">
        <v>0</v>
      </c>
      <c r="I345" t="n">
        <v>0</v>
      </c>
      <c r="J345" t="n">
        <v>0</v>
      </c>
      <c r="K345" t="n">
        <v>0</v>
      </c>
      <c r="L345" t="n">
        <v>0</v>
      </c>
      <c r="M345" t="n">
        <v>0</v>
      </c>
      <c r="N345" t="n">
        <v>0</v>
      </c>
      <c r="O345" t="n">
        <v>0</v>
      </c>
      <c r="P345" t="n">
        <v>0</v>
      </c>
      <c r="Q345" t="n">
        <v>0</v>
      </c>
      <c r="R345" s="2" t="inlineStr"/>
    </row>
    <row r="346" ht="15" customHeight="1">
      <c r="A346" t="inlineStr">
        <is>
          <t>A 63393-2020</t>
        </is>
      </c>
      <c r="B346" s="1" t="n">
        <v>44165</v>
      </c>
      <c r="C346" s="1" t="n">
        <v>45574</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63415-2020</t>
        </is>
      </c>
      <c r="B347" s="1" t="n">
        <v>44165</v>
      </c>
      <c r="C347" s="1" t="n">
        <v>45574</v>
      </c>
      <c r="D347" t="inlineStr">
        <is>
          <t>VÄRMLANDS LÄN</t>
        </is>
      </c>
      <c r="E347" t="inlineStr">
        <is>
          <t>ÅRJÄNG</t>
        </is>
      </c>
      <c r="G347" t="n">
        <v>4.9</v>
      </c>
      <c r="H347" t="n">
        <v>0</v>
      </c>
      <c r="I347" t="n">
        <v>0</v>
      </c>
      <c r="J347" t="n">
        <v>0</v>
      </c>
      <c r="K347" t="n">
        <v>0</v>
      </c>
      <c r="L347" t="n">
        <v>0</v>
      </c>
      <c r="M347" t="n">
        <v>0</v>
      </c>
      <c r="N347" t="n">
        <v>0</v>
      </c>
      <c r="O347" t="n">
        <v>0</v>
      </c>
      <c r="P347" t="n">
        <v>0</v>
      </c>
      <c r="Q347" t="n">
        <v>0</v>
      </c>
      <c r="R347" s="2" t="inlineStr"/>
    </row>
    <row r="348" ht="15" customHeight="1">
      <c r="A348" t="inlineStr">
        <is>
          <t>A 64318-2020</t>
        </is>
      </c>
      <c r="B348" s="1" t="n">
        <v>44168</v>
      </c>
      <c r="C348" s="1" t="n">
        <v>45574</v>
      </c>
      <c r="D348" t="inlineStr">
        <is>
          <t>VÄRMLANDS LÄN</t>
        </is>
      </c>
      <c r="E348" t="inlineStr">
        <is>
          <t>ÅRJÄNG</t>
        </is>
      </c>
      <c r="G348" t="n">
        <v>1.1</v>
      </c>
      <c r="H348" t="n">
        <v>0</v>
      </c>
      <c r="I348" t="n">
        <v>0</v>
      </c>
      <c r="J348" t="n">
        <v>0</v>
      </c>
      <c r="K348" t="n">
        <v>0</v>
      </c>
      <c r="L348" t="n">
        <v>0</v>
      </c>
      <c r="M348" t="n">
        <v>0</v>
      </c>
      <c r="N348" t="n">
        <v>0</v>
      </c>
      <c r="O348" t="n">
        <v>0</v>
      </c>
      <c r="P348" t="n">
        <v>0</v>
      </c>
      <c r="Q348" t="n">
        <v>0</v>
      </c>
      <c r="R348" s="2" t="inlineStr"/>
    </row>
    <row r="349" ht="15" customHeight="1">
      <c r="A349" t="inlineStr">
        <is>
          <t>A 64271-2020</t>
        </is>
      </c>
      <c r="B349" s="1" t="n">
        <v>44168</v>
      </c>
      <c r="C349" s="1" t="n">
        <v>45574</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64216-2020</t>
        </is>
      </c>
      <c r="B350" s="1" t="n">
        <v>44168</v>
      </c>
      <c r="C350" s="1" t="n">
        <v>45574</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65751-2020</t>
        </is>
      </c>
      <c r="B351" s="1" t="n">
        <v>44174</v>
      </c>
      <c r="C351" s="1" t="n">
        <v>45574</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65773-2020</t>
        </is>
      </c>
      <c r="B352" s="1" t="n">
        <v>44174</v>
      </c>
      <c r="C352" s="1" t="n">
        <v>45574</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65781-2020</t>
        </is>
      </c>
      <c r="B353" s="1" t="n">
        <v>44174</v>
      </c>
      <c r="C353" s="1" t="n">
        <v>45574</v>
      </c>
      <c r="D353" t="inlineStr">
        <is>
          <t>VÄRMLANDS LÄN</t>
        </is>
      </c>
      <c r="E353" t="inlineStr">
        <is>
          <t>ÅRJÄNG</t>
        </is>
      </c>
      <c r="G353" t="n">
        <v>0.7</v>
      </c>
      <c r="H353" t="n">
        <v>0</v>
      </c>
      <c r="I353" t="n">
        <v>0</v>
      </c>
      <c r="J353" t="n">
        <v>0</v>
      </c>
      <c r="K353" t="n">
        <v>0</v>
      </c>
      <c r="L353" t="n">
        <v>0</v>
      </c>
      <c r="M353" t="n">
        <v>0</v>
      </c>
      <c r="N353" t="n">
        <v>0</v>
      </c>
      <c r="O353" t="n">
        <v>0</v>
      </c>
      <c r="P353" t="n">
        <v>0</v>
      </c>
      <c r="Q353" t="n">
        <v>0</v>
      </c>
      <c r="R353" s="2" t="inlineStr"/>
    </row>
    <row r="354" ht="15" customHeight="1">
      <c r="A354" t="inlineStr">
        <is>
          <t>A 66334-2020</t>
        </is>
      </c>
      <c r="B354" s="1" t="n">
        <v>44174</v>
      </c>
      <c r="C354" s="1" t="n">
        <v>45574</v>
      </c>
      <c r="D354" t="inlineStr">
        <is>
          <t>VÄRMLANDS LÄN</t>
        </is>
      </c>
      <c r="E354" t="inlineStr">
        <is>
          <t>ÅRJÄNG</t>
        </is>
      </c>
      <c r="F354" t="inlineStr">
        <is>
          <t>Övriga Aktiebolag</t>
        </is>
      </c>
      <c r="G354" t="n">
        <v>1.9</v>
      </c>
      <c r="H354" t="n">
        <v>0</v>
      </c>
      <c r="I354" t="n">
        <v>0</v>
      </c>
      <c r="J354" t="n">
        <v>0</v>
      </c>
      <c r="K354" t="n">
        <v>0</v>
      </c>
      <c r="L354" t="n">
        <v>0</v>
      </c>
      <c r="M354" t="n">
        <v>0</v>
      </c>
      <c r="N354" t="n">
        <v>0</v>
      </c>
      <c r="O354" t="n">
        <v>0</v>
      </c>
      <c r="P354" t="n">
        <v>0</v>
      </c>
      <c r="Q354" t="n">
        <v>0</v>
      </c>
      <c r="R354" s="2" t="inlineStr"/>
    </row>
    <row r="355" ht="15" customHeight="1">
      <c r="A355" t="inlineStr">
        <is>
          <t>A 66080-2020</t>
        </is>
      </c>
      <c r="B355" s="1" t="n">
        <v>44175</v>
      </c>
      <c r="C355" s="1" t="n">
        <v>45574</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65950-2020</t>
        </is>
      </c>
      <c r="B356" s="1" t="n">
        <v>44175</v>
      </c>
      <c r="C356" s="1" t="n">
        <v>45574</v>
      </c>
      <c r="D356" t="inlineStr">
        <is>
          <t>VÄRMLANDS LÄN</t>
        </is>
      </c>
      <c r="E356" t="inlineStr">
        <is>
          <t>ÅRJÄNG</t>
        </is>
      </c>
      <c r="G356" t="n">
        <v>3</v>
      </c>
      <c r="H356" t="n">
        <v>0</v>
      </c>
      <c r="I356" t="n">
        <v>0</v>
      </c>
      <c r="J356" t="n">
        <v>0</v>
      </c>
      <c r="K356" t="n">
        <v>0</v>
      </c>
      <c r="L356" t="n">
        <v>0</v>
      </c>
      <c r="M356" t="n">
        <v>0</v>
      </c>
      <c r="N356" t="n">
        <v>0</v>
      </c>
      <c r="O356" t="n">
        <v>0</v>
      </c>
      <c r="P356" t="n">
        <v>0</v>
      </c>
      <c r="Q356" t="n">
        <v>0</v>
      </c>
      <c r="R356" s="2" t="inlineStr"/>
    </row>
    <row r="357" ht="15" customHeight="1">
      <c r="A357" t="inlineStr">
        <is>
          <t>A 67134-2020</t>
        </is>
      </c>
      <c r="B357" s="1" t="n">
        <v>44179</v>
      </c>
      <c r="C357" s="1" t="n">
        <v>45574</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68344-2020</t>
        </is>
      </c>
      <c r="B358" s="1" t="n">
        <v>44186</v>
      </c>
      <c r="C358" s="1" t="n">
        <v>45574</v>
      </c>
      <c r="D358" t="inlineStr">
        <is>
          <t>VÄRMLANDS LÄN</t>
        </is>
      </c>
      <c r="E358" t="inlineStr">
        <is>
          <t>ÅRJÄNG</t>
        </is>
      </c>
      <c r="G358" t="n">
        <v>2.8</v>
      </c>
      <c r="H358" t="n">
        <v>0</v>
      </c>
      <c r="I358" t="n">
        <v>0</v>
      </c>
      <c r="J358" t="n">
        <v>0</v>
      </c>
      <c r="K358" t="n">
        <v>0</v>
      </c>
      <c r="L358" t="n">
        <v>0</v>
      </c>
      <c r="M358" t="n">
        <v>0</v>
      </c>
      <c r="N358" t="n">
        <v>0</v>
      </c>
      <c r="O358" t="n">
        <v>0</v>
      </c>
      <c r="P358" t="n">
        <v>0</v>
      </c>
      <c r="Q358" t="n">
        <v>0</v>
      </c>
      <c r="R358" s="2" t="inlineStr"/>
    </row>
    <row r="359" ht="15" customHeight="1">
      <c r="A359" t="inlineStr">
        <is>
          <t>A 68687-2020</t>
        </is>
      </c>
      <c r="B359" s="1" t="n">
        <v>44187</v>
      </c>
      <c r="C359" s="1" t="n">
        <v>45574</v>
      </c>
      <c r="D359" t="inlineStr">
        <is>
          <t>VÄRMLANDS LÄN</t>
        </is>
      </c>
      <c r="E359" t="inlineStr">
        <is>
          <t>ÅRJÄNG</t>
        </is>
      </c>
      <c r="G359" t="n">
        <v>7.6</v>
      </c>
      <c r="H359" t="n">
        <v>0</v>
      </c>
      <c r="I359" t="n">
        <v>0</v>
      </c>
      <c r="J359" t="n">
        <v>0</v>
      </c>
      <c r="K359" t="n">
        <v>0</v>
      </c>
      <c r="L359" t="n">
        <v>0</v>
      </c>
      <c r="M359" t="n">
        <v>0</v>
      </c>
      <c r="N359" t="n">
        <v>0</v>
      </c>
      <c r="O359" t="n">
        <v>0</v>
      </c>
      <c r="P359" t="n">
        <v>0</v>
      </c>
      <c r="Q359" t="n">
        <v>0</v>
      </c>
      <c r="R359" s="2" t="inlineStr"/>
    </row>
    <row r="360" ht="15" customHeight="1">
      <c r="A360" t="inlineStr">
        <is>
          <t>A 68693-2020</t>
        </is>
      </c>
      <c r="B360" s="1" t="n">
        <v>44187</v>
      </c>
      <c r="C360" s="1" t="n">
        <v>45574</v>
      </c>
      <c r="D360" t="inlineStr">
        <is>
          <t>VÄRMLANDS LÄN</t>
        </is>
      </c>
      <c r="E360" t="inlineStr">
        <is>
          <t>ÅRJÄNG</t>
        </is>
      </c>
      <c r="G360" t="n">
        <v>3.6</v>
      </c>
      <c r="H360" t="n">
        <v>0</v>
      </c>
      <c r="I360" t="n">
        <v>0</v>
      </c>
      <c r="J360" t="n">
        <v>0</v>
      </c>
      <c r="K360" t="n">
        <v>0</v>
      </c>
      <c r="L360" t="n">
        <v>0</v>
      </c>
      <c r="M360" t="n">
        <v>0</v>
      </c>
      <c r="N360" t="n">
        <v>0</v>
      </c>
      <c r="O360" t="n">
        <v>0</v>
      </c>
      <c r="P360" t="n">
        <v>0</v>
      </c>
      <c r="Q360" t="n">
        <v>0</v>
      </c>
      <c r="R360" s="2" t="inlineStr"/>
    </row>
    <row r="361" ht="15" customHeight="1">
      <c r="A361" t="inlineStr">
        <is>
          <t>A 69520-2020</t>
        </is>
      </c>
      <c r="B361" s="1" t="n">
        <v>44194</v>
      </c>
      <c r="C361" s="1" t="n">
        <v>45574</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69647-2020</t>
        </is>
      </c>
      <c r="B362" s="1" t="n">
        <v>44195</v>
      </c>
      <c r="C362" s="1" t="n">
        <v>45574</v>
      </c>
      <c r="D362" t="inlineStr">
        <is>
          <t>VÄRMLANDS LÄN</t>
        </is>
      </c>
      <c r="E362" t="inlineStr">
        <is>
          <t>ÅRJÄNG</t>
        </is>
      </c>
      <c r="G362" t="n">
        <v>1.6</v>
      </c>
      <c r="H362" t="n">
        <v>0</v>
      </c>
      <c r="I362" t="n">
        <v>0</v>
      </c>
      <c r="J362" t="n">
        <v>0</v>
      </c>
      <c r="K362" t="n">
        <v>0</v>
      </c>
      <c r="L362" t="n">
        <v>0</v>
      </c>
      <c r="M362" t="n">
        <v>0</v>
      </c>
      <c r="N362" t="n">
        <v>0</v>
      </c>
      <c r="O362" t="n">
        <v>0</v>
      </c>
      <c r="P362" t="n">
        <v>0</v>
      </c>
      <c r="Q362" t="n">
        <v>0</v>
      </c>
      <c r="R362" s="2" t="inlineStr"/>
    </row>
    <row r="363" ht="15" customHeight="1">
      <c r="A363" t="inlineStr">
        <is>
          <t>A 69584-2020</t>
        </is>
      </c>
      <c r="B363" s="1" t="n">
        <v>44195</v>
      </c>
      <c r="C363" s="1" t="n">
        <v>45574</v>
      </c>
      <c r="D363" t="inlineStr">
        <is>
          <t>VÄRMLANDS LÄN</t>
        </is>
      </c>
      <c r="E363" t="inlineStr">
        <is>
          <t>ÅRJÄNG</t>
        </is>
      </c>
      <c r="G363" t="n">
        <v>0.3</v>
      </c>
      <c r="H363" t="n">
        <v>0</v>
      </c>
      <c r="I363" t="n">
        <v>0</v>
      </c>
      <c r="J363" t="n">
        <v>0</v>
      </c>
      <c r="K363" t="n">
        <v>0</v>
      </c>
      <c r="L363" t="n">
        <v>0</v>
      </c>
      <c r="M363" t="n">
        <v>0</v>
      </c>
      <c r="N363" t="n">
        <v>0</v>
      </c>
      <c r="O363" t="n">
        <v>0</v>
      </c>
      <c r="P363" t="n">
        <v>0</v>
      </c>
      <c r="Q363" t="n">
        <v>0</v>
      </c>
      <c r="R363" s="2" t="inlineStr"/>
    </row>
    <row r="364" ht="15" customHeight="1">
      <c r="A364" t="inlineStr">
        <is>
          <t>A 387-2021</t>
        </is>
      </c>
      <c r="B364" s="1" t="n">
        <v>44201</v>
      </c>
      <c r="C364" s="1" t="n">
        <v>45574</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332-2021</t>
        </is>
      </c>
      <c r="B365" s="1" t="n">
        <v>44201</v>
      </c>
      <c r="C365" s="1" t="n">
        <v>45574</v>
      </c>
      <c r="D365" t="inlineStr">
        <is>
          <t>VÄRMLANDS LÄN</t>
        </is>
      </c>
      <c r="E365" t="inlineStr">
        <is>
          <t>ÅRJÄNG</t>
        </is>
      </c>
      <c r="G365" t="n">
        <v>4.1</v>
      </c>
      <c r="H365" t="n">
        <v>0</v>
      </c>
      <c r="I365" t="n">
        <v>0</v>
      </c>
      <c r="J365" t="n">
        <v>0</v>
      </c>
      <c r="K365" t="n">
        <v>0</v>
      </c>
      <c r="L365" t="n">
        <v>0</v>
      </c>
      <c r="M365" t="n">
        <v>0</v>
      </c>
      <c r="N365" t="n">
        <v>0</v>
      </c>
      <c r="O365" t="n">
        <v>0</v>
      </c>
      <c r="P365" t="n">
        <v>0</v>
      </c>
      <c r="Q365" t="n">
        <v>0</v>
      </c>
      <c r="R365" s="2" t="inlineStr"/>
    </row>
    <row r="366" ht="15" customHeight="1">
      <c r="A366" t="inlineStr">
        <is>
          <t>A 935-2021</t>
        </is>
      </c>
      <c r="B366" s="1" t="n">
        <v>44207</v>
      </c>
      <c r="C366" s="1" t="n">
        <v>45574</v>
      </c>
      <c r="D366" t="inlineStr">
        <is>
          <t>VÄRMLANDS LÄN</t>
        </is>
      </c>
      <c r="E366" t="inlineStr">
        <is>
          <t>ÅRJÄNG</t>
        </is>
      </c>
      <c r="G366" t="n">
        <v>1.2</v>
      </c>
      <c r="H366" t="n">
        <v>0</v>
      </c>
      <c r="I366" t="n">
        <v>0</v>
      </c>
      <c r="J366" t="n">
        <v>0</v>
      </c>
      <c r="K366" t="n">
        <v>0</v>
      </c>
      <c r="L366" t="n">
        <v>0</v>
      </c>
      <c r="M366" t="n">
        <v>0</v>
      </c>
      <c r="N366" t="n">
        <v>0</v>
      </c>
      <c r="O366" t="n">
        <v>0</v>
      </c>
      <c r="P366" t="n">
        <v>0</v>
      </c>
      <c r="Q366" t="n">
        <v>0</v>
      </c>
      <c r="R366" s="2" t="inlineStr"/>
    </row>
    <row r="367" ht="15" customHeight="1">
      <c r="A367" t="inlineStr">
        <is>
          <t>A 2593-2021</t>
        </is>
      </c>
      <c r="B367" s="1" t="n">
        <v>44214</v>
      </c>
      <c r="C367" s="1" t="n">
        <v>45574</v>
      </c>
      <c r="D367" t="inlineStr">
        <is>
          <t>VÄRMLANDS LÄN</t>
        </is>
      </c>
      <c r="E367" t="inlineStr">
        <is>
          <t>ÅRJÄNG</t>
        </is>
      </c>
      <c r="G367" t="n">
        <v>1.9</v>
      </c>
      <c r="H367" t="n">
        <v>0</v>
      </c>
      <c r="I367" t="n">
        <v>0</v>
      </c>
      <c r="J367" t="n">
        <v>0</v>
      </c>
      <c r="K367" t="n">
        <v>0</v>
      </c>
      <c r="L367" t="n">
        <v>0</v>
      </c>
      <c r="M367" t="n">
        <v>0</v>
      </c>
      <c r="N367" t="n">
        <v>0</v>
      </c>
      <c r="O367" t="n">
        <v>0</v>
      </c>
      <c r="P367" t="n">
        <v>0</v>
      </c>
      <c r="Q367" t="n">
        <v>0</v>
      </c>
      <c r="R367" s="2" t="inlineStr"/>
    </row>
    <row r="368" ht="15" customHeight="1">
      <c r="A368" t="inlineStr">
        <is>
          <t>A 2667-2021</t>
        </is>
      </c>
      <c r="B368" s="1" t="n">
        <v>44215</v>
      </c>
      <c r="C368" s="1" t="n">
        <v>45574</v>
      </c>
      <c r="D368" t="inlineStr">
        <is>
          <t>VÄRMLANDS LÄN</t>
        </is>
      </c>
      <c r="E368" t="inlineStr">
        <is>
          <t>ÅRJÄNG</t>
        </is>
      </c>
      <c r="G368" t="n">
        <v>5.7</v>
      </c>
      <c r="H368" t="n">
        <v>0</v>
      </c>
      <c r="I368" t="n">
        <v>0</v>
      </c>
      <c r="J368" t="n">
        <v>0</v>
      </c>
      <c r="K368" t="n">
        <v>0</v>
      </c>
      <c r="L368" t="n">
        <v>0</v>
      </c>
      <c r="M368" t="n">
        <v>0</v>
      </c>
      <c r="N368" t="n">
        <v>0</v>
      </c>
      <c r="O368" t="n">
        <v>0</v>
      </c>
      <c r="P368" t="n">
        <v>0</v>
      </c>
      <c r="Q368" t="n">
        <v>0</v>
      </c>
      <c r="R368" s="2" t="inlineStr"/>
    </row>
    <row r="369" ht="15" customHeight="1">
      <c r="A369" t="inlineStr">
        <is>
          <t>A 3980-2021</t>
        </is>
      </c>
      <c r="B369" s="1" t="n">
        <v>44217</v>
      </c>
      <c r="C369" s="1" t="n">
        <v>45574</v>
      </c>
      <c r="D369" t="inlineStr">
        <is>
          <t>VÄRMLANDS LÄN</t>
        </is>
      </c>
      <c r="E369" t="inlineStr">
        <is>
          <t>ÅRJÄNG</t>
        </is>
      </c>
      <c r="G369" t="n">
        <v>1.4</v>
      </c>
      <c r="H369" t="n">
        <v>0</v>
      </c>
      <c r="I369" t="n">
        <v>0</v>
      </c>
      <c r="J369" t="n">
        <v>0</v>
      </c>
      <c r="K369" t="n">
        <v>0</v>
      </c>
      <c r="L369" t="n">
        <v>0</v>
      </c>
      <c r="M369" t="n">
        <v>0</v>
      </c>
      <c r="N369" t="n">
        <v>0</v>
      </c>
      <c r="O369" t="n">
        <v>0</v>
      </c>
      <c r="P369" t="n">
        <v>0</v>
      </c>
      <c r="Q369" t="n">
        <v>0</v>
      </c>
      <c r="R369" s="2" t="inlineStr"/>
    </row>
    <row r="370" ht="15" customHeight="1">
      <c r="A370" t="inlineStr">
        <is>
          <t>A 3973-2021</t>
        </is>
      </c>
      <c r="B370" s="1" t="n">
        <v>44217</v>
      </c>
      <c r="C370" s="1" t="n">
        <v>45574</v>
      </c>
      <c r="D370" t="inlineStr">
        <is>
          <t>VÄRMLANDS LÄN</t>
        </is>
      </c>
      <c r="E370" t="inlineStr">
        <is>
          <t>ÅRJÄNG</t>
        </is>
      </c>
      <c r="G370" t="n">
        <v>1.1</v>
      </c>
      <c r="H370" t="n">
        <v>0</v>
      </c>
      <c r="I370" t="n">
        <v>0</v>
      </c>
      <c r="J370" t="n">
        <v>0</v>
      </c>
      <c r="K370" t="n">
        <v>0</v>
      </c>
      <c r="L370" t="n">
        <v>0</v>
      </c>
      <c r="M370" t="n">
        <v>0</v>
      </c>
      <c r="N370" t="n">
        <v>0</v>
      </c>
      <c r="O370" t="n">
        <v>0</v>
      </c>
      <c r="P370" t="n">
        <v>0</v>
      </c>
      <c r="Q370" t="n">
        <v>0</v>
      </c>
      <c r="R370" s="2" t="inlineStr"/>
    </row>
    <row r="371" ht="15" customHeight="1">
      <c r="A371" t="inlineStr">
        <is>
          <t>A 3796-2021</t>
        </is>
      </c>
      <c r="B371" s="1" t="n">
        <v>44221</v>
      </c>
      <c r="C371" s="1" t="n">
        <v>45574</v>
      </c>
      <c r="D371" t="inlineStr">
        <is>
          <t>VÄRMLANDS LÄN</t>
        </is>
      </c>
      <c r="E371" t="inlineStr">
        <is>
          <t>ÅRJÄNG</t>
        </is>
      </c>
      <c r="G371" t="n">
        <v>4</v>
      </c>
      <c r="H371" t="n">
        <v>0</v>
      </c>
      <c r="I371" t="n">
        <v>0</v>
      </c>
      <c r="J371" t="n">
        <v>0</v>
      </c>
      <c r="K371" t="n">
        <v>0</v>
      </c>
      <c r="L371" t="n">
        <v>0</v>
      </c>
      <c r="M371" t="n">
        <v>0</v>
      </c>
      <c r="N371" t="n">
        <v>0</v>
      </c>
      <c r="O371" t="n">
        <v>0</v>
      </c>
      <c r="P371" t="n">
        <v>0</v>
      </c>
      <c r="Q371" t="n">
        <v>0</v>
      </c>
      <c r="R371" s="2" t="inlineStr"/>
    </row>
    <row r="372" ht="15" customHeight="1">
      <c r="A372" t="inlineStr">
        <is>
          <t>A 4160-2021</t>
        </is>
      </c>
      <c r="B372" s="1" t="n">
        <v>44223</v>
      </c>
      <c r="C372" s="1" t="n">
        <v>45574</v>
      </c>
      <c r="D372" t="inlineStr">
        <is>
          <t>VÄRMLANDS LÄN</t>
        </is>
      </c>
      <c r="E372" t="inlineStr">
        <is>
          <t>ÅRJÄNG</t>
        </is>
      </c>
      <c r="G372" t="n">
        <v>2.4</v>
      </c>
      <c r="H372" t="n">
        <v>0</v>
      </c>
      <c r="I372" t="n">
        <v>0</v>
      </c>
      <c r="J372" t="n">
        <v>0</v>
      </c>
      <c r="K372" t="n">
        <v>0</v>
      </c>
      <c r="L372" t="n">
        <v>0</v>
      </c>
      <c r="M372" t="n">
        <v>0</v>
      </c>
      <c r="N372" t="n">
        <v>0</v>
      </c>
      <c r="O372" t="n">
        <v>0</v>
      </c>
      <c r="P372" t="n">
        <v>0</v>
      </c>
      <c r="Q372" t="n">
        <v>0</v>
      </c>
      <c r="R372" s="2" t="inlineStr"/>
    </row>
    <row r="373" ht="15" customHeight="1">
      <c r="A373" t="inlineStr">
        <is>
          <t>A 4300-2021</t>
        </is>
      </c>
      <c r="B373" s="1" t="n">
        <v>44223</v>
      </c>
      <c r="C373" s="1" t="n">
        <v>45574</v>
      </c>
      <c r="D373" t="inlineStr">
        <is>
          <t>VÄRMLANDS LÄN</t>
        </is>
      </c>
      <c r="E373" t="inlineStr">
        <is>
          <t>ÅRJÄNG</t>
        </is>
      </c>
      <c r="G373" t="n">
        <v>4.2</v>
      </c>
      <c r="H373" t="n">
        <v>0</v>
      </c>
      <c r="I373" t="n">
        <v>0</v>
      </c>
      <c r="J373" t="n">
        <v>0</v>
      </c>
      <c r="K373" t="n">
        <v>0</v>
      </c>
      <c r="L373" t="n">
        <v>0</v>
      </c>
      <c r="M373" t="n">
        <v>0</v>
      </c>
      <c r="N373" t="n">
        <v>0</v>
      </c>
      <c r="O373" t="n">
        <v>0</v>
      </c>
      <c r="P373" t="n">
        <v>0</v>
      </c>
      <c r="Q373" t="n">
        <v>0</v>
      </c>
      <c r="R373" s="2" t="inlineStr"/>
    </row>
    <row r="374" ht="15" customHeight="1">
      <c r="A374" t="inlineStr">
        <is>
          <t>A 4607-2021</t>
        </is>
      </c>
      <c r="B374" s="1" t="n">
        <v>44224</v>
      </c>
      <c r="C374" s="1" t="n">
        <v>45574</v>
      </c>
      <c r="D374" t="inlineStr">
        <is>
          <t>VÄRMLANDS LÄN</t>
        </is>
      </c>
      <c r="E374" t="inlineStr">
        <is>
          <t>ÅRJÄNG</t>
        </is>
      </c>
      <c r="G374" t="n">
        <v>2.9</v>
      </c>
      <c r="H374" t="n">
        <v>0</v>
      </c>
      <c r="I374" t="n">
        <v>0</v>
      </c>
      <c r="J374" t="n">
        <v>0</v>
      </c>
      <c r="K374" t="n">
        <v>0</v>
      </c>
      <c r="L374" t="n">
        <v>0</v>
      </c>
      <c r="M374" t="n">
        <v>0</v>
      </c>
      <c r="N374" t="n">
        <v>0</v>
      </c>
      <c r="O374" t="n">
        <v>0</v>
      </c>
      <c r="P374" t="n">
        <v>0</v>
      </c>
      <c r="Q374" t="n">
        <v>0</v>
      </c>
      <c r="R374" s="2" t="inlineStr"/>
    </row>
    <row r="375" ht="15" customHeight="1">
      <c r="A375" t="inlineStr">
        <is>
          <t>A 5259-2021</t>
        </is>
      </c>
      <c r="B375" s="1" t="n">
        <v>44229</v>
      </c>
      <c r="C375" s="1" t="n">
        <v>45574</v>
      </c>
      <c r="D375" t="inlineStr">
        <is>
          <t>VÄRMLANDS LÄN</t>
        </is>
      </c>
      <c r="E375" t="inlineStr">
        <is>
          <t>ÅRJÄNG</t>
        </is>
      </c>
      <c r="G375" t="n">
        <v>5.5</v>
      </c>
      <c r="H375" t="n">
        <v>0</v>
      </c>
      <c r="I375" t="n">
        <v>0</v>
      </c>
      <c r="J375" t="n">
        <v>0</v>
      </c>
      <c r="K375" t="n">
        <v>0</v>
      </c>
      <c r="L375" t="n">
        <v>0</v>
      </c>
      <c r="M375" t="n">
        <v>0</v>
      </c>
      <c r="N375" t="n">
        <v>0</v>
      </c>
      <c r="O375" t="n">
        <v>0</v>
      </c>
      <c r="P375" t="n">
        <v>0</v>
      </c>
      <c r="Q375" t="n">
        <v>0</v>
      </c>
      <c r="R375" s="2" t="inlineStr"/>
    </row>
    <row r="376" ht="15" customHeight="1">
      <c r="A376" t="inlineStr">
        <is>
          <t>A 5713-2021</t>
        </is>
      </c>
      <c r="B376" s="1" t="n">
        <v>44230</v>
      </c>
      <c r="C376" s="1" t="n">
        <v>45574</v>
      </c>
      <c r="D376" t="inlineStr">
        <is>
          <t>VÄRMLANDS LÄN</t>
        </is>
      </c>
      <c r="E376" t="inlineStr">
        <is>
          <t>ÅRJÄNG</t>
        </is>
      </c>
      <c r="G376" t="n">
        <v>1.1</v>
      </c>
      <c r="H376" t="n">
        <v>0</v>
      </c>
      <c r="I376" t="n">
        <v>0</v>
      </c>
      <c r="J376" t="n">
        <v>0</v>
      </c>
      <c r="K376" t="n">
        <v>0</v>
      </c>
      <c r="L376" t="n">
        <v>0</v>
      </c>
      <c r="M376" t="n">
        <v>0</v>
      </c>
      <c r="N376" t="n">
        <v>0</v>
      </c>
      <c r="O376" t="n">
        <v>0</v>
      </c>
      <c r="P376" t="n">
        <v>0</v>
      </c>
      <c r="Q376" t="n">
        <v>0</v>
      </c>
      <c r="R376" s="2" t="inlineStr"/>
    </row>
    <row r="377" ht="15" customHeight="1">
      <c r="A377" t="inlineStr">
        <is>
          <t>A 6034-2021</t>
        </is>
      </c>
      <c r="B377" s="1" t="n">
        <v>44232</v>
      </c>
      <c r="C377" s="1" t="n">
        <v>45574</v>
      </c>
      <c r="D377" t="inlineStr">
        <is>
          <t>VÄRMLANDS LÄN</t>
        </is>
      </c>
      <c r="E377" t="inlineStr">
        <is>
          <t>ÅRJÄNG</t>
        </is>
      </c>
      <c r="G377" t="n">
        <v>0.5</v>
      </c>
      <c r="H377" t="n">
        <v>0</v>
      </c>
      <c r="I377" t="n">
        <v>0</v>
      </c>
      <c r="J377" t="n">
        <v>0</v>
      </c>
      <c r="K377" t="n">
        <v>0</v>
      </c>
      <c r="L377" t="n">
        <v>0</v>
      </c>
      <c r="M377" t="n">
        <v>0</v>
      </c>
      <c r="N377" t="n">
        <v>0</v>
      </c>
      <c r="O377" t="n">
        <v>0</v>
      </c>
      <c r="P377" t="n">
        <v>0</v>
      </c>
      <c r="Q377" t="n">
        <v>0</v>
      </c>
      <c r="R377" s="2" t="inlineStr"/>
    </row>
    <row r="378" ht="15" customHeight="1">
      <c r="A378" t="inlineStr">
        <is>
          <t>A 6389-2021</t>
        </is>
      </c>
      <c r="B378" s="1" t="n">
        <v>44235</v>
      </c>
      <c r="C378" s="1" t="n">
        <v>45574</v>
      </c>
      <c r="D378" t="inlineStr">
        <is>
          <t>VÄRMLANDS LÄN</t>
        </is>
      </c>
      <c r="E378" t="inlineStr">
        <is>
          <t>ÅRJÄNG</t>
        </is>
      </c>
      <c r="G378" t="n">
        <v>4.3</v>
      </c>
      <c r="H378" t="n">
        <v>0</v>
      </c>
      <c r="I378" t="n">
        <v>0</v>
      </c>
      <c r="J378" t="n">
        <v>0</v>
      </c>
      <c r="K378" t="n">
        <v>0</v>
      </c>
      <c r="L378" t="n">
        <v>0</v>
      </c>
      <c r="M378" t="n">
        <v>0</v>
      </c>
      <c r="N378" t="n">
        <v>0</v>
      </c>
      <c r="O378" t="n">
        <v>0</v>
      </c>
      <c r="P378" t="n">
        <v>0</v>
      </c>
      <c r="Q378" t="n">
        <v>0</v>
      </c>
      <c r="R378" s="2" t="inlineStr"/>
    </row>
    <row r="379" ht="15" customHeight="1">
      <c r="A379" t="inlineStr">
        <is>
          <t>A 6410-2021</t>
        </is>
      </c>
      <c r="B379" s="1" t="n">
        <v>44235</v>
      </c>
      <c r="C379" s="1" t="n">
        <v>45574</v>
      </c>
      <c r="D379" t="inlineStr">
        <is>
          <t>VÄRMLANDS LÄN</t>
        </is>
      </c>
      <c r="E379" t="inlineStr">
        <is>
          <t>ÅRJÄNG</t>
        </is>
      </c>
      <c r="G379" t="n">
        <v>1.2</v>
      </c>
      <c r="H379" t="n">
        <v>0</v>
      </c>
      <c r="I379" t="n">
        <v>0</v>
      </c>
      <c r="J379" t="n">
        <v>0</v>
      </c>
      <c r="K379" t="n">
        <v>0</v>
      </c>
      <c r="L379" t="n">
        <v>0</v>
      </c>
      <c r="M379" t="n">
        <v>0</v>
      </c>
      <c r="N379" t="n">
        <v>0</v>
      </c>
      <c r="O379" t="n">
        <v>0</v>
      </c>
      <c r="P379" t="n">
        <v>0</v>
      </c>
      <c r="Q379" t="n">
        <v>0</v>
      </c>
      <c r="R379" s="2" t="inlineStr"/>
    </row>
    <row r="380" ht="15" customHeight="1">
      <c r="A380" t="inlineStr">
        <is>
          <t>A 6522-2021</t>
        </is>
      </c>
      <c r="B380" s="1" t="n">
        <v>44236</v>
      </c>
      <c r="C380" s="1" t="n">
        <v>45574</v>
      </c>
      <c r="D380" t="inlineStr">
        <is>
          <t>VÄRMLANDS LÄN</t>
        </is>
      </c>
      <c r="E380" t="inlineStr">
        <is>
          <t>ÅRJÄNG</t>
        </is>
      </c>
      <c r="G380" t="n">
        <v>2.9</v>
      </c>
      <c r="H380" t="n">
        <v>0</v>
      </c>
      <c r="I380" t="n">
        <v>0</v>
      </c>
      <c r="J380" t="n">
        <v>0</v>
      </c>
      <c r="K380" t="n">
        <v>0</v>
      </c>
      <c r="L380" t="n">
        <v>0</v>
      </c>
      <c r="M380" t="n">
        <v>0</v>
      </c>
      <c r="N380" t="n">
        <v>0</v>
      </c>
      <c r="O380" t="n">
        <v>0</v>
      </c>
      <c r="P380" t="n">
        <v>0</v>
      </c>
      <c r="Q380" t="n">
        <v>0</v>
      </c>
      <c r="R380" s="2" t="inlineStr"/>
    </row>
    <row r="381" ht="15" customHeight="1">
      <c r="A381" t="inlineStr">
        <is>
          <t>A 6551-2021</t>
        </is>
      </c>
      <c r="B381" s="1" t="n">
        <v>44236</v>
      </c>
      <c r="C381" s="1" t="n">
        <v>45574</v>
      </c>
      <c r="D381" t="inlineStr">
        <is>
          <t>VÄRMLANDS LÄN</t>
        </is>
      </c>
      <c r="E381" t="inlineStr">
        <is>
          <t>ÅRJÄNG</t>
        </is>
      </c>
      <c r="G381" t="n">
        <v>1.3</v>
      </c>
      <c r="H381" t="n">
        <v>0</v>
      </c>
      <c r="I381" t="n">
        <v>0</v>
      </c>
      <c r="J381" t="n">
        <v>0</v>
      </c>
      <c r="K381" t="n">
        <v>0</v>
      </c>
      <c r="L381" t="n">
        <v>0</v>
      </c>
      <c r="M381" t="n">
        <v>0</v>
      </c>
      <c r="N381" t="n">
        <v>0</v>
      </c>
      <c r="O381" t="n">
        <v>0</v>
      </c>
      <c r="P381" t="n">
        <v>0</v>
      </c>
      <c r="Q381" t="n">
        <v>0</v>
      </c>
      <c r="R381" s="2" t="inlineStr"/>
    </row>
    <row r="382" ht="15" customHeight="1">
      <c r="A382" t="inlineStr">
        <is>
          <t>A 6900-2021</t>
        </is>
      </c>
      <c r="B382" s="1" t="n">
        <v>44237</v>
      </c>
      <c r="C382" s="1" t="n">
        <v>45574</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6908-2021</t>
        </is>
      </c>
      <c r="B383" s="1" t="n">
        <v>44237</v>
      </c>
      <c r="C383" s="1" t="n">
        <v>45574</v>
      </c>
      <c r="D383" t="inlineStr">
        <is>
          <t>VÄRMLANDS LÄN</t>
        </is>
      </c>
      <c r="E383" t="inlineStr">
        <is>
          <t>ÅRJÄNG</t>
        </is>
      </c>
      <c r="G383" t="n">
        <v>3.3</v>
      </c>
      <c r="H383" t="n">
        <v>0</v>
      </c>
      <c r="I383" t="n">
        <v>0</v>
      </c>
      <c r="J383" t="n">
        <v>0</v>
      </c>
      <c r="K383" t="n">
        <v>0</v>
      </c>
      <c r="L383" t="n">
        <v>0</v>
      </c>
      <c r="M383" t="n">
        <v>0</v>
      </c>
      <c r="N383" t="n">
        <v>0</v>
      </c>
      <c r="O383" t="n">
        <v>0</v>
      </c>
      <c r="P383" t="n">
        <v>0</v>
      </c>
      <c r="Q383" t="n">
        <v>0</v>
      </c>
      <c r="R383" s="2" t="inlineStr"/>
    </row>
    <row r="384" ht="15" customHeight="1">
      <c r="A384" t="inlineStr">
        <is>
          <t>A 7214-2021</t>
        </is>
      </c>
      <c r="B384" s="1" t="n">
        <v>44238</v>
      </c>
      <c r="C384" s="1" t="n">
        <v>45574</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7555-2021</t>
        </is>
      </c>
      <c r="B385" s="1" t="n">
        <v>44239</v>
      </c>
      <c r="C385" s="1" t="n">
        <v>45574</v>
      </c>
      <c r="D385" t="inlineStr">
        <is>
          <t>VÄRMLANDS LÄN</t>
        </is>
      </c>
      <c r="E385" t="inlineStr">
        <is>
          <t>ÅRJÄNG</t>
        </is>
      </c>
      <c r="G385" t="n">
        <v>1.9</v>
      </c>
      <c r="H385" t="n">
        <v>0</v>
      </c>
      <c r="I385" t="n">
        <v>0</v>
      </c>
      <c r="J385" t="n">
        <v>0</v>
      </c>
      <c r="K385" t="n">
        <v>0</v>
      </c>
      <c r="L385" t="n">
        <v>0</v>
      </c>
      <c r="M385" t="n">
        <v>0</v>
      </c>
      <c r="N385" t="n">
        <v>0</v>
      </c>
      <c r="O385" t="n">
        <v>0</v>
      </c>
      <c r="P385" t="n">
        <v>0</v>
      </c>
      <c r="Q385" t="n">
        <v>0</v>
      </c>
      <c r="R385" s="2" t="inlineStr"/>
    </row>
    <row r="386" ht="15" customHeight="1">
      <c r="A386" t="inlineStr">
        <is>
          <t>A 7527-2021</t>
        </is>
      </c>
      <c r="B386" s="1" t="n">
        <v>44239</v>
      </c>
      <c r="C386" s="1" t="n">
        <v>45574</v>
      </c>
      <c r="D386" t="inlineStr">
        <is>
          <t>VÄRMLANDS LÄN</t>
        </is>
      </c>
      <c r="E386" t="inlineStr">
        <is>
          <t>ÅRJÄNG</t>
        </is>
      </c>
      <c r="G386" t="n">
        <v>3.6</v>
      </c>
      <c r="H386" t="n">
        <v>0</v>
      </c>
      <c r="I386" t="n">
        <v>0</v>
      </c>
      <c r="J386" t="n">
        <v>0</v>
      </c>
      <c r="K386" t="n">
        <v>0</v>
      </c>
      <c r="L386" t="n">
        <v>0</v>
      </c>
      <c r="M386" t="n">
        <v>0</v>
      </c>
      <c r="N386" t="n">
        <v>0</v>
      </c>
      <c r="O386" t="n">
        <v>0</v>
      </c>
      <c r="P386" t="n">
        <v>0</v>
      </c>
      <c r="Q386" t="n">
        <v>0</v>
      </c>
      <c r="R386" s="2" t="inlineStr"/>
    </row>
    <row r="387" ht="15" customHeight="1">
      <c r="A387" t="inlineStr">
        <is>
          <t>A 7537-2021</t>
        </is>
      </c>
      <c r="B387" s="1" t="n">
        <v>44239</v>
      </c>
      <c r="C387" s="1" t="n">
        <v>45574</v>
      </c>
      <c r="D387" t="inlineStr">
        <is>
          <t>VÄRMLANDS LÄN</t>
        </is>
      </c>
      <c r="E387" t="inlineStr">
        <is>
          <t>ÅRJÄNG</t>
        </is>
      </c>
      <c r="G387" t="n">
        <v>4.2</v>
      </c>
      <c r="H387" t="n">
        <v>0</v>
      </c>
      <c r="I387" t="n">
        <v>0</v>
      </c>
      <c r="J387" t="n">
        <v>0</v>
      </c>
      <c r="K387" t="n">
        <v>0</v>
      </c>
      <c r="L387" t="n">
        <v>0</v>
      </c>
      <c r="M387" t="n">
        <v>0</v>
      </c>
      <c r="N387" t="n">
        <v>0</v>
      </c>
      <c r="O387" t="n">
        <v>0</v>
      </c>
      <c r="P387" t="n">
        <v>0</v>
      </c>
      <c r="Q387" t="n">
        <v>0</v>
      </c>
      <c r="R387" s="2" t="inlineStr"/>
    </row>
    <row r="388" ht="15" customHeight="1">
      <c r="A388" t="inlineStr">
        <is>
          <t>A 7576-2021</t>
        </is>
      </c>
      <c r="B388" s="1" t="n">
        <v>44240</v>
      </c>
      <c r="C388" s="1" t="n">
        <v>45574</v>
      </c>
      <c r="D388" t="inlineStr">
        <is>
          <t>VÄRMLANDS LÄN</t>
        </is>
      </c>
      <c r="E388" t="inlineStr">
        <is>
          <t>ÅRJÄNG</t>
        </is>
      </c>
      <c r="G388" t="n">
        <v>2.5</v>
      </c>
      <c r="H388" t="n">
        <v>0</v>
      </c>
      <c r="I388" t="n">
        <v>0</v>
      </c>
      <c r="J388" t="n">
        <v>0</v>
      </c>
      <c r="K388" t="n">
        <v>0</v>
      </c>
      <c r="L388" t="n">
        <v>0</v>
      </c>
      <c r="M388" t="n">
        <v>0</v>
      </c>
      <c r="N388" t="n">
        <v>0</v>
      </c>
      <c r="O388" t="n">
        <v>0</v>
      </c>
      <c r="P388" t="n">
        <v>0</v>
      </c>
      <c r="Q388" t="n">
        <v>0</v>
      </c>
      <c r="R388" s="2" t="inlineStr"/>
    </row>
    <row r="389" ht="15" customHeight="1">
      <c r="A389" t="inlineStr">
        <is>
          <t>A 7774-2021</t>
        </is>
      </c>
      <c r="B389" s="1" t="n">
        <v>44242</v>
      </c>
      <c r="C389" s="1" t="n">
        <v>45574</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7975-2021</t>
        </is>
      </c>
      <c r="B390" s="1" t="n">
        <v>44242</v>
      </c>
      <c r="C390" s="1" t="n">
        <v>45574</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8957-2021</t>
        </is>
      </c>
      <c r="B391" s="1" t="n">
        <v>44246</v>
      </c>
      <c r="C391" s="1" t="n">
        <v>45574</v>
      </c>
      <c r="D391" t="inlineStr">
        <is>
          <t>VÄRMLANDS LÄN</t>
        </is>
      </c>
      <c r="E391" t="inlineStr">
        <is>
          <t>ÅRJÄNG</t>
        </is>
      </c>
      <c r="F391" t="inlineStr">
        <is>
          <t>Övriga Aktiebolag</t>
        </is>
      </c>
      <c r="G391" t="n">
        <v>1.7</v>
      </c>
      <c r="H391" t="n">
        <v>0</v>
      </c>
      <c r="I391" t="n">
        <v>0</v>
      </c>
      <c r="J391" t="n">
        <v>0</v>
      </c>
      <c r="K391" t="n">
        <v>0</v>
      </c>
      <c r="L391" t="n">
        <v>0</v>
      </c>
      <c r="M391" t="n">
        <v>0</v>
      </c>
      <c r="N391" t="n">
        <v>0</v>
      </c>
      <c r="O391" t="n">
        <v>0</v>
      </c>
      <c r="P391" t="n">
        <v>0</v>
      </c>
      <c r="Q391" t="n">
        <v>0</v>
      </c>
      <c r="R391" s="2" t="inlineStr"/>
    </row>
    <row r="392" ht="15" customHeight="1">
      <c r="A392" t="inlineStr">
        <is>
          <t>A 8951-2021</t>
        </is>
      </c>
      <c r="B392" s="1" t="n">
        <v>44246</v>
      </c>
      <c r="C392" s="1" t="n">
        <v>45574</v>
      </c>
      <c r="D392" t="inlineStr">
        <is>
          <t>VÄRMLANDS LÄN</t>
        </is>
      </c>
      <c r="E392" t="inlineStr">
        <is>
          <t>ÅRJÄNG</t>
        </is>
      </c>
      <c r="F392" t="inlineStr">
        <is>
          <t>Övriga Aktiebolag</t>
        </is>
      </c>
      <c r="G392" t="n">
        <v>3.7</v>
      </c>
      <c r="H392" t="n">
        <v>0</v>
      </c>
      <c r="I392" t="n">
        <v>0</v>
      </c>
      <c r="J392" t="n">
        <v>0</v>
      </c>
      <c r="K392" t="n">
        <v>0</v>
      </c>
      <c r="L392" t="n">
        <v>0</v>
      </c>
      <c r="M392" t="n">
        <v>0</v>
      </c>
      <c r="N392" t="n">
        <v>0</v>
      </c>
      <c r="O392" t="n">
        <v>0</v>
      </c>
      <c r="P392" t="n">
        <v>0</v>
      </c>
      <c r="Q392" t="n">
        <v>0</v>
      </c>
      <c r="R392" s="2" t="inlineStr"/>
    </row>
    <row r="393" ht="15" customHeight="1">
      <c r="A393" t="inlineStr">
        <is>
          <t>A 8885-2021</t>
        </is>
      </c>
      <c r="B393" s="1" t="n">
        <v>44248</v>
      </c>
      <c r="C393" s="1" t="n">
        <v>45574</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9441-2021</t>
        </is>
      </c>
      <c r="B394" s="1" t="n">
        <v>44251</v>
      </c>
      <c r="C394" s="1" t="n">
        <v>45574</v>
      </c>
      <c r="D394" t="inlineStr">
        <is>
          <t>VÄRMLANDS LÄN</t>
        </is>
      </c>
      <c r="E394" t="inlineStr">
        <is>
          <t>ÅRJÄNG</t>
        </is>
      </c>
      <c r="G394" t="n">
        <v>1.3</v>
      </c>
      <c r="H394" t="n">
        <v>0</v>
      </c>
      <c r="I394" t="n">
        <v>0</v>
      </c>
      <c r="J394" t="n">
        <v>0</v>
      </c>
      <c r="K394" t="n">
        <v>0</v>
      </c>
      <c r="L394" t="n">
        <v>0</v>
      </c>
      <c r="M394" t="n">
        <v>0</v>
      </c>
      <c r="N394" t="n">
        <v>0</v>
      </c>
      <c r="O394" t="n">
        <v>0</v>
      </c>
      <c r="P394" t="n">
        <v>0</v>
      </c>
      <c r="Q394" t="n">
        <v>0</v>
      </c>
      <c r="R394" s="2" t="inlineStr"/>
    </row>
    <row r="395" ht="15" customHeight="1">
      <c r="A395" t="inlineStr">
        <is>
          <t>A 9484-2021</t>
        </is>
      </c>
      <c r="B395" s="1" t="n">
        <v>44251</v>
      </c>
      <c r="C395" s="1" t="n">
        <v>45574</v>
      </c>
      <c r="D395" t="inlineStr">
        <is>
          <t>VÄRMLANDS LÄN</t>
        </is>
      </c>
      <c r="E395" t="inlineStr">
        <is>
          <t>ÅRJÄNG</t>
        </is>
      </c>
      <c r="G395" t="n">
        <v>0.8</v>
      </c>
      <c r="H395" t="n">
        <v>0</v>
      </c>
      <c r="I395" t="n">
        <v>0</v>
      </c>
      <c r="J395" t="n">
        <v>0</v>
      </c>
      <c r="K395" t="n">
        <v>0</v>
      </c>
      <c r="L395" t="n">
        <v>0</v>
      </c>
      <c r="M395" t="n">
        <v>0</v>
      </c>
      <c r="N395" t="n">
        <v>0</v>
      </c>
      <c r="O395" t="n">
        <v>0</v>
      </c>
      <c r="P395" t="n">
        <v>0</v>
      </c>
      <c r="Q395" t="n">
        <v>0</v>
      </c>
      <c r="R395" s="2" t="inlineStr"/>
    </row>
    <row r="396" ht="15" customHeight="1">
      <c r="A396" t="inlineStr">
        <is>
          <t>A 10541-2021</t>
        </is>
      </c>
      <c r="B396" s="1" t="n">
        <v>44258</v>
      </c>
      <c r="C396" s="1" t="n">
        <v>45574</v>
      </c>
      <c r="D396" t="inlineStr">
        <is>
          <t>VÄRMLANDS LÄN</t>
        </is>
      </c>
      <c r="E396" t="inlineStr">
        <is>
          <t>ÅRJÄNG</t>
        </is>
      </c>
      <c r="G396" t="n">
        <v>0.7</v>
      </c>
      <c r="H396" t="n">
        <v>0</v>
      </c>
      <c r="I396" t="n">
        <v>0</v>
      </c>
      <c r="J396" t="n">
        <v>0</v>
      </c>
      <c r="K396" t="n">
        <v>0</v>
      </c>
      <c r="L396" t="n">
        <v>0</v>
      </c>
      <c r="M396" t="n">
        <v>0</v>
      </c>
      <c r="N396" t="n">
        <v>0</v>
      </c>
      <c r="O396" t="n">
        <v>0</v>
      </c>
      <c r="P396" t="n">
        <v>0</v>
      </c>
      <c r="Q396" t="n">
        <v>0</v>
      </c>
      <c r="R396" s="2" t="inlineStr"/>
    </row>
    <row r="397" ht="15" customHeight="1">
      <c r="A397" t="inlineStr">
        <is>
          <t>A 10594-2021</t>
        </is>
      </c>
      <c r="B397" s="1" t="n">
        <v>44258</v>
      </c>
      <c r="C397" s="1" t="n">
        <v>45574</v>
      </c>
      <c r="D397" t="inlineStr">
        <is>
          <t>VÄRMLANDS LÄN</t>
        </is>
      </c>
      <c r="E397" t="inlineStr">
        <is>
          <t>ÅRJÄNG</t>
        </is>
      </c>
      <c r="G397" t="n">
        <v>3.6</v>
      </c>
      <c r="H397" t="n">
        <v>0</v>
      </c>
      <c r="I397" t="n">
        <v>0</v>
      </c>
      <c r="J397" t="n">
        <v>0</v>
      </c>
      <c r="K397" t="n">
        <v>0</v>
      </c>
      <c r="L397" t="n">
        <v>0</v>
      </c>
      <c r="M397" t="n">
        <v>0</v>
      </c>
      <c r="N397" t="n">
        <v>0</v>
      </c>
      <c r="O397" t="n">
        <v>0</v>
      </c>
      <c r="P397" t="n">
        <v>0</v>
      </c>
      <c r="Q397" t="n">
        <v>0</v>
      </c>
      <c r="R397" s="2" t="inlineStr"/>
    </row>
    <row r="398" ht="15" customHeight="1">
      <c r="A398" t="inlineStr">
        <is>
          <t>A 10588-2021</t>
        </is>
      </c>
      <c r="B398" s="1" t="n">
        <v>44258</v>
      </c>
      <c r="C398" s="1" t="n">
        <v>45574</v>
      </c>
      <c r="D398" t="inlineStr">
        <is>
          <t>VÄRMLANDS LÄN</t>
        </is>
      </c>
      <c r="E398" t="inlineStr">
        <is>
          <t>ÅRJÄNG</t>
        </is>
      </c>
      <c r="G398" t="n">
        <v>7.9</v>
      </c>
      <c r="H398" t="n">
        <v>0</v>
      </c>
      <c r="I398" t="n">
        <v>0</v>
      </c>
      <c r="J398" t="n">
        <v>0</v>
      </c>
      <c r="K398" t="n">
        <v>0</v>
      </c>
      <c r="L398" t="n">
        <v>0</v>
      </c>
      <c r="M398" t="n">
        <v>0</v>
      </c>
      <c r="N398" t="n">
        <v>0</v>
      </c>
      <c r="O398" t="n">
        <v>0</v>
      </c>
      <c r="P398" t="n">
        <v>0</v>
      </c>
      <c r="Q398" t="n">
        <v>0</v>
      </c>
      <c r="R398" s="2" t="inlineStr"/>
    </row>
    <row r="399" ht="15" customHeight="1">
      <c r="A399" t="inlineStr">
        <is>
          <t>A 11157-2021</t>
        </is>
      </c>
      <c r="B399" s="1" t="n">
        <v>44261</v>
      </c>
      <c r="C399" s="1" t="n">
        <v>45574</v>
      </c>
      <c r="D399" t="inlineStr">
        <is>
          <t>VÄRMLANDS LÄN</t>
        </is>
      </c>
      <c r="E399" t="inlineStr">
        <is>
          <t>ÅRJÄNG</t>
        </is>
      </c>
      <c r="G399" t="n">
        <v>9</v>
      </c>
      <c r="H399" t="n">
        <v>0</v>
      </c>
      <c r="I399" t="n">
        <v>0</v>
      </c>
      <c r="J399" t="n">
        <v>0</v>
      </c>
      <c r="K399" t="n">
        <v>0</v>
      </c>
      <c r="L399" t="n">
        <v>0</v>
      </c>
      <c r="M399" t="n">
        <v>0</v>
      </c>
      <c r="N399" t="n">
        <v>0</v>
      </c>
      <c r="O399" t="n">
        <v>0</v>
      </c>
      <c r="P399" t="n">
        <v>0</v>
      </c>
      <c r="Q399" t="n">
        <v>0</v>
      </c>
      <c r="R399" s="2" t="inlineStr"/>
    </row>
    <row r="400" ht="15" customHeight="1">
      <c r="A400" t="inlineStr">
        <is>
          <t>A 11156-2021</t>
        </is>
      </c>
      <c r="B400" s="1" t="n">
        <v>44261</v>
      </c>
      <c r="C400" s="1" t="n">
        <v>45574</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11265-2021</t>
        </is>
      </c>
      <c r="B401" s="1" t="n">
        <v>44263</v>
      </c>
      <c r="C401" s="1" t="n">
        <v>45574</v>
      </c>
      <c r="D401" t="inlineStr">
        <is>
          <t>VÄRMLANDS LÄN</t>
        </is>
      </c>
      <c r="E401" t="inlineStr">
        <is>
          <t>ÅRJÄNG</t>
        </is>
      </c>
      <c r="G401" t="n">
        <v>2.2</v>
      </c>
      <c r="H401" t="n">
        <v>0</v>
      </c>
      <c r="I401" t="n">
        <v>0</v>
      </c>
      <c r="J401" t="n">
        <v>0</v>
      </c>
      <c r="K401" t="n">
        <v>0</v>
      </c>
      <c r="L401" t="n">
        <v>0</v>
      </c>
      <c r="M401" t="n">
        <v>0</v>
      </c>
      <c r="N401" t="n">
        <v>0</v>
      </c>
      <c r="O401" t="n">
        <v>0</v>
      </c>
      <c r="P401" t="n">
        <v>0</v>
      </c>
      <c r="Q401" t="n">
        <v>0</v>
      </c>
      <c r="R401" s="2" t="inlineStr"/>
    </row>
    <row r="402" ht="15" customHeight="1">
      <c r="A402" t="inlineStr">
        <is>
          <t>A 11897-2021</t>
        </is>
      </c>
      <c r="B402" s="1" t="n">
        <v>44265</v>
      </c>
      <c r="C402" s="1" t="n">
        <v>45574</v>
      </c>
      <c r="D402" t="inlineStr">
        <is>
          <t>VÄRMLANDS LÄN</t>
        </is>
      </c>
      <c r="E402" t="inlineStr">
        <is>
          <t>ÅRJÄNG</t>
        </is>
      </c>
      <c r="G402" t="n">
        <v>8.6</v>
      </c>
      <c r="H402" t="n">
        <v>0</v>
      </c>
      <c r="I402" t="n">
        <v>0</v>
      </c>
      <c r="J402" t="n">
        <v>0</v>
      </c>
      <c r="K402" t="n">
        <v>0</v>
      </c>
      <c r="L402" t="n">
        <v>0</v>
      </c>
      <c r="M402" t="n">
        <v>0</v>
      </c>
      <c r="N402" t="n">
        <v>0</v>
      </c>
      <c r="O402" t="n">
        <v>0</v>
      </c>
      <c r="P402" t="n">
        <v>0</v>
      </c>
      <c r="Q402" t="n">
        <v>0</v>
      </c>
      <c r="R402" s="2" t="inlineStr"/>
    </row>
    <row r="403" ht="15" customHeight="1">
      <c r="A403" t="inlineStr">
        <is>
          <t>A 12137-2021</t>
        </is>
      </c>
      <c r="B403" s="1" t="n">
        <v>44266</v>
      </c>
      <c r="C403" s="1" t="n">
        <v>45574</v>
      </c>
      <c r="D403" t="inlineStr">
        <is>
          <t>VÄRMLANDS LÄN</t>
        </is>
      </c>
      <c r="E403" t="inlineStr">
        <is>
          <t>ÅRJÄNG</t>
        </is>
      </c>
      <c r="G403" t="n">
        <v>1.7</v>
      </c>
      <c r="H403" t="n">
        <v>0</v>
      </c>
      <c r="I403" t="n">
        <v>0</v>
      </c>
      <c r="J403" t="n">
        <v>0</v>
      </c>
      <c r="K403" t="n">
        <v>0</v>
      </c>
      <c r="L403" t="n">
        <v>0</v>
      </c>
      <c r="M403" t="n">
        <v>0</v>
      </c>
      <c r="N403" t="n">
        <v>0</v>
      </c>
      <c r="O403" t="n">
        <v>0</v>
      </c>
      <c r="P403" t="n">
        <v>0</v>
      </c>
      <c r="Q403" t="n">
        <v>0</v>
      </c>
      <c r="R403" s="2" t="inlineStr"/>
    </row>
    <row r="404" ht="15" customHeight="1">
      <c r="A404" t="inlineStr">
        <is>
          <t>A 12352-2021</t>
        </is>
      </c>
      <c r="B404" s="1" t="n">
        <v>44267</v>
      </c>
      <c r="C404" s="1" t="n">
        <v>45574</v>
      </c>
      <c r="D404" t="inlineStr">
        <is>
          <t>VÄRMLANDS LÄN</t>
        </is>
      </c>
      <c r="E404" t="inlineStr">
        <is>
          <t>ÅRJÄNG</t>
        </is>
      </c>
      <c r="G404" t="n">
        <v>7.1</v>
      </c>
      <c r="H404" t="n">
        <v>0</v>
      </c>
      <c r="I404" t="n">
        <v>0</v>
      </c>
      <c r="J404" t="n">
        <v>0</v>
      </c>
      <c r="K404" t="n">
        <v>0</v>
      </c>
      <c r="L404" t="n">
        <v>0</v>
      </c>
      <c r="M404" t="n">
        <v>0</v>
      </c>
      <c r="N404" t="n">
        <v>0</v>
      </c>
      <c r="O404" t="n">
        <v>0</v>
      </c>
      <c r="P404" t="n">
        <v>0</v>
      </c>
      <c r="Q404" t="n">
        <v>0</v>
      </c>
      <c r="R404" s="2" t="inlineStr"/>
    </row>
    <row r="405" ht="15" customHeight="1">
      <c r="A405" t="inlineStr">
        <is>
          <t>A 12853-2021</t>
        </is>
      </c>
      <c r="B405" s="1" t="n">
        <v>44271</v>
      </c>
      <c r="C405" s="1" t="n">
        <v>45574</v>
      </c>
      <c r="D405" t="inlineStr">
        <is>
          <t>VÄRMLANDS LÄN</t>
        </is>
      </c>
      <c r="E405" t="inlineStr">
        <is>
          <t>ÅRJÄNG</t>
        </is>
      </c>
      <c r="G405" t="n">
        <v>2.1</v>
      </c>
      <c r="H405" t="n">
        <v>0</v>
      </c>
      <c r="I405" t="n">
        <v>0</v>
      </c>
      <c r="J405" t="n">
        <v>0</v>
      </c>
      <c r="K405" t="n">
        <v>0</v>
      </c>
      <c r="L405" t="n">
        <v>0</v>
      </c>
      <c r="M405" t="n">
        <v>0</v>
      </c>
      <c r="N405" t="n">
        <v>0</v>
      </c>
      <c r="O405" t="n">
        <v>0</v>
      </c>
      <c r="P405" t="n">
        <v>0</v>
      </c>
      <c r="Q405" t="n">
        <v>0</v>
      </c>
      <c r="R405" s="2" t="inlineStr"/>
    </row>
    <row r="406" ht="15" customHeight="1">
      <c r="A406" t="inlineStr">
        <is>
          <t>A 12842-2021</t>
        </is>
      </c>
      <c r="B406" s="1" t="n">
        <v>44271</v>
      </c>
      <c r="C406" s="1" t="n">
        <v>45574</v>
      </c>
      <c r="D406" t="inlineStr">
        <is>
          <t>VÄRMLANDS LÄN</t>
        </is>
      </c>
      <c r="E406" t="inlineStr">
        <is>
          <t>ÅRJÄNG</t>
        </is>
      </c>
      <c r="G406" t="n">
        <v>0.8</v>
      </c>
      <c r="H406" t="n">
        <v>0</v>
      </c>
      <c r="I406" t="n">
        <v>0</v>
      </c>
      <c r="J406" t="n">
        <v>0</v>
      </c>
      <c r="K406" t="n">
        <v>0</v>
      </c>
      <c r="L406" t="n">
        <v>0</v>
      </c>
      <c r="M406" t="n">
        <v>0</v>
      </c>
      <c r="N406" t="n">
        <v>0</v>
      </c>
      <c r="O406" t="n">
        <v>0</v>
      </c>
      <c r="P406" t="n">
        <v>0</v>
      </c>
      <c r="Q406" t="n">
        <v>0</v>
      </c>
      <c r="R406" s="2" t="inlineStr"/>
    </row>
    <row r="407" ht="15" customHeight="1">
      <c r="A407" t="inlineStr">
        <is>
          <t>A 13115-2021</t>
        </is>
      </c>
      <c r="B407" s="1" t="n">
        <v>44272</v>
      </c>
      <c r="C407" s="1" t="n">
        <v>45574</v>
      </c>
      <c r="D407" t="inlineStr">
        <is>
          <t>VÄRMLANDS LÄN</t>
        </is>
      </c>
      <c r="E407" t="inlineStr">
        <is>
          <t>ÅRJÄNG</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14094-2021</t>
        </is>
      </c>
      <c r="B408" s="1" t="n">
        <v>44278</v>
      </c>
      <c r="C408" s="1" t="n">
        <v>45574</v>
      </c>
      <c r="D408" t="inlineStr">
        <is>
          <t>VÄRMLANDS LÄN</t>
        </is>
      </c>
      <c r="E408" t="inlineStr">
        <is>
          <t>ÅRJÄNG</t>
        </is>
      </c>
      <c r="G408" t="n">
        <v>2</v>
      </c>
      <c r="H408" t="n">
        <v>0</v>
      </c>
      <c r="I408" t="n">
        <v>0</v>
      </c>
      <c r="J408" t="n">
        <v>0</v>
      </c>
      <c r="K408" t="n">
        <v>0</v>
      </c>
      <c r="L408" t="n">
        <v>0</v>
      </c>
      <c r="M408" t="n">
        <v>0</v>
      </c>
      <c r="N408" t="n">
        <v>0</v>
      </c>
      <c r="O408" t="n">
        <v>0</v>
      </c>
      <c r="P408" t="n">
        <v>0</v>
      </c>
      <c r="Q408" t="n">
        <v>0</v>
      </c>
      <c r="R408" s="2" t="inlineStr"/>
    </row>
    <row r="409" ht="15" customHeight="1">
      <c r="A409" t="inlineStr">
        <is>
          <t>A 14906-2021</t>
        </is>
      </c>
      <c r="B409" s="1" t="n">
        <v>44281</v>
      </c>
      <c r="C409" s="1" t="n">
        <v>45574</v>
      </c>
      <c r="D409" t="inlineStr">
        <is>
          <t>VÄRMLANDS LÄN</t>
        </is>
      </c>
      <c r="E409" t="inlineStr">
        <is>
          <t>ÅRJÄNG</t>
        </is>
      </c>
      <c r="G409" t="n">
        <v>1.1</v>
      </c>
      <c r="H409" t="n">
        <v>0</v>
      </c>
      <c r="I409" t="n">
        <v>0</v>
      </c>
      <c r="J409" t="n">
        <v>0</v>
      </c>
      <c r="K409" t="n">
        <v>0</v>
      </c>
      <c r="L409" t="n">
        <v>0</v>
      </c>
      <c r="M409" t="n">
        <v>0</v>
      </c>
      <c r="N409" t="n">
        <v>0</v>
      </c>
      <c r="O409" t="n">
        <v>0</v>
      </c>
      <c r="P409" t="n">
        <v>0</v>
      </c>
      <c r="Q409" t="n">
        <v>0</v>
      </c>
      <c r="R409" s="2" t="inlineStr"/>
    </row>
    <row r="410" ht="15" customHeight="1">
      <c r="A410" t="inlineStr">
        <is>
          <t>A 15249-2021</t>
        </is>
      </c>
      <c r="B410" s="1" t="n">
        <v>44282</v>
      </c>
      <c r="C410" s="1" t="n">
        <v>45574</v>
      </c>
      <c r="D410" t="inlineStr">
        <is>
          <t>VÄRMLANDS LÄN</t>
        </is>
      </c>
      <c r="E410" t="inlineStr">
        <is>
          <t>ÅRJÄNG</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15244-2021</t>
        </is>
      </c>
      <c r="B411" s="1" t="n">
        <v>44284</v>
      </c>
      <c r="C411" s="1" t="n">
        <v>45574</v>
      </c>
      <c r="D411" t="inlineStr">
        <is>
          <t>VÄRMLANDS LÄN</t>
        </is>
      </c>
      <c r="E411" t="inlineStr">
        <is>
          <t>ÅRJÄNG</t>
        </is>
      </c>
      <c r="G411" t="n">
        <v>2.7</v>
      </c>
      <c r="H411" t="n">
        <v>0</v>
      </c>
      <c r="I411" t="n">
        <v>0</v>
      </c>
      <c r="J411" t="n">
        <v>0</v>
      </c>
      <c r="K411" t="n">
        <v>0</v>
      </c>
      <c r="L411" t="n">
        <v>0</v>
      </c>
      <c r="M411" t="n">
        <v>0</v>
      </c>
      <c r="N411" t="n">
        <v>0</v>
      </c>
      <c r="O411" t="n">
        <v>0</v>
      </c>
      <c r="P411" t="n">
        <v>0</v>
      </c>
      <c r="Q411" t="n">
        <v>0</v>
      </c>
      <c r="R411" s="2" t="inlineStr"/>
    </row>
    <row r="412" ht="15" customHeight="1">
      <c r="A412" t="inlineStr">
        <is>
          <t>A 15245-2021</t>
        </is>
      </c>
      <c r="B412" s="1" t="n">
        <v>44284</v>
      </c>
      <c r="C412" s="1" t="n">
        <v>45574</v>
      </c>
      <c r="D412" t="inlineStr">
        <is>
          <t>VÄRMLANDS LÄN</t>
        </is>
      </c>
      <c r="E412" t="inlineStr">
        <is>
          <t>ÅRJÄNG</t>
        </is>
      </c>
      <c r="G412" t="n">
        <v>6.6</v>
      </c>
      <c r="H412" t="n">
        <v>0</v>
      </c>
      <c r="I412" t="n">
        <v>0</v>
      </c>
      <c r="J412" t="n">
        <v>0</v>
      </c>
      <c r="K412" t="n">
        <v>0</v>
      </c>
      <c r="L412" t="n">
        <v>0</v>
      </c>
      <c r="M412" t="n">
        <v>0</v>
      </c>
      <c r="N412" t="n">
        <v>0</v>
      </c>
      <c r="O412" t="n">
        <v>0</v>
      </c>
      <c r="P412" t="n">
        <v>0</v>
      </c>
      <c r="Q412" t="n">
        <v>0</v>
      </c>
      <c r="R412" s="2" t="inlineStr"/>
    </row>
    <row r="413" ht="15" customHeight="1">
      <c r="A413" t="inlineStr">
        <is>
          <t>A 16176-2021</t>
        </is>
      </c>
      <c r="B413" s="1" t="n">
        <v>44292</v>
      </c>
      <c r="C413" s="1" t="n">
        <v>45574</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16676-2021</t>
        </is>
      </c>
      <c r="B414" s="1" t="n">
        <v>44294</v>
      </c>
      <c r="C414" s="1" t="n">
        <v>45574</v>
      </c>
      <c r="D414" t="inlineStr">
        <is>
          <t>VÄRMLANDS LÄN</t>
        </is>
      </c>
      <c r="E414" t="inlineStr">
        <is>
          <t>ÅRJÄNG</t>
        </is>
      </c>
      <c r="G414" t="n">
        <v>4.3</v>
      </c>
      <c r="H414" t="n">
        <v>0</v>
      </c>
      <c r="I414" t="n">
        <v>0</v>
      </c>
      <c r="J414" t="n">
        <v>0</v>
      </c>
      <c r="K414" t="n">
        <v>0</v>
      </c>
      <c r="L414" t="n">
        <v>0</v>
      </c>
      <c r="M414" t="n">
        <v>0</v>
      </c>
      <c r="N414" t="n">
        <v>0</v>
      </c>
      <c r="O414" t="n">
        <v>0</v>
      </c>
      <c r="P414" t="n">
        <v>0</v>
      </c>
      <c r="Q414" t="n">
        <v>0</v>
      </c>
      <c r="R414" s="2" t="inlineStr"/>
    </row>
    <row r="415" ht="15" customHeight="1">
      <c r="A415" t="inlineStr">
        <is>
          <t>A 16689-2021</t>
        </is>
      </c>
      <c r="B415" s="1" t="n">
        <v>44294</v>
      </c>
      <c r="C415" s="1" t="n">
        <v>45574</v>
      </c>
      <c r="D415" t="inlineStr">
        <is>
          <t>VÄRMLANDS LÄN</t>
        </is>
      </c>
      <c r="E415" t="inlineStr">
        <is>
          <t>ÅRJÄNG</t>
        </is>
      </c>
      <c r="G415" t="n">
        <v>0.6</v>
      </c>
      <c r="H415" t="n">
        <v>0</v>
      </c>
      <c r="I415" t="n">
        <v>0</v>
      </c>
      <c r="J415" t="n">
        <v>0</v>
      </c>
      <c r="K415" t="n">
        <v>0</v>
      </c>
      <c r="L415" t="n">
        <v>0</v>
      </c>
      <c r="M415" t="n">
        <v>0</v>
      </c>
      <c r="N415" t="n">
        <v>0</v>
      </c>
      <c r="O415" t="n">
        <v>0</v>
      </c>
      <c r="P415" t="n">
        <v>0</v>
      </c>
      <c r="Q415" t="n">
        <v>0</v>
      </c>
      <c r="R415" s="2" t="inlineStr"/>
    </row>
    <row r="416" ht="15" customHeight="1">
      <c r="A416" t="inlineStr">
        <is>
          <t>A 17248-2021</t>
        </is>
      </c>
      <c r="B416" s="1" t="n">
        <v>44298</v>
      </c>
      <c r="C416" s="1" t="n">
        <v>45574</v>
      </c>
      <c r="D416" t="inlineStr">
        <is>
          <t>VÄRMLANDS LÄN</t>
        </is>
      </c>
      <c r="E416" t="inlineStr">
        <is>
          <t>ÅRJÄNG</t>
        </is>
      </c>
      <c r="G416" t="n">
        <v>0.9</v>
      </c>
      <c r="H416" t="n">
        <v>0</v>
      </c>
      <c r="I416" t="n">
        <v>0</v>
      </c>
      <c r="J416" t="n">
        <v>0</v>
      </c>
      <c r="K416" t="n">
        <v>0</v>
      </c>
      <c r="L416" t="n">
        <v>0</v>
      </c>
      <c r="M416" t="n">
        <v>0</v>
      </c>
      <c r="N416" t="n">
        <v>0</v>
      </c>
      <c r="O416" t="n">
        <v>0</v>
      </c>
      <c r="P416" t="n">
        <v>0</v>
      </c>
      <c r="Q416" t="n">
        <v>0</v>
      </c>
      <c r="R416" s="2" t="inlineStr"/>
    </row>
    <row r="417" ht="15" customHeight="1">
      <c r="A417" t="inlineStr">
        <is>
          <t>A 17178-2021</t>
        </is>
      </c>
      <c r="B417" s="1" t="n">
        <v>44298</v>
      </c>
      <c r="C417" s="1" t="n">
        <v>45574</v>
      </c>
      <c r="D417" t="inlineStr">
        <is>
          <t>VÄRMLANDS LÄN</t>
        </is>
      </c>
      <c r="E417" t="inlineStr">
        <is>
          <t>ÅRJÄNG</t>
        </is>
      </c>
      <c r="G417" t="n">
        <v>4</v>
      </c>
      <c r="H417" t="n">
        <v>0</v>
      </c>
      <c r="I417" t="n">
        <v>0</v>
      </c>
      <c r="J417" t="n">
        <v>0</v>
      </c>
      <c r="K417" t="n">
        <v>0</v>
      </c>
      <c r="L417" t="n">
        <v>0</v>
      </c>
      <c r="M417" t="n">
        <v>0</v>
      </c>
      <c r="N417" t="n">
        <v>0</v>
      </c>
      <c r="O417" t="n">
        <v>0</v>
      </c>
      <c r="P417" t="n">
        <v>0</v>
      </c>
      <c r="Q417" t="n">
        <v>0</v>
      </c>
      <c r="R417" s="2" t="inlineStr"/>
    </row>
    <row r="418" ht="15" customHeight="1">
      <c r="A418" t="inlineStr">
        <is>
          <t>A 17927-2021</t>
        </is>
      </c>
      <c r="B418" s="1" t="n">
        <v>44301</v>
      </c>
      <c r="C418" s="1" t="n">
        <v>45574</v>
      </c>
      <c r="D418" t="inlineStr">
        <is>
          <t>VÄRMLANDS LÄN</t>
        </is>
      </c>
      <c r="E418" t="inlineStr">
        <is>
          <t>ÅRJÄNG</t>
        </is>
      </c>
      <c r="G418" t="n">
        <v>3.4</v>
      </c>
      <c r="H418" t="n">
        <v>0</v>
      </c>
      <c r="I418" t="n">
        <v>0</v>
      </c>
      <c r="J418" t="n">
        <v>0</v>
      </c>
      <c r="K418" t="n">
        <v>0</v>
      </c>
      <c r="L418" t="n">
        <v>0</v>
      </c>
      <c r="M418" t="n">
        <v>0</v>
      </c>
      <c r="N418" t="n">
        <v>0</v>
      </c>
      <c r="O418" t="n">
        <v>0</v>
      </c>
      <c r="P418" t="n">
        <v>0</v>
      </c>
      <c r="Q418" t="n">
        <v>0</v>
      </c>
      <c r="R418" s="2" t="inlineStr"/>
    </row>
    <row r="419" ht="15" customHeight="1">
      <c r="A419" t="inlineStr">
        <is>
          <t>A 17892-2021</t>
        </is>
      </c>
      <c r="B419" s="1" t="n">
        <v>44301</v>
      </c>
      <c r="C419" s="1" t="n">
        <v>45574</v>
      </c>
      <c r="D419" t="inlineStr">
        <is>
          <t>VÄRMLANDS LÄN</t>
        </is>
      </c>
      <c r="E419" t="inlineStr">
        <is>
          <t>ÅRJÄNG</t>
        </is>
      </c>
      <c r="G419" t="n">
        <v>3.9</v>
      </c>
      <c r="H419" t="n">
        <v>0</v>
      </c>
      <c r="I419" t="n">
        <v>0</v>
      </c>
      <c r="J419" t="n">
        <v>0</v>
      </c>
      <c r="K419" t="n">
        <v>0</v>
      </c>
      <c r="L419" t="n">
        <v>0</v>
      </c>
      <c r="M419" t="n">
        <v>0</v>
      </c>
      <c r="N419" t="n">
        <v>0</v>
      </c>
      <c r="O419" t="n">
        <v>0</v>
      </c>
      <c r="P419" t="n">
        <v>0</v>
      </c>
      <c r="Q419" t="n">
        <v>0</v>
      </c>
      <c r="R419" s="2" t="inlineStr"/>
    </row>
    <row r="420" ht="15" customHeight="1">
      <c r="A420" t="inlineStr">
        <is>
          <t>A 18661-2021</t>
        </is>
      </c>
      <c r="B420" s="1" t="n">
        <v>44306</v>
      </c>
      <c r="C420" s="1" t="n">
        <v>45574</v>
      </c>
      <c r="D420" t="inlineStr">
        <is>
          <t>VÄRMLANDS LÄN</t>
        </is>
      </c>
      <c r="E420" t="inlineStr">
        <is>
          <t>ÅRJÄNG</t>
        </is>
      </c>
      <c r="G420" t="n">
        <v>3.7</v>
      </c>
      <c r="H420" t="n">
        <v>0</v>
      </c>
      <c r="I420" t="n">
        <v>0</v>
      </c>
      <c r="J420" t="n">
        <v>0</v>
      </c>
      <c r="K420" t="n">
        <v>0</v>
      </c>
      <c r="L420" t="n">
        <v>0</v>
      </c>
      <c r="M420" t="n">
        <v>0</v>
      </c>
      <c r="N420" t="n">
        <v>0</v>
      </c>
      <c r="O420" t="n">
        <v>0</v>
      </c>
      <c r="P420" t="n">
        <v>0</v>
      </c>
      <c r="Q420" t="n">
        <v>0</v>
      </c>
      <c r="R420" s="2" t="inlineStr"/>
    </row>
    <row r="421" ht="15" customHeight="1">
      <c r="A421" t="inlineStr">
        <is>
          <t>A 18903-2021</t>
        </is>
      </c>
      <c r="B421" s="1" t="n">
        <v>44308</v>
      </c>
      <c r="C421" s="1" t="n">
        <v>45574</v>
      </c>
      <c r="D421" t="inlineStr">
        <is>
          <t>VÄRMLANDS LÄN</t>
        </is>
      </c>
      <c r="E421" t="inlineStr">
        <is>
          <t>ÅRJÄNG</t>
        </is>
      </c>
      <c r="G421" t="n">
        <v>0.6</v>
      </c>
      <c r="H421" t="n">
        <v>0</v>
      </c>
      <c r="I421" t="n">
        <v>0</v>
      </c>
      <c r="J421" t="n">
        <v>0</v>
      </c>
      <c r="K421" t="n">
        <v>0</v>
      </c>
      <c r="L421" t="n">
        <v>0</v>
      </c>
      <c r="M421" t="n">
        <v>0</v>
      </c>
      <c r="N421" t="n">
        <v>0</v>
      </c>
      <c r="O421" t="n">
        <v>0</v>
      </c>
      <c r="P421" t="n">
        <v>0</v>
      </c>
      <c r="Q421" t="n">
        <v>0</v>
      </c>
      <c r="R421" s="2" t="inlineStr"/>
    </row>
    <row r="422" ht="15" customHeight="1">
      <c r="A422" t="inlineStr">
        <is>
          <t>A 19244-2021</t>
        </is>
      </c>
      <c r="B422" s="1" t="n">
        <v>44309</v>
      </c>
      <c r="C422" s="1" t="n">
        <v>45574</v>
      </c>
      <c r="D422" t="inlineStr">
        <is>
          <t>VÄRMLANDS LÄN</t>
        </is>
      </c>
      <c r="E422" t="inlineStr">
        <is>
          <t>ÅRJÄNG</t>
        </is>
      </c>
      <c r="G422" t="n">
        <v>2</v>
      </c>
      <c r="H422" t="n">
        <v>0</v>
      </c>
      <c r="I422" t="n">
        <v>0</v>
      </c>
      <c r="J422" t="n">
        <v>0</v>
      </c>
      <c r="K422" t="n">
        <v>0</v>
      </c>
      <c r="L422" t="n">
        <v>0</v>
      </c>
      <c r="M422" t="n">
        <v>0</v>
      </c>
      <c r="N422" t="n">
        <v>0</v>
      </c>
      <c r="O422" t="n">
        <v>0</v>
      </c>
      <c r="P422" t="n">
        <v>0</v>
      </c>
      <c r="Q422" t="n">
        <v>0</v>
      </c>
      <c r="R422" s="2" t="inlineStr"/>
    </row>
    <row r="423" ht="15" customHeight="1">
      <c r="A423" t="inlineStr">
        <is>
          <t>A 19458-2021</t>
        </is>
      </c>
      <c r="B423" s="1" t="n">
        <v>44311</v>
      </c>
      <c r="C423" s="1" t="n">
        <v>45574</v>
      </c>
      <c r="D423" t="inlineStr">
        <is>
          <t>VÄRMLANDS LÄN</t>
        </is>
      </c>
      <c r="E423" t="inlineStr">
        <is>
          <t>ÅRJÄNG</t>
        </is>
      </c>
      <c r="G423" t="n">
        <v>15.6</v>
      </c>
      <c r="H423" t="n">
        <v>0</v>
      </c>
      <c r="I423" t="n">
        <v>0</v>
      </c>
      <c r="J423" t="n">
        <v>0</v>
      </c>
      <c r="K423" t="n">
        <v>0</v>
      </c>
      <c r="L423" t="n">
        <v>0</v>
      </c>
      <c r="M423" t="n">
        <v>0</v>
      </c>
      <c r="N423" t="n">
        <v>0</v>
      </c>
      <c r="O423" t="n">
        <v>0</v>
      </c>
      <c r="P423" t="n">
        <v>0</v>
      </c>
      <c r="Q423" t="n">
        <v>0</v>
      </c>
      <c r="R423" s="2" t="inlineStr"/>
    </row>
    <row r="424" ht="15" customHeight="1">
      <c r="A424" t="inlineStr">
        <is>
          <t>A 21701-2021</t>
        </is>
      </c>
      <c r="B424" s="1" t="n">
        <v>44322</v>
      </c>
      <c r="C424" s="1" t="n">
        <v>45574</v>
      </c>
      <c r="D424" t="inlineStr">
        <is>
          <t>VÄRMLANDS LÄN</t>
        </is>
      </c>
      <c r="E424" t="inlineStr">
        <is>
          <t>ÅRJÄNG</t>
        </is>
      </c>
      <c r="G424" t="n">
        <v>2.4</v>
      </c>
      <c r="H424" t="n">
        <v>0</v>
      </c>
      <c r="I424" t="n">
        <v>0</v>
      </c>
      <c r="J424" t="n">
        <v>0</v>
      </c>
      <c r="K424" t="n">
        <v>0</v>
      </c>
      <c r="L424" t="n">
        <v>0</v>
      </c>
      <c r="M424" t="n">
        <v>0</v>
      </c>
      <c r="N424" t="n">
        <v>0</v>
      </c>
      <c r="O424" t="n">
        <v>0</v>
      </c>
      <c r="P424" t="n">
        <v>0</v>
      </c>
      <c r="Q424" t="n">
        <v>0</v>
      </c>
      <c r="R424" s="2" t="inlineStr"/>
    </row>
    <row r="425" ht="15" customHeight="1">
      <c r="A425" t="inlineStr">
        <is>
          <t>A 21995-2021</t>
        </is>
      </c>
      <c r="B425" s="1" t="n">
        <v>44323</v>
      </c>
      <c r="C425" s="1" t="n">
        <v>45574</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21996-2021</t>
        </is>
      </c>
      <c r="B426" s="1" t="n">
        <v>44323</v>
      </c>
      <c r="C426" s="1" t="n">
        <v>45574</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22158-2021</t>
        </is>
      </c>
      <c r="B427" s="1" t="n">
        <v>44325</v>
      </c>
      <c r="C427" s="1" t="n">
        <v>45574</v>
      </c>
      <c r="D427" t="inlineStr">
        <is>
          <t>VÄRMLANDS LÄN</t>
        </is>
      </c>
      <c r="E427" t="inlineStr">
        <is>
          <t>ÅRJÄNG</t>
        </is>
      </c>
      <c r="G427" t="n">
        <v>5</v>
      </c>
      <c r="H427" t="n">
        <v>0</v>
      </c>
      <c r="I427" t="n">
        <v>0</v>
      </c>
      <c r="J427" t="n">
        <v>0</v>
      </c>
      <c r="K427" t="n">
        <v>0</v>
      </c>
      <c r="L427" t="n">
        <v>0</v>
      </c>
      <c r="M427" t="n">
        <v>0</v>
      </c>
      <c r="N427" t="n">
        <v>0</v>
      </c>
      <c r="O427" t="n">
        <v>0</v>
      </c>
      <c r="P427" t="n">
        <v>0</v>
      </c>
      <c r="Q427" t="n">
        <v>0</v>
      </c>
      <c r="R427" s="2" t="inlineStr"/>
    </row>
    <row r="428" ht="15" customHeight="1">
      <c r="A428" t="inlineStr">
        <is>
          <t>A 23042-2021</t>
        </is>
      </c>
      <c r="B428" s="1" t="n">
        <v>44329</v>
      </c>
      <c r="C428" s="1" t="n">
        <v>45574</v>
      </c>
      <c r="D428" t="inlineStr">
        <is>
          <t>VÄRMLANDS LÄN</t>
        </is>
      </c>
      <c r="E428" t="inlineStr">
        <is>
          <t>ÅRJÄNG</t>
        </is>
      </c>
      <c r="G428" t="n">
        <v>7.7</v>
      </c>
      <c r="H428" t="n">
        <v>0</v>
      </c>
      <c r="I428" t="n">
        <v>0</v>
      </c>
      <c r="J428" t="n">
        <v>0</v>
      </c>
      <c r="K428" t="n">
        <v>0</v>
      </c>
      <c r="L428" t="n">
        <v>0</v>
      </c>
      <c r="M428" t="n">
        <v>0</v>
      </c>
      <c r="N428" t="n">
        <v>0</v>
      </c>
      <c r="O428" t="n">
        <v>0</v>
      </c>
      <c r="P428" t="n">
        <v>0</v>
      </c>
      <c r="Q428" t="n">
        <v>0</v>
      </c>
      <c r="R428" s="2" t="inlineStr"/>
    </row>
    <row r="429" ht="15" customHeight="1">
      <c r="A429" t="inlineStr">
        <is>
          <t>A 23450-2021</t>
        </is>
      </c>
      <c r="B429" s="1" t="n">
        <v>44333</v>
      </c>
      <c r="C429" s="1" t="n">
        <v>45574</v>
      </c>
      <c r="D429" t="inlineStr">
        <is>
          <t>VÄRMLANDS LÄN</t>
        </is>
      </c>
      <c r="E429" t="inlineStr">
        <is>
          <t>ÅRJÄNG</t>
        </is>
      </c>
      <c r="G429" t="n">
        <v>5.1</v>
      </c>
      <c r="H429" t="n">
        <v>0</v>
      </c>
      <c r="I429" t="n">
        <v>0</v>
      </c>
      <c r="J429" t="n">
        <v>0</v>
      </c>
      <c r="K429" t="n">
        <v>0</v>
      </c>
      <c r="L429" t="n">
        <v>0</v>
      </c>
      <c r="M429" t="n">
        <v>0</v>
      </c>
      <c r="N429" t="n">
        <v>0</v>
      </c>
      <c r="O429" t="n">
        <v>0</v>
      </c>
      <c r="P429" t="n">
        <v>0</v>
      </c>
      <c r="Q429" t="n">
        <v>0</v>
      </c>
      <c r="R429" s="2" t="inlineStr"/>
    </row>
    <row r="430" ht="15" customHeight="1">
      <c r="A430" t="inlineStr">
        <is>
          <t>A 23451-2021</t>
        </is>
      </c>
      <c r="B430" s="1" t="n">
        <v>44333</v>
      </c>
      <c r="C430" s="1" t="n">
        <v>45574</v>
      </c>
      <c r="D430" t="inlineStr">
        <is>
          <t>VÄRMLANDS LÄN</t>
        </is>
      </c>
      <c r="E430" t="inlineStr">
        <is>
          <t>ÅRJÄNG</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23815-2021</t>
        </is>
      </c>
      <c r="B431" s="1" t="n">
        <v>44335</v>
      </c>
      <c r="C431" s="1" t="n">
        <v>45574</v>
      </c>
      <c r="D431" t="inlineStr">
        <is>
          <t>VÄRMLANDS LÄN</t>
        </is>
      </c>
      <c r="E431" t="inlineStr">
        <is>
          <t>ÅRJÄNG</t>
        </is>
      </c>
      <c r="G431" t="n">
        <v>4.9</v>
      </c>
      <c r="H431" t="n">
        <v>0</v>
      </c>
      <c r="I431" t="n">
        <v>0</v>
      </c>
      <c r="J431" t="n">
        <v>0</v>
      </c>
      <c r="K431" t="n">
        <v>0</v>
      </c>
      <c r="L431" t="n">
        <v>0</v>
      </c>
      <c r="M431" t="n">
        <v>0</v>
      </c>
      <c r="N431" t="n">
        <v>0</v>
      </c>
      <c r="O431" t="n">
        <v>0</v>
      </c>
      <c r="P431" t="n">
        <v>0</v>
      </c>
      <c r="Q431" t="n">
        <v>0</v>
      </c>
      <c r="R431" s="2" t="inlineStr"/>
    </row>
    <row r="432" ht="15" customHeight="1">
      <c r="A432" t="inlineStr">
        <is>
          <t>A 26211-2021</t>
        </is>
      </c>
      <c r="B432" s="1" t="n">
        <v>44347</v>
      </c>
      <c r="C432" s="1" t="n">
        <v>45574</v>
      </c>
      <c r="D432" t="inlineStr">
        <is>
          <t>VÄRMLANDS LÄN</t>
        </is>
      </c>
      <c r="E432" t="inlineStr">
        <is>
          <t>ÅRJÄNG</t>
        </is>
      </c>
      <c r="G432" t="n">
        <v>2.8</v>
      </c>
      <c r="H432" t="n">
        <v>0</v>
      </c>
      <c r="I432" t="n">
        <v>0</v>
      </c>
      <c r="J432" t="n">
        <v>0</v>
      </c>
      <c r="K432" t="n">
        <v>0</v>
      </c>
      <c r="L432" t="n">
        <v>0</v>
      </c>
      <c r="M432" t="n">
        <v>0</v>
      </c>
      <c r="N432" t="n">
        <v>0</v>
      </c>
      <c r="O432" t="n">
        <v>0</v>
      </c>
      <c r="P432" t="n">
        <v>0</v>
      </c>
      <c r="Q432" t="n">
        <v>0</v>
      </c>
      <c r="R432" s="2" t="inlineStr"/>
    </row>
    <row r="433" ht="15" customHeight="1">
      <c r="A433" t="inlineStr">
        <is>
          <t>A 26284-2021</t>
        </is>
      </c>
      <c r="B433" s="1" t="n">
        <v>44347</v>
      </c>
      <c r="C433" s="1" t="n">
        <v>45574</v>
      </c>
      <c r="D433" t="inlineStr">
        <is>
          <t>VÄRMLANDS LÄN</t>
        </is>
      </c>
      <c r="E433" t="inlineStr">
        <is>
          <t>ÅRJÄNG</t>
        </is>
      </c>
      <c r="G433" t="n">
        <v>0.8</v>
      </c>
      <c r="H433" t="n">
        <v>0</v>
      </c>
      <c r="I433" t="n">
        <v>0</v>
      </c>
      <c r="J433" t="n">
        <v>0</v>
      </c>
      <c r="K433" t="n">
        <v>0</v>
      </c>
      <c r="L433" t="n">
        <v>0</v>
      </c>
      <c r="M433" t="n">
        <v>0</v>
      </c>
      <c r="N433" t="n">
        <v>0</v>
      </c>
      <c r="O433" t="n">
        <v>0</v>
      </c>
      <c r="P433" t="n">
        <v>0</v>
      </c>
      <c r="Q433" t="n">
        <v>0</v>
      </c>
      <c r="R433" s="2" t="inlineStr"/>
    </row>
    <row r="434" ht="15" customHeight="1">
      <c r="A434" t="inlineStr">
        <is>
          <t>A 27001-2021</t>
        </is>
      </c>
      <c r="B434" s="1" t="n">
        <v>44350</v>
      </c>
      <c r="C434" s="1" t="n">
        <v>45574</v>
      </c>
      <c r="D434" t="inlineStr">
        <is>
          <t>VÄRMLANDS LÄN</t>
        </is>
      </c>
      <c r="E434" t="inlineStr">
        <is>
          <t>ÅRJÄNG</t>
        </is>
      </c>
      <c r="G434" t="n">
        <v>3.7</v>
      </c>
      <c r="H434" t="n">
        <v>0</v>
      </c>
      <c r="I434" t="n">
        <v>0</v>
      </c>
      <c r="J434" t="n">
        <v>0</v>
      </c>
      <c r="K434" t="n">
        <v>0</v>
      </c>
      <c r="L434" t="n">
        <v>0</v>
      </c>
      <c r="M434" t="n">
        <v>0</v>
      </c>
      <c r="N434" t="n">
        <v>0</v>
      </c>
      <c r="O434" t="n">
        <v>0</v>
      </c>
      <c r="P434" t="n">
        <v>0</v>
      </c>
      <c r="Q434" t="n">
        <v>0</v>
      </c>
      <c r="R434" s="2" t="inlineStr"/>
    </row>
    <row r="435" ht="15" customHeight="1">
      <c r="A435" t="inlineStr">
        <is>
          <t>A 27045-2021</t>
        </is>
      </c>
      <c r="B435" s="1" t="n">
        <v>44350</v>
      </c>
      <c r="C435" s="1" t="n">
        <v>45574</v>
      </c>
      <c r="D435" t="inlineStr">
        <is>
          <t>VÄRMLANDS LÄN</t>
        </is>
      </c>
      <c r="E435" t="inlineStr">
        <is>
          <t>ÅRJÄNG</t>
        </is>
      </c>
      <c r="G435" t="n">
        <v>2</v>
      </c>
      <c r="H435" t="n">
        <v>0</v>
      </c>
      <c r="I435" t="n">
        <v>0</v>
      </c>
      <c r="J435" t="n">
        <v>0</v>
      </c>
      <c r="K435" t="n">
        <v>0</v>
      </c>
      <c r="L435" t="n">
        <v>0</v>
      </c>
      <c r="M435" t="n">
        <v>0</v>
      </c>
      <c r="N435" t="n">
        <v>0</v>
      </c>
      <c r="O435" t="n">
        <v>0</v>
      </c>
      <c r="P435" t="n">
        <v>0</v>
      </c>
      <c r="Q435" t="n">
        <v>0</v>
      </c>
      <c r="R435" s="2" t="inlineStr"/>
    </row>
    <row r="436" ht="15" customHeight="1">
      <c r="A436" t="inlineStr">
        <is>
          <t>A 27745-2021</t>
        </is>
      </c>
      <c r="B436" s="1" t="n">
        <v>44354</v>
      </c>
      <c r="C436" s="1" t="n">
        <v>45574</v>
      </c>
      <c r="D436" t="inlineStr">
        <is>
          <t>VÄRMLANDS LÄN</t>
        </is>
      </c>
      <c r="E436" t="inlineStr">
        <is>
          <t>ÅRJÄNG</t>
        </is>
      </c>
      <c r="G436" t="n">
        <v>0.6</v>
      </c>
      <c r="H436" t="n">
        <v>0</v>
      </c>
      <c r="I436" t="n">
        <v>0</v>
      </c>
      <c r="J436" t="n">
        <v>0</v>
      </c>
      <c r="K436" t="n">
        <v>0</v>
      </c>
      <c r="L436" t="n">
        <v>0</v>
      </c>
      <c r="M436" t="n">
        <v>0</v>
      </c>
      <c r="N436" t="n">
        <v>0</v>
      </c>
      <c r="O436" t="n">
        <v>0</v>
      </c>
      <c r="P436" t="n">
        <v>0</v>
      </c>
      <c r="Q436" t="n">
        <v>0</v>
      </c>
      <c r="R436" s="2" t="inlineStr"/>
    </row>
    <row r="437" ht="15" customHeight="1">
      <c r="A437" t="inlineStr">
        <is>
          <t>A 27871-2021</t>
        </is>
      </c>
      <c r="B437" s="1" t="n">
        <v>44354</v>
      </c>
      <c r="C437" s="1" t="n">
        <v>45574</v>
      </c>
      <c r="D437" t="inlineStr">
        <is>
          <t>VÄRMLANDS LÄN</t>
        </is>
      </c>
      <c r="E437" t="inlineStr">
        <is>
          <t>ÅRJÄNG</t>
        </is>
      </c>
      <c r="G437" t="n">
        <v>2.3</v>
      </c>
      <c r="H437" t="n">
        <v>0</v>
      </c>
      <c r="I437" t="n">
        <v>0</v>
      </c>
      <c r="J437" t="n">
        <v>0</v>
      </c>
      <c r="K437" t="n">
        <v>0</v>
      </c>
      <c r="L437" t="n">
        <v>0</v>
      </c>
      <c r="M437" t="n">
        <v>0</v>
      </c>
      <c r="N437" t="n">
        <v>0</v>
      </c>
      <c r="O437" t="n">
        <v>0</v>
      </c>
      <c r="P437" t="n">
        <v>0</v>
      </c>
      <c r="Q437" t="n">
        <v>0</v>
      </c>
      <c r="R437" s="2" t="inlineStr"/>
    </row>
    <row r="438" ht="15" customHeight="1">
      <c r="A438" t="inlineStr">
        <is>
          <t>A 27862-2021</t>
        </is>
      </c>
      <c r="B438" s="1" t="n">
        <v>44354</v>
      </c>
      <c r="C438" s="1" t="n">
        <v>45574</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28437-2021</t>
        </is>
      </c>
      <c r="B439" s="1" t="n">
        <v>44356</v>
      </c>
      <c r="C439" s="1" t="n">
        <v>45574</v>
      </c>
      <c r="D439" t="inlineStr">
        <is>
          <t>VÄRMLANDS LÄN</t>
        </is>
      </c>
      <c r="E439" t="inlineStr">
        <is>
          <t>ÅRJÄNG</t>
        </is>
      </c>
      <c r="G439" t="n">
        <v>2.9</v>
      </c>
      <c r="H439" t="n">
        <v>0</v>
      </c>
      <c r="I439" t="n">
        <v>0</v>
      </c>
      <c r="J439" t="n">
        <v>0</v>
      </c>
      <c r="K439" t="n">
        <v>0</v>
      </c>
      <c r="L439" t="n">
        <v>0</v>
      </c>
      <c r="M439" t="n">
        <v>0</v>
      </c>
      <c r="N439" t="n">
        <v>0</v>
      </c>
      <c r="O439" t="n">
        <v>0</v>
      </c>
      <c r="P439" t="n">
        <v>0</v>
      </c>
      <c r="Q439" t="n">
        <v>0</v>
      </c>
      <c r="R439" s="2" t="inlineStr"/>
    </row>
    <row r="440" ht="15" customHeight="1">
      <c r="A440" t="inlineStr">
        <is>
          <t>A 29701-2021</t>
        </is>
      </c>
      <c r="B440" s="1" t="n">
        <v>44362</v>
      </c>
      <c r="C440" s="1" t="n">
        <v>45574</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29700-2021</t>
        </is>
      </c>
      <c r="B441" s="1" t="n">
        <v>44362</v>
      </c>
      <c r="C441" s="1" t="n">
        <v>45574</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30699-2021</t>
        </is>
      </c>
      <c r="B442" s="1" t="n">
        <v>44365</v>
      </c>
      <c r="C442" s="1" t="n">
        <v>45574</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30693-2021</t>
        </is>
      </c>
      <c r="B443" s="1" t="n">
        <v>44365</v>
      </c>
      <c r="C443" s="1" t="n">
        <v>45574</v>
      </c>
      <c r="D443" t="inlineStr">
        <is>
          <t>VÄRMLANDS LÄN</t>
        </is>
      </c>
      <c r="E443" t="inlineStr">
        <is>
          <t>ÅRJÄNG</t>
        </is>
      </c>
      <c r="G443" t="n">
        <v>8.4</v>
      </c>
      <c r="H443" t="n">
        <v>0</v>
      </c>
      <c r="I443" t="n">
        <v>0</v>
      </c>
      <c r="J443" t="n">
        <v>0</v>
      </c>
      <c r="K443" t="n">
        <v>0</v>
      </c>
      <c r="L443" t="n">
        <v>0</v>
      </c>
      <c r="M443" t="n">
        <v>0</v>
      </c>
      <c r="N443" t="n">
        <v>0</v>
      </c>
      <c r="O443" t="n">
        <v>0</v>
      </c>
      <c r="P443" t="n">
        <v>0</v>
      </c>
      <c r="Q443" t="n">
        <v>0</v>
      </c>
      <c r="R443" s="2" t="inlineStr"/>
    </row>
    <row r="444" ht="15" customHeight="1">
      <c r="A444" t="inlineStr">
        <is>
          <t>A 30817-2021</t>
        </is>
      </c>
      <c r="B444" s="1" t="n">
        <v>44365</v>
      </c>
      <c r="C444" s="1" t="n">
        <v>45574</v>
      </c>
      <c r="D444" t="inlineStr">
        <is>
          <t>VÄRMLANDS LÄN</t>
        </is>
      </c>
      <c r="E444" t="inlineStr">
        <is>
          <t>ÅRJÄNG</t>
        </is>
      </c>
      <c r="G444" t="n">
        <v>5.6</v>
      </c>
      <c r="H444" t="n">
        <v>0</v>
      </c>
      <c r="I444" t="n">
        <v>0</v>
      </c>
      <c r="J444" t="n">
        <v>0</v>
      </c>
      <c r="K444" t="n">
        <v>0</v>
      </c>
      <c r="L444" t="n">
        <v>0</v>
      </c>
      <c r="M444" t="n">
        <v>0</v>
      </c>
      <c r="N444" t="n">
        <v>0</v>
      </c>
      <c r="O444" t="n">
        <v>0</v>
      </c>
      <c r="P444" t="n">
        <v>0</v>
      </c>
      <c r="Q444" t="n">
        <v>0</v>
      </c>
      <c r="R444" s="2" t="inlineStr"/>
    </row>
    <row r="445" ht="15" customHeight="1">
      <c r="A445" t="inlineStr">
        <is>
          <t>A 32761-2021</t>
        </is>
      </c>
      <c r="B445" s="1" t="n">
        <v>44375</v>
      </c>
      <c r="C445" s="1" t="n">
        <v>45574</v>
      </c>
      <c r="D445" t="inlineStr">
        <is>
          <t>VÄRMLANDS LÄN</t>
        </is>
      </c>
      <c r="E445" t="inlineStr">
        <is>
          <t>ÅRJÄNG</t>
        </is>
      </c>
      <c r="G445" t="n">
        <v>1</v>
      </c>
      <c r="H445" t="n">
        <v>0</v>
      </c>
      <c r="I445" t="n">
        <v>0</v>
      </c>
      <c r="J445" t="n">
        <v>0</v>
      </c>
      <c r="K445" t="n">
        <v>0</v>
      </c>
      <c r="L445" t="n">
        <v>0</v>
      </c>
      <c r="M445" t="n">
        <v>0</v>
      </c>
      <c r="N445" t="n">
        <v>0</v>
      </c>
      <c r="O445" t="n">
        <v>0</v>
      </c>
      <c r="P445" t="n">
        <v>0</v>
      </c>
      <c r="Q445" t="n">
        <v>0</v>
      </c>
      <c r="R445" s="2" t="inlineStr"/>
    </row>
    <row r="446" ht="15" customHeight="1">
      <c r="A446" t="inlineStr">
        <is>
          <t>A 32973-2021</t>
        </is>
      </c>
      <c r="B446" s="1" t="n">
        <v>44376</v>
      </c>
      <c r="C446" s="1" t="n">
        <v>45574</v>
      </c>
      <c r="D446" t="inlineStr">
        <is>
          <t>VÄRMLANDS LÄN</t>
        </is>
      </c>
      <c r="E446" t="inlineStr">
        <is>
          <t>ÅRJÄNG</t>
        </is>
      </c>
      <c r="G446" t="n">
        <v>1.8</v>
      </c>
      <c r="H446" t="n">
        <v>0</v>
      </c>
      <c r="I446" t="n">
        <v>0</v>
      </c>
      <c r="J446" t="n">
        <v>0</v>
      </c>
      <c r="K446" t="n">
        <v>0</v>
      </c>
      <c r="L446" t="n">
        <v>0</v>
      </c>
      <c r="M446" t="n">
        <v>0</v>
      </c>
      <c r="N446" t="n">
        <v>0</v>
      </c>
      <c r="O446" t="n">
        <v>0</v>
      </c>
      <c r="P446" t="n">
        <v>0</v>
      </c>
      <c r="Q446" t="n">
        <v>0</v>
      </c>
      <c r="R446" s="2" t="inlineStr"/>
    </row>
    <row r="447" ht="15" customHeight="1">
      <c r="A447" t="inlineStr">
        <is>
          <t>A 33025-2021</t>
        </is>
      </c>
      <c r="B447" s="1" t="n">
        <v>44376</v>
      </c>
      <c r="C447" s="1" t="n">
        <v>45574</v>
      </c>
      <c r="D447" t="inlineStr">
        <is>
          <t>VÄRMLANDS LÄN</t>
        </is>
      </c>
      <c r="E447" t="inlineStr">
        <is>
          <t>ÅRJÄNG</t>
        </is>
      </c>
      <c r="G447" t="n">
        <v>0.9</v>
      </c>
      <c r="H447" t="n">
        <v>0</v>
      </c>
      <c r="I447" t="n">
        <v>0</v>
      </c>
      <c r="J447" t="n">
        <v>0</v>
      </c>
      <c r="K447" t="n">
        <v>0</v>
      </c>
      <c r="L447" t="n">
        <v>0</v>
      </c>
      <c r="M447" t="n">
        <v>0</v>
      </c>
      <c r="N447" t="n">
        <v>0</v>
      </c>
      <c r="O447" t="n">
        <v>0</v>
      </c>
      <c r="P447" t="n">
        <v>0</v>
      </c>
      <c r="Q447" t="n">
        <v>0</v>
      </c>
      <c r="R447" s="2" t="inlineStr"/>
    </row>
    <row r="448" ht="15" customHeight="1">
      <c r="A448" t="inlineStr">
        <is>
          <t>A 33304-2021</t>
        </is>
      </c>
      <c r="B448" s="1" t="n">
        <v>44377</v>
      </c>
      <c r="C448" s="1" t="n">
        <v>45574</v>
      </c>
      <c r="D448" t="inlineStr">
        <is>
          <t>VÄRMLANDS LÄN</t>
        </is>
      </c>
      <c r="E448" t="inlineStr">
        <is>
          <t>ÅRJÄNG</t>
        </is>
      </c>
      <c r="G448" t="n">
        <v>4.9</v>
      </c>
      <c r="H448" t="n">
        <v>0</v>
      </c>
      <c r="I448" t="n">
        <v>0</v>
      </c>
      <c r="J448" t="n">
        <v>0</v>
      </c>
      <c r="K448" t="n">
        <v>0</v>
      </c>
      <c r="L448" t="n">
        <v>0</v>
      </c>
      <c r="M448" t="n">
        <v>0</v>
      </c>
      <c r="N448" t="n">
        <v>0</v>
      </c>
      <c r="O448" t="n">
        <v>0</v>
      </c>
      <c r="P448" t="n">
        <v>0</v>
      </c>
      <c r="Q448" t="n">
        <v>0</v>
      </c>
      <c r="R448" s="2" t="inlineStr"/>
    </row>
    <row r="449" ht="15" customHeight="1">
      <c r="A449" t="inlineStr">
        <is>
          <t>A 33738-2021</t>
        </is>
      </c>
      <c r="B449" s="1" t="n">
        <v>44378</v>
      </c>
      <c r="C449" s="1" t="n">
        <v>45574</v>
      </c>
      <c r="D449" t="inlineStr">
        <is>
          <t>VÄRMLANDS LÄN</t>
        </is>
      </c>
      <c r="E449" t="inlineStr">
        <is>
          <t>ÅRJÄNG</t>
        </is>
      </c>
      <c r="G449" t="n">
        <v>1.2</v>
      </c>
      <c r="H449" t="n">
        <v>0</v>
      </c>
      <c r="I449" t="n">
        <v>0</v>
      </c>
      <c r="J449" t="n">
        <v>0</v>
      </c>
      <c r="K449" t="n">
        <v>0</v>
      </c>
      <c r="L449" t="n">
        <v>0</v>
      </c>
      <c r="M449" t="n">
        <v>0</v>
      </c>
      <c r="N449" t="n">
        <v>0</v>
      </c>
      <c r="O449" t="n">
        <v>0</v>
      </c>
      <c r="P449" t="n">
        <v>0</v>
      </c>
      <c r="Q449" t="n">
        <v>0</v>
      </c>
      <c r="R449" s="2" t="inlineStr"/>
    </row>
    <row r="450" ht="15" customHeight="1">
      <c r="A450" t="inlineStr">
        <is>
          <t>A 33728-2021</t>
        </is>
      </c>
      <c r="B450" s="1" t="n">
        <v>44378</v>
      </c>
      <c r="C450" s="1" t="n">
        <v>45574</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34032-2021</t>
        </is>
      </c>
      <c r="B451" s="1" t="n">
        <v>44378</v>
      </c>
      <c r="C451" s="1" t="n">
        <v>45574</v>
      </c>
      <c r="D451" t="inlineStr">
        <is>
          <t>VÄRMLANDS LÄN</t>
        </is>
      </c>
      <c r="E451" t="inlineStr">
        <is>
          <t>ÅRJÄNG</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34425-2021</t>
        </is>
      </c>
      <c r="B452" s="1" t="n">
        <v>44380</v>
      </c>
      <c r="C452" s="1" t="n">
        <v>45574</v>
      </c>
      <c r="D452" t="inlineStr">
        <is>
          <t>VÄRMLANDS LÄN</t>
        </is>
      </c>
      <c r="E452" t="inlineStr">
        <is>
          <t>ÅRJÄNG</t>
        </is>
      </c>
      <c r="G452" t="n">
        <v>2.9</v>
      </c>
      <c r="H452" t="n">
        <v>0</v>
      </c>
      <c r="I452" t="n">
        <v>0</v>
      </c>
      <c r="J452" t="n">
        <v>0</v>
      </c>
      <c r="K452" t="n">
        <v>0</v>
      </c>
      <c r="L452" t="n">
        <v>0</v>
      </c>
      <c r="M452" t="n">
        <v>0</v>
      </c>
      <c r="N452" t="n">
        <v>0</v>
      </c>
      <c r="O452" t="n">
        <v>0</v>
      </c>
      <c r="P452" t="n">
        <v>0</v>
      </c>
      <c r="Q452" t="n">
        <v>0</v>
      </c>
      <c r="R452" s="2" t="inlineStr"/>
    </row>
    <row r="453" ht="15" customHeight="1">
      <c r="A453" t="inlineStr">
        <is>
          <t>A 34466-2021</t>
        </is>
      </c>
      <c r="B453" s="1" t="n">
        <v>44381</v>
      </c>
      <c r="C453" s="1" t="n">
        <v>45574</v>
      </c>
      <c r="D453" t="inlineStr">
        <is>
          <t>VÄRMLANDS LÄN</t>
        </is>
      </c>
      <c r="E453" t="inlineStr">
        <is>
          <t>ÅRJÄNG</t>
        </is>
      </c>
      <c r="G453" t="n">
        <v>0.5</v>
      </c>
      <c r="H453" t="n">
        <v>0</v>
      </c>
      <c r="I453" t="n">
        <v>0</v>
      </c>
      <c r="J453" t="n">
        <v>0</v>
      </c>
      <c r="K453" t="n">
        <v>0</v>
      </c>
      <c r="L453" t="n">
        <v>0</v>
      </c>
      <c r="M453" t="n">
        <v>0</v>
      </c>
      <c r="N453" t="n">
        <v>0</v>
      </c>
      <c r="O453" t="n">
        <v>0</v>
      </c>
      <c r="P453" t="n">
        <v>0</v>
      </c>
      <c r="Q453" t="n">
        <v>0</v>
      </c>
      <c r="R453" s="2" t="inlineStr"/>
    </row>
    <row r="454" ht="15" customHeight="1">
      <c r="A454" t="inlineStr">
        <is>
          <t>A 34803-2021</t>
        </is>
      </c>
      <c r="B454" s="1" t="n">
        <v>44383</v>
      </c>
      <c r="C454" s="1" t="n">
        <v>45574</v>
      </c>
      <c r="D454" t="inlineStr">
        <is>
          <t>VÄRMLANDS LÄN</t>
        </is>
      </c>
      <c r="E454" t="inlineStr">
        <is>
          <t>ÅRJÄNG</t>
        </is>
      </c>
      <c r="G454" t="n">
        <v>0.7</v>
      </c>
      <c r="H454" t="n">
        <v>0</v>
      </c>
      <c r="I454" t="n">
        <v>0</v>
      </c>
      <c r="J454" t="n">
        <v>0</v>
      </c>
      <c r="K454" t="n">
        <v>0</v>
      </c>
      <c r="L454" t="n">
        <v>0</v>
      </c>
      <c r="M454" t="n">
        <v>0</v>
      </c>
      <c r="N454" t="n">
        <v>0</v>
      </c>
      <c r="O454" t="n">
        <v>0</v>
      </c>
      <c r="P454" t="n">
        <v>0</v>
      </c>
      <c r="Q454" t="n">
        <v>0</v>
      </c>
      <c r="R454" s="2" t="inlineStr"/>
    </row>
    <row r="455" ht="15" customHeight="1">
      <c r="A455" t="inlineStr">
        <is>
          <t>A 35015-2021</t>
        </is>
      </c>
      <c r="B455" s="1" t="n">
        <v>44383</v>
      </c>
      <c r="C455" s="1" t="n">
        <v>45574</v>
      </c>
      <c r="D455" t="inlineStr">
        <is>
          <t>VÄRMLANDS LÄN</t>
        </is>
      </c>
      <c r="E455" t="inlineStr">
        <is>
          <t>ÅRJÄNG</t>
        </is>
      </c>
      <c r="G455" t="n">
        <v>3.9</v>
      </c>
      <c r="H455" t="n">
        <v>0</v>
      </c>
      <c r="I455" t="n">
        <v>0</v>
      </c>
      <c r="J455" t="n">
        <v>0</v>
      </c>
      <c r="K455" t="n">
        <v>0</v>
      </c>
      <c r="L455" t="n">
        <v>0</v>
      </c>
      <c r="M455" t="n">
        <v>0</v>
      </c>
      <c r="N455" t="n">
        <v>0</v>
      </c>
      <c r="O455" t="n">
        <v>0</v>
      </c>
      <c r="P455" t="n">
        <v>0</v>
      </c>
      <c r="Q455" t="n">
        <v>0</v>
      </c>
      <c r="R455" s="2" t="inlineStr"/>
    </row>
    <row r="456" ht="15" customHeight="1">
      <c r="A456" t="inlineStr">
        <is>
          <t>A 35157-2021</t>
        </is>
      </c>
      <c r="B456" s="1" t="n">
        <v>44383</v>
      </c>
      <c r="C456" s="1" t="n">
        <v>45574</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35104-2021</t>
        </is>
      </c>
      <c r="B457" s="1" t="n">
        <v>44384</v>
      </c>
      <c r="C457" s="1" t="n">
        <v>45574</v>
      </c>
      <c r="D457" t="inlineStr">
        <is>
          <t>VÄRMLANDS LÄN</t>
        </is>
      </c>
      <c r="E457" t="inlineStr">
        <is>
          <t>ÅRJÄNG</t>
        </is>
      </c>
      <c r="G457" t="n">
        <v>0.6</v>
      </c>
      <c r="H457" t="n">
        <v>0</v>
      </c>
      <c r="I457" t="n">
        <v>0</v>
      </c>
      <c r="J457" t="n">
        <v>0</v>
      </c>
      <c r="K457" t="n">
        <v>0</v>
      </c>
      <c r="L457" t="n">
        <v>0</v>
      </c>
      <c r="M457" t="n">
        <v>0</v>
      </c>
      <c r="N457" t="n">
        <v>0</v>
      </c>
      <c r="O457" t="n">
        <v>0</v>
      </c>
      <c r="P457" t="n">
        <v>0</v>
      </c>
      <c r="Q457" t="n">
        <v>0</v>
      </c>
      <c r="R457" s="2" t="inlineStr"/>
    </row>
    <row r="458" ht="15" customHeight="1">
      <c r="A458" t="inlineStr">
        <is>
          <t>A 35265-2021</t>
        </is>
      </c>
      <c r="B458" s="1" t="n">
        <v>44384</v>
      </c>
      <c r="C458" s="1" t="n">
        <v>45574</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35543-2021</t>
        </is>
      </c>
      <c r="B459" s="1" t="n">
        <v>44385</v>
      </c>
      <c r="C459" s="1" t="n">
        <v>45574</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36087-2021</t>
        </is>
      </c>
      <c r="B460" s="1" t="n">
        <v>44389</v>
      </c>
      <c r="C460" s="1" t="n">
        <v>45574</v>
      </c>
      <c r="D460" t="inlineStr">
        <is>
          <t>VÄRMLANDS LÄN</t>
        </is>
      </c>
      <c r="E460" t="inlineStr">
        <is>
          <t>ÅRJÄNG</t>
        </is>
      </c>
      <c r="G460" t="n">
        <v>2.2</v>
      </c>
      <c r="H460" t="n">
        <v>0</v>
      </c>
      <c r="I460" t="n">
        <v>0</v>
      </c>
      <c r="J460" t="n">
        <v>0</v>
      </c>
      <c r="K460" t="n">
        <v>0</v>
      </c>
      <c r="L460" t="n">
        <v>0</v>
      </c>
      <c r="M460" t="n">
        <v>0</v>
      </c>
      <c r="N460" t="n">
        <v>0</v>
      </c>
      <c r="O460" t="n">
        <v>0</v>
      </c>
      <c r="P460" t="n">
        <v>0</v>
      </c>
      <c r="Q460" t="n">
        <v>0</v>
      </c>
      <c r="R460" s="2" t="inlineStr"/>
    </row>
    <row r="461" ht="15" customHeight="1">
      <c r="A461" t="inlineStr">
        <is>
          <t>A 36499-2021</t>
        </is>
      </c>
      <c r="B461" s="1" t="n">
        <v>44391</v>
      </c>
      <c r="C461" s="1" t="n">
        <v>45574</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36642-2021</t>
        </is>
      </c>
      <c r="B462" s="1" t="n">
        <v>44392</v>
      </c>
      <c r="C462" s="1" t="n">
        <v>45574</v>
      </c>
      <c r="D462" t="inlineStr">
        <is>
          <t>VÄRMLANDS LÄN</t>
        </is>
      </c>
      <c r="E462" t="inlineStr">
        <is>
          <t>ÅRJÄNG</t>
        </is>
      </c>
      <c r="G462" t="n">
        <v>6.1</v>
      </c>
      <c r="H462" t="n">
        <v>0</v>
      </c>
      <c r="I462" t="n">
        <v>0</v>
      </c>
      <c r="J462" t="n">
        <v>0</v>
      </c>
      <c r="K462" t="n">
        <v>0</v>
      </c>
      <c r="L462" t="n">
        <v>0</v>
      </c>
      <c r="M462" t="n">
        <v>0</v>
      </c>
      <c r="N462" t="n">
        <v>0</v>
      </c>
      <c r="O462" t="n">
        <v>0</v>
      </c>
      <c r="P462" t="n">
        <v>0</v>
      </c>
      <c r="Q462" t="n">
        <v>0</v>
      </c>
      <c r="R462" s="2" t="inlineStr"/>
    </row>
    <row r="463" ht="15" customHeight="1">
      <c r="A463" t="inlineStr">
        <is>
          <t>A 36641-2021</t>
        </is>
      </c>
      <c r="B463" s="1" t="n">
        <v>44392</v>
      </c>
      <c r="C463" s="1" t="n">
        <v>45574</v>
      </c>
      <c r="D463" t="inlineStr">
        <is>
          <t>VÄRMLANDS LÄN</t>
        </is>
      </c>
      <c r="E463" t="inlineStr">
        <is>
          <t>ÅRJÄNG</t>
        </is>
      </c>
      <c r="G463" t="n">
        <v>1.5</v>
      </c>
      <c r="H463" t="n">
        <v>0</v>
      </c>
      <c r="I463" t="n">
        <v>0</v>
      </c>
      <c r="J463" t="n">
        <v>0</v>
      </c>
      <c r="K463" t="n">
        <v>0</v>
      </c>
      <c r="L463" t="n">
        <v>0</v>
      </c>
      <c r="M463" t="n">
        <v>0</v>
      </c>
      <c r="N463" t="n">
        <v>0</v>
      </c>
      <c r="O463" t="n">
        <v>0</v>
      </c>
      <c r="P463" t="n">
        <v>0</v>
      </c>
      <c r="Q463" t="n">
        <v>0</v>
      </c>
      <c r="R463" s="2" t="inlineStr"/>
    </row>
    <row r="464" ht="15" customHeight="1">
      <c r="A464" t="inlineStr">
        <is>
          <t>A 36948-2021</t>
        </is>
      </c>
      <c r="B464" s="1" t="n">
        <v>44393</v>
      </c>
      <c r="C464" s="1" t="n">
        <v>45574</v>
      </c>
      <c r="D464" t="inlineStr">
        <is>
          <t>VÄRMLANDS LÄN</t>
        </is>
      </c>
      <c r="E464" t="inlineStr">
        <is>
          <t>ÅRJÄNG</t>
        </is>
      </c>
      <c r="G464" t="n">
        <v>4.4</v>
      </c>
      <c r="H464" t="n">
        <v>0</v>
      </c>
      <c r="I464" t="n">
        <v>0</v>
      </c>
      <c r="J464" t="n">
        <v>0</v>
      </c>
      <c r="K464" t="n">
        <v>0</v>
      </c>
      <c r="L464" t="n">
        <v>0</v>
      </c>
      <c r="M464" t="n">
        <v>0</v>
      </c>
      <c r="N464" t="n">
        <v>0</v>
      </c>
      <c r="O464" t="n">
        <v>0</v>
      </c>
      <c r="P464" t="n">
        <v>0</v>
      </c>
      <c r="Q464" t="n">
        <v>0</v>
      </c>
      <c r="R464" s="2" t="inlineStr"/>
    </row>
    <row r="465" ht="15" customHeight="1">
      <c r="A465" t="inlineStr">
        <is>
          <t>A 37136-2021</t>
        </is>
      </c>
      <c r="B465" s="1" t="n">
        <v>44396</v>
      </c>
      <c r="C465" s="1" t="n">
        <v>45574</v>
      </c>
      <c r="D465" t="inlineStr">
        <is>
          <t>VÄRMLANDS LÄN</t>
        </is>
      </c>
      <c r="E465" t="inlineStr">
        <is>
          <t>ÅRJÄNG</t>
        </is>
      </c>
      <c r="G465" t="n">
        <v>2</v>
      </c>
      <c r="H465" t="n">
        <v>0</v>
      </c>
      <c r="I465" t="n">
        <v>0</v>
      </c>
      <c r="J465" t="n">
        <v>0</v>
      </c>
      <c r="K465" t="n">
        <v>0</v>
      </c>
      <c r="L465" t="n">
        <v>0</v>
      </c>
      <c r="M465" t="n">
        <v>0</v>
      </c>
      <c r="N465" t="n">
        <v>0</v>
      </c>
      <c r="O465" t="n">
        <v>0</v>
      </c>
      <c r="P465" t="n">
        <v>0</v>
      </c>
      <c r="Q465" t="n">
        <v>0</v>
      </c>
      <c r="R465" s="2" t="inlineStr"/>
    </row>
    <row r="466" ht="15" customHeight="1">
      <c r="A466" t="inlineStr">
        <is>
          <t>A 37697-2021</t>
        </is>
      </c>
      <c r="B466" s="1" t="n">
        <v>44400</v>
      </c>
      <c r="C466" s="1" t="n">
        <v>45574</v>
      </c>
      <c r="D466" t="inlineStr">
        <is>
          <t>VÄRMLANDS LÄN</t>
        </is>
      </c>
      <c r="E466" t="inlineStr">
        <is>
          <t>ÅRJÄNG</t>
        </is>
      </c>
      <c r="G466" t="n">
        <v>4.3</v>
      </c>
      <c r="H466" t="n">
        <v>0</v>
      </c>
      <c r="I466" t="n">
        <v>0</v>
      </c>
      <c r="J466" t="n">
        <v>0</v>
      </c>
      <c r="K466" t="n">
        <v>0</v>
      </c>
      <c r="L466" t="n">
        <v>0</v>
      </c>
      <c r="M466" t="n">
        <v>0</v>
      </c>
      <c r="N466" t="n">
        <v>0</v>
      </c>
      <c r="O466" t="n">
        <v>0</v>
      </c>
      <c r="P466" t="n">
        <v>0</v>
      </c>
      <c r="Q466" t="n">
        <v>0</v>
      </c>
      <c r="R466" s="2" t="inlineStr"/>
    </row>
    <row r="467" ht="15" customHeight="1">
      <c r="A467" t="inlineStr">
        <is>
          <t>A 39067-2021</t>
        </is>
      </c>
      <c r="B467" s="1" t="n">
        <v>44412</v>
      </c>
      <c r="C467" s="1" t="n">
        <v>45574</v>
      </c>
      <c r="D467" t="inlineStr">
        <is>
          <t>VÄRMLANDS LÄN</t>
        </is>
      </c>
      <c r="E467" t="inlineStr">
        <is>
          <t>ÅRJÄNG</t>
        </is>
      </c>
      <c r="G467" t="n">
        <v>3.7</v>
      </c>
      <c r="H467" t="n">
        <v>0</v>
      </c>
      <c r="I467" t="n">
        <v>0</v>
      </c>
      <c r="J467" t="n">
        <v>0</v>
      </c>
      <c r="K467" t="n">
        <v>0</v>
      </c>
      <c r="L467" t="n">
        <v>0</v>
      </c>
      <c r="M467" t="n">
        <v>0</v>
      </c>
      <c r="N467" t="n">
        <v>0</v>
      </c>
      <c r="O467" t="n">
        <v>0</v>
      </c>
      <c r="P467" t="n">
        <v>0</v>
      </c>
      <c r="Q467" t="n">
        <v>0</v>
      </c>
      <c r="R467" s="2" t="inlineStr"/>
    </row>
    <row r="468" ht="15" customHeight="1">
      <c r="A468" t="inlineStr">
        <is>
          <t>A 39015-2021</t>
        </is>
      </c>
      <c r="B468" s="1" t="n">
        <v>44412</v>
      </c>
      <c r="C468" s="1" t="n">
        <v>45574</v>
      </c>
      <c r="D468" t="inlineStr">
        <is>
          <t>VÄRMLANDS LÄN</t>
        </is>
      </c>
      <c r="E468" t="inlineStr">
        <is>
          <t>ÅRJÄNG</t>
        </is>
      </c>
      <c r="G468" t="n">
        <v>2.8</v>
      </c>
      <c r="H468" t="n">
        <v>0</v>
      </c>
      <c r="I468" t="n">
        <v>0</v>
      </c>
      <c r="J468" t="n">
        <v>0</v>
      </c>
      <c r="K468" t="n">
        <v>0</v>
      </c>
      <c r="L468" t="n">
        <v>0</v>
      </c>
      <c r="M468" t="n">
        <v>0</v>
      </c>
      <c r="N468" t="n">
        <v>0</v>
      </c>
      <c r="O468" t="n">
        <v>0</v>
      </c>
      <c r="P468" t="n">
        <v>0</v>
      </c>
      <c r="Q468" t="n">
        <v>0</v>
      </c>
      <c r="R468" s="2" t="inlineStr"/>
    </row>
    <row r="469" ht="15" customHeight="1">
      <c r="A469" t="inlineStr">
        <is>
          <t>A 39752-2021</t>
        </is>
      </c>
      <c r="B469" s="1" t="n">
        <v>44417</v>
      </c>
      <c r="C469" s="1" t="n">
        <v>45574</v>
      </c>
      <c r="D469" t="inlineStr">
        <is>
          <t>VÄRMLANDS LÄN</t>
        </is>
      </c>
      <c r="E469" t="inlineStr">
        <is>
          <t>ÅRJÄNG</t>
        </is>
      </c>
      <c r="F469" t="inlineStr">
        <is>
          <t>Bergvik skog väst AB</t>
        </is>
      </c>
      <c r="G469" t="n">
        <v>4.3</v>
      </c>
      <c r="H469" t="n">
        <v>0</v>
      </c>
      <c r="I469" t="n">
        <v>0</v>
      </c>
      <c r="J469" t="n">
        <v>0</v>
      </c>
      <c r="K469" t="n">
        <v>0</v>
      </c>
      <c r="L469" t="n">
        <v>0</v>
      </c>
      <c r="M469" t="n">
        <v>0</v>
      </c>
      <c r="N469" t="n">
        <v>0</v>
      </c>
      <c r="O469" t="n">
        <v>0</v>
      </c>
      <c r="P469" t="n">
        <v>0</v>
      </c>
      <c r="Q469" t="n">
        <v>0</v>
      </c>
      <c r="R469" s="2" t="inlineStr"/>
    </row>
    <row r="470" ht="15" customHeight="1">
      <c r="A470" t="inlineStr">
        <is>
          <t>A 40832-2021</t>
        </is>
      </c>
      <c r="B470" s="1" t="n">
        <v>44421</v>
      </c>
      <c r="C470" s="1" t="n">
        <v>45574</v>
      </c>
      <c r="D470" t="inlineStr">
        <is>
          <t>VÄRMLANDS LÄN</t>
        </is>
      </c>
      <c r="E470" t="inlineStr">
        <is>
          <t>ÅRJÄNG</t>
        </is>
      </c>
      <c r="G470" t="n">
        <v>0.5</v>
      </c>
      <c r="H470" t="n">
        <v>0</v>
      </c>
      <c r="I470" t="n">
        <v>0</v>
      </c>
      <c r="J470" t="n">
        <v>0</v>
      </c>
      <c r="K470" t="n">
        <v>0</v>
      </c>
      <c r="L470" t="n">
        <v>0</v>
      </c>
      <c r="M470" t="n">
        <v>0</v>
      </c>
      <c r="N470" t="n">
        <v>0</v>
      </c>
      <c r="O470" t="n">
        <v>0</v>
      </c>
      <c r="P470" t="n">
        <v>0</v>
      </c>
      <c r="Q470" t="n">
        <v>0</v>
      </c>
      <c r="R470" s="2" t="inlineStr"/>
    </row>
    <row r="471" ht="15" customHeight="1">
      <c r="A471" t="inlineStr">
        <is>
          <t>A 40829-2021</t>
        </is>
      </c>
      <c r="B471" s="1" t="n">
        <v>44421</v>
      </c>
      <c r="C471" s="1" t="n">
        <v>45574</v>
      </c>
      <c r="D471" t="inlineStr">
        <is>
          <t>VÄRMLANDS LÄN</t>
        </is>
      </c>
      <c r="E471" t="inlineStr">
        <is>
          <t>ÅRJÄNG</t>
        </is>
      </c>
      <c r="G471" t="n">
        <v>0.4</v>
      </c>
      <c r="H471" t="n">
        <v>0</v>
      </c>
      <c r="I471" t="n">
        <v>0</v>
      </c>
      <c r="J471" t="n">
        <v>0</v>
      </c>
      <c r="K471" t="n">
        <v>0</v>
      </c>
      <c r="L471" t="n">
        <v>0</v>
      </c>
      <c r="M471" t="n">
        <v>0</v>
      </c>
      <c r="N471" t="n">
        <v>0</v>
      </c>
      <c r="O471" t="n">
        <v>0</v>
      </c>
      <c r="P471" t="n">
        <v>0</v>
      </c>
      <c r="Q471" t="n">
        <v>0</v>
      </c>
      <c r="R471" s="2" t="inlineStr"/>
    </row>
    <row r="472" ht="15" customHeight="1">
      <c r="A472" t="inlineStr">
        <is>
          <t>A 41416-2021</t>
        </is>
      </c>
      <c r="B472" s="1" t="n">
        <v>44424</v>
      </c>
      <c r="C472" s="1" t="n">
        <v>45574</v>
      </c>
      <c r="D472" t="inlineStr">
        <is>
          <t>VÄRMLANDS LÄN</t>
        </is>
      </c>
      <c r="E472" t="inlineStr">
        <is>
          <t>ÅRJÄNG</t>
        </is>
      </c>
      <c r="G472" t="n">
        <v>10.4</v>
      </c>
      <c r="H472" t="n">
        <v>0</v>
      </c>
      <c r="I472" t="n">
        <v>0</v>
      </c>
      <c r="J472" t="n">
        <v>0</v>
      </c>
      <c r="K472" t="n">
        <v>0</v>
      </c>
      <c r="L472" t="n">
        <v>0</v>
      </c>
      <c r="M472" t="n">
        <v>0</v>
      </c>
      <c r="N472" t="n">
        <v>0</v>
      </c>
      <c r="O472" t="n">
        <v>0</v>
      </c>
      <c r="P472" t="n">
        <v>0</v>
      </c>
      <c r="Q472" t="n">
        <v>0</v>
      </c>
      <c r="R472" s="2" t="inlineStr"/>
    </row>
    <row r="473" ht="15" customHeight="1">
      <c r="A473" t="inlineStr">
        <is>
          <t>A 42576-2021</t>
        </is>
      </c>
      <c r="B473" s="1" t="n">
        <v>44428</v>
      </c>
      <c r="C473" s="1" t="n">
        <v>45574</v>
      </c>
      <c r="D473" t="inlineStr">
        <is>
          <t>VÄRMLANDS LÄN</t>
        </is>
      </c>
      <c r="E473" t="inlineStr">
        <is>
          <t>ÅRJÄNG</t>
        </is>
      </c>
      <c r="G473" t="n">
        <v>1.7</v>
      </c>
      <c r="H473" t="n">
        <v>0</v>
      </c>
      <c r="I473" t="n">
        <v>0</v>
      </c>
      <c r="J473" t="n">
        <v>0</v>
      </c>
      <c r="K473" t="n">
        <v>0</v>
      </c>
      <c r="L473" t="n">
        <v>0</v>
      </c>
      <c r="M473" t="n">
        <v>0</v>
      </c>
      <c r="N473" t="n">
        <v>0</v>
      </c>
      <c r="O473" t="n">
        <v>0</v>
      </c>
      <c r="P473" t="n">
        <v>0</v>
      </c>
      <c r="Q473" t="n">
        <v>0</v>
      </c>
      <c r="R473" s="2" t="inlineStr"/>
    </row>
    <row r="474" ht="15" customHeight="1">
      <c r="A474" t="inlineStr">
        <is>
          <t>A 43027-2021</t>
        </is>
      </c>
      <c r="B474" s="1" t="n">
        <v>44431</v>
      </c>
      <c r="C474" s="1" t="n">
        <v>45574</v>
      </c>
      <c r="D474" t="inlineStr">
        <is>
          <t>VÄRMLANDS LÄN</t>
        </is>
      </c>
      <c r="E474" t="inlineStr">
        <is>
          <t>ÅRJÄNG</t>
        </is>
      </c>
      <c r="G474" t="n">
        <v>1.6</v>
      </c>
      <c r="H474" t="n">
        <v>0</v>
      </c>
      <c r="I474" t="n">
        <v>0</v>
      </c>
      <c r="J474" t="n">
        <v>0</v>
      </c>
      <c r="K474" t="n">
        <v>0</v>
      </c>
      <c r="L474" t="n">
        <v>0</v>
      </c>
      <c r="M474" t="n">
        <v>0</v>
      </c>
      <c r="N474" t="n">
        <v>0</v>
      </c>
      <c r="O474" t="n">
        <v>0</v>
      </c>
      <c r="P474" t="n">
        <v>0</v>
      </c>
      <c r="Q474" t="n">
        <v>0</v>
      </c>
      <c r="R474" s="2" t="inlineStr"/>
    </row>
    <row r="475" ht="15" customHeight="1">
      <c r="A475" t="inlineStr">
        <is>
          <t>A 42963-2021</t>
        </is>
      </c>
      <c r="B475" s="1" t="n">
        <v>44431</v>
      </c>
      <c r="C475" s="1" t="n">
        <v>45574</v>
      </c>
      <c r="D475" t="inlineStr">
        <is>
          <t>VÄRMLANDS LÄN</t>
        </is>
      </c>
      <c r="E475" t="inlineStr">
        <is>
          <t>ÅRJÄNG</t>
        </is>
      </c>
      <c r="G475" t="n">
        <v>5.6</v>
      </c>
      <c r="H475" t="n">
        <v>0</v>
      </c>
      <c r="I475" t="n">
        <v>0</v>
      </c>
      <c r="J475" t="n">
        <v>0</v>
      </c>
      <c r="K475" t="n">
        <v>0</v>
      </c>
      <c r="L475" t="n">
        <v>0</v>
      </c>
      <c r="M475" t="n">
        <v>0</v>
      </c>
      <c r="N475" t="n">
        <v>0</v>
      </c>
      <c r="O475" t="n">
        <v>0</v>
      </c>
      <c r="P475" t="n">
        <v>0</v>
      </c>
      <c r="Q475" t="n">
        <v>0</v>
      </c>
      <c r="R475" s="2" t="inlineStr"/>
    </row>
    <row r="476" ht="15" customHeight="1">
      <c r="A476" t="inlineStr">
        <is>
          <t>A 43029-2021</t>
        </is>
      </c>
      <c r="B476" s="1" t="n">
        <v>44431</v>
      </c>
      <c r="C476" s="1" t="n">
        <v>45574</v>
      </c>
      <c r="D476" t="inlineStr">
        <is>
          <t>VÄRMLANDS LÄN</t>
        </is>
      </c>
      <c r="E476" t="inlineStr">
        <is>
          <t>ÅRJÄNG</t>
        </is>
      </c>
      <c r="G476" t="n">
        <v>5.5</v>
      </c>
      <c r="H476" t="n">
        <v>0</v>
      </c>
      <c r="I476" t="n">
        <v>0</v>
      </c>
      <c r="J476" t="n">
        <v>0</v>
      </c>
      <c r="K476" t="n">
        <v>0</v>
      </c>
      <c r="L476" t="n">
        <v>0</v>
      </c>
      <c r="M476" t="n">
        <v>0</v>
      </c>
      <c r="N476" t="n">
        <v>0</v>
      </c>
      <c r="O476" t="n">
        <v>0</v>
      </c>
      <c r="P476" t="n">
        <v>0</v>
      </c>
      <c r="Q476" t="n">
        <v>0</v>
      </c>
      <c r="R476" s="2" t="inlineStr"/>
    </row>
    <row r="477" ht="15" customHeight="1">
      <c r="A477" t="inlineStr">
        <is>
          <t>A 42915-2021</t>
        </is>
      </c>
      <c r="B477" s="1" t="n">
        <v>44431</v>
      </c>
      <c r="C477" s="1" t="n">
        <v>45574</v>
      </c>
      <c r="D477" t="inlineStr">
        <is>
          <t>VÄRMLANDS LÄN</t>
        </is>
      </c>
      <c r="E477" t="inlineStr">
        <is>
          <t>ÅRJÄNG</t>
        </is>
      </c>
      <c r="G477" t="n">
        <v>3</v>
      </c>
      <c r="H477" t="n">
        <v>0</v>
      </c>
      <c r="I477" t="n">
        <v>0</v>
      </c>
      <c r="J477" t="n">
        <v>0</v>
      </c>
      <c r="K477" t="n">
        <v>0</v>
      </c>
      <c r="L477" t="n">
        <v>0</v>
      </c>
      <c r="M477" t="n">
        <v>0</v>
      </c>
      <c r="N477" t="n">
        <v>0</v>
      </c>
      <c r="O477" t="n">
        <v>0</v>
      </c>
      <c r="P477" t="n">
        <v>0</v>
      </c>
      <c r="Q477" t="n">
        <v>0</v>
      </c>
      <c r="R477" s="2" t="inlineStr"/>
    </row>
    <row r="478" ht="15" customHeight="1">
      <c r="A478" t="inlineStr">
        <is>
          <t>A 42956-2021</t>
        </is>
      </c>
      <c r="B478" s="1" t="n">
        <v>44431</v>
      </c>
      <c r="C478" s="1" t="n">
        <v>45574</v>
      </c>
      <c r="D478" t="inlineStr">
        <is>
          <t>VÄRMLANDS LÄN</t>
        </is>
      </c>
      <c r="E478" t="inlineStr">
        <is>
          <t>ÅRJÄNG</t>
        </is>
      </c>
      <c r="G478" t="n">
        <v>4.2</v>
      </c>
      <c r="H478" t="n">
        <v>0</v>
      </c>
      <c r="I478" t="n">
        <v>0</v>
      </c>
      <c r="J478" t="n">
        <v>0</v>
      </c>
      <c r="K478" t="n">
        <v>0</v>
      </c>
      <c r="L478" t="n">
        <v>0</v>
      </c>
      <c r="M478" t="n">
        <v>0</v>
      </c>
      <c r="N478" t="n">
        <v>0</v>
      </c>
      <c r="O478" t="n">
        <v>0</v>
      </c>
      <c r="P478" t="n">
        <v>0</v>
      </c>
      <c r="Q478" t="n">
        <v>0</v>
      </c>
      <c r="R478" s="2" t="inlineStr"/>
    </row>
    <row r="479" ht="15" customHeight="1">
      <c r="A479" t="inlineStr">
        <is>
          <t>A 43034-2021</t>
        </is>
      </c>
      <c r="B479" s="1" t="n">
        <v>44431</v>
      </c>
      <c r="C479" s="1" t="n">
        <v>45574</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43578-2021</t>
        </is>
      </c>
      <c r="B480" s="1" t="n">
        <v>44433</v>
      </c>
      <c r="C480" s="1" t="n">
        <v>45574</v>
      </c>
      <c r="D480" t="inlineStr">
        <is>
          <t>VÄRMLANDS LÄN</t>
        </is>
      </c>
      <c r="E480" t="inlineStr">
        <is>
          <t>ÅRJÄNG</t>
        </is>
      </c>
      <c r="G480" t="n">
        <v>6.3</v>
      </c>
      <c r="H480" t="n">
        <v>0</v>
      </c>
      <c r="I480" t="n">
        <v>0</v>
      </c>
      <c r="J480" t="n">
        <v>0</v>
      </c>
      <c r="K480" t="n">
        <v>0</v>
      </c>
      <c r="L480" t="n">
        <v>0</v>
      </c>
      <c r="M480" t="n">
        <v>0</v>
      </c>
      <c r="N480" t="n">
        <v>0</v>
      </c>
      <c r="O480" t="n">
        <v>0</v>
      </c>
      <c r="P480" t="n">
        <v>0</v>
      </c>
      <c r="Q480" t="n">
        <v>0</v>
      </c>
      <c r="R480" s="2" t="inlineStr"/>
    </row>
    <row r="481" ht="15" customHeight="1">
      <c r="A481" t="inlineStr">
        <is>
          <t>A 44417-2021</t>
        </is>
      </c>
      <c r="B481" s="1" t="n">
        <v>44435</v>
      </c>
      <c r="C481" s="1" t="n">
        <v>45574</v>
      </c>
      <c r="D481" t="inlineStr">
        <is>
          <t>VÄRMLANDS LÄN</t>
        </is>
      </c>
      <c r="E481" t="inlineStr">
        <is>
          <t>ÅRJÄNG</t>
        </is>
      </c>
      <c r="G481" t="n">
        <v>32.2</v>
      </c>
      <c r="H481" t="n">
        <v>0</v>
      </c>
      <c r="I481" t="n">
        <v>0</v>
      </c>
      <c r="J481" t="n">
        <v>0</v>
      </c>
      <c r="K481" t="n">
        <v>0</v>
      </c>
      <c r="L481" t="n">
        <v>0</v>
      </c>
      <c r="M481" t="n">
        <v>0</v>
      </c>
      <c r="N481" t="n">
        <v>0</v>
      </c>
      <c r="O481" t="n">
        <v>0</v>
      </c>
      <c r="P481" t="n">
        <v>0</v>
      </c>
      <c r="Q481" t="n">
        <v>0</v>
      </c>
      <c r="R481" s="2" t="inlineStr"/>
    </row>
    <row r="482" ht="15" customHeight="1">
      <c r="A482" t="inlineStr">
        <is>
          <t>A 44647-2021</t>
        </is>
      </c>
      <c r="B482" s="1" t="n">
        <v>44437</v>
      </c>
      <c r="C482" s="1" t="n">
        <v>45574</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44921-2021</t>
        </is>
      </c>
      <c r="B483" s="1" t="n">
        <v>44438</v>
      </c>
      <c r="C483" s="1" t="n">
        <v>45574</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45962-2021</t>
        </is>
      </c>
      <c r="B484" s="1" t="n">
        <v>44441</v>
      </c>
      <c r="C484" s="1" t="n">
        <v>45574</v>
      </c>
      <c r="D484" t="inlineStr">
        <is>
          <t>VÄRMLANDS LÄN</t>
        </is>
      </c>
      <c r="E484" t="inlineStr">
        <is>
          <t>ÅRJÄNG</t>
        </is>
      </c>
      <c r="G484" t="n">
        <v>4.3</v>
      </c>
      <c r="H484" t="n">
        <v>0</v>
      </c>
      <c r="I484" t="n">
        <v>0</v>
      </c>
      <c r="J484" t="n">
        <v>0</v>
      </c>
      <c r="K484" t="n">
        <v>0</v>
      </c>
      <c r="L484" t="n">
        <v>0</v>
      </c>
      <c r="M484" t="n">
        <v>0</v>
      </c>
      <c r="N484" t="n">
        <v>0</v>
      </c>
      <c r="O484" t="n">
        <v>0</v>
      </c>
      <c r="P484" t="n">
        <v>0</v>
      </c>
      <c r="Q484" t="n">
        <v>0</v>
      </c>
      <c r="R484" s="2" t="inlineStr"/>
    </row>
    <row r="485" ht="15" customHeight="1">
      <c r="A485" t="inlineStr">
        <is>
          <t>A 46248-2021</t>
        </is>
      </c>
      <c r="B485" s="1" t="n">
        <v>44442</v>
      </c>
      <c r="C485" s="1" t="n">
        <v>45574</v>
      </c>
      <c r="D485" t="inlineStr">
        <is>
          <t>VÄRMLANDS LÄN</t>
        </is>
      </c>
      <c r="E485" t="inlineStr">
        <is>
          <t>ÅRJÄNG</t>
        </is>
      </c>
      <c r="G485" t="n">
        <v>1.7</v>
      </c>
      <c r="H485" t="n">
        <v>0</v>
      </c>
      <c r="I485" t="n">
        <v>0</v>
      </c>
      <c r="J485" t="n">
        <v>0</v>
      </c>
      <c r="K485" t="n">
        <v>0</v>
      </c>
      <c r="L485" t="n">
        <v>0</v>
      </c>
      <c r="M485" t="n">
        <v>0</v>
      </c>
      <c r="N485" t="n">
        <v>0</v>
      </c>
      <c r="O485" t="n">
        <v>0</v>
      </c>
      <c r="P485" t="n">
        <v>0</v>
      </c>
      <c r="Q485" t="n">
        <v>0</v>
      </c>
      <c r="R485" s="2" t="inlineStr"/>
    </row>
    <row r="486" ht="15" customHeight="1">
      <c r="A486" t="inlineStr">
        <is>
          <t>A 46096-2021</t>
        </is>
      </c>
      <c r="B486" s="1" t="n">
        <v>44442</v>
      </c>
      <c r="C486" s="1" t="n">
        <v>45574</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46647-2021</t>
        </is>
      </c>
      <c r="B487" s="1" t="n">
        <v>44445</v>
      </c>
      <c r="C487" s="1" t="n">
        <v>45574</v>
      </c>
      <c r="D487" t="inlineStr">
        <is>
          <t>VÄRMLANDS LÄN</t>
        </is>
      </c>
      <c r="E487" t="inlineStr">
        <is>
          <t>ÅRJÄNG</t>
        </is>
      </c>
      <c r="G487" t="n">
        <v>1</v>
      </c>
      <c r="H487" t="n">
        <v>0</v>
      </c>
      <c r="I487" t="n">
        <v>0</v>
      </c>
      <c r="J487" t="n">
        <v>0</v>
      </c>
      <c r="K487" t="n">
        <v>0</v>
      </c>
      <c r="L487" t="n">
        <v>0</v>
      </c>
      <c r="M487" t="n">
        <v>0</v>
      </c>
      <c r="N487" t="n">
        <v>0</v>
      </c>
      <c r="O487" t="n">
        <v>0</v>
      </c>
      <c r="P487" t="n">
        <v>0</v>
      </c>
      <c r="Q487" t="n">
        <v>0</v>
      </c>
      <c r="R487" s="2" t="inlineStr"/>
    </row>
    <row r="488" ht="15" customHeight="1">
      <c r="A488" t="inlineStr">
        <is>
          <t>A 46644-2021</t>
        </is>
      </c>
      <c r="B488" s="1" t="n">
        <v>44445</v>
      </c>
      <c r="C488" s="1" t="n">
        <v>45574</v>
      </c>
      <c r="D488" t="inlineStr">
        <is>
          <t>VÄRMLANDS LÄN</t>
        </is>
      </c>
      <c r="E488" t="inlineStr">
        <is>
          <t>ÅRJÄNG</t>
        </is>
      </c>
      <c r="G488" t="n">
        <v>3.8</v>
      </c>
      <c r="H488" t="n">
        <v>0</v>
      </c>
      <c r="I488" t="n">
        <v>0</v>
      </c>
      <c r="J488" t="n">
        <v>0</v>
      </c>
      <c r="K488" t="n">
        <v>0</v>
      </c>
      <c r="L488" t="n">
        <v>0</v>
      </c>
      <c r="M488" t="n">
        <v>0</v>
      </c>
      <c r="N488" t="n">
        <v>0</v>
      </c>
      <c r="O488" t="n">
        <v>0</v>
      </c>
      <c r="P488" t="n">
        <v>0</v>
      </c>
      <c r="Q488" t="n">
        <v>0</v>
      </c>
      <c r="R488" s="2" t="inlineStr"/>
    </row>
    <row r="489" ht="15" customHeight="1">
      <c r="A489" t="inlineStr">
        <is>
          <t>A 47005-2021</t>
        </is>
      </c>
      <c r="B489" s="1" t="n">
        <v>44446</v>
      </c>
      <c r="C489" s="1" t="n">
        <v>45574</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47035-2021</t>
        </is>
      </c>
      <c r="B490" s="1" t="n">
        <v>44446</v>
      </c>
      <c r="C490" s="1" t="n">
        <v>45574</v>
      </c>
      <c r="D490" t="inlineStr">
        <is>
          <t>VÄRMLANDS LÄN</t>
        </is>
      </c>
      <c r="E490" t="inlineStr">
        <is>
          <t>ÅRJÄNG</t>
        </is>
      </c>
      <c r="G490" t="n">
        <v>2.6</v>
      </c>
      <c r="H490" t="n">
        <v>0</v>
      </c>
      <c r="I490" t="n">
        <v>0</v>
      </c>
      <c r="J490" t="n">
        <v>0</v>
      </c>
      <c r="K490" t="n">
        <v>0</v>
      </c>
      <c r="L490" t="n">
        <v>0</v>
      </c>
      <c r="M490" t="n">
        <v>0</v>
      </c>
      <c r="N490" t="n">
        <v>0</v>
      </c>
      <c r="O490" t="n">
        <v>0</v>
      </c>
      <c r="P490" t="n">
        <v>0</v>
      </c>
      <c r="Q490" t="n">
        <v>0</v>
      </c>
      <c r="R490" s="2" t="inlineStr"/>
    </row>
    <row r="491" ht="15" customHeight="1">
      <c r="A491" t="inlineStr">
        <is>
          <t>A 46987-2021</t>
        </is>
      </c>
      <c r="B491" s="1" t="n">
        <v>44446</v>
      </c>
      <c r="C491" s="1" t="n">
        <v>45574</v>
      </c>
      <c r="D491" t="inlineStr">
        <is>
          <t>VÄRMLANDS LÄN</t>
        </is>
      </c>
      <c r="E491" t="inlineStr">
        <is>
          <t>ÅRJÄNG</t>
        </is>
      </c>
      <c r="G491" t="n">
        <v>2.3</v>
      </c>
      <c r="H491" t="n">
        <v>0</v>
      </c>
      <c r="I491" t="n">
        <v>0</v>
      </c>
      <c r="J491" t="n">
        <v>0</v>
      </c>
      <c r="K491" t="n">
        <v>0</v>
      </c>
      <c r="L491" t="n">
        <v>0</v>
      </c>
      <c r="M491" t="n">
        <v>0</v>
      </c>
      <c r="N491" t="n">
        <v>0</v>
      </c>
      <c r="O491" t="n">
        <v>0</v>
      </c>
      <c r="P491" t="n">
        <v>0</v>
      </c>
      <c r="Q491" t="n">
        <v>0</v>
      </c>
      <c r="R491" s="2" t="inlineStr"/>
    </row>
    <row r="492" ht="15" customHeight="1">
      <c r="A492" t="inlineStr">
        <is>
          <t>A 47015-2021</t>
        </is>
      </c>
      <c r="B492" s="1" t="n">
        <v>44446</v>
      </c>
      <c r="C492" s="1" t="n">
        <v>45574</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47033-2021</t>
        </is>
      </c>
      <c r="B493" s="1" t="n">
        <v>44446</v>
      </c>
      <c r="C493" s="1" t="n">
        <v>45574</v>
      </c>
      <c r="D493" t="inlineStr">
        <is>
          <t>VÄRMLANDS LÄN</t>
        </is>
      </c>
      <c r="E493" t="inlineStr">
        <is>
          <t>ÅRJÄNG</t>
        </is>
      </c>
      <c r="G493" t="n">
        <v>0.6</v>
      </c>
      <c r="H493" t="n">
        <v>0</v>
      </c>
      <c r="I493" t="n">
        <v>0</v>
      </c>
      <c r="J493" t="n">
        <v>0</v>
      </c>
      <c r="K493" t="n">
        <v>0</v>
      </c>
      <c r="L493" t="n">
        <v>0</v>
      </c>
      <c r="M493" t="n">
        <v>0</v>
      </c>
      <c r="N493" t="n">
        <v>0</v>
      </c>
      <c r="O493" t="n">
        <v>0</v>
      </c>
      <c r="P493" t="n">
        <v>0</v>
      </c>
      <c r="Q493" t="n">
        <v>0</v>
      </c>
      <c r="R493" s="2" t="inlineStr"/>
    </row>
    <row r="494" ht="15" customHeight="1">
      <c r="A494" t="inlineStr">
        <is>
          <t>A 46994-2021</t>
        </is>
      </c>
      <c r="B494" s="1" t="n">
        <v>44446</v>
      </c>
      <c r="C494" s="1" t="n">
        <v>45574</v>
      </c>
      <c r="D494" t="inlineStr">
        <is>
          <t>VÄRMLANDS LÄN</t>
        </is>
      </c>
      <c r="E494" t="inlineStr">
        <is>
          <t>ÅRJÄNG</t>
        </is>
      </c>
      <c r="G494" t="n">
        <v>5.1</v>
      </c>
      <c r="H494" t="n">
        <v>0</v>
      </c>
      <c r="I494" t="n">
        <v>0</v>
      </c>
      <c r="J494" t="n">
        <v>0</v>
      </c>
      <c r="K494" t="n">
        <v>0</v>
      </c>
      <c r="L494" t="n">
        <v>0</v>
      </c>
      <c r="M494" t="n">
        <v>0</v>
      </c>
      <c r="N494" t="n">
        <v>0</v>
      </c>
      <c r="O494" t="n">
        <v>0</v>
      </c>
      <c r="P494" t="n">
        <v>0</v>
      </c>
      <c r="Q494" t="n">
        <v>0</v>
      </c>
      <c r="R494" s="2" t="inlineStr"/>
    </row>
    <row r="495" ht="15" customHeight="1">
      <c r="A495" t="inlineStr">
        <is>
          <t>A 47011-2021</t>
        </is>
      </c>
      <c r="B495" s="1" t="n">
        <v>44446</v>
      </c>
      <c r="C495" s="1" t="n">
        <v>45574</v>
      </c>
      <c r="D495" t="inlineStr">
        <is>
          <t>VÄRMLANDS LÄN</t>
        </is>
      </c>
      <c r="E495" t="inlineStr">
        <is>
          <t>ÅRJÄNG</t>
        </is>
      </c>
      <c r="G495" t="n">
        <v>5.3</v>
      </c>
      <c r="H495" t="n">
        <v>0</v>
      </c>
      <c r="I495" t="n">
        <v>0</v>
      </c>
      <c r="J495" t="n">
        <v>0</v>
      </c>
      <c r="K495" t="n">
        <v>0</v>
      </c>
      <c r="L495" t="n">
        <v>0</v>
      </c>
      <c r="M495" t="n">
        <v>0</v>
      </c>
      <c r="N495" t="n">
        <v>0</v>
      </c>
      <c r="O495" t="n">
        <v>0</v>
      </c>
      <c r="P495" t="n">
        <v>0</v>
      </c>
      <c r="Q495" t="n">
        <v>0</v>
      </c>
      <c r="R495" s="2" t="inlineStr"/>
    </row>
    <row r="496" ht="15" customHeight="1">
      <c r="A496" t="inlineStr">
        <is>
          <t>A 47026-2021</t>
        </is>
      </c>
      <c r="B496" s="1" t="n">
        <v>44446</v>
      </c>
      <c r="C496" s="1" t="n">
        <v>45574</v>
      </c>
      <c r="D496" t="inlineStr">
        <is>
          <t>VÄRMLANDS LÄN</t>
        </is>
      </c>
      <c r="E496" t="inlineStr">
        <is>
          <t>ÅRJÄNG</t>
        </is>
      </c>
      <c r="G496" t="n">
        <v>0.7</v>
      </c>
      <c r="H496" t="n">
        <v>0</v>
      </c>
      <c r="I496" t="n">
        <v>0</v>
      </c>
      <c r="J496" t="n">
        <v>0</v>
      </c>
      <c r="K496" t="n">
        <v>0</v>
      </c>
      <c r="L496" t="n">
        <v>0</v>
      </c>
      <c r="M496" t="n">
        <v>0</v>
      </c>
      <c r="N496" t="n">
        <v>0</v>
      </c>
      <c r="O496" t="n">
        <v>0</v>
      </c>
      <c r="P496" t="n">
        <v>0</v>
      </c>
      <c r="Q496" t="n">
        <v>0</v>
      </c>
      <c r="R496" s="2" t="inlineStr"/>
    </row>
    <row r="497" ht="15" customHeight="1">
      <c r="A497" t="inlineStr">
        <is>
          <t>A 47223-2021</t>
        </is>
      </c>
      <c r="B497" s="1" t="n">
        <v>44446</v>
      </c>
      <c r="C497" s="1" t="n">
        <v>45574</v>
      </c>
      <c r="D497" t="inlineStr">
        <is>
          <t>VÄRMLANDS LÄN</t>
        </is>
      </c>
      <c r="E497" t="inlineStr">
        <is>
          <t>ÅRJÄNG</t>
        </is>
      </c>
      <c r="G497" t="n">
        <v>5.4</v>
      </c>
      <c r="H497" t="n">
        <v>0</v>
      </c>
      <c r="I497" t="n">
        <v>0</v>
      </c>
      <c r="J497" t="n">
        <v>0</v>
      </c>
      <c r="K497" t="n">
        <v>0</v>
      </c>
      <c r="L497" t="n">
        <v>0</v>
      </c>
      <c r="M497" t="n">
        <v>0</v>
      </c>
      <c r="N497" t="n">
        <v>0</v>
      </c>
      <c r="O497" t="n">
        <v>0</v>
      </c>
      <c r="P497" t="n">
        <v>0</v>
      </c>
      <c r="Q497" t="n">
        <v>0</v>
      </c>
      <c r="R497" s="2" t="inlineStr"/>
    </row>
    <row r="498" ht="15" customHeight="1">
      <c r="A498" t="inlineStr">
        <is>
          <t>A 47231-2021</t>
        </is>
      </c>
      <c r="B498" s="1" t="n">
        <v>44446</v>
      </c>
      <c r="C498" s="1" t="n">
        <v>45574</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47287-2021</t>
        </is>
      </c>
      <c r="B499" s="1" t="n">
        <v>44446</v>
      </c>
      <c r="C499" s="1" t="n">
        <v>45574</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47013-2021</t>
        </is>
      </c>
      <c r="B500" s="1" t="n">
        <v>44446</v>
      </c>
      <c r="C500" s="1" t="n">
        <v>45574</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47215-2021</t>
        </is>
      </c>
      <c r="B501" s="1" t="n">
        <v>44446</v>
      </c>
      <c r="C501" s="1" t="n">
        <v>45574</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47230-2021</t>
        </is>
      </c>
      <c r="B502" s="1" t="n">
        <v>44446</v>
      </c>
      <c r="C502" s="1" t="n">
        <v>45574</v>
      </c>
      <c r="D502" t="inlineStr">
        <is>
          <t>VÄRMLANDS LÄN</t>
        </is>
      </c>
      <c r="E502" t="inlineStr">
        <is>
          <t>ÅRJÄNG</t>
        </is>
      </c>
      <c r="G502" t="n">
        <v>6.2</v>
      </c>
      <c r="H502" t="n">
        <v>0</v>
      </c>
      <c r="I502" t="n">
        <v>0</v>
      </c>
      <c r="J502" t="n">
        <v>0</v>
      </c>
      <c r="K502" t="n">
        <v>0</v>
      </c>
      <c r="L502" t="n">
        <v>0</v>
      </c>
      <c r="M502" t="n">
        <v>0</v>
      </c>
      <c r="N502" t="n">
        <v>0</v>
      </c>
      <c r="O502" t="n">
        <v>0</v>
      </c>
      <c r="P502" t="n">
        <v>0</v>
      </c>
      <c r="Q502" t="n">
        <v>0</v>
      </c>
      <c r="R502" s="2" t="inlineStr"/>
    </row>
    <row r="503" ht="15" customHeight="1">
      <c r="A503" t="inlineStr">
        <is>
          <t>A 47235-2021</t>
        </is>
      </c>
      <c r="B503" s="1" t="n">
        <v>44446</v>
      </c>
      <c r="C503" s="1" t="n">
        <v>45574</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47293-2021</t>
        </is>
      </c>
      <c r="B504" s="1" t="n">
        <v>44446</v>
      </c>
      <c r="C504" s="1" t="n">
        <v>45574</v>
      </c>
      <c r="D504" t="inlineStr">
        <is>
          <t>VÄRMLANDS LÄN</t>
        </is>
      </c>
      <c r="E504" t="inlineStr">
        <is>
          <t>ÅRJÄNG</t>
        </is>
      </c>
      <c r="G504" t="n">
        <v>3</v>
      </c>
      <c r="H504" t="n">
        <v>0</v>
      </c>
      <c r="I504" t="n">
        <v>0</v>
      </c>
      <c r="J504" t="n">
        <v>0</v>
      </c>
      <c r="K504" t="n">
        <v>0</v>
      </c>
      <c r="L504" t="n">
        <v>0</v>
      </c>
      <c r="M504" t="n">
        <v>0</v>
      </c>
      <c r="N504" t="n">
        <v>0</v>
      </c>
      <c r="O504" t="n">
        <v>0</v>
      </c>
      <c r="P504" t="n">
        <v>0</v>
      </c>
      <c r="Q504" t="n">
        <v>0</v>
      </c>
      <c r="R504" s="2" t="inlineStr"/>
    </row>
    <row r="505" ht="15" customHeight="1">
      <c r="A505" t="inlineStr">
        <is>
          <t>A 47228-2021</t>
        </is>
      </c>
      <c r="B505" s="1" t="n">
        <v>44446</v>
      </c>
      <c r="C505" s="1" t="n">
        <v>45574</v>
      </c>
      <c r="D505" t="inlineStr">
        <is>
          <t>VÄRMLANDS LÄN</t>
        </is>
      </c>
      <c r="E505" t="inlineStr">
        <is>
          <t>ÅRJÄNG</t>
        </is>
      </c>
      <c r="G505" t="n">
        <v>0.6</v>
      </c>
      <c r="H505" t="n">
        <v>0</v>
      </c>
      <c r="I505" t="n">
        <v>0</v>
      </c>
      <c r="J505" t="n">
        <v>0</v>
      </c>
      <c r="K505" t="n">
        <v>0</v>
      </c>
      <c r="L505" t="n">
        <v>0</v>
      </c>
      <c r="M505" t="n">
        <v>0</v>
      </c>
      <c r="N505" t="n">
        <v>0</v>
      </c>
      <c r="O505" t="n">
        <v>0</v>
      </c>
      <c r="P505" t="n">
        <v>0</v>
      </c>
      <c r="Q505" t="n">
        <v>0</v>
      </c>
      <c r="R505" s="2" t="inlineStr"/>
    </row>
    <row r="506" ht="15" customHeight="1">
      <c r="A506" t="inlineStr">
        <is>
          <t>A 47242-2021</t>
        </is>
      </c>
      <c r="B506" s="1" t="n">
        <v>44446</v>
      </c>
      <c r="C506" s="1" t="n">
        <v>45574</v>
      </c>
      <c r="D506" t="inlineStr">
        <is>
          <t>VÄRMLANDS LÄN</t>
        </is>
      </c>
      <c r="E506" t="inlineStr">
        <is>
          <t>ÅRJÄNG</t>
        </is>
      </c>
      <c r="G506" t="n">
        <v>6.8</v>
      </c>
      <c r="H506" t="n">
        <v>0</v>
      </c>
      <c r="I506" t="n">
        <v>0</v>
      </c>
      <c r="J506" t="n">
        <v>0</v>
      </c>
      <c r="K506" t="n">
        <v>0</v>
      </c>
      <c r="L506" t="n">
        <v>0</v>
      </c>
      <c r="M506" t="n">
        <v>0</v>
      </c>
      <c r="N506" t="n">
        <v>0</v>
      </c>
      <c r="O506" t="n">
        <v>0</v>
      </c>
      <c r="P506" t="n">
        <v>0</v>
      </c>
      <c r="Q506" t="n">
        <v>0</v>
      </c>
      <c r="R506" s="2" t="inlineStr"/>
    </row>
    <row r="507" ht="15" customHeight="1">
      <c r="A507" t="inlineStr">
        <is>
          <t>A 47360-2021</t>
        </is>
      </c>
      <c r="B507" s="1" t="n">
        <v>44447</v>
      </c>
      <c r="C507" s="1" t="n">
        <v>45574</v>
      </c>
      <c r="D507" t="inlineStr">
        <is>
          <t>VÄRMLANDS LÄN</t>
        </is>
      </c>
      <c r="E507" t="inlineStr">
        <is>
          <t>ÅRJÄNG</t>
        </is>
      </c>
      <c r="G507" t="n">
        <v>3.9</v>
      </c>
      <c r="H507" t="n">
        <v>0</v>
      </c>
      <c r="I507" t="n">
        <v>0</v>
      </c>
      <c r="J507" t="n">
        <v>0</v>
      </c>
      <c r="K507" t="n">
        <v>0</v>
      </c>
      <c r="L507" t="n">
        <v>0</v>
      </c>
      <c r="M507" t="n">
        <v>0</v>
      </c>
      <c r="N507" t="n">
        <v>0</v>
      </c>
      <c r="O507" t="n">
        <v>0</v>
      </c>
      <c r="P507" t="n">
        <v>0</v>
      </c>
      <c r="Q507" t="n">
        <v>0</v>
      </c>
      <c r="R507" s="2" t="inlineStr"/>
    </row>
    <row r="508" ht="15" customHeight="1">
      <c r="A508" t="inlineStr">
        <is>
          <t>A 47653-2021</t>
        </is>
      </c>
      <c r="B508" s="1" t="n">
        <v>44448</v>
      </c>
      <c r="C508" s="1" t="n">
        <v>45574</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47642-2021</t>
        </is>
      </c>
      <c r="B509" s="1" t="n">
        <v>44448</v>
      </c>
      <c r="C509" s="1" t="n">
        <v>45574</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47647-2021</t>
        </is>
      </c>
      <c r="B510" s="1" t="n">
        <v>44448</v>
      </c>
      <c r="C510" s="1" t="n">
        <v>45574</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48391-2021</t>
        </is>
      </c>
      <c r="B511" s="1" t="n">
        <v>44452</v>
      </c>
      <c r="C511" s="1" t="n">
        <v>45574</v>
      </c>
      <c r="D511" t="inlineStr">
        <is>
          <t>VÄRMLANDS LÄN</t>
        </is>
      </c>
      <c r="E511" t="inlineStr">
        <is>
          <t>ÅRJÄNG</t>
        </is>
      </c>
      <c r="G511" t="n">
        <v>3.5</v>
      </c>
      <c r="H511" t="n">
        <v>0</v>
      </c>
      <c r="I511" t="n">
        <v>0</v>
      </c>
      <c r="J511" t="n">
        <v>0</v>
      </c>
      <c r="K511" t="n">
        <v>0</v>
      </c>
      <c r="L511" t="n">
        <v>0</v>
      </c>
      <c r="M511" t="n">
        <v>0</v>
      </c>
      <c r="N511" t="n">
        <v>0</v>
      </c>
      <c r="O511" t="n">
        <v>0</v>
      </c>
      <c r="P511" t="n">
        <v>0</v>
      </c>
      <c r="Q511" t="n">
        <v>0</v>
      </c>
      <c r="R511" s="2" t="inlineStr"/>
    </row>
    <row r="512" ht="15" customHeight="1">
      <c r="A512" t="inlineStr">
        <is>
          <t>A 48389-2021</t>
        </is>
      </c>
      <c r="B512" s="1" t="n">
        <v>44452</v>
      </c>
      <c r="C512" s="1" t="n">
        <v>45574</v>
      </c>
      <c r="D512" t="inlineStr">
        <is>
          <t>VÄRMLANDS LÄN</t>
        </is>
      </c>
      <c r="E512" t="inlineStr">
        <is>
          <t>ÅRJÄNG</t>
        </is>
      </c>
      <c r="G512" t="n">
        <v>2.4</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45574</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45574</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45574</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45574</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45574</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45574</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45574</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45574</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45574</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45574</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45574</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45574</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45574</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45574</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45574</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45574</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45574</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45574</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45574</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45574</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45574</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45574</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45574</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45574</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45574</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45574</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45574</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45574</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45574</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45574</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45574</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45574</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45574</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45574</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45574</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45574</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45574</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45574</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45574</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45574</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45574</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45574</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45574</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45574</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45574</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45574</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45574</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45574</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45574</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45574</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45574</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45574</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45574</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45574</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45574</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45574</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45574</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45574</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45574</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45574</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45574</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45574</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45574</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45574</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45574</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45574</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45574</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45574</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45574</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45574</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45574</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45574</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45574</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45574</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45574</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45574</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45574</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45574</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45574</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45574</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45574</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45574</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45574</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45574</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45574</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45574</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45574</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45574</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45574</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45574</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45574</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45574</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45574</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45574</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45574</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45574</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45574</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45574</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45574</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45574</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45574</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45574</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45574</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45574</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45574</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45574</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45574</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45574</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45574</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45574</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45574</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45574</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45574</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45574</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45574</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45574</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45574</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45574</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45574</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45574</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45574</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45574</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45574</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45574</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45574</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45574</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45574</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45574</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45574</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45574</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45574</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45574</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45574</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45574</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45574</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45574</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45574</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45574</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45574</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45574</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45574</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45574</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45574</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45574</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45574</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45574</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45574</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45574</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45574</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45574</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45574</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45574</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45574</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45574</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45574</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45574</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45574</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45574</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45574</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45574</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45574</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45574</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45574</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45574</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45574</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45574</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45574</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45574</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45574</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45574</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45574</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45574</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45574</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45574</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45574</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45574</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45574</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45574</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45574</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45574</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45574</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45574</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45574</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45574</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45574</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45574</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45574</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45574</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45574</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45574</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45574</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45574</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45574</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45574</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45574</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45574</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45574</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45574</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45574</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45574</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45574</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45574</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45574</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45574</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45574</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45574</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45574</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45574</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45574</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45574</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45574</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45574</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45574</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45574</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45574</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45574</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45574</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45574</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45574</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45574</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45574</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45574</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45574</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45574</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45574</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45574</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45574</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45574</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45574</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45574</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45574</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45574</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45574</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45574</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45574</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45574</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45574</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45574</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45574</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45574</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45574</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45574</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45574</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45574</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45574</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45574</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45574</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45574</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45574</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45574</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45574</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45574</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45574</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45574</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45574</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45574</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45574</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45574</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45574</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45574</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45574</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45574</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45574</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45574</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45574</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45574</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45574</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45574</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45574</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45574</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45574</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45574</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45574</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45574</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45574</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45574</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45574</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45574</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45574</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45574</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45574</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45574</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45574</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45574</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45574</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45574</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45574</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45574</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45574</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45574</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45574</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45574</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45574</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45574</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45574</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45574</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45574</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45574</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45574</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45574</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45574</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45574</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45574</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45574</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45574</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45574</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45574</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45574</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45574</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45574</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45574</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45574</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45574</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45574</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45574</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45574</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45574</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45574</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45574</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45574</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45574</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45574</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45574</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45574</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45574</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45574</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45574</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45574</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45574</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45574</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45574</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45574</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45574</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45574</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45574</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45574</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45574</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45574</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45574</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45574</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45574</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45574</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45574</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45574</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45574</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45574</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45574</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45574</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45574</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45574</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45574</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45574</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45574</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45574</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45574</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45574</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45574</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45574</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45574</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45574</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45574</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45574</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45574</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45574</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45574</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45574</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45574</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45574</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45574</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45574</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45574</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45574</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45574</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45574</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45574</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45574</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45574</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45574</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45574</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45574</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45574</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45574</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45574</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45574</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45574</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45574</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45574</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45574</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45574</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45574</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45574</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45574</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45574</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45574</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45574</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45574</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45574</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45574</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45574</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45574</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45574</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45574</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45574</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45574</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45574</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45574</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45574</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45574</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45574</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45574</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45574</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45574</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45574</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45574</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45574</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45574</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45574</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45574</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45574</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45574</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45574</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45574</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45574</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45574</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45574</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45574</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45574</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45574</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45574</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45574</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45574</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45574</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45574</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45574</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45574</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45574</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45574</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45574</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45574</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45574</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45574</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45574</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45574</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45574</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45574</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45574</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45574</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45574</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45574</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45574</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45574</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45574</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45574</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45574</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45574</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45574</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45574</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45574</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45574</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45574</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45574</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45574</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45574</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45574</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45574</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45574</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45574</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45574</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45574</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45574</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45574</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45574</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45574</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45574</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45574</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45574</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45574</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45574</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45574</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45574</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45574</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45574</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45574</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45574</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45574</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45574</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45574</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45574</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45574</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45574</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45574</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45574</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45574</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45574</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45574</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45574</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45574</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45574</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45574</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45574</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45574</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45574</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45574</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45574</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45574</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45574</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45574</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45574</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45574</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45574</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45574</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45574</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45574</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45574</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45574</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45574</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45574</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45574</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45574</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45574</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45574</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45574</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45574</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45574</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45574</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45574</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45574</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45574</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45574</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45574</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45574</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45574</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45574</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45574</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45574</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45574</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45574</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45574</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45574</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45574</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45574</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45574</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45574</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45574</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45574</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45574</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45574</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45574</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45574</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45574</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45574</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45574</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45574</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45574</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45574</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45574</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45574</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45574</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45574</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45574</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45574</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45574</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45574</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45574</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45574</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45574</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45574</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45574</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45574</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45574</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45574</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45574</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45574</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45574</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45574</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45574</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45574</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45574</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45574</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45574</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45574</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45574</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45574</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45574</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45574</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45574</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45574</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45574</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45574</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45574</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45574</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45574</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45574</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45574</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45574</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45574</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45574</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45574</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45574</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45574</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45574</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45574</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45574</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45574</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45574</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45574</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45574</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45574</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45574</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45574</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45574</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45574</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45574</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45574</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45574</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45574</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45574</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45574</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45574</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45574</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45574</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45574</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45574</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45574</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45574</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45574</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45574</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45574</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45574</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45574</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45574</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45574</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45574</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45574</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45574</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45574</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45574</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45574</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45574</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45574</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45574</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45574</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45574</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45574</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45574</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45574</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45574</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45574</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45574</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45574</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45574</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45574</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45574</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45574</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45574</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45574</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45574</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45574</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45574</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45574</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45574</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45574</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45574</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45574</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45574</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45574</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45574</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45574</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45574</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45574</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45574</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45574</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45574</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45574</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45574</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45574</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45574</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45574</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45574</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45574</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45574</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45574</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45574</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45574</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45574</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45574</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45574</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45574</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45574</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45574</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45574</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45574</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45574</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45574</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45574</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45574</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45574</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45574</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45574</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45574</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45574</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45574</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45574</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45574</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45574</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45574</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45574</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45574</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45574</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45574</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45574</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45574</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45574</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45574</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45574</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45574</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45574</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45574</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45574</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45574</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45574</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45574</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45574</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45574</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45574</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45574</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45574</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45574</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45574</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45574</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45574</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45574</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45574</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45574</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45574</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45574</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45574</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45574</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45574</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45574</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45574</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45574</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45574</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45574</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45574</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45574</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45574</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45574</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45574</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45574</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45574</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45574</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45574</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45574</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45574</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45574</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45574</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45574</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45574</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45574</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45574</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45574</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45574</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45574</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45574</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45574</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45574</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45574</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45574</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45574</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45574</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45574</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45574</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45574</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45574</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45574</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45574</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45574</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45574</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45574</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45574</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45574</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45574</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45574</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45574</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45574</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45574</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45574</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45574</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45574</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45574</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45574</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45574</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45574</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45574</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45574</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45574</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45574</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45574</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45574</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45574</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45574</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45574</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45574</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45574</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45574</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45574</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45574</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45574</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45574</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45574</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45574</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45574</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45574</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45574</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45574</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45574</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45574</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45574</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45574</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45574</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45574</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45574</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45574</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45574</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45574</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45574</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45574</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45574</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45574</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45574</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45574</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45574</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45574</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45574</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45574</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45574</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45574</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45574</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45574</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45574</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45574</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45574</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45574</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45574</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45574</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45574</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45574</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45574</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45574</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45574</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45574</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45574</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45574</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45574</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45574</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45574</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45574</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45574</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45574</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45574</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45574</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45574</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45574</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45574</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45574</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45574</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45574</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45574</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45574</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45574</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45574</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45574</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45574</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45574</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45574</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45574</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45574</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45574</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45574</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45574</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45574</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45574</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45574</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45574</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45574</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45574</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45574</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45574</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45574</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45574</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45574</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45574</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45574</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45574</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45574</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45574</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45574</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45574</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45574</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45574</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45574</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45574</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45574</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45574</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45574</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45574</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45574</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45574</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45574</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45574</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45574</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45574</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45574</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45574</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45574</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45574</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45574</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45574</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45574</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45574</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45574</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45574</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45574</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45574</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45574</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45574</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45574</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45574</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45574</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45574</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45574</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45574</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45574</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45574</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45574</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45574</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45574</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45574</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45574</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45574</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45574</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45574</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45574</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45574</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45574</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45574</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45574</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45574</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45574</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45574</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45574</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45574</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45574</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45574</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45574</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45574</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45574</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45574</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45574</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45574</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45574</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45574</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45574</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45574</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45574</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45574</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45574</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45574</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45574</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45574</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45574</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45574</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45574</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45574</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45574</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45574</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45574</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45574</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45574</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45574</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45574</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29481-2024</t>
        </is>
      </c>
      <c r="B1495" s="1" t="n">
        <v>45484</v>
      </c>
      <c r="C1495" s="1" t="n">
        <v>45574</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29601-2024</t>
        </is>
      </c>
      <c r="B1496" s="1" t="n">
        <v>45484</v>
      </c>
      <c r="C1496" s="1" t="n">
        <v>45574</v>
      </c>
      <c r="D1496" t="inlineStr">
        <is>
          <t>VÄRMLANDS LÄN</t>
        </is>
      </c>
      <c r="E1496" t="inlineStr">
        <is>
          <t>ÅRJÄNG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29611-2024</t>
        </is>
      </c>
      <c r="B1497" s="1" t="n">
        <v>45484</v>
      </c>
      <c r="C1497" s="1" t="n">
        <v>45574</v>
      </c>
      <c r="D1497" t="inlineStr">
        <is>
          <t>VÄRMLANDS LÄN</t>
        </is>
      </c>
      <c r="E1497" t="inlineStr">
        <is>
          <t>ÅRJÄNG</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29603-2024</t>
        </is>
      </c>
      <c r="B1498" s="1" t="n">
        <v>45484</v>
      </c>
      <c r="C1498" s="1" t="n">
        <v>45574</v>
      </c>
      <c r="D1498" t="inlineStr">
        <is>
          <t>VÄRMLANDS LÄN</t>
        </is>
      </c>
      <c r="E1498" t="inlineStr">
        <is>
          <t>ÅRJÄNG</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29483-2024</t>
        </is>
      </c>
      <c r="B1499" s="1" t="n">
        <v>45484</v>
      </c>
      <c r="C1499" s="1" t="n">
        <v>45574</v>
      </c>
      <c r="D1499" t="inlineStr">
        <is>
          <t>VÄRMLANDS LÄN</t>
        </is>
      </c>
      <c r="E1499" t="inlineStr">
        <is>
          <t>ÅRJÄNG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29558-2024</t>
        </is>
      </c>
      <c r="B1500" s="1" t="n">
        <v>45484</v>
      </c>
      <c r="C1500" s="1" t="n">
        <v>45574</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29486-2024</t>
        </is>
      </c>
      <c r="B1501" s="1" t="n">
        <v>45484</v>
      </c>
      <c r="C1501" s="1" t="n">
        <v>45574</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45574</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30960-2024</t>
        </is>
      </c>
      <c r="B1503" s="1" t="n">
        <v>45499</v>
      </c>
      <c r="C1503" s="1" t="n">
        <v>45574</v>
      </c>
      <c r="D1503" t="inlineStr">
        <is>
          <t>VÄRMLANDS LÄN</t>
        </is>
      </c>
      <c r="E1503" t="inlineStr">
        <is>
          <t>ÅRJÄNG</t>
        </is>
      </c>
      <c r="F1503" t="inlineStr">
        <is>
          <t>Kyrkan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30993-2024</t>
        </is>
      </c>
      <c r="B1504" s="1" t="n">
        <v>45499</v>
      </c>
      <c r="C1504" s="1" t="n">
        <v>45574</v>
      </c>
      <c r="D1504" t="inlineStr">
        <is>
          <t>VÄRMLANDS LÄN</t>
        </is>
      </c>
      <c r="E1504" t="inlineStr">
        <is>
          <t>ÅRJÄNG</t>
        </is>
      </c>
      <c r="F1504" t="inlineStr">
        <is>
          <t>Kyrkan</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30996-2024</t>
        </is>
      </c>
      <c r="B1505" s="1" t="n">
        <v>45499</v>
      </c>
      <c r="C1505" s="1" t="n">
        <v>45574</v>
      </c>
      <c r="D1505" t="inlineStr">
        <is>
          <t>VÄRMLANDS LÄN</t>
        </is>
      </c>
      <c r="E1505" t="inlineStr">
        <is>
          <t>ÅRJÄNG</t>
        </is>
      </c>
      <c r="F1505" t="inlineStr">
        <is>
          <t>Kyrkan</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31622-2024</t>
        </is>
      </c>
      <c r="B1506" s="1" t="n">
        <v>45506</v>
      </c>
      <c r="C1506" s="1" t="n">
        <v>45574</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31715-2024</t>
        </is>
      </c>
      <c r="B1507" s="1" t="n">
        <v>45507</v>
      </c>
      <c r="C1507" s="1" t="n">
        <v>45574</v>
      </c>
      <c r="D1507" t="inlineStr">
        <is>
          <t>VÄRMLANDS LÄN</t>
        </is>
      </c>
      <c r="E1507" t="inlineStr">
        <is>
          <t>ÅRJÄNG</t>
        </is>
      </c>
      <c r="F1507" t="inlineStr">
        <is>
          <t>Övriga Aktiebolag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32043-2024</t>
        </is>
      </c>
      <c r="B1508" s="1" t="n">
        <v>45510</v>
      </c>
      <c r="C1508" s="1" t="n">
        <v>45574</v>
      </c>
      <c r="D1508" t="inlineStr">
        <is>
          <t>VÄRMLANDS LÄN</t>
        </is>
      </c>
      <c r="E1508" t="inlineStr">
        <is>
          <t>ÅRJÄNG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32095-2024</t>
        </is>
      </c>
      <c r="B1509" s="1" t="n">
        <v>45511</v>
      </c>
      <c r="C1509" s="1" t="n">
        <v>45574</v>
      </c>
      <c r="D1509" t="inlineStr">
        <is>
          <t>VÄRMLANDS LÄN</t>
        </is>
      </c>
      <c r="E1509" t="inlineStr">
        <is>
          <t>ÅRJÄNG</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32082-2024</t>
        </is>
      </c>
      <c r="B1510" s="1" t="n">
        <v>45511</v>
      </c>
      <c r="C1510" s="1" t="n">
        <v>45574</v>
      </c>
      <c r="D1510" t="inlineStr">
        <is>
          <t>VÄRMLANDS LÄN</t>
        </is>
      </c>
      <c r="E1510" t="inlineStr">
        <is>
          <t>ÅRJÄNG</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32338-2024</t>
        </is>
      </c>
      <c r="B1511" s="1" t="n">
        <v>45512</v>
      </c>
      <c r="C1511" s="1" t="n">
        <v>45574</v>
      </c>
      <c r="D1511" t="inlineStr">
        <is>
          <t>VÄRMLANDS LÄN</t>
        </is>
      </c>
      <c r="E1511" t="inlineStr">
        <is>
          <t>ÅRJÄNG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32550-2024</t>
        </is>
      </c>
      <c r="B1512" s="1" t="n">
        <v>45513</v>
      </c>
      <c r="C1512" s="1" t="n">
        <v>45574</v>
      </c>
      <c r="D1512" t="inlineStr">
        <is>
          <t>VÄRMLANDS LÄN</t>
        </is>
      </c>
      <c r="E1512" t="inlineStr">
        <is>
          <t>ÅRJÄNG</t>
        </is>
      </c>
      <c r="F1512" t="inlineStr">
        <is>
          <t>Bergvik skog väst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32776-2024</t>
        </is>
      </c>
      <c r="B1513" s="1" t="n">
        <v>45516</v>
      </c>
      <c r="C1513" s="1" t="n">
        <v>45574</v>
      </c>
      <c r="D1513" t="inlineStr">
        <is>
          <t>VÄRMLANDS LÄN</t>
        </is>
      </c>
      <c r="E1513" t="inlineStr">
        <is>
          <t>ÅRJÄNG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32763-2024</t>
        </is>
      </c>
      <c r="B1514" s="1" t="n">
        <v>45516</v>
      </c>
      <c r="C1514" s="1" t="n">
        <v>45574</v>
      </c>
      <c r="D1514" t="inlineStr">
        <is>
          <t>VÄRMLANDS LÄN</t>
        </is>
      </c>
      <c r="E1514" t="inlineStr">
        <is>
          <t>ÅRJÄNG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32778-2024</t>
        </is>
      </c>
      <c r="B1515" s="1" t="n">
        <v>45516</v>
      </c>
      <c r="C1515" s="1" t="n">
        <v>45574</v>
      </c>
      <c r="D1515" t="inlineStr">
        <is>
          <t>VÄRMLANDS LÄN</t>
        </is>
      </c>
      <c r="E1515" t="inlineStr">
        <is>
          <t>ÅRJÄNG</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32773-2024</t>
        </is>
      </c>
      <c r="B1516" s="1" t="n">
        <v>45516</v>
      </c>
      <c r="C1516" s="1" t="n">
        <v>45574</v>
      </c>
      <c r="D1516" t="inlineStr">
        <is>
          <t>VÄRMLANDS LÄN</t>
        </is>
      </c>
      <c r="E1516" t="inlineStr">
        <is>
          <t>ÅRJÄNG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32723-2024</t>
        </is>
      </c>
      <c r="B1517" s="1" t="n">
        <v>45516</v>
      </c>
      <c r="C1517" s="1" t="n">
        <v>45574</v>
      </c>
      <c r="D1517" t="inlineStr">
        <is>
          <t>VÄRMLANDS LÄN</t>
        </is>
      </c>
      <c r="E1517" t="inlineStr">
        <is>
          <t>ÅRJÄNG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32950-2024</t>
        </is>
      </c>
      <c r="B1518" s="1" t="n">
        <v>45517</v>
      </c>
      <c r="C1518" s="1" t="n">
        <v>45574</v>
      </c>
      <c r="D1518" t="inlineStr">
        <is>
          <t>VÄRMLANDS LÄN</t>
        </is>
      </c>
      <c r="E1518" t="inlineStr">
        <is>
          <t>ÅRJÄNG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34106-2024</t>
        </is>
      </c>
      <c r="B1519" s="1" t="n">
        <v>45523</v>
      </c>
      <c r="C1519" s="1" t="n">
        <v>45574</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34187-2024</t>
        </is>
      </c>
      <c r="B1520" s="1" t="n">
        <v>45524</v>
      </c>
      <c r="C1520" s="1" t="n">
        <v>45574</v>
      </c>
      <c r="D1520" t="inlineStr">
        <is>
          <t>VÄRMLANDS LÄN</t>
        </is>
      </c>
      <c r="E1520" t="inlineStr">
        <is>
          <t>ÅRJÄNG</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34177-2024</t>
        </is>
      </c>
      <c r="B1521" s="1" t="n">
        <v>45524</v>
      </c>
      <c r="C1521" s="1" t="n">
        <v>45574</v>
      </c>
      <c r="D1521" t="inlineStr">
        <is>
          <t>VÄRMLANDS LÄN</t>
        </is>
      </c>
      <c r="E1521" t="inlineStr">
        <is>
          <t>ÅRJÄNG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34181-2024</t>
        </is>
      </c>
      <c r="B1522" s="1" t="n">
        <v>45524</v>
      </c>
      <c r="C1522" s="1" t="n">
        <v>45574</v>
      </c>
      <c r="D1522" t="inlineStr">
        <is>
          <t>VÄRMLANDS LÄN</t>
        </is>
      </c>
      <c r="E1522" t="inlineStr">
        <is>
          <t>ÅRJÄNG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34172-2024</t>
        </is>
      </c>
      <c r="B1523" s="1" t="n">
        <v>45524</v>
      </c>
      <c r="C1523" s="1" t="n">
        <v>45574</v>
      </c>
      <c r="D1523" t="inlineStr">
        <is>
          <t>VÄRMLANDS LÄN</t>
        </is>
      </c>
      <c r="E1523" t="inlineStr">
        <is>
          <t>ÅRJÄNG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34176-2024</t>
        </is>
      </c>
      <c r="B1524" s="1" t="n">
        <v>45524</v>
      </c>
      <c r="C1524" s="1" t="n">
        <v>45574</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34184-2024</t>
        </is>
      </c>
      <c r="B1525" s="1" t="n">
        <v>45524</v>
      </c>
      <c r="C1525" s="1" t="n">
        <v>45574</v>
      </c>
      <c r="D1525" t="inlineStr">
        <is>
          <t>VÄRMLANDS LÄN</t>
        </is>
      </c>
      <c r="E1525" t="inlineStr">
        <is>
          <t>ÅRJÄNG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34174-2024</t>
        </is>
      </c>
      <c r="B1526" s="1" t="n">
        <v>45524</v>
      </c>
      <c r="C1526" s="1" t="n">
        <v>45574</v>
      </c>
      <c r="D1526" t="inlineStr">
        <is>
          <t>VÄRMLANDS LÄN</t>
        </is>
      </c>
      <c r="E1526" t="inlineStr">
        <is>
          <t>ÅRJÄNG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34443-2024</t>
        </is>
      </c>
      <c r="B1527" s="1" t="n">
        <v>45525</v>
      </c>
      <c r="C1527" s="1" t="n">
        <v>45574</v>
      </c>
      <c r="D1527" t="inlineStr">
        <is>
          <t>VÄRMLANDS LÄN</t>
        </is>
      </c>
      <c r="E1527" t="inlineStr">
        <is>
          <t>ÅRJÄNG</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34643-2024</t>
        </is>
      </c>
      <c r="B1528" s="1" t="n">
        <v>45526</v>
      </c>
      <c r="C1528" s="1" t="n">
        <v>45574</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34633-2024</t>
        </is>
      </c>
      <c r="B1529" s="1" t="n">
        <v>45526</v>
      </c>
      <c r="C1529" s="1" t="n">
        <v>45574</v>
      </c>
      <c r="D1529" t="inlineStr">
        <is>
          <t>VÄRMLANDS LÄN</t>
        </is>
      </c>
      <c r="E1529" t="inlineStr">
        <is>
          <t>ÅRJÄNG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35133-2024</t>
        </is>
      </c>
      <c r="B1530" s="1" t="n">
        <v>45529</v>
      </c>
      <c r="C1530" s="1" t="n">
        <v>45574</v>
      </c>
      <c r="D1530" t="inlineStr">
        <is>
          <t>VÄRMLANDS LÄN</t>
        </is>
      </c>
      <c r="E1530" t="inlineStr">
        <is>
          <t>ÅRJÄNG</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35482-2024</t>
        </is>
      </c>
      <c r="B1531" s="1" t="n">
        <v>45533</v>
      </c>
      <c r="C1531" s="1" t="n">
        <v>45574</v>
      </c>
      <c r="D1531" t="inlineStr">
        <is>
          <t>VÄRMLANDS LÄN</t>
        </is>
      </c>
      <c r="E1531" t="inlineStr">
        <is>
          <t>ÅRJÄNG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36018-2024</t>
        </is>
      </c>
      <c r="B1532" s="1" t="n">
        <v>45533</v>
      </c>
      <c r="C1532" s="1" t="n">
        <v>45574</v>
      </c>
      <c r="D1532" t="inlineStr">
        <is>
          <t>VÄRMLANDS LÄN</t>
        </is>
      </c>
      <c r="E1532" t="inlineStr">
        <is>
          <t>ÅRJÄNG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36035-2024</t>
        </is>
      </c>
      <c r="B1533" s="1" t="n">
        <v>45533</v>
      </c>
      <c r="C1533" s="1" t="n">
        <v>45574</v>
      </c>
      <c r="D1533" t="inlineStr">
        <is>
          <t>VÄRMLANDS LÄN</t>
        </is>
      </c>
      <c r="E1533" t="inlineStr">
        <is>
          <t>ÅRJÄNG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36017-2024</t>
        </is>
      </c>
      <c r="B1534" s="1" t="n">
        <v>45533</v>
      </c>
      <c r="C1534" s="1" t="n">
        <v>45574</v>
      </c>
      <c r="D1534" t="inlineStr">
        <is>
          <t>VÄRMLANDS LÄN</t>
        </is>
      </c>
      <c r="E1534" t="inlineStr">
        <is>
          <t>ÅRJÄNG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36016-2024</t>
        </is>
      </c>
      <c r="B1535" s="1" t="n">
        <v>45533</v>
      </c>
      <c r="C1535" s="1" t="n">
        <v>45574</v>
      </c>
      <c r="D1535" t="inlineStr">
        <is>
          <t>VÄRMLANDS LÄN</t>
        </is>
      </c>
      <c r="E1535" t="inlineStr">
        <is>
          <t>ÅRJÄNG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36151-2024</t>
        </is>
      </c>
      <c r="B1536" s="1" t="n">
        <v>45534</v>
      </c>
      <c r="C1536" s="1" t="n">
        <v>45574</v>
      </c>
      <c r="D1536" t="inlineStr">
        <is>
          <t>VÄRMLANDS LÄN</t>
        </is>
      </c>
      <c r="E1536" t="inlineStr">
        <is>
          <t>ÅRJÄNG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36282-2024</t>
        </is>
      </c>
      <c r="B1537" s="1" t="n">
        <v>45534</v>
      </c>
      <c r="C1537" s="1" t="n">
        <v>45574</v>
      </c>
      <c r="D1537" t="inlineStr">
        <is>
          <t>VÄRMLANDS LÄN</t>
        </is>
      </c>
      <c r="E1537" t="inlineStr">
        <is>
          <t>ÅRJÄNG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36377-2024</t>
        </is>
      </c>
      <c r="B1538" s="1" t="n">
        <v>45534</v>
      </c>
      <c r="C1538" s="1" t="n">
        <v>45574</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36592-2024</t>
        </is>
      </c>
      <c r="B1539" s="1" t="n">
        <v>45537</v>
      </c>
      <c r="C1539" s="1" t="n">
        <v>45574</v>
      </c>
      <c r="D1539" t="inlineStr">
        <is>
          <t>VÄRMLANDS LÄN</t>
        </is>
      </c>
      <c r="E1539" t="inlineStr">
        <is>
          <t>ÅRJÄNG</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36563-2024</t>
        </is>
      </c>
      <c r="B1540" s="1" t="n">
        <v>45537</v>
      </c>
      <c r="C1540" s="1" t="n">
        <v>45574</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36587-2024</t>
        </is>
      </c>
      <c r="B1541" s="1" t="n">
        <v>45537</v>
      </c>
      <c r="C1541" s="1" t="n">
        <v>45574</v>
      </c>
      <c r="D1541" t="inlineStr">
        <is>
          <t>VÄRMLANDS LÄN</t>
        </is>
      </c>
      <c r="E1541" t="inlineStr">
        <is>
          <t>ÅRJÄNG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36706-2024</t>
        </is>
      </c>
      <c r="B1542" s="1" t="n">
        <v>45537</v>
      </c>
      <c r="C1542" s="1" t="n">
        <v>45574</v>
      </c>
      <c r="D1542" t="inlineStr">
        <is>
          <t>VÄRMLANDS LÄN</t>
        </is>
      </c>
      <c r="E1542" t="inlineStr">
        <is>
          <t>ÅRJÄNG</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37029-2024</t>
        </is>
      </c>
      <c r="B1543" s="1" t="n">
        <v>45539</v>
      </c>
      <c r="C1543" s="1" t="n">
        <v>45574</v>
      </c>
      <c r="D1543" t="inlineStr">
        <is>
          <t>VÄRMLANDS LÄN</t>
        </is>
      </c>
      <c r="E1543" t="inlineStr">
        <is>
          <t>ÅRJÄNG</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37220-2024</t>
        </is>
      </c>
      <c r="B1544" s="1" t="n">
        <v>45539</v>
      </c>
      <c r="C1544" s="1" t="n">
        <v>45574</v>
      </c>
      <c r="D1544" t="inlineStr">
        <is>
          <t>VÄRMLANDS LÄN</t>
        </is>
      </c>
      <c r="E1544" t="inlineStr">
        <is>
          <t>ÅRJÄNG</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36997-2024</t>
        </is>
      </c>
      <c r="B1545" s="1" t="n">
        <v>45539</v>
      </c>
      <c r="C1545" s="1" t="n">
        <v>45574</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37026-2024</t>
        </is>
      </c>
      <c r="B1546" s="1" t="n">
        <v>45539</v>
      </c>
      <c r="C1546" s="1" t="n">
        <v>45574</v>
      </c>
      <c r="D1546" t="inlineStr">
        <is>
          <t>VÄRMLANDS LÄN</t>
        </is>
      </c>
      <c r="E1546" t="inlineStr">
        <is>
          <t>ÅRJÄNG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37222-2024</t>
        </is>
      </c>
      <c r="B1547" s="1" t="n">
        <v>45539</v>
      </c>
      <c r="C1547" s="1" t="n">
        <v>45574</v>
      </c>
      <c r="D1547" t="inlineStr">
        <is>
          <t>VÄRMLANDS LÄN</t>
        </is>
      </c>
      <c r="E1547" t="inlineStr">
        <is>
          <t>ÅRJÄNG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37336-2024</t>
        </is>
      </c>
      <c r="B1548" s="1" t="n">
        <v>45540</v>
      </c>
      <c r="C1548" s="1" t="n">
        <v>45574</v>
      </c>
      <c r="D1548" t="inlineStr">
        <is>
          <t>VÄRMLANDS LÄN</t>
        </is>
      </c>
      <c r="E1548" t="inlineStr">
        <is>
          <t>ÅRJÄNG</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37353-2024</t>
        </is>
      </c>
      <c r="B1549" s="1" t="n">
        <v>45540</v>
      </c>
      <c r="C1549" s="1" t="n">
        <v>45574</v>
      </c>
      <c r="D1549" t="inlineStr">
        <is>
          <t>VÄRMLANDS LÄN</t>
        </is>
      </c>
      <c r="E1549" t="inlineStr">
        <is>
          <t>ÅRJÄNG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37330-2024</t>
        </is>
      </c>
      <c r="B1550" s="1" t="n">
        <v>45540</v>
      </c>
      <c r="C1550" s="1" t="n">
        <v>45574</v>
      </c>
      <c r="D1550" t="inlineStr">
        <is>
          <t>VÄRMLANDS LÄN</t>
        </is>
      </c>
      <c r="E1550" t="inlineStr">
        <is>
          <t>ÅRJÄNG</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37356-2024</t>
        </is>
      </c>
      <c r="B1551" s="1" t="n">
        <v>45540</v>
      </c>
      <c r="C1551" s="1" t="n">
        <v>45574</v>
      </c>
      <c r="D1551" t="inlineStr">
        <is>
          <t>VÄRMLANDS LÄN</t>
        </is>
      </c>
      <c r="E1551" t="inlineStr">
        <is>
          <t>ÅRJÄNG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37325-2024</t>
        </is>
      </c>
      <c r="B1552" s="1" t="n">
        <v>45540</v>
      </c>
      <c r="C1552" s="1" t="n">
        <v>45574</v>
      </c>
      <c r="D1552" t="inlineStr">
        <is>
          <t>VÄRMLANDS LÄN</t>
        </is>
      </c>
      <c r="E1552" t="inlineStr">
        <is>
          <t>ÅRJÄNG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37347-2024</t>
        </is>
      </c>
      <c r="B1553" s="1" t="n">
        <v>45540</v>
      </c>
      <c r="C1553" s="1" t="n">
        <v>45574</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37362-2024</t>
        </is>
      </c>
      <c r="B1554" s="1" t="n">
        <v>45540</v>
      </c>
      <c r="C1554" s="1" t="n">
        <v>45574</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37382-2024</t>
        </is>
      </c>
      <c r="B1555" s="1" t="n">
        <v>45540</v>
      </c>
      <c r="C1555" s="1" t="n">
        <v>45574</v>
      </c>
      <c r="D1555" t="inlineStr">
        <is>
          <t>VÄRMLANDS LÄN</t>
        </is>
      </c>
      <c r="E1555" t="inlineStr">
        <is>
          <t>ÅRJÄNG</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38024-2024</t>
        </is>
      </c>
      <c r="B1556" s="1" t="n">
        <v>45544</v>
      </c>
      <c r="C1556" s="1" t="n">
        <v>45574</v>
      </c>
      <c r="D1556" t="inlineStr">
        <is>
          <t>VÄRMLANDS LÄN</t>
        </is>
      </c>
      <c r="E1556" t="inlineStr">
        <is>
          <t>ÅRJÄNG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38066-2024</t>
        </is>
      </c>
      <c r="B1557" s="1" t="n">
        <v>45544</v>
      </c>
      <c r="C1557" s="1" t="n">
        <v>45574</v>
      </c>
      <c r="D1557" t="inlineStr">
        <is>
          <t>VÄRMLANDS LÄN</t>
        </is>
      </c>
      <c r="E1557" t="inlineStr">
        <is>
          <t>ÅRJÄNG</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38057-2024</t>
        </is>
      </c>
      <c r="B1558" s="1" t="n">
        <v>45544</v>
      </c>
      <c r="C1558" s="1" t="n">
        <v>45574</v>
      </c>
      <c r="D1558" t="inlineStr">
        <is>
          <t>VÄRMLANDS LÄN</t>
        </is>
      </c>
      <c r="E1558" t="inlineStr">
        <is>
          <t>ÅRJÄNG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38065-2024</t>
        </is>
      </c>
      <c r="B1559" s="1" t="n">
        <v>45544</v>
      </c>
      <c r="C1559" s="1" t="n">
        <v>45574</v>
      </c>
      <c r="D1559" t="inlineStr">
        <is>
          <t>VÄRMLANDS LÄN</t>
        </is>
      </c>
      <c r="E1559" t="inlineStr">
        <is>
          <t>ÅRJÄNG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38425-2024</t>
        </is>
      </c>
      <c r="B1560" s="1" t="n">
        <v>45546</v>
      </c>
      <c r="C1560" s="1" t="n">
        <v>45574</v>
      </c>
      <c r="D1560" t="inlineStr">
        <is>
          <t>VÄRMLANDS LÄN</t>
        </is>
      </c>
      <c r="E1560" t="inlineStr">
        <is>
          <t>ÅRJÄNG</t>
        </is>
      </c>
      <c r="F1560" t="inlineStr">
        <is>
          <t>Bergvik skog väst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38433-2024</t>
        </is>
      </c>
      <c r="B1561" s="1" t="n">
        <v>45546</v>
      </c>
      <c r="C1561" s="1" t="n">
        <v>45574</v>
      </c>
      <c r="D1561" t="inlineStr">
        <is>
          <t>VÄRMLANDS LÄN</t>
        </is>
      </c>
      <c r="E1561" t="inlineStr">
        <is>
          <t>ÅRJÄNG</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38465-2024</t>
        </is>
      </c>
      <c r="B1562" s="1" t="n">
        <v>45546</v>
      </c>
      <c r="C1562" s="1" t="n">
        <v>45574</v>
      </c>
      <c r="D1562" t="inlineStr">
        <is>
          <t>VÄRMLANDS LÄN</t>
        </is>
      </c>
      <c r="E1562" t="inlineStr">
        <is>
          <t>ÅRJÄNG</t>
        </is>
      </c>
      <c r="F1562" t="inlineStr">
        <is>
          <t>Bergvik skog väst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38482-2024</t>
        </is>
      </c>
      <c r="B1563" s="1" t="n">
        <v>45546</v>
      </c>
      <c r="C1563" s="1" t="n">
        <v>45574</v>
      </c>
      <c r="D1563" t="inlineStr">
        <is>
          <t>VÄRMLANDS LÄN</t>
        </is>
      </c>
      <c r="E1563" t="inlineStr">
        <is>
          <t>ÅRJÄNG</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38489-2024</t>
        </is>
      </c>
      <c r="B1564" s="1" t="n">
        <v>45546</v>
      </c>
      <c r="C1564" s="1" t="n">
        <v>45574</v>
      </c>
      <c r="D1564" t="inlineStr">
        <is>
          <t>VÄRMLANDS LÄN</t>
        </is>
      </c>
      <c r="E1564" t="inlineStr">
        <is>
          <t>ÅRJÄNG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38536-2024</t>
        </is>
      </c>
      <c r="B1565" s="1" t="n">
        <v>45546</v>
      </c>
      <c r="C1565" s="1" t="n">
        <v>45574</v>
      </c>
      <c r="D1565" t="inlineStr">
        <is>
          <t>VÄRMLANDS LÄN</t>
        </is>
      </c>
      <c r="E1565" t="inlineStr">
        <is>
          <t>ÅRJÄNG</t>
        </is>
      </c>
      <c r="F1565" t="inlineStr">
        <is>
          <t>Bergvik skog väst AB</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38538-2024</t>
        </is>
      </c>
      <c r="B1566" s="1" t="n">
        <v>45546</v>
      </c>
      <c r="C1566" s="1" t="n">
        <v>45574</v>
      </c>
      <c r="D1566" t="inlineStr">
        <is>
          <t>VÄRMLANDS LÄN</t>
        </is>
      </c>
      <c r="E1566" t="inlineStr">
        <is>
          <t>ÅRJÄNG</t>
        </is>
      </c>
      <c r="F1566" t="inlineStr">
        <is>
          <t>Bergvik skog väst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38533-2024</t>
        </is>
      </c>
      <c r="B1567" s="1" t="n">
        <v>45546</v>
      </c>
      <c r="C1567" s="1" t="n">
        <v>45574</v>
      </c>
      <c r="D1567" t="inlineStr">
        <is>
          <t>VÄRMLANDS LÄN</t>
        </is>
      </c>
      <c r="E1567" t="inlineStr">
        <is>
          <t>ÅRJÄNG</t>
        </is>
      </c>
      <c r="F1567" t="inlineStr">
        <is>
          <t>Bergvik skog väst AB</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38537-2024</t>
        </is>
      </c>
      <c r="B1568" s="1" t="n">
        <v>45546</v>
      </c>
      <c r="C1568" s="1" t="n">
        <v>45574</v>
      </c>
      <c r="D1568" t="inlineStr">
        <is>
          <t>VÄRMLANDS LÄN</t>
        </is>
      </c>
      <c r="E1568" t="inlineStr">
        <is>
          <t>ÅRJÄNG</t>
        </is>
      </c>
      <c r="F1568" t="inlineStr">
        <is>
          <t>Bergvik skog väst AB</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39027-2024</t>
        </is>
      </c>
      <c r="B1569" s="1" t="n">
        <v>45548</v>
      </c>
      <c r="C1569" s="1" t="n">
        <v>45574</v>
      </c>
      <c r="D1569" t="inlineStr">
        <is>
          <t>VÄRMLANDS LÄN</t>
        </is>
      </c>
      <c r="E1569" t="inlineStr">
        <is>
          <t>ÅRJÄNG</t>
        </is>
      </c>
      <c r="F1569" t="inlineStr">
        <is>
          <t>Kyrkan</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39187-2024</t>
        </is>
      </c>
      <c r="B1570" s="1" t="n">
        <v>45548</v>
      </c>
      <c r="C1570" s="1" t="n">
        <v>45574</v>
      </c>
      <c r="D1570" t="inlineStr">
        <is>
          <t>VÄRMLANDS LÄN</t>
        </is>
      </c>
      <c r="E1570" t="inlineStr">
        <is>
          <t>ÅRJÄNG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39156-2024</t>
        </is>
      </c>
      <c r="B1571" s="1" t="n">
        <v>45548</v>
      </c>
      <c r="C1571" s="1" t="n">
        <v>45574</v>
      </c>
      <c r="D1571" t="inlineStr">
        <is>
          <t>VÄRMLANDS LÄN</t>
        </is>
      </c>
      <c r="E1571" t="inlineStr">
        <is>
          <t>ÅRJÄNG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39205-2024</t>
        </is>
      </c>
      <c r="B1572" s="1" t="n">
        <v>45548</v>
      </c>
      <c r="C1572" s="1" t="n">
        <v>45574</v>
      </c>
      <c r="D1572" t="inlineStr">
        <is>
          <t>VÄRMLANDS LÄN</t>
        </is>
      </c>
      <c r="E1572" t="inlineStr">
        <is>
          <t>ÅRJÄNG</t>
        </is>
      </c>
      <c r="F1572" t="inlineStr">
        <is>
          <t>Övriga Aktiebolag</t>
        </is>
      </c>
      <c r="G1572" t="n">
        <v>16.2</v>
      </c>
      <c r="H1572" t="n">
        <v>0</v>
      </c>
      <c r="I1572" t="n">
        <v>0</v>
      </c>
      <c r="J1572" t="n">
        <v>0</v>
      </c>
      <c r="K1572" t="n">
        <v>0</v>
      </c>
      <c r="L1572" t="n">
        <v>0</v>
      </c>
      <c r="M1572" t="n">
        <v>0</v>
      </c>
      <c r="N1572" t="n">
        <v>0</v>
      </c>
      <c r="O1572" t="n">
        <v>0</v>
      </c>
      <c r="P1572" t="n">
        <v>0</v>
      </c>
      <c r="Q1572" t="n">
        <v>0</v>
      </c>
      <c r="R1572" s="2" t="inlineStr"/>
    </row>
    <row r="1573" ht="15" customHeight="1">
      <c r="A1573" t="inlineStr">
        <is>
          <t>A 39525-2024</t>
        </is>
      </c>
      <c r="B1573" s="1" t="n">
        <v>45551</v>
      </c>
      <c r="C1573" s="1" t="n">
        <v>45574</v>
      </c>
      <c r="D1573" t="inlineStr">
        <is>
          <t>VÄRMLANDS LÄN</t>
        </is>
      </c>
      <c r="E1573" t="inlineStr">
        <is>
          <t>ÅRJÄNG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39905-2024</t>
        </is>
      </c>
      <c r="B1574" s="1" t="n">
        <v>45553</v>
      </c>
      <c r="C1574" s="1" t="n">
        <v>45574</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39923-2024</t>
        </is>
      </c>
      <c r="B1575" s="1" t="n">
        <v>45553</v>
      </c>
      <c r="C1575" s="1" t="n">
        <v>45574</v>
      </c>
      <c r="D1575" t="inlineStr">
        <is>
          <t>VÄRMLANDS LÄN</t>
        </is>
      </c>
      <c r="E1575" t="inlineStr">
        <is>
          <t>ÅRJÄNG</t>
        </is>
      </c>
      <c r="F1575" t="inlineStr">
        <is>
          <t>Bergvik skog väst AB</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39910-2024</t>
        </is>
      </c>
      <c r="B1576" s="1" t="n">
        <v>45553</v>
      </c>
      <c r="C1576" s="1" t="n">
        <v>45574</v>
      </c>
      <c r="D1576" t="inlineStr">
        <is>
          <t>VÄRMLANDS LÄN</t>
        </is>
      </c>
      <c r="E1576" t="inlineStr">
        <is>
          <t>ÅRJÄNG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39898-2024</t>
        </is>
      </c>
      <c r="B1577" s="1" t="n">
        <v>45553</v>
      </c>
      <c r="C1577" s="1" t="n">
        <v>45574</v>
      </c>
      <c r="D1577" t="inlineStr">
        <is>
          <t>VÄRMLANDS LÄN</t>
        </is>
      </c>
      <c r="E1577" t="inlineStr">
        <is>
          <t>ÅRJÄNG</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39973-2024</t>
        </is>
      </c>
      <c r="B1578" s="1" t="n">
        <v>45553</v>
      </c>
      <c r="C1578" s="1" t="n">
        <v>45574</v>
      </c>
      <c r="D1578" t="inlineStr">
        <is>
          <t>VÄRMLANDS LÄN</t>
        </is>
      </c>
      <c r="E1578" t="inlineStr">
        <is>
          <t>ÅRJÄNG</t>
        </is>
      </c>
      <c r="F1578" t="inlineStr">
        <is>
          <t>Bergvik skog väst AB</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39989-2024</t>
        </is>
      </c>
      <c r="B1579" s="1" t="n">
        <v>45553</v>
      </c>
      <c r="C1579" s="1" t="n">
        <v>45574</v>
      </c>
      <c r="D1579" t="inlineStr">
        <is>
          <t>VÄRMLANDS LÄN</t>
        </is>
      </c>
      <c r="E1579" t="inlineStr">
        <is>
          <t>ÅRJÄNG</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40138-2024</t>
        </is>
      </c>
      <c r="B1580" s="1" t="n">
        <v>45554</v>
      </c>
      <c r="C1580" s="1" t="n">
        <v>45574</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45574</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40333-2024</t>
        </is>
      </c>
      <c r="B1582" s="1" t="n">
        <v>45555</v>
      </c>
      <c r="C1582" s="1" t="n">
        <v>45574</v>
      </c>
      <c r="D1582" t="inlineStr">
        <is>
          <t>VÄRMLANDS LÄN</t>
        </is>
      </c>
      <c r="E1582" t="inlineStr">
        <is>
          <t>ÅRJÄNG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40349-2024</t>
        </is>
      </c>
      <c r="B1583" s="1" t="n">
        <v>45555</v>
      </c>
      <c r="C1583" s="1" t="n">
        <v>45574</v>
      </c>
      <c r="D1583" t="inlineStr">
        <is>
          <t>VÄRMLANDS LÄN</t>
        </is>
      </c>
      <c r="E1583" t="inlineStr">
        <is>
          <t>ÅRJÄNG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40330-2024</t>
        </is>
      </c>
      <c r="B1584" s="1" t="n">
        <v>45555</v>
      </c>
      <c r="C1584" s="1" t="n">
        <v>45574</v>
      </c>
      <c r="D1584" t="inlineStr">
        <is>
          <t>VÄRMLANDS LÄN</t>
        </is>
      </c>
      <c r="E1584" t="inlineStr">
        <is>
          <t>ÅRJÄNG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40346-2024</t>
        </is>
      </c>
      <c r="B1585" s="1" t="n">
        <v>45555</v>
      </c>
      <c r="C1585" s="1" t="n">
        <v>45574</v>
      </c>
      <c r="D1585" t="inlineStr">
        <is>
          <t>VÄRMLANDS LÄN</t>
        </is>
      </c>
      <c r="E1585" t="inlineStr">
        <is>
          <t>ÅRJÄNG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40360-2024</t>
        </is>
      </c>
      <c r="B1586" s="1" t="n">
        <v>45555</v>
      </c>
      <c r="C1586" s="1" t="n">
        <v>45574</v>
      </c>
      <c r="D1586" t="inlineStr">
        <is>
          <t>VÄRMLANDS LÄN</t>
        </is>
      </c>
      <c r="E1586" t="inlineStr">
        <is>
          <t>ÅRJÄNG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40628-2024</t>
        </is>
      </c>
      <c r="B1587" s="1" t="n">
        <v>45557</v>
      </c>
      <c r="C1587" s="1" t="n">
        <v>45574</v>
      </c>
      <c r="D1587" t="inlineStr">
        <is>
          <t>VÄRMLANDS LÄN</t>
        </is>
      </c>
      <c r="E1587" t="inlineStr">
        <is>
          <t>ÅRJÄNG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40644-2024</t>
        </is>
      </c>
      <c r="B1588" s="1" t="n">
        <v>45557</v>
      </c>
      <c r="C1588" s="1" t="n">
        <v>45574</v>
      </c>
      <c r="D1588" t="inlineStr">
        <is>
          <t>VÄRMLANDS LÄN</t>
        </is>
      </c>
      <c r="E1588" t="inlineStr">
        <is>
          <t>ÅRJÄNG</t>
        </is>
      </c>
      <c r="F1588" t="inlineStr">
        <is>
          <t>Övriga Aktiebolag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40685-2024</t>
        </is>
      </c>
      <c r="B1589" s="1" t="n">
        <v>45558</v>
      </c>
      <c r="C1589" s="1" t="n">
        <v>45574</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41206-2024</t>
        </is>
      </c>
      <c r="B1590" s="1" t="n">
        <v>45559</v>
      </c>
      <c r="C1590" s="1" t="n">
        <v>45574</v>
      </c>
      <c r="D1590" t="inlineStr">
        <is>
          <t>VÄRMLANDS LÄN</t>
        </is>
      </c>
      <c r="E1590" t="inlineStr">
        <is>
          <t>ÅRJÄNG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41193-2024</t>
        </is>
      </c>
      <c r="B1591" s="1" t="n">
        <v>45559</v>
      </c>
      <c r="C1591" s="1" t="n">
        <v>45574</v>
      </c>
      <c r="D1591" t="inlineStr">
        <is>
          <t>VÄRMLANDS LÄN</t>
        </is>
      </c>
      <c r="E1591" t="inlineStr">
        <is>
          <t>ÅRJÄNG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41201-2024</t>
        </is>
      </c>
      <c r="B1592" s="1" t="n">
        <v>45559</v>
      </c>
      <c r="C1592" s="1" t="n">
        <v>45574</v>
      </c>
      <c r="D1592" t="inlineStr">
        <is>
          <t>VÄRMLANDS LÄN</t>
        </is>
      </c>
      <c r="E1592" t="inlineStr">
        <is>
          <t>ÅRJÄNG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41205-2024</t>
        </is>
      </c>
      <c r="B1593" s="1" t="n">
        <v>45559</v>
      </c>
      <c r="C1593" s="1" t="n">
        <v>45574</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42045-2024</t>
        </is>
      </c>
      <c r="B1594" s="1" t="n">
        <v>45561</v>
      </c>
      <c r="C1594" s="1" t="n">
        <v>45574</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42141-2024</t>
        </is>
      </c>
      <c r="B1595" s="1" t="n">
        <v>45562</v>
      </c>
      <c r="C1595" s="1" t="n">
        <v>45574</v>
      </c>
      <c r="D1595" t="inlineStr">
        <is>
          <t>VÄRMLANDS LÄN</t>
        </is>
      </c>
      <c r="E1595" t="inlineStr">
        <is>
          <t>ÅRJÄNG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42149-2024</t>
        </is>
      </c>
      <c r="B1596" s="1" t="n">
        <v>45562</v>
      </c>
      <c r="C1596" s="1" t="n">
        <v>45574</v>
      </c>
      <c r="D1596" t="inlineStr">
        <is>
          <t>VÄRMLANDS LÄN</t>
        </is>
      </c>
      <c r="E1596" t="inlineStr">
        <is>
          <t>ÅRJÄNG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42222-2024</t>
        </is>
      </c>
      <c r="B1597" s="1" t="n">
        <v>45562</v>
      </c>
      <c r="C1597" s="1" t="n">
        <v>45574</v>
      </c>
      <c r="D1597" t="inlineStr">
        <is>
          <t>VÄRMLANDS LÄN</t>
        </is>
      </c>
      <c r="E1597" t="inlineStr">
        <is>
          <t>ÅRJÄNG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42226-2024</t>
        </is>
      </c>
      <c r="B1598" s="1" t="n">
        <v>45562</v>
      </c>
      <c r="C1598" s="1" t="n">
        <v>45574</v>
      </c>
      <c r="D1598" t="inlineStr">
        <is>
          <t>VÄRMLANDS LÄN</t>
        </is>
      </c>
      <c r="E1598" t="inlineStr">
        <is>
          <t>ÅRJÄNG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42230-2024</t>
        </is>
      </c>
      <c r="B1599" s="1" t="n">
        <v>45562</v>
      </c>
      <c r="C1599" s="1" t="n">
        <v>45574</v>
      </c>
      <c r="D1599" t="inlineStr">
        <is>
          <t>VÄRMLANDS LÄN</t>
        </is>
      </c>
      <c r="E1599" t="inlineStr">
        <is>
          <t>ÅRJÄNG</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42229-2024</t>
        </is>
      </c>
      <c r="B1600" s="1" t="n">
        <v>45562</v>
      </c>
      <c r="C1600" s="1" t="n">
        <v>45574</v>
      </c>
      <c r="D1600" t="inlineStr">
        <is>
          <t>VÄRMLANDS LÄN</t>
        </is>
      </c>
      <c r="E1600" t="inlineStr">
        <is>
          <t>ÅRJÄNG</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42233-2024</t>
        </is>
      </c>
      <c r="B1601" s="1" t="n">
        <v>45562</v>
      </c>
      <c r="C1601" s="1" t="n">
        <v>45574</v>
      </c>
      <c r="D1601" t="inlineStr">
        <is>
          <t>VÄRMLANDS LÄN</t>
        </is>
      </c>
      <c r="E1601" t="inlineStr">
        <is>
          <t>ÅRJÄNG</t>
        </is>
      </c>
      <c r="G1601" t="n">
        <v>9.800000000000001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42241-2024</t>
        </is>
      </c>
      <c r="B1602" s="1" t="n">
        <v>45562</v>
      </c>
      <c r="C1602" s="1" t="n">
        <v>45574</v>
      </c>
      <c r="D1602" t="inlineStr">
        <is>
          <t>VÄRMLANDS LÄN</t>
        </is>
      </c>
      <c r="E1602" t="inlineStr">
        <is>
          <t>ÅRJÄNG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42236-2024</t>
        </is>
      </c>
      <c r="B1603" s="1" t="n">
        <v>45562</v>
      </c>
      <c r="C1603" s="1" t="n">
        <v>45574</v>
      </c>
      <c r="D1603" t="inlineStr">
        <is>
          <t>VÄRMLANDS LÄN</t>
        </is>
      </c>
      <c r="E1603" t="inlineStr">
        <is>
          <t>ÅRJÄNG</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42455-2024</t>
        </is>
      </c>
      <c r="B1604" s="1" t="n">
        <v>45565</v>
      </c>
      <c r="C1604" s="1" t="n">
        <v>45574</v>
      </c>
      <c r="D1604" t="inlineStr">
        <is>
          <t>VÄRMLANDS LÄN</t>
        </is>
      </c>
      <c r="E1604" t="inlineStr">
        <is>
          <t>ÅRJÄNG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42471-2024</t>
        </is>
      </c>
      <c r="B1605" s="1" t="n">
        <v>45565</v>
      </c>
      <c r="C1605" s="1" t="n">
        <v>45574</v>
      </c>
      <c r="D1605" t="inlineStr">
        <is>
          <t>VÄRMLANDS LÄN</t>
        </is>
      </c>
      <c r="E1605" t="inlineStr">
        <is>
          <t>ÅRJÄNG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42606-2024</t>
        </is>
      </c>
      <c r="B1606" s="1" t="n">
        <v>45565</v>
      </c>
      <c r="C1606" s="1" t="n">
        <v>45574</v>
      </c>
      <c r="D1606" t="inlineStr">
        <is>
          <t>VÄRMLANDS LÄN</t>
        </is>
      </c>
      <c r="E1606" t="inlineStr">
        <is>
          <t>ÅRJÄNG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45574</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42531-2024</t>
        </is>
      </c>
      <c r="B1608" s="1" t="n">
        <v>45565</v>
      </c>
      <c r="C1608" s="1" t="n">
        <v>45574</v>
      </c>
      <c r="D1608" t="inlineStr">
        <is>
          <t>VÄRMLANDS LÄN</t>
        </is>
      </c>
      <c r="E1608" t="inlineStr">
        <is>
          <t>ÅRJÄNG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42783-2024</t>
        </is>
      </c>
      <c r="B1609" s="1" t="n">
        <v>45566</v>
      </c>
      <c r="C1609" s="1" t="n">
        <v>45574</v>
      </c>
      <c r="D1609" t="inlineStr">
        <is>
          <t>VÄRMLANDS LÄN</t>
        </is>
      </c>
      <c r="E1609" t="inlineStr">
        <is>
          <t>ÅRJÄNG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43107-2024</t>
        </is>
      </c>
      <c r="B1610" s="1" t="n">
        <v>45567</v>
      </c>
      <c r="C1610" s="1" t="n">
        <v>45574</v>
      </c>
      <c r="D1610" t="inlineStr">
        <is>
          <t>VÄRMLANDS LÄN</t>
        </is>
      </c>
      <c r="E1610" t="inlineStr">
        <is>
          <t>ÅRJÄNG</t>
        </is>
      </c>
      <c r="G1610" t="n">
        <v>16.2</v>
      </c>
      <c r="H1610" t="n">
        <v>0</v>
      </c>
      <c r="I1610" t="n">
        <v>0</v>
      </c>
      <c r="J1610" t="n">
        <v>0</v>
      </c>
      <c r="K1610" t="n">
        <v>0</v>
      </c>
      <c r="L1610" t="n">
        <v>0</v>
      </c>
      <c r="M1610" t="n">
        <v>0</v>
      </c>
      <c r="N1610" t="n">
        <v>0</v>
      </c>
      <c r="O1610" t="n">
        <v>0</v>
      </c>
      <c r="P1610" t="n">
        <v>0</v>
      </c>
      <c r="Q1610" t="n">
        <v>0</v>
      </c>
      <c r="R1610" s="2" t="inlineStr"/>
    </row>
    <row r="1611" ht="15" customHeight="1">
      <c r="A1611" t="inlineStr">
        <is>
          <t>A 43284-2024</t>
        </is>
      </c>
      <c r="B1611" s="1" t="n">
        <v>45568</v>
      </c>
      <c r="C1611" s="1" t="n">
        <v>45574</v>
      </c>
      <c r="D1611" t="inlineStr">
        <is>
          <t>VÄRMLANDS LÄN</t>
        </is>
      </c>
      <c r="E1611" t="inlineStr">
        <is>
          <t>ÅRJÄNG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43319-2024</t>
        </is>
      </c>
      <c r="B1612" s="1" t="n">
        <v>45568</v>
      </c>
      <c r="C1612" s="1" t="n">
        <v>45574</v>
      </c>
      <c r="D1612" t="inlineStr">
        <is>
          <t>VÄRMLANDS LÄN</t>
        </is>
      </c>
      <c r="E1612" t="inlineStr">
        <is>
          <t>ÅRJÄNG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43517-2024</t>
        </is>
      </c>
      <c r="B1613" s="1" t="n">
        <v>45569</v>
      </c>
      <c r="C1613" s="1" t="n">
        <v>45574</v>
      </c>
      <c r="D1613" t="inlineStr">
        <is>
          <t>VÄRMLANDS LÄN</t>
        </is>
      </c>
      <c r="E1613" t="inlineStr">
        <is>
          <t>ÅRJÄNG</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43659-2024</t>
        </is>
      </c>
      <c r="B1614" s="1" t="n">
        <v>45569</v>
      </c>
      <c r="C1614" s="1" t="n">
        <v>45574</v>
      </c>
      <c r="D1614" t="inlineStr">
        <is>
          <t>VÄRMLANDS LÄN</t>
        </is>
      </c>
      <c r="E1614" t="inlineStr">
        <is>
          <t>ÅRJÄNG</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43650-2024</t>
        </is>
      </c>
      <c r="B1615" s="1" t="n">
        <v>45569</v>
      </c>
      <c r="C1615" s="1" t="n">
        <v>45574</v>
      </c>
      <c r="D1615" t="inlineStr">
        <is>
          <t>VÄRMLANDS LÄN</t>
        </is>
      </c>
      <c r="E1615" t="inlineStr">
        <is>
          <t>ÅRJÄNG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43794-2024</t>
        </is>
      </c>
      <c r="B1616" s="1" t="n">
        <v>45571</v>
      </c>
      <c r="C1616" s="1" t="n">
        <v>45574</v>
      </c>
      <c r="D1616" t="inlineStr">
        <is>
          <t>VÄRMLANDS LÄN</t>
        </is>
      </c>
      <c r="E1616" t="inlineStr">
        <is>
          <t>ÅRJÄNG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44140-2024</t>
        </is>
      </c>
      <c r="B1617" s="1" t="n">
        <v>45572</v>
      </c>
      <c r="C1617" s="1" t="n">
        <v>45574</v>
      </c>
      <c r="D1617" t="inlineStr">
        <is>
          <t>VÄRMLANDS LÄN</t>
        </is>
      </c>
      <c r="E1617" t="inlineStr">
        <is>
          <t>ÅRJÄNG</t>
        </is>
      </c>
      <c r="G1617" t="n">
        <v>0.7</v>
      </c>
      <c r="H1617" t="n">
        <v>0</v>
      </c>
      <c r="I1617" t="n">
        <v>0</v>
      </c>
      <c r="J1617" t="n">
        <v>0</v>
      </c>
      <c r="K1617" t="n">
        <v>0</v>
      </c>
      <c r="L1617" t="n">
        <v>0</v>
      </c>
      <c r="M1617" t="n">
        <v>0</v>
      </c>
      <c r="N1617" t="n">
        <v>0</v>
      </c>
      <c r="O1617" t="n">
        <v>0</v>
      </c>
      <c r="P1617" t="n">
        <v>0</v>
      </c>
      <c r="Q1617" t="n">
        <v>0</v>
      </c>
      <c r="R1617" s="2" t="inlineStr"/>
    </row>
    <row r="1618">
      <c r="A1618" t="inlineStr">
        <is>
          <t>A 44212-2024</t>
        </is>
      </c>
      <c r="B1618" s="1" t="n">
        <v>45573</v>
      </c>
      <c r="C1618" s="1" t="n">
        <v>45574</v>
      </c>
      <c r="D1618" t="inlineStr">
        <is>
          <t>VÄRMLANDS LÄN</t>
        </is>
      </c>
      <c r="E1618" t="inlineStr">
        <is>
          <t>ÅRJÄNG</t>
        </is>
      </c>
      <c r="G1618" t="n">
        <v>1.1</v>
      </c>
      <c r="H1618" t="n">
        <v>0</v>
      </c>
      <c r="I1618" t="n">
        <v>0</v>
      </c>
      <c r="J1618" t="n">
        <v>0</v>
      </c>
      <c r="K1618" t="n">
        <v>0</v>
      </c>
      <c r="L1618" t="n">
        <v>0</v>
      </c>
      <c r="M1618" t="n">
        <v>0</v>
      </c>
      <c r="N1618" t="n">
        <v>0</v>
      </c>
      <c r="O1618" t="n">
        <v>0</v>
      </c>
      <c r="P1618" t="n">
        <v>0</v>
      </c>
      <c r="Q1618" t="n">
        <v>0</v>
      </c>
      <c r="R1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2024-10-09T12:39:20Z</dcterms:created>
  <dcterms:modified xmlns:dcterms="http://purl.org/dc/terms/" xmlns:xsi="http://www.w3.org/2001/XMLSchema-instance" xsi:type="dcterms:W3CDTF">2024-10-09T12:39:21Z</dcterms:modified>
</cp:coreProperties>
</file>