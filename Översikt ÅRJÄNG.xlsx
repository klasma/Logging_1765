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45744</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HYPERLINK("https://klasma.github.io/Logging_1765/artfynd/A 14898-2025 artfynd.xlsx", "A 14898-2025")</f>
        <v/>
      </c>
      <c r="T78">
        <f>HYPERLINK("https://klasma.github.io/Logging_1765/kartor/A 14898-2025 karta.png", "A 14898-2025")</f>
        <v/>
      </c>
      <c r="V78">
        <f>HYPERLINK("https://klasma.github.io/Logging_1765/klagomål/A 14898-2025 FSC-klagomål.docx", "A 14898-2025")</f>
        <v/>
      </c>
      <c r="W78">
        <f>HYPERLINK("https://klasma.github.io/Logging_1765/klagomålsmail/A 14898-2025 FSC-klagomål mail.docx", "A 14898-2025")</f>
        <v/>
      </c>
      <c r="X78">
        <f>HYPERLINK("https://klasma.github.io/Logging_1765/tillsyn/A 14898-2025 tillsynsbegäran.docx", "A 14898-2025")</f>
        <v/>
      </c>
      <c r="Y78">
        <f>HYPERLINK("https://klasma.github.io/Logging_1765/tillsynsmail/A 14898-2025 tillsynsbegäran mail.docx", "A 14898-2025")</f>
        <v/>
      </c>
    </row>
    <row r="79" ht="15" customHeight="1">
      <c r="A79" t="inlineStr">
        <is>
          <t>A 17652-2019</t>
        </is>
      </c>
      <c r="B79" s="1" t="n">
        <v>43556</v>
      </c>
      <c r="C79" s="1" t="n">
        <v>45744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45744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45744</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45744</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45744</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45744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45744</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45744</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45744</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45744</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45744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45744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45744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45744</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45744</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45744</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45744</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45744</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45744</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45744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45744</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45744</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45744</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45744</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45744</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45744</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45744</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45744</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45744</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45744</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45744</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45744</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45744</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45744</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45744</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45744</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45744</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45744</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45744</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45744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45744</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45744</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45744</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45744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45744</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45744</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45744</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45744</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45744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45744</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45744</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45744</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45744</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45744</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45744</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45744</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45744</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45744</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45744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45744</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45744</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45744</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45744</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45744</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45744</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45744</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45744</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45744</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45744</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45744</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45744</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45744</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45744</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45744</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45744</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45744</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45744</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45744</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45744</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45744</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45744</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45744</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45744</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45744</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45744</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45744</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45744</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45744</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45744</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45744</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45744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45744</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45744</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45744</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45744</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45744</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45744</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45744</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45744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45744</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45744</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45744</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45744</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45744</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45744</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45744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45744</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45744</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45744</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45744</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45744</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45744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45744</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45744</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45744</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45744</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45744</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45744</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45744</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45744</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45744</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45744</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45744</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45744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45744</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45744</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45744</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45744</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45744</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45744</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45744</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45744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45744</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45744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45744</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45744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45744</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45744</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45744</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45744</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45744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45744</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45744</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45744</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45744</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45744</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45744</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45744</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45744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45744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45744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45744</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45744</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45744</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45744</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45744</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45744</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45744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45744</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45744</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45744</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45744</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45744</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45744</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45744</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45744</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45744</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45744</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45744</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45744</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45744</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45744</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45744</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45744</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45744</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45744</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45744</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45744</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45744</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45744</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45744</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45744</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45744</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45744</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45744</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45744</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45744</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45744</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45744</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45744</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45744</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45744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45744</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45744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45744</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45744</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45744</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45744</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45744</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45744</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45744</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45744</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45744</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45744</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45744</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45744</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45744</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45744</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45744</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45744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45744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45744</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45744</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45744</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45744</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45744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45744</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45744</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45744</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45744</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45744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45744</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45744</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45744</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45744</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45744</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45744</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45744</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45744</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45744</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45744</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45744</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45744</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45744</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45744</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45744</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45744</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45744</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45744</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45744</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45744</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45744</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45744</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45744</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45744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45744</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45744</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45744</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45744</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45744</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45744</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45744</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45744</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45744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45744</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45744</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45744</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45744</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45744</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45744</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45744</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45744</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45744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45744</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45744</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45744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45744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45744</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45744</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45744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45744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45744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45744</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45744</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45744</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45744</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45744</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45744</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45744</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45744</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45744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45744</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45744</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45744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45744</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45744</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45744</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45744</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45744</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45744</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45744</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45744</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45744</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45744</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45744</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45744</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45744</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45744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45744</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45744</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45744</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45744</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45744</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45744</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45744</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45744</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45744</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45744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45744</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45744</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45744</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45744</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45744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45744</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45744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45744</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45744</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45744</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45744</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45744</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45744</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45744</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45744</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45744</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45744</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45744</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45744</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45744</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45744</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45744</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45744</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45744</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45744</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45744</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45744</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45744</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45744</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45744</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45744</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45744</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45744</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45744</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45744</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45744</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45744</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45744</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45744</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45744</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45744</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45744</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45744</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45744</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45744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45744</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45744</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45744</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45744</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45744</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45744</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45744</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45744</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45744</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45744</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45744</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45744</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45744</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45744</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45744</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45744</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45744</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45744</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45744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45744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45744</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45744</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45744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45744</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45744</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45744</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45744</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45744</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45744</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45744</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45744</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45744</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45744</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45744</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45744</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45744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45744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45744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45744</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45744</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45744</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45744</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45744</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45744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45744</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45744</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45744</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45744</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45744</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45744</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45744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45744</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45744</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45744</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45744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45744</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45744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45744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45744</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45744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45744</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45744</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45744</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45744</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45744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45744</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45744</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45744</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45744</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45744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45744</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45744</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45744</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45744</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45744</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45744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45744</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45744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45744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45744</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45744</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45744</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45744</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45744</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45744</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45744</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45744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45744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45744</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45744</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45744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45744</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45744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45744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45744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45744</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45744</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45744</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45744</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45744</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45744</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45744</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45744</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45744</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45744</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45744</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45744</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45744</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45744</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45744</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45744</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45744</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45744</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45744</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45744</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45744</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45744</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45744</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45744</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45744</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45744</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45744</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45744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45744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45744</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45744</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45744</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45744</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45744</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45744</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45744</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45744</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45744</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45744</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45744</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45744</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45744</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45744</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45744</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45744</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45744</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45744</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45744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45744</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45744</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45744</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45744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45744</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45744</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45744</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45744</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45744</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45744</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45744</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45744</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45744</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45744</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45744</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45744</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45744</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45744</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45744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45744</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45744</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45744</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45744</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45744</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45744</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45744</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45744</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45744</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45744</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45744</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45744</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45744</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45744</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45744</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45744</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45744</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45744</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45744</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45744</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45744</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45744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45744</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45744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45744</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45744</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45744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45744</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45744</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45744</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45744</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45744</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45744</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45744</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45744</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45744</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45744</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45744</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45744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45744</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45744</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45744</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45744</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45744</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45744</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45744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45744</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45744</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45744</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45744</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45744</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45744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45744</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45744</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45744</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45744</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45744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45744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45744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45744</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45744</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45744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45744</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45744</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45744</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45744</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45744</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45744</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45744</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45744</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45744</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45744</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45744</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45744</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45744</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45744</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45744</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45744</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45744</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45744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45744</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45744</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45744</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45744</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45744</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45744</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45744</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45744</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45744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45744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45744</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45744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45744</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45744</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45744</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45744</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45744</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45744</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45744</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45744</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45744</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45744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45744</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45744</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45744</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45744</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45744</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45744</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45744</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45744</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45744</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45744</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45744</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45744</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45744</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45744</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45744</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45744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45744</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45744</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45744</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45744</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45744</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45744</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45744</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45744</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45744</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45744</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45744</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45744</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45744</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45744</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45744</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45744</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45744</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45744</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45744</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45744</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45744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45744</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45744</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45744</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45744</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45744</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45744</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45744</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45744</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45744</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45744</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45744</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45744</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45744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45744</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45744</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45744</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45744</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45744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45744</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45744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45744</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45744</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45744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45744</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45744</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45744</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45744</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45744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45744</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45744</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45744</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45744</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45744</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45744</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45744</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45744</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45744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45744</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45744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45744</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45744</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45744</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45744</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45744</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45744</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45744</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45744</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45744</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45744</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45744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45744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45744</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45744</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45744</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45744</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45744</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45744</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45744</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45744</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45744</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45744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45744</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45744</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45744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45744</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45744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45744</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45744</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45744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45744</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45744</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45744</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45744</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45744</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45744</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45744</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45744</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45744</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45744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45744</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45744</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45744</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45744</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45744</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45744</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45744</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45744</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45744</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45744</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45744</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45744</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45744</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45744</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45744</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45744</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45744</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45744</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45744</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45744</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45744</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45744</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45744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45744</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45744</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45744</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45744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45744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45744</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45744</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45744</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45744</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45744</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45744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45744</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45744</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45744</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45744</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45744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45744</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45744</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45744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45744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45744</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45744</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45744</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45744</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45744</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45744</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45744</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45744</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45744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45744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45744</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45744</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45744</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45744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45744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45744</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45744</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45744</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45744</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45744</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45744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45744</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45744</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45744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45744</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45744</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45744</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45744</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45744</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45744</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45744</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45744</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45744</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45744</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45744</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45744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45744</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45744</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45744</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45744</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45744</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45744</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45744</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45744</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45744</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45744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45744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45744</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45744</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45744</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45744</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45744</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45744</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45744</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45744</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45744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45744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45744</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45744</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45744</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45744</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45744</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45744</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45744</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45744</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45744</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45744</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45744</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45744</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45744</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45744</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45744</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45744</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45744</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45744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45744</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45744</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45744</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45744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45744</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45744</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45744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45744</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45744</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45744</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45744</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45744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45744</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45744</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45744</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45744</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45744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45744</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45744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45744</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45744</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45744</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45744</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45744</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45744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45744</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45744</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45744</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45744</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45744</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45744</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45744</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45744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45744</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45744</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45744</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45744</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45744</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45744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45744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45744</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45744</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45744</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45744</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45744</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45744</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45744</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45744</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45744</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45744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45744</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45744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45744</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45744</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45744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45744</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45744</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45744</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45744</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45744</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45744</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45744</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45744</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45744</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45744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45744</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45744</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45744</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45744</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45744</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45744</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45744</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45744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45744</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45744</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45744</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45744</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45744</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45744</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45744</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45744</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45744</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45744</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45744</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45744</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45744</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45744</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45744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45744</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45744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45744</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45744</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45744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45744</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45744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45744</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45744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45744</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45744</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45744</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45744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45744</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45744</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45744</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45744</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45744</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45744</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45744</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45744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45744</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45744</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45744</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45744</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45744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45744</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45744</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45744</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45744</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45744</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45744</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45744</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45744</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45744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45744</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45744</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45744</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45744</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45744</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45744</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45744</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45744</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45744</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45744</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45744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45744</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45744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45744</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45744</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45744</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45744</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45744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45744</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45744</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45744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45744</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45744</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45744</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45744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45744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45744</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45744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45744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45744</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45744</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45744</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45744</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45744</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45744</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45744</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45744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45744</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45744</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45744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45744</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45744</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45744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45744</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45744</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45744</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45744</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45744</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45744</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45744</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45744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45744</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45744</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45744</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45744</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45744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45744</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45744</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45744</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45744</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45744</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45744</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45744</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45744</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45744</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45744</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45744</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45744</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45744</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45744</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45744</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45744</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45744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45744</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45744</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45744</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45744</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45744</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45744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45744</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45744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45744</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45744</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45744</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45744</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45744</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45744</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45744</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45744</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45744</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45744</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45744</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45744</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45744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45744</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45744</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45744</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45744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45744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45744</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45744</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45744</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45744</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45744</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45744</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45744</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45744</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45744</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45744</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45744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45744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45744</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45744</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45744</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45744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45744</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45744</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45744</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45744</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45744</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45744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45744</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45744</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45744</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45744</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45744</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45744</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45744</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45744</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45744</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45744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45744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45744</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45744</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45744</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45744</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45744</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45744</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45744</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45744</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45744</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45744</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45744</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45744</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45744</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45744</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45744</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45744</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45744</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45744</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45744</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45744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45744</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45744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45744</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45744</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45744</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45744</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45744</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45744</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45744</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45744</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45744</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45744</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45744</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45744</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45744</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45744</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45744</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45744</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45744</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45744</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45744</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45744</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45744</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45744</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45744</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45744</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45744</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45744</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45744</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45744</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45744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45744</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45744</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45744</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45744</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45744</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45744</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45744</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45744</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45744</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45744</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45744</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45744</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45744</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45744</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45744</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45744</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45744</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45744</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45744</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45744</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45744</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45744</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45744</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45744</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45744</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45744</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45744</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45744</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45744</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45744</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45744</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45744</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45744</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45744</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45744</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45744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45744</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45744</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45744</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45744</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45744</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45744</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45744</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45744</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45744</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45744</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45744</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45744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45744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45744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45744</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45744</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45744</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45744</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45744</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45744</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45744</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45744</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45744</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45744</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45744</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45744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45744</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45744</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45744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45744</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45744</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45744</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45744</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45744</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45744</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45744</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45744</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45744</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45744</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45744</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45744</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45744</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45744</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45744</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45744</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45744</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45744</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45744</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45744</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45744</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45744</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45744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45744</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45744</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45744</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45744</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45744</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45744</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45744</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45744</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45744</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45744</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45744</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45744</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45744</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45744</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45744</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45744</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45744</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45744</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45744</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45744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45744</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45744</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45744</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45744</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45744</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45744</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45744</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45744</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45744</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45744</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45744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45744</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45744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45744</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45744</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45744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45744</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45744</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45744</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45744</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45744</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45744</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45744</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45744</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45744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45744</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45744</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45744</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45744</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45744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45744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45744</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45744</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45744</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45744</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45744</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45744</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45744</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45744</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45744</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45744</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45744</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45744</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45744</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45744</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45744</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45744</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45744</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45744</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45744</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45744</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45744</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45744</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45744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45744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45744</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45744</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45744</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45744</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45744</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45744</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45744</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45744</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45744</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45744</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45744</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45744</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45744</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45744</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45744</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45744</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45744</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45744</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45744</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45744</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45744</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45744</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45744</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45744</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45744</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45744</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45744</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45744</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45744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45744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45744</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45744</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45744</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45744</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45744</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45744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45744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45744</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45744</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45744</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45744</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45744</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45744</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45744</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45744</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45744</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45744</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45744</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45744</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45744</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45744</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45744</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45744</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45744</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45744</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45744</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45744</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45744</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45744</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45744</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45744</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45744</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45744</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45744</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45744</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45744</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45744</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45744</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45744</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45744</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45744</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45744</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45744</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45744</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45744</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45744</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45744</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45744</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45744</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45744</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45744</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45744</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45744</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45744</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45744</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45744</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45744</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45744</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45744</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45744</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45744</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45744</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45744</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45744</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45744</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45744</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45744</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45744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45744</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45744</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45744</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45744</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45744</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45744</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45744</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45744</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45744</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45744</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45744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45744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45744</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45744</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45744</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45744</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45744</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45744</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45744</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45744</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45744</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45744</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45744</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45744</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45744</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45744</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45744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45744</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45744</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45744</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45744</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45744</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45744</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45744</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45744</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45744</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45744</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45744</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45744</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45744</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45744</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45744</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45744</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45744</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45744</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45744</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45744</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45744</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45744</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45744</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45744</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45744</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45744</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45744</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45744</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45744</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45744</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45744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45744</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45744</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45744</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45744</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45744</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45744</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45744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45744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45744</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45744</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45744</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45744</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45744</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45744</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45744</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45744</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45744</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45744</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45744</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45744</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45744</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45744</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45744</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45744</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45744</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45744</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45744</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45744</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45744</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45744</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45744</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45744</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45744</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45744</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45744</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45744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45744</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45744</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45744</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45744</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45744</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45744</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45744</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45744</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45744</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45744</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45744</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45744</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45744</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45744</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45744</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45744</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45744</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45744</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45744</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45744</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45744</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45744</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45744</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45744</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45744</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45744</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45744</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45744</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45744</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45744</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45744</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45744</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45744</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45744</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45744</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45744</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45744</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45744</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45744</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45744</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45744</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45744</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45744</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45744</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45744</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45744</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45744</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45744</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45744</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45744</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45744</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45744</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45744</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45744</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45744</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45744</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45744</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45744</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45744</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45744</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45744</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45744</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45744</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45744</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45744</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45744</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45744</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45744</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45744</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45744</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45744</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45744</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45744</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45744</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45744</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45744</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45744</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45744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45744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45744</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45744</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45744</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45744</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45744</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45744</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45744</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45744</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45744</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45744</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45744</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45744</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45744</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45744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45744</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45744</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45744</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45744</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45744</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45744</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45744</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45744</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45744</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45744</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45744</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45744</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45744</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45744</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45744</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45744</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45744</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45744</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45744</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45744</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45744</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45744</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45744</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45744</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45744</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45744</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45744</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45744</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45744</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45744</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45744</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45744</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45744</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45744</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45744</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45744</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45744</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45744</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45744</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45744</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45744</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45744</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45744</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45744</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45744</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45744</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45744</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45744</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45744</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45744</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45744</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45744</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45744</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45744</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45744</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45744</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45744</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45744</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45744</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45744</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45744</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45744</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45744</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45744</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45744</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45744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45744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45744</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45744</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45744</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45744</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45744</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45744</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45744</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45744</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45744</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45744</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45744</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45744</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45744</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45744</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45744</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45744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45744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45744</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45744</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45744</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45744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45744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45744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45744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45744</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45744</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45744</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45744</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45744</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45744</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45744</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45744</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45744</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45744</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45744</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45744</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45744</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45744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45744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45744</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45744</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45744</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45744</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45744</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45744</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45744</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45744</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45744</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45744</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45744</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45744</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45744</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45744</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45744</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45744</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45744</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45744</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45744</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45744</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45744</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45744</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45744</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45744</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45744</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45744</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45744</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45744</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45744</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45744</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45744</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45744</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45744</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45744</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45744</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45744</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45744</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45744</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45744</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45744</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45744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45744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45744</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45744</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45744</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45744</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45744</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45744</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45744</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45744</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45744</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45744</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45744</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45744</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45744</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45744</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45744</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45744</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45744</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45744</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45744</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45744</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45744</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45744</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45744</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45744</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45744</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45744</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45744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45744</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45744</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45744</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45744</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45744</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45744</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45744</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45744</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45744</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45744</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45744</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45744</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45744</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9425-2025</t>
        </is>
      </c>
      <c r="B1872" s="1" t="n">
        <v>45715</v>
      </c>
      <c r="C1872" s="1" t="n">
        <v>45744</v>
      </c>
      <c r="D1872" t="inlineStr">
        <is>
          <t>VÄRMLANDS LÄN</t>
        </is>
      </c>
      <c r="E1872" t="inlineStr">
        <is>
          <t>ÅRJÄNG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9427-2025</t>
        </is>
      </c>
      <c r="B1873" s="1" t="n">
        <v>45715</v>
      </c>
      <c r="C1873" s="1" t="n">
        <v>45744</v>
      </c>
      <c r="D1873" t="inlineStr">
        <is>
          <t>VÄRMLANDS LÄN</t>
        </is>
      </c>
      <c r="E1873" t="inlineStr">
        <is>
          <t>ÅRJÄNG</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9489-2025</t>
        </is>
      </c>
      <c r="B1874" s="1" t="n">
        <v>45715</v>
      </c>
      <c r="C1874" s="1" t="n">
        <v>45744</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45744</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45744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45744</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45744</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45744</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45744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45744</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45744</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45744</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45744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11815-2025</t>
        </is>
      </c>
      <c r="B1885" s="1" t="n">
        <v>45728</v>
      </c>
      <c r="C1885" s="1" t="n">
        <v>45744</v>
      </c>
      <c r="D1885" t="inlineStr">
        <is>
          <t>VÄRMLANDS LÄN</t>
        </is>
      </c>
      <c r="E1885" t="inlineStr">
        <is>
          <t>ÅRJÄNG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11880-2025</t>
        </is>
      </c>
      <c r="B1886" s="1" t="n">
        <v>45728</v>
      </c>
      <c r="C1886" s="1" t="n">
        <v>45744</v>
      </c>
      <c r="D1886" t="inlineStr">
        <is>
          <t>VÄRMLANDS LÄN</t>
        </is>
      </c>
      <c r="E1886" t="inlineStr">
        <is>
          <t>ÅRJÄNG</t>
        </is>
      </c>
      <c r="F1886" t="inlineStr">
        <is>
          <t>Övriga Aktiebolag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45744</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11874-2025</t>
        </is>
      </c>
      <c r="B1888" s="1" t="n">
        <v>45728</v>
      </c>
      <c r="C1888" s="1" t="n">
        <v>45744</v>
      </c>
      <c r="D1888" t="inlineStr">
        <is>
          <t>VÄRMLANDS LÄN</t>
        </is>
      </c>
      <c r="E1888" t="inlineStr">
        <is>
          <t>ÅRJÄNG</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11899-2025</t>
        </is>
      </c>
      <c r="B1889" s="1" t="n">
        <v>45728</v>
      </c>
      <c r="C1889" s="1" t="n">
        <v>45744</v>
      </c>
      <c r="D1889" t="inlineStr">
        <is>
          <t>VÄRMLANDS LÄN</t>
        </is>
      </c>
      <c r="E1889" t="inlineStr">
        <is>
          <t>ÅRJÄNG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45744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45744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12740-2025</t>
        </is>
      </c>
      <c r="B1892" s="1" t="n">
        <v>45733</v>
      </c>
      <c r="C1892" s="1" t="n">
        <v>45744</v>
      </c>
      <c r="D1892" t="inlineStr">
        <is>
          <t>VÄRMLANDS LÄN</t>
        </is>
      </c>
      <c r="E1892" t="inlineStr">
        <is>
          <t>ÅRJÄNG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45744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12840-2025</t>
        </is>
      </c>
      <c r="B1894" s="1" t="n">
        <v>45733</v>
      </c>
      <c r="C1894" s="1" t="n">
        <v>45744</v>
      </c>
      <c r="D1894" t="inlineStr">
        <is>
          <t>VÄRMLANDS LÄN</t>
        </is>
      </c>
      <c r="E1894" t="inlineStr">
        <is>
          <t>ÅRJÄNG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12982-2025</t>
        </is>
      </c>
      <c r="B1895" s="1" t="n">
        <v>45734</v>
      </c>
      <c r="C1895" s="1" t="n">
        <v>45744</v>
      </c>
      <c r="D1895" t="inlineStr">
        <is>
          <t>VÄRMLANDS LÄN</t>
        </is>
      </c>
      <c r="E1895" t="inlineStr">
        <is>
          <t>ÅRJÄNG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13002-2025</t>
        </is>
      </c>
      <c r="B1896" s="1" t="n">
        <v>45734</v>
      </c>
      <c r="C1896" s="1" t="n">
        <v>45744</v>
      </c>
      <c r="D1896" t="inlineStr">
        <is>
          <t>VÄRMLANDS LÄN</t>
        </is>
      </c>
      <c r="E1896" t="inlineStr">
        <is>
          <t>ÅRJÄNG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12993-2025</t>
        </is>
      </c>
      <c r="B1897" s="1" t="n">
        <v>45734</v>
      </c>
      <c r="C1897" s="1" t="n">
        <v>45744</v>
      </c>
      <c r="D1897" t="inlineStr">
        <is>
          <t>VÄRMLANDS LÄN</t>
        </is>
      </c>
      <c r="E1897" t="inlineStr">
        <is>
          <t>ÅRJÄNG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45744</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13029-2025</t>
        </is>
      </c>
      <c r="B1899" s="1" t="n">
        <v>45734</v>
      </c>
      <c r="C1899" s="1" t="n">
        <v>45744</v>
      </c>
      <c r="D1899" t="inlineStr">
        <is>
          <t>VÄRMLANDS LÄN</t>
        </is>
      </c>
      <c r="E1899" t="inlineStr">
        <is>
          <t>ÅRJÄNG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45744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13287-2025</t>
        </is>
      </c>
      <c r="B1901" s="1" t="n">
        <v>45735</v>
      </c>
      <c r="C1901" s="1" t="n">
        <v>45744</v>
      </c>
      <c r="D1901" t="inlineStr">
        <is>
          <t>VÄRMLANDS LÄN</t>
        </is>
      </c>
      <c r="E1901" t="inlineStr">
        <is>
          <t>ÅRJÄNG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13317-2025</t>
        </is>
      </c>
      <c r="B1902" s="1" t="n">
        <v>45735</v>
      </c>
      <c r="C1902" s="1" t="n">
        <v>45744</v>
      </c>
      <c r="D1902" t="inlineStr">
        <is>
          <t>VÄRMLANDS LÄN</t>
        </is>
      </c>
      <c r="E1902" t="inlineStr">
        <is>
          <t>ÅRJÄNG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45744</v>
      </c>
      <c r="D1903" t="inlineStr">
        <is>
          <t>VÄRMLANDS LÄN</t>
        </is>
      </c>
      <c r="E1903" t="inlineStr">
        <is>
          <t>ÅRJÄNG</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45744</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13504-2025</t>
        </is>
      </c>
      <c r="B1905" s="1" t="n">
        <v>45736</v>
      </c>
      <c r="C1905" s="1" t="n">
        <v>45744</v>
      </c>
      <c r="D1905" t="inlineStr">
        <is>
          <t>VÄRMLANDS LÄN</t>
        </is>
      </c>
      <c r="E1905" t="inlineStr">
        <is>
          <t>ÅRJÄNG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45744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45744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45744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14446-2025</t>
        </is>
      </c>
      <c r="B1909" s="1" t="n">
        <v>45741</v>
      </c>
      <c r="C1909" s="1" t="n">
        <v>45744</v>
      </c>
      <c r="D1909" t="inlineStr">
        <is>
          <t>VÄRMLANDS LÄN</t>
        </is>
      </c>
      <c r="E1909" t="inlineStr">
        <is>
          <t>ÅRJÄNG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14466-2025</t>
        </is>
      </c>
      <c r="B1910" s="1" t="n">
        <v>45741</v>
      </c>
      <c r="C1910" s="1" t="n">
        <v>45744</v>
      </c>
      <c r="D1910" t="inlineStr">
        <is>
          <t>VÄRMLANDS LÄN</t>
        </is>
      </c>
      <c r="E1910" t="inlineStr">
        <is>
          <t>ÅRJÄNG</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14788-2025</t>
        </is>
      </c>
      <c r="B1911" s="1" t="n">
        <v>45742</v>
      </c>
      <c r="C1911" s="1" t="n">
        <v>45744</v>
      </c>
      <c r="D1911" t="inlineStr">
        <is>
          <t>VÄRMLANDS LÄN</t>
        </is>
      </c>
      <c r="E1911" t="inlineStr">
        <is>
          <t>ÅRJÄNG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45744</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14917-2025</t>
        </is>
      </c>
      <c r="B1913" s="1" t="n">
        <v>45743</v>
      </c>
      <c r="C1913" s="1" t="n">
        <v>45744</v>
      </c>
      <c r="D1913" t="inlineStr">
        <is>
          <t>VÄRMLANDS LÄN</t>
        </is>
      </c>
      <c r="E1913" t="inlineStr">
        <is>
          <t>ÅRJÄNG</t>
        </is>
      </c>
      <c r="G1913" t="n">
        <v>2.2</v>
      </c>
      <c r="H1913" t="n">
        <v>0</v>
      </c>
      <c r="I1913" t="n">
        <v>0</v>
      </c>
      <c r="J1913" t="n">
        <v>0</v>
      </c>
      <c r="K1913" t="n">
        <v>0</v>
      </c>
      <c r="L1913" t="n">
        <v>0</v>
      </c>
      <c r="M1913" t="n">
        <v>0</v>
      </c>
      <c r="N1913" t="n">
        <v>0</v>
      </c>
      <c r="O1913" t="n">
        <v>0</v>
      </c>
      <c r="P1913" t="n">
        <v>0</v>
      </c>
      <c r="Q1913" t="n">
        <v>0</v>
      </c>
      <c r="R1913" s="2" t="inlineStr"/>
    </row>
    <row r="1914">
      <c r="A1914" t="inlineStr">
        <is>
          <t>A 14910-2025</t>
        </is>
      </c>
      <c r="B1914" s="1" t="n">
        <v>45743</v>
      </c>
      <c r="C1914" s="1" t="n">
        <v>45744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2025-03-28T18:23:13Z</dcterms:created>
  <dcterms:modified xmlns:dcterms="http://purl.org/dc/terms/" xmlns:xsi="http://www.w3.org/2001/XMLSchema-instance" xsi:type="dcterms:W3CDTF">2025-03-28T18:23:15Z</dcterms:modified>
</cp:coreProperties>
</file>