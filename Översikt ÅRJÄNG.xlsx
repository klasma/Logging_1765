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45628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45628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45628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45628</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45628</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45628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45628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45628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45628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45628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45628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45628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45628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45628</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45628</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45628</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45628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45628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45628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45628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45628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45628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45628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45628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45628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45628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45628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45628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45628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45628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45628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45628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45628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45628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45628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45628</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45628</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45628</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45628</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45628</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45628</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45628</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45628</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45628</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45628</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45628</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45628</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45628</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45628</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45628</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45628</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45628</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45628</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45628</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45628</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45628</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45628</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45628</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45628</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45628</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45628</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45628</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45628</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45628</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45628</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45628</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45628</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45628</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45088-2024</t>
        </is>
      </c>
      <c r="B70" s="1" t="n">
        <v>45575</v>
      </c>
      <c r="C70" s="1" t="n">
        <v>45628</v>
      </c>
      <c r="D70" t="inlineStr">
        <is>
          <t>VÄRMLANDS LÄN</t>
        </is>
      </c>
      <c r="E70" t="inlineStr">
        <is>
          <t>ÅRJÄNG</t>
        </is>
      </c>
      <c r="F70" t="inlineStr">
        <is>
          <t>Bergvik skog väst AB</t>
        </is>
      </c>
      <c r="G70" t="n">
        <v>0.9</v>
      </c>
      <c r="H70" t="n">
        <v>1</v>
      </c>
      <c r="I70" t="n">
        <v>0</v>
      </c>
      <c r="J70" t="n">
        <v>0</v>
      </c>
      <c r="K70" t="n">
        <v>0</v>
      </c>
      <c r="L70" t="n">
        <v>0</v>
      </c>
      <c r="M70" t="n">
        <v>0</v>
      </c>
      <c r="N70" t="n">
        <v>0</v>
      </c>
      <c r="O70" t="n">
        <v>0</v>
      </c>
      <c r="P70" t="n">
        <v>0</v>
      </c>
      <c r="Q70" t="n">
        <v>1</v>
      </c>
      <c r="R70" s="2" t="inlineStr">
        <is>
          <t>Fläcknycklar</t>
        </is>
      </c>
      <c r="S70">
        <f>HYPERLINK("https://klasma.github.io/Logging_1765/artfynd/A 45088-2024 artfynd.xlsx", "A 45088-2024")</f>
        <v/>
      </c>
      <c r="T70">
        <f>HYPERLINK("https://klasma.github.io/Logging_1765/kartor/A 45088-2024 karta.png", "A 45088-2024")</f>
        <v/>
      </c>
      <c r="V70">
        <f>HYPERLINK("https://klasma.github.io/Logging_1765/klagomål/A 45088-2024 FSC-klagomål.docx", "A 45088-2024")</f>
        <v/>
      </c>
      <c r="W70">
        <f>HYPERLINK("https://klasma.github.io/Logging_1765/klagomålsmail/A 45088-2024 FSC-klagomål mail.docx", "A 45088-2024")</f>
        <v/>
      </c>
      <c r="X70">
        <f>HYPERLINK("https://klasma.github.io/Logging_1765/tillsyn/A 45088-2024 tillsynsbegäran.docx", "A 45088-2024")</f>
        <v/>
      </c>
      <c r="Y70">
        <f>HYPERLINK("https://klasma.github.io/Logging_1765/tillsynsmail/A 45088-2024 tillsynsbegäran mail.docx", "A 45088-2024")</f>
        <v/>
      </c>
    </row>
    <row r="71" ht="15" customHeight="1">
      <c r="A71" t="inlineStr">
        <is>
          <t>A 48842-2024</t>
        </is>
      </c>
      <c r="B71" s="1" t="n">
        <v>45593</v>
      </c>
      <c r="C71" s="1" t="n">
        <v>45628</v>
      </c>
      <c r="D71" t="inlineStr">
        <is>
          <t>VÄRMLANDS LÄN</t>
        </is>
      </c>
      <c r="E71" t="inlineStr">
        <is>
          <t>ÅRJÄNG</t>
        </is>
      </c>
      <c r="G71" t="n">
        <v>5.8</v>
      </c>
      <c r="H71" t="n">
        <v>0</v>
      </c>
      <c r="I71" t="n">
        <v>0</v>
      </c>
      <c r="J71" t="n">
        <v>0</v>
      </c>
      <c r="K71" t="n">
        <v>1</v>
      </c>
      <c r="L71" t="n">
        <v>0</v>
      </c>
      <c r="M71" t="n">
        <v>0</v>
      </c>
      <c r="N71" t="n">
        <v>0</v>
      </c>
      <c r="O71" t="n">
        <v>1</v>
      </c>
      <c r="P71" t="n">
        <v>1</v>
      </c>
      <c r="Q71" t="n">
        <v>1</v>
      </c>
      <c r="R71" s="2" t="inlineStr">
        <is>
          <t>Rotfingersvamp</t>
        </is>
      </c>
      <c r="S71">
        <f>HYPERLINK("https://klasma.github.io/Logging_1765/artfynd/A 48842-2024 artfynd.xlsx", "A 48842-2024")</f>
        <v/>
      </c>
      <c r="T71">
        <f>HYPERLINK("https://klasma.github.io/Logging_1765/kartor/A 48842-2024 karta.png", "A 48842-2024")</f>
        <v/>
      </c>
      <c r="V71">
        <f>HYPERLINK("https://klasma.github.io/Logging_1765/klagomål/A 48842-2024 FSC-klagomål.docx", "A 48842-2024")</f>
        <v/>
      </c>
      <c r="W71">
        <f>HYPERLINK("https://klasma.github.io/Logging_1765/klagomålsmail/A 48842-2024 FSC-klagomål mail.docx", "A 48842-2024")</f>
        <v/>
      </c>
      <c r="X71">
        <f>HYPERLINK("https://klasma.github.io/Logging_1765/tillsyn/A 48842-2024 tillsynsbegäran.docx", "A 48842-2024")</f>
        <v/>
      </c>
      <c r="Y71">
        <f>HYPERLINK("https://klasma.github.io/Logging_1765/tillsynsmail/A 48842-2024 tillsynsbegäran mail.docx", "A 48842-2024")</f>
        <v/>
      </c>
    </row>
    <row r="72" ht="15" customHeight="1">
      <c r="A72" t="inlineStr">
        <is>
          <t>A 17652-2019</t>
        </is>
      </c>
      <c r="B72" s="1" t="n">
        <v>43556</v>
      </c>
      <c r="C72" s="1" t="n">
        <v>45628</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18103-2019</t>
        </is>
      </c>
      <c r="B73" s="1" t="n">
        <v>43558</v>
      </c>
      <c r="C73" s="1" t="n">
        <v>45628</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18332-2019</t>
        </is>
      </c>
      <c r="B74" s="1" t="n">
        <v>43559</v>
      </c>
      <c r="C74" s="1" t="n">
        <v>45628</v>
      </c>
      <c r="D74" t="inlineStr">
        <is>
          <t>VÄRMLANDS LÄN</t>
        </is>
      </c>
      <c r="E74" t="inlineStr">
        <is>
          <t>ÅRJÄNG</t>
        </is>
      </c>
      <c r="G74" t="n">
        <v>8.199999999999999</v>
      </c>
      <c r="H74" t="n">
        <v>0</v>
      </c>
      <c r="I74" t="n">
        <v>0</v>
      </c>
      <c r="J74" t="n">
        <v>0</v>
      </c>
      <c r="K74" t="n">
        <v>0</v>
      </c>
      <c r="L74" t="n">
        <v>0</v>
      </c>
      <c r="M74" t="n">
        <v>0</v>
      </c>
      <c r="N74" t="n">
        <v>0</v>
      </c>
      <c r="O74" t="n">
        <v>0</v>
      </c>
      <c r="P74" t="n">
        <v>0</v>
      </c>
      <c r="Q74" t="n">
        <v>0</v>
      </c>
      <c r="R74" s="2" t="inlineStr"/>
    </row>
    <row r="75" ht="15" customHeight="1">
      <c r="A75" t="inlineStr">
        <is>
          <t>A 18830-2019</t>
        </is>
      </c>
      <c r="B75" s="1" t="n">
        <v>43560</v>
      </c>
      <c r="C75" s="1" t="n">
        <v>45628</v>
      </c>
      <c r="D75" t="inlineStr">
        <is>
          <t>VÄRMLANDS LÄN</t>
        </is>
      </c>
      <c r="E75" t="inlineStr">
        <is>
          <t>ÅRJÄNG</t>
        </is>
      </c>
      <c r="G75" t="n">
        <v>10.4</v>
      </c>
      <c r="H75" t="n">
        <v>0</v>
      </c>
      <c r="I75" t="n">
        <v>0</v>
      </c>
      <c r="J75" t="n">
        <v>0</v>
      </c>
      <c r="K75" t="n">
        <v>0</v>
      </c>
      <c r="L75" t="n">
        <v>0</v>
      </c>
      <c r="M75" t="n">
        <v>0</v>
      </c>
      <c r="N75" t="n">
        <v>0</v>
      </c>
      <c r="O75" t="n">
        <v>0</v>
      </c>
      <c r="P75" t="n">
        <v>0</v>
      </c>
      <c r="Q75" t="n">
        <v>0</v>
      </c>
      <c r="R75" s="2" t="inlineStr"/>
    </row>
    <row r="76" ht="15" customHeight="1">
      <c r="A76" t="inlineStr">
        <is>
          <t>A 19032-2019</t>
        </is>
      </c>
      <c r="B76" s="1" t="n">
        <v>43563</v>
      </c>
      <c r="C76" s="1" t="n">
        <v>45628</v>
      </c>
      <c r="D76" t="inlineStr">
        <is>
          <t>VÄRMLANDS LÄN</t>
        </is>
      </c>
      <c r="E76" t="inlineStr">
        <is>
          <t>ÅRJÄNG</t>
        </is>
      </c>
      <c r="G76" t="n">
        <v>2.5</v>
      </c>
      <c r="H76" t="n">
        <v>0</v>
      </c>
      <c r="I76" t="n">
        <v>0</v>
      </c>
      <c r="J76" t="n">
        <v>0</v>
      </c>
      <c r="K76" t="n">
        <v>0</v>
      </c>
      <c r="L76" t="n">
        <v>0</v>
      </c>
      <c r="M76" t="n">
        <v>0</v>
      </c>
      <c r="N76" t="n">
        <v>0</v>
      </c>
      <c r="O76" t="n">
        <v>0</v>
      </c>
      <c r="P76" t="n">
        <v>0</v>
      </c>
      <c r="Q76" t="n">
        <v>0</v>
      </c>
      <c r="R76" s="2" t="inlineStr"/>
    </row>
    <row r="77" ht="15" customHeight="1">
      <c r="A77" t="inlineStr">
        <is>
          <t>A 19037-2019</t>
        </is>
      </c>
      <c r="B77" s="1" t="n">
        <v>43563</v>
      </c>
      <c r="C77" s="1" t="n">
        <v>45628</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19039-2019</t>
        </is>
      </c>
      <c r="B78" s="1" t="n">
        <v>43563</v>
      </c>
      <c r="C78" s="1" t="n">
        <v>45628</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19781-2019</t>
        </is>
      </c>
      <c r="B79" s="1" t="n">
        <v>43567</v>
      </c>
      <c r="C79" s="1" t="n">
        <v>45628</v>
      </c>
      <c r="D79" t="inlineStr">
        <is>
          <t>VÄRMLANDS LÄN</t>
        </is>
      </c>
      <c r="E79" t="inlineStr">
        <is>
          <t>ÅRJÄNG</t>
        </is>
      </c>
      <c r="G79" t="n">
        <v>5.4</v>
      </c>
      <c r="H79" t="n">
        <v>0</v>
      </c>
      <c r="I79" t="n">
        <v>0</v>
      </c>
      <c r="J79" t="n">
        <v>0</v>
      </c>
      <c r="K79" t="n">
        <v>0</v>
      </c>
      <c r="L79" t="n">
        <v>0</v>
      </c>
      <c r="M79" t="n">
        <v>0</v>
      </c>
      <c r="N79" t="n">
        <v>0</v>
      </c>
      <c r="O79" t="n">
        <v>0</v>
      </c>
      <c r="P79" t="n">
        <v>0</v>
      </c>
      <c r="Q79" t="n">
        <v>0</v>
      </c>
      <c r="R79" s="2" t="inlineStr"/>
    </row>
    <row r="80" ht="15" customHeight="1">
      <c r="A80" t="inlineStr">
        <is>
          <t>A 19947-2019</t>
        </is>
      </c>
      <c r="B80" s="1" t="n">
        <v>43569</v>
      </c>
      <c r="C80" s="1" t="n">
        <v>45628</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20189-2019</t>
        </is>
      </c>
      <c r="B81" s="1" t="n">
        <v>43570</v>
      </c>
      <c r="C81" s="1" t="n">
        <v>45628</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20805-2019</t>
        </is>
      </c>
      <c r="B82" s="1" t="n">
        <v>43573</v>
      </c>
      <c r="C82" s="1" t="n">
        <v>45628</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20807-2019</t>
        </is>
      </c>
      <c r="B83" s="1" t="n">
        <v>43573</v>
      </c>
      <c r="C83" s="1" t="n">
        <v>45628</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21523-2019</t>
        </is>
      </c>
      <c r="B84" s="1" t="n">
        <v>43580</v>
      </c>
      <c r="C84" s="1" t="n">
        <v>45628</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21723-2019</t>
        </is>
      </c>
      <c r="B85" s="1" t="n">
        <v>43581</v>
      </c>
      <c r="C85" s="1" t="n">
        <v>45628</v>
      </c>
      <c r="D85" t="inlineStr">
        <is>
          <t>VÄRMLANDS LÄN</t>
        </is>
      </c>
      <c r="E85" t="inlineStr">
        <is>
          <t>ÅRJÄNG</t>
        </is>
      </c>
      <c r="F85" t="inlineStr">
        <is>
          <t>Bergvik skog väst AB</t>
        </is>
      </c>
      <c r="G85" t="n">
        <v>5.3</v>
      </c>
      <c r="H85" t="n">
        <v>0</v>
      </c>
      <c r="I85" t="n">
        <v>0</v>
      </c>
      <c r="J85" t="n">
        <v>0</v>
      </c>
      <c r="K85" t="n">
        <v>0</v>
      </c>
      <c r="L85" t="n">
        <v>0</v>
      </c>
      <c r="M85" t="n">
        <v>0</v>
      </c>
      <c r="N85" t="n">
        <v>0</v>
      </c>
      <c r="O85" t="n">
        <v>0</v>
      </c>
      <c r="P85" t="n">
        <v>0</v>
      </c>
      <c r="Q85" t="n">
        <v>0</v>
      </c>
      <c r="R85" s="2" t="inlineStr"/>
    </row>
    <row r="86" ht="15" customHeight="1">
      <c r="A86" t="inlineStr">
        <is>
          <t>A 21831-2019</t>
        </is>
      </c>
      <c r="B86" s="1" t="n">
        <v>43581</v>
      </c>
      <c r="C86" s="1" t="n">
        <v>45628</v>
      </c>
      <c r="D86" t="inlineStr">
        <is>
          <t>VÄRMLANDS LÄN</t>
        </is>
      </c>
      <c r="E86" t="inlineStr">
        <is>
          <t>ÅRJÄNG</t>
        </is>
      </c>
      <c r="F86" t="inlineStr">
        <is>
          <t>Kyrkan</t>
        </is>
      </c>
      <c r="G86" t="n">
        <v>0.9</v>
      </c>
      <c r="H86" t="n">
        <v>0</v>
      </c>
      <c r="I86" t="n">
        <v>0</v>
      </c>
      <c r="J86" t="n">
        <v>0</v>
      </c>
      <c r="K86" t="n">
        <v>0</v>
      </c>
      <c r="L86" t="n">
        <v>0</v>
      </c>
      <c r="M86" t="n">
        <v>0</v>
      </c>
      <c r="N86" t="n">
        <v>0</v>
      </c>
      <c r="O86" t="n">
        <v>0</v>
      </c>
      <c r="P86" t="n">
        <v>0</v>
      </c>
      <c r="Q86" t="n">
        <v>0</v>
      </c>
      <c r="R86" s="2" t="inlineStr"/>
    </row>
    <row r="87" ht="15" customHeight="1">
      <c r="A87" t="inlineStr">
        <is>
          <t>A 22116-2019</t>
        </is>
      </c>
      <c r="B87" s="1" t="n">
        <v>43585</v>
      </c>
      <c r="C87" s="1" t="n">
        <v>45628</v>
      </c>
      <c r="D87" t="inlineStr">
        <is>
          <t>VÄRMLANDS LÄN</t>
        </is>
      </c>
      <c r="E87" t="inlineStr">
        <is>
          <t>ÅRJÄNG</t>
        </is>
      </c>
      <c r="G87" t="n">
        <v>1.4</v>
      </c>
      <c r="H87" t="n">
        <v>0</v>
      </c>
      <c r="I87" t="n">
        <v>0</v>
      </c>
      <c r="J87" t="n">
        <v>0</v>
      </c>
      <c r="K87" t="n">
        <v>0</v>
      </c>
      <c r="L87" t="n">
        <v>0</v>
      </c>
      <c r="M87" t="n">
        <v>0</v>
      </c>
      <c r="N87" t="n">
        <v>0</v>
      </c>
      <c r="O87" t="n">
        <v>0</v>
      </c>
      <c r="P87" t="n">
        <v>0</v>
      </c>
      <c r="Q87" t="n">
        <v>0</v>
      </c>
      <c r="R87" s="2" t="inlineStr"/>
    </row>
    <row r="88" ht="15" customHeight="1">
      <c r="A88" t="inlineStr">
        <is>
          <t>A 22173-2019</t>
        </is>
      </c>
      <c r="B88" s="1" t="n">
        <v>43585</v>
      </c>
      <c r="C88" s="1" t="n">
        <v>45628</v>
      </c>
      <c r="D88" t="inlineStr">
        <is>
          <t>VÄRMLANDS LÄN</t>
        </is>
      </c>
      <c r="E88" t="inlineStr">
        <is>
          <t>ÅRJÄNG</t>
        </is>
      </c>
      <c r="G88" t="n">
        <v>3.5</v>
      </c>
      <c r="H88" t="n">
        <v>0</v>
      </c>
      <c r="I88" t="n">
        <v>0</v>
      </c>
      <c r="J88" t="n">
        <v>0</v>
      </c>
      <c r="K88" t="n">
        <v>0</v>
      </c>
      <c r="L88" t="n">
        <v>0</v>
      </c>
      <c r="M88" t="n">
        <v>0</v>
      </c>
      <c r="N88" t="n">
        <v>0</v>
      </c>
      <c r="O88" t="n">
        <v>0</v>
      </c>
      <c r="P88" t="n">
        <v>0</v>
      </c>
      <c r="Q88" t="n">
        <v>0</v>
      </c>
      <c r="R88" s="2" t="inlineStr"/>
    </row>
    <row r="89" ht="15" customHeight="1">
      <c r="A89" t="inlineStr">
        <is>
          <t>A 22435-2019</t>
        </is>
      </c>
      <c r="B89" s="1" t="n">
        <v>43587</v>
      </c>
      <c r="C89" s="1" t="n">
        <v>45628</v>
      </c>
      <c r="D89" t="inlineStr">
        <is>
          <t>VÄRMLANDS LÄN</t>
        </is>
      </c>
      <c r="E89" t="inlineStr">
        <is>
          <t>ÅRJÄNG</t>
        </is>
      </c>
      <c r="G89" t="n">
        <v>2.1</v>
      </c>
      <c r="H89" t="n">
        <v>0</v>
      </c>
      <c r="I89" t="n">
        <v>0</v>
      </c>
      <c r="J89" t="n">
        <v>0</v>
      </c>
      <c r="K89" t="n">
        <v>0</v>
      </c>
      <c r="L89" t="n">
        <v>0</v>
      </c>
      <c r="M89" t="n">
        <v>0</v>
      </c>
      <c r="N89" t="n">
        <v>0</v>
      </c>
      <c r="O89" t="n">
        <v>0</v>
      </c>
      <c r="P89" t="n">
        <v>0</v>
      </c>
      <c r="Q89" t="n">
        <v>0</v>
      </c>
      <c r="R89" s="2" t="inlineStr"/>
    </row>
    <row r="90" ht="15" customHeight="1">
      <c r="A90" t="inlineStr">
        <is>
          <t>A 23555-2019</t>
        </is>
      </c>
      <c r="B90" s="1" t="n">
        <v>43594</v>
      </c>
      <c r="C90" s="1" t="n">
        <v>45628</v>
      </c>
      <c r="D90" t="inlineStr">
        <is>
          <t>VÄRMLANDS LÄN</t>
        </is>
      </c>
      <c r="E90" t="inlineStr">
        <is>
          <t>ÅRJÄNG</t>
        </is>
      </c>
      <c r="G90" t="n">
        <v>2.3</v>
      </c>
      <c r="H90" t="n">
        <v>0</v>
      </c>
      <c r="I90" t="n">
        <v>0</v>
      </c>
      <c r="J90" t="n">
        <v>0</v>
      </c>
      <c r="K90" t="n">
        <v>0</v>
      </c>
      <c r="L90" t="n">
        <v>0</v>
      </c>
      <c r="M90" t="n">
        <v>0</v>
      </c>
      <c r="N90" t="n">
        <v>0</v>
      </c>
      <c r="O90" t="n">
        <v>0</v>
      </c>
      <c r="P90" t="n">
        <v>0</v>
      </c>
      <c r="Q90" t="n">
        <v>0</v>
      </c>
      <c r="R90" s="2" t="inlineStr"/>
    </row>
    <row r="91" ht="15" customHeight="1">
      <c r="A91" t="inlineStr">
        <is>
          <t>A 23573-2019</t>
        </is>
      </c>
      <c r="B91" s="1" t="n">
        <v>43594</v>
      </c>
      <c r="C91" s="1" t="n">
        <v>45628</v>
      </c>
      <c r="D91" t="inlineStr">
        <is>
          <t>VÄRMLANDS LÄN</t>
        </is>
      </c>
      <c r="E91" t="inlineStr">
        <is>
          <t>ÅRJÄNG</t>
        </is>
      </c>
      <c r="G91" t="n">
        <v>4.9</v>
      </c>
      <c r="H91" t="n">
        <v>0</v>
      </c>
      <c r="I91" t="n">
        <v>0</v>
      </c>
      <c r="J91" t="n">
        <v>0</v>
      </c>
      <c r="K91" t="n">
        <v>0</v>
      </c>
      <c r="L91" t="n">
        <v>0</v>
      </c>
      <c r="M91" t="n">
        <v>0</v>
      </c>
      <c r="N91" t="n">
        <v>0</v>
      </c>
      <c r="O91" t="n">
        <v>0</v>
      </c>
      <c r="P91" t="n">
        <v>0</v>
      </c>
      <c r="Q91" t="n">
        <v>0</v>
      </c>
      <c r="R91" s="2" t="inlineStr"/>
    </row>
    <row r="92" ht="15" customHeight="1">
      <c r="A92" t="inlineStr">
        <is>
          <t>A 23600-2019</t>
        </is>
      </c>
      <c r="B92" s="1" t="n">
        <v>43594</v>
      </c>
      <c r="C92" s="1" t="n">
        <v>45628</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23715-2019</t>
        </is>
      </c>
      <c r="B93" s="1" t="n">
        <v>43594</v>
      </c>
      <c r="C93" s="1" t="n">
        <v>45628</v>
      </c>
      <c r="D93" t="inlineStr">
        <is>
          <t>VÄRMLANDS LÄN</t>
        </is>
      </c>
      <c r="E93" t="inlineStr">
        <is>
          <t>ÅRJÄNG</t>
        </is>
      </c>
      <c r="G93" t="n">
        <v>6.8</v>
      </c>
      <c r="H93" t="n">
        <v>0</v>
      </c>
      <c r="I93" t="n">
        <v>0</v>
      </c>
      <c r="J93" t="n">
        <v>0</v>
      </c>
      <c r="K93" t="n">
        <v>0</v>
      </c>
      <c r="L93" t="n">
        <v>0</v>
      </c>
      <c r="M93" t="n">
        <v>0</v>
      </c>
      <c r="N93" t="n">
        <v>0</v>
      </c>
      <c r="O93" t="n">
        <v>0</v>
      </c>
      <c r="P93" t="n">
        <v>0</v>
      </c>
      <c r="Q93" t="n">
        <v>0</v>
      </c>
      <c r="R93" s="2" t="inlineStr"/>
    </row>
    <row r="94" ht="15" customHeight="1">
      <c r="A94" t="inlineStr">
        <is>
          <t>A 23716-2019</t>
        </is>
      </c>
      <c r="B94" s="1" t="n">
        <v>43594</v>
      </c>
      <c r="C94" s="1" t="n">
        <v>45628</v>
      </c>
      <c r="D94" t="inlineStr">
        <is>
          <t>VÄRMLANDS LÄN</t>
        </is>
      </c>
      <c r="E94" t="inlineStr">
        <is>
          <t>ÅRJÄNG</t>
        </is>
      </c>
      <c r="G94" t="n">
        <v>4.3</v>
      </c>
      <c r="H94" t="n">
        <v>0</v>
      </c>
      <c r="I94" t="n">
        <v>0</v>
      </c>
      <c r="J94" t="n">
        <v>0</v>
      </c>
      <c r="K94" t="n">
        <v>0</v>
      </c>
      <c r="L94" t="n">
        <v>0</v>
      </c>
      <c r="M94" t="n">
        <v>0</v>
      </c>
      <c r="N94" t="n">
        <v>0</v>
      </c>
      <c r="O94" t="n">
        <v>0</v>
      </c>
      <c r="P94" t="n">
        <v>0</v>
      </c>
      <c r="Q94" t="n">
        <v>0</v>
      </c>
      <c r="R94" s="2" t="inlineStr"/>
    </row>
    <row r="95" ht="15" customHeight="1">
      <c r="A95" t="inlineStr">
        <is>
          <t>A 23570-2019</t>
        </is>
      </c>
      <c r="B95" s="1" t="n">
        <v>43594</v>
      </c>
      <c r="C95" s="1" t="n">
        <v>45628</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24337-2019</t>
        </is>
      </c>
      <c r="B96" s="1" t="n">
        <v>43598</v>
      </c>
      <c r="C96" s="1" t="n">
        <v>45628</v>
      </c>
      <c r="D96" t="inlineStr">
        <is>
          <t>VÄRMLANDS LÄN</t>
        </is>
      </c>
      <c r="E96" t="inlineStr">
        <is>
          <t>ÅRJÄNG</t>
        </is>
      </c>
      <c r="G96" t="n">
        <v>8.1</v>
      </c>
      <c r="H96" t="n">
        <v>0</v>
      </c>
      <c r="I96" t="n">
        <v>0</v>
      </c>
      <c r="J96" t="n">
        <v>0</v>
      </c>
      <c r="K96" t="n">
        <v>0</v>
      </c>
      <c r="L96" t="n">
        <v>0</v>
      </c>
      <c r="M96" t="n">
        <v>0</v>
      </c>
      <c r="N96" t="n">
        <v>0</v>
      </c>
      <c r="O96" t="n">
        <v>0</v>
      </c>
      <c r="P96" t="n">
        <v>0</v>
      </c>
      <c r="Q96" t="n">
        <v>0</v>
      </c>
      <c r="R96" s="2" t="inlineStr"/>
    </row>
    <row r="97" ht="15" customHeight="1">
      <c r="A97" t="inlineStr">
        <is>
          <t>A 24423-2019</t>
        </is>
      </c>
      <c r="B97" s="1" t="n">
        <v>43599</v>
      </c>
      <c r="C97" s="1" t="n">
        <v>45628</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25469-2019</t>
        </is>
      </c>
      <c r="B98" s="1" t="n">
        <v>43606</v>
      </c>
      <c r="C98" s="1" t="n">
        <v>45628</v>
      </c>
      <c r="D98" t="inlineStr">
        <is>
          <t>VÄRMLANDS LÄN</t>
        </is>
      </c>
      <c r="E98" t="inlineStr">
        <is>
          <t>ÅRJÄNG</t>
        </is>
      </c>
      <c r="G98" t="n">
        <v>2.9</v>
      </c>
      <c r="H98" t="n">
        <v>0</v>
      </c>
      <c r="I98" t="n">
        <v>0</v>
      </c>
      <c r="J98" t="n">
        <v>0</v>
      </c>
      <c r="K98" t="n">
        <v>0</v>
      </c>
      <c r="L98" t="n">
        <v>0</v>
      </c>
      <c r="M98" t="n">
        <v>0</v>
      </c>
      <c r="N98" t="n">
        <v>0</v>
      </c>
      <c r="O98" t="n">
        <v>0</v>
      </c>
      <c r="P98" t="n">
        <v>0</v>
      </c>
      <c r="Q98" t="n">
        <v>0</v>
      </c>
      <c r="R98" s="2" t="inlineStr"/>
    </row>
    <row r="99" ht="15" customHeight="1">
      <c r="A99" t="inlineStr">
        <is>
          <t>A 25476-2019</t>
        </is>
      </c>
      <c r="B99" s="1" t="n">
        <v>43606</v>
      </c>
      <c r="C99" s="1" t="n">
        <v>45628</v>
      </c>
      <c r="D99" t="inlineStr">
        <is>
          <t>VÄRMLANDS LÄN</t>
        </is>
      </c>
      <c r="E99" t="inlineStr">
        <is>
          <t>ÅRJÄNG</t>
        </is>
      </c>
      <c r="G99" t="n">
        <v>5.3</v>
      </c>
      <c r="H99" t="n">
        <v>0</v>
      </c>
      <c r="I99" t="n">
        <v>0</v>
      </c>
      <c r="J99" t="n">
        <v>0</v>
      </c>
      <c r="K99" t="n">
        <v>0</v>
      </c>
      <c r="L99" t="n">
        <v>0</v>
      </c>
      <c r="M99" t="n">
        <v>0</v>
      </c>
      <c r="N99" t="n">
        <v>0</v>
      </c>
      <c r="O99" t="n">
        <v>0</v>
      </c>
      <c r="P99" t="n">
        <v>0</v>
      </c>
      <c r="Q99" t="n">
        <v>0</v>
      </c>
      <c r="R99" s="2" t="inlineStr"/>
    </row>
    <row r="100" ht="15" customHeight="1">
      <c r="A100" t="inlineStr">
        <is>
          <t>A 26488-2019</t>
        </is>
      </c>
      <c r="B100" s="1" t="n">
        <v>43606</v>
      </c>
      <c r="C100" s="1" t="n">
        <v>45628</v>
      </c>
      <c r="D100" t="inlineStr">
        <is>
          <t>VÄRMLANDS LÄN</t>
        </is>
      </c>
      <c r="E100" t="inlineStr">
        <is>
          <t>ÅRJÄNG</t>
        </is>
      </c>
      <c r="G100" t="n">
        <v>6.7</v>
      </c>
      <c r="H100" t="n">
        <v>0</v>
      </c>
      <c r="I100" t="n">
        <v>0</v>
      </c>
      <c r="J100" t="n">
        <v>0</v>
      </c>
      <c r="K100" t="n">
        <v>0</v>
      </c>
      <c r="L100" t="n">
        <v>0</v>
      </c>
      <c r="M100" t="n">
        <v>0</v>
      </c>
      <c r="N100" t="n">
        <v>0</v>
      </c>
      <c r="O100" t="n">
        <v>0</v>
      </c>
      <c r="P100" t="n">
        <v>0</v>
      </c>
      <c r="Q100" t="n">
        <v>0</v>
      </c>
      <c r="R100" s="2" t="inlineStr"/>
    </row>
    <row r="101" ht="15" customHeight="1">
      <c r="A101" t="inlineStr">
        <is>
          <t>A 25561-2019</t>
        </is>
      </c>
      <c r="B101" s="1" t="n">
        <v>43607</v>
      </c>
      <c r="C101" s="1" t="n">
        <v>45628</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25750-2019</t>
        </is>
      </c>
      <c r="B102" s="1" t="n">
        <v>43608</v>
      </c>
      <c r="C102" s="1" t="n">
        <v>45628</v>
      </c>
      <c r="D102" t="inlineStr">
        <is>
          <t>VÄRMLANDS LÄN</t>
        </is>
      </c>
      <c r="E102" t="inlineStr">
        <is>
          <t>ÅRJÄNG</t>
        </is>
      </c>
      <c r="G102" t="n">
        <v>3.5</v>
      </c>
      <c r="H102" t="n">
        <v>0</v>
      </c>
      <c r="I102" t="n">
        <v>0</v>
      </c>
      <c r="J102" t="n">
        <v>0</v>
      </c>
      <c r="K102" t="n">
        <v>0</v>
      </c>
      <c r="L102" t="n">
        <v>0</v>
      </c>
      <c r="M102" t="n">
        <v>0</v>
      </c>
      <c r="N102" t="n">
        <v>0</v>
      </c>
      <c r="O102" t="n">
        <v>0</v>
      </c>
      <c r="P102" t="n">
        <v>0</v>
      </c>
      <c r="Q102" t="n">
        <v>0</v>
      </c>
      <c r="R102" s="2" t="inlineStr"/>
    </row>
    <row r="103" ht="15" customHeight="1">
      <c r="A103" t="inlineStr">
        <is>
          <t>A 27014-2019</t>
        </is>
      </c>
      <c r="B103" s="1" t="n">
        <v>43614</v>
      </c>
      <c r="C103" s="1" t="n">
        <v>45628</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28727-2019</t>
        </is>
      </c>
      <c r="B104" s="1" t="n">
        <v>43614</v>
      </c>
      <c r="C104" s="1" t="n">
        <v>45628</v>
      </c>
      <c r="D104" t="inlineStr">
        <is>
          <t>VÄRMLANDS LÄN</t>
        </is>
      </c>
      <c r="E104" t="inlineStr">
        <is>
          <t>ÅRJÄNG</t>
        </is>
      </c>
      <c r="G104" t="n">
        <v>6.3</v>
      </c>
      <c r="H104" t="n">
        <v>0</v>
      </c>
      <c r="I104" t="n">
        <v>0</v>
      </c>
      <c r="J104" t="n">
        <v>0</v>
      </c>
      <c r="K104" t="n">
        <v>0</v>
      </c>
      <c r="L104" t="n">
        <v>0</v>
      </c>
      <c r="M104" t="n">
        <v>0</v>
      </c>
      <c r="N104" t="n">
        <v>0</v>
      </c>
      <c r="O104" t="n">
        <v>0</v>
      </c>
      <c r="P104" t="n">
        <v>0</v>
      </c>
      <c r="Q104" t="n">
        <v>0</v>
      </c>
      <c r="R104" s="2" t="inlineStr"/>
    </row>
    <row r="105" ht="15" customHeight="1">
      <c r="A105" t="inlineStr">
        <is>
          <t>A 27470-2019</t>
        </is>
      </c>
      <c r="B105" s="1" t="n">
        <v>43619</v>
      </c>
      <c r="C105" s="1" t="n">
        <v>45628</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28047-2019</t>
        </is>
      </c>
      <c r="B106" s="1" t="n">
        <v>43621</v>
      </c>
      <c r="C106" s="1" t="n">
        <v>45628</v>
      </c>
      <c r="D106" t="inlineStr">
        <is>
          <t>VÄRMLANDS LÄN</t>
        </is>
      </c>
      <c r="E106" t="inlineStr">
        <is>
          <t>ÅRJÄNG</t>
        </is>
      </c>
      <c r="G106" t="n">
        <v>2.2</v>
      </c>
      <c r="H106" t="n">
        <v>0</v>
      </c>
      <c r="I106" t="n">
        <v>0</v>
      </c>
      <c r="J106" t="n">
        <v>0</v>
      </c>
      <c r="K106" t="n">
        <v>0</v>
      </c>
      <c r="L106" t="n">
        <v>0</v>
      </c>
      <c r="M106" t="n">
        <v>0</v>
      </c>
      <c r="N106" t="n">
        <v>0</v>
      </c>
      <c r="O106" t="n">
        <v>0</v>
      </c>
      <c r="P106" t="n">
        <v>0</v>
      </c>
      <c r="Q106" t="n">
        <v>0</v>
      </c>
      <c r="R106" s="2" t="inlineStr"/>
    </row>
    <row r="107" ht="15" customHeight="1">
      <c r="A107" t="inlineStr">
        <is>
          <t>A 29043-2019</t>
        </is>
      </c>
      <c r="B107" s="1" t="n">
        <v>43621</v>
      </c>
      <c r="C107" s="1" t="n">
        <v>45628</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28865-2019</t>
        </is>
      </c>
      <c r="B108" s="1" t="n">
        <v>43628</v>
      </c>
      <c r="C108" s="1" t="n">
        <v>45628</v>
      </c>
      <c r="D108" t="inlineStr">
        <is>
          <t>VÄRMLANDS LÄN</t>
        </is>
      </c>
      <c r="E108" t="inlineStr">
        <is>
          <t>ÅRJÄNG</t>
        </is>
      </c>
      <c r="G108" t="n">
        <v>1.1</v>
      </c>
      <c r="H108" t="n">
        <v>0</v>
      </c>
      <c r="I108" t="n">
        <v>0</v>
      </c>
      <c r="J108" t="n">
        <v>0</v>
      </c>
      <c r="K108" t="n">
        <v>0</v>
      </c>
      <c r="L108" t="n">
        <v>0</v>
      </c>
      <c r="M108" t="n">
        <v>0</v>
      </c>
      <c r="N108" t="n">
        <v>0</v>
      </c>
      <c r="O108" t="n">
        <v>0</v>
      </c>
      <c r="P108" t="n">
        <v>0</v>
      </c>
      <c r="Q108" t="n">
        <v>0</v>
      </c>
      <c r="R108" s="2" t="inlineStr"/>
    </row>
    <row r="109" ht="15" customHeight="1">
      <c r="A109" t="inlineStr">
        <is>
          <t>A 30035-2019</t>
        </is>
      </c>
      <c r="B109" s="1" t="n">
        <v>43633</v>
      </c>
      <c r="C109" s="1" t="n">
        <v>45628</v>
      </c>
      <c r="D109" t="inlineStr">
        <is>
          <t>VÄRMLANDS LÄN</t>
        </is>
      </c>
      <c r="E109" t="inlineStr">
        <is>
          <t>ÅRJÄNG</t>
        </is>
      </c>
      <c r="G109" t="n">
        <v>2.3</v>
      </c>
      <c r="H109" t="n">
        <v>0</v>
      </c>
      <c r="I109" t="n">
        <v>0</v>
      </c>
      <c r="J109" t="n">
        <v>0</v>
      </c>
      <c r="K109" t="n">
        <v>0</v>
      </c>
      <c r="L109" t="n">
        <v>0</v>
      </c>
      <c r="M109" t="n">
        <v>0</v>
      </c>
      <c r="N109" t="n">
        <v>0</v>
      </c>
      <c r="O109" t="n">
        <v>0</v>
      </c>
      <c r="P109" t="n">
        <v>0</v>
      </c>
      <c r="Q109" t="n">
        <v>0</v>
      </c>
      <c r="R109" s="2" t="inlineStr"/>
    </row>
    <row r="110" ht="15" customHeight="1">
      <c r="A110" t="inlineStr">
        <is>
          <t>A 31379-2019</t>
        </is>
      </c>
      <c r="B110" s="1" t="n">
        <v>43636</v>
      </c>
      <c r="C110" s="1" t="n">
        <v>45628</v>
      </c>
      <c r="D110" t="inlineStr">
        <is>
          <t>VÄRMLANDS LÄN</t>
        </is>
      </c>
      <c r="E110" t="inlineStr">
        <is>
          <t>ÅRJÄNG</t>
        </is>
      </c>
      <c r="G110" t="n">
        <v>5</v>
      </c>
      <c r="H110" t="n">
        <v>0</v>
      </c>
      <c r="I110" t="n">
        <v>0</v>
      </c>
      <c r="J110" t="n">
        <v>0</v>
      </c>
      <c r="K110" t="n">
        <v>0</v>
      </c>
      <c r="L110" t="n">
        <v>0</v>
      </c>
      <c r="M110" t="n">
        <v>0</v>
      </c>
      <c r="N110" t="n">
        <v>0</v>
      </c>
      <c r="O110" t="n">
        <v>0</v>
      </c>
      <c r="P110" t="n">
        <v>0</v>
      </c>
      <c r="Q110" t="n">
        <v>0</v>
      </c>
      <c r="R110" s="2" t="inlineStr"/>
    </row>
    <row r="111" ht="15" customHeight="1">
      <c r="A111" t="inlineStr">
        <is>
          <t>A 31658-2019</t>
        </is>
      </c>
      <c r="B111" s="1" t="n">
        <v>43642</v>
      </c>
      <c r="C111" s="1" t="n">
        <v>45628</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33915-2019</t>
        </is>
      </c>
      <c r="B112" s="1" t="n">
        <v>43646</v>
      </c>
      <c r="C112" s="1" t="n">
        <v>45628</v>
      </c>
      <c r="D112" t="inlineStr">
        <is>
          <t>VÄRMLANDS LÄN</t>
        </is>
      </c>
      <c r="E112" t="inlineStr">
        <is>
          <t>ÅRJÄNG</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33911-2019</t>
        </is>
      </c>
      <c r="B113" s="1" t="n">
        <v>43646</v>
      </c>
      <c r="C113" s="1" t="n">
        <v>45628</v>
      </c>
      <c r="D113" t="inlineStr">
        <is>
          <t>VÄRMLANDS LÄN</t>
        </is>
      </c>
      <c r="E113" t="inlineStr">
        <is>
          <t>ÅRJÄNG</t>
        </is>
      </c>
      <c r="F113" t="inlineStr">
        <is>
          <t>Övriga Aktiebolag</t>
        </is>
      </c>
      <c r="G113" t="n">
        <v>1.1</v>
      </c>
      <c r="H113" t="n">
        <v>0</v>
      </c>
      <c r="I113" t="n">
        <v>0</v>
      </c>
      <c r="J113" t="n">
        <v>0</v>
      </c>
      <c r="K113" t="n">
        <v>0</v>
      </c>
      <c r="L113" t="n">
        <v>0</v>
      </c>
      <c r="M113" t="n">
        <v>0</v>
      </c>
      <c r="N113" t="n">
        <v>0</v>
      </c>
      <c r="O113" t="n">
        <v>0</v>
      </c>
      <c r="P113" t="n">
        <v>0</v>
      </c>
      <c r="Q113" t="n">
        <v>0</v>
      </c>
      <c r="R113" s="2" t="inlineStr"/>
    </row>
    <row r="114" ht="15" customHeight="1">
      <c r="A114" t="inlineStr">
        <is>
          <t>A 34526-2019</t>
        </is>
      </c>
      <c r="B114" s="1" t="n">
        <v>43647</v>
      </c>
      <c r="C114" s="1" t="n">
        <v>45628</v>
      </c>
      <c r="D114" t="inlineStr">
        <is>
          <t>VÄRMLANDS LÄN</t>
        </is>
      </c>
      <c r="E114" t="inlineStr">
        <is>
          <t>ÅRJÄNG</t>
        </is>
      </c>
      <c r="G114" t="n">
        <v>3.4</v>
      </c>
      <c r="H114" t="n">
        <v>0</v>
      </c>
      <c r="I114" t="n">
        <v>0</v>
      </c>
      <c r="J114" t="n">
        <v>0</v>
      </c>
      <c r="K114" t="n">
        <v>0</v>
      </c>
      <c r="L114" t="n">
        <v>0</v>
      </c>
      <c r="M114" t="n">
        <v>0</v>
      </c>
      <c r="N114" t="n">
        <v>0</v>
      </c>
      <c r="O114" t="n">
        <v>0</v>
      </c>
      <c r="P114" t="n">
        <v>0</v>
      </c>
      <c r="Q114" t="n">
        <v>0</v>
      </c>
      <c r="R114" s="2" t="inlineStr"/>
    </row>
    <row r="115" ht="15" customHeight="1">
      <c r="A115" t="inlineStr">
        <is>
          <t>A 34646-2019</t>
        </is>
      </c>
      <c r="B115" s="1" t="n">
        <v>43648</v>
      </c>
      <c r="C115" s="1" t="n">
        <v>45628</v>
      </c>
      <c r="D115" t="inlineStr">
        <is>
          <t>VÄRMLANDS LÄN</t>
        </is>
      </c>
      <c r="E115" t="inlineStr">
        <is>
          <t>ÅRJÄNG</t>
        </is>
      </c>
      <c r="G115" t="n">
        <v>0.5</v>
      </c>
      <c r="H115" t="n">
        <v>0</v>
      </c>
      <c r="I115" t="n">
        <v>0</v>
      </c>
      <c r="J115" t="n">
        <v>0</v>
      </c>
      <c r="K115" t="n">
        <v>0</v>
      </c>
      <c r="L115" t="n">
        <v>0</v>
      </c>
      <c r="M115" t="n">
        <v>0</v>
      </c>
      <c r="N115" t="n">
        <v>0</v>
      </c>
      <c r="O115" t="n">
        <v>0</v>
      </c>
      <c r="P115" t="n">
        <v>0</v>
      </c>
      <c r="Q115" t="n">
        <v>0</v>
      </c>
      <c r="R115" s="2" t="inlineStr"/>
    </row>
    <row r="116" ht="15" customHeight="1">
      <c r="A116" t="inlineStr">
        <is>
          <t>A 33132-2019</t>
        </is>
      </c>
      <c r="B116" s="1" t="n">
        <v>43649</v>
      </c>
      <c r="C116" s="1" t="n">
        <v>45628</v>
      </c>
      <c r="D116" t="inlineStr">
        <is>
          <t>VÄRMLANDS LÄN</t>
        </is>
      </c>
      <c r="E116" t="inlineStr">
        <is>
          <t>ÅRJÄNG</t>
        </is>
      </c>
      <c r="G116" t="n">
        <v>2.8</v>
      </c>
      <c r="H116" t="n">
        <v>0</v>
      </c>
      <c r="I116" t="n">
        <v>0</v>
      </c>
      <c r="J116" t="n">
        <v>0</v>
      </c>
      <c r="K116" t="n">
        <v>0</v>
      </c>
      <c r="L116" t="n">
        <v>0</v>
      </c>
      <c r="M116" t="n">
        <v>0</v>
      </c>
      <c r="N116" t="n">
        <v>0</v>
      </c>
      <c r="O116" t="n">
        <v>0</v>
      </c>
      <c r="P116" t="n">
        <v>0</v>
      </c>
      <c r="Q116" t="n">
        <v>0</v>
      </c>
      <c r="R116" s="2" t="inlineStr"/>
    </row>
    <row r="117" ht="15" customHeight="1">
      <c r="A117" t="inlineStr">
        <is>
          <t>A 34762-2019</t>
        </is>
      </c>
      <c r="B117" s="1" t="n">
        <v>43649</v>
      </c>
      <c r="C117" s="1" t="n">
        <v>45628</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33192-2019</t>
        </is>
      </c>
      <c r="B118" s="1" t="n">
        <v>43649</v>
      </c>
      <c r="C118" s="1" t="n">
        <v>45628</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33195-2019</t>
        </is>
      </c>
      <c r="B119" s="1" t="n">
        <v>43649</v>
      </c>
      <c r="C119" s="1" t="n">
        <v>45628</v>
      </c>
      <c r="D119" t="inlineStr">
        <is>
          <t>VÄRMLANDS LÄN</t>
        </is>
      </c>
      <c r="E119" t="inlineStr">
        <is>
          <t>ÅRJÄNG</t>
        </is>
      </c>
      <c r="G119" t="n">
        <v>0.6</v>
      </c>
      <c r="H119" t="n">
        <v>0</v>
      </c>
      <c r="I119" t="n">
        <v>0</v>
      </c>
      <c r="J119" t="n">
        <v>0</v>
      </c>
      <c r="K119" t="n">
        <v>0</v>
      </c>
      <c r="L119" t="n">
        <v>0</v>
      </c>
      <c r="M119" t="n">
        <v>0</v>
      </c>
      <c r="N119" t="n">
        <v>0</v>
      </c>
      <c r="O119" t="n">
        <v>0</v>
      </c>
      <c r="P119" t="n">
        <v>0</v>
      </c>
      <c r="Q119" t="n">
        <v>0</v>
      </c>
      <c r="R119" s="2" t="inlineStr"/>
    </row>
    <row r="120" ht="15" customHeight="1">
      <c r="A120" t="inlineStr">
        <is>
          <t>A 33442-2019</t>
        </is>
      </c>
      <c r="B120" s="1" t="n">
        <v>43650</v>
      </c>
      <c r="C120" s="1" t="n">
        <v>45628</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33443-2019</t>
        </is>
      </c>
      <c r="B121" s="1" t="n">
        <v>43650</v>
      </c>
      <c r="C121" s="1" t="n">
        <v>45628</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33870-2019</t>
        </is>
      </c>
      <c r="B122" s="1" t="n">
        <v>43652</v>
      </c>
      <c r="C122" s="1" t="n">
        <v>45628</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33899-2019</t>
        </is>
      </c>
      <c r="B123" s="1" t="n">
        <v>43653</v>
      </c>
      <c r="C123" s="1" t="n">
        <v>45628</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34096-2019</t>
        </is>
      </c>
      <c r="B124" s="1" t="n">
        <v>43654</v>
      </c>
      <c r="C124" s="1" t="n">
        <v>45628</v>
      </c>
      <c r="D124" t="inlineStr">
        <is>
          <t>VÄRMLANDS LÄN</t>
        </is>
      </c>
      <c r="E124" t="inlineStr">
        <is>
          <t>ÅRJÄNG</t>
        </is>
      </c>
      <c r="G124" t="n">
        <v>3.6</v>
      </c>
      <c r="H124" t="n">
        <v>0</v>
      </c>
      <c r="I124" t="n">
        <v>0</v>
      </c>
      <c r="J124" t="n">
        <v>0</v>
      </c>
      <c r="K124" t="n">
        <v>0</v>
      </c>
      <c r="L124" t="n">
        <v>0</v>
      </c>
      <c r="M124" t="n">
        <v>0</v>
      </c>
      <c r="N124" t="n">
        <v>0</v>
      </c>
      <c r="O124" t="n">
        <v>0</v>
      </c>
      <c r="P124" t="n">
        <v>0</v>
      </c>
      <c r="Q124" t="n">
        <v>0</v>
      </c>
      <c r="R124" s="2" t="inlineStr"/>
    </row>
    <row r="125" ht="15" customHeight="1">
      <c r="A125" t="inlineStr">
        <is>
          <t>A 33916-2019</t>
        </is>
      </c>
      <c r="B125" s="1" t="n">
        <v>43654</v>
      </c>
      <c r="C125" s="1" t="n">
        <v>45628</v>
      </c>
      <c r="D125" t="inlineStr">
        <is>
          <t>VÄRMLANDS LÄN</t>
        </is>
      </c>
      <c r="E125" t="inlineStr">
        <is>
          <t>ÅRJÄNG</t>
        </is>
      </c>
      <c r="G125" t="n">
        <v>3.5</v>
      </c>
      <c r="H125" t="n">
        <v>0</v>
      </c>
      <c r="I125" t="n">
        <v>0</v>
      </c>
      <c r="J125" t="n">
        <v>0</v>
      </c>
      <c r="K125" t="n">
        <v>0</v>
      </c>
      <c r="L125" t="n">
        <v>0</v>
      </c>
      <c r="M125" t="n">
        <v>0</v>
      </c>
      <c r="N125" t="n">
        <v>0</v>
      </c>
      <c r="O125" t="n">
        <v>0</v>
      </c>
      <c r="P125" t="n">
        <v>0</v>
      </c>
      <c r="Q125" t="n">
        <v>0</v>
      </c>
      <c r="R125" s="2" t="inlineStr"/>
    </row>
    <row r="126" ht="15" customHeight="1">
      <c r="A126" t="inlineStr">
        <is>
          <t>A 34184-2019</t>
        </is>
      </c>
      <c r="B126" s="1" t="n">
        <v>43655</v>
      </c>
      <c r="C126" s="1" t="n">
        <v>45628</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35680-2019</t>
        </is>
      </c>
      <c r="B127" s="1" t="n">
        <v>43655</v>
      </c>
      <c r="C127" s="1" t="n">
        <v>45628</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36884-2019</t>
        </is>
      </c>
      <c r="B128" s="1" t="n">
        <v>43675</v>
      </c>
      <c r="C128" s="1" t="n">
        <v>45628</v>
      </c>
      <c r="D128" t="inlineStr">
        <is>
          <t>VÄRMLANDS LÄN</t>
        </is>
      </c>
      <c r="E128" t="inlineStr">
        <is>
          <t>ÅRJÄNG</t>
        </is>
      </c>
      <c r="G128" t="n">
        <v>1.3</v>
      </c>
      <c r="H128" t="n">
        <v>0</v>
      </c>
      <c r="I128" t="n">
        <v>0</v>
      </c>
      <c r="J128" t="n">
        <v>0</v>
      </c>
      <c r="K128" t="n">
        <v>0</v>
      </c>
      <c r="L128" t="n">
        <v>0</v>
      </c>
      <c r="M128" t="n">
        <v>0</v>
      </c>
      <c r="N128" t="n">
        <v>0</v>
      </c>
      <c r="O128" t="n">
        <v>0</v>
      </c>
      <c r="P128" t="n">
        <v>0</v>
      </c>
      <c r="Q128" t="n">
        <v>0</v>
      </c>
      <c r="R128" s="2" t="inlineStr"/>
    </row>
    <row r="129" ht="15" customHeight="1">
      <c r="A129" t="inlineStr">
        <is>
          <t>A 38272-2019</t>
        </is>
      </c>
      <c r="B129" s="1" t="n">
        <v>43684</v>
      </c>
      <c r="C129" s="1" t="n">
        <v>45628</v>
      </c>
      <c r="D129" t="inlineStr">
        <is>
          <t>VÄRMLANDS LÄN</t>
        </is>
      </c>
      <c r="E129" t="inlineStr">
        <is>
          <t>ÅRJÄNG</t>
        </is>
      </c>
      <c r="G129" t="n">
        <v>7.4</v>
      </c>
      <c r="H129" t="n">
        <v>0</v>
      </c>
      <c r="I129" t="n">
        <v>0</v>
      </c>
      <c r="J129" t="n">
        <v>0</v>
      </c>
      <c r="K129" t="n">
        <v>0</v>
      </c>
      <c r="L129" t="n">
        <v>0</v>
      </c>
      <c r="M129" t="n">
        <v>0</v>
      </c>
      <c r="N129" t="n">
        <v>0</v>
      </c>
      <c r="O129" t="n">
        <v>0</v>
      </c>
      <c r="P129" t="n">
        <v>0</v>
      </c>
      <c r="Q129" t="n">
        <v>0</v>
      </c>
      <c r="R129" s="2" t="inlineStr"/>
    </row>
    <row r="130" ht="15" customHeight="1">
      <c r="A130" t="inlineStr">
        <is>
          <t>A 38668-2019</t>
        </is>
      </c>
      <c r="B130" s="1" t="n">
        <v>43684</v>
      </c>
      <c r="C130" s="1" t="n">
        <v>45628</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41334-2019</t>
        </is>
      </c>
      <c r="B131" s="1" t="n">
        <v>43696</v>
      </c>
      <c r="C131" s="1" t="n">
        <v>45628</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41616-2019</t>
        </is>
      </c>
      <c r="B132" s="1" t="n">
        <v>43697</v>
      </c>
      <c r="C132" s="1" t="n">
        <v>45628</v>
      </c>
      <c r="D132" t="inlineStr">
        <is>
          <t>VÄRMLANDS LÄN</t>
        </is>
      </c>
      <c r="E132" t="inlineStr">
        <is>
          <t>ÅRJÄNG</t>
        </is>
      </c>
      <c r="G132" t="n">
        <v>5.5</v>
      </c>
      <c r="H132" t="n">
        <v>0</v>
      </c>
      <c r="I132" t="n">
        <v>0</v>
      </c>
      <c r="J132" t="n">
        <v>0</v>
      </c>
      <c r="K132" t="n">
        <v>0</v>
      </c>
      <c r="L132" t="n">
        <v>0</v>
      </c>
      <c r="M132" t="n">
        <v>0</v>
      </c>
      <c r="N132" t="n">
        <v>0</v>
      </c>
      <c r="O132" t="n">
        <v>0</v>
      </c>
      <c r="P132" t="n">
        <v>0</v>
      </c>
      <c r="Q132" t="n">
        <v>0</v>
      </c>
      <c r="R132" s="2" t="inlineStr"/>
    </row>
    <row r="133" ht="15" customHeight="1">
      <c r="A133" t="inlineStr">
        <is>
          <t>A 41632-2019</t>
        </is>
      </c>
      <c r="B133" s="1" t="n">
        <v>43697</v>
      </c>
      <c r="C133" s="1" t="n">
        <v>45628</v>
      </c>
      <c r="D133" t="inlineStr">
        <is>
          <t>VÄRMLANDS LÄN</t>
        </is>
      </c>
      <c r="E133" t="inlineStr">
        <is>
          <t>ÅRJÄNG</t>
        </is>
      </c>
      <c r="G133" t="n">
        <v>1.7</v>
      </c>
      <c r="H133" t="n">
        <v>0</v>
      </c>
      <c r="I133" t="n">
        <v>0</v>
      </c>
      <c r="J133" t="n">
        <v>0</v>
      </c>
      <c r="K133" t="n">
        <v>0</v>
      </c>
      <c r="L133" t="n">
        <v>0</v>
      </c>
      <c r="M133" t="n">
        <v>0</v>
      </c>
      <c r="N133" t="n">
        <v>0</v>
      </c>
      <c r="O133" t="n">
        <v>0</v>
      </c>
      <c r="P133" t="n">
        <v>0</v>
      </c>
      <c r="Q133" t="n">
        <v>0</v>
      </c>
      <c r="R133" s="2" t="inlineStr"/>
    </row>
    <row r="134" ht="15" customHeight="1">
      <c r="A134" t="inlineStr">
        <is>
          <t>A 41275-2019</t>
        </is>
      </c>
      <c r="B134" s="1" t="n">
        <v>43698</v>
      </c>
      <c r="C134" s="1" t="n">
        <v>45628</v>
      </c>
      <c r="D134" t="inlineStr">
        <is>
          <t>VÄRMLANDS LÄN</t>
        </is>
      </c>
      <c r="E134" t="inlineStr">
        <is>
          <t>ÅRJÄNG</t>
        </is>
      </c>
      <c r="G134" t="n">
        <v>10.1</v>
      </c>
      <c r="H134" t="n">
        <v>0</v>
      </c>
      <c r="I134" t="n">
        <v>0</v>
      </c>
      <c r="J134" t="n">
        <v>0</v>
      </c>
      <c r="K134" t="n">
        <v>0</v>
      </c>
      <c r="L134" t="n">
        <v>0</v>
      </c>
      <c r="M134" t="n">
        <v>0</v>
      </c>
      <c r="N134" t="n">
        <v>0</v>
      </c>
      <c r="O134" t="n">
        <v>0</v>
      </c>
      <c r="P134" t="n">
        <v>0</v>
      </c>
      <c r="Q134" t="n">
        <v>0</v>
      </c>
      <c r="R134" s="2" t="inlineStr"/>
    </row>
    <row r="135" ht="15" customHeight="1">
      <c r="A135" t="inlineStr">
        <is>
          <t>A 41192-2019</t>
        </is>
      </c>
      <c r="B135" s="1" t="n">
        <v>43698</v>
      </c>
      <c r="C135" s="1" t="n">
        <v>45628</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42851-2019</t>
        </is>
      </c>
      <c r="B136" s="1" t="n">
        <v>43699</v>
      </c>
      <c r="C136" s="1" t="n">
        <v>45628</v>
      </c>
      <c r="D136" t="inlineStr">
        <is>
          <t>VÄRMLANDS LÄN</t>
        </is>
      </c>
      <c r="E136" t="inlineStr">
        <is>
          <t>ÅRJÄNG</t>
        </is>
      </c>
      <c r="G136" t="n">
        <v>5.4</v>
      </c>
      <c r="H136" t="n">
        <v>0</v>
      </c>
      <c r="I136" t="n">
        <v>0</v>
      </c>
      <c r="J136" t="n">
        <v>0</v>
      </c>
      <c r="K136" t="n">
        <v>0</v>
      </c>
      <c r="L136" t="n">
        <v>0</v>
      </c>
      <c r="M136" t="n">
        <v>0</v>
      </c>
      <c r="N136" t="n">
        <v>0</v>
      </c>
      <c r="O136" t="n">
        <v>0</v>
      </c>
      <c r="P136" t="n">
        <v>0</v>
      </c>
      <c r="Q136" t="n">
        <v>0</v>
      </c>
      <c r="R136" s="2" t="inlineStr"/>
    </row>
    <row r="137" ht="15" customHeight="1">
      <c r="A137" t="inlineStr">
        <is>
          <t>A 42443-2019</t>
        </is>
      </c>
      <c r="B137" s="1" t="n">
        <v>43699</v>
      </c>
      <c r="C137" s="1" t="n">
        <v>45628</v>
      </c>
      <c r="D137" t="inlineStr">
        <is>
          <t>VÄRMLANDS LÄN</t>
        </is>
      </c>
      <c r="E137" t="inlineStr">
        <is>
          <t>ÅRJÄNG</t>
        </is>
      </c>
      <c r="G137" t="n">
        <v>2.2</v>
      </c>
      <c r="H137" t="n">
        <v>0</v>
      </c>
      <c r="I137" t="n">
        <v>0</v>
      </c>
      <c r="J137" t="n">
        <v>0</v>
      </c>
      <c r="K137" t="n">
        <v>0</v>
      </c>
      <c r="L137" t="n">
        <v>0</v>
      </c>
      <c r="M137" t="n">
        <v>0</v>
      </c>
      <c r="N137" t="n">
        <v>0</v>
      </c>
      <c r="O137" t="n">
        <v>0</v>
      </c>
      <c r="P137" t="n">
        <v>0</v>
      </c>
      <c r="Q137" t="n">
        <v>0</v>
      </c>
      <c r="R137" s="2" t="inlineStr"/>
    </row>
    <row r="138" ht="15" customHeight="1">
      <c r="A138" t="inlineStr">
        <is>
          <t>A 42837-2019</t>
        </is>
      </c>
      <c r="B138" s="1" t="n">
        <v>43699</v>
      </c>
      <c r="C138" s="1" t="n">
        <v>45628</v>
      </c>
      <c r="D138" t="inlineStr">
        <is>
          <t>VÄRMLANDS LÄN</t>
        </is>
      </c>
      <c r="E138" t="inlineStr">
        <is>
          <t>ÅRJÄNG</t>
        </is>
      </c>
      <c r="G138" t="n">
        <v>3</v>
      </c>
      <c r="H138" t="n">
        <v>0</v>
      </c>
      <c r="I138" t="n">
        <v>0</v>
      </c>
      <c r="J138" t="n">
        <v>0</v>
      </c>
      <c r="K138" t="n">
        <v>0</v>
      </c>
      <c r="L138" t="n">
        <v>0</v>
      </c>
      <c r="M138" t="n">
        <v>0</v>
      </c>
      <c r="N138" t="n">
        <v>0</v>
      </c>
      <c r="O138" t="n">
        <v>0</v>
      </c>
      <c r="P138" t="n">
        <v>0</v>
      </c>
      <c r="Q138" t="n">
        <v>0</v>
      </c>
      <c r="R138" s="2" t="inlineStr"/>
    </row>
    <row r="139" ht="15" customHeight="1">
      <c r="A139" t="inlineStr">
        <is>
          <t>A 41989-2019</t>
        </is>
      </c>
      <c r="B139" s="1" t="n">
        <v>43700</v>
      </c>
      <c r="C139" s="1" t="n">
        <v>45628</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41996-2019</t>
        </is>
      </c>
      <c r="B140" s="1" t="n">
        <v>43700</v>
      </c>
      <c r="C140" s="1" t="n">
        <v>45628</v>
      </c>
      <c r="D140" t="inlineStr">
        <is>
          <t>VÄRMLANDS LÄN</t>
        </is>
      </c>
      <c r="E140" t="inlineStr">
        <is>
          <t>ÅRJÄNG</t>
        </is>
      </c>
      <c r="G140" t="n">
        <v>4</v>
      </c>
      <c r="H140" t="n">
        <v>0</v>
      </c>
      <c r="I140" t="n">
        <v>0</v>
      </c>
      <c r="J140" t="n">
        <v>0</v>
      </c>
      <c r="K140" t="n">
        <v>0</v>
      </c>
      <c r="L140" t="n">
        <v>0</v>
      </c>
      <c r="M140" t="n">
        <v>0</v>
      </c>
      <c r="N140" t="n">
        <v>0</v>
      </c>
      <c r="O140" t="n">
        <v>0</v>
      </c>
      <c r="P140" t="n">
        <v>0</v>
      </c>
      <c r="Q140" t="n">
        <v>0</v>
      </c>
      <c r="R140" s="2" t="inlineStr"/>
    </row>
    <row r="141" ht="15" customHeight="1">
      <c r="A141" t="inlineStr">
        <is>
          <t>A 42853-2019</t>
        </is>
      </c>
      <c r="B141" s="1" t="n">
        <v>43700</v>
      </c>
      <c r="C141" s="1" t="n">
        <v>45628</v>
      </c>
      <c r="D141" t="inlineStr">
        <is>
          <t>VÄRMLANDS LÄN</t>
        </is>
      </c>
      <c r="E141" t="inlineStr">
        <is>
          <t>ÅRJÄNG</t>
        </is>
      </c>
      <c r="G141" t="n">
        <v>2.1</v>
      </c>
      <c r="H141" t="n">
        <v>0</v>
      </c>
      <c r="I141" t="n">
        <v>0</v>
      </c>
      <c r="J141" t="n">
        <v>0</v>
      </c>
      <c r="K141" t="n">
        <v>0</v>
      </c>
      <c r="L141" t="n">
        <v>0</v>
      </c>
      <c r="M141" t="n">
        <v>0</v>
      </c>
      <c r="N141" t="n">
        <v>0</v>
      </c>
      <c r="O141" t="n">
        <v>0</v>
      </c>
      <c r="P141" t="n">
        <v>0</v>
      </c>
      <c r="Q141" t="n">
        <v>0</v>
      </c>
      <c r="R141" s="2" t="inlineStr"/>
    </row>
    <row r="142" ht="15" customHeight="1">
      <c r="A142" t="inlineStr">
        <is>
          <t>A 42284-2019</t>
        </is>
      </c>
      <c r="B142" s="1" t="n">
        <v>43703</v>
      </c>
      <c r="C142" s="1" t="n">
        <v>45628</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43137-2019</t>
        </is>
      </c>
      <c r="B143" s="1" t="n">
        <v>43703</v>
      </c>
      <c r="C143" s="1" t="n">
        <v>45628</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43141-2019</t>
        </is>
      </c>
      <c r="B144" s="1" t="n">
        <v>43703</v>
      </c>
      <c r="C144" s="1" t="n">
        <v>45628</v>
      </c>
      <c r="D144" t="inlineStr">
        <is>
          <t>VÄRMLANDS LÄN</t>
        </is>
      </c>
      <c r="E144" t="inlineStr">
        <is>
          <t>ÅRJÄNG</t>
        </is>
      </c>
      <c r="G144" t="n">
        <v>0.9</v>
      </c>
      <c r="H144" t="n">
        <v>0</v>
      </c>
      <c r="I144" t="n">
        <v>0</v>
      </c>
      <c r="J144" t="n">
        <v>0</v>
      </c>
      <c r="K144" t="n">
        <v>0</v>
      </c>
      <c r="L144" t="n">
        <v>0</v>
      </c>
      <c r="M144" t="n">
        <v>0</v>
      </c>
      <c r="N144" t="n">
        <v>0</v>
      </c>
      <c r="O144" t="n">
        <v>0</v>
      </c>
      <c r="P144" t="n">
        <v>0</v>
      </c>
      <c r="Q144" t="n">
        <v>0</v>
      </c>
      <c r="R144" s="2" t="inlineStr"/>
    </row>
    <row r="145" ht="15" customHeight="1">
      <c r="A145" t="inlineStr">
        <is>
          <t>A 42904-2019</t>
        </is>
      </c>
      <c r="B145" s="1" t="n">
        <v>43705</v>
      </c>
      <c r="C145" s="1" t="n">
        <v>45628</v>
      </c>
      <c r="D145" t="inlineStr">
        <is>
          <t>VÄRMLANDS LÄN</t>
        </is>
      </c>
      <c r="E145" t="inlineStr">
        <is>
          <t>ÅRJÄNG</t>
        </is>
      </c>
      <c r="G145" t="n">
        <v>1.7</v>
      </c>
      <c r="H145" t="n">
        <v>0</v>
      </c>
      <c r="I145" t="n">
        <v>0</v>
      </c>
      <c r="J145" t="n">
        <v>0</v>
      </c>
      <c r="K145" t="n">
        <v>0</v>
      </c>
      <c r="L145" t="n">
        <v>0</v>
      </c>
      <c r="M145" t="n">
        <v>0</v>
      </c>
      <c r="N145" t="n">
        <v>0</v>
      </c>
      <c r="O145" t="n">
        <v>0</v>
      </c>
      <c r="P145" t="n">
        <v>0</v>
      </c>
      <c r="Q145" t="n">
        <v>0</v>
      </c>
      <c r="R145" s="2" t="inlineStr"/>
    </row>
    <row r="146" ht="15" customHeight="1">
      <c r="A146" t="inlineStr">
        <is>
          <t>A 44380-2019</t>
        </is>
      </c>
      <c r="B146" s="1" t="n">
        <v>43705</v>
      </c>
      <c r="C146" s="1" t="n">
        <v>45628</v>
      </c>
      <c r="D146" t="inlineStr">
        <is>
          <t>VÄRMLANDS LÄN</t>
        </is>
      </c>
      <c r="E146" t="inlineStr">
        <is>
          <t>ÅRJÄNG</t>
        </is>
      </c>
      <c r="G146" t="n">
        <v>3.4</v>
      </c>
      <c r="H146" t="n">
        <v>0</v>
      </c>
      <c r="I146" t="n">
        <v>0</v>
      </c>
      <c r="J146" t="n">
        <v>0</v>
      </c>
      <c r="K146" t="n">
        <v>0</v>
      </c>
      <c r="L146" t="n">
        <v>0</v>
      </c>
      <c r="M146" t="n">
        <v>0</v>
      </c>
      <c r="N146" t="n">
        <v>0</v>
      </c>
      <c r="O146" t="n">
        <v>0</v>
      </c>
      <c r="P146" t="n">
        <v>0</v>
      </c>
      <c r="Q146" t="n">
        <v>0</v>
      </c>
      <c r="R146" s="2" t="inlineStr"/>
    </row>
    <row r="147" ht="15" customHeight="1">
      <c r="A147" t="inlineStr">
        <is>
          <t>A 44375-2019</t>
        </is>
      </c>
      <c r="B147" s="1" t="n">
        <v>43705</v>
      </c>
      <c r="C147" s="1" t="n">
        <v>45628</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44367-2019</t>
        </is>
      </c>
      <c r="B148" s="1" t="n">
        <v>43705</v>
      </c>
      <c r="C148" s="1" t="n">
        <v>45628</v>
      </c>
      <c r="D148" t="inlineStr">
        <is>
          <t>VÄRMLANDS LÄN</t>
        </is>
      </c>
      <c r="E148" t="inlineStr">
        <is>
          <t>ÅRJÄNG</t>
        </is>
      </c>
      <c r="G148" t="n">
        <v>2.2</v>
      </c>
      <c r="H148" t="n">
        <v>0</v>
      </c>
      <c r="I148" t="n">
        <v>0</v>
      </c>
      <c r="J148" t="n">
        <v>0</v>
      </c>
      <c r="K148" t="n">
        <v>0</v>
      </c>
      <c r="L148" t="n">
        <v>0</v>
      </c>
      <c r="M148" t="n">
        <v>0</v>
      </c>
      <c r="N148" t="n">
        <v>0</v>
      </c>
      <c r="O148" t="n">
        <v>0</v>
      </c>
      <c r="P148" t="n">
        <v>0</v>
      </c>
      <c r="Q148" t="n">
        <v>0</v>
      </c>
      <c r="R148" s="2" t="inlineStr"/>
    </row>
    <row r="149" ht="15" customHeight="1">
      <c r="A149" t="inlineStr">
        <is>
          <t>A 43927-2019</t>
        </is>
      </c>
      <c r="B149" s="1" t="n">
        <v>43707</v>
      </c>
      <c r="C149" s="1" t="n">
        <v>45628</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43910-2019</t>
        </is>
      </c>
      <c r="B150" s="1" t="n">
        <v>43707</v>
      </c>
      <c r="C150" s="1" t="n">
        <v>45628</v>
      </c>
      <c r="D150" t="inlineStr">
        <is>
          <t>VÄRMLANDS LÄN</t>
        </is>
      </c>
      <c r="E150" t="inlineStr">
        <is>
          <t>ÅRJÄNG</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43643-2019</t>
        </is>
      </c>
      <c r="B151" s="1" t="n">
        <v>43707</v>
      </c>
      <c r="C151" s="1" t="n">
        <v>45628</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44069-2019</t>
        </is>
      </c>
      <c r="B152" s="1" t="n">
        <v>43710</v>
      </c>
      <c r="C152" s="1" t="n">
        <v>45628</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44594-2019</t>
        </is>
      </c>
      <c r="B153" s="1" t="n">
        <v>43711</v>
      </c>
      <c r="C153" s="1" t="n">
        <v>45628</v>
      </c>
      <c r="D153" t="inlineStr">
        <is>
          <t>VÄRMLANDS LÄN</t>
        </is>
      </c>
      <c r="E153" t="inlineStr">
        <is>
          <t>ÅRJÄNG</t>
        </is>
      </c>
      <c r="G153" t="n">
        <v>1.9</v>
      </c>
      <c r="H153" t="n">
        <v>0</v>
      </c>
      <c r="I153" t="n">
        <v>0</v>
      </c>
      <c r="J153" t="n">
        <v>0</v>
      </c>
      <c r="K153" t="n">
        <v>0</v>
      </c>
      <c r="L153" t="n">
        <v>0</v>
      </c>
      <c r="M153" t="n">
        <v>0</v>
      </c>
      <c r="N153" t="n">
        <v>0</v>
      </c>
      <c r="O153" t="n">
        <v>0</v>
      </c>
      <c r="P153" t="n">
        <v>0</v>
      </c>
      <c r="Q153" t="n">
        <v>0</v>
      </c>
      <c r="R153" s="2" t="inlineStr"/>
    </row>
    <row r="154" ht="15" customHeight="1">
      <c r="A154" t="inlineStr">
        <is>
          <t>A 46799-2019</t>
        </is>
      </c>
      <c r="B154" s="1" t="n">
        <v>43718</v>
      </c>
      <c r="C154" s="1" t="n">
        <v>45628</v>
      </c>
      <c r="D154" t="inlineStr">
        <is>
          <t>VÄRMLANDS LÄN</t>
        </is>
      </c>
      <c r="E154" t="inlineStr">
        <is>
          <t>ÅRJÄNG</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47272-2019</t>
        </is>
      </c>
      <c r="B155" s="1" t="n">
        <v>43721</v>
      </c>
      <c r="C155" s="1" t="n">
        <v>45628</v>
      </c>
      <c r="D155" t="inlineStr">
        <is>
          <t>VÄRMLANDS LÄN</t>
        </is>
      </c>
      <c r="E155" t="inlineStr">
        <is>
          <t>ÅRJÄNG</t>
        </is>
      </c>
      <c r="G155" t="n">
        <v>2.4</v>
      </c>
      <c r="H155" t="n">
        <v>0</v>
      </c>
      <c r="I155" t="n">
        <v>0</v>
      </c>
      <c r="J155" t="n">
        <v>0</v>
      </c>
      <c r="K155" t="n">
        <v>0</v>
      </c>
      <c r="L155" t="n">
        <v>0</v>
      </c>
      <c r="M155" t="n">
        <v>0</v>
      </c>
      <c r="N155" t="n">
        <v>0</v>
      </c>
      <c r="O155" t="n">
        <v>0</v>
      </c>
      <c r="P155" t="n">
        <v>0</v>
      </c>
      <c r="Q155" t="n">
        <v>0</v>
      </c>
      <c r="R155" s="2" t="inlineStr"/>
    </row>
    <row r="156" ht="15" customHeight="1">
      <c r="A156" t="inlineStr">
        <is>
          <t>A 47147-2019</t>
        </is>
      </c>
      <c r="B156" s="1" t="n">
        <v>43721</v>
      </c>
      <c r="C156" s="1" t="n">
        <v>45628</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47620-2019</t>
        </is>
      </c>
      <c r="B157" s="1" t="n">
        <v>43724</v>
      </c>
      <c r="C157" s="1" t="n">
        <v>45628</v>
      </c>
      <c r="D157" t="inlineStr">
        <is>
          <t>VÄRMLANDS LÄN</t>
        </is>
      </c>
      <c r="E157" t="inlineStr">
        <is>
          <t>ÅRJÄNG</t>
        </is>
      </c>
      <c r="F157" t="inlineStr">
        <is>
          <t>Kyrkan</t>
        </is>
      </c>
      <c r="G157" t="n">
        <v>3.5</v>
      </c>
      <c r="H157" t="n">
        <v>0</v>
      </c>
      <c r="I157" t="n">
        <v>0</v>
      </c>
      <c r="J157" t="n">
        <v>0</v>
      </c>
      <c r="K157" t="n">
        <v>0</v>
      </c>
      <c r="L157" t="n">
        <v>0</v>
      </c>
      <c r="M157" t="n">
        <v>0</v>
      </c>
      <c r="N157" t="n">
        <v>0</v>
      </c>
      <c r="O157" t="n">
        <v>0</v>
      </c>
      <c r="P157" t="n">
        <v>0</v>
      </c>
      <c r="Q157" t="n">
        <v>0</v>
      </c>
      <c r="R157" s="2" t="inlineStr"/>
    </row>
    <row r="158" ht="15" customHeight="1">
      <c r="A158" t="inlineStr">
        <is>
          <t>A 49041-2019</t>
        </is>
      </c>
      <c r="B158" s="1" t="n">
        <v>43727</v>
      </c>
      <c r="C158" s="1" t="n">
        <v>45628</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48844-2019</t>
        </is>
      </c>
      <c r="B159" s="1" t="n">
        <v>43727</v>
      </c>
      <c r="C159" s="1" t="n">
        <v>45628</v>
      </c>
      <c r="D159" t="inlineStr">
        <is>
          <t>VÄRMLANDS LÄN</t>
        </is>
      </c>
      <c r="E159" t="inlineStr">
        <is>
          <t>ÅRJÄNG</t>
        </is>
      </c>
      <c r="G159" t="n">
        <v>2.7</v>
      </c>
      <c r="H159" t="n">
        <v>0</v>
      </c>
      <c r="I159" t="n">
        <v>0</v>
      </c>
      <c r="J159" t="n">
        <v>0</v>
      </c>
      <c r="K159" t="n">
        <v>0</v>
      </c>
      <c r="L159" t="n">
        <v>0</v>
      </c>
      <c r="M159" t="n">
        <v>0</v>
      </c>
      <c r="N159" t="n">
        <v>0</v>
      </c>
      <c r="O159" t="n">
        <v>0</v>
      </c>
      <c r="P159" t="n">
        <v>0</v>
      </c>
      <c r="Q159" t="n">
        <v>0</v>
      </c>
      <c r="R159" s="2" t="inlineStr"/>
    </row>
    <row r="160" ht="15" customHeight="1">
      <c r="A160" t="inlineStr">
        <is>
          <t>A 48857-2019</t>
        </is>
      </c>
      <c r="B160" s="1" t="n">
        <v>43727</v>
      </c>
      <c r="C160" s="1" t="n">
        <v>45628</v>
      </c>
      <c r="D160" t="inlineStr">
        <is>
          <t>VÄRMLANDS LÄN</t>
        </is>
      </c>
      <c r="E160" t="inlineStr">
        <is>
          <t>ÅRJÄNG</t>
        </is>
      </c>
      <c r="G160" t="n">
        <v>5.1</v>
      </c>
      <c r="H160" t="n">
        <v>0</v>
      </c>
      <c r="I160" t="n">
        <v>0</v>
      </c>
      <c r="J160" t="n">
        <v>0</v>
      </c>
      <c r="K160" t="n">
        <v>0</v>
      </c>
      <c r="L160" t="n">
        <v>0</v>
      </c>
      <c r="M160" t="n">
        <v>0</v>
      </c>
      <c r="N160" t="n">
        <v>0</v>
      </c>
      <c r="O160" t="n">
        <v>0</v>
      </c>
      <c r="P160" t="n">
        <v>0</v>
      </c>
      <c r="Q160" t="n">
        <v>0</v>
      </c>
      <c r="R160" s="2" t="inlineStr"/>
    </row>
    <row r="161" ht="15" customHeight="1">
      <c r="A161" t="inlineStr">
        <is>
          <t>A 48925-2019</t>
        </is>
      </c>
      <c r="B161" s="1" t="n">
        <v>43728</v>
      </c>
      <c r="C161" s="1" t="n">
        <v>45628</v>
      </c>
      <c r="D161" t="inlineStr">
        <is>
          <t>VÄRMLANDS LÄN</t>
        </is>
      </c>
      <c r="E161" t="inlineStr">
        <is>
          <t>ÅRJÄNG</t>
        </is>
      </c>
      <c r="G161" t="n">
        <v>6.8</v>
      </c>
      <c r="H161" t="n">
        <v>0</v>
      </c>
      <c r="I161" t="n">
        <v>0</v>
      </c>
      <c r="J161" t="n">
        <v>0</v>
      </c>
      <c r="K161" t="n">
        <v>0</v>
      </c>
      <c r="L161" t="n">
        <v>0</v>
      </c>
      <c r="M161" t="n">
        <v>0</v>
      </c>
      <c r="N161" t="n">
        <v>0</v>
      </c>
      <c r="O161" t="n">
        <v>0</v>
      </c>
      <c r="P161" t="n">
        <v>0</v>
      </c>
      <c r="Q161" t="n">
        <v>0</v>
      </c>
      <c r="R161" s="2" t="inlineStr"/>
    </row>
    <row r="162" ht="15" customHeight="1">
      <c r="A162" t="inlineStr">
        <is>
          <t>A 49577-2019</t>
        </is>
      </c>
      <c r="B162" s="1" t="n">
        <v>43730</v>
      </c>
      <c r="C162" s="1" t="n">
        <v>45628</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50482-2019</t>
        </is>
      </c>
      <c r="B163" s="1" t="n">
        <v>43731</v>
      </c>
      <c r="C163" s="1" t="n">
        <v>45628</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49650-2019</t>
        </is>
      </c>
      <c r="B164" s="1" t="n">
        <v>43732</v>
      </c>
      <c r="C164" s="1" t="n">
        <v>45628</v>
      </c>
      <c r="D164" t="inlineStr">
        <is>
          <t>VÄRMLANDS LÄN</t>
        </is>
      </c>
      <c r="E164" t="inlineStr">
        <is>
          <t>ÅRJÄNG</t>
        </is>
      </c>
      <c r="G164" t="n">
        <v>7.5</v>
      </c>
      <c r="H164" t="n">
        <v>0</v>
      </c>
      <c r="I164" t="n">
        <v>0</v>
      </c>
      <c r="J164" t="n">
        <v>0</v>
      </c>
      <c r="K164" t="n">
        <v>0</v>
      </c>
      <c r="L164" t="n">
        <v>0</v>
      </c>
      <c r="M164" t="n">
        <v>0</v>
      </c>
      <c r="N164" t="n">
        <v>0</v>
      </c>
      <c r="O164" t="n">
        <v>0</v>
      </c>
      <c r="P164" t="n">
        <v>0</v>
      </c>
      <c r="Q164" t="n">
        <v>0</v>
      </c>
      <c r="R164" s="2" t="inlineStr"/>
    </row>
    <row r="165" ht="15" customHeight="1">
      <c r="A165" t="inlineStr">
        <is>
          <t>A 50057-2019</t>
        </is>
      </c>
      <c r="B165" s="1" t="n">
        <v>43734</v>
      </c>
      <c r="C165" s="1" t="n">
        <v>45628</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51725-2019</t>
        </is>
      </c>
      <c r="B166" s="1" t="n">
        <v>43734</v>
      </c>
      <c r="C166" s="1" t="n">
        <v>45628</v>
      </c>
      <c r="D166" t="inlineStr">
        <is>
          <t>VÄRMLANDS LÄN</t>
        </is>
      </c>
      <c r="E166" t="inlineStr">
        <is>
          <t>ÅRJÄNG</t>
        </is>
      </c>
      <c r="G166" t="n">
        <v>8.4</v>
      </c>
      <c r="H166" t="n">
        <v>0</v>
      </c>
      <c r="I166" t="n">
        <v>0</v>
      </c>
      <c r="J166" t="n">
        <v>0</v>
      </c>
      <c r="K166" t="n">
        <v>0</v>
      </c>
      <c r="L166" t="n">
        <v>0</v>
      </c>
      <c r="M166" t="n">
        <v>0</v>
      </c>
      <c r="N166" t="n">
        <v>0</v>
      </c>
      <c r="O166" t="n">
        <v>0</v>
      </c>
      <c r="P166" t="n">
        <v>0</v>
      </c>
      <c r="Q166" t="n">
        <v>0</v>
      </c>
      <c r="R166" s="2" t="inlineStr"/>
    </row>
    <row r="167" ht="15" customHeight="1">
      <c r="A167" t="inlineStr">
        <is>
          <t>A 51613-2019</t>
        </is>
      </c>
      <c r="B167" s="1" t="n">
        <v>43740</v>
      </c>
      <c r="C167" s="1" t="n">
        <v>45628</v>
      </c>
      <c r="D167" t="inlineStr">
        <is>
          <t>VÄRMLANDS LÄN</t>
        </is>
      </c>
      <c r="E167" t="inlineStr">
        <is>
          <t>ÅRJÄNG</t>
        </is>
      </c>
      <c r="G167" t="n">
        <v>2</v>
      </c>
      <c r="H167" t="n">
        <v>0</v>
      </c>
      <c r="I167" t="n">
        <v>0</v>
      </c>
      <c r="J167" t="n">
        <v>0</v>
      </c>
      <c r="K167" t="n">
        <v>0</v>
      </c>
      <c r="L167" t="n">
        <v>0</v>
      </c>
      <c r="M167" t="n">
        <v>0</v>
      </c>
      <c r="N167" t="n">
        <v>0</v>
      </c>
      <c r="O167" t="n">
        <v>0</v>
      </c>
      <c r="P167" t="n">
        <v>0</v>
      </c>
      <c r="Q167" t="n">
        <v>0</v>
      </c>
      <c r="R167" s="2" t="inlineStr"/>
    </row>
    <row r="168" ht="15" customHeight="1">
      <c r="A168" t="inlineStr">
        <is>
          <t>A 51609-2019</t>
        </is>
      </c>
      <c r="B168" s="1" t="n">
        <v>43740</v>
      </c>
      <c r="C168" s="1" t="n">
        <v>45628</v>
      </c>
      <c r="D168" t="inlineStr">
        <is>
          <t>VÄRMLANDS LÄN</t>
        </is>
      </c>
      <c r="E168" t="inlineStr">
        <is>
          <t>ÅRJÄNG</t>
        </is>
      </c>
      <c r="G168" t="n">
        <v>3.9</v>
      </c>
      <c r="H168" t="n">
        <v>0</v>
      </c>
      <c r="I168" t="n">
        <v>0</v>
      </c>
      <c r="J168" t="n">
        <v>0</v>
      </c>
      <c r="K168" t="n">
        <v>0</v>
      </c>
      <c r="L168" t="n">
        <v>0</v>
      </c>
      <c r="M168" t="n">
        <v>0</v>
      </c>
      <c r="N168" t="n">
        <v>0</v>
      </c>
      <c r="O168" t="n">
        <v>0</v>
      </c>
      <c r="P168" t="n">
        <v>0</v>
      </c>
      <c r="Q168" t="n">
        <v>0</v>
      </c>
      <c r="R168" s="2" t="inlineStr"/>
    </row>
    <row r="169" ht="15" customHeight="1">
      <c r="A169" t="inlineStr">
        <is>
          <t>A 51633-2019</t>
        </is>
      </c>
      <c r="B169" s="1" t="n">
        <v>43740</v>
      </c>
      <c r="C169" s="1" t="n">
        <v>45628</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53599-2019</t>
        </is>
      </c>
      <c r="B170" s="1" t="n">
        <v>43741</v>
      </c>
      <c r="C170" s="1" t="n">
        <v>45628</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54015-2019</t>
        </is>
      </c>
      <c r="B171" s="1" t="n">
        <v>43742</v>
      </c>
      <c r="C171" s="1" t="n">
        <v>45628</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54599-2019</t>
        </is>
      </c>
      <c r="B172" s="1" t="n">
        <v>43748</v>
      </c>
      <c r="C172" s="1" t="n">
        <v>45628</v>
      </c>
      <c r="D172" t="inlineStr">
        <is>
          <t>VÄRMLANDS LÄN</t>
        </is>
      </c>
      <c r="E172" t="inlineStr">
        <is>
          <t>ÅRJÄNG</t>
        </is>
      </c>
      <c r="G172" t="n">
        <v>1.5</v>
      </c>
      <c r="H172" t="n">
        <v>0</v>
      </c>
      <c r="I172" t="n">
        <v>0</v>
      </c>
      <c r="J172" t="n">
        <v>0</v>
      </c>
      <c r="K172" t="n">
        <v>0</v>
      </c>
      <c r="L172" t="n">
        <v>0</v>
      </c>
      <c r="M172" t="n">
        <v>0</v>
      </c>
      <c r="N172" t="n">
        <v>0</v>
      </c>
      <c r="O172" t="n">
        <v>0</v>
      </c>
      <c r="P172" t="n">
        <v>0</v>
      </c>
      <c r="Q172" t="n">
        <v>0</v>
      </c>
      <c r="R172" s="2" t="inlineStr"/>
    </row>
    <row r="173" ht="15" customHeight="1">
      <c r="A173" t="inlineStr">
        <is>
          <t>A 53651-2019</t>
        </is>
      </c>
      <c r="B173" s="1" t="n">
        <v>43749</v>
      </c>
      <c r="C173" s="1" t="n">
        <v>45628</v>
      </c>
      <c r="D173" t="inlineStr">
        <is>
          <t>VÄRMLANDS LÄN</t>
        </is>
      </c>
      <c r="E173" t="inlineStr">
        <is>
          <t>ÅRJÄNG</t>
        </is>
      </c>
      <c r="G173" t="n">
        <v>1.1</v>
      </c>
      <c r="H173" t="n">
        <v>0</v>
      </c>
      <c r="I173" t="n">
        <v>0</v>
      </c>
      <c r="J173" t="n">
        <v>0</v>
      </c>
      <c r="K173" t="n">
        <v>0</v>
      </c>
      <c r="L173" t="n">
        <v>0</v>
      </c>
      <c r="M173" t="n">
        <v>0</v>
      </c>
      <c r="N173" t="n">
        <v>0</v>
      </c>
      <c r="O173" t="n">
        <v>0</v>
      </c>
      <c r="P173" t="n">
        <v>0</v>
      </c>
      <c r="Q173" t="n">
        <v>0</v>
      </c>
      <c r="R173" s="2" t="inlineStr"/>
    </row>
    <row r="174" ht="15" customHeight="1">
      <c r="A174" t="inlineStr">
        <is>
          <t>A 56060-2019</t>
        </is>
      </c>
      <c r="B174" s="1" t="n">
        <v>43759</v>
      </c>
      <c r="C174" s="1" t="n">
        <v>45628</v>
      </c>
      <c r="D174" t="inlineStr">
        <is>
          <t>VÄRMLANDS LÄN</t>
        </is>
      </c>
      <c r="E174" t="inlineStr">
        <is>
          <t>ÅRJÄNG</t>
        </is>
      </c>
      <c r="F174" t="inlineStr">
        <is>
          <t>Bergvik skog väst AB</t>
        </is>
      </c>
      <c r="G174" t="n">
        <v>10.2</v>
      </c>
      <c r="H174" t="n">
        <v>0</v>
      </c>
      <c r="I174" t="n">
        <v>0</v>
      </c>
      <c r="J174" t="n">
        <v>0</v>
      </c>
      <c r="K174" t="n">
        <v>0</v>
      </c>
      <c r="L174" t="n">
        <v>0</v>
      </c>
      <c r="M174" t="n">
        <v>0</v>
      </c>
      <c r="N174" t="n">
        <v>0</v>
      </c>
      <c r="O174" t="n">
        <v>0</v>
      </c>
      <c r="P174" t="n">
        <v>0</v>
      </c>
      <c r="Q174" t="n">
        <v>0</v>
      </c>
      <c r="R174" s="2" t="inlineStr"/>
    </row>
    <row r="175" ht="15" customHeight="1">
      <c r="A175" t="inlineStr">
        <is>
          <t>A 56331-2019</t>
        </is>
      </c>
      <c r="B175" s="1" t="n">
        <v>43762</v>
      </c>
      <c r="C175" s="1" t="n">
        <v>45628</v>
      </c>
      <c r="D175" t="inlineStr">
        <is>
          <t>VÄRMLANDS LÄN</t>
        </is>
      </c>
      <c r="E175" t="inlineStr">
        <is>
          <t>ÅRJÄNG</t>
        </is>
      </c>
      <c r="G175" t="n">
        <v>3.1</v>
      </c>
      <c r="H175" t="n">
        <v>0</v>
      </c>
      <c r="I175" t="n">
        <v>0</v>
      </c>
      <c r="J175" t="n">
        <v>0</v>
      </c>
      <c r="K175" t="n">
        <v>0</v>
      </c>
      <c r="L175" t="n">
        <v>0</v>
      </c>
      <c r="M175" t="n">
        <v>0</v>
      </c>
      <c r="N175" t="n">
        <v>0</v>
      </c>
      <c r="O175" t="n">
        <v>0</v>
      </c>
      <c r="P175" t="n">
        <v>0</v>
      </c>
      <c r="Q175" t="n">
        <v>0</v>
      </c>
      <c r="R175" s="2" t="inlineStr"/>
    </row>
    <row r="176" ht="15" customHeight="1">
      <c r="A176" t="inlineStr">
        <is>
          <t>A 56298-2019</t>
        </is>
      </c>
      <c r="B176" s="1" t="n">
        <v>43762</v>
      </c>
      <c r="C176" s="1" t="n">
        <v>45628</v>
      </c>
      <c r="D176" t="inlineStr">
        <is>
          <t>VÄRMLANDS LÄN</t>
        </is>
      </c>
      <c r="E176" t="inlineStr">
        <is>
          <t>ÅRJÄNG</t>
        </is>
      </c>
      <c r="G176" t="n">
        <v>5.9</v>
      </c>
      <c r="H176" t="n">
        <v>0</v>
      </c>
      <c r="I176" t="n">
        <v>0</v>
      </c>
      <c r="J176" t="n">
        <v>0</v>
      </c>
      <c r="K176" t="n">
        <v>0</v>
      </c>
      <c r="L176" t="n">
        <v>0</v>
      </c>
      <c r="M176" t="n">
        <v>0</v>
      </c>
      <c r="N176" t="n">
        <v>0</v>
      </c>
      <c r="O176" t="n">
        <v>0</v>
      </c>
      <c r="P176" t="n">
        <v>0</v>
      </c>
      <c r="Q176" t="n">
        <v>0</v>
      </c>
      <c r="R176" s="2" t="inlineStr"/>
    </row>
    <row r="177" ht="15" customHeight="1">
      <c r="A177" t="inlineStr">
        <is>
          <t>A 56329-2019</t>
        </is>
      </c>
      <c r="B177" s="1" t="n">
        <v>43762</v>
      </c>
      <c r="C177" s="1" t="n">
        <v>45628</v>
      </c>
      <c r="D177" t="inlineStr">
        <is>
          <t>VÄRMLANDS LÄN</t>
        </is>
      </c>
      <c r="E177" t="inlineStr">
        <is>
          <t>ÅRJÄNG</t>
        </is>
      </c>
      <c r="G177" t="n">
        <v>2.2</v>
      </c>
      <c r="H177" t="n">
        <v>0</v>
      </c>
      <c r="I177" t="n">
        <v>0</v>
      </c>
      <c r="J177" t="n">
        <v>0</v>
      </c>
      <c r="K177" t="n">
        <v>0</v>
      </c>
      <c r="L177" t="n">
        <v>0</v>
      </c>
      <c r="M177" t="n">
        <v>0</v>
      </c>
      <c r="N177" t="n">
        <v>0</v>
      </c>
      <c r="O177" t="n">
        <v>0</v>
      </c>
      <c r="P177" t="n">
        <v>0</v>
      </c>
      <c r="Q177" t="n">
        <v>0</v>
      </c>
      <c r="R177" s="2" t="inlineStr"/>
    </row>
    <row r="178" ht="15" customHeight="1">
      <c r="A178" t="inlineStr">
        <is>
          <t>A 57003-2019</t>
        </is>
      </c>
      <c r="B178" s="1" t="n">
        <v>43766</v>
      </c>
      <c r="C178" s="1" t="n">
        <v>45628</v>
      </c>
      <c r="D178" t="inlineStr">
        <is>
          <t>VÄRMLANDS LÄN</t>
        </is>
      </c>
      <c r="E178" t="inlineStr">
        <is>
          <t>ÅRJÄNG</t>
        </is>
      </c>
      <c r="G178" t="n">
        <v>2.6</v>
      </c>
      <c r="H178" t="n">
        <v>0</v>
      </c>
      <c r="I178" t="n">
        <v>0</v>
      </c>
      <c r="J178" t="n">
        <v>0</v>
      </c>
      <c r="K178" t="n">
        <v>0</v>
      </c>
      <c r="L178" t="n">
        <v>0</v>
      </c>
      <c r="M178" t="n">
        <v>0</v>
      </c>
      <c r="N178" t="n">
        <v>0</v>
      </c>
      <c r="O178" t="n">
        <v>0</v>
      </c>
      <c r="P178" t="n">
        <v>0</v>
      </c>
      <c r="Q178" t="n">
        <v>0</v>
      </c>
      <c r="R178" s="2" t="inlineStr"/>
    </row>
    <row r="179" ht="15" customHeight="1">
      <c r="A179" t="inlineStr">
        <is>
          <t>A 59037-2019</t>
        </is>
      </c>
      <c r="B179" s="1" t="n">
        <v>43768</v>
      </c>
      <c r="C179" s="1" t="n">
        <v>45628</v>
      </c>
      <c r="D179" t="inlineStr">
        <is>
          <t>VÄRMLANDS LÄN</t>
        </is>
      </c>
      <c r="E179" t="inlineStr">
        <is>
          <t>ÅRJÄNG</t>
        </is>
      </c>
      <c r="F179" t="inlineStr">
        <is>
          <t>Övriga Aktiebolag</t>
        </is>
      </c>
      <c r="G179" t="n">
        <v>2.3</v>
      </c>
      <c r="H179" t="n">
        <v>0</v>
      </c>
      <c r="I179" t="n">
        <v>0</v>
      </c>
      <c r="J179" t="n">
        <v>0</v>
      </c>
      <c r="K179" t="n">
        <v>0</v>
      </c>
      <c r="L179" t="n">
        <v>0</v>
      </c>
      <c r="M179" t="n">
        <v>0</v>
      </c>
      <c r="N179" t="n">
        <v>0</v>
      </c>
      <c r="O179" t="n">
        <v>0</v>
      </c>
      <c r="P179" t="n">
        <v>0</v>
      </c>
      <c r="Q179" t="n">
        <v>0</v>
      </c>
      <c r="R179" s="2" t="inlineStr"/>
    </row>
    <row r="180" ht="15" customHeight="1">
      <c r="A180" t="inlineStr">
        <is>
          <t>A 57888-2019</t>
        </is>
      </c>
      <c r="B180" s="1" t="n">
        <v>43769</v>
      </c>
      <c r="C180" s="1" t="n">
        <v>45628</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58221-2019</t>
        </is>
      </c>
      <c r="B181" s="1" t="n">
        <v>43770</v>
      </c>
      <c r="C181" s="1" t="n">
        <v>45628</v>
      </c>
      <c r="D181" t="inlineStr">
        <is>
          <t>VÄRMLANDS LÄN</t>
        </is>
      </c>
      <c r="E181" t="inlineStr">
        <is>
          <t>ÅRJÄNG</t>
        </is>
      </c>
      <c r="G181" t="n">
        <v>2.3</v>
      </c>
      <c r="H181" t="n">
        <v>0</v>
      </c>
      <c r="I181" t="n">
        <v>0</v>
      </c>
      <c r="J181" t="n">
        <v>0</v>
      </c>
      <c r="K181" t="n">
        <v>0</v>
      </c>
      <c r="L181" t="n">
        <v>0</v>
      </c>
      <c r="M181" t="n">
        <v>0</v>
      </c>
      <c r="N181" t="n">
        <v>0</v>
      </c>
      <c r="O181" t="n">
        <v>0</v>
      </c>
      <c r="P181" t="n">
        <v>0</v>
      </c>
      <c r="Q181" t="n">
        <v>0</v>
      </c>
      <c r="R181" s="2" t="inlineStr"/>
    </row>
    <row r="182" ht="15" customHeight="1">
      <c r="A182" t="inlineStr">
        <is>
          <t>A 60029-2019</t>
        </is>
      </c>
      <c r="B182" s="1" t="n">
        <v>43776</v>
      </c>
      <c r="C182" s="1" t="n">
        <v>45628</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61167-2019</t>
        </is>
      </c>
      <c r="B183" s="1" t="n">
        <v>43782</v>
      </c>
      <c r="C183" s="1" t="n">
        <v>45628</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63210-2019</t>
        </is>
      </c>
      <c r="B184" s="1" t="n">
        <v>43791</v>
      </c>
      <c r="C184" s="1" t="n">
        <v>45628</v>
      </c>
      <c r="D184" t="inlineStr">
        <is>
          <t>VÄRMLANDS LÄN</t>
        </is>
      </c>
      <c r="E184" t="inlineStr">
        <is>
          <t>ÅRJÄNG</t>
        </is>
      </c>
      <c r="G184" t="n">
        <v>2.1</v>
      </c>
      <c r="H184" t="n">
        <v>0</v>
      </c>
      <c r="I184" t="n">
        <v>0</v>
      </c>
      <c r="J184" t="n">
        <v>0</v>
      </c>
      <c r="K184" t="n">
        <v>0</v>
      </c>
      <c r="L184" t="n">
        <v>0</v>
      </c>
      <c r="M184" t="n">
        <v>0</v>
      </c>
      <c r="N184" t="n">
        <v>0</v>
      </c>
      <c r="O184" t="n">
        <v>0</v>
      </c>
      <c r="P184" t="n">
        <v>0</v>
      </c>
      <c r="Q184" t="n">
        <v>0</v>
      </c>
      <c r="R184" s="2" t="inlineStr"/>
    </row>
    <row r="185" ht="15" customHeight="1">
      <c r="A185" t="inlineStr">
        <is>
          <t>A 66267-2019</t>
        </is>
      </c>
      <c r="B185" s="1" t="n">
        <v>43802</v>
      </c>
      <c r="C185" s="1" t="n">
        <v>45628</v>
      </c>
      <c r="D185" t="inlineStr">
        <is>
          <t>VÄRMLANDS LÄN</t>
        </is>
      </c>
      <c r="E185" t="inlineStr">
        <is>
          <t>ÅRJÄNG</t>
        </is>
      </c>
      <c r="G185" t="n">
        <v>2.5</v>
      </c>
      <c r="H185" t="n">
        <v>0</v>
      </c>
      <c r="I185" t="n">
        <v>0</v>
      </c>
      <c r="J185" t="n">
        <v>0</v>
      </c>
      <c r="K185" t="n">
        <v>0</v>
      </c>
      <c r="L185" t="n">
        <v>0</v>
      </c>
      <c r="M185" t="n">
        <v>0</v>
      </c>
      <c r="N185" t="n">
        <v>0</v>
      </c>
      <c r="O185" t="n">
        <v>0</v>
      </c>
      <c r="P185" t="n">
        <v>0</v>
      </c>
      <c r="Q185" t="n">
        <v>0</v>
      </c>
      <c r="R185" s="2" t="inlineStr"/>
    </row>
    <row r="186" ht="15" customHeight="1">
      <c r="A186" t="inlineStr">
        <is>
          <t>A 65609-2019</t>
        </is>
      </c>
      <c r="B186" s="1" t="n">
        <v>43804</v>
      </c>
      <c r="C186" s="1" t="n">
        <v>45628</v>
      </c>
      <c r="D186" t="inlineStr">
        <is>
          <t>VÄRMLANDS LÄN</t>
        </is>
      </c>
      <c r="E186" t="inlineStr">
        <is>
          <t>ÅRJÄNG</t>
        </is>
      </c>
      <c r="G186" t="n">
        <v>1.8</v>
      </c>
      <c r="H186" t="n">
        <v>0</v>
      </c>
      <c r="I186" t="n">
        <v>0</v>
      </c>
      <c r="J186" t="n">
        <v>0</v>
      </c>
      <c r="K186" t="n">
        <v>0</v>
      </c>
      <c r="L186" t="n">
        <v>0</v>
      </c>
      <c r="M186" t="n">
        <v>0</v>
      </c>
      <c r="N186" t="n">
        <v>0</v>
      </c>
      <c r="O186" t="n">
        <v>0</v>
      </c>
      <c r="P186" t="n">
        <v>0</v>
      </c>
      <c r="Q186" t="n">
        <v>0</v>
      </c>
      <c r="R186" s="2" t="inlineStr"/>
    </row>
    <row r="187" ht="15" customHeight="1">
      <c r="A187" t="inlineStr">
        <is>
          <t>A 68795-2019</t>
        </is>
      </c>
      <c r="B187" s="1" t="n">
        <v>43815</v>
      </c>
      <c r="C187" s="1" t="n">
        <v>45628</v>
      </c>
      <c r="D187" t="inlineStr">
        <is>
          <t>VÄRMLANDS LÄN</t>
        </is>
      </c>
      <c r="E187" t="inlineStr">
        <is>
          <t>ÅRJÄNG</t>
        </is>
      </c>
      <c r="G187" t="n">
        <v>2.9</v>
      </c>
      <c r="H187" t="n">
        <v>0</v>
      </c>
      <c r="I187" t="n">
        <v>0</v>
      </c>
      <c r="J187" t="n">
        <v>0</v>
      </c>
      <c r="K187" t="n">
        <v>0</v>
      </c>
      <c r="L187" t="n">
        <v>0</v>
      </c>
      <c r="M187" t="n">
        <v>0</v>
      </c>
      <c r="N187" t="n">
        <v>0</v>
      </c>
      <c r="O187" t="n">
        <v>0</v>
      </c>
      <c r="P187" t="n">
        <v>0</v>
      </c>
      <c r="Q187" t="n">
        <v>0</v>
      </c>
      <c r="R187" s="2" t="inlineStr"/>
    </row>
    <row r="188" ht="15" customHeight="1">
      <c r="A188" t="inlineStr">
        <is>
          <t>A 68643-2019</t>
        </is>
      </c>
      <c r="B188" s="1" t="n">
        <v>43819</v>
      </c>
      <c r="C188" s="1" t="n">
        <v>45628</v>
      </c>
      <c r="D188" t="inlineStr">
        <is>
          <t>VÄRMLANDS LÄN</t>
        </is>
      </c>
      <c r="E188" t="inlineStr">
        <is>
          <t>ÅRJÄNG</t>
        </is>
      </c>
      <c r="G188" t="n">
        <v>2.8</v>
      </c>
      <c r="H188" t="n">
        <v>0</v>
      </c>
      <c r="I188" t="n">
        <v>0</v>
      </c>
      <c r="J188" t="n">
        <v>0</v>
      </c>
      <c r="K188" t="n">
        <v>0</v>
      </c>
      <c r="L188" t="n">
        <v>0</v>
      </c>
      <c r="M188" t="n">
        <v>0</v>
      </c>
      <c r="N188" t="n">
        <v>0</v>
      </c>
      <c r="O188" t="n">
        <v>0</v>
      </c>
      <c r="P188" t="n">
        <v>0</v>
      </c>
      <c r="Q188" t="n">
        <v>0</v>
      </c>
      <c r="R188" s="2" t="inlineStr"/>
    </row>
    <row r="189" ht="15" customHeight="1">
      <c r="A189" t="inlineStr">
        <is>
          <t>A 68639-2019</t>
        </is>
      </c>
      <c r="B189" s="1" t="n">
        <v>43819</v>
      </c>
      <c r="C189" s="1" t="n">
        <v>45628</v>
      </c>
      <c r="D189" t="inlineStr">
        <is>
          <t>VÄRMLANDS LÄN</t>
        </is>
      </c>
      <c r="E189" t="inlineStr">
        <is>
          <t>ÅRJÄNG</t>
        </is>
      </c>
      <c r="G189" t="n">
        <v>1.2</v>
      </c>
      <c r="H189" t="n">
        <v>0</v>
      </c>
      <c r="I189" t="n">
        <v>0</v>
      </c>
      <c r="J189" t="n">
        <v>0</v>
      </c>
      <c r="K189" t="n">
        <v>0</v>
      </c>
      <c r="L189" t="n">
        <v>0</v>
      </c>
      <c r="M189" t="n">
        <v>0</v>
      </c>
      <c r="N189" t="n">
        <v>0</v>
      </c>
      <c r="O189" t="n">
        <v>0</v>
      </c>
      <c r="P189" t="n">
        <v>0</v>
      </c>
      <c r="Q189" t="n">
        <v>0</v>
      </c>
      <c r="R189" s="2" t="inlineStr"/>
    </row>
    <row r="190" ht="15" customHeight="1">
      <c r="A190" t="inlineStr">
        <is>
          <t>A 1386-2020</t>
        </is>
      </c>
      <c r="B190" s="1" t="n">
        <v>43822</v>
      </c>
      <c r="C190" s="1" t="n">
        <v>45628</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1392-2020</t>
        </is>
      </c>
      <c r="B191" s="1" t="n">
        <v>43822</v>
      </c>
      <c r="C191" s="1" t="n">
        <v>45628</v>
      </c>
      <c r="D191" t="inlineStr">
        <is>
          <t>VÄRMLANDS LÄN</t>
        </is>
      </c>
      <c r="E191" t="inlineStr">
        <is>
          <t>ÅRJÄNG</t>
        </is>
      </c>
      <c r="G191" t="n">
        <v>8</v>
      </c>
      <c r="H191" t="n">
        <v>0</v>
      </c>
      <c r="I191" t="n">
        <v>0</v>
      </c>
      <c r="J191" t="n">
        <v>0</v>
      </c>
      <c r="K191" t="n">
        <v>0</v>
      </c>
      <c r="L191" t="n">
        <v>0</v>
      </c>
      <c r="M191" t="n">
        <v>0</v>
      </c>
      <c r="N191" t="n">
        <v>0</v>
      </c>
      <c r="O191" t="n">
        <v>0</v>
      </c>
      <c r="P191" t="n">
        <v>0</v>
      </c>
      <c r="Q191" t="n">
        <v>0</v>
      </c>
      <c r="R191" s="2" t="inlineStr"/>
    </row>
    <row r="192" ht="15" customHeight="1">
      <c r="A192" t="inlineStr">
        <is>
          <t>A 200-2020</t>
        </is>
      </c>
      <c r="B192" s="1" t="n">
        <v>43833</v>
      </c>
      <c r="C192" s="1" t="n">
        <v>45628</v>
      </c>
      <c r="D192" t="inlineStr">
        <is>
          <t>VÄRMLANDS LÄN</t>
        </is>
      </c>
      <c r="E192" t="inlineStr">
        <is>
          <t>ÅRJÄNG</t>
        </is>
      </c>
      <c r="G192" t="n">
        <v>7.3</v>
      </c>
      <c r="H192" t="n">
        <v>0</v>
      </c>
      <c r="I192" t="n">
        <v>0</v>
      </c>
      <c r="J192" t="n">
        <v>0</v>
      </c>
      <c r="K192" t="n">
        <v>0</v>
      </c>
      <c r="L192" t="n">
        <v>0</v>
      </c>
      <c r="M192" t="n">
        <v>0</v>
      </c>
      <c r="N192" t="n">
        <v>0</v>
      </c>
      <c r="O192" t="n">
        <v>0</v>
      </c>
      <c r="P192" t="n">
        <v>0</v>
      </c>
      <c r="Q192" t="n">
        <v>0</v>
      </c>
      <c r="R192" s="2" t="inlineStr"/>
    </row>
    <row r="193" ht="15" customHeight="1">
      <c r="A193" t="inlineStr">
        <is>
          <t>A 1460-2020</t>
        </is>
      </c>
      <c r="B193" s="1" t="n">
        <v>43843</v>
      </c>
      <c r="C193" s="1" t="n">
        <v>45628</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2910-2020</t>
        </is>
      </c>
      <c r="B194" s="1" t="n">
        <v>43843</v>
      </c>
      <c r="C194" s="1" t="n">
        <v>45628</v>
      </c>
      <c r="D194" t="inlineStr">
        <is>
          <t>VÄRMLANDS LÄN</t>
        </is>
      </c>
      <c r="E194" t="inlineStr">
        <is>
          <t>ÅRJÄNG</t>
        </is>
      </c>
      <c r="G194" t="n">
        <v>2.3</v>
      </c>
      <c r="H194" t="n">
        <v>0</v>
      </c>
      <c r="I194" t="n">
        <v>0</v>
      </c>
      <c r="J194" t="n">
        <v>0</v>
      </c>
      <c r="K194" t="n">
        <v>0</v>
      </c>
      <c r="L194" t="n">
        <v>0</v>
      </c>
      <c r="M194" t="n">
        <v>0</v>
      </c>
      <c r="N194" t="n">
        <v>0</v>
      </c>
      <c r="O194" t="n">
        <v>0</v>
      </c>
      <c r="P194" t="n">
        <v>0</v>
      </c>
      <c r="Q194" t="n">
        <v>0</v>
      </c>
      <c r="R194" s="2" t="inlineStr"/>
    </row>
    <row r="195" ht="15" customHeight="1">
      <c r="A195" t="inlineStr">
        <is>
          <t>A 2918-2020</t>
        </is>
      </c>
      <c r="B195" s="1" t="n">
        <v>43843</v>
      </c>
      <c r="C195" s="1" t="n">
        <v>45628</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2392-2020</t>
        </is>
      </c>
      <c r="B196" s="1" t="n">
        <v>43847</v>
      </c>
      <c r="C196" s="1" t="n">
        <v>45628</v>
      </c>
      <c r="D196" t="inlineStr">
        <is>
          <t>VÄRMLANDS LÄN</t>
        </is>
      </c>
      <c r="E196" t="inlineStr">
        <is>
          <t>ÅRJÄNG</t>
        </is>
      </c>
      <c r="G196" t="n">
        <v>3.3</v>
      </c>
      <c r="H196" t="n">
        <v>0</v>
      </c>
      <c r="I196" t="n">
        <v>0</v>
      </c>
      <c r="J196" t="n">
        <v>0</v>
      </c>
      <c r="K196" t="n">
        <v>0</v>
      </c>
      <c r="L196" t="n">
        <v>0</v>
      </c>
      <c r="M196" t="n">
        <v>0</v>
      </c>
      <c r="N196" t="n">
        <v>0</v>
      </c>
      <c r="O196" t="n">
        <v>0</v>
      </c>
      <c r="P196" t="n">
        <v>0</v>
      </c>
      <c r="Q196" t="n">
        <v>0</v>
      </c>
      <c r="R196" s="2" t="inlineStr"/>
    </row>
    <row r="197" ht="15" customHeight="1">
      <c r="A197" t="inlineStr">
        <is>
          <t>A 2437-2020</t>
        </is>
      </c>
      <c r="B197" s="1" t="n">
        <v>43847</v>
      </c>
      <c r="C197" s="1" t="n">
        <v>45628</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2389-2020</t>
        </is>
      </c>
      <c r="B198" s="1" t="n">
        <v>43847</v>
      </c>
      <c r="C198" s="1" t="n">
        <v>45628</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2388-2020</t>
        </is>
      </c>
      <c r="B199" s="1" t="n">
        <v>43847</v>
      </c>
      <c r="C199" s="1" t="n">
        <v>45628</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2657-2020</t>
        </is>
      </c>
      <c r="B200" s="1" t="n">
        <v>43848</v>
      </c>
      <c r="C200" s="1" t="n">
        <v>45628</v>
      </c>
      <c r="D200" t="inlineStr">
        <is>
          <t>VÄRMLANDS LÄN</t>
        </is>
      </c>
      <c r="E200" t="inlineStr">
        <is>
          <t>ÅRJÄNG</t>
        </is>
      </c>
      <c r="G200" t="n">
        <v>2.4</v>
      </c>
      <c r="H200" t="n">
        <v>0</v>
      </c>
      <c r="I200" t="n">
        <v>0</v>
      </c>
      <c r="J200" t="n">
        <v>0</v>
      </c>
      <c r="K200" t="n">
        <v>0</v>
      </c>
      <c r="L200" t="n">
        <v>0</v>
      </c>
      <c r="M200" t="n">
        <v>0</v>
      </c>
      <c r="N200" t="n">
        <v>0</v>
      </c>
      <c r="O200" t="n">
        <v>0</v>
      </c>
      <c r="P200" t="n">
        <v>0</v>
      </c>
      <c r="Q200" t="n">
        <v>0</v>
      </c>
      <c r="R200" s="2" t="inlineStr"/>
    </row>
    <row r="201" ht="15" customHeight="1">
      <c r="A201" t="inlineStr">
        <is>
          <t>A 2656-2020</t>
        </is>
      </c>
      <c r="B201" s="1" t="n">
        <v>43848</v>
      </c>
      <c r="C201" s="1" t="n">
        <v>45628</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3394-2020</t>
        </is>
      </c>
      <c r="B202" s="1" t="n">
        <v>43852</v>
      </c>
      <c r="C202" s="1" t="n">
        <v>45628</v>
      </c>
      <c r="D202" t="inlineStr">
        <is>
          <t>VÄRMLANDS LÄN</t>
        </is>
      </c>
      <c r="E202" t="inlineStr">
        <is>
          <t>ÅRJÄNG</t>
        </is>
      </c>
      <c r="G202" t="n">
        <v>1.1</v>
      </c>
      <c r="H202" t="n">
        <v>0</v>
      </c>
      <c r="I202" t="n">
        <v>0</v>
      </c>
      <c r="J202" t="n">
        <v>0</v>
      </c>
      <c r="K202" t="n">
        <v>0</v>
      </c>
      <c r="L202" t="n">
        <v>0</v>
      </c>
      <c r="M202" t="n">
        <v>0</v>
      </c>
      <c r="N202" t="n">
        <v>0</v>
      </c>
      <c r="O202" t="n">
        <v>0</v>
      </c>
      <c r="P202" t="n">
        <v>0</v>
      </c>
      <c r="Q202" t="n">
        <v>0</v>
      </c>
      <c r="R202" s="2" t="inlineStr"/>
    </row>
    <row r="203" ht="15" customHeight="1">
      <c r="A203" t="inlineStr">
        <is>
          <t>A 3316-2020</t>
        </is>
      </c>
      <c r="B203" s="1" t="n">
        <v>43852</v>
      </c>
      <c r="C203" s="1" t="n">
        <v>45628</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3323-2020</t>
        </is>
      </c>
      <c r="B204" s="1" t="n">
        <v>43852</v>
      </c>
      <c r="C204" s="1" t="n">
        <v>45628</v>
      </c>
      <c r="D204" t="inlineStr">
        <is>
          <t>VÄRMLANDS LÄN</t>
        </is>
      </c>
      <c r="E204" t="inlineStr">
        <is>
          <t>ÅRJÄNG</t>
        </is>
      </c>
      <c r="G204" t="n">
        <v>0.8</v>
      </c>
      <c r="H204" t="n">
        <v>0</v>
      </c>
      <c r="I204" t="n">
        <v>0</v>
      </c>
      <c r="J204" t="n">
        <v>0</v>
      </c>
      <c r="K204" t="n">
        <v>0</v>
      </c>
      <c r="L204" t="n">
        <v>0</v>
      </c>
      <c r="M204" t="n">
        <v>0</v>
      </c>
      <c r="N204" t="n">
        <v>0</v>
      </c>
      <c r="O204" t="n">
        <v>0</v>
      </c>
      <c r="P204" t="n">
        <v>0</v>
      </c>
      <c r="Q204" t="n">
        <v>0</v>
      </c>
      <c r="R204" s="2" t="inlineStr"/>
    </row>
    <row r="205" ht="15" customHeight="1">
      <c r="A205" t="inlineStr">
        <is>
          <t>A 3351-2020</t>
        </is>
      </c>
      <c r="B205" s="1" t="n">
        <v>43852</v>
      </c>
      <c r="C205" s="1" t="n">
        <v>45628</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3388-2020</t>
        </is>
      </c>
      <c r="B206" s="1" t="n">
        <v>43852</v>
      </c>
      <c r="C206" s="1" t="n">
        <v>45628</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5787-2020</t>
        </is>
      </c>
      <c r="B207" s="1" t="n">
        <v>43861</v>
      </c>
      <c r="C207" s="1" t="n">
        <v>45628</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5797-2020</t>
        </is>
      </c>
      <c r="B208" s="1" t="n">
        <v>43861</v>
      </c>
      <c r="C208" s="1" t="n">
        <v>45628</v>
      </c>
      <c r="D208" t="inlineStr">
        <is>
          <t>VÄRMLANDS LÄN</t>
        </is>
      </c>
      <c r="E208" t="inlineStr">
        <is>
          <t>ÅRJÄNG</t>
        </is>
      </c>
      <c r="G208" t="n">
        <v>4.7</v>
      </c>
      <c r="H208" t="n">
        <v>0</v>
      </c>
      <c r="I208" t="n">
        <v>0</v>
      </c>
      <c r="J208" t="n">
        <v>0</v>
      </c>
      <c r="K208" t="n">
        <v>0</v>
      </c>
      <c r="L208" t="n">
        <v>0</v>
      </c>
      <c r="M208" t="n">
        <v>0</v>
      </c>
      <c r="N208" t="n">
        <v>0</v>
      </c>
      <c r="O208" t="n">
        <v>0</v>
      </c>
      <c r="P208" t="n">
        <v>0</v>
      </c>
      <c r="Q208" t="n">
        <v>0</v>
      </c>
      <c r="R208" s="2" t="inlineStr"/>
    </row>
    <row r="209" ht="15" customHeight="1">
      <c r="A209" t="inlineStr">
        <is>
          <t>A 5783-2020</t>
        </is>
      </c>
      <c r="B209" s="1" t="n">
        <v>43861</v>
      </c>
      <c r="C209" s="1" t="n">
        <v>45628</v>
      </c>
      <c r="D209" t="inlineStr">
        <is>
          <t>VÄRMLANDS LÄN</t>
        </is>
      </c>
      <c r="E209" t="inlineStr">
        <is>
          <t>ÅRJÄNG</t>
        </is>
      </c>
      <c r="G209" t="n">
        <v>2.1</v>
      </c>
      <c r="H209" t="n">
        <v>0</v>
      </c>
      <c r="I209" t="n">
        <v>0</v>
      </c>
      <c r="J209" t="n">
        <v>0</v>
      </c>
      <c r="K209" t="n">
        <v>0</v>
      </c>
      <c r="L209" t="n">
        <v>0</v>
      </c>
      <c r="M209" t="n">
        <v>0</v>
      </c>
      <c r="N209" t="n">
        <v>0</v>
      </c>
      <c r="O209" t="n">
        <v>0</v>
      </c>
      <c r="P209" t="n">
        <v>0</v>
      </c>
      <c r="Q209" t="n">
        <v>0</v>
      </c>
      <c r="R209" s="2" t="inlineStr"/>
    </row>
    <row r="210" ht="15" customHeight="1">
      <c r="A210" t="inlineStr">
        <is>
          <t>A 5796-2020</t>
        </is>
      </c>
      <c r="B210" s="1" t="n">
        <v>43861</v>
      </c>
      <c r="C210" s="1" t="n">
        <v>45628</v>
      </c>
      <c r="D210" t="inlineStr">
        <is>
          <t>VÄRMLANDS LÄN</t>
        </is>
      </c>
      <c r="E210" t="inlineStr">
        <is>
          <t>ÅRJÄNG</t>
        </is>
      </c>
      <c r="G210" t="n">
        <v>4.2</v>
      </c>
      <c r="H210" t="n">
        <v>0</v>
      </c>
      <c r="I210" t="n">
        <v>0</v>
      </c>
      <c r="J210" t="n">
        <v>0</v>
      </c>
      <c r="K210" t="n">
        <v>0</v>
      </c>
      <c r="L210" t="n">
        <v>0</v>
      </c>
      <c r="M210" t="n">
        <v>0</v>
      </c>
      <c r="N210" t="n">
        <v>0</v>
      </c>
      <c r="O210" t="n">
        <v>0</v>
      </c>
      <c r="P210" t="n">
        <v>0</v>
      </c>
      <c r="Q210" t="n">
        <v>0</v>
      </c>
      <c r="R210" s="2" t="inlineStr"/>
    </row>
    <row r="211" ht="15" customHeight="1">
      <c r="A211" t="inlineStr">
        <is>
          <t>A 5794-2020</t>
        </is>
      </c>
      <c r="B211" s="1" t="n">
        <v>43861</v>
      </c>
      <c r="C211" s="1" t="n">
        <v>45628</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5793-2020</t>
        </is>
      </c>
      <c r="B212" s="1" t="n">
        <v>43861</v>
      </c>
      <c r="C212" s="1" t="n">
        <v>45628</v>
      </c>
      <c r="D212" t="inlineStr">
        <is>
          <t>VÄRMLANDS LÄN</t>
        </is>
      </c>
      <c r="E212" t="inlineStr">
        <is>
          <t>ÅRJÄNG</t>
        </is>
      </c>
      <c r="G212" t="n">
        <v>2.7</v>
      </c>
      <c r="H212" t="n">
        <v>0</v>
      </c>
      <c r="I212" t="n">
        <v>0</v>
      </c>
      <c r="J212" t="n">
        <v>0</v>
      </c>
      <c r="K212" t="n">
        <v>0</v>
      </c>
      <c r="L212" t="n">
        <v>0</v>
      </c>
      <c r="M212" t="n">
        <v>0</v>
      </c>
      <c r="N212" t="n">
        <v>0</v>
      </c>
      <c r="O212" t="n">
        <v>0</v>
      </c>
      <c r="P212" t="n">
        <v>0</v>
      </c>
      <c r="Q212" t="n">
        <v>0</v>
      </c>
      <c r="R212" s="2" t="inlineStr"/>
    </row>
    <row r="213" ht="15" customHeight="1">
      <c r="A213" t="inlineStr">
        <is>
          <t>A 6426-2020</t>
        </is>
      </c>
      <c r="B213" s="1" t="n">
        <v>43866</v>
      </c>
      <c r="C213" s="1" t="n">
        <v>45628</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6961-2020</t>
        </is>
      </c>
      <c r="B214" s="1" t="n">
        <v>43868</v>
      </c>
      <c r="C214" s="1" t="n">
        <v>45628</v>
      </c>
      <c r="D214" t="inlineStr">
        <is>
          <t>VÄRMLANDS LÄN</t>
        </is>
      </c>
      <c r="E214" t="inlineStr">
        <is>
          <t>ÅRJÄNG</t>
        </is>
      </c>
      <c r="G214" t="n">
        <v>9.9</v>
      </c>
      <c r="H214" t="n">
        <v>0</v>
      </c>
      <c r="I214" t="n">
        <v>0</v>
      </c>
      <c r="J214" t="n">
        <v>0</v>
      </c>
      <c r="K214" t="n">
        <v>0</v>
      </c>
      <c r="L214" t="n">
        <v>0</v>
      </c>
      <c r="M214" t="n">
        <v>0</v>
      </c>
      <c r="N214" t="n">
        <v>0</v>
      </c>
      <c r="O214" t="n">
        <v>0</v>
      </c>
      <c r="P214" t="n">
        <v>0</v>
      </c>
      <c r="Q214" t="n">
        <v>0</v>
      </c>
      <c r="R214" s="2" t="inlineStr"/>
    </row>
    <row r="215" ht="15" customHeight="1">
      <c r="A215" t="inlineStr">
        <is>
          <t>A 7232-2020</t>
        </is>
      </c>
      <c r="B215" s="1" t="n">
        <v>43868</v>
      </c>
      <c r="C215" s="1" t="n">
        <v>45628</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7524-2020</t>
        </is>
      </c>
      <c r="B216" s="1" t="n">
        <v>43872</v>
      </c>
      <c r="C216" s="1" t="n">
        <v>45628</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7960-2020</t>
        </is>
      </c>
      <c r="B217" s="1" t="n">
        <v>43873</v>
      </c>
      <c r="C217" s="1" t="n">
        <v>45628</v>
      </c>
      <c r="D217" t="inlineStr">
        <is>
          <t>VÄRMLANDS LÄN</t>
        </is>
      </c>
      <c r="E217" t="inlineStr">
        <is>
          <t>ÅRJÄNG</t>
        </is>
      </c>
      <c r="G217" t="n">
        <v>0.7</v>
      </c>
      <c r="H217" t="n">
        <v>0</v>
      </c>
      <c r="I217" t="n">
        <v>0</v>
      </c>
      <c r="J217" t="n">
        <v>0</v>
      </c>
      <c r="K217" t="n">
        <v>0</v>
      </c>
      <c r="L217" t="n">
        <v>0</v>
      </c>
      <c r="M217" t="n">
        <v>0</v>
      </c>
      <c r="N217" t="n">
        <v>0</v>
      </c>
      <c r="O217" t="n">
        <v>0</v>
      </c>
      <c r="P217" t="n">
        <v>0</v>
      </c>
      <c r="Q217" t="n">
        <v>0</v>
      </c>
      <c r="R217" s="2" t="inlineStr"/>
    </row>
    <row r="218" ht="15" customHeight="1">
      <c r="A218" t="inlineStr">
        <is>
          <t>A 8288-2020</t>
        </is>
      </c>
      <c r="B218" s="1" t="n">
        <v>43874</v>
      </c>
      <c r="C218" s="1" t="n">
        <v>45628</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8652-2020</t>
        </is>
      </c>
      <c r="B219" s="1" t="n">
        <v>43878</v>
      </c>
      <c r="C219" s="1" t="n">
        <v>45628</v>
      </c>
      <c r="D219" t="inlineStr">
        <is>
          <t>VÄRMLANDS LÄN</t>
        </is>
      </c>
      <c r="E219" t="inlineStr">
        <is>
          <t>ÅRJÄNG</t>
        </is>
      </c>
      <c r="G219" t="n">
        <v>2.6</v>
      </c>
      <c r="H219" t="n">
        <v>0</v>
      </c>
      <c r="I219" t="n">
        <v>0</v>
      </c>
      <c r="J219" t="n">
        <v>0</v>
      </c>
      <c r="K219" t="n">
        <v>0</v>
      </c>
      <c r="L219" t="n">
        <v>0</v>
      </c>
      <c r="M219" t="n">
        <v>0</v>
      </c>
      <c r="N219" t="n">
        <v>0</v>
      </c>
      <c r="O219" t="n">
        <v>0</v>
      </c>
      <c r="P219" t="n">
        <v>0</v>
      </c>
      <c r="Q219" t="n">
        <v>0</v>
      </c>
      <c r="R219" s="2" t="inlineStr"/>
    </row>
    <row r="220" ht="15" customHeight="1">
      <c r="A220" t="inlineStr">
        <is>
          <t>A 8657-2020</t>
        </is>
      </c>
      <c r="B220" s="1" t="n">
        <v>43878</v>
      </c>
      <c r="C220" s="1" t="n">
        <v>45628</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8749-2020</t>
        </is>
      </c>
      <c r="B221" s="1" t="n">
        <v>43878</v>
      </c>
      <c r="C221" s="1" t="n">
        <v>45628</v>
      </c>
      <c r="D221" t="inlineStr">
        <is>
          <t>VÄRMLANDS LÄN</t>
        </is>
      </c>
      <c r="E221" t="inlineStr">
        <is>
          <t>ÅRJÄNG</t>
        </is>
      </c>
      <c r="G221" t="n">
        <v>1.8</v>
      </c>
      <c r="H221" t="n">
        <v>0</v>
      </c>
      <c r="I221" t="n">
        <v>0</v>
      </c>
      <c r="J221" t="n">
        <v>0</v>
      </c>
      <c r="K221" t="n">
        <v>0</v>
      </c>
      <c r="L221" t="n">
        <v>0</v>
      </c>
      <c r="M221" t="n">
        <v>0</v>
      </c>
      <c r="N221" t="n">
        <v>0</v>
      </c>
      <c r="O221" t="n">
        <v>0</v>
      </c>
      <c r="P221" t="n">
        <v>0</v>
      </c>
      <c r="Q221" t="n">
        <v>0</v>
      </c>
      <c r="R221" s="2" t="inlineStr"/>
    </row>
    <row r="222" ht="15" customHeight="1">
      <c r="A222" t="inlineStr">
        <is>
          <t>A 9203-2020</t>
        </is>
      </c>
      <c r="B222" s="1" t="n">
        <v>43879</v>
      </c>
      <c r="C222" s="1" t="n">
        <v>45628</v>
      </c>
      <c r="D222" t="inlineStr">
        <is>
          <t>VÄRMLANDS LÄN</t>
        </is>
      </c>
      <c r="E222" t="inlineStr">
        <is>
          <t>ÅRJÄNG</t>
        </is>
      </c>
      <c r="G222" t="n">
        <v>3.6</v>
      </c>
      <c r="H222" t="n">
        <v>0</v>
      </c>
      <c r="I222" t="n">
        <v>0</v>
      </c>
      <c r="J222" t="n">
        <v>0</v>
      </c>
      <c r="K222" t="n">
        <v>0</v>
      </c>
      <c r="L222" t="n">
        <v>0</v>
      </c>
      <c r="M222" t="n">
        <v>0</v>
      </c>
      <c r="N222" t="n">
        <v>0</v>
      </c>
      <c r="O222" t="n">
        <v>0</v>
      </c>
      <c r="P222" t="n">
        <v>0</v>
      </c>
      <c r="Q222" t="n">
        <v>0</v>
      </c>
      <c r="R222" s="2" t="inlineStr"/>
    </row>
    <row r="223" ht="15" customHeight="1">
      <c r="A223" t="inlineStr">
        <is>
          <t>A 9242-2020</t>
        </is>
      </c>
      <c r="B223" s="1" t="n">
        <v>43879</v>
      </c>
      <c r="C223" s="1" t="n">
        <v>45628</v>
      </c>
      <c r="D223" t="inlineStr">
        <is>
          <t>VÄRMLANDS LÄN</t>
        </is>
      </c>
      <c r="E223" t="inlineStr">
        <is>
          <t>ÅRJÄNG</t>
        </is>
      </c>
      <c r="G223" t="n">
        <v>5.7</v>
      </c>
      <c r="H223" t="n">
        <v>0</v>
      </c>
      <c r="I223" t="n">
        <v>0</v>
      </c>
      <c r="J223" t="n">
        <v>0</v>
      </c>
      <c r="K223" t="n">
        <v>0</v>
      </c>
      <c r="L223" t="n">
        <v>0</v>
      </c>
      <c r="M223" t="n">
        <v>0</v>
      </c>
      <c r="N223" t="n">
        <v>0</v>
      </c>
      <c r="O223" t="n">
        <v>0</v>
      </c>
      <c r="P223" t="n">
        <v>0</v>
      </c>
      <c r="Q223" t="n">
        <v>0</v>
      </c>
      <c r="R223" s="2" t="inlineStr"/>
    </row>
    <row r="224" ht="15" customHeight="1">
      <c r="A224" t="inlineStr">
        <is>
          <t>A 10183-2020</t>
        </is>
      </c>
      <c r="B224" s="1" t="n">
        <v>43885</v>
      </c>
      <c r="C224" s="1" t="n">
        <v>45628</v>
      </c>
      <c r="D224" t="inlineStr">
        <is>
          <t>VÄRMLANDS LÄN</t>
        </is>
      </c>
      <c r="E224" t="inlineStr">
        <is>
          <t>ÅRJÄNG</t>
        </is>
      </c>
      <c r="G224" t="n">
        <v>0.8</v>
      </c>
      <c r="H224" t="n">
        <v>0</v>
      </c>
      <c r="I224" t="n">
        <v>0</v>
      </c>
      <c r="J224" t="n">
        <v>0</v>
      </c>
      <c r="K224" t="n">
        <v>0</v>
      </c>
      <c r="L224" t="n">
        <v>0</v>
      </c>
      <c r="M224" t="n">
        <v>0</v>
      </c>
      <c r="N224" t="n">
        <v>0</v>
      </c>
      <c r="O224" t="n">
        <v>0</v>
      </c>
      <c r="P224" t="n">
        <v>0</v>
      </c>
      <c r="Q224" t="n">
        <v>0</v>
      </c>
      <c r="R224" s="2" t="inlineStr"/>
    </row>
    <row r="225" ht="15" customHeight="1">
      <c r="A225" t="inlineStr">
        <is>
          <t>A 10184-2020</t>
        </is>
      </c>
      <c r="B225" s="1" t="n">
        <v>43885</v>
      </c>
      <c r="C225" s="1" t="n">
        <v>45628</v>
      </c>
      <c r="D225" t="inlineStr">
        <is>
          <t>VÄRMLANDS LÄN</t>
        </is>
      </c>
      <c r="E225" t="inlineStr">
        <is>
          <t>ÅRJÄNG</t>
        </is>
      </c>
      <c r="G225" t="n">
        <v>4.1</v>
      </c>
      <c r="H225" t="n">
        <v>0</v>
      </c>
      <c r="I225" t="n">
        <v>0</v>
      </c>
      <c r="J225" t="n">
        <v>0</v>
      </c>
      <c r="K225" t="n">
        <v>0</v>
      </c>
      <c r="L225" t="n">
        <v>0</v>
      </c>
      <c r="M225" t="n">
        <v>0</v>
      </c>
      <c r="N225" t="n">
        <v>0</v>
      </c>
      <c r="O225" t="n">
        <v>0</v>
      </c>
      <c r="P225" t="n">
        <v>0</v>
      </c>
      <c r="Q225" t="n">
        <v>0</v>
      </c>
      <c r="R225" s="2" t="inlineStr"/>
    </row>
    <row r="226" ht="15" customHeight="1">
      <c r="A226" t="inlineStr">
        <is>
          <t>A 10272-2020</t>
        </is>
      </c>
      <c r="B226" s="1" t="n">
        <v>43885</v>
      </c>
      <c r="C226" s="1" t="n">
        <v>45628</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10483-2020</t>
        </is>
      </c>
      <c r="B227" s="1" t="n">
        <v>43886</v>
      </c>
      <c r="C227" s="1" t="n">
        <v>45628</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10420-2020</t>
        </is>
      </c>
      <c r="B228" s="1" t="n">
        <v>43886</v>
      </c>
      <c r="C228" s="1" t="n">
        <v>45628</v>
      </c>
      <c r="D228" t="inlineStr">
        <is>
          <t>VÄRMLANDS LÄN</t>
        </is>
      </c>
      <c r="E228" t="inlineStr">
        <is>
          <t>ÅRJÄNG</t>
        </is>
      </c>
      <c r="G228" t="n">
        <v>4.2</v>
      </c>
      <c r="H228" t="n">
        <v>0</v>
      </c>
      <c r="I228" t="n">
        <v>0</v>
      </c>
      <c r="J228" t="n">
        <v>0</v>
      </c>
      <c r="K228" t="n">
        <v>0</v>
      </c>
      <c r="L228" t="n">
        <v>0</v>
      </c>
      <c r="M228" t="n">
        <v>0</v>
      </c>
      <c r="N228" t="n">
        <v>0</v>
      </c>
      <c r="O228" t="n">
        <v>0</v>
      </c>
      <c r="P228" t="n">
        <v>0</v>
      </c>
      <c r="Q228" t="n">
        <v>0</v>
      </c>
      <c r="R228" s="2" t="inlineStr"/>
    </row>
    <row r="229" ht="15" customHeight="1">
      <c r="A229" t="inlineStr">
        <is>
          <t>A 10538-2020</t>
        </is>
      </c>
      <c r="B229" s="1" t="n">
        <v>43886</v>
      </c>
      <c r="C229" s="1" t="n">
        <v>45628</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10131-2020</t>
        </is>
      </c>
      <c r="B230" s="1" t="n">
        <v>43887</v>
      </c>
      <c r="C230" s="1" t="n">
        <v>45628</v>
      </c>
      <c r="D230" t="inlineStr">
        <is>
          <t>VÄRMLANDS LÄN</t>
        </is>
      </c>
      <c r="E230" t="inlineStr">
        <is>
          <t>ÅRJÄNG</t>
        </is>
      </c>
      <c r="G230" t="n">
        <v>2.4</v>
      </c>
      <c r="H230" t="n">
        <v>0</v>
      </c>
      <c r="I230" t="n">
        <v>0</v>
      </c>
      <c r="J230" t="n">
        <v>0</v>
      </c>
      <c r="K230" t="n">
        <v>0</v>
      </c>
      <c r="L230" t="n">
        <v>0</v>
      </c>
      <c r="M230" t="n">
        <v>0</v>
      </c>
      <c r="N230" t="n">
        <v>0</v>
      </c>
      <c r="O230" t="n">
        <v>0</v>
      </c>
      <c r="P230" t="n">
        <v>0</v>
      </c>
      <c r="Q230" t="n">
        <v>0</v>
      </c>
      <c r="R230" s="2" t="inlineStr"/>
    </row>
    <row r="231" ht="15" customHeight="1">
      <c r="A231" t="inlineStr">
        <is>
          <t>A 10658-2020</t>
        </is>
      </c>
      <c r="B231" s="1" t="n">
        <v>43888</v>
      </c>
      <c r="C231" s="1" t="n">
        <v>45628</v>
      </c>
      <c r="D231" t="inlineStr">
        <is>
          <t>VÄRMLANDS LÄN</t>
        </is>
      </c>
      <c r="E231" t="inlineStr">
        <is>
          <t>ÅRJÄNG</t>
        </is>
      </c>
      <c r="G231" t="n">
        <v>2.7</v>
      </c>
      <c r="H231" t="n">
        <v>0</v>
      </c>
      <c r="I231" t="n">
        <v>0</v>
      </c>
      <c r="J231" t="n">
        <v>0</v>
      </c>
      <c r="K231" t="n">
        <v>0</v>
      </c>
      <c r="L231" t="n">
        <v>0</v>
      </c>
      <c r="M231" t="n">
        <v>0</v>
      </c>
      <c r="N231" t="n">
        <v>0</v>
      </c>
      <c r="O231" t="n">
        <v>0</v>
      </c>
      <c r="P231" t="n">
        <v>0</v>
      </c>
      <c r="Q231" t="n">
        <v>0</v>
      </c>
      <c r="R231" s="2" t="inlineStr"/>
    </row>
    <row r="232" ht="15" customHeight="1">
      <c r="A232" t="inlineStr">
        <is>
          <t>A 10937-2020</t>
        </is>
      </c>
      <c r="B232" s="1" t="n">
        <v>43889</v>
      </c>
      <c r="C232" s="1" t="n">
        <v>45628</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11206-2020</t>
        </is>
      </c>
      <c r="B233" s="1" t="n">
        <v>43892</v>
      </c>
      <c r="C233" s="1" t="n">
        <v>45628</v>
      </c>
      <c r="D233" t="inlineStr">
        <is>
          <t>VÄRMLANDS LÄN</t>
        </is>
      </c>
      <c r="E233" t="inlineStr">
        <is>
          <t>ÅRJÄNG</t>
        </is>
      </c>
      <c r="G233" t="n">
        <v>1.2</v>
      </c>
      <c r="H233" t="n">
        <v>0</v>
      </c>
      <c r="I233" t="n">
        <v>0</v>
      </c>
      <c r="J233" t="n">
        <v>0</v>
      </c>
      <c r="K233" t="n">
        <v>0</v>
      </c>
      <c r="L233" t="n">
        <v>0</v>
      </c>
      <c r="M233" t="n">
        <v>0</v>
      </c>
      <c r="N233" t="n">
        <v>0</v>
      </c>
      <c r="O233" t="n">
        <v>0</v>
      </c>
      <c r="P233" t="n">
        <v>0</v>
      </c>
      <c r="Q233" t="n">
        <v>0</v>
      </c>
      <c r="R233" s="2" t="inlineStr"/>
    </row>
    <row r="234" ht="15" customHeight="1">
      <c r="A234" t="inlineStr">
        <is>
          <t>A 12575-2020</t>
        </is>
      </c>
      <c r="B234" s="1" t="n">
        <v>43892</v>
      </c>
      <c r="C234" s="1" t="n">
        <v>45628</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12573-2020</t>
        </is>
      </c>
      <c r="B235" s="1" t="n">
        <v>43892</v>
      </c>
      <c r="C235" s="1" t="n">
        <v>45628</v>
      </c>
      <c r="D235" t="inlineStr">
        <is>
          <t>VÄRMLANDS LÄN</t>
        </is>
      </c>
      <c r="E235" t="inlineStr">
        <is>
          <t>ÅRJÄNG</t>
        </is>
      </c>
      <c r="G235" t="n">
        <v>2.8</v>
      </c>
      <c r="H235" t="n">
        <v>0</v>
      </c>
      <c r="I235" t="n">
        <v>0</v>
      </c>
      <c r="J235" t="n">
        <v>0</v>
      </c>
      <c r="K235" t="n">
        <v>0</v>
      </c>
      <c r="L235" t="n">
        <v>0</v>
      </c>
      <c r="M235" t="n">
        <v>0</v>
      </c>
      <c r="N235" t="n">
        <v>0</v>
      </c>
      <c r="O235" t="n">
        <v>0</v>
      </c>
      <c r="P235" t="n">
        <v>0</v>
      </c>
      <c r="Q235" t="n">
        <v>0</v>
      </c>
      <c r="R235" s="2" t="inlineStr"/>
    </row>
    <row r="236" ht="15" customHeight="1">
      <c r="A236" t="inlineStr">
        <is>
          <t>A 11463-2020</t>
        </is>
      </c>
      <c r="B236" s="1" t="n">
        <v>43893</v>
      </c>
      <c r="C236" s="1" t="n">
        <v>45628</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14104-2020</t>
        </is>
      </c>
      <c r="B237" s="1" t="n">
        <v>43899</v>
      </c>
      <c r="C237" s="1" t="n">
        <v>45628</v>
      </c>
      <c r="D237" t="inlineStr">
        <is>
          <t>VÄRMLANDS LÄN</t>
        </is>
      </c>
      <c r="E237" t="inlineStr">
        <is>
          <t>ÅRJÄNG</t>
        </is>
      </c>
      <c r="G237" t="n">
        <v>4.6</v>
      </c>
      <c r="H237" t="n">
        <v>0</v>
      </c>
      <c r="I237" t="n">
        <v>0</v>
      </c>
      <c r="J237" t="n">
        <v>0</v>
      </c>
      <c r="K237" t="n">
        <v>0</v>
      </c>
      <c r="L237" t="n">
        <v>0</v>
      </c>
      <c r="M237" t="n">
        <v>0</v>
      </c>
      <c r="N237" t="n">
        <v>0</v>
      </c>
      <c r="O237" t="n">
        <v>0</v>
      </c>
      <c r="P237" t="n">
        <v>0</v>
      </c>
      <c r="Q237" t="n">
        <v>0</v>
      </c>
      <c r="R237" s="2" t="inlineStr"/>
    </row>
    <row r="238" ht="15" customHeight="1">
      <c r="A238" t="inlineStr">
        <is>
          <t>A 18662-2020</t>
        </is>
      </c>
      <c r="B238" s="1" t="n">
        <v>43899</v>
      </c>
      <c r="C238" s="1" t="n">
        <v>45628</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13091-2020</t>
        </is>
      </c>
      <c r="B239" s="1" t="n">
        <v>43901</v>
      </c>
      <c r="C239" s="1" t="n">
        <v>45628</v>
      </c>
      <c r="D239" t="inlineStr">
        <is>
          <t>VÄRMLANDS LÄN</t>
        </is>
      </c>
      <c r="E239" t="inlineStr">
        <is>
          <t>ÅRJÄNG</t>
        </is>
      </c>
      <c r="G239" t="n">
        <v>1.3</v>
      </c>
      <c r="H239" t="n">
        <v>0</v>
      </c>
      <c r="I239" t="n">
        <v>0</v>
      </c>
      <c r="J239" t="n">
        <v>0</v>
      </c>
      <c r="K239" t="n">
        <v>0</v>
      </c>
      <c r="L239" t="n">
        <v>0</v>
      </c>
      <c r="M239" t="n">
        <v>0</v>
      </c>
      <c r="N239" t="n">
        <v>0</v>
      </c>
      <c r="O239" t="n">
        <v>0</v>
      </c>
      <c r="P239" t="n">
        <v>0</v>
      </c>
      <c r="Q239" t="n">
        <v>0</v>
      </c>
      <c r="R239" s="2" t="inlineStr"/>
    </row>
    <row r="240" ht="15" customHeight="1">
      <c r="A240" t="inlineStr">
        <is>
          <t>A 13094-2020</t>
        </is>
      </c>
      <c r="B240" s="1" t="n">
        <v>43901</v>
      </c>
      <c r="C240" s="1" t="n">
        <v>45628</v>
      </c>
      <c r="D240" t="inlineStr">
        <is>
          <t>VÄRMLANDS LÄN</t>
        </is>
      </c>
      <c r="E240" t="inlineStr">
        <is>
          <t>ÅRJÄNG</t>
        </is>
      </c>
      <c r="G240" t="n">
        <v>3.6</v>
      </c>
      <c r="H240" t="n">
        <v>0</v>
      </c>
      <c r="I240" t="n">
        <v>0</v>
      </c>
      <c r="J240" t="n">
        <v>0</v>
      </c>
      <c r="K240" t="n">
        <v>0</v>
      </c>
      <c r="L240" t="n">
        <v>0</v>
      </c>
      <c r="M240" t="n">
        <v>0</v>
      </c>
      <c r="N240" t="n">
        <v>0</v>
      </c>
      <c r="O240" t="n">
        <v>0</v>
      </c>
      <c r="P240" t="n">
        <v>0</v>
      </c>
      <c r="Q240" t="n">
        <v>0</v>
      </c>
      <c r="R240" s="2" t="inlineStr"/>
    </row>
    <row r="241" ht="15" customHeight="1">
      <c r="A241" t="inlineStr">
        <is>
          <t>A 13549-2020</t>
        </is>
      </c>
      <c r="B241" s="1" t="n">
        <v>43902</v>
      </c>
      <c r="C241" s="1" t="n">
        <v>45628</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14608-2020</t>
        </is>
      </c>
      <c r="B242" s="1" t="n">
        <v>43902</v>
      </c>
      <c r="C242" s="1" t="n">
        <v>45628</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14605-2020</t>
        </is>
      </c>
      <c r="B243" s="1" t="n">
        <v>43902</v>
      </c>
      <c r="C243" s="1" t="n">
        <v>45628</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13630-2020</t>
        </is>
      </c>
      <c r="B244" s="1" t="n">
        <v>43903</v>
      </c>
      <c r="C244" s="1" t="n">
        <v>45628</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13926-2020</t>
        </is>
      </c>
      <c r="B245" s="1" t="n">
        <v>43906</v>
      </c>
      <c r="C245" s="1" t="n">
        <v>45628</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13929-2020</t>
        </is>
      </c>
      <c r="B246" s="1" t="n">
        <v>43906</v>
      </c>
      <c r="C246" s="1" t="n">
        <v>45628</v>
      </c>
      <c r="D246" t="inlineStr">
        <is>
          <t>VÄRMLANDS LÄN</t>
        </is>
      </c>
      <c r="E246" t="inlineStr">
        <is>
          <t>ÅRJÄNG</t>
        </is>
      </c>
      <c r="G246" t="n">
        <v>5.3</v>
      </c>
      <c r="H246" t="n">
        <v>0</v>
      </c>
      <c r="I246" t="n">
        <v>0</v>
      </c>
      <c r="J246" t="n">
        <v>0</v>
      </c>
      <c r="K246" t="n">
        <v>0</v>
      </c>
      <c r="L246" t="n">
        <v>0</v>
      </c>
      <c r="M246" t="n">
        <v>0</v>
      </c>
      <c r="N246" t="n">
        <v>0</v>
      </c>
      <c r="O246" t="n">
        <v>0</v>
      </c>
      <c r="P246" t="n">
        <v>0</v>
      </c>
      <c r="Q246" t="n">
        <v>0</v>
      </c>
      <c r="R246" s="2" t="inlineStr"/>
    </row>
    <row r="247" ht="15" customHeight="1">
      <c r="A247" t="inlineStr">
        <is>
          <t>A 14057-2020</t>
        </is>
      </c>
      <c r="B247" s="1" t="n">
        <v>43906</v>
      </c>
      <c r="C247" s="1" t="n">
        <v>45628</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14892-2020</t>
        </is>
      </c>
      <c r="B248" s="1" t="n">
        <v>43906</v>
      </c>
      <c r="C248" s="1" t="n">
        <v>45628</v>
      </c>
      <c r="D248" t="inlineStr">
        <is>
          <t>VÄRMLANDS LÄN</t>
        </is>
      </c>
      <c r="E248" t="inlineStr">
        <is>
          <t>ÅRJÄNG</t>
        </is>
      </c>
      <c r="G248" t="n">
        <v>1.5</v>
      </c>
      <c r="H248" t="n">
        <v>0</v>
      </c>
      <c r="I248" t="n">
        <v>0</v>
      </c>
      <c r="J248" t="n">
        <v>0</v>
      </c>
      <c r="K248" t="n">
        <v>0</v>
      </c>
      <c r="L248" t="n">
        <v>0</v>
      </c>
      <c r="M248" t="n">
        <v>0</v>
      </c>
      <c r="N248" t="n">
        <v>0</v>
      </c>
      <c r="O248" t="n">
        <v>0</v>
      </c>
      <c r="P248" t="n">
        <v>0</v>
      </c>
      <c r="Q248" t="n">
        <v>0</v>
      </c>
      <c r="R248" s="2" t="inlineStr"/>
    </row>
    <row r="249" ht="15" customHeight="1">
      <c r="A249" t="inlineStr">
        <is>
          <t>A 14059-2020</t>
        </is>
      </c>
      <c r="B249" s="1" t="n">
        <v>43906</v>
      </c>
      <c r="C249" s="1" t="n">
        <v>45628</v>
      </c>
      <c r="D249" t="inlineStr">
        <is>
          <t>VÄRMLANDS LÄN</t>
        </is>
      </c>
      <c r="E249" t="inlineStr">
        <is>
          <t>ÅRJÄNG</t>
        </is>
      </c>
      <c r="G249" t="n">
        <v>5</v>
      </c>
      <c r="H249" t="n">
        <v>0</v>
      </c>
      <c r="I249" t="n">
        <v>0</v>
      </c>
      <c r="J249" t="n">
        <v>0</v>
      </c>
      <c r="K249" t="n">
        <v>0</v>
      </c>
      <c r="L249" t="n">
        <v>0</v>
      </c>
      <c r="M249" t="n">
        <v>0</v>
      </c>
      <c r="N249" t="n">
        <v>0</v>
      </c>
      <c r="O249" t="n">
        <v>0</v>
      </c>
      <c r="P249" t="n">
        <v>0</v>
      </c>
      <c r="Q249" t="n">
        <v>0</v>
      </c>
      <c r="R249" s="2" t="inlineStr"/>
    </row>
    <row r="250" ht="15" customHeight="1">
      <c r="A250" t="inlineStr">
        <is>
          <t>A 14058-2020</t>
        </is>
      </c>
      <c r="B250" s="1" t="n">
        <v>43906</v>
      </c>
      <c r="C250" s="1" t="n">
        <v>45628</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14061-2020</t>
        </is>
      </c>
      <c r="B251" s="1" t="n">
        <v>43906</v>
      </c>
      <c r="C251" s="1" t="n">
        <v>45628</v>
      </c>
      <c r="D251" t="inlineStr">
        <is>
          <t>VÄRMLANDS LÄN</t>
        </is>
      </c>
      <c r="E251" t="inlineStr">
        <is>
          <t>ÅRJÄNG</t>
        </is>
      </c>
      <c r="G251" t="n">
        <v>0.7</v>
      </c>
      <c r="H251" t="n">
        <v>0</v>
      </c>
      <c r="I251" t="n">
        <v>0</v>
      </c>
      <c r="J251" t="n">
        <v>0</v>
      </c>
      <c r="K251" t="n">
        <v>0</v>
      </c>
      <c r="L251" t="n">
        <v>0</v>
      </c>
      <c r="M251" t="n">
        <v>0</v>
      </c>
      <c r="N251" t="n">
        <v>0</v>
      </c>
      <c r="O251" t="n">
        <v>0</v>
      </c>
      <c r="P251" t="n">
        <v>0</v>
      </c>
      <c r="Q251" t="n">
        <v>0</v>
      </c>
      <c r="R251" s="2" t="inlineStr"/>
    </row>
    <row r="252" ht="15" customHeight="1">
      <c r="A252" t="inlineStr">
        <is>
          <t>A 14128-2020</t>
        </is>
      </c>
      <c r="B252" s="1" t="n">
        <v>43907</v>
      </c>
      <c r="C252" s="1" t="n">
        <v>45628</v>
      </c>
      <c r="D252" t="inlineStr">
        <is>
          <t>VÄRMLANDS LÄN</t>
        </is>
      </c>
      <c r="E252" t="inlineStr">
        <is>
          <t>ÅRJÄNG</t>
        </is>
      </c>
      <c r="G252" t="n">
        <v>3.5</v>
      </c>
      <c r="H252" t="n">
        <v>0</v>
      </c>
      <c r="I252" t="n">
        <v>0</v>
      </c>
      <c r="J252" t="n">
        <v>0</v>
      </c>
      <c r="K252" t="n">
        <v>0</v>
      </c>
      <c r="L252" t="n">
        <v>0</v>
      </c>
      <c r="M252" t="n">
        <v>0</v>
      </c>
      <c r="N252" t="n">
        <v>0</v>
      </c>
      <c r="O252" t="n">
        <v>0</v>
      </c>
      <c r="P252" t="n">
        <v>0</v>
      </c>
      <c r="Q252" t="n">
        <v>0</v>
      </c>
      <c r="R252" s="2" t="inlineStr"/>
    </row>
    <row r="253" ht="15" customHeight="1">
      <c r="A253" t="inlineStr">
        <is>
          <t>A 14132-2020</t>
        </is>
      </c>
      <c r="B253" s="1" t="n">
        <v>43907</v>
      </c>
      <c r="C253" s="1" t="n">
        <v>45628</v>
      </c>
      <c r="D253" t="inlineStr">
        <is>
          <t>VÄRMLANDS LÄN</t>
        </is>
      </c>
      <c r="E253" t="inlineStr">
        <is>
          <t>ÅRJÄNG</t>
        </is>
      </c>
      <c r="G253" t="n">
        <v>4.4</v>
      </c>
      <c r="H253" t="n">
        <v>0</v>
      </c>
      <c r="I253" t="n">
        <v>0</v>
      </c>
      <c r="J253" t="n">
        <v>0</v>
      </c>
      <c r="K253" t="n">
        <v>0</v>
      </c>
      <c r="L253" t="n">
        <v>0</v>
      </c>
      <c r="M253" t="n">
        <v>0</v>
      </c>
      <c r="N253" t="n">
        <v>0</v>
      </c>
      <c r="O253" t="n">
        <v>0</v>
      </c>
      <c r="P253" t="n">
        <v>0</v>
      </c>
      <c r="Q253" t="n">
        <v>0</v>
      </c>
      <c r="R253" s="2" t="inlineStr"/>
    </row>
    <row r="254" ht="15" customHeight="1">
      <c r="A254" t="inlineStr">
        <is>
          <t>A 14928-2020</t>
        </is>
      </c>
      <c r="B254" s="1" t="n">
        <v>43910</v>
      </c>
      <c r="C254" s="1" t="n">
        <v>45628</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15044-2020</t>
        </is>
      </c>
      <c r="B255" s="1" t="n">
        <v>43910</v>
      </c>
      <c r="C255" s="1" t="n">
        <v>45628</v>
      </c>
      <c r="D255" t="inlineStr">
        <is>
          <t>VÄRMLANDS LÄN</t>
        </is>
      </c>
      <c r="E255" t="inlineStr">
        <is>
          <t>ÅRJÄNG</t>
        </is>
      </c>
      <c r="G255" t="n">
        <v>2.7</v>
      </c>
      <c r="H255" t="n">
        <v>0</v>
      </c>
      <c r="I255" t="n">
        <v>0</v>
      </c>
      <c r="J255" t="n">
        <v>0</v>
      </c>
      <c r="K255" t="n">
        <v>0</v>
      </c>
      <c r="L255" t="n">
        <v>0</v>
      </c>
      <c r="M255" t="n">
        <v>0</v>
      </c>
      <c r="N255" t="n">
        <v>0</v>
      </c>
      <c r="O255" t="n">
        <v>0</v>
      </c>
      <c r="P255" t="n">
        <v>0</v>
      </c>
      <c r="Q255" t="n">
        <v>0</v>
      </c>
      <c r="R255" s="2" t="inlineStr"/>
    </row>
    <row r="256" ht="15" customHeight="1">
      <c r="A256" t="inlineStr">
        <is>
          <t>A 15864-2020</t>
        </is>
      </c>
      <c r="B256" s="1" t="n">
        <v>43915</v>
      </c>
      <c r="C256" s="1" t="n">
        <v>45628</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15674-2020</t>
        </is>
      </c>
      <c r="B257" s="1" t="n">
        <v>43915</v>
      </c>
      <c r="C257" s="1" t="n">
        <v>45628</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15669-2020</t>
        </is>
      </c>
      <c r="B258" s="1" t="n">
        <v>43915</v>
      </c>
      <c r="C258" s="1" t="n">
        <v>45628</v>
      </c>
      <c r="D258" t="inlineStr">
        <is>
          <t>VÄRMLANDS LÄN</t>
        </is>
      </c>
      <c r="E258" t="inlineStr">
        <is>
          <t>ÅRJÄNG</t>
        </is>
      </c>
      <c r="G258" t="n">
        <v>4.6</v>
      </c>
      <c r="H258" t="n">
        <v>0</v>
      </c>
      <c r="I258" t="n">
        <v>0</v>
      </c>
      <c r="J258" t="n">
        <v>0</v>
      </c>
      <c r="K258" t="n">
        <v>0</v>
      </c>
      <c r="L258" t="n">
        <v>0</v>
      </c>
      <c r="M258" t="n">
        <v>0</v>
      </c>
      <c r="N258" t="n">
        <v>0</v>
      </c>
      <c r="O258" t="n">
        <v>0</v>
      </c>
      <c r="P258" t="n">
        <v>0</v>
      </c>
      <c r="Q258" t="n">
        <v>0</v>
      </c>
      <c r="R258" s="2" t="inlineStr"/>
    </row>
    <row r="259" ht="15" customHeight="1">
      <c r="A259" t="inlineStr">
        <is>
          <t>A 16454-2020</t>
        </is>
      </c>
      <c r="B259" s="1" t="n">
        <v>43920</v>
      </c>
      <c r="C259" s="1" t="n">
        <v>45628</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17596-2020</t>
        </is>
      </c>
      <c r="B260" s="1" t="n">
        <v>43921</v>
      </c>
      <c r="C260" s="1" t="n">
        <v>45628</v>
      </c>
      <c r="D260" t="inlineStr">
        <is>
          <t>VÄRMLANDS LÄN</t>
        </is>
      </c>
      <c r="E260" t="inlineStr">
        <is>
          <t>ÅRJÄNG</t>
        </is>
      </c>
      <c r="G260" t="n">
        <v>2.8</v>
      </c>
      <c r="H260" t="n">
        <v>0</v>
      </c>
      <c r="I260" t="n">
        <v>0</v>
      </c>
      <c r="J260" t="n">
        <v>0</v>
      </c>
      <c r="K260" t="n">
        <v>0</v>
      </c>
      <c r="L260" t="n">
        <v>0</v>
      </c>
      <c r="M260" t="n">
        <v>0</v>
      </c>
      <c r="N260" t="n">
        <v>0</v>
      </c>
      <c r="O260" t="n">
        <v>0</v>
      </c>
      <c r="P260" t="n">
        <v>0</v>
      </c>
      <c r="Q260" t="n">
        <v>0</v>
      </c>
      <c r="R260" s="2" t="inlineStr"/>
    </row>
    <row r="261" ht="15" customHeight="1">
      <c r="A261" t="inlineStr">
        <is>
          <t>A 17475-2020</t>
        </is>
      </c>
      <c r="B261" s="1" t="n">
        <v>43923</v>
      </c>
      <c r="C261" s="1" t="n">
        <v>45628</v>
      </c>
      <c r="D261" t="inlineStr">
        <is>
          <t>VÄRMLANDS LÄN</t>
        </is>
      </c>
      <c r="E261" t="inlineStr">
        <is>
          <t>ÅRJÄNG</t>
        </is>
      </c>
      <c r="G261" t="n">
        <v>4.2</v>
      </c>
      <c r="H261" t="n">
        <v>0</v>
      </c>
      <c r="I261" t="n">
        <v>0</v>
      </c>
      <c r="J261" t="n">
        <v>0</v>
      </c>
      <c r="K261" t="n">
        <v>0</v>
      </c>
      <c r="L261" t="n">
        <v>0</v>
      </c>
      <c r="M261" t="n">
        <v>0</v>
      </c>
      <c r="N261" t="n">
        <v>0</v>
      </c>
      <c r="O261" t="n">
        <v>0</v>
      </c>
      <c r="P261" t="n">
        <v>0</v>
      </c>
      <c r="Q261" t="n">
        <v>0</v>
      </c>
      <c r="R261" s="2" t="inlineStr"/>
    </row>
    <row r="262" ht="15" customHeight="1">
      <c r="A262" t="inlineStr">
        <is>
          <t>A 17751-2020</t>
        </is>
      </c>
      <c r="B262" s="1" t="n">
        <v>43924</v>
      </c>
      <c r="C262" s="1" t="n">
        <v>45628</v>
      </c>
      <c r="D262" t="inlineStr">
        <is>
          <t>VÄRMLANDS LÄN</t>
        </is>
      </c>
      <c r="E262" t="inlineStr">
        <is>
          <t>ÅRJÄNG</t>
        </is>
      </c>
      <c r="G262" t="n">
        <v>5.8</v>
      </c>
      <c r="H262" t="n">
        <v>0</v>
      </c>
      <c r="I262" t="n">
        <v>0</v>
      </c>
      <c r="J262" t="n">
        <v>0</v>
      </c>
      <c r="K262" t="n">
        <v>0</v>
      </c>
      <c r="L262" t="n">
        <v>0</v>
      </c>
      <c r="M262" t="n">
        <v>0</v>
      </c>
      <c r="N262" t="n">
        <v>0</v>
      </c>
      <c r="O262" t="n">
        <v>0</v>
      </c>
      <c r="P262" t="n">
        <v>0</v>
      </c>
      <c r="Q262" t="n">
        <v>0</v>
      </c>
      <c r="R262" s="2" t="inlineStr"/>
    </row>
    <row r="263" ht="15" customHeight="1">
      <c r="A263" t="inlineStr">
        <is>
          <t>A 17922-2020</t>
        </is>
      </c>
      <c r="B263" s="1" t="n">
        <v>43924</v>
      </c>
      <c r="C263" s="1" t="n">
        <v>45628</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18793-2020</t>
        </is>
      </c>
      <c r="B264" s="1" t="n">
        <v>43932</v>
      </c>
      <c r="C264" s="1" t="n">
        <v>45628</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21256-2020</t>
        </is>
      </c>
      <c r="B265" s="1" t="n">
        <v>43955</v>
      </c>
      <c r="C265" s="1" t="n">
        <v>45628</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22584-2020</t>
        </is>
      </c>
      <c r="B266" s="1" t="n">
        <v>43963</v>
      </c>
      <c r="C266" s="1" t="n">
        <v>45628</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22965-2020</t>
        </is>
      </c>
      <c r="B267" s="1" t="n">
        <v>43964</v>
      </c>
      <c r="C267" s="1" t="n">
        <v>45628</v>
      </c>
      <c r="D267" t="inlineStr">
        <is>
          <t>VÄRMLANDS LÄN</t>
        </is>
      </c>
      <c r="E267" t="inlineStr">
        <is>
          <t>ÅRJÄNG</t>
        </is>
      </c>
      <c r="G267" t="n">
        <v>4.7</v>
      </c>
      <c r="H267" t="n">
        <v>0</v>
      </c>
      <c r="I267" t="n">
        <v>0</v>
      </c>
      <c r="J267" t="n">
        <v>0</v>
      </c>
      <c r="K267" t="n">
        <v>0</v>
      </c>
      <c r="L267" t="n">
        <v>0</v>
      </c>
      <c r="M267" t="n">
        <v>0</v>
      </c>
      <c r="N267" t="n">
        <v>0</v>
      </c>
      <c r="O267" t="n">
        <v>0</v>
      </c>
      <c r="P267" t="n">
        <v>0</v>
      </c>
      <c r="Q267" t="n">
        <v>0</v>
      </c>
      <c r="R267" s="2" t="inlineStr"/>
    </row>
    <row r="268" ht="15" customHeight="1">
      <c r="A268" t="inlineStr">
        <is>
          <t>A 23216-2020</t>
        </is>
      </c>
      <c r="B268" s="1" t="n">
        <v>43965</v>
      </c>
      <c r="C268" s="1" t="n">
        <v>45628</v>
      </c>
      <c r="D268" t="inlineStr">
        <is>
          <t>VÄRMLANDS LÄN</t>
        </is>
      </c>
      <c r="E268" t="inlineStr">
        <is>
          <t>ÅRJÄNG</t>
        </is>
      </c>
      <c r="G268" t="n">
        <v>1.8</v>
      </c>
      <c r="H268" t="n">
        <v>0</v>
      </c>
      <c r="I268" t="n">
        <v>0</v>
      </c>
      <c r="J268" t="n">
        <v>0</v>
      </c>
      <c r="K268" t="n">
        <v>0</v>
      </c>
      <c r="L268" t="n">
        <v>0</v>
      </c>
      <c r="M268" t="n">
        <v>0</v>
      </c>
      <c r="N268" t="n">
        <v>0</v>
      </c>
      <c r="O268" t="n">
        <v>0</v>
      </c>
      <c r="P268" t="n">
        <v>0</v>
      </c>
      <c r="Q268" t="n">
        <v>0</v>
      </c>
      <c r="R268" s="2" t="inlineStr"/>
    </row>
    <row r="269" ht="15" customHeight="1">
      <c r="A269" t="inlineStr">
        <is>
          <t>A 23211-2020</t>
        </is>
      </c>
      <c r="B269" s="1" t="n">
        <v>43965</v>
      </c>
      <c r="C269" s="1" t="n">
        <v>45628</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23493-2020</t>
        </is>
      </c>
      <c r="B270" s="1" t="n">
        <v>43969</v>
      </c>
      <c r="C270" s="1" t="n">
        <v>45628</v>
      </c>
      <c r="D270" t="inlineStr">
        <is>
          <t>VÄRMLANDS LÄN</t>
        </is>
      </c>
      <c r="E270" t="inlineStr">
        <is>
          <t>ÅRJÄNG</t>
        </is>
      </c>
      <c r="G270" t="n">
        <v>3.5</v>
      </c>
      <c r="H270" t="n">
        <v>0</v>
      </c>
      <c r="I270" t="n">
        <v>0</v>
      </c>
      <c r="J270" t="n">
        <v>0</v>
      </c>
      <c r="K270" t="n">
        <v>0</v>
      </c>
      <c r="L270" t="n">
        <v>0</v>
      </c>
      <c r="M270" t="n">
        <v>0</v>
      </c>
      <c r="N270" t="n">
        <v>0</v>
      </c>
      <c r="O270" t="n">
        <v>0</v>
      </c>
      <c r="P270" t="n">
        <v>0</v>
      </c>
      <c r="Q270" t="n">
        <v>0</v>
      </c>
      <c r="R270" s="2" t="inlineStr"/>
    </row>
    <row r="271" ht="15" customHeight="1">
      <c r="A271" t="inlineStr">
        <is>
          <t>A 24166-2020</t>
        </is>
      </c>
      <c r="B271" s="1" t="n">
        <v>43975</v>
      </c>
      <c r="C271" s="1" t="n">
        <v>45628</v>
      </c>
      <c r="D271" t="inlineStr">
        <is>
          <t>VÄRMLANDS LÄN</t>
        </is>
      </c>
      <c r="E271" t="inlineStr">
        <is>
          <t>ÅRJÄNG</t>
        </is>
      </c>
      <c r="G271" t="n">
        <v>3.4</v>
      </c>
      <c r="H271" t="n">
        <v>0</v>
      </c>
      <c r="I271" t="n">
        <v>0</v>
      </c>
      <c r="J271" t="n">
        <v>0</v>
      </c>
      <c r="K271" t="n">
        <v>0</v>
      </c>
      <c r="L271" t="n">
        <v>0</v>
      </c>
      <c r="M271" t="n">
        <v>0</v>
      </c>
      <c r="N271" t="n">
        <v>0</v>
      </c>
      <c r="O271" t="n">
        <v>0</v>
      </c>
      <c r="P271" t="n">
        <v>0</v>
      </c>
      <c r="Q271" t="n">
        <v>0</v>
      </c>
      <c r="R271" s="2" t="inlineStr"/>
    </row>
    <row r="272" ht="15" customHeight="1">
      <c r="A272" t="inlineStr">
        <is>
          <t>A 24718-2020</t>
        </is>
      </c>
      <c r="B272" s="1" t="n">
        <v>43978</v>
      </c>
      <c r="C272" s="1" t="n">
        <v>45628</v>
      </c>
      <c r="D272" t="inlineStr">
        <is>
          <t>VÄRMLANDS LÄN</t>
        </is>
      </c>
      <c r="E272" t="inlineStr">
        <is>
          <t>ÅRJÄNG</t>
        </is>
      </c>
      <c r="G272" t="n">
        <v>4.1</v>
      </c>
      <c r="H272" t="n">
        <v>0</v>
      </c>
      <c r="I272" t="n">
        <v>0</v>
      </c>
      <c r="J272" t="n">
        <v>0</v>
      </c>
      <c r="K272" t="n">
        <v>0</v>
      </c>
      <c r="L272" t="n">
        <v>0</v>
      </c>
      <c r="M272" t="n">
        <v>0</v>
      </c>
      <c r="N272" t="n">
        <v>0</v>
      </c>
      <c r="O272" t="n">
        <v>0</v>
      </c>
      <c r="P272" t="n">
        <v>0</v>
      </c>
      <c r="Q272" t="n">
        <v>0</v>
      </c>
      <c r="R272" s="2" t="inlineStr"/>
    </row>
    <row r="273" ht="15" customHeight="1">
      <c r="A273" t="inlineStr">
        <is>
          <t>A 24722-2020</t>
        </is>
      </c>
      <c r="B273" s="1" t="n">
        <v>43978</v>
      </c>
      <c r="C273" s="1" t="n">
        <v>45628</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24920-2020</t>
        </is>
      </c>
      <c r="B274" s="1" t="n">
        <v>43979</v>
      </c>
      <c r="C274" s="1" t="n">
        <v>45628</v>
      </c>
      <c r="D274" t="inlineStr">
        <is>
          <t>VÄRMLANDS LÄN</t>
        </is>
      </c>
      <c r="E274" t="inlineStr">
        <is>
          <t>ÅRJÄNG</t>
        </is>
      </c>
      <c r="G274" t="n">
        <v>2.1</v>
      </c>
      <c r="H274" t="n">
        <v>0</v>
      </c>
      <c r="I274" t="n">
        <v>0</v>
      </c>
      <c r="J274" t="n">
        <v>0</v>
      </c>
      <c r="K274" t="n">
        <v>0</v>
      </c>
      <c r="L274" t="n">
        <v>0</v>
      </c>
      <c r="M274" t="n">
        <v>0</v>
      </c>
      <c r="N274" t="n">
        <v>0</v>
      </c>
      <c r="O274" t="n">
        <v>0</v>
      </c>
      <c r="P274" t="n">
        <v>0</v>
      </c>
      <c r="Q274" t="n">
        <v>0</v>
      </c>
      <c r="R274" s="2" t="inlineStr"/>
    </row>
    <row r="275" ht="15" customHeight="1">
      <c r="A275" t="inlineStr">
        <is>
          <t>A 26132-2020</t>
        </is>
      </c>
      <c r="B275" s="1" t="n">
        <v>43985</v>
      </c>
      <c r="C275" s="1" t="n">
        <v>45628</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26202-2020</t>
        </is>
      </c>
      <c r="B276" s="1" t="n">
        <v>43986</v>
      </c>
      <c r="C276" s="1" t="n">
        <v>45628</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26516-2020</t>
        </is>
      </c>
      <c r="B277" s="1" t="n">
        <v>43987</v>
      </c>
      <c r="C277" s="1" t="n">
        <v>45628</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26512-2020</t>
        </is>
      </c>
      <c r="B278" s="1" t="n">
        <v>43987</v>
      </c>
      <c r="C278" s="1" t="n">
        <v>45628</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29409-2020</t>
        </is>
      </c>
      <c r="B279" s="1" t="n">
        <v>44004</v>
      </c>
      <c r="C279" s="1" t="n">
        <v>45628</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29438-2020</t>
        </is>
      </c>
      <c r="B280" s="1" t="n">
        <v>44004</v>
      </c>
      <c r="C280" s="1" t="n">
        <v>45628</v>
      </c>
      <c r="D280" t="inlineStr">
        <is>
          <t>VÄRMLANDS LÄN</t>
        </is>
      </c>
      <c r="E280" t="inlineStr">
        <is>
          <t>ÅRJÄNG</t>
        </is>
      </c>
      <c r="G280" t="n">
        <v>12.8</v>
      </c>
      <c r="H280" t="n">
        <v>0</v>
      </c>
      <c r="I280" t="n">
        <v>0</v>
      </c>
      <c r="J280" t="n">
        <v>0</v>
      </c>
      <c r="K280" t="n">
        <v>0</v>
      </c>
      <c r="L280" t="n">
        <v>0</v>
      </c>
      <c r="M280" t="n">
        <v>0</v>
      </c>
      <c r="N280" t="n">
        <v>0</v>
      </c>
      <c r="O280" t="n">
        <v>0</v>
      </c>
      <c r="P280" t="n">
        <v>0</v>
      </c>
      <c r="Q280" t="n">
        <v>0</v>
      </c>
      <c r="R280" s="2" t="inlineStr"/>
    </row>
    <row r="281" ht="15" customHeight="1">
      <c r="A281" t="inlineStr">
        <is>
          <t>A 29725-2020</t>
        </is>
      </c>
      <c r="B281" s="1" t="n">
        <v>44005</v>
      </c>
      <c r="C281" s="1" t="n">
        <v>45628</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29808-2020</t>
        </is>
      </c>
      <c r="B282" s="1" t="n">
        <v>44006</v>
      </c>
      <c r="C282" s="1" t="n">
        <v>45628</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29819-2020</t>
        </is>
      </c>
      <c r="B283" s="1" t="n">
        <v>44006</v>
      </c>
      <c r="C283" s="1" t="n">
        <v>45628</v>
      </c>
      <c r="D283" t="inlineStr">
        <is>
          <t>VÄRMLANDS LÄN</t>
        </is>
      </c>
      <c r="E283" t="inlineStr">
        <is>
          <t>ÅRJÄNG</t>
        </is>
      </c>
      <c r="G283" t="n">
        <v>2.7</v>
      </c>
      <c r="H283" t="n">
        <v>0</v>
      </c>
      <c r="I283" t="n">
        <v>0</v>
      </c>
      <c r="J283" t="n">
        <v>0</v>
      </c>
      <c r="K283" t="n">
        <v>0</v>
      </c>
      <c r="L283" t="n">
        <v>0</v>
      </c>
      <c r="M283" t="n">
        <v>0</v>
      </c>
      <c r="N283" t="n">
        <v>0</v>
      </c>
      <c r="O283" t="n">
        <v>0</v>
      </c>
      <c r="P283" t="n">
        <v>0</v>
      </c>
      <c r="Q283" t="n">
        <v>0</v>
      </c>
      <c r="R283" s="2" t="inlineStr"/>
    </row>
    <row r="284" ht="15" customHeight="1">
      <c r="A284" t="inlineStr">
        <is>
          <t>A 29829-2020</t>
        </is>
      </c>
      <c r="B284" s="1" t="n">
        <v>44006</v>
      </c>
      <c r="C284" s="1" t="n">
        <v>45628</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31521-2020</t>
        </is>
      </c>
      <c r="B285" s="1" t="n">
        <v>44013</v>
      </c>
      <c r="C285" s="1" t="n">
        <v>45628</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31665-2020</t>
        </is>
      </c>
      <c r="B286" s="1" t="n">
        <v>44014</v>
      </c>
      <c r="C286" s="1" t="n">
        <v>45628</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31667-2020</t>
        </is>
      </c>
      <c r="B287" s="1" t="n">
        <v>44013</v>
      </c>
      <c r="C287" s="1" t="n">
        <v>45628</v>
      </c>
      <c r="D287" t="inlineStr">
        <is>
          <t>VÄRMLANDS LÄN</t>
        </is>
      </c>
      <c r="E287" t="inlineStr">
        <is>
          <t>ÅRJÄNG</t>
        </is>
      </c>
      <c r="G287" t="n">
        <v>2.5</v>
      </c>
      <c r="H287" t="n">
        <v>0</v>
      </c>
      <c r="I287" t="n">
        <v>0</v>
      </c>
      <c r="J287" t="n">
        <v>0</v>
      </c>
      <c r="K287" t="n">
        <v>0</v>
      </c>
      <c r="L287" t="n">
        <v>0</v>
      </c>
      <c r="M287" t="n">
        <v>0</v>
      </c>
      <c r="N287" t="n">
        <v>0</v>
      </c>
      <c r="O287" t="n">
        <v>0</v>
      </c>
      <c r="P287" t="n">
        <v>0</v>
      </c>
      <c r="Q287" t="n">
        <v>0</v>
      </c>
      <c r="R287" s="2" t="inlineStr"/>
    </row>
    <row r="288" ht="15" customHeight="1">
      <c r="A288" t="inlineStr">
        <is>
          <t>A 32399-2020</t>
        </is>
      </c>
      <c r="B288" s="1" t="n">
        <v>44018</v>
      </c>
      <c r="C288" s="1" t="n">
        <v>45628</v>
      </c>
      <c r="D288" t="inlineStr">
        <is>
          <t>VÄRMLANDS LÄN</t>
        </is>
      </c>
      <c r="E288" t="inlineStr">
        <is>
          <t>ÅRJÄNG</t>
        </is>
      </c>
      <c r="G288" t="n">
        <v>2.3</v>
      </c>
      <c r="H288" t="n">
        <v>0</v>
      </c>
      <c r="I288" t="n">
        <v>0</v>
      </c>
      <c r="J288" t="n">
        <v>0</v>
      </c>
      <c r="K288" t="n">
        <v>0</v>
      </c>
      <c r="L288" t="n">
        <v>0</v>
      </c>
      <c r="M288" t="n">
        <v>0</v>
      </c>
      <c r="N288" t="n">
        <v>0</v>
      </c>
      <c r="O288" t="n">
        <v>0</v>
      </c>
      <c r="P288" t="n">
        <v>0</v>
      </c>
      <c r="Q288" t="n">
        <v>0</v>
      </c>
      <c r="R288" s="2" t="inlineStr"/>
    </row>
    <row r="289" ht="15" customHeight="1">
      <c r="A289" t="inlineStr">
        <is>
          <t>A 32956-2020</t>
        </is>
      </c>
      <c r="B289" s="1" t="n">
        <v>44019</v>
      </c>
      <c r="C289" s="1" t="n">
        <v>45628</v>
      </c>
      <c r="D289" t="inlineStr">
        <is>
          <t>VÄRMLANDS LÄN</t>
        </is>
      </c>
      <c r="E289" t="inlineStr">
        <is>
          <t>ÅRJÄNG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32962-2020</t>
        </is>
      </c>
      <c r="B290" s="1" t="n">
        <v>44019</v>
      </c>
      <c r="C290" s="1" t="n">
        <v>45628</v>
      </c>
      <c r="D290" t="inlineStr">
        <is>
          <t>VÄRMLANDS LÄN</t>
        </is>
      </c>
      <c r="E290" t="inlineStr">
        <is>
          <t>ÅRJÄNG</t>
        </is>
      </c>
      <c r="F290" t="inlineStr">
        <is>
          <t>Övriga Aktiebolag</t>
        </is>
      </c>
      <c r="G290" t="n">
        <v>1.9</v>
      </c>
      <c r="H290" t="n">
        <v>0</v>
      </c>
      <c r="I290" t="n">
        <v>0</v>
      </c>
      <c r="J290" t="n">
        <v>0</v>
      </c>
      <c r="K290" t="n">
        <v>0</v>
      </c>
      <c r="L290" t="n">
        <v>0</v>
      </c>
      <c r="M290" t="n">
        <v>0</v>
      </c>
      <c r="N290" t="n">
        <v>0</v>
      </c>
      <c r="O290" t="n">
        <v>0</v>
      </c>
      <c r="P290" t="n">
        <v>0</v>
      </c>
      <c r="Q290" t="n">
        <v>0</v>
      </c>
      <c r="R290" s="2" t="inlineStr"/>
    </row>
    <row r="291" ht="15" customHeight="1">
      <c r="A291" t="inlineStr">
        <is>
          <t>A 34132-2020</t>
        </is>
      </c>
      <c r="B291" s="1" t="n">
        <v>44029</v>
      </c>
      <c r="C291" s="1" t="n">
        <v>45628</v>
      </c>
      <c r="D291" t="inlineStr">
        <is>
          <t>VÄRMLANDS LÄN</t>
        </is>
      </c>
      <c r="E291" t="inlineStr">
        <is>
          <t>ÅRJÄNG</t>
        </is>
      </c>
      <c r="G291" t="n">
        <v>5.3</v>
      </c>
      <c r="H291" t="n">
        <v>0</v>
      </c>
      <c r="I291" t="n">
        <v>0</v>
      </c>
      <c r="J291" t="n">
        <v>0</v>
      </c>
      <c r="K291" t="n">
        <v>0</v>
      </c>
      <c r="L291" t="n">
        <v>0</v>
      </c>
      <c r="M291" t="n">
        <v>0</v>
      </c>
      <c r="N291" t="n">
        <v>0</v>
      </c>
      <c r="O291" t="n">
        <v>0</v>
      </c>
      <c r="P291" t="n">
        <v>0</v>
      </c>
      <c r="Q291" t="n">
        <v>0</v>
      </c>
      <c r="R291" s="2" t="inlineStr"/>
    </row>
    <row r="292" ht="15" customHeight="1">
      <c r="A292" t="inlineStr">
        <is>
          <t>A 34834-2020</t>
        </is>
      </c>
      <c r="B292" s="1" t="n">
        <v>44036</v>
      </c>
      <c r="C292" s="1" t="n">
        <v>45628</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34849-2020</t>
        </is>
      </c>
      <c r="B293" s="1" t="n">
        <v>44036</v>
      </c>
      <c r="C293" s="1" t="n">
        <v>45628</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34825-2020</t>
        </is>
      </c>
      <c r="B294" s="1" t="n">
        <v>44036</v>
      </c>
      <c r="C294" s="1" t="n">
        <v>45628</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34830-2020</t>
        </is>
      </c>
      <c r="B295" s="1" t="n">
        <v>44036</v>
      </c>
      <c r="C295" s="1" t="n">
        <v>45628</v>
      </c>
      <c r="D295" t="inlineStr">
        <is>
          <t>VÄRMLANDS LÄN</t>
        </is>
      </c>
      <c r="E295" t="inlineStr">
        <is>
          <t>ÅRJÄNG</t>
        </is>
      </c>
      <c r="G295" t="n">
        <v>0.8</v>
      </c>
      <c r="H295" t="n">
        <v>0</v>
      </c>
      <c r="I295" t="n">
        <v>0</v>
      </c>
      <c r="J295" t="n">
        <v>0</v>
      </c>
      <c r="K295" t="n">
        <v>0</v>
      </c>
      <c r="L295" t="n">
        <v>0</v>
      </c>
      <c r="M295" t="n">
        <v>0</v>
      </c>
      <c r="N295" t="n">
        <v>0</v>
      </c>
      <c r="O295" t="n">
        <v>0</v>
      </c>
      <c r="P295" t="n">
        <v>0</v>
      </c>
      <c r="Q295" t="n">
        <v>0</v>
      </c>
      <c r="R295" s="2" t="inlineStr"/>
    </row>
    <row r="296" ht="15" customHeight="1">
      <c r="A296" t="inlineStr">
        <is>
          <t>A 34835-2020</t>
        </is>
      </c>
      <c r="B296" s="1" t="n">
        <v>44036</v>
      </c>
      <c r="C296" s="1" t="n">
        <v>45628</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34844-2020</t>
        </is>
      </c>
      <c r="B297" s="1" t="n">
        <v>44036</v>
      </c>
      <c r="C297" s="1" t="n">
        <v>45628</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34851-2020</t>
        </is>
      </c>
      <c r="B298" s="1" t="n">
        <v>44036</v>
      </c>
      <c r="C298" s="1" t="n">
        <v>45628</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34833-2020</t>
        </is>
      </c>
      <c r="B299" s="1" t="n">
        <v>44036</v>
      </c>
      <c r="C299" s="1" t="n">
        <v>45628</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34832-2020</t>
        </is>
      </c>
      <c r="B300" s="1" t="n">
        <v>44036</v>
      </c>
      <c r="C300" s="1" t="n">
        <v>45628</v>
      </c>
      <c r="D300" t="inlineStr">
        <is>
          <t>VÄRMLANDS LÄN</t>
        </is>
      </c>
      <c r="E300" t="inlineStr">
        <is>
          <t>ÅRJÄNG</t>
        </is>
      </c>
      <c r="G300" t="n">
        <v>3.1</v>
      </c>
      <c r="H300" t="n">
        <v>0</v>
      </c>
      <c r="I300" t="n">
        <v>0</v>
      </c>
      <c r="J300" t="n">
        <v>0</v>
      </c>
      <c r="K300" t="n">
        <v>0</v>
      </c>
      <c r="L300" t="n">
        <v>0</v>
      </c>
      <c r="M300" t="n">
        <v>0</v>
      </c>
      <c r="N300" t="n">
        <v>0</v>
      </c>
      <c r="O300" t="n">
        <v>0</v>
      </c>
      <c r="P300" t="n">
        <v>0</v>
      </c>
      <c r="Q300" t="n">
        <v>0</v>
      </c>
      <c r="R300" s="2" t="inlineStr"/>
    </row>
    <row r="301" ht="15" customHeight="1">
      <c r="A301" t="inlineStr">
        <is>
          <t>A 34827-2020</t>
        </is>
      </c>
      <c r="B301" s="1" t="n">
        <v>44036</v>
      </c>
      <c r="C301" s="1" t="n">
        <v>45628</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35163-2020</t>
        </is>
      </c>
      <c r="B302" s="1" t="n">
        <v>44040</v>
      </c>
      <c r="C302" s="1" t="n">
        <v>45628</v>
      </c>
      <c r="D302" t="inlineStr">
        <is>
          <t>VÄRMLANDS LÄN</t>
        </is>
      </c>
      <c r="E302" t="inlineStr">
        <is>
          <t>ÅRJÄNG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35410-2020</t>
        </is>
      </c>
      <c r="B303" s="1" t="n">
        <v>44042</v>
      </c>
      <c r="C303" s="1" t="n">
        <v>45628</v>
      </c>
      <c r="D303" t="inlineStr">
        <is>
          <t>VÄRMLANDS LÄN</t>
        </is>
      </c>
      <c r="E303" t="inlineStr">
        <is>
          <t>ÅRJÄNG</t>
        </is>
      </c>
      <c r="G303" t="n">
        <v>6.8</v>
      </c>
      <c r="H303" t="n">
        <v>0</v>
      </c>
      <c r="I303" t="n">
        <v>0</v>
      </c>
      <c r="J303" t="n">
        <v>0</v>
      </c>
      <c r="K303" t="n">
        <v>0</v>
      </c>
      <c r="L303" t="n">
        <v>0</v>
      </c>
      <c r="M303" t="n">
        <v>0</v>
      </c>
      <c r="N303" t="n">
        <v>0</v>
      </c>
      <c r="O303" t="n">
        <v>0</v>
      </c>
      <c r="P303" t="n">
        <v>0</v>
      </c>
      <c r="Q303" t="n">
        <v>0</v>
      </c>
      <c r="R303" s="2" t="inlineStr"/>
    </row>
    <row r="304" ht="15" customHeight="1">
      <c r="A304" t="inlineStr">
        <is>
          <t>A 35842-2020</t>
        </is>
      </c>
      <c r="B304" s="1" t="n">
        <v>44047</v>
      </c>
      <c r="C304" s="1" t="n">
        <v>45628</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36537-2020</t>
        </is>
      </c>
      <c r="B305" s="1" t="n">
        <v>44050</v>
      </c>
      <c r="C305" s="1" t="n">
        <v>45628</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37058-2020</t>
        </is>
      </c>
      <c r="B306" s="1" t="n">
        <v>44054</v>
      </c>
      <c r="C306" s="1" t="n">
        <v>45628</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37010-2020</t>
        </is>
      </c>
      <c r="B307" s="1" t="n">
        <v>44054</v>
      </c>
      <c r="C307" s="1" t="n">
        <v>45628</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38177-2020</t>
        </is>
      </c>
      <c r="B308" s="1" t="n">
        <v>44060</v>
      </c>
      <c r="C308" s="1" t="n">
        <v>45628</v>
      </c>
      <c r="D308" t="inlineStr">
        <is>
          <t>VÄRMLANDS LÄN</t>
        </is>
      </c>
      <c r="E308" t="inlineStr">
        <is>
          <t>ÅRJÄNG</t>
        </is>
      </c>
      <c r="F308" t="inlineStr">
        <is>
          <t>Övriga Aktiebolag</t>
        </is>
      </c>
      <c r="G308" t="n">
        <v>9</v>
      </c>
      <c r="H308" t="n">
        <v>0</v>
      </c>
      <c r="I308" t="n">
        <v>0</v>
      </c>
      <c r="J308" t="n">
        <v>0</v>
      </c>
      <c r="K308" t="n">
        <v>0</v>
      </c>
      <c r="L308" t="n">
        <v>0</v>
      </c>
      <c r="M308" t="n">
        <v>0</v>
      </c>
      <c r="N308" t="n">
        <v>0</v>
      </c>
      <c r="O308" t="n">
        <v>0</v>
      </c>
      <c r="P308" t="n">
        <v>0</v>
      </c>
      <c r="Q308" t="n">
        <v>0</v>
      </c>
      <c r="R308" s="2" t="inlineStr"/>
    </row>
    <row r="309" ht="15" customHeight="1">
      <c r="A309" t="inlineStr">
        <is>
          <t>A 38696-2020</t>
        </is>
      </c>
      <c r="B309" s="1" t="n">
        <v>44061</v>
      </c>
      <c r="C309" s="1" t="n">
        <v>45628</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39215-2020</t>
        </is>
      </c>
      <c r="B310" s="1" t="n">
        <v>44063</v>
      </c>
      <c r="C310" s="1" t="n">
        <v>45628</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40553-2020</t>
        </is>
      </c>
      <c r="B311" s="1" t="n">
        <v>44069</v>
      </c>
      <c r="C311" s="1" t="n">
        <v>45628</v>
      </c>
      <c r="D311" t="inlineStr">
        <is>
          <t>VÄRMLANDS LÄN</t>
        </is>
      </c>
      <c r="E311" t="inlineStr">
        <is>
          <t>ÅRJÄNG</t>
        </is>
      </c>
      <c r="G311" t="n">
        <v>5.6</v>
      </c>
      <c r="H311" t="n">
        <v>0</v>
      </c>
      <c r="I311" t="n">
        <v>0</v>
      </c>
      <c r="J311" t="n">
        <v>0</v>
      </c>
      <c r="K311" t="n">
        <v>0</v>
      </c>
      <c r="L311" t="n">
        <v>0</v>
      </c>
      <c r="M311" t="n">
        <v>0</v>
      </c>
      <c r="N311" t="n">
        <v>0</v>
      </c>
      <c r="O311" t="n">
        <v>0</v>
      </c>
      <c r="P311" t="n">
        <v>0</v>
      </c>
      <c r="Q311" t="n">
        <v>0</v>
      </c>
      <c r="R311" s="2" t="inlineStr"/>
    </row>
    <row r="312" ht="15" customHeight="1">
      <c r="A312" t="inlineStr">
        <is>
          <t>A 40572-2020</t>
        </is>
      </c>
      <c r="B312" s="1" t="n">
        <v>44069</v>
      </c>
      <c r="C312" s="1" t="n">
        <v>45628</v>
      </c>
      <c r="D312" t="inlineStr">
        <is>
          <t>VÄRMLANDS LÄN</t>
        </is>
      </c>
      <c r="E312" t="inlineStr">
        <is>
          <t>ÅRJÄNG</t>
        </is>
      </c>
      <c r="G312" t="n">
        <v>15.8</v>
      </c>
      <c r="H312" t="n">
        <v>0</v>
      </c>
      <c r="I312" t="n">
        <v>0</v>
      </c>
      <c r="J312" t="n">
        <v>0</v>
      </c>
      <c r="K312" t="n">
        <v>0</v>
      </c>
      <c r="L312" t="n">
        <v>0</v>
      </c>
      <c r="M312" t="n">
        <v>0</v>
      </c>
      <c r="N312" t="n">
        <v>0</v>
      </c>
      <c r="O312" t="n">
        <v>0</v>
      </c>
      <c r="P312" t="n">
        <v>0</v>
      </c>
      <c r="Q312" t="n">
        <v>0</v>
      </c>
      <c r="R312" s="2" t="inlineStr"/>
    </row>
    <row r="313" ht="15" customHeight="1">
      <c r="A313" t="inlineStr">
        <is>
          <t>A 40781-2020</t>
        </is>
      </c>
      <c r="B313" s="1" t="n">
        <v>44070</v>
      </c>
      <c r="C313" s="1" t="n">
        <v>45628</v>
      </c>
      <c r="D313" t="inlineStr">
        <is>
          <t>VÄRMLANDS LÄN</t>
        </is>
      </c>
      <c r="E313" t="inlineStr">
        <is>
          <t>ÅRJÄNG</t>
        </is>
      </c>
      <c r="G313" t="n">
        <v>7.8</v>
      </c>
      <c r="H313" t="n">
        <v>0</v>
      </c>
      <c r="I313" t="n">
        <v>0</v>
      </c>
      <c r="J313" t="n">
        <v>0</v>
      </c>
      <c r="K313" t="n">
        <v>0</v>
      </c>
      <c r="L313" t="n">
        <v>0</v>
      </c>
      <c r="M313" t="n">
        <v>0</v>
      </c>
      <c r="N313" t="n">
        <v>0</v>
      </c>
      <c r="O313" t="n">
        <v>0</v>
      </c>
      <c r="P313" t="n">
        <v>0</v>
      </c>
      <c r="Q313" t="n">
        <v>0</v>
      </c>
      <c r="R313" s="2" t="inlineStr"/>
    </row>
    <row r="314" ht="15" customHeight="1">
      <c r="A314" t="inlineStr">
        <is>
          <t>A 42431-2020</t>
        </is>
      </c>
      <c r="B314" s="1" t="n">
        <v>44074</v>
      </c>
      <c r="C314" s="1" t="n">
        <v>45628</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42427-2020</t>
        </is>
      </c>
      <c r="B315" s="1" t="n">
        <v>44074</v>
      </c>
      <c r="C315" s="1" t="n">
        <v>45628</v>
      </c>
      <c r="D315" t="inlineStr">
        <is>
          <t>VÄRMLANDS LÄN</t>
        </is>
      </c>
      <c r="E315" t="inlineStr">
        <is>
          <t>ÅRJÄNG</t>
        </is>
      </c>
      <c r="G315" t="n">
        <v>2.8</v>
      </c>
      <c r="H315" t="n">
        <v>0</v>
      </c>
      <c r="I315" t="n">
        <v>0</v>
      </c>
      <c r="J315" t="n">
        <v>0</v>
      </c>
      <c r="K315" t="n">
        <v>0</v>
      </c>
      <c r="L315" t="n">
        <v>0</v>
      </c>
      <c r="M315" t="n">
        <v>0</v>
      </c>
      <c r="N315" t="n">
        <v>0</v>
      </c>
      <c r="O315" t="n">
        <v>0</v>
      </c>
      <c r="P315" t="n">
        <v>0</v>
      </c>
      <c r="Q315" t="n">
        <v>0</v>
      </c>
      <c r="R315" s="2" t="inlineStr"/>
    </row>
    <row r="316" ht="15" customHeight="1">
      <c r="A316" t="inlineStr">
        <is>
          <t>A 42267-2020</t>
        </is>
      </c>
      <c r="B316" s="1" t="n">
        <v>44076</v>
      </c>
      <c r="C316" s="1" t="n">
        <v>45628</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43267-2020</t>
        </is>
      </c>
      <c r="B317" s="1" t="n">
        <v>44081</v>
      </c>
      <c r="C317" s="1" t="n">
        <v>45628</v>
      </c>
      <c r="D317" t="inlineStr">
        <is>
          <t>VÄRMLANDS LÄN</t>
        </is>
      </c>
      <c r="E317" t="inlineStr">
        <is>
          <t>ÅRJÄNG</t>
        </is>
      </c>
      <c r="G317" t="n">
        <v>6.6</v>
      </c>
      <c r="H317" t="n">
        <v>0</v>
      </c>
      <c r="I317" t="n">
        <v>0</v>
      </c>
      <c r="J317" t="n">
        <v>0</v>
      </c>
      <c r="K317" t="n">
        <v>0</v>
      </c>
      <c r="L317" t="n">
        <v>0</v>
      </c>
      <c r="M317" t="n">
        <v>0</v>
      </c>
      <c r="N317" t="n">
        <v>0</v>
      </c>
      <c r="O317" t="n">
        <v>0</v>
      </c>
      <c r="P317" t="n">
        <v>0</v>
      </c>
      <c r="Q317" t="n">
        <v>0</v>
      </c>
      <c r="R317" s="2" t="inlineStr"/>
    </row>
    <row r="318" ht="15" customHeight="1">
      <c r="A318" t="inlineStr">
        <is>
          <t>A 44298-2020</t>
        </is>
      </c>
      <c r="B318" s="1" t="n">
        <v>44084</v>
      </c>
      <c r="C318" s="1" t="n">
        <v>45628</v>
      </c>
      <c r="D318" t="inlineStr">
        <is>
          <t>VÄRMLANDS LÄN</t>
        </is>
      </c>
      <c r="E318" t="inlineStr">
        <is>
          <t>ÅRJÄNG</t>
        </is>
      </c>
      <c r="G318" t="n">
        <v>1</v>
      </c>
      <c r="H318" t="n">
        <v>0</v>
      </c>
      <c r="I318" t="n">
        <v>0</v>
      </c>
      <c r="J318" t="n">
        <v>0</v>
      </c>
      <c r="K318" t="n">
        <v>0</v>
      </c>
      <c r="L318" t="n">
        <v>0</v>
      </c>
      <c r="M318" t="n">
        <v>0</v>
      </c>
      <c r="N318" t="n">
        <v>0</v>
      </c>
      <c r="O318" t="n">
        <v>0</v>
      </c>
      <c r="P318" t="n">
        <v>0</v>
      </c>
      <c r="Q318" t="n">
        <v>0</v>
      </c>
      <c r="R318" s="2" t="inlineStr"/>
    </row>
    <row r="319" ht="15" customHeight="1">
      <c r="A319" t="inlineStr">
        <is>
          <t>A 44319-2020</t>
        </is>
      </c>
      <c r="B319" s="1" t="n">
        <v>44084</v>
      </c>
      <c r="C319" s="1" t="n">
        <v>45628</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45971-2020</t>
        </is>
      </c>
      <c r="B320" s="1" t="n">
        <v>44091</v>
      </c>
      <c r="C320" s="1" t="n">
        <v>45628</v>
      </c>
      <c r="D320" t="inlineStr">
        <is>
          <t>VÄRMLANDS LÄN</t>
        </is>
      </c>
      <c r="E320" t="inlineStr">
        <is>
          <t>ÅRJÄNG</t>
        </is>
      </c>
      <c r="G320" t="n">
        <v>12.7</v>
      </c>
      <c r="H320" t="n">
        <v>0</v>
      </c>
      <c r="I320" t="n">
        <v>0</v>
      </c>
      <c r="J320" t="n">
        <v>0</v>
      </c>
      <c r="K320" t="n">
        <v>0</v>
      </c>
      <c r="L320" t="n">
        <v>0</v>
      </c>
      <c r="M320" t="n">
        <v>0</v>
      </c>
      <c r="N320" t="n">
        <v>0</v>
      </c>
      <c r="O320" t="n">
        <v>0</v>
      </c>
      <c r="P320" t="n">
        <v>0</v>
      </c>
      <c r="Q320" t="n">
        <v>0</v>
      </c>
      <c r="R320" s="2" t="inlineStr"/>
    </row>
    <row r="321" ht="15" customHeight="1">
      <c r="A321" t="inlineStr">
        <is>
          <t>A 46002-2020</t>
        </is>
      </c>
      <c r="B321" s="1" t="n">
        <v>44091</v>
      </c>
      <c r="C321" s="1" t="n">
        <v>45628</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46981-2020</t>
        </is>
      </c>
      <c r="B322" s="1" t="n">
        <v>44096</v>
      </c>
      <c r="C322" s="1" t="n">
        <v>45628</v>
      </c>
      <c r="D322" t="inlineStr">
        <is>
          <t>VÄRMLANDS LÄN</t>
        </is>
      </c>
      <c r="E322" t="inlineStr">
        <is>
          <t>ÅRJÄNG</t>
        </is>
      </c>
      <c r="G322" t="n">
        <v>5.1</v>
      </c>
      <c r="H322" t="n">
        <v>0</v>
      </c>
      <c r="I322" t="n">
        <v>0</v>
      </c>
      <c r="J322" t="n">
        <v>0</v>
      </c>
      <c r="K322" t="n">
        <v>0</v>
      </c>
      <c r="L322" t="n">
        <v>0</v>
      </c>
      <c r="M322" t="n">
        <v>0</v>
      </c>
      <c r="N322" t="n">
        <v>0</v>
      </c>
      <c r="O322" t="n">
        <v>0</v>
      </c>
      <c r="P322" t="n">
        <v>0</v>
      </c>
      <c r="Q322" t="n">
        <v>0</v>
      </c>
      <c r="R322" s="2" t="inlineStr"/>
    </row>
    <row r="323" ht="15" customHeight="1">
      <c r="A323" t="inlineStr">
        <is>
          <t>A 47394-2020</t>
        </is>
      </c>
      <c r="B323" s="1" t="n">
        <v>44097</v>
      </c>
      <c r="C323" s="1" t="n">
        <v>45628</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48089-2020</t>
        </is>
      </c>
      <c r="B324" s="1" t="n">
        <v>44101</v>
      </c>
      <c r="C324" s="1" t="n">
        <v>45628</v>
      </c>
      <c r="D324" t="inlineStr">
        <is>
          <t>VÄRMLANDS LÄN</t>
        </is>
      </c>
      <c r="E324" t="inlineStr">
        <is>
          <t>ÅRJÄNG</t>
        </is>
      </c>
      <c r="G324" t="n">
        <v>6.7</v>
      </c>
      <c r="H324" t="n">
        <v>0</v>
      </c>
      <c r="I324" t="n">
        <v>0</v>
      </c>
      <c r="J324" t="n">
        <v>0</v>
      </c>
      <c r="K324" t="n">
        <v>0</v>
      </c>
      <c r="L324" t="n">
        <v>0</v>
      </c>
      <c r="M324" t="n">
        <v>0</v>
      </c>
      <c r="N324" t="n">
        <v>0</v>
      </c>
      <c r="O324" t="n">
        <v>0</v>
      </c>
      <c r="P324" t="n">
        <v>0</v>
      </c>
      <c r="Q324" t="n">
        <v>0</v>
      </c>
      <c r="R324" s="2" t="inlineStr"/>
    </row>
    <row r="325" ht="15" customHeight="1">
      <c r="A325" t="inlineStr">
        <is>
          <t>A 48374-2020</t>
        </is>
      </c>
      <c r="B325" s="1" t="n">
        <v>44102</v>
      </c>
      <c r="C325" s="1" t="n">
        <v>45628</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48132-2020</t>
        </is>
      </c>
      <c r="B326" s="1" t="n">
        <v>44102</v>
      </c>
      <c r="C326" s="1" t="n">
        <v>45628</v>
      </c>
      <c r="D326" t="inlineStr">
        <is>
          <t>VÄRMLANDS LÄN</t>
        </is>
      </c>
      <c r="E326" t="inlineStr">
        <is>
          <t>ÅRJÄNG</t>
        </is>
      </c>
      <c r="G326" t="n">
        <v>4.1</v>
      </c>
      <c r="H326" t="n">
        <v>0</v>
      </c>
      <c r="I326" t="n">
        <v>0</v>
      </c>
      <c r="J326" t="n">
        <v>0</v>
      </c>
      <c r="K326" t="n">
        <v>0</v>
      </c>
      <c r="L326" t="n">
        <v>0</v>
      </c>
      <c r="M326" t="n">
        <v>0</v>
      </c>
      <c r="N326" t="n">
        <v>0</v>
      </c>
      <c r="O326" t="n">
        <v>0</v>
      </c>
      <c r="P326" t="n">
        <v>0</v>
      </c>
      <c r="Q326" t="n">
        <v>0</v>
      </c>
      <c r="R326" s="2" t="inlineStr"/>
    </row>
    <row r="327" ht="15" customHeight="1">
      <c r="A327" t="inlineStr">
        <is>
          <t>A 48594-2020</t>
        </is>
      </c>
      <c r="B327" s="1" t="n">
        <v>44103</v>
      </c>
      <c r="C327" s="1" t="n">
        <v>45628</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48652-2020</t>
        </is>
      </c>
      <c r="B328" s="1" t="n">
        <v>44103</v>
      </c>
      <c r="C328" s="1" t="n">
        <v>45628</v>
      </c>
      <c r="D328" t="inlineStr">
        <is>
          <t>VÄRMLANDS LÄN</t>
        </is>
      </c>
      <c r="E328" t="inlineStr">
        <is>
          <t>ÅRJÄNG</t>
        </is>
      </c>
      <c r="G328" t="n">
        <v>4.9</v>
      </c>
      <c r="H328" t="n">
        <v>0</v>
      </c>
      <c r="I328" t="n">
        <v>0</v>
      </c>
      <c r="J328" t="n">
        <v>0</v>
      </c>
      <c r="K328" t="n">
        <v>0</v>
      </c>
      <c r="L328" t="n">
        <v>0</v>
      </c>
      <c r="M328" t="n">
        <v>0</v>
      </c>
      <c r="N328" t="n">
        <v>0</v>
      </c>
      <c r="O328" t="n">
        <v>0</v>
      </c>
      <c r="P328" t="n">
        <v>0</v>
      </c>
      <c r="Q328" t="n">
        <v>0</v>
      </c>
      <c r="R328" s="2" t="inlineStr"/>
    </row>
    <row r="329" ht="15" customHeight="1">
      <c r="A329" t="inlineStr">
        <is>
          <t>A 50664-2020</t>
        </is>
      </c>
      <c r="B329" s="1" t="n">
        <v>44105</v>
      </c>
      <c r="C329" s="1" t="n">
        <v>45628</v>
      </c>
      <c r="D329" t="inlineStr">
        <is>
          <t>VÄRMLANDS LÄN</t>
        </is>
      </c>
      <c r="E329" t="inlineStr">
        <is>
          <t>ÅRJÄNG</t>
        </is>
      </c>
      <c r="G329" t="n">
        <v>2.3</v>
      </c>
      <c r="H329" t="n">
        <v>0</v>
      </c>
      <c r="I329" t="n">
        <v>0</v>
      </c>
      <c r="J329" t="n">
        <v>0</v>
      </c>
      <c r="K329" t="n">
        <v>0</v>
      </c>
      <c r="L329" t="n">
        <v>0</v>
      </c>
      <c r="M329" t="n">
        <v>0</v>
      </c>
      <c r="N329" t="n">
        <v>0</v>
      </c>
      <c r="O329" t="n">
        <v>0</v>
      </c>
      <c r="P329" t="n">
        <v>0</v>
      </c>
      <c r="Q329" t="n">
        <v>0</v>
      </c>
      <c r="R329" s="2" t="inlineStr"/>
    </row>
    <row r="330" ht="15" customHeight="1">
      <c r="A330" t="inlineStr">
        <is>
          <t>A 49945-2020</t>
        </is>
      </c>
      <c r="B330" s="1" t="n">
        <v>44109</v>
      </c>
      <c r="C330" s="1" t="n">
        <v>45628</v>
      </c>
      <c r="D330" t="inlineStr">
        <is>
          <t>VÄRMLANDS LÄN</t>
        </is>
      </c>
      <c r="E330" t="inlineStr">
        <is>
          <t>ÅRJÄNG</t>
        </is>
      </c>
      <c r="G330" t="n">
        <v>11.7</v>
      </c>
      <c r="H330" t="n">
        <v>0</v>
      </c>
      <c r="I330" t="n">
        <v>0</v>
      </c>
      <c r="J330" t="n">
        <v>0</v>
      </c>
      <c r="K330" t="n">
        <v>0</v>
      </c>
      <c r="L330" t="n">
        <v>0</v>
      </c>
      <c r="M330" t="n">
        <v>0</v>
      </c>
      <c r="N330" t="n">
        <v>0</v>
      </c>
      <c r="O330" t="n">
        <v>0</v>
      </c>
      <c r="P330" t="n">
        <v>0</v>
      </c>
      <c r="Q330" t="n">
        <v>0</v>
      </c>
      <c r="R330" s="2" t="inlineStr"/>
    </row>
    <row r="331" ht="15" customHeight="1">
      <c r="A331" t="inlineStr">
        <is>
          <t>A 50296-2020</t>
        </is>
      </c>
      <c r="B331" s="1" t="n">
        <v>44110</v>
      </c>
      <c r="C331" s="1" t="n">
        <v>45628</v>
      </c>
      <c r="D331" t="inlineStr">
        <is>
          <t>VÄRMLANDS LÄN</t>
        </is>
      </c>
      <c r="E331" t="inlineStr">
        <is>
          <t>ÅRJÄNG</t>
        </is>
      </c>
      <c r="G331" t="n">
        <v>7.4</v>
      </c>
      <c r="H331" t="n">
        <v>0</v>
      </c>
      <c r="I331" t="n">
        <v>0</v>
      </c>
      <c r="J331" t="n">
        <v>0</v>
      </c>
      <c r="K331" t="n">
        <v>0</v>
      </c>
      <c r="L331" t="n">
        <v>0</v>
      </c>
      <c r="M331" t="n">
        <v>0</v>
      </c>
      <c r="N331" t="n">
        <v>0</v>
      </c>
      <c r="O331" t="n">
        <v>0</v>
      </c>
      <c r="P331" t="n">
        <v>0</v>
      </c>
      <c r="Q331" t="n">
        <v>0</v>
      </c>
      <c r="R331" s="2" t="inlineStr"/>
    </row>
    <row r="332" ht="15" customHeight="1">
      <c r="A332" t="inlineStr">
        <is>
          <t>A 50295-2020</t>
        </is>
      </c>
      <c r="B332" s="1" t="n">
        <v>44110</v>
      </c>
      <c r="C332" s="1" t="n">
        <v>45628</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45628</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53235-2020</t>
        </is>
      </c>
      <c r="B334" s="1" t="n">
        <v>44123</v>
      </c>
      <c r="C334" s="1" t="n">
        <v>45628</v>
      </c>
      <c r="D334" t="inlineStr">
        <is>
          <t>VÄRMLANDS LÄN</t>
        </is>
      </c>
      <c r="E334" t="inlineStr">
        <is>
          <t>ÅRJÄNG</t>
        </is>
      </c>
      <c r="G334" t="n">
        <v>3.9</v>
      </c>
      <c r="H334" t="n">
        <v>0</v>
      </c>
      <c r="I334" t="n">
        <v>0</v>
      </c>
      <c r="J334" t="n">
        <v>0</v>
      </c>
      <c r="K334" t="n">
        <v>0</v>
      </c>
      <c r="L334" t="n">
        <v>0</v>
      </c>
      <c r="M334" t="n">
        <v>0</v>
      </c>
      <c r="N334" t="n">
        <v>0</v>
      </c>
      <c r="O334" t="n">
        <v>0</v>
      </c>
      <c r="P334" t="n">
        <v>0</v>
      </c>
      <c r="Q334" t="n">
        <v>0</v>
      </c>
      <c r="R334" s="2" t="inlineStr"/>
    </row>
    <row r="335" ht="15" customHeight="1">
      <c r="A335" t="inlineStr">
        <is>
          <t>A 56849-2020</t>
        </is>
      </c>
      <c r="B335" s="1" t="n">
        <v>44134</v>
      </c>
      <c r="C335" s="1" t="n">
        <v>45628</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56287-2020</t>
        </is>
      </c>
      <c r="B336" s="1" t="n">
        <v>44134</v>
      </c>
      <c r="C336" s="1" t="n">
        <v>45628</v>
      </c>
      <c r="D336" t="inlineStr">
        <is>
          <t>VÄRMLANDS LÄN</t>
        </is>
      </c>
      <c r="E336" t="inlineStr">
        <is>
          <t>ÅRJÄNG</t>
        </is>
      </c>
      <c r="G336" t="n">
        <v>6</v>
      </c>
      <c r="H336" t="n">
        <v>0</v>
      </c>
      <c r="I336" t="n">
        <v>0</v>
      </c>
      <c r="J336" t="n">
        <v>0</v>
      </c>
      <c r="K336" t="n">
        <v>0</v>
      </c>
      <c r="L336" t="n">
        <v>0</v>
      </c>
      <c r="M336" t="n">
        <v>0</v>
      </c>
      <c r="N336" t="n">
        <v>0</v>
      </c>
      <c r="O336" t="n">
        <v>0</v>
      </c>
      <c r="P336" t="n">
        <v>0</v>
      </c>
      <c r="Q336" t="n">
        <v>0</v>
      </c>
      <c r="R336" s="2" t="inlineStr"/>
    </row>
    <row r="337" ht="15" customHeight="1">
      <c r="A337" t="inlineStr">
        <is>
          <t>A 56908-2020</t>
        </is>
      </c>
      <c r="B337" s="1" t="n">
        <v>44138</v>
      </c>
      <c r="C337" s="1" t="n">
        <v>45628</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57605-2020</t>
        </is>
      </c>
      <c r="B338" s="1" t="n">
        <v>44140</v>
      </c>
      <c r="C338" s="1" t="n">
        <v>45628</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57437-2020</t>
        </is>
      </c>
      <c r="B339" s="1" t="n">
        <v>44140</v>
      </c>
      <c r="C339" s="1" t="n">
        <v>45628</v>
      </c>
      <c r="D339" t="inlineStr">
        <is>
          <t>VÄRMLANDS LÄN</t>
        </is>
      </c>
      <c r="E339" t="inlineStr">
        <is>
          <t>ÅRJÄNG</t>
        </is>
      </c>
      <c r="G339" t="n">
        <v>3.7</v>
      </c>
      <c r="H339" t="n">
        <v>0</v>
      </c>
      <c r="I339" t="n">
        <v>0</v>
      </c>
      <c r="J339" t="n">
        <v>0</v>
      </c>
      <c r="K339" t="n">
        <v>0</v>
      </c>
      <c r="L339" t="n">
        <v>0</v>
      </c>
      <c r="M339" t="n">
        <v>0</v>
      </c>
      <c r="N339" t="n">
        <v>0</v>
      </c>
      <c r="O339" t="n">
        <v>0</v>
      </c>
      <c r="P339" t="n">
        <v>0</v>
      </c>
      <c r="Q339" t="n">
        <v>0</v>
      </c>
      <c r="R339" s="2" t="inlineStr"/>
    </row>
    <row r="340" ht="15" customHeight="1">
      <c r="A340" t="inlineStr">
        <is>
          <t>A 57444-2020</t>
        </is>
      </c>
      <c r="B340" s="1" t="n">
        <v>44140</v>
      </c>
      <c r="C340" s="1" t="n">
        <v>45628</v>
      </c>
      <c r="D340" t="inlineStr">
        <is>
          <t>VÄRMLANDS LÄN</t>
        </is>
      </c>
      <c r="E340" t="inlineStr">
        <is>
          <t>ÅRJÄNG</t>
        </is>
      </c>
      <c r="G340" t="n">
        <v>0.5</v>
      </c>
      <c r="H340" t="n">
        <v>0</v>
      </c>
      <c r="I340" t="n">
        <v>0</v>
      </c>
      <c r="J340" t="n">
        <v>0</v>
      </c>
      <c r="K340" t="n">
        <v>0</v>
      </c>
      <c r="L340" t="n">
        <v>0</v>
      </c>
      <c r="M340" t="n">
        <v>0</v>
      </c>
      <c r="N340" t="n">
        <v>0</v>
      </c>
      <c r="O340" t="n">
        <v>0</v>
      </c>
      <c r="P340" t="n">
        <v>0</v>
      </c>
      <c r="Q340" t="n">
        <v>0</v>
      </c>
      <c r="R340" s="2" t="inlineStr"/>
    </row>
    <row r="341" ht="15" customHeight="1">
      <c r="A341" t="inlineStr">
        <is>
          <t>A 57748-2020</t>
        </is>
      </c>
      <c r="B341" s="1" t="n">
        <v>44140</v>
      </c>
      <c r="C341" s="1" t="n">
        <v>45628</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57761-2020</t>
        </is>
      </c>
      <c r="B342" s="1" t="n">
        <v>44140</v>
      </c>
      <c r="C342" s="1" t="n">
        <v>45628</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58629-2020</t>
        </is>
      </c>
      <c r="B343" s="1" t="n">
        <v>44145</v>
      </c>
      <c r="C343" s="1" t="n">
        <v>45628</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59656-2020</t>
        </is>
      </c>
      <c r="B344" s="1" t="n">
        <v>44151</v>
      </c>
      <c r="C344" s="1" t="n">
        <v>45628</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60732-2020</t>
        </is>
      </c>
      <c r="B345" s="1" t="n">
        <v>44153</v>
      </c>
      <c r="C345" s="1" t="n">
        <v>45628</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61868-2020</t>
        </is>
      </c>
      <c r="B346" s="1" t="n">
        <v>44155</v>
      </c>
      <c r="C346" s="1" t="n">
        <v>45628</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61846-2020</t>
        </is>
      </c>
      <c r="B347" s="1" t="n">
        <v>44159</v>
      </c>
      <c r="C347" s="1" t="n">
        <v>45628</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63383-2020</t>
        </is>
      </c>
      <c r="B348" s="1" t="n">
        <v>44165</v>
      </c>
      <c r="C348" s="1" t="n">
        <v>45628</v>
      </c>
      <c r="D348" t="inlineStr">
        <is>
          <t>VÄRMLANDS LÄN</t>
        </is>
      </c>
      <c r="E348" t="inlineStr">
        <is>
          <t>ÅRJÄNG</t>
        </is>
      </c>
      <c r="G348" t="n">
        <v>2.7</v>
      </c>
      <c r="H348" t="n">
        <v>0</v>
      </c>
      <c r="I348" t="n">
        <v>0</v>
      </c>
      <c r="J348" t="n">
        <v>0</v>
      </c>
      <c r="K348" t="n">
        <v>0</v>
      </c>
      <c r="L348" t="n">
        <v>0</v>
      </c>
      <c r="M348" t="n">
        <v>0</v>
      </c>
      <c r="N348" t="n">
        <v>0</v>
      </c>
      <c r="O348" t="n">
        <v>0</v>
      </c>
      <c r="P348" t="n">
        <v>0</v>
      </c>
      <c r="Q348" t="n">
        <v>0</v>
      </c>
      <c r="R348" s="2" t="inlineStr"/>
    </row>
    <row r="349" ht="15" customHeight="1">
      <c r="A349" t="inlineStr">
        <is>
          <t>A 63393-2020</t>
        </is>
      </c>
      <c r="B349" s="1" t="n">
        <v>44165</v>
      </c>
      <c r="C349" s="1" t="n">
        <v>45628</v>
      </c>
      <c r="D349" t="inlineStr">
        <is>
          <t>VÄRMLANDS LÄN</t>
        </is>
      </c>
      <c r="E349" t="inlineStr">
        <is>
          <t>ÅRJÄNG</t>
        </is>
      </c>
      <c r="G349" t="n">
        <v>1</v>
      </c>
      <c r="H349" t="n">
        <v>0</v>
      </c>
      <c r="I349" t="n">
        <v>0</v>
      </c>
      <c r="J349" t="n">
        <v>0</v>
      </c>
      <c r="K349" t="n">
        <v>0</v>
      </c>
      <c r="L349" t="n">
        <v>0</v>
      </c>
      <c r="M349" t="n">
        <v>0</v>
      </c>
      <c r="N349" t="n">
        <v>0</v>
      </c>
      <c r="O349" t="n">
        <v>0</v>
      </c>
      <c r="P349" t="n">
        <v>0</v>
      </c>
      <c r="Q349" t="n">
        <v>0</v>
      </c>
      <c r="R349" s="2" t="inlineStr"/>
    </row>
    <row r="350" ht="15" customHeight="1">
      <c r="A350" t="inlineStr">
        <is>
          <t>A 63415-2020</t>
        </is>
      </c>
      <c r="B350" s="1" t="n">
        <v>44165</v>
      </c>
      <c r="C350" s="1" t="n">
        <v>45628</v>
      </c>
      <c r="D350" t="inlineStr">
        <is>
          <t>VÄRMLANDS LÄN</t>
        </is>
      </c>
      <c r="E350" t="inlineStr">
        <is>
          <t>ÅRJÄNG</t>
        </is>
      </c>
      <c r="G350" t="n">
        <v>4.9</v>
      </c>
      <c r="H350" t="n">
        <v>0</v>
      </c>
      <c r="I350" t="n">
        <v>0</v>
      </c>
      <c r="J350" t="n">
        <v>0</v>
      </c>
      <c r="K350" t="n">
        <v>0</v>
      </c>
      <c r="L350" t="n">
        <v>0</v>
      </c>
      <c r="M350" t="n">
        <v>0</v>
      </c>
      <c r="N350" t="n">
        <v>0</v>
      </c>
      <c r="O350" t="n">
        <v>0</v>
      </c>
      <c r="P350" t="n">
        <v>0</v>
      </c>
      <c r="Q350" t="n">
        <v>0</v>
      </c>
      <c r="R350" s="2" t="inlineStr"/>
    </row>
    <row r="351" ht="15" customHeight="1">
      <c r="A351" t="inlineStr">
        <is>
          <t>A 64318-2020</t>
        </is>
      </c>
      <c r="B351" s="1" t="n">
        <v>44168</v>
      </c>
      <c r="C351" s="1" t="n">
        <v>45628</v>
      </c>
      <c r="D351" t="inlineStr">
        <is>
          <t>VÄRMLANDS LÄN</t>
        </is>
      </c>
      <c r="E351" t="inlineStr">
        <is>
          <t>ÅRJÄNG</t>
        </is>
      </c>
      <c r="G351" t="n">
        <v>1.1</v>
      </c>
      <c r="H351" t="n">
        <v>0</v>
      </c>
      <c r="I351" t="n">
        <v>0</v>
      </c>
      <c r="J351" t="n">
        <v>0</v>
      </c>
      <c r="K351" t="n">
        <v>0</v>
      </c>
      <c r="L351" t="n">
        <v>0</v>
      </c>
      <c r="M351" t="n">
        <v>0</v>
      </c>
      <c r="N351" t="n">
        <v>0</v>
      </c>
      <c r="O351" t="n">
        <v>0</v>
      </c>
      <c r="P351" t="n">
        <v>0</v>
      </c>
      <c r="Q351" t="n">
        <v>0</v>
      </c>
      <c r="R351" s="2" t="inlineStr"/>
    </row>
    <row r="352" ht="15" customHeight="1">
      <c r="A352" t="inlineStr">
        <is>
          <t>A 64271-2020</t>
        </is>
      </c>
      <c r="B352" s="1" t="n">
        <v>44168</v>
      </c>
      <c r="C352" s="1" t="n">
        <v>45628</v>
      </c>
      <c r="D352" t="inlineStr">
        <is>
          <t>VÄRMLANDS LÄN</t>
        </is>
      </c>
      <c r="E352" t="inlineStr">
        <is>
          <t>ÅRJÄNG</t>
        </is>
      </c>
      <c r="G352" t="n">
        <v>1.6</v>
      </c>
      <c r="H352" t="n">
        <v>0</v>
      </c>
      <c r="I352" t="n">
        <v>0</v>
      </c>
      <c r="J352" t="n">
        <v>0</v>
      </c>
      <c r="K352" t="n">
        <v>0</v>
      </c>
      <c r="L352" t="n">
        <v>0</v>
      </c>
      <c r="M352" t="n">
        <v>0</v>
      </c>
      <c r="N352" t="n">
        <v>0</v>
      </c>
      <c r="O352" t="n">
        <v>0</v>
      </c>
      <c r="P352" t="n">
        <v>0</v>
      </c>
      <c r="Q352" t="n">
        <v>0</v>
      </c>
      <c r="R352" s="2" t="inlineStr"/>
    </row>
    <row r="353" ht="15" customHeight="1">
      <c r="A353" t="inlineStr">
        <is>
          <t>A 64216-2020</t>
        </is>
      </c>
      <c r="B353" s="1" t="n">
        <v>44168</v>
      </c>
      <c r="C353" s="1" t="n">
        <v>45628</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65751-2020</t>
        </is>
      </c>
      <c r="B354" s="1" t="n">
        <v>44174</v>
      </c>
      <c r="C354" s="1" t="n">
        <v>45628</v>
      </c>
      <c r="D354" t="inlineStr">
        <is>
          <t>VÄRMLANDS LÄN</t>
        </is>
      </c>
      <c r="E354" t="inlineStr">
        <is>
          <t>ÅRJÄNG</t>
        </is>
      </c>
      <c r="G354" t="n">
        <v>1.3</v>
      </c>
      <c r="H354" t="n">
        <v>0</v>
      </c>
      <c r="I354" t="n">
        <v>0</v>
      </c>
      <c r="J354" t="n">
        <v>0</v>
      </c>
      <c r="K354" t="n">
        <v>0</v>
      </c>
      <c r="L354" t="n">
        <v>0</v>
      </c>
      <c r="M354" t="n">
        <v>0</v>
      </c>
      <c r="N354" t="n">
        <v>0</v>
      </c>
      <c r="O354" t="n">
        <v>0</v>
      </c>
      <c r="P354" t="n">
        <v>0</v>
      </c>
      <c r="Q354" t="n">
        <v>0</v>
      </c>
      <c r="R354" s="2" t="inlineStr"/>
    </row>
    <row r="355" ht="15" customHeight="1">
      <c r="A355" t="inlineStr">
        <is>
          <t>A 65773-2020</t>
        </is>
      </c>
      <c r="B355" s="1" t="n">
        <v>44174</v>
      </c>
      <c r="C355" s="1" t="n">
        <v>45628</v>
      </c>
      <c r="D355" t="inlineStr">
        <is>
          <t>VÄRMLANDS LÄN</t>
        </is>
      </c>
      <c r="E355" t="inlineStr">
        <is>
          <t>ÅRJÄNG</t>
        </is>
      </c>
      <c r="G355" t="n">
        <v>0.4</v>
      </c>
      <c r="H355" t="n">
        <v>0</v>
      </c>
      <c r="I355" t="n">
        <v>0</v>
      </c>
      <c r="J355" t="n">
        <v>0</v>
      </c>
      <c r="K355" t="n">
        <v>0</v>
      </c>
      <c r="L355" t="n">
        <v>0</v>
      </c>
      <c r="M355" t="n">
        <v>0</v>
      </c>
      <c r="N355" t="n">
        <v>0</v>
      </c>
      <c r="O355" t="n">
        <v>0</v>
      </c>
      <c r="P355" t="n">
        <v>0</v>
      </c>
      <c r="Q355" t="n">
        <v>0</v>
      </c>
      <c r="R355" s="2" t="inlineStr"/>
    </row>
    <row r="356" ht="15" customHeight="1">
      <c r="A356" t="inlineStr">
        <is>
          <t>A 65781-2020</t>
        </is>
      </c>
      <c r="B356" s="1" t="n">
        <v>44174</v>
      </c>
      <c r="C356" s="1" t="n">
        <v>45628</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66334-2020</t>
        </is>
      </c>
      <c r="B357" s="1" t="n">
        <v>44174</v>
      </c>
      <c r="C357" s="1" t="n">
        <v>45628</v>
      </c>
      <c r="D357" t="inlineStr">
        <is>
          <t>VÄRMLANDS LÄN</t>
        </is>
      </c>
      <c r="E357" t="inlineStr">
        <is>
          <t>ÅRJÄNG</t>
        </is>
      </c>
      <c r="F357" t="inlineStr">
        <is>
          <t>Övriga Aktiebolag</t>
        </is>
      </c>
      <c r="G357" t="n">
        <v>1.9</v>
      </c>
      <c r="H357" t="n">
        <v>0</v>
      </c>
      <c r="I357" t="n">
        <v>0</v>
      </c>
      <c r="J357" t="n">
        <v>0</v>
      </c>
      <c r="K357" t="n">
        <v>0</v>
      </c>
      <c r="L357" t="n">
        <v>0</v>
      </c>
      <c r="M357" t="n">
        <v>0</v>
      </c>
      <c r="N357" t="n">
        <v>0</v>
      </c>
      <c r="O357" t="n">
        <v>0</v>
      </c>
      <c r="P357" t="n">
        <v>0</v>
      </c>
      <c r="Q357" t="n">
        <v>0</v>
      </c>
      <c r="R357" s="2" t="inlineStr"/>
    </row>
    <row r="358" ht="15" customHeight="1">
      <c r="A358" t="inlineStr">
        <is>
          <t>A 66080-2020</t>
        </is>
      </c>
      <c r="B358" s="1" t="n">
        <v>44175</v>
      </c>
      <c r="C358" s="1" t="n">
        <v>45628</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65950-2020</t>
        </is>
      </c>
      <c r="B359" s="1" t="n">
        <v>44175</v>
      </c>
      <c r="C359" s="1" t="n">
        <v>45628</v>
      </c>
      <c r="D359" t="inlineStr">
        <is>
          <t>VÄRMLANDS LÄN</t>
        </is>
      </c>
      <c r="E359" t="inlineStr">
        <is>
          <t>ÅRJÄNG</t>
        </is>
      </c>
      <c r="G359" t="n">
        <v>3</v>
      </c>
      <c r="H359" t="n">
        <v>0</v>
      </c>
      <c r="I359" t="n">
        <v>0</v>
      </c>
      <c r="J359" t="n">
        <v>0</v>
      </c>
      <c r="K359" t="n">
        <v>0</v>
      </c>
      <c r="L359" t="n">
        <v>0</v>
      </c>
      <c r="M359" t="n">
        <v>0</v>
      </c>
      <c r="N359" t="n">
        <v>0</v>
      </c>
      <c r="O359" t="n">
        <v>0</v>
      </c>
      <c r="P359" t="n">
        <v>0</v>
      </c>
      <c r="Q359" t="n">
        <v>0</v>
      </c>
      <c r="R359" s="2" t="inlineStr"/>
    </row>
    <row r="360" ht="15" customHeight="1">
      <c r="A360" t="inlineStr">
        <is>
          <t>A 67134-2020</t>
        </is>
      </c>
      <c r="B360" s="1" t="n">
        <v>44179</v>
      </c>
      <c r="C360" s="1" t="n">
        <v>45628</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68344-2020</t>
        </is>
      </c>
      <c r="B361" s="1" t="n">
        <v>44186</v>
      </c>
      <c r="C361" s="1" t="n">
        <v>45628</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68687-2020</t>
        </is>
      </c>
      <c r="B362" s="1" t="n">
        <v>44187</v>
      </c>
      <c r="C362" s="1" t="n">
        <v>45628</v>
      </c>
      <c r="D362" t="inlineStr">
        <is>
          <t>VÄRMLANDS LÄN</t>
        </is>
      </c>
      <c r="E362" t="inlineStr">
        <is>
          <t>ÅRJÄNG</t>
        </is>
      </c>
      <c r="G362" t="n">
        <v>7.6</v>
      </c>
      <c r="H362" t="n">
        <v>0</v>
      </c>
      <c r="I362" t="n">
        <v>0</v>
      </c>
      <c r="J362" t="n">
        <v>0</v>
      </c>
      <c r="K362" t="n">
        <v>0</v>
      </c>
      <c r="L362" t="n">
        <v>0</v>
      </c>
      <c r="M362" t="n">
        <v>0</v>
      </c>
      <c r="N362" t="n">
        <v>0</v>
      </c>
      <c r="O362" t="n">
        <v>0</v>
      </c>
      <c r="P362" t="n">
        <v>0</v>
      </c>
      <c r="Q362" t="n">
        <v>0</v>
      </c>
      <c r="R362" s="2" t="inlineStr"/>
    </row>
    <row r="363" ht="15" customHeight="1">
      <c r="A363" t="inlineStr">
        <is>
          <t>A 68693-2020</t>
        </is>
      </c>
      <c r="B363" s="1" t="n">
        <v>44187</v>
      </c>
      <c r="C363" s="1" t="n">
        <v>45628</v>
      </c>
      <c r="D363" t="inlineStr">
        <is>
          <t>VÄRMLANDS LÄN</t>
        </is>
      </c>
      <c r="E363" t="inlineStr">
        <is>
          <t>ÅRJÄNG</t>
        </is>
      </c>
      <c r="G363" t="n">
        <v>3.6</v>
      </c>
      <c r="H363" t="n">
        <v>0</v>
      </c>
      <c r="I363" t="n">
        <v>0</v>
      </c>
      <c r="J363" t="n">
        <v>0</v>
      </c>
      <c r="K363" t="n">
        <v>0</v>
      </c>
      <c r="L363" t="n">
        <v>0</v>
      </c>
      <c r="M363" t="n">
        <v>0</v>
      </c>
      <c r="N363" t="n">
        <v>0</v>
      </c>
      <c r="O363" t="n">
        <v>0</v>
      </c>
      <c r="P363" t="n">
        <v>0</v>
      </c>
      <c r="Q363" t="n">
        <v>0</v>
      </c>
      <c r="R363" s="2" t="inlineStr"/>
    </row>
    <row r="364" ht="15" customHeight="1">
      <c r="A364" t="inlineStr">
        <is>
          <t>A 69520-2020</t>
        </is>
      </c>
      <c r="B364" s="1" t="n">
        <v>44194</v>
      </c>
      <c r="C364" s="1" t="n">
        <v>45628</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69647-2020</t>
        </is>
      </c>
      <c r="B365" s="1" t="n">
        <v>44195</v>
      </c>
      <c r="C365" s="1" t="n">
        <v>45628</v>
      </c>
      <c r="D365" t="inlineStr">
        <is>
          <t>VÄRMLANDS LÄN</t>
        </is>
      </c>
      <c r="E365" t="inlineStr">
        <is>
          <t>ÅRJÄNG</t>
        </is>
      </c>
      <c r="G365" t="n">
        <v>1.6</v>
      </c>
      <c r="H365" t="n">
        <v>0</v>
      </c>
      <c r="I365" t="n">
        <v>0</v>
      </c>
      <c r="J365" t="n">
        <v>0</v>
      </c>
      <c r="K365" t="n">
        <v>0</v>
      </c>
      <c r="L365" t="n">
        <v>0</v>
      </c>
      <c r="M365" t="n">
        <v>0</v>
      </c>
      <c r="N365" t="n">
        <v>0</v>
      </c>
      <c r="O365" t="n">
        <v>0</v>
      </c>
      <c r="P365" t="n">
        <v>0</v>
      </c>
      <c r="Q365" t="n">
        <v>0</v>
      </c>
      <c r="R365" s="2" t="inlineStr"/>
    </row>
    <row r="366" ht="15" customHeight="1">
      <c r="A366" t="inlineStr">
        <is>
          <t>A 69584-2020</t>
        </is>
      </c>
      <c r="B366" s="1" t="n">
        <v>44195</v>
      </c>
      <c r="C366" s="1" t="n">
        <v>45628</v>
      </c>
      <c r="D366" t="inlineStr">
        <is>
          <t>VÄRMLANDS LÄN</t>
        </is>
      </c>
      <c r="E366" t="inlineStr">
        <is>
          <t>ÅRJÄNG</t>
        </is>
      </c>
      <c r="G366" t="n">
        <v>0.3</v>
      </c>
      <c r="H366" t="n">
        <v>0</v>
      </c>
      <c r="I366" t="n">
        <v>0</v>
      </c>
      <c r="J366" t="n">
        <v>0</v>
      </c>
      <c r="K366" t="n">
        <v>0</v>
      </c>
      <c r="L366" t="n">
        <v>0</v>
      </c>
      <c r="M366" t="n">
        <v>0</v>
      </c>
      <c r="N366" t="n">
        <v>0</v>
      </c>
      <c r="O366" t="n">
        <v>0</v>
      </c>
      <c r="P366" t="n">
        <v>0</v>
      </c>
      <c r="Q366" t="n">
        <v>0</v>
      </c>
      <c r="R366" s="2" t="inlineStr"/>
    </row>
    <row r="367" ht="15" customHeight="1">
      <c r="A367" t="inlineStr">
        <is>
          <t>A 387-2021</t>
        </is>
      </c>
      <c r="B367" s="1" t="n">
        <v>44201</v>
      </c>
      <c r="C367" s="1" t="n">
        <v>45628</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332-2021</t>
        </is>
      </c>
      <c r="B368" s="1" t="n">
        <v>44201</v>
      </c>
      <c r="C368" s="1" t="n">
        <v>45628</v>
      </c>
      <c r="D368" t="inlineStr">
        <is>
          <t>VÄRMLANDS LÄN</t>
        </is>
      </c>
      <c r="E368" t="inlineStr">
        <is>
          <t>ÅRJÄNG</t>
        </is>
      </c>
      <c r="G368" t="n">
        <v>4.1</v>
      </c>
      <c r="H368" t="n">
        <v>0</v>
      </c>
      <c r="I368" t="n">
        <v>0</v>
      </c>
      <c r="J368" t="n">
        <v>0</v>
      </c>
      <c r="K368" t="n">
        <v>0</v>
      </c>
      <c r="L368" t="n">
        <v>0</v>
      </c>
      <c r="M368" t="n">
        <v>0</v>
      </c>
      <c r="N368" t="n">
        <v>0</v>
      </c>
      <c r="O368" t="n">
        <v>0</v>
      </c>
      <c r="P368" t="n">
        <v>0</v>
      </c>
      <c r="Q368" t="n">
        <v>0</v>
      </c>
      <c r="R368" s="2" t="inlineStr"/>
    </row>
    <row r="369" ht="15" customHeight="1">
      <c r="A369" t="inlineStr">
        <is>
          <t>A 935-2021</t>
        </is>
      </c>
      <c r="B369" s="1" t="n">
        <v>44207</v>
      </c>
      <c r="C369" s="1" t="n">
        <v>45628</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2593-2021</t>
        </is>
      </c>
      <c r="B370" s="1" t="n">
        <v>44214</v>
      </c>
      <c r="C370" s="1" t="n">
        <v>45628</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2667-2021</t>
        </is>
      </c>
      <c r="B371" s="1" t="n">
        <v>44215</v>
      </c>
      <c r="C371" s="1" t="n">
        <v>45628</v>
      </c>
      <c r="D371" t="inlineStr">
        <is>
          <t>VÄRMLANDS LÄN</t>
        </is>
      </c>
      <c r="E371" t="inlineStr">
        <is>
          <t>ÅRJÄNG</t>
        </is>
      </c>
      <c r="G371" t="n">
        <v>5.7</v>
      </c>
      <c r="H371" t="n">
        <v>0</v>
      </c>
      <c r="I371" t="n">
        <v>0</v>
      </c>
      <c r="J371" t="n">
        <v>0</v>
      </c>
      <c r="K371" t="n">
        <v>0</v>
      </c>
      <c r="L371" t="n">
        <v>0</v>
      </c>
      <c r="M371" t="n">
        <v>0</v>
      </c>
      <c r="N371" t="n">
        <v>0</v>
      </c>
      <c r="O371" t="n">
        <v>0</v>
      </c>
      <c r="P371" t="n">
        <v>0</v>
      </c>
      <c r="Q371" t="n">
        <v>0</v>
      </c>
      <c r="R371" s="2" t="inlineStr"/>
    </row>
    <row r="372" ht="15" customHeight="1">
      <c r="A372" t="inlineStr">
        <is>
          <t>A 3980-2021</t>
        </is>
      </c>
      <c r="B372" s="1" t="n">
        <v>44217</v>
      </c>
      <c r="C372" s="1" t="n">
        <v>45628</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3973-2021</t>
        </is>
      </c>
      <c r="B373" s="1" t="n">
        <v>44217</v>
      </c>
      <c r="C373" s="1" t="n">
        <v>45628</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3796-2021</t>
        </is>
      </c>
      <c r="B374" s="1" t="n">
        <v>44221</v>
      </c>
      <c r="C374" s="1" t="n">
        <v>45628</v>
      </c>
      <c r="D374" t="inlineStr">
        <is>
          <t>VÄRMLANDS LÄN</t>
        </is>
      </c>
      <c r="E374" t="inlineStr">
        <is>
          <t>ÅRJÄNG</t>
        </is>
      </c>
      <c r="G374" t="n">
        <v>4</v>
      </c>
      <c r="H374" t="n">
        <v>0</v>
      </c>
      <c r="I374" t="n">
        <v>0</v>
      </c>
      <c r="J374" t="n">
        <v>0</v>
      </c>
      <c r="K374" t="n">
        <v>0</v>
      </c>
      <c r="L374" t="n">
        <v>0</v>
      </c>
      <c r="M374" t="n">
        <v>0</v>
      </c>
      <c r="N374" t="n">
        <v>0</v>
      </c>
      <c r="O374" t="n">
        <v>0</v>
      </c>
      <c r="P374" t="n">
        <v>0</v>
      </c>
      <c r="Q374" t="n">
        <v>0</v>
      </c>
      <c r="R374" s="2" t="inlineStr"/>
    </row>
    <row r="375" ht="15" customHeight="1">
      <c r="A375" t="inlineStr">
        <is>
          <t>A 4160-2021</t>
        </is>
      </c>
      <c r="B375" s="1" t="n">
        <v>44223</v>
      </c>
      <c r="C375" s="1" t="n">
        <v>45628</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4300-2021</t>
        </is>
      </c>
      <c r="B376" s="1" t="n">
        <v>44223</v>
      </c>
      <c r="C376" s="1" t="n">
        <v>45628</v>
      </c>
      <c r="D376" t="inlineStr">
        <is>
          <t>VÄRMLANDS LÄN</t>
        </is>
      </c>
      <c r="E376" t="inlineStr">
        <is>
          <t>ÅRJÄNG</t>
        </is>
      </c>
      <c r="G376" t="n">
        <v>4.2</v>
      </c>
      <c r="H376" t="n">
        <v>0</v>
      </c>
      <c r="I376" t="n">
        <v>0</v>
      </c>
      <c r="J376" t="n">
        <v>0</v>
      </c>
      <c r="K376" t="n">
        <v>0</v>
      </c>
      <c r="L376" t="n">
        <v>0</v>
      </c>
      <c r="M376" t="n">
        <v>0</v>
      </c>
      <c r="N376" t="n">
        <v>0</v>
      </c>
      <c r="O376" t="n">
        <v>0</v>
      </c>
      <c r="P376" t="n">
        <v>0</v>
      </c>
      <c r="Q376" t="n">
        <v>0</v>
      </c>
      <c r="R376" s="2" t="inlineStr"/>
    </row>
    <row r="377" ht="15" customHeight="1">
      <c r="A377" t="inlineStr">
        <is>
          <t>A 4607-2021</t>
        </is>
      </c>
      <c r="B377" s="1" t="n">
        <v>44224</v>
      </c>
      <c r="C377" s="1" t="n">
        <v>45628</v>
      </c>
      <c r="D377" t="inlineStr">
        <is>
          <t>VÄRMLANDS LÄN</t>
        </is>
      </c>
      <c r="E377" t="inlineStr">
        <is>
          <t>ÅRJÄNG</t>
        </is>
      </c>
      <c r="G377" t="n">
        <v>2.9</v>
      </c>
      <c r="H377" t="n">
        <v>0</v>
      </c>
      <c r="I377" t="n">
        <v>0</v>
      </c>
      <c r="J377" t="n">
        <v>0</v>
      </c>
      <c r="K377" t="n">
        <v>0</v>
      </c>
      <c r="L377" t="n">
        <v>0</v>
      </c>
      <c r="M377" t="n">
        <v>0</v>
      </c>
      <c r="N377" t="n">
        <v>0</v>
      </c>
      <c r="O377" t="n">
        <v>0</v>
      </c>
      <c r="P377" t="n">
        <v>0</v>
      </c>
      <c r="Q377" t="n">
        <v>0</v>
      </c>
      <c r="R377" s="2" t="inlineStr"/>
    </row>
    <row r="378" ht="15" customHeight="1">
      <c r="A378" t="inlineStr">
        <is>
          <t>A 5259-2021</t>
        </is>
      </c>
      <c r="B378" s="1" t="n">
        <v>44229</v>
      </c>
      <c r="C378" s="1" t="n">
        <v>45628</v>
      </c>
      <c r="D378" t="inlineStr">
        <is>
          <t>VÄRMLANDS LÄN</t>
        </is>
      </c>
      <c r="E378" t="inlineStr">
        <is>
          <t>ÅRJÄNG</t>
        </is>
      </c>
      <c r="G378" t="n">
        <v>5.5</v>
      </c>
      <c r="H378" t="n">
        <v>0</v>
      </c>
      <c r="I378" t="n">
        <v>0</v>
      </c>
      <c r="J378" t="n">
        <v>0</v>
      </c>
      <c r="K378" t="n">
        <v>0</v>
      </c>
      <c r="L378" t="n">
        <v>0</v>
      </c>
      <c r="M378" t="n">
        <v>0</v>
      </c>
      <c r="N378" t="n">
        <v>0</v>
      </c>
      <c r="O378" t="n">
        <v>0</v>
      </c>
      <c r="P378" t="n">
        <v>0</v>
      </c>
      <c r="Q378" t="n">
        <v>0</v>
      </c>
      <c r="R378" s="2" t="inlineStr"/>
    </row>
    <row r="379" ht="15" customHeight="1">
      <c r="A379" t="inlineStr">
        <is>
          <t>A 5713-2021</t>
        </is>
      </c>
      <c r="B379" s="1" t="n">
        <v>44230</v>
      </c>
      <c r="C379" s="1" t="n">
        <v>45628</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6034-2021</t>
        </is>
      </c>
      <c r="B380" s="1" t="n">
        <v>44232</v>
      </c>
      <c r="C380" s="1" t="n">
        <v>45628</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6389-2021</t>
        </is>
      </c>
      <c r="B381" s="1" t="n">
        <v>44235</v>
      </c>
      <c r="C381" s="1" t="n">
        <v>45628</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6410-2021</t>
        </is>
      </c>
      <c r="B382" s="1" t="n">
        <v>44235</v>
      </c>
      <c r="C382" s="1" t="n">
        <v>45628</v>
      </c>
      <c r="D382" t="inlineStr">
        <is>
          <t>VÄRMLANDS LÄN</t>
        </is>
      </c>
      <c r="E382" t="inlineStr">
        <is>
          <t>ÅRJÄNG</t>
        </is>
      </c>
      <c r="G382" t="n">
        <v>1.2</v>
      </c>
      <c r="H382" t="n">
        <v>0</v>
      </c>
      <c r="I382" t="n">
        <v>0</v>
      </c>
      <c r="J382" t="n">
        <v>0</v>
      </c>
      <c r="K382" t="n">
        <v>0</v>
      </c>
      <c r="L382" t="n">
        <v>0</v>
      </c>
      <c r="M382" t="n">
        <v>0</v>
      </c>
      <c r="N382" t="n">
        <v>0</v>
      </c>
      <c r="O382" t="n">
        <v>0</v>
      </c>
      <c r="P382" t="n">
        <v>0</v>
      </c>
      <c r="Q382" t="n">
        <v>0</v>
      </c>
      <c r="R382" s="2" t="inlineStr"/>
    </row>
    <row r="383" ht="15" customHeight="1">
      <c r="A383" t="inlineStr">
        <is>
          <t>A 6522-2021</t>
        </is>
      </c>
      <c r="B383" s="1" t="n">
        <v>44236</v>
      </c>
      <c r="C383" s="1" t="n">
        <v>45628</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6551-2021</t>
        </is>
      </c>
      <c r="B384" s="1" t="n">
        <v>44236</v>
      </c>
      <c r="C384" s="1" t="n">
        <v>45628</v>
      </c>
      <c r="D384" t="inlineStr">
        <is>
          <t>VÄRMLANDS LÄN</t>
        </is>
      </c>
      <c r="E384" t="inlineStr">
        <is>
          <t>ÅRJÄNG</t>
        </is>
      </c>
      <c r="G384" t="n">
        <v>1.3</v>
      </c>
      <c r="H384" t="n">
        <v>0</v>
      </c>
      <c r="I384" t="n">
        <v>0</v>
      </c>
      <c r="J384" t="n">
        <v>0</v>
      </c>
      <c r="K384" t="n">
        <v>0</v>
      </c>
      <c r="L384" t="n">
        <v>0</v>
      </c>
      <c r="M384" t="n">
        <v>0</v>
      </c>
      <c r="N384" t="n">
        <v>0</v>
      </c>
      <c r="O384" t="n">
        <v>0</v>
      </c>
      <c r="P384" t="n">
        <v>0</v>
      </c>
      <c r="Q384" t="n">
        <v>0</v>
      </c>
      <c r="R384" s="2" t="inlineStr"/>
    </row>
    <row r="385" ht="15" customHeight="1">
      <c r="A385" t="inlineStr">
        <is>
          <t>A 6900-2021</t>
        </is>
      </c>
      <c r="B385" s="1" t="n">
        <v>44237</v>
      </c>
      <c r="C385" s="1" t="n">
        <v>45628</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6908-2021</t>
        </is>
      </c>
      <c r="B386" s="1" t="n">
        <v>44237</v>
      </c>
      <c r="C386" s="1" t="n">
        <v>45628</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7214-2021</t>
        </is>
      </c>
      <c r="B387" s="1" t="n">
        <v>44238</v>
      </c>
      <c r="C387" s="1" t="n">
        <v>45628</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7555-2021</t>
        </is>
      </c>
      <c r="B388" s="1" t="n">
        <v>44239</v>
      </c>
      <c r="C388" s="1" t="n">
        <v>45628</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7527-2021</t>
        </is>
      </c>
      <c r="B389" s="1" t="n">
        <v>44239</v>
      </c>
      <c r="C389" s="1" t="n">
        <v>45628</v>
      </c>
      <c r="D389" t="inlineStr">
        <is>
          <t>VÄRMLANDS LÄN</t>
        </is>
      </c>
      <c r="E389" t="inlineStr">
        <is>
          <t>ÅRJÄNG</t>
        </is>
      </c>
      <c r="G389" t="n">
        <v>3.6</v>
      </c>
      <c r="H389" t="n">
        <v>0</v>
      </c>
      <c r="I389" t="n">
        <v>0</v>
      </c>
      <c r="J389" t="n">
        <v>0</v>
      </c>
      <c r="K389" t="n">
        <v>0</v>
      </c>
      <c r="L389" t="n">
        <v>0</v>
      </c>
      <c r="M389" t="n">
        <v>0</v>
      </c>
      <c r="N389" t="n">
        <v>0</v>
      </c>
      <c r="O389" t="n">
        <v>0</v>
      </c>
      <c r="P389" t="n">
        <v>0</v>
      </c>
      <c r="Q389" t="n">
        <v>0</v>
      </c>
      <c r="R389" s="2" t="inlineStr"/>
    </row>
    <row r="390" ht="15" customHeight="1">
      <c r="A390" t="inlineStr">
        <is>
          <t>A 7537-2021</t>
        </is>
      </c>
      <c r="B390" s="1" t="n">
        <v>44239</v>
      </c>
      <c r="C390" s="1" t="n">
        <v>45628</v>
      </c>
      <c r="D390" t="inlineStr">
        <is>
          <t>VÄRMLANDS LÄN</t>
        </is>
      </c>
      <c r="E390" t="inlineStr">
        <is>
          <t>ÅRJÄNG</t>
        </is>
      </c>
      <c r="G390" t="n">
        <v>4.2</v>
      </c>
      <c r="H390" t="n">
        <v>0</v>
      </c>
      <c r="I390" t="n">
        <v>0</v>
      </c>
      <c r="J390" t="n">
        <v>0</v>
      </c>
      <c r="K390" t="n">
        <v>0</v>
      </c>
      <c r="L390" t="n">
        <v>0</v>
      </c>
      <c r="M390" t="n">
        <v>0</v>
      </c>
      <c r="N390" t="n">
        <v>0</v>
      </c>
      <c r="O390" t="n">
        <v>0</v>
      </c>
      <c r="P390" t="n">
        <v>0</v>
      </c>
      <c r="Q390" t="n">
        <v>0</v>
      </c>
      <c r="R390" s="2" t="inlineStr"/>
    </row>
    <row r="391" ht="15" customHeight="1">
      <c r="A391" t="inlineStr">
        <is>
          <t>A 7576-2021</t>
        </is>
      </c>
      <c r="B391" s="1" t="n">
        <v>44240</v>
      </c>
      <c r="C391" s="1" t="n">
        <v>45628</v>
      </c>
      <c r="D391" t="inlineStr">
        <is>
          <t>VÄRMLANDS LÄN</t>
        </is>
      </c>
      <c r="E391" t="inlineStr">
        <is>
          <t>ÅRJÄNG</t>
        </is>
      </c>
      <c r="G391" t="n">
        <v>2.5</v>
      </c>
      <c r="H391" t="n">
        <v>0</v>
      </c>
      <c r="I391" t="n">
        <v>0</v>
      </c>
      <c r="J391" t="n">
        <v>0</v>
      </c>
      <c r="K391" t="n">
        <v>0</v>
      </c>
      <c r="L391" t="n">
        <v>0</v>
      </c>
      <c r="M391" t="n">
        <v>0</v>
      </c>
      <c r="N391" t="n">
        <v>0</v>
      </c>
      <c r="O391" t="n">
        <v>0</v>
      </c>
      <c r="P391" t="n">
        <v>0</v>
      </c>
      <c r="Q391" t="n">
        <v>0</v>
      </c>
      <c r="R391" s="2" t="inlineStr"/>
    </row>
    <row r="392" ht="15" customHeight="1">
      <c r="A392" t="inlineStr">
        <is>
          <t>A 7774-2021</t>
        </is>
      </c>
      <c r="B392" s="1" t="n">
        <v>44242</v>
      </c>
      <c r="C392" s="1" t="n">
        <v>45628</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7975-2021</t>
        </is>
      </c>
      <c r="B393" s="1" t="n">
        <v>44242</v>
      </c>
      <c r="C393" s="1" t="n">
        <v>45628</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8957-2021</t>
        </is>
      </c>
      <c r="B394" s="1" t="n">
        <v>44246</v>
      </c>
      <c r="C394" s="1" t="n">
        <v>45628</v>
      </c>
      <c r="D394" t="inlineStr">
        <is>
          <t>VÄRMLANDS LÄN</t>
        </is>
      </c>
      <c r="E394" t="inlineStr">
        <is>
          <t>ÅRJÄNG</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8951-2021</t>
        </is>
      </c>
      <c r="B395" s="1" t="n">
        <v>44246</v>
      </c>
      <c r="C395" s="1" t="n">
        <v>45628</v>
      </c>
      <c r="D395" t="inlineStr">
        <is>
          <t>VÄRMLANDS LÄN</t>
        </is>
      </c>
      <c r="E395" t="inlineStr">
        <is>
          <t>ÅRJÄNG</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8885-2021</t>
        </is>
      </c>
      <c r="B396" s="1" t="n">
        <v>44248</v>
      </c>
      <c r="C396" s="1" t="n">
        <v>45628</v>
      </c>
      <c r="D396" t="inlineStr">
        <is>
          <t>VÄRMLANDS LÄN</t>
        </is>
      </c>
      <c r="E396" t="inlineStr">
        <is>
          <t>ÅRJÄNG</t>
        </is>
      </c>
      <c r="G396" t="n">
        <v>1.5</v>
      </c>
      <c r="H396" t="n">
        <v>0</v>
      </c>
      <c r="I396" t="n">
        <v>0</v>
      </c>
      <c r="J396" t="n">
        <v>0</v>
      </c>
      <c r="K396" t="n">
        <v>0</v>
      </c>
      <c r="L396" t="n">
        <v>0</v>
      </c>
      <c r="M396" t="n">
        <v>0</v>
      </c>
      <c r="N396" t="n">
        <v>0</v>
      </c>
      <c r="O396" t="n">
        <v>0</v>
      </c>
      <c r="P396" t="n">
        <v>0</v>
      </c>
      <c r="Q396" t="n">
        <v>0</v>
      </c>
      <c r="R396" s="2" t="inlineStr"/>
    </row>
    <row r="397" ht="15" customHeight="1">
      <c r="A397" t="inlineStr">
        <is>
          <t>A 9441-2021</t>
        </is>
      </c>
      <c r="B397" s="1" t="n">
        <v>44251</v>
      </c>
      <c r="C397" s="1" t="n">
        <v>45628</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9484-2021</t>
        </is>
      </c>
      <c r="B398" s="1" t="n">
        <v>44251</v>
      </c>
      <c r="C398" s="1" t="n">
        <v>45628</v>
      </c>
      <c r="D398" t="inlineStr">
        <is>
          <t>VÄRMLANDS LÄN</t>
        </is>
      </c>
      <c r="E398" t="inlineStr">
        <is>
          <t>ÅRJÄNG</t>
        </is>
      </c>
      <c r="G398" t="n">
        <v>0.8</v>
      </c>
      <c r="H398" t="n">
        <v>0</v>
      </c>
      <c r="I398" t="n">
        <v>0</v>
      </c>
      <c r="J398" t="n">
        <v>0</v>
      </c>
      <c r="K398" t="n">
        <v>0</v>
      </c>
      <c r="L398" t="n">
        <v>0</v>
      </c>
      <c r="M398" t="n">
        <v>0</v>
      </c>
      <c r="N398" t="n">
        <v>0</v>
      </c>
      <c r="O398" t="n">
        <v>0</v>
      </c>
      <c r="P398" t="n">
        <v>0</v>
      </c>
      <c r="Q398" t="n">
        <v>0</v>
      </c>
      <c r="R398" s="2" t="inlineStr"/>
    </row>
    <row r="399" ht="15" customHeight="1">
      <c r="A399" t="inlineStr">
        <is>
          <t>A 10541-2021</t>
        </is>
      </c>
      <c r="B399" s="1" t="n">
        <v>44258</v>
      </c>
      <c r="C399" s="1" t="n">
        <v>45628</v>
      </c>
      <c r="D399" t="inlineStr">
        <is>
          <t>VÄRMLANDS LÄN</t>
        </is>
      </c>
      <c r="E399" t="inlineStr">
        <is>
          <t>ÅRJÄNG</t>
        </is>
      </c>
      <c r="G399" t="n">
        <v>0.7</v>
      </c>
      <c r="H399" t="n">
        <v>0</v>
      </c>
      <c r="I399" t="n">
        <v>0</v>
      </c>
      <c r="J399" t="n">
        <v>0</v>
      </c>
      <c r="K399" t="n">
        <v>0</v>
      </c>
      <c r="L399" t="n">
        <v>0</v>
      </c>
      <c r="M399" t="n">
        <v>0</v>
      </c>
      <c r="N399" t="n">
        <v>0</v>
      </c>
      <c r="O399" t="n">
        <v>0</v>
      </c>
      <c r="P399" t="n">
        <v>0</v>
      </c>
      <c r="Q399" t="n">
        <v>0</v>
      </c>
      <c r="R399" s="2" t="inlineStr"/>
    </row>
    <row r="400" ht="15" customHeight="1">
      <c r="A400" t="inlineStr">
        <is>
          <t>A 10594-2021</t>
        </is>
      </c>
      <c r="B400" s="1" t="n">
        <v>44258</v>
      </c>
      <c r="C400" s="1" t="n">
        <v>45628</v>
      </c>
      <c r="D400" t="inlineStr">
        <is>
          <t>VÄRMLANDS LÄN</t>
        </is>
      </c>
      <c r="E400" t="inlineStr">
        <is>
          <t>ÅRJÄNG</t>
        </is>
      </c>
      <c r="G400" t="n">
        <v>3.6</v>
      </c>
      <c r="H400" t="n">
        <v>0</v>
      </c>
      <c r="I400" t="n">
        <v>0</v>
      </c>
      <c r="J400" t="n">
        <v>0</v>
      </c>
      <c r="K400" t="n">
        <v>0</v>
      </c>
      <c r="L400" t="n">
        <v>0</v>
      </c>
      <c r="M400" t="n">
        <v>0</v>
      </c>
      <c r="N400" t="n">
        <v>0</v>
      </c>
      <c r="O400" t="n">
        <v>0</v>
      </c>
      <c r="P400" t="n">
        <v>0</v>
      </c>
      <c r="Q400" t="n">
        <v>0</v>
      </c>
      <c r="R400" s="2" t="inlineStr"/>
    </row>
    <row r="401" ht="15" customHeight="1">
      <c r="A401" t="inlineStr">
        <is>
          <t>A 10588-2021</t>
        </is>
      </c>
      <c r="B401" s="1" t="n">
        <v>44258</v>
      </c>
      <c r="C401" s="1" t="n">
        <v>45628</v>
      </c>
      <c r="D401" t="inlineStr">
        <is>
          <t>VÄRMLANDS LÄN</t>
        </is>
      </c>
      <c r="E401" t="inlineStr">
        <is>
          <t>ÅRJÄNG</t>
        </is>
      </c>
      <c r="G401" t="n">
        <v>7.9</v>
      </c>
      <c r="H401" t="n">
        <v>0</v>
      </c>
      <c r="I401" t="n">
        <v>0</v>
      </c>
      <c r="J401" t="n">
        <v>0</v>
      </c>
      <c r="K401" t="n">
        <v>0</v>
      </c>
      <c r="L401" t="n">
        <v>0</v>
      </c>
      <c r="M401" t="n">
        <v>0</v>
      </c>
      <c r="N401" t="n">
        <v>0</v>
      </c>
      <c r="O401" t="n">
        <v>0</v>
      </c>
      <c r="P401" t="n">
        <v>0</v>
      </c>
      <c r="Q401" t="n">
        <v>0</v>
      </c>
      <c r="R401" s="2" t="inlineStr"/>
    </row>
    <row r="402" ht="15" customHeight="1">
      <c r="A402" t="inlineStr">
        <is>
          <t>A 11157-2021</t>
        </is>
      </c>
      <c r="B402" s="1" t="n">
        <v>44261</v>
      </c>
      <c r="C402" s="1" t="n">
        <v>45628</v>
      </c>
      <c r="D402" t="inlineStr">
        <is>
          <t>VÄRMLANDS LÄN</t>
        </is>
      </c>
      <c r="E402" t="inlineStr">
        <is>
          <t>ÅRJÄNG</t>
        </is>
      </c>
      <c r="G402" t="n">
        <v>9</v>
      </c>
      <c r="H402" t="n">
        <v>0</v>
      </c>
      <c r="I402" t="n">
        <v>0</v>
      </c>
      <c r="J402" t="n">
        <v>0</v>
      </c>
      <c r="K402" t="n">
        <v>0</v>
      </c>
      <c r="L402" t="n">
        <v>0</v>
      </c>
      <c r="M402" t="n">
        <v>0</v>
      </c>
      <c r="N402" t="n">
        <v>0</v>
      </c>
      <c r="O402" t="n">
        <v>0</v>
      </c>
      <c r="P402" t="n">
        <v>0</v>
      </c>
      <c r="Q402" t="n">
        <v>0</v>
      </c>
      <c r="R402" s="2" t="inlineStr"/>
    </row>
    <row r="403" ht="15" customHeight="1">
      <c r="A403" t="inlineStr">
        <is>
          <t>A 11156-2021</t>
        </is>
      </c>
      <c r="B403" s="1" t="n">
        <v>44261</v>
      </c>
      <c r="C403" s="1" t="n">
        <v>45628</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11265-2021</t>
        </is>
      </c>
      <c r="B404" s="1" t="n">
        <v>44263</v>
      </c>
      <c r="C404" s="1" t="n">
        <v>45628</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11897-2021</t>
        </is>
      </c>
      <c r="B405" s="1" t="n">
        <v>44265</v>
      </c>
      <c r="C405" s="1" t="n">
        <v>45628</v>
      </c>
      <c r="D405" t="inlineStr">
        <is>
          <t>VÄRMLANDS LÄN</t>
        </is>
      </c>
      <c r="E405" t="inlineStr">
        <is>
          <t>ÅRJÄNG</t>
        </is>
      </c>
      <c r="G405" t="n">
        <v>8.6</v>
      </c>
      <c r="H405" t="n">
        <v>0</v>
      </c>
      <c r="I405" t="n">
        <v>0</v>
      </c>
      <c r="J405" t="n">
        <v>0</v>
      </c>
      <c r="K405" t="n">
        <v>0</v>
      </c>
      <c r="L405" t="n">
        <v>0</v>
      </c>
      <c r="M405" t="n">
        <v>0</v>
      </c>
      <c r="N405" t="n">
        <v>0</v>
      </c>
      <c r="O405" t="n">
        <v>0</v>
      </c>
      <c r="P405" t="n">
        <v>0</v>
      </c>
      <c r="Q405" t="n">
        <v>0</v>
      </c>
      <c r="R405" s="2" t="inlineStr"/>
    </row>
    <row r="406" ht="15" customHeight="1">
      <c r="A406" t="inlineStr">
        <is>
          <t>A 12137-2021</t>
        </is>
      </c>
      <c r="B406" s="1" t="n">
        <v>44266</v>
      </c>
      <c r="C406" s="1" t="n">
        <v>45628</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12352-2021</t>
        </is>
      </c>
      <c r="B407" s="1" t="n">
        <v>44267</v>
      </c>
      <c r="C407" s="1" t="n">
        <v>45628</v>
      </c>
      <c r="D407" t="inlineStr">
        <is>
          <t>VÄRMLANDS LÄN</t>
        </is>
      </c>
      <c r="E407" t="inlineStr">
        <is>
          <t>ÅRJÄNG</t>
        </is>
      </c>
      <c r="G407" t="n">
        <v>7.1</v>
      </c>
      <c r="H407" t="n">
        <v>0</v>
      </c>
      <c r="I407" t="n">
        <v>0</v>
      </c>
      <c r="J407" t="n">
        <v>0</v>
      </c>
      <c r="K407" t="n">
        <v>0</v>
      </c>
      <c r="L407" t="n">
        <v>0</v>
      </c>
      <c r="M407" t="n">
        <v>0</v>
      </c>
      <c r="N407" t="n">
        <v>0</v>
      </c>
      <c r="O407" t="n">
        <v>0</v>
      </c>
      <c r="P407" t="n">
        <v>0</v>
      </c>
      <c r="Q407" t="n">
        <v>0</v>
      </c>
      <c r="R407" s="2" t="inlineStr"/>
    </row>
    <row r="408" ht="15" customHeight="1">
      <c r="A408" t="inlineStr">
        <is>
          <t>A 12853-2021</t>
        </is>
      </c>
      <c r="B408" s="1" t="n">
        <v>44271</v>
      </c>
      <c r="C408" s="1" t="n">
        <v>45628</v>
      </c>
      <c r="D408" t="inlineStr">
        <is>
          <t>VÄRMLANDS LÄN</t>
        </is>
      </c>
      <c r="E408" t="inlineStr">
        <is>
          <t>ÅRJÄNG</t>
        </is>
      </c>
      <c r="G408" t="n">
        <v>2.1</v>
      </c>
      <c r="H408" t="n">
        <v>0</v>
      </c>
      <c r="I408" t="n">
        <v>0</v>
      </c>
      <c r="J408" t="n">
        <v>0</v>
      </c>
      <c r="K408" t="n">
        <v>0</v>
      </c>
      <c r="L408" t="n">
        <v>0</v>
      </c>
      <c r="M408" t="n">
        <v>0</v>
      </c>
      <c r="N408" t="n">
        <v>0</v>
      </c>
      <c r="O408" t="n">
        <v>0</v>
      </c>
      <c r="P408" t="n">
        <v>0</v>
      </c>
      <c r="Q408" t="n">
        <v>0</v>
      </c>
      <c r="R408" s="2" t="inlineStr"/>
    </row>
    <row r="409" ht="15" customHeight="1">
      <c r="A409" t="inlineStr">
        <is>
          <t>A 12842-2021</t>
        </is>
      </c>
      <c r="B409" s="1" t="n">
        <v>44271</v>
      </c>
      <c r="C409" s="1" t="n">
        <v>45628</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13115-2021</t>
        </is>
      </c>
      <c r="B410" s="1" t="n">
        <v>44272</v>
      </c>
      <c r="C410" s="1" t="n">
        <v>45628</v>
      </c>
      <c r="D410" t="inlineStr">
        <is>
          <t>VÄRMLANDS LÄN</t>
        </is>
      </c>
      <c r="E410" t="inlineStr">
        <is>
          <t>ÅRJÄNG</t>
        </is>
      </c>
      <c r="F410" t="inlineStr">
        <is>
          <t>Övriga Aktiebolag</t>
        </is>
      </c>
      <c r="G410" t="n">
        <v>2.5</v>
      </c>
      <c r="H410" t="n">
        <v>0</v>
      </c>
      <c r="I410" t="n">
        <v>0</v>
      </c>
      <c r="J410" t="n">
        <v>0</v>
      </c>
      <c r="K410" t="n">
        <v>0</v>
      </c>
      <c r="L410" t="n">
        <v>0</v>
      </c>
      <c r="M410" t="n">
        <v>0</v>
      </c>
      <c r="N410" t="n">
        <v>0</v>
      </c>
      <c r="O410" t="n">
        <v>0</v>
      </c>
      <c r="P410" t="n">
        <v>0</v>
      </c>
      <c r="Q410" t="n">
        <v>0</v>
      </c>
      <c r="R410" s="2" t="inlineStr"/>
    </row>
    <row r="411" ht="15" customHeight="1">
      <c r="A411" t="inlineStr">
        <is>
          <t>A 14094-2021</t>
        </is>
      </c>
      <c r="B411" s="1" t="n">
        <v>44278</v>
      </c>
      <c r="C411" s="1" t="n">
        <v>45628</v>
      </c>
      <c r="D411" t="inlineStr">
        <is>
          <t>VÄRMLANDS LÄN</t>
        </is>
      </c>
      <c r="E411" t="inlineStr">
        <is>
          <t>ÅRJÄNG</t>
        </is>
      </c>
      <c r="G411" t="n">
        <v>2</v>
      </c>
      <c r="H411" t="n">
        <v>0</v>
      </c>
      <c r="I411" t="n">
        <v>0</v>
      </c>
      <c r="J411" t="n">
        <v>0</v>
      </c>
      <c r="K411" t="n">
        <v>0</v>
      </c>
      <c r="L411" t="n">
        <v>0</v>
      </c>
      <c r="M411" t="n">
        <v>0</v>
      </c>
      <c r="N411" t="n">
        <v>0</v>
      </c>
      <c r="O411" t="n">
        <v>0</v>
      </c>
      <c r="P411" t="n">
        <v>0</v>
      </c>
      <c r="Q411" t="n">
        <v>0</v>
      </c>
      <c r="R411" s="2" t="inlineStr"/>
    </row>
    <row r="412" ht="15" customHeight="1">
      <c r="A412" t="inlineStr">
        <is>
          <t>A 14906-2021</t>
        </is>
      </c>
      <c r="B412" s="1" t="n">
        <v>44281</v>
      </c>
      <c r="C412" s="1" t="n">
        <v>45628</v>
      </c>
      <c r="D412" t="inlineStr">
        <is>
          <t>VÄRMLANDS LÄN</t>
        </is>
      </c>
      <c r="E412" t="inlineStr">
        <is>
          <t>ÅRJÄNG</t>
        </is>
      </c>
      <c r="G412" t="n">
        <v>1.1</v>
      </c>
      <c r="H412" t="n">
        <v>0</v>
      </c>
      <c r="I412" t="n">
        <v>0</v>
      </c>
      <c r="J412" t="n">
        <v>0</v>
      </c>
      <c r="K412" t="n">
        <v>0</v>
      </c>
      <c r="L412" t="n">
        <v>0</v>
      </c>
      <c r="M412" t="n">
        <v>0</v>
      </c>
      <c r="N412" t="n">
        <v>0</v>
      </c>
      <c r="O412" t="n">
        <v>0</v>
      </c>
      <c r="P412" t="n">
        <v>0</v>
      </c>
      <c r="Q412" t="n">
        <v>0</v>
      </c>
      <c r="R412" s="2" t="inlineStr"/>
    </row>
    <row r="413" ht="15" customHeight="1">
      <c r="A413" t="inlineStr">
        <is>
          <t>A 15249-2021</t>
        </is>
      </c>
      <c r="B413" s="1" t="n">
        <v>44282</v>
      </c>
      <c r="C413" s="1" t="n">
        <v>45628</v>
      </c>
      <c r="D413" t="inlineStr">
        <is>
          <t>VÄRMLANDS LÄN</t>
        </is>
      </c>
      <c r="E413" t="inlineStr">
        <is>
          <t>ÅRJÄNG</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15244-2021</t>
        </is>
      </c>
      <c r="B414" s="1" t="n">
        <v>44284</v>
      </c>
      <c r="C414" s="1" t="n">
        <v>45628</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15245-2021</t>
        </is>
      </c>
      <c r="B415" s="1" t="n">
        <v>44284</v>
      </c>
      <c r="C415" s="1" t="n">
        <v>45628</v>
      </c>
      <c r="D415" t="inlineStr">
        <is>
          <t>VÄRMLANDS LÄN</t>
        </is>
      </c>
      <c r="E415" t="inlineStr">
        <is>
          <t>ÅRJÄNG</t>
        </is>
      </c>
      <c r="G415" t="n">
        <v>6.6</v>
      </c>
      <c r="H415" t="n">
        <v>0</v>
      </c>
      <c r="I415" t="n">
        <v>0</v>
      </c>
      <c r="J415" t="n">
        <v>0</v>
      </c>
      <c r="K415" t="n">
        <v>0</v>
      </c>
      <c r="L415" t="n">
        <v>0</v>
      </c>
      <c r="M415" t="n">
        <v>0</v>
      </c>
      <c r="N415" t="n">
        <v>0</v>
      </c>
      <c r="O415" t="n">
        <v>0</v>
      </c>
      <c r="P415" t="n">
        <v>0</v>
      </c>
      <c r="Q415" t="n">
        <v>0</v>
      </c>
      <c r="R415" s="2" t="inlineStr"/>
    </row>
    <row r="416" ht="15" customHeight="1">
      <c r="A416" t="inlineStr">
        <is>
          <t>A 16176-2021</t>
        </is>
      </c>
      <c r="B416" s="1" t="n">
        <v>44292</v>
      </c>
      <c r="C416" s="1" t="n">
        <v>45628</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16676-2021</t>
        </is>
      </c>
      <c r="B417" s="1" t="n">
        <v>44294</v>
      </c>
      <c r="C417" s="1" t="n">
        <v>45628</v>
      </c>
      <c r="D417" t="inlineStr">
        <is>
          <t>VÄRMLANDS LÄN</t>
        </is>
      </c>
      <c r="E417" t="inlineStr">
        <is>
          <t>ÅRJÄNG</t>
        </is>
      </c>
      <c r="G417" t="n">
        <v>4.3</v>
      </c>
      <c r="H417" t="n">
        <v>0</v>
      </c>
      <c r="I417" t="n">
        <v>0</v>
      </c>
      <c r="J417" t="n">
        <v>0</v>
      </c>
      <c r="K417" t="n">
        <v>0</v>
      </c>
      <c r="L417" t="n">
        <v>0</v>
      </c>
      <c r="M417" t="n">
        <v>0</v>
      </c>
      <c r="N417" t="n">
        <v>0</v>
      </c>
      <c r="O417" t="n">
        <v>0</v>
      </c>
      <c r="P417" t="n">
        <v>0</v>
      </c>
      <c r="Q417" t="n">
        <v>0</v>
      </c>
      <c r="R417" s="2" t="inlineStr"/>
    </row>
    <row r="418" ht="15" customHeight="1">
      <c r="A418" t="inlineStr">
        <is>
          <t>A 16689-2021</t>
        </is>
      </c>
      <c r="B418" s="1" t="n">
        <v>44294</v>
      </c>
      <c r="C418" s="1" t="n">
        <v>45628</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17248-2021</t>
        </is>
      </c>
      <c r="B419" s="1" t="n">
        <v>44298</v>
      </c>
      <c r="C419" s="1" t="n">
        <v>45628</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17178-2021</t>
        </is>
      </c>
      <c r="B420" s="1" t="n">
        <v>44298</v>
      </c>
      <c r="C420" s="1" t="n">
        <v>45628</v>
      </c>
      <c r="D420" t="inlineStr">
        <is>
          <t>VÄRMLANDS LÄN</t>
        </is>
      </c>
      <c r="E420" t="inlineStr">
        <is>
          <t>ÅRJÄNG</t>
        </is>
      </c>
      <c r="G420" t="n">
        <v>4</v>
      </c>
      <c r="H420" t="n">
        <v>0</v>
      </c>
      <c r="I420" t="n">
        <v>0</v>
      </c>
      <c r="J420" t="n">
        <v>0</v>
      </c>
      <c r="K420" t="n">
        <v>0</v>
      </c>
      <c r="L420" t="n">
        <v>0</v>
      </c>
      <c r="M420" t="n">
        <v>0</v>
      </c>
      <c r="N420" t="n">
        <v>0</v>
      </c>
      <c r="O420" t="n">
        <v>0</v>
      </c>
      <c r="P420" t="n">
        <v>0</v>
      </c>
      <c r="Q420" t="n">
        <v>0</v>
      </c>
      <c r="R420" s="2" t="inlineStr"/>
    </row>
    <row r="421" ht="15" customHeight="1">
      <c r="A421" t="inlineStr">
        <is>
          <t>A 17927-2021</t>
        </is>
      </c>
      <c r="B421" s="1" t="n">
        <v>44301</v>
      </c>
      <c r="C421" s="1" t="n">
        <v>45628</v>
      </c>
      <c r="D421" t="inlineStr">
        <is>
          <t>VÄRMLANDS LÄN</t>
        </is>
      </c>
      <c r="E421" t="inlineStr">
        <is>
          <t>ÅRJÄNG</t>
        </is>
      </c>
      <c r="G421" t="n">
        <v>3.4</v>
      </c>
      <c r="H421" t="n">
        <v>0</v>
      </c>
      <c r="I421" t="n">
        <v>0</v>
      </c>
      <c r="J421" t="n">
        <v>0</v>
      </c>
      <c r="K421" t="n">
        <v>0</v>
      </c>
      <c r="L421" t="n">
        <v>0</v>
      </c>
      <c r="M421" t="n">
        <v>0</v>
      </c>
      <c r="N421" t="n">
        <v>0</v>
      </c>
      <c r="O421" t="n">
        <v>0</v>
      </c>
      <c r="P421" t="n">
        <v>0</v>
      </c>
      <c r="Q421" t="n">
        <v>0</v>
      </c>
      <c r="R421" s="2" t="inlineStr"/>
    </row>
    <row r="422" ht="15" customHeight="1">
      <c r="A422" t="inlineStr">
        <is>
          <t>A 17892-2021</t>
        </is>
      </c>
      <c r="B422" s="1" t="n">
        <v>44301</v>
      </c>
      <c r="C422" s="1" t="n">
        <v>45628</v>
      </c>
      <c r="D422" t="inlineStr">
        <is>
          <t>VÄRMLANDS LÄN</t>
        </is>
      </c>
      <c r="E422" t="inlineStr">
        <is>
          <t>ÅRJÄNG</t>
        </is>
      </c>
      <c r="G422" t="n">
        <v>3.9</v>
      </c>
      <c r="H422" t="n">
        <v>0</v>
      </c>
      <c r="I422" t="n">
        <v>0</v>
      </c>
      <c r="J422" t="n">
        <v>0</v>
      </c>
      <c r="K422" t="n">
        <v>0</v>
      </c>
      <c r="L422" t="n">
        <v>0</v>
      </c>
      <c r="M422" t="n">
        <v>0</v>
      </c>
      <c r="N422" t="n">
        <v>0</v>
      </c>
      <c r="O422" t="n">
        <v>0</v>
      </c>
      <c r="P422" t="n">
        <v>0</v>
      </c>
      <c r="Q422" t="n">
        <v>0</v>
      </c>
      <c r="R422" s="2" t="inlineStr"/>
    </row>
    <row r="423" ht="15" customHeight="1">
      <c r="A423" t="inlineStr">
        <is>
          <t>A 18661-2021</t>
        </is>
      </c>
      <c r="B423" s="1" t="n">
        <v>44306</v>
      </c>
      <c r="C423" s="1" t="n">
        <v>45628</v>
      </c>
      <c r="D423" t="inlineStr">
        <is>
          <t>VÄRMLANDS LÄN</t>
        </is>
      </c>
      <c r="E423" t="inlineStr">
        <is>
          <t>ÅRJÄNG</t>
        </is>
      </c>
      <c r="G423" t="n">
        <v>3.7</v>
      </c>
      <c r="H423" t="n">
        <v>0</v>
      </c>
      <c r="I423" t="n">
        <v>0</v>
      </c>
      <c r="J423" t="n">
        <v>0</v>
      </c>
      <c r="K423" t="n">
        <v>0</v>
      </c>
      <c r="L423" t="n">
        <v>0</v>
      </c>
      <c r="M423" t="n">
        <v>0</v>
      </c>
      <c r="N423" t="n">
        <v>0</v>
      </c>
      <c r="O423" t="n">
        <v>0</v>
      </c>
      <c r="P423" t="n">
        <v>0</v>
      </c>
      <c r="Q423" t="n">
        <v>0</v>
      </c>
      <c r="R423" s="2" t="inlineStr"/>
    </row>
    <row r="424" ht="15" customHeight="1">
      <c r="A424" t="inlineStr">
        <is>
          <t>A 18903-2021</t>
        </is>
      </c>
      <c r="B424" s="1" t="n">
        <v>44308</v>
      </c>
      <c r="C424" s="1" t="n">
        <v>45628</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19244-2021</t>
        </is>
      </c>
      <c r="B425" s="1" t="n">
        <v>44309</v>
      </c>
      <c r="C425" s="1" t="n">
        <v>45628</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19458-2021</t>
        </is>
      </c>
      <c r="B426" s="1" t="n">
        <v>44311</v>
      </c>
      <c r="C426" s="1" t="n">
        <v>45628</v>
      </c>
      <c r="D426" t="inlineStr">
        <is>
          <t>VÄRMLANDS LÄN</t>
        </is>
      </c>
      <c r="E426" t="inlineStr">
        <is>
          <t>ÅRJÄNG</t>
        </is>
      </c>
      <c r="G426" t="n">
        <v>15.6</v>
      </c>
      <c r="H426" t="n">
        <v>0</v>
      </c>
      <c r="I426" t="n">
        <v>0</v>
      </c>
      <c r="J426" t="n">
        <v>0</v>
      </c>
      <c r="K426" t="n">
        <v>0</v>
      </c>
      <c r="L426" t="n">
        <v>0</v>
      </c>
      <c r="M426" t="n">
        <v>0</v>
      </c>
      <c r="N426" t="n">
        <v>0</v>
      </c>
      <c r="O426" t="n">
        <v>0</v>
      </c>
      <c r="P426" t="n">
        <v>0</v>
      </c>
      <c r="Q426" t="n">
        <v>0</v>
      </c>
      <c r="R426" s="2" t="inlineStr"/>
    </row>
    <row r="427" ht="15" customHeight="1">
      <c r="A427" t="inlineStr">
        <is>
          <t>A 21701-2021</t>
        </is>
      </c>
      <c r="B427" s="1" t="n">
        <v>44322</v>
      </c>
      <c r="C427" s="1" t="n">
        <v>45628</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21995-2021</t>
        </is>
      </c>
      <c r="B428" s="1" t="n">
        <v>44323</v>
      </c>
      <c r="C428" s="1" t="n">
        <v>45628</v>
      </c>
      <c r="D428" t="inlineStr">
        <is>
          <t>VÄRMLANDS LÄN</t>
        </is>
      </c>
      <c r="E428" t="inlineStr">
        <is>
          <t>ÅRJÄNG</t>
        </is>
      </c>
      <c r="G428" t="n">
        <v>4.3</v>
      </c>
      <c r="H428" t="n">
        <v>0</v>
      </c>
      <c r="I428" t="n">
        <v>0</v>
      </c>
      <c r="J428" t="n">
        <v>0</v>
      </c>
      <c r="K428" t="n">
        <v>0</v>
      </c>
      <c r="L428" t="n">
        <v>0</v>
      </c>
      <c r="M428" t="n">
        <v>0</v>
      </c>
      <c r="N428" t="n">
        <v>0</v>
      </c>
      <c r="O428" t="n">
        <v>0</v>
      </c>
      <c r="P428" t="n">
        <v>0</v>
      </c>
      <c r="Q428" t="n">
        <v>0</v>
      </c>
      <c r="R428" s="2" t="inlineStr"/>
    </row>
    <row r="429" ht="15" customHeight="1">
      <c r="A429" t="inlineStr">
        <is>
          <t>A 21996-2021</t>
        </is>
      </c>
      <c r="B429" s="1" t="n">
        <v>44323</v>
      </c>
      <c r="C429" s="1" t="n">
        <v>45628</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22158-2021</t>
        </is>
      </c>
      <c r="B430" s="1" t="n">
        <v>44325</v>
      </c>
      <c r="C430" s="1" t="n">
        <v>45628</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23042-2021</t>
        </is>
      </c>
      <c r="B431" s="1" t="n">
        <v>44329</v>
      </c>
      <c r="C431" s="1" t="n">
        <v>45628</v>
      </c>
      <c r="D431" t="inlineStr">
        <is>
          <t>VÄRMLANDS LÄN</t>
        </is>
      </c>
      <c r="E431" t="inlineStr">
        <is>
          <t>ÅRJÄNG</t>
        </is>
      </c>
      <c r="G431" t="n">
        <v>7.7</v>
      </c>
      <c r="H431" t="n">
        <v>0</v>
      </c>
      <c r="I431" t="n">
        <v>0</v>
      </c>
      <c r="J431" t="n">
        <v>0</v>
      </c>
      <c r="K431" t="n">
        <v>0</v>
      </c>
      <c r="L431" t="n">
        <v>0</v>
      </c>
      <c r="M431" t="n">
        <v>0</v>
      </c>
      <c r="N431" t="n">
        <v>0</v>
      </c>
      <c r="O431" t="n">
        <v>0</v>
      </c>
      <c r="P431" t="n">
        <v>0</v>
      </c>
      <c r="Q431" t="n">
        <v>0</v>
      </c>
      <c r="R431" s="2" t="inlineStr"/>
    </row>
    <row r="432" ht="15" customHeight="1">
      <c r="A432" t="inlineStr">
        <is>
          <t>A 23450-2021</t>
        </is>
      </c>
      <c r="B432" s="1" t="n">
        <v>44333</v>
      </c>
      <c r="C432" s="1" t="n">
        <v>45628</v>
      </c>
      <c r="D432" t="inlineStr">
        <is>
          <t>VÄRMLANDS LÄN</t>
        </is>
      </c>
      <c r="E432" t="inlineStr">
        <is>
          <t>ÅRJÄNG</t>
        </is>
      </c>
      <c r="G432" t="n">
        <v>5.1</v>
      </c>
      <c r="H432" t="n">
        <v>0</v>
      </c>
      <c r="I432" t="n">
        <v>0</v>
      </c>
      <c r="J432" t="n">
        <v>0</v>
      </c>
      <c r="K432" t="n">
        <v>0</v>
      </c>
      <c r="L432" t="n">
        <v>0</v>
      </c>
      <c r="M432" t="n">
        <v>0</v>
      </c>
      <c r="N432" t="n">
        <v>0</v>
      </c>
      <c r="O432" t="n">
        <v>0</v>
      </c>
      <c r="P432" t="n">
        <v>0</v>
      </c>
      <c r="Q432" t="n">
        <v>0</v>
      </c>
      <c r="R432" s="2" t="inlineStr"/>
    </row>
    <row r="433" ht="15" customHeight="1">
      <c r="A433" t="inlineStr">
        <is>
          <t>A 23451-2021</t>
        </is>
      </c>
      <c r="B433" s="1" t="n">
        <v>44333</v>
      </c>
      <c r="C433" s="1" t="n">
        <v>45628</v>
      </c>
      <c r="D433" t="inlineStr">
        <is>
          <t>VÄRMLANDS LÄN</t>
        </is>
      </c>
      <c r="E433" t="inlineStr">
        <is>
          <t>ÅRJÄNG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23815-2021</t>
        </is>
      </c>
      <c r="B434" s="1" t="n">
        <v>44335</v>
      </c>
      <c r="C434" s="1" t="n">
        <v>45628</v>
      </c>
      <c r="D434" t="inlineStr">
        <is>
          <t>VÄRMLANDS LÄN</t>
        </is>
      </c>
      <c r="E434" t="inlineStr">
        <is>
          <t>ÅRJÄNG</t>
        </is>
      </c>
      <c r="G434" t="n">
        <v>4.9</v>
      </c>
      <c r="H434" t="n">
        <v>0</v>
      </c>
      <c r="I434" t="n">
        <v>0</v>
      </c>
      <c r="J434" t="n">
        <v>0</v>
      </c>
      <c r="K434" t="n">
        <v>0</v>
      </c>
      <c r="L434" t="n">
        <v>0</v>
      </c>
      <c r="M434" t="n">
        <v>0</v>
      </c>
      <c r="N434" t="n">
        <v>0</v>
      </c>
      <c r="O434" t="n">
        <v>0</v>
      </c>
      <c r="P434" t="n">
        <v>0</v>
      </c>
      <c r="Q434" t="n">
        <v>0</v>
      </c>
      <c r="R434" s="2" t="inlineStr"/>
    </row>
    <row r="435" ht="15" customHeight="1">
      <c r="A435" t="inlineStr">
        <is>
          <t>A 26211-2021</t>
        </is>
      </c>
      <c r="B435" s="1" t="n">
        <v>44347</v>
      </c>
      <c r="C435" s="1" t="n">
        <v>45628</v>
      </c>
      <c r="D435" t="inlineStr">
        <is>
          <t>VÄRMLANDS LÄN</t>
        </is>
      </c>
      <c r="E435" t="inlineStr">
        <is>
          <t>ÅRJÄNG</t>
        </is>
      </c>
      <c r="G435" t="n">
        <v>2.8</v>
      </c>
      <c r="H435" t="n">
        <v>0</v>
      </c>
      <c r="I435" t="n">
        <v>0</v>
      </c>
      <c r="J435" t="n">
        <v>0</v>
      </c>
      <c r="K435" t="n">
        <v>0</v>
      </c>
      <c r="L435" t="n">
        <v>0</v>
      </c>
      <c r="M435" t="n">
        <v>0</v>
      </c>
      <c r="N435" t="n">
        <v>0</v>
      </c>
      <c r="O435" t="n">
        <v>0</v>
      </c>
      <c r="P435" t="n">
        <v>0</v>
      </c>
      <c r="Q435" t="n">
        <v>0</v>
      </c>
      <c r="R435" s="2" t="inlineStr"/>
    </row>
    <row r="436" ht="15" customHeight="1">
      <c r="A436" t="inlineStr">
        <is>
          <t>A 26284-2021</t>
        </is>
      </c>
      <c r="B436" s="1" t="n">
        <v>44347</v>
      </c>
      <c r="C436" s="1" t="n">
        <v>45628</v>
      </c>
      <c r="D436" t="inlineStr">
        <is>
          <t>VÄRMLANDS LÄN</t>
        </is>
      </c>
      <c r="E436" t="inlineStr">
        <is>
          <t>ÅRJÄNG</t>
        </is>
      </c>
      <c r="G436" t="n">
        <v>0.8</v>
      </c>
      <c r="H436" t="n">
        <v>0</v>
      </c>
      <c r="I436" t="n">
        <v>0</v>
      </c>
      <c r="J436" t="n">
        <v>0</v>
      </c>
      <c r="K436" t="n">
        <v>0</v>
      </c>
      <c r="L436" t="n">
        <v>0</v>
      </c>
      <c r="M436" t="n">
        <v>0</v>
      </c>
      <c r="N436" t="n">
        <v>0</v>
      </c>
      <c r="O436" t="n">
        <v>0</v>
      </c>
      <c r="P436" t="n">
        <v>0</v>
      </c>
      <c r="Q436" t="n">
        <v>0</v>
      </c>
      <c r="R436" s="2" t="inlineStr"/>
    </row>
    <row r="437" ht="15" customHeight="1">
      <c r="A437" t="inlineStr">
        <is>
          <t>A 27001-2021</t>
        </is>
      </c>
      <c r="B437" s="1" t="n">
        <v>44350</v>
      </c>
      <c r="C437" s="1" t="n">
        <v>45628</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27045-2021</t>
        </is>
      </c>
      <c r="B438" s="1" t="n">
        <v>44350</v>
      </c>
      <c r="C438" s="1" t="n">
        <v>45628</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27745-2021</t>
        </is>
      </c>
      <c r="B439" s="1" t="n">
        <v>44354</v>
      </c>
      <c r="C439" s="1" t="n">
        <v>45628</v>
      </c>
      <c r="D439" t="inlineStr">
        <is>
          <t>VÄRMLANDS LÄN</t>
        </is>
      </c>
      <c r="E439" t="inlineStr">
        <is>
          <t>ÅRJÄNG</t>
        </is>
      </c>
      <c r="G439" t="n">
        <v>0.6</v>
      </c>
      <c r="H439" t="n">
        <v>0</v>
      </c>
      <c r="I439" t="n">
        <v>0</v>
      </c>
      <c r="J439" t="n">
        <v>0</v>
      </c>
      <c r="K439" t="n">
        <v>0</v>
      </c>
      <c r="L439" t="n">
        <v>0</v>
      </c>
      <c r="M439" t="n">
        <v>0</v>
      </c>
      <c r="N439" t="n">
        <v>0</v>
      </c>
      <c r="O439" t="n">
        <v>0</v>
      </c>
      <c r="P439" t="n">
        <v>0</v>
      </c>
      <c r="Q439" t="n">
        <v>0</v>
      </c>
      <c r="R439" s="2" t="inlineStr"/>
    </row>
    <row r="440" ht="15" customHeight="1">
      <c r="A440" t="inlineStr">
        <is>
          <t>A 27871-2021</t>
        </is>
      </c>
      <c r="B440" s="1" t="n">
        <v>44354</v>
      </c>
      <c r="C440" s="1" t="n">
        <v>45628</v>
      </c>
      <c r="D440" t="inlineStr">
        <is>
          <t>VÄRMLANDS LÄN</t>
        </is>
      </c>
      <c r="E440" t="inlineStr">
        <is>
          <t>ÅRJÄNG</t>
        </is>
      </c>
      <c r="G440" t="n">
        <v>2.3</v>
      </c>
      <c r="H440" t="n">
        <v>0</v>
      </c>
      <c r="I440" t="n">
        <v>0</v>
      </c>
      <c r="J440" t="n">
        <v>0</v>
      </c>
      <c r="K440" t="n">
        <v>0</v>
      </c>
      <c r="L440" t="n">
        <v>0</v>
      </c>
      <c r="M440" t="n">
        <v>0</v>
      </c>
      <c r="N440" t="n">
        <v>0</v>
      </c>
      <c r="O440" t="n">
        <v>0</v>
      </c>
      <c r="P440" t="n">
        <v>0</v>
      </c>
      <c r="Q440" t="n">
        <v>0</v>
      </c>
      <c r="R440" s="2" t="inlineStr"/>
    </row>
    <row r="441" ht="15" customHeight="1">
      <c r="A441" t="inlineStr">
        <is>
          <t>A 27862-2021</t>
        </is>
      </c>
      <c r="B441" s="1" t="n">
        <v>44354</v>
      </c>
      <c r="C441" s="1" t="n">
        <v>45628</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28437-2021</t>
        </is>
      </c>
      <c r="B442" s="1" t="n">
        <v>44356</v>
      </c>
      <c r="C442" s="1" t="n">
        <v>45628</v>
      </c>
      <c r="D442" t="inlineStr">
        <is>
          <t>VÄRMLANDS LÄN</t>
        </is>
      </c>
      <c r="E442" t="inlineStr">
        <is>
          <t>ÅRJÄNG</t>
        </is>
      </c>
      <c r="G442" t="n">
        <v>2.9</v>
      </c>
      <c r="H442" t="n">
        <v>0</v>
      </c>
      <c r="I442" t="n">
        <v>0</v>
      </c>
      <c r="J442" t="n">
        <v>0</v>
      </c>
      <c r="K442" t="n">
        <v>0</v>
      </c>
      <c r="L442" t="n">
        <v>0</v>
      </c>
      <c r="M442" t="n">
        <v>0</v>
      </c>
      <c r="N442" t="n">
        <v>0</v>
      </c>
      <c r="O442" t="n">
        <v>0</v>
      </c>
      <c r="P442" t="n">
        <v>0</v>
      </c>
      <c r="Q442" t="n">
        <v>0</v>
      </c>
      <c r="R442" s="2" t="inlineStr"/>
    </row>
    <row r="443" ht="15" customHeight="1">
      <c r="A443" t="inlineStr">
        <is>
          <t>A 29701-2021</t>
        </is>
      </c>
      <c r="B443" s="1" t="n">
        <v>44362</v>
      </c>
      <c r="C443" s="1" t="n">
        <v>45628</v>
      </c>
      <c r="D443" t="inlineStr">
        <is>
          <t>VÄRMLANDS LÄN</t>
        </is>
      </c>
      <c r="E443" t="inlineStr">
        <is>
          <t>ÅRJÄNG</t>
        </is>
      </c>
      <c r="G443" t="n">
        <v>1.5</v>
      </c>
      <c r="H443" t="n">
        <v>0</v>
      </c>
      <c r="I443" t="n">
        <v>0</v>
      </c>
      <c r="J443" t="n">
        <v>0</v>
      </c>
      <c r="K443" t="n">
        <v>0</v>
      </c>
      <c r="L443" t="n">
        <v>0</v>
      </c>
      <c r="M443" t="n">
        <v>0</v>
      </c>
      <c r="N443" t="n">
        <v>0</v>
      </c>
      <c r="O443" t="n">
        <v>0</v>
      </c>
      <c r="P443" t="n">
        <v>0</v>
      </c>
      <c r="Q443" t="n">
        <v>0</v>
      </c>
      <c r="R443" s="2" t="inlineStr"/>
    </row>
    <row r="444" ht="15" customHeight="1">
      <c r="A444" t="inlineStr">
        <is>
          <t>A 29700-2021</t>
        </is>
      </c>
      <c r="B444" s="1" t="n">
        <v>44362</v>
      </c>
      <c r="C444" s="1" t="n">
        <v>45628</v>
      </c>
      <c r="D444" t="inlineStr">
        <is>
          <t>VÄRMLANDS LÄN</t>
        </is>
      </c>
      <c r="E444" t="inlineStr">
        <is>
          <t>ÅRJÄNG</t>
        </is>
      </c>
      <c r="G444" t="n">
        <v>3.1</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v>
      </c>
      <c r="C445" s="1" t="n">
        <v>45628</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30693-2021</t>
        </is>
      </c>
      <c r="B446" s="1" t="n">
        <v>44365</v>
      </c>
      <c r="C446" s="1" t="n">
        <v>45628</v>
      </c>
      <c r="D446" t="inlineStr">
        <is>
          <t>VÄRMLANDS LÄN</t>
        </is>
      </c>
      <c r="E446" t="inlineStr">
        <is>
          <t>ÅRJÄNG</t>
        </is>
      </c>
      <c r="G446" t="n">
        <v>8.4</v>
      </c>
      <c r="H446" t="n">
        <v>0</v>
      </c>
      <c r="I446" t="n">
        <v>0</v>
      </c>
      <c r="J446" t="n">
        <v>0</v>
      </c>
      <c r="K446" t="n">
        <v>0</v>
      </c>
      <c r="L446" t="n">
        <v>0</v>
      </c>
      <c r="M446" t="n">
        <v>0</v>
      </c>
      <c r="N446" t="n">
        <v>0</v>
      </c>
      <c r="O446" t="n">
        <v>0</v>
      </c>
      <c r="P446" t="n">
        <v>0</v>
      </c>
      <c r="Q446" t="n">
        <v>0</v>
      </c>
      <c r="R446" s="2" t="inlineStr"/>
    </row>
    <row r="447" ht="15" customHeight="1">
      <c r="A447" t="inlineStr">
        <is>
          <t>A 30817-2021</t>
        </is>
      </c>
      <c r="B447" s="1" t="n">
        <v>44365</v>
      </c>
      <c r="C447" s="1" t="n">
        <v>45628</v>
      </c>
      <c r="D447" t="inlineStr">
        <is>
          <t>VÄRMLANDS LÄN</t>
        </is>
      </c>
      <c r="E447" t="inlineStr">
        <is>
          <t>ÅRJÄNG</t>
        </is>
      </c>
      <c r="G447" t="n">
        <v>5.6</v>
      </c>
      <c r="H447" t="n">
        <v>0</v>
      </c>
      <c r="I447" t="n">
        <v>0</v>
      </c>
      <c r="J447" t="n">
        <v>0</v>
      </c>
      <c r="K447" t="n">
        <v>0</v>
      </c>
      <c r="L447" t="n">
        <v>0</v>
      </c>
      <c r="M447" t="n">
        <v>0</v>
      </c>
      <c r="N447" t="n">
        <v>0</v>
      </c>
      <c r="O447" t="n">
        <v>0</v>
      </c>
      <c r="P447" t="n">
        <v>0</v>
      </c>
      <c r="Q447" t="n">
        <v>0</v>
      </c>
      <c r="R447" s="2" t="inlineStr"/>
    </row>
    <row r="448" ht="15" customHeight="1">
      <c r="A448" t="inlineStr">
        <is>
          <t>A 32761-2021</t>
        </is>
      </c>
      <c r="B448" s="1" t="n">
        <v>44375</v>
      </c>
      <c r="C448" s="1" t="n">
        <v>45628</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32973-2021</t>
        </is>
      </c>
      <c r="B449" s="1" t="n">
        <v>44376</v>
      </c>
      <c r="C449" s="1" t="n">
        <v>45628</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33025-2021</t>
        </is>
      </c>
      <c r="B450" s="1" t="n">
        <v>44376</v>
      </c>
      <c r="C450" s="1" t="n">
        <v>45628</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33304-2021</t>
        </is>
      </c>
      <c r="B451" s="1" t="n">
        <v>44377</v>
      </c>
      <c r="C451" s="1" t="n">
        <v>45628</v>
      </c>
      <c r="D451" t="inlineStr">
        <is>
          <t>VÄRMLANDS LÄN</t>
        </is>
      </c>
      <c r="E451" t="inlineStr">
        <is>
          <t>ÅRJÄNG</t>
        </is>
      </c>
      <c r="G451" t="n">
        <v>4.9</v>
      </c>
      <c r="H451" t="n">
        <v>0</v>
      </c>
      <c r="I451" t="n">
        <v>0</v>
      </c>
      <c r="J451" t="n">
        <v>0</v>
      </c>
      <c r="K451" t="n">
        <v>0</v>
      </c>
      <c r="L451" t="n">
        <v>0</v>
      </c>
      <c r="M451" t="n">
        <v>0</v>
      </c>
      <c r="N451" t="n">
        <v>0</v>
      </c>
      <c r="O451" t="n">
        <v>0</v>
      </c>
      <c r="P451" t="n">
        <v>0</v>
      </c>
      <c r="Q451" t="n">
        <v>0</v>
      </c>
      <c r="R451" s="2" t="inlineStr"/>
    </row>
    <row r="452" ht="15" customHeight="1">
      <c r="A452" t="inlineStr">
        <is>
          <t>A 33738-2021</t>
        </is>
      </c>
      <c r="B452" s="1" t="n">
        <v>44378</v>
      </c>
      <c r="C452" s="1" t="n">
        <v>45628</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45628</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34032-2021</t>
        </is>
      </c>
      <c r="B454" s="1" t="n">
        <v>44378</v>
      </c>
      <c r="C454" s="1" t="n">
        <v>45628</v>
      </c>
      <c r="D454" t="inlineStr">
        <is>
          <t>VÄRMLANDS LÄN</t>
        </is>
      </c>
      <c r="E454" t="inlineStr">
        <is>
          <t>ÅRJÄNG</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34425-2021</t>
        </is>
      </c>
      <c r="B455" s="1" t="n">
        <v>44380</v>
      </c>
      <c r="C455" s="1" t="n">
        <v>45628</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34466-2021</t>
        </is>
      </c>
      <c r="B456" s="1" t="n">
        <v>44381</v>
      </c>
      <c r="C456" s="1" t="n">
        <v>45628</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34803-2021</t>
        </is>
      </c>
      <c r="B457" s="1" t="n">
        <v>44383</v>
      </c>
      <c r="C457" s="1" t="n">
        <v>45628</v>
      </c>
      <c r="D457" t="inlineStr">
        <is>
          <t>VÄRMLANDS LÄN</t>
        </is>
      </c>
      <c r="E457" t="inlineStr">
        <is>
          <t>ÅRJÄNG</t>
        </is>
      </c>
      <c r="G457" t="n">
        <v>0.7</v>
      </c>
      <c r="H457" t="n">
        <v>0</v>
      </c>
      <c r="I457" t="n">
        <v>0</v>
      </c>
      <c r="J457" t="n">
        <v>0</v>
      </c>
      <c r="K457" t="n">
        <v>0</v>
      </c>
      <c r="L457" t="n">
        <v>0</v>
      </c>
      <c r="M457" t="n">
        <v>0</v>
      </c>
      <c r="N457" t="n">
        <v>0</v>
      </c>
      <c r="O457" t="n">
        <v>0</v>
      </c>
      <c r="P457" t="n">
        <v>0</v>
      </c>
      <c r="Q457" t="n">
        <v>0</v>
      </c>
      <c r="R457" s="2" t="inlineStr"/>
    </row>
    <row r="458" ht="15" customHeight="1">
      <c r="A458" t="inlineStr">
        <is>
          <t>A 35015-2021</t>
        </is>
      </c>
      <c r="B458" s="1" t="n">
        <v>44383</v>
      </c>
      <c r="C458" s="1" t="n">
        <v>45628</v>
      </c>
      <c r="D458" t="inlineStr">
        <is>
          <t>VÄRMLANDS LÄN</t>
        </is>
      </c>
      <c r="E458" t="inlineStr">
        <is>
          <t>ÅRJÄNG</t>
        </is>
      </c>
      <c r="G458" t="n">
        <v>3.9</v>
      </c>
      <c r="H458" t="n">
        <v>0</v>
      </c>
      <c r="I458" t="n">
        <v>0</v>
      </c>
      <c r="J458" t="n">
        <v>0</v>
      </c>
      <c r="K458" t="n">
        <v>0</v>
      </c>
      <c r="L458" t="n">
        <v>0</v>
      </c>
      <c r="M458" t="n">
        <v>0</v>
      </c>
      <c r="N458" t="n">
        <v>0</v>
      </c>
      <c r="O458" t="n">
        <v>0</v>
      </c>
      <c r="P458" t="n">
        <v>0</v>
      </c>
      <c r="Q458" t="n">
        <v>0</v>
      </c>
      <c r="R458" s="2" t="inlineStr"/>
    </row>
    <row r="459" ht="15" customHeight="1">
      <c r="A459" t="inlineStr">
        <is>
          <t>A 35157-2021</t>
        </is>
      </c>
      <c r="B459" s="1" t="n">
        <v>44383</v>
      </c>
      <c r="C459" s="1" t="n">
        <v>45628</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35104-2021</t>
        </is>
      </c>
      <c r="B460" s="1" t="n">
        <v>44384</v>
      </c>
      <c r="C460" s="1" t="n">
        <v>45628</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35265-2021</t>
        </is>
      </c>
      <c r="B461" s="1" t="n">
        <v>44384</v>
      </c>
      <c r="C461" s="1" t="n">
        <v>45628</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35543-2021</t>
        </is>
      </c>
      <c r="B462" s="1" t="n">
        <v>44385</v>
      </c>
      <c r="C462" s="1" t="n">
        <v>45628</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36087-2021</t>
        </is>
      </c>
      <c r="B463" s="1" t="n">
        <v>44389</v>
      </c>
      <c r="C463" s="1" t="n">
        <v>45628</v>
      </c>
      <c r="D463" t="inlineStr">
        <is>
          <t>VÄRMLANDS LÄN</t>
        </is>
      </c>
      <c r="E463" t="inlineStr">
        <is>
          <t>ÅRJÄNG</t>
        </is>
      </c>
      <c r="G463" t="n">
        <v>2.2</v>
      </c>
      <c r="H463" t="n">
        <v>0</v>
      </c>
      <c r="I463" t="n">
        <v>0</v>
      </c>
      <c r="J463" t="n">
        <v>0</v>
      </c>
      <c r="K463" t="n">
        <v>0</v>
      </c>
      <c r="L463" t="n">
        <v>0</v>
      </c>
      <c r="M463" t="n">
        <v>0</v>
      </c>
      <c r="N463" t="n">
        <v>0</v>
      </c>
      <c r="O463" t="n">
        <v>0</v>
      </c>
      <c r="P463" t="n">
        <v>0</v>
      </c>
      <c r="Q463" t="n">
        <v>0</v>
      </c>
      <c r="R463" s="2" t="inlineStr"/>
    </row>
    <row r="464" ht="15" customHeight="1">
      <c r="A464" t="inlineStr">
        <is>
          <t>A 36499-2021</t>
        </is>
      </c>
      <c r="B464" s="1" t="n">
        <v>44391</v>
      </c>
      <c r="C464" s="1" t="n">
        <v>45628</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36642-2021</t>
        </is>
      </c>
      <c r="B465" s="1" t="n">
        <v>44392</v>
      </c>
      <c r="C465" s="1" t="n">
        <v>45628</v>
      </c>
      <c r="D465" t="inlineStr">
        <is>
          <t>VÄRMLANDS LÄN</t>
        </is>
      </c>
      <c r="E465" t="inlineStr">
        <is>
          <t>ÅRJÄNG</t>
        </is>
      </c>
      <c r="G465" t="n">
        <v>6.1</v>
      </c>
      <c r="H465" t="n">
        <v>0</v>
      </c>
      <c r="I465" t="n">
        <v>0</v>
      </c>
      <c r="J465" t="n">
        <v>0</v>
      </c>
      <c r="K465" t="n">
        <v>0</v>
      </c>
      <c r="L465" t="n">
        <v>0</v>
      </c>
      <c r="M465" t="n">
        <v>0</v>
      </c>
      <c r="N465" t="n">
        <v>0</v>
      </c>
      <c r="O465" t="n">
        <v>0</v>
      </c>
      <c r="P465" t="n">
        <v>0</v>
      </c>
      <c r="Q465" t="n">
        <v>0</v>
      </c>
      <c r="R465" s="2" t="inlineStr"/>
    </row>
    <row r="466" ht="15" customHeight="1">
      <c r="A466" t="inlineStr">
        <is>
          <t>A 36641-2021</t>
        </is>
      </c>
      <c r="B466" s="1" t="n">
        <v>44392</v>
      </c>
      <c r="C466" s="1" t="n">
        <v>45628</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36948-2021</t>
        </is>
      </c>
      <c r="B467" s="1" t="n">
        <v>44393</v>
      </c>
      <c r="C467" s="1" t="n">
        <v>45628</v>
      </c>
      <c r="D467" t="inlineStr">
        <is>
          <t>VÄRMLANDS LÄN</t>
        </is>
      </c>
      <c r="E467" t="inlineStr">
        <is>
          <t>ÅRJÄNG</t>
        </is>
      </c>
      <c r="G467" t="n">
        <v>4.4</v>
      </c>
      <c r="H467" t="n">
        <v>0</v>
      </c>
      <c r="I467" t="n">
        <v>0</v>
      </c>
      <c r="J467" t="n">
        <v>0</v>
      </c>
      <c r="K467" t="n">
        <v>0</v>
      </c>
      <c r="L467" t="n">
        <v>0</v>
      </c>
      <c r="M467" t="n">
        <v>0</v>
      </c>
      <c r="N467" t="n">
        <v>0</v>
      </c>
      <c r="O467" t="n">
        <v>0</v>
      </c>
      <c r="P467" t="n">
        <v>0</v>
      </c>
      <c r="Q467" t="n">
        <v>0</v>
      </c>
      <c r="R467" s="2" t="inlineStr"/>
    </row>
    <row r="468" ht="15" customHeight="1">
      <c r="A468" t="inlineStr">
        <is>
          <t>A 37136-2021</t>
        </is>
      </c>
      <c r="B468" s="1" t="n">
        <v>44396</v>
      </c>
      <c r="C468" s="1" t="n">
        <v>45628</v>
      </c>
      <c r="D468" t="inlineStr">
        <is>
          <t>VÄRMLANDS LÄN</t>
        </is>
      </c>
      <c r="E468" t="inlineStr">
        <is>
          <t>ÅRJÄNG</t>
        </is>
      </c>
      <c r="G468" t="n">
        <v>2</v>
      </c>
      <c r="H468" t="n">
        <v>0</v>
      </c>
      <c r="I468" t="n">
        <v>0</v>
      </c>
      <c r="J468" t="n">
        <v>0</v>
      </c>
      <c r="K468" t="n">
        <v>0</v>
      </c>
      <c r="L468" t="n">
        <v>0</v>
      </c>
      <c r="M468" t="n">
        <v>0</v>
      </c>
      <c r="N468" t="n">
        <v>0</v>
      </c>
      <c r="O468" t="n">
        <v>0</v>
      </c>
      <c r="P468" t="n">
        <v>0</v>
      </c>
      <c r="Q468" t="n">
        <v>0</v>
      </c>
      <c r="R468" s="2" t="inlineStr"/>
    </row>
    <row r="469" ht="15" customHeight="1">
      <c r="A469" t="inlineStr">
        <is>
          <t>A 37697-2021</t>
        </is>
      </c>
      <c r="B469" s="1" t="n">
        <v>44400</v>
      </c>
      <c r="C469" s="1" t="n">
        <v>45628</v>
      </c>
      <c r="D469" t="inlineStr">
        <is>
          <t>VÄRMLANDS LÄN</t>
        </is>
      </c>
      <c r="E469" t="inlineStr">
        <is>
          <t>ÅRJÄNG</t>
        </is>
      </c>
      <c r="G469" t="n">
        <v>4.3</v>
      </c>
      <c r="H469" t="n">
        <v>0</v>
      </c>
      <c r="I469" t="n">
        <v>0</v>
      </c>
      <c r="J469" t="n">
        <v>0</v>
      </c>
      <c r="K469" t="n">
        <v>0</v>
      </c>
      <c r="L469" t="n">
        <v>0</v>
      </c>
      <c r="M469" t="n">
        <v>0</v>
      </c>
      <c r="N469" t="n">
        <v>0</v>
      </c>
      <c r="O469" t="n">
        <v>0</v>
      </c>
      <c r="P469" t="n">
        <v>0</v>
      </c>
      <c r="Q469" t="n">
        <v>0</v>
      </c>
      <c r="R469" s="2" t="inlineStr"/>
    </row>
    <row r="470" ht="15" customHeight="1">
      <c r="A470" t="inlineStr">
        <is>
          <t>A 39067-2021</t>
        </is>
      </c>
      <c r="B470" s="1" t="n">
        <v>44412</v>
      </c>
      <c r="C470" s="1" t="n">
        <v>45628</v>
      </c>
      <c r="D470" t="inlineStr">
        <is>
          <t>VÄRMLANDS LÄN</t>
        </is>
      </c>
      <c r="E470" t="inlineStr">
        <is>
          <t>ÅRJÄNG</t>
        </is>
      </c>
      <c r="G470" t="n">
        <v>3.7</v>
      </c>
      <c r="H470" t="n">
        <v>0</v>
      </c>
      <c r="I470" t="n">
        <v>0</v>
      </c>
      <c r="J470" t="n">
        <v>0</v>
      </c>
      <c r="K470" t="n">
        <v>0</v>
      </c>
      <c r="L470" t="n">
        <v>0</v>
      </c>
      <c r="M470" t="n">
        <v>0</v>
      </c>
      <c r="N470" t="n">
        <v>0</v>
      </c>
      <c r="O470" t="n">
        <v>0</v>
      </c>
      <c r="P470" t="n">
        <v>0</v>
      </c>
      <c r="Q470" t="n">
        <v>0</v>
      </c>
      <c r="R470" s="2" t="inlineStr"/>
    </row>
    <row r="471" ht="15" customHeight="1">
      <c r="A471" t="inlineStr">
        <is>
          <t>A 39015-2021</t>
        </is>
      </c>
      <c r="B471" s="1" t="n">
        <v>44412</v>
      </c>
      <c r="C471" s="1" t="n">
        <v>45628</v>
      </c>
      <c r="D471" t="inlineStr">
        <is>
          <t>VÄRMLANDS LÄN</t>
        </is>
      </c>
      <c r="E471" t="inlineStr">
        <is>
          <t>ÅRJÄNG</t>
        </is>
      </c>
      <c r="G471" t="n">
        <v>2.8</v>
      </c>
      <c r="H471" t="n">
        <v>0</v>
      </c>
      <c r="I471" t="n">
        <v>0</v>
      </c>
      <c r="J471" t="n">
        <v>0</v>
      </c>
      <c r="K471" t="n">
        <v>0</v>
      </c>
      <c r="L471" t="n">
        <v>0</v>
      </c>
      <c r="M471" t="n">
        <v>0</v>
      </c>
      <c r="N471" t="n">
        <v>0</v>
      </c>
      <c r="O471" t="n">
        <v>0</v>
      </c>
      <c r="P471" t="n">
        <v>0</v>
      </c>
      <c r="Q471" t="n">
        <v>0</v>
      </c>
      <c r="R471" s="2" t="inlineStr"/>
    </row>
    <row r="472" ht="15" customHeight="1">
      <c r="A472" t="inlineStr">
        <is>
          <t>A 39752-2021</t>
        </is>
      </c>
      <c r="B472" s="1" t="n">
        <v>44417</v>
      </c>
      <c r="C472" s="1" t="n">
        <v>45628</v>
      </c>
      <c r="D472" t="inlineStr">
        <is>
          <t>VÄRMLANDS LÄN</t>
        </is>
      </c>
      <c r="E472" t="inlineStr">
        <is>
          <t>ÅRJÄNG</t>
        </is>
      </c>
      <c r="F472" t="inlineStr">
        <is>
          <t>Bergvik skog väst AB</t>
        </is>
      </c>
      <c r="G472" t="n">
        <v>4.3</v>
      </c>
      <c r="H472" t="n">
        <v>0</v>
      </c>
      <c r="I472" t="n">
        <v>0</v>
      </c>
      <c r="J472" t="n">
        <v>0</v>
      </c>
      <c r="K472" t="n">
        <v>0</v>
      </c>
      <c r="L472" t="n">
        <v>0</v>
      </c>
      <c r="M472" t="n">
        <v>0</v>
      </c>
      <c r="N472" t="n">
        <v>0</v>
      </c>
      <c r="O472" t="n">
        <v>0</v>
      </c>
      <c r="P472" t="n">
        <v>0</v>
      </c>
      <c r="Q472" t="n">
        <v>0</v>
      </c>
      <c r="R472" s="2" t="inlineStr"/>
    </row>
    <row r="473" ht="15" customHeight="1">
      <c r="A473" t="inlineStr">
        <is>
          <t>A 40832-2021</t>
        </is>
      </c>
      <c r="B473" s="1" t="n">
        <v>44421</v>
      </c>
      <c r="C473" s="1" t="n">
        <v>45628</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40829-2021</t>
        </is>
      </c>
      <c r="B474" s="1" t="n">
        <v>44421</v>
      </c>
      <c r="C474" s="1" t="n">
        <v>45628</v>
      </c>
      <c r="D474" t="inlineStr">
        <is>
          <t>VÄRMLANDS LÄN</t>
        </is>
      </c>
      <c r="E474" t="inlineStr">
        <is>
          <t>ÅRJÄNG</t>
        </is>
      </c>
      <c r="G474" t="n">
        <v>0.4</v>
      </c>
      <c r="H474" t="n">
        <v>0</v>
      </c>
      <c r="I474" t="n">
        <v>0</v>
      </c>
      <c r="J474" t="n">
        <v>0</v>
      </c>
      <c r="K474" t="n">
        <v>0</v>
      </c>
      <c r="L474" t="n">
        <v>0</v>
      </c>
      <c r="M474" t="n">
        <v>0</v>
      </c>
      <c r="N474" t="n">
        <v>0</v>
      </c>
      <c r="O474" t="n">
        <v>0</v>
      </c>
      <c r="P474" t="n">
        <v>0</v>
      </c>
      <c r="Q474" t="n">
        <v>0</v>
      </c>
      <c r="R474" s="2" t="inlineStr"/>
    </row>
    <row r="475" ht="15" customHeight="1">
      <c r="A475" t="inlineStr">
        <is>
          <t>A 41416-2021</t>
        </is>
      </c>
      <c r="B475" s="1" t="n">
        <v>44424</v>
      </c>
      <c r="C475" s="1" t="n">
        <v>45628</v>
      </c>
      <c r="D475" t="inlineStr">
        <is>
          <t>VÄRMLANDS LÄN</t>
        </is>
      </c>
      <c r="E475" t="inlineStr">
        <is>
          <t>ÅRJÄNG</t>
        </is>
      </c>
      <c r="G475" t="n">
        <v>10.4</v>
      </c>
      <c r="H475" t="n">
        <v>0</v>
      </c>
      <c r="I475" t="n">
        <v>0</v>
      </c>
      <c r="J475" t="n">
        <v>0</v>
      </c>
      <c r="K475" t="n">
        <v>0</v>
      </c>
      <c r="L475" t="n">
        <v>0</v>
      </c>
      <c r="M475" t="n">
        <v>0</v>
      </c>
      <c r="N475" t="n">
        <v>0</v>
      </c>
      <c r="O475" t="n">
        <v>0</v>
      </c>
      <c r="P475" t="n">
        <v>0</v>
      </c>
      <c r="Q475" t="n">
        <v>0</v>
      </c>
      <c r="R475" s="2" t="inlineStr"/>
    </row>
    <row r="476" ht="15" customHeight="1">
      <c r="A476" t="inlineStr">
        <is>
          <t>A 42576-2021</t>
        </is>
      </c>
      <c r="B476" s="1" t="n">
        <v>44428</v>
      </c>
      <c r="C476" s="1" t="n">
        <v>45628</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43027-2021</t>
        </is>
      </c>
      <c r="B477" s="1" t="n">
        <v>44431</v>
      </c>
      <c r="C477" s="1" t="n">
        <v>45628</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42963-2021</t>
        </is>
      </c>
      <c r="B478" s="1" t="n">
        <v>44431</v>
      </c>
      <c r="C478" s="1" t="n">
        <v>45628</v>
      </c>
      <c r="D478" t="inlineStr">
        <is>
          <t>VÄRMLANDS LÄN</t>
        </is>
      </c>
      <c r="E478" t="inlineStr">
        <is>
          <t>ÅRJÄNG</t>
        </is>
      </c>
      <c r="G478" t="n">
        <v>5.6</v>
      </c>
      <c r="H478" t="n">
        <v>0</v>
      </c>
      <c r="I478" t="n">
        <v>0</v>
      </c>
      <c r="J478" t="n">
        <v>0</v>
      </c>
      <c r="K478" t="n">
        <v>0</v>
      </c>
      <c r="L478" t="n">
        <v>0</v>
      </c>
      <c r="M478" t="n">
        <v>0</v>
      </c>
      <c r="N478" t="n">
        <v>0</v>
      </c>
      <c r="O478" t="n">
        <v>0</v>
      </c>
      <c r="P478" t="n">
        <v>0</v>
      </c>
      <c r="Q478" t="n">
        <v>0</v>
      </c>
      <c r="R478" s="2" t="inlineStr"/>
    </row>
    <row r="479" ht="15" customHeight="1">
      <c r="A479" t="inlineStr">
        <is>
          <t>A 43029-2021</t>
        </is>
      </c>
      <c r="B479" s="1" t="n">
        <v>44431</v>
      </c>
      <c r="C479" s="1" t="n">
        <v>45628</v>
      </c>
      <c r="D479" t="inlineStr">
        <is>
          <t>VÄRMLANDS LÄN</t>
        </is>
      </c>
      <c r="E479" t="inlineStr">
        <is>
          <t>ÅRJÄNG</t>
        </is>
      </c>
      <c r="G479" t="n">
        <v>5.5</v>
      </c>
      <c r="H479" t="n">
        <v>0</v>
      </c>
      <c r="I479" t="n">
        <v>0</v>
      </c>
      <c r="J479" t="n">
        <v>0</v>
      </c>
      <c r="K479" t="n">
        <v>0</v>
      </c>
      <c r="L479" t="n">
        <v>0</v>
      </c>
      <c r="M479" t="n">
        <v>0</v>
      </c>
      <c r="N479" t="n">
        <v>0</v>
      </c>
      <c r="O479" t="n">
        <v>0</v>
      </c>
      <c r="P479" t="n">
        <v>0</v>
      </c>
      <c r="Q479" t="n">
        <v>0</v>
      </c>
      <c r="R479" s="2" t="inlineStr"/>
    </row>
    <row r="480" ht="15" customHeight="1">
      <c r="A480" t="inlineStr">
        <is>
          <t>A 42915-2021</t>
        </is>
      </c>
      <c r="B480" s="1" t="n">
        <v>44431</v>
      </c>
      <c r="C480" s="1" t="n">
        <v>45628</v>
      </c>
      <c r="D480" t="inlineStr">
        <is>
          <t>VÄRMLANDS LÄN</t>
        </is>
      </c>
      <c r="E480" t="inlineStr">
        <is>
          <t>ÅRJÄNG</t>
        </is>
      </c>
      <c r="G480" t="n">
        <v>3</v>
      </c>
      <c r="H480" t="n">
        <v>0</v>
      </c>
      <c r="I480" t="n">
        <v>0</v>
      </c>
      <c r="J480" t="n">
        <v>0</v>
      </c>
      <c r="K480" t="n">
        <v>0</v>
      </c>
      <c r="L480" t="n">
        <v>0</v>
      </c>
      <c r="M480" t="n">
        <v>0</v>
      </c>
      <c r="N480" t="n">
        <v>0</v>
      </c>
      <c r="O480" t="n">
        <v>0</v>
      </c>
      <c r="P480" t="n">
        <v>0</v>
      </c>
      <c r="Q480" t="n">
        <v>0</v>
      </c>
      <c r="R480" s="2" t="inlineStr"/>
    </row>
    <row r="481" ht="15" customHeight="1">
      <c r="A481" t="inlineStr">
        <is>
          <t>A 42956-2021</t>
        </is>
      </c>
      <c r="B481" s="1" t="n">
        <v>44431</v>
      </c>
      <c r="C481" s="1" t="n">
        <v>45628</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43034-2021</t>
        </is>
      </c>
      <c r="B482" s="1" t="n">
        <v>44431</v>
      </c>
      <c r="C482" s="1" t="n">
        <v>45628</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43578-2021</t>
        </is>
      </c>
      <c r="B483" s="1" t="n">
        <v>44433</v>
      </c>
      <c r="C483" s="1" t="n">
        <v>45628</v>
      </c>
      <c r="D483" t="inlineStr">
        <is>
          <t>VÄRMLANDS LÄN</t>
        </is>
      </c>
      <c r="E483" t="inlineStr">
        <is>
          <t>ÅRJÄNG</t>
        </is>
      </c>
      <c r="G483" t="n">
        <v>6.3</v>
      </c>
      <c r="H483" t="n">
        <v>0</v>
      </c>
      <c r="I483" t="n">
        <v>0</v>
      </c>
      <c r="J483" t="n">
        <v>0</v>
      </c>
      <c r="K483" t="n">
        <v>0</v>
      </c>
      <c r="L483" t="n">
        <v>0</v>
      </c>
      <c r="M483" t="n">
        <v>0</v>
      </c>
      <c r="N483" t="n">
        <v>0</v>
      </c>
      <c r="O483" t="n">
        <v>0</v>
      </c>
      <c r="P483" t="n">
        <v>0</v>
      </c>
      <c r="Q483" t="n">
        <v>0</v>
      </c>
      <c r="R483" s="2" t="inlineStr"/>
    </row>
    <row r="484" ht="15" customHeight="1">
      <c r="A484" t="inlineStr">
        <is>
          <t>A 44417-2021</t>
        </is>
      </c>
      <c r="B484" s="1" t="n">
        <v>44435</v>
      </c>
      <c r="C484" s="1" t="n">
        <v>45628</v>
      </c>
      <c r="D484" t="inlineStr">
        <is>
          <t>VÄRMLANDS LÄN</t>
        </is>
      </c>
      <c r="E484" t="inlineStr">
        <is>
          <t>ÅRJÄNG</t>
        </is>
      </c>
      <c r="G484" t="n">
        <v>32.2</v>
      </c>
      <c r="H484" t="n">
        <v>0</v>
      </c>
      <c r="I484" t="n">
        <v>0</v>
      </c>
      <c r="J484" t="n">
        <v>0</v>
      </c>
      <c r="K484" t="n">
        <v>0</v>
      </c>
      <c r="L484" t="n">
        <v>0</v>
      </c>
      <c r="M484" t="n">
        <v>0</v>
      </c>
      <c r="N484" t="n">
        <v>0</v>
      </c>
      <c r="O484" t="n">
        <v>0</v>
      </c>
      <c r="P484" t="n">
        <v>0</v>
      </c>
      <c r="Q484" t="n">
        <v>0</v>
      </c>
      <c r="R484" s="2" t="inlineStr"/>
    </row>
    <row r="485" ht="15" customHeight="1">
      <c r="A485" t="inlineStr">
        <is>
          <t>A 44647-2021</t>
        </is>
      </c>
      <c r="B485" s="1" t="n">
        <v>44437</v>
      </c>
      <c r="C485" s="1" t="n">
        <v>45628</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44921-2021</t>
        </is>
      </c>
      <c r="B486" s="1" t="n">
        <v>44438</v>
      </c>
      <c r="C486" s="1" t="n">
        <v>45628</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45962-2021</t>
        </is>
      </c>
      <c r="B487" s="1" t="n">
        <v>44441</v>
      </c>
      <c r="C487" s="1" t="n">
        <v>45628</v>
      </c>
      <c r="D487" t="inlineStr">
        <is>
          <t>VÄRMLANDS LÄN</t>
        </is>
      </c>
      <c r="E487" t="inlineStr">
        <is>
          <t>ÅRJÄNG</t>
        </is>
      </c>
      <c r="G487" t="n">
        <v>4.3</v>
      </c>
      <c r="H487" t="n">
        <v>0</v>
      </c>
      <c r="I487" t="n">
        <v>0</v>
      </c>
      <c r="J487" t="n">
        <v>0</v>
      </c>
      <c r="K487" t="n">
        <v>0</v>
      </c>
      <c r="L487" t="n">
        <v>0</v>
      </c>
      <c r="M487" t="n">
        <v>0</v>
      </c>
      <c r="N487" t="n">
        <v>0</v>
      </c>
      <c r="O487" t="n">
        <v>0</v>
      </c>
      <c r="P487" t="n">
        <v>0</v>
      </c>
      <c r="Q487" t="n">
        <v>0</v>
      </c>
      <c r="R487" s="2" t="inlineStr"/>
    </row>
    <row r="488" ht="15" customHeight="1">
      <c r="A488" t="inlineStr">
        <is>
          <t>A 46248-2021</t>
        </is>
      </c>
      <c r="B488" s="1" t="n">
        <v>44442</v>
      </c>
      <c r="C488" s="1" t="n">
        <v>45628</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46096-2021</t>
        </is>
      </c>
      <c r="B489" s="1" t="n">
        <v>44442</v>
      </c>
      <c r="C489" s="1" t="n">
        <v>45628</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46647-2021</t>
        </is>
      </c>
      <c r="B490" s="1" t="n">
        <v>44445</v>
      </c>
      <c r="C490" s="1" t="n">
        <v>45628</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46644-2021</t>
        </is>
      </c>
      <c r="B491" s="1" t="n">
        <v>44445</v>
      </c>
      <c r="C491" s="1" t="n">
        <v>45628</v>
      </c>
      <c r="D491" t="inlineStr">
        <is>
          <t>VÄRMLANDS LÄN</t>
        </is>
      </c>
      <c r="E491" t="inlineStr">
        <is>
          <t>ÅRJÄNG</t>
        </is>
      </c>
      <c r="G491" t="n">
        <v>3.8</v>
      </c>
      <c r="H491" t="n">
        <v>0</v>
      </c>
      <c r="I491" t="n">
        <v>0</v>
      </c>
      <c r="J491" t="n">
        <v>0</v>
      </c>
      <c r="K491" t="n">
        <v>0</v>
      </c>
      <c r="L491" t="n">
        <v>0</v>
      </c>
      <c r="M491" t="n">
        <v>0</v>
      </c>
      <c r="N491" t="n">
        <v>0</v>
      </c>
      <c r="O491" t="n">
        <v>0</v>
      </c>
      <c r="P491" t="n">
        <v>0</v>
      </c>
      <c r="Q491" t="n">
        <v>0</v>
      </c>
      <c r="R491" s="2" t="inlineStr"/>
    </row>
    <row r="492" ht="15" customHeight="1">
      <c r="A492" t="inlineStr">
        <is>
          <t>A 47005-2021</t>
        </is>
      </c>
      <c r="B492" s="1" t="n">
        <v>44446</v>
      </c>
      <c r="C492" s="1" t="n">
        <v>45628</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47035-2021</t>
        </is>
      </c>
      <c r="B493" s="1" t="n">
        <v>44446</v>
      </c>
      <c r="C493" s="1" t="n">
        <v>45628</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46987-2021</t>
        </is>
      </c>
      <c r="B494" s="1" t="n">
        <v>44446</v>
      </c>
      <c r="C494" s="1" t="n">
        <v>45628</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47015-2021</t>
        </is>
      </c>
      <c r="B495" s="1" t="n">
        <v>44446</v>
      </c>
      <c r="C495" s="1" t="n">
        <v>45628</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47033-2021</t>
        </is>
      </c>
      <c r="B496" s="1" t="n">
        <v>44446</v>
      </c>
      <c r="C496" s="1" t="n">
        <v>45628</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46994-2021</t>
        </is>
      </c>
      <c r="B497" s="1" t="n">
        <v>44446</v>
      </c>
      <c r="C497" s="1" t="n">
        <v>45628</v>
      </c>
      <c r="D497" t="inlineStr">
        <is>
          <t>VÄRMLANDS LÄN</t>
        </is>
      </c>
      <c r="E497" t="inlineStr">
        <is>
          <t>ÅRJÄNG</t>
        </is>
      </c>
      <c r="G497" t="n">
        <v>5.1</v>
      </c>
      <c r="H497" t="n">
        <v>0</v>
      </c>
      <c r="I497" t="n">
        <v>0</v>
      </c>
      <c r="J497" t="n">
        <v>0</v>
      </c>
      <c r="K497" t="n">
        <v>0</v>
      </c>
      <c r="L497" t="n">
        <v>0</v>
      </c>
      <c r="M497" t="n">
        <v>0</v>
      </c>
      <c r="N497" t="n">
        <v>0</v>
      </c>
      <c r="O497" t="n">
        <v>0</v>
      </c>
      <c r="P497" t="n">
        <v>0</v>
      </c>
      <c r="Q497" t="n">
        <v>0</v>
      </c>
      <c r="R497" s="2" t="inlineStr"/>
    </row>
    <row r="498" ht="15" customHeight="1">
      <c r="A498" t="inlineStr">
        <is>
          <t>A 47011-2021</t>
        </is>
      </c>
      <c r="B498" s="1" t="n">
        <v>44446</v>
      </c>
      <c r="C498" s="1" t="n">
        <v>45628</v>
      </c>
      <c r="D498" t="inlineStr">
        <is>
          <t>VÄRMLANDS LÄN</t>
        </is>
      </c>
      <c r="E498" t="inlineStr">
        <is>
          <t>ÅRJÄNG</t>
        </is>
      </c>
      <c r="G498" t="n">
        <v>5.3</v>
      </c>
      <c r="H498" t="n">
        <v>0</v>
      </c>
      <c r="I498" t="n">
        <v>0</v>
      </c>
      <c r="J498" t="n">
        <v>0</v>
      </c>
      <c r="K498" t="n">
        <v>0</v>
      </c>
      <c r="L498" t="n">
        <v>0</v>
      </c>
      <c r="M498" t="n">
        <v>0</v>
      </c>
      <c r="N498" t="n">
        <v>0</v>
      </c>
      <c r="O498" t="n">
        <v>0</v>
      </c>
      <c r="P498" t="n">
        <v>0</v>
      </c>
      <c r="Q498" t="n">
        <v>0</v>
      </c>
      <c r="R498" s="2" t="inlineStr"/>
    </row>
    <row r="499" ht="15" customHeight="1">
      <c r="A499" t="inlineStr">
        <is>
          <t>A 47026-2021</t>
        </is>
      </c>
      <c r="B499" s="1" t="n">
        <v>44446</v>
      </c>
      <c r="C499" s="1" t="n">
        <v>45628</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47223-2021</t>
        </is>
      </c>
      <c r="B500" s="1" t="n">
        <v>44446</v>
      </c>
      <c r="C500" s="1" t="n">
        <v>45628</v>
      </c>
      <c r="D500" t="inlineStr">
        <is>
          <t>VÄRMLANDS LÄN</t>
        </is>
      </c>
      <c r="E500" t="inlineStr">
        <is>
          <t>ÅRJÄNG</t>
        </is>
      </c>
      <c r="G500" t="n">
        <v>5.4</v>
      </c>
      <c r="H500" t="n">
        <v>0</v>
      </c>
      <c r="I500" t="n">
        <v>0</v>
      </c>
      <c r="J500" t="n">
        <v>0</v>
      </c>
      <c r="K500" t="n">
        <v>0</v>
      </c>
      <c r="L500" t="n">
        <v>0</v>
      </c>
      <c r="M500" t="n">
        <v>0</v>
      </c>
      <c r="N500" t="n">
        <v>0</v>
      </c>
      <c r="O500" t="n">
        <v>0</v>
      </c>
      <c r="P500" t="n">
        <v>0</v>
      </c>
      <c r="Q500" t="n">
        <v>0</v>
      </c>
      <c r="R500" s="2" t="inlineStr"/>
    </row>
    <row r="501" ht="15" customHeight="1">
      <c r="A501" t="inlineStr">
        <is>
          <t>A 47231-2021</t>
        </is>
      </c>
      <c r="B501" s="1" t="n">
        <v>44446</v>
      </c>
      <c r="C501" s="1" t="n">
        <v>45628</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47287-2021</t>
        </is>
      </c>
      <c r="B502" s="1" t="n">
        <v>44446</v>
      </c>
      <c r="C502" s="1" t="n">
        <v>45628</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47013-2021</t>
        </is>
      </c>
      <c r="B503" s="1" t="n">
        <v>44446</v>
      </c>
      <c r="C503" s="1" t="n">
        <v>45628</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47215-2021</t>
        </is>
      </c>
      <c r="B504" s="1" t="n">
        <v>44446</v>
      </c>
      <c r="C504" s="1" t="n">
        <v>45628</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47230-2021</t>
        </is>
      </c>
      <c r="B505" s="1" t="n">
        <v>44446</v>
      </c>
      <c r="C505" s="1" t="n">
        <v>45628</v>
      </c>
      <c r="D505" t="inlineStr">
        <is>
          <t>VÄRMLANDS LÄN</t>
        </is>
      </c>
      <c r="E505" t="inlineStr">
        <is>
          <t>ÅRJÄNG</t>
        </is>
      </c>
      <c r="G505" t="n">
        <v>6.2</v>
      </c>
      <c r="H505" t="n">
        <v>0</v>
      </c>
      <c r="I505" t="n">
        <v>0</v>
      </c>
      <c r="J505" t="n">
        <v>0</v>
      </c>
      <c r="K505" t="n">
        <v>0</v>
      </c>
      <c r="L505" t="n">
        <v>0</v>
      </c>
      <c r="M505" t="n">
        <v>0</v>
      </c>
      <c r="N505" t="n">
        <v>0</v>
      </c>
      <c r="O505" t="n">
        <v>0</v>
      </c>
      <c r="P505" t="n">
        <v>0</v>
      </c>
      <c r="Q505" t="n">
        <v>0</v>
      </c>
      <c r="R505" s="2" t="inlineStr"/>
    </row>
    <row r="506" ht="15" customHeight="1">
      <c r="A506" t="inlineStr">
        <is>
          <t>A 47235-2021</t>
        </is>
      </c>
      <c r="B506" s="1" t="n">
        <v>44446</v>
      </c>
      <c r="C506" s="1" t="n">
        <v>45628</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47293-2021</t>
        </is>
      </c>
      <c r="B507" s="1" t="n">
        <v>44446</v>
      </c>
      <c r="C507" s="1" t="n">
        <v>45628</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47228-2021</t>
        </is>
      </c>
      <c r="B508" s="1" t="n">
        <v>44446</v>
      </c>
      <c r="C508" s="1" t="n">
        <v>45628</v>
      </c>
      <c r="D508" t="inlineStr">
        <is>
          <t>VÄRMLANDS LÄN</t>
        </is>
      </c>
      <c r="E508" t="inlineStr">
        <is>
          <t>ÅRJÄNG</t>
        </is>
      </c>
      <c r="G508" t="n">
        <v>0.6</v>
      </c>
      <c r="H508" t="n">
        <v>0</v>
      </c>
      <c r="I508" t="n">
        <v>0</v>
      </c>
      <c r="J508" t="n">
        <v>0</v>
      </c>
      <c r="K508" t="n">
        <v>0</v>
      </c>
      <c r="L508" t="n">
        <v>0</v>
      </c>
      <c r="M508" t="n">
        <v>0</v>
      </c>
      <c r="N508" t="n">
        <v>0</v>
      </c>
      <c r="O508" t="n">
        <v>0</v>
      </c>
      <c r="P508" t="n">
        <v>0</v>
      </c>
      <c r="Q508" t="n">
        <v>0</v>
      </c>
      <c r="R508" s="2" t="inlineStr"/>
    </row>
    <row r="509" ht="15" customHeight="1">
      <c r="A509" t="inlineStr">
        <is>
          <t>A 47242-2021</t>
        </is>
      </c>
      <c r="B509" s="1" t="n">
        <v>44446</v>
      </c>
      <c r="C509" s="1" t="n">
        <v>45628</v>
      </c>
      <c r="D509" t="inlineStr">
        <is>
          <t>VÄRMLANDS LÄN</t>
        </is>
      </c>
      <c r="E509" t="inlineStr">
        <is>
          <t>ÅRJÄNG</t>
        </is>
      </c>
      <c r="G509" t="n">
        <v>6.8</v>
      </c>
      <c r="H509" t="n">
        <v>0</v>
      </c>
      <c r="I509" t="n">
        <v>0</v>
      </c>
      <c r="J509" t="n">
        <v>0</v>
      </c>
      <c r="K509" t="n">
        <v>0</v>
      </c>
      <c r="L509" t="n">
        <v>0</v>
      </c>
      <c r="M509" t="n">
        <v>0</v>
      </c>
      <c r="N509" t="n">
        <v>0</v>
      </c>
      <c r="O509" t="n">
        <v>0</v>
      </c>
      <c r="P509" t="n">
        <v>0</v>
      </c>
      <c r="Q509" t="n">
        <v>0</v>
      </c>
      <c r="R509" s="2" t="inlineStr"/>
    </row>
    <row r="510" ht="15" customHeight="1">
      <c r="A510" t="inlineStr">
        <is>
          <t>A 47360-2021</t>
        </is>
      </c>
      <c r="B510" s="1" t="n">
        <v>44447</v>
      </c>
      <c r="C510" s="1" t="n">
        <v>45628</v>
      </c>
      <c r="D510" t="inlineStr">
        <is>
          <t>VÄRMLANDS LÄN</t>
        </is>
      </c>
      <c r="E510" t="inlineStr">
        <is>
          <t>ÅRJÄNG</t>
        </is>
      </c>
      <c r="G510" t="n">
        <v>3.9</v>
      </c>
      <c r="H510" t="n">
        <v>0</v>
      </c>
      <c r="I510" t="n">
        <v>0</v>
      </c>
      <c r="J510" t="n">
        <v>0</v>
      </c>
      <c r="K510" t="n">
        <v>0</v>
      </c>
      <c r="L510" t="n">
        <v>0</v>
      </c>
      <c r="M510" t="n">
        <v>0</v>
      </c>
      <c r="N510" t="n">
        <v>0</v>
      </c>
      <c r="O510" t="n">
        <v>0</v>
      </c>
      <c r="P510" t="n">
        <v>0</v>
      </c>
      <c r="Q510" t="n">
        <v>0</v>
      </c>
      <c r="R510" s="2" t="inlineStr"/>
    </row>
    <row r="511" ht="15" customHeight="1">
      <c r="A511" t="inlineStr">
        <is>
          <t>A 47653-2021</t>
        </is>
      </c>
      <c r="B511" s="1" t="n">
        <v>44448</v>
      </c>
      <c r="C511" s="1" t="n">
        <v>45628</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47642-2021</t>
        </is>
      </c>
      <c r="B512" s="1" t="n">
        <v>44448</v>
      </c>
      <c r="C512" s="1" t="n">
        <v>45628</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47647-2021</t>
        </is>
      </c>
      <c r="B513" s="1" t="n">
        <v>44448</v>
      </c>
      <c r="C513" s="1" t="n">
        <v>45628</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48391-2021</t>
        </is>
      </c>
      <c r="B514" s="1" t="n">
        <v>44452</v>
      </c>
      <c r="C514" s="1" t="n">
        <v>45628</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48389-2021</t>
        </is>
      </c>
      <c r="B515" s="1" t="n">
        <v>44452</v>
      </c>
      <c r="C515" s="1" t="n">
        <v>45628</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49180-2021</t>
        </is>
      </c>
      <c r="B516" s="1" t="n">
        <v>44454</v>
      </c>
      <c r="C516" s="1" t="n">
        <v>45628</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49641-2021</t>
        </is>
      </c>
      <c r="B517" s="1" t="n">
        <v>44455</v>
      </c>
      <c r="C517" s="1" t="n">
        <v>45628</v>
      </c>
      <c r="D517" t="inlineStr">
        <is>
          <t>VÄRMLANDS LÄN</t>
        </is>
      </c>
      <c r="E517" t="inlineStr">
        <is>
          <t>ÅRJÄNG</t>
        </is>
      </c>
      <c r="G517" t="n">
        <v>3.2</v>
      </c>
      <c r="H517" t="n">
        <v>0</v>
      </c>
      <c r="I517" t="n">
        <v>0</v>
      </c>
      <c r="J517" t="n">
        <v>0</v>
      </c>
      <c r="K517" t="n">
        <v>0</v>
      </c>
      <c r="L517" t="n">
        <v>0</v>
      </c>
      <c r="M517" t="n">
        <v>0</v>
      </c>
      <c r="N517" t="n">
        <v>0</v>
      </c>
      <c r="O517" t="n">
        <v>0</v>
      </c>
      <c r="P517" t="n">
        <v>0</v>
      </c>
      <c r="Q517" t="n">
        <v>0</v>
      </c>
      <c r="R517" s="2" t="inlineStr"/>
    </row>
    <row r="518" ht="15" customHeight="1">
      <c r="A518" t="inlineStr">
        <is>
          <t>A 49680-2021</t>
        </is>
      </c>
      <c r="B518" s="1" t="n">
        <v>44455</v>
      </c>
      <c r="C518" s="1" t="n">
        <v>45628</v>
      </c>
      <c r="D518" t="inlineStr">
        <is>
          <t>VÄRMLANDS LÄN</t>
        </is>
      </c>
      <c r="E518" t="inlineStr">
        <is>
          <t>ÅRJÄNG</t>
        </is>
      </c>
      <c r="G518" t="n">
        <v>1</v>
      </c>
      <c r="H518" t="n">
        <v>0</v>
      </c>
      <c r="I518" t="n">
        <v>0</v>
      </c>
      <c r="J518" t="n">
        <v>0</v>
      </c>
      <c r="K518" t="n">
        <v>0</v>
      </c>
      <c r="L518" t="n">
        <v>0</v>
      </c>
      <c r="M518" t="n">
        <v>0</v>
      </c>
      <c r="N518" t="n">
        <v>0</v>
      </c>
      <c r="O518" t="n">
        <v>0</v>
      </c>
      <c r="P518" t="n">
        <v>0</v>
      </c>
      <c r="Q518" t="n">
        <v>0</v>
      </c>
      <c r="R518" s="2" t="inlineStr"/>
    </row>
    <row r="519" ht="15" customHeight="1">
      <c r="A519" t="inlineStr">
        <is>
          <t>A 49932-2021</t>
        </is>
      </c>
      <c r="B519" s="1" t="n">
        <v>44455</v>
      </c>
      <c r="C519" s="1" t="n">
        <v>45628</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50219-2021</t>
        </is>
      </c>
      <c r="B520" s="1" t="n">
        <v>44457</v>
      </c>
      <c r="C520" s="1" t="n">
        <v>45628</v>
      </c>
      <c r="D520" t="inlineStr">
        <is>
          <t>VÄRMLANDS LÄN</t>
        </is>
      </c>
      <c r="E520" t="inlineStr">
        <is>
          <t>ÅRJÄNG</t>
        </is>
      </c>
      <c r="G520" t="n">
        <v>0.7</v>
      </c>
      <c r="H520" t="n">
        <v>0</v>
      </c>
      <c r="I520" t="n">
        <v>0</v>
      </c>
      <c r="J520" t="n">
        <v>0</v>
      </c>
      <c r="K520" t="n">
        <v>0</v>
      </c>
      <c r="L520" t="n">
        <v>0</v>
      </c>
      <c r="M520" t="n">
        <v>0</v>
      </c>
      <c r="N520" t="n">
        <v>0</v>
      </c>
      <c r="O520" t="n">
        <v>0</v>
      </c>
      <c r="P520" t="n">
        <v>0</v>
      </c>
      <c r="Q520" t="n">
        <v>0</v>
      </c>
      <c r="R520" s="2" t="inlineStr"/>
    </row>
    <row r="521" ht="15" customHeight="1">
      <c r="A521" t="inlineStr">
        <is>
          <t>A 50223-2021</t>
        </is>
      </c>
      <c r="B521" s="1" t="n">
        <v>44457</v>
      </c>
      <c r="C521" s="1" t="n">
        <v>45628</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50569-2021</t>
        </is>
      </c>
      <c r="B522" s="1" t="n">
        <v>44459</v>
      </c>
      <c r="C522" s="1" t="n">
        <v>45628</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50767-2021</t>
        </is>
      </c>
      <c r="B523" s="1" t="n">
        <v>44459</v>
      </c>
      <c r="C523" s="1" t="n">
        <v>45628</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50858-2021</t>
        </is>
      </c>
      <c r="B524" s="1" t="n">
        <v>44459</v>
      </c>
      <c r="C524" s="1" t="n">
        <v>45628</v>
      </c>
      <c r="D524" t="inlineStr">
        <is>
          <t>VÄRMLANDS LÄN</t>
        </is>
      </c>
      <c r="E524" t="inlineStr">
        <is>
          <t>ÅRJÄNG</t>
        </is>
      </c>
      <c r="G524" t="n">
        <v>7.2</v>
      </c>
      <c r="H524" t="n">
        <v>0</v>
      </c>
      <c r="I524" t="n">
        <v>0</v>
      </c>
      <c r="J524" t="n">
        <v>0</v>
      </c>
      <c r="K524" t="n">
        <v>0</v>
      </c>
      <c r="L524" t="n">
        <v>0</v>
      </c>
      <c r="M524" t="n">
        <v>0</v>
      </c>
      <c r="N524" t="n">
        <v>0</v>
      </c>
      <c r="O524" t="n">
        <v>0</v>
      </c>
      <c r="P524" t="n">
        <v>0</v>
      </c>
      <c r="Q524" t="n">
        <v>0</v>
      </c>
      <c r="R524" s="2" t="inlineStr"/>
    </row>
    <row r="525" ht="15" customHeight="1">
      <c r="A525" t="inlineStr">
        <is>
          <t>A 54425-2021</t>
        </is>
      </c>
      <c r="B525" s="1" t="n">
        <v>44459</v>
      </c>
      <c r="C525" s="1" t="n">
        <v>45628</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54437-2021</t>
        </is>
      </c>
      <c r="B526" s="1" t="n">
        <v>44459</v>
      </c>
      <c r="C526" s="1" t="n">
        <v>45628</v>
      </c>
      <c r="D526" t="inlineStr">
        <is>
          <t>VÄRMLANDS LÄN</t>
        </is>
      </c>
      <c r="E526" t="inlineStr">
        <is>
          <t>ÅRJÄNG</t>
        </is>
      </c>
      <c r="G526" t="n">
        <v>3.5</v>
      </c>
      <c r="H526" t="n">
        <v>0</v>
      </c>
      <c r="I526" t="n">
        <v>0</v>
      </c>
      <c r="J526" t="n">
        <v>0</v>
      </c>
      <c r="K526" t="n">
        <v>0</v>
      </c>
      <c r="L526" t="n">
        <v>0</v>
      </c>
      <c r="M526" t="n">
        <v>0</v>
      </c>
      <c r="N526" t="n">
        <v>0</v>
      </c>
      <c r="O526" t="n">
        <v>0</v>
      </c>
      <c r="P526" t="n">
        <v>0</v>
      </c>
      <c r="Q526" t="n">
        <v>0</v>
      </c>
      <c r="R526" s="2" t="inlineStr"/>
    </row>
    <row r="527" ht="15" customHeight="1">
      <c r="A527" t="inlineStr">
        <is>
          <t>A 52242-2021</t>
        </is>
      </c>
      <c r="B527" s="1" t="n">
        <v>44463</v>
      </c>
      <c r="C527" s="1" t="n">
        <v>45628</v>
      </c>
      <c r="D527" t="inlineStr">
        <is>
          <t>VÄRMLANDS LÄN</t>
        </is>
      </c>
      <c r="E527" t="inlineStr">
        <is>
          <t>ÅRJÄNG</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53052-2021</t>
        </is>
      </c>
      <c r="B528" s="1" t="n">
        <v>44467</v>
      </c>
      <c r="C528" s="1" t="n">
        <v>45628</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52730-2021</t>
        </is>
      </c>
      <c r="B529" s="1" t="n">
        <v>44467</v>
      </c>
      <c r="C529" s="1" t="n">
        <v>45628</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53416-2021</t>
        </is>
      </c>
      <c r="B530" s="1" t="n">
        <v>44468</v>
      </c>
      <c r="C530" s="1" t="n">
        <v>45628</v>
      </c>
      <c r="D530" t="inlineStr">
        <is>
          <t>VÄRMLANDS LÄN</t>
        </is>
      </c>
      <c r="E530" t="inlineStr">
        <is>
          <t>ÅRJÄNG</t>
        </is>
      </c>
      <c r="G530" t="n">
        <v>18.8</v>
      </c>
      <c r="H530" t="n">
        <v>0</v>
      </c>
      <c r="I530" t="n">
        <v>0</v>
      </c>
      <c r="J530" t="n">
        <v>0</v>
      </c>
      <c r="K530" t="n">
        <v>0</v>
      </c>
      <c r="L530" t="n">
        <v>0</v>
      </c>
      <c r="M530" t="n">
        <v>0</v>
      </c>
      <c r="N530" t="n">
        <v>0</v>
      </c>
      <c r="O530" t="n">
        <v>0</v>
      </c>
      <c r="P530" t="n">
        <v>0</v>
      </c>
      <c r="Q530" t="n">
        <v>0</v>
      </c>
      <c r="R530" s="2" t="inlineStr"/>
    </row>
    <row r="531" ht="15" customHeight="1">
      <c r="A531" t="inlineStr">
        <is>
          <t>A 53468-2021</t>
        </is>
      </c>
      <c r="B531" s="1" t="n">
        <v>44468</v>
      </c>
      <c r="C531" s="1" t="n">
        <v>45628</v>
      </c>
      <c r="D531" t="inlineStr">
        <is>
          <t>VÄRMLANDS LÄN</t>
        </is>
      </c>
      <c r="E531" t="inlineStr">
        <is>
          <t>ÅRJÄNG</t>
        </is>
      </c>
      <c r="G531" t="n">
        <v>2.1</v>
      </c>
      <c r="H531" t="n">
        <v>0</v>
      </c>
      <c r="I531" t="n">
        <v>0</v>
      </c>
      <c r="J531" t="n">
        <v>0</v>
      </c>
      <c r="K531" t="n">
        <v>0</v>
      </c>
      <c r="L531" t="n">
        <v>0</v>
      </c>
      <c r="M531" t="n">
        <v>0</v>
      </c>
      <c r="N531" t="n">
        <v>0</v>
      </c>
      <c r="O531" t="n">
        <v>0</v>
      </c>
      <c r="P531" t="n">
        <v>0</v>
      </c>
      <c r="Q531" t="n">
        <v>0</v>
      </c>
      <c r="R531" s="2" t="inlineStr"/>
    </row>
    <row r="532" ht="15" customHeight="1">
      <c r="A532" t="inlineStr">
        <is>
          <t>A 53726-2021</t>
        </is>
      </c>
      <c r="B532" s="1" t="n">
        <v>44469</v>
      </c>
      <c r="C532" s="1" t="n">
        <v>45628</v>
      </c>
      <c r="D532" t="inlineStr">
        <is>
          <t>VÄRMLANDS LÄN</t>
        </is>
      </c>
      <c r="E532" t="inlineStr">
        <is>
          <t>ÅRJÄNG</t>
        </is>
      </c>
      <c r="G532" t="n">
        <v>3.2</v>
      </c>
      <c r="H532" t="n">
        <v>0</v>
      </c>
      <c r="I532" t="n">
        <v>0</v>
      </c>
      <c r="J532" t="n">
        <v>0</v>
      </c>
      <c r="K532" t="n">
        <v>0</v>
      </c>
      <c r="L532" t="n">
        <v>0</v>
      </c>
      <c r="M532" t="n">
        <v>0</v>
      </c>
      <c r="N532" t="n">
        <v>0</v>
      </c>
      <c r="O532" t="n">
        <v>0</v>
      </c>
      <c r="P532" t="n">
        <v>0</v>
      </c>
      <c r="Q532" t="n">
        <v>0</v>
      </c>
      <c r="R532" s="2" t="inlineStr"/>
    </row>
    <row r="533" ht="15" customHeight="1">
      <c r="A533" t="inlineStr">
        <is>
          <t>A 53722-2021</t>
        </is>
      </c>
      <c r="B533" s="1" t="n">
        <v>44469</v>
      </c>
      <c r="C533" s="1" t="n">
        <v>45628</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53637-2021</t>
        </is>
      </c>
      <c r="B534" s="1" t="n">
        <v>44469</v>
      </c>
      <c r="C534" s="1" t="n">
        <v>45628</v>
      </c>
      <c r="D534" t="inlineStr">
        <is>
          <t>VÄRMLANDS LÄN</t>
        </is>
      </c>
      <c r="E534" t="inlineStr">
        <is>
          <t>ÅRJÄNG</t>
        </is>
      </c>
      <c r="G534" t="n">
        <v>2.7</v>
      </c>
      <c r="H534" t="n">
        <v>0</v>
      </c>
      <c r="I534" t="n">
        <v>0</v>
      </c>
      <c r="J534" t="n">
        <v>0</v>
      </c>
      <c r="K534" t="n">
        <v>0</v>
      </c>
      <c r="L534" t="n">
        <v>0</v>
      </c>
      <c r="M534" t="n">
        <v>0</v>
      </c>
      <c r="N534" t="n">
        <v>0</v>
      </c>
      <c r="O534" t="n">
        <v>0</v>
      </c>
      <c r="P534" t="n">
        <v>0</v>
      </c>
      <c r="Q534" t="n">
        <v>0</v>
      </c>
      <c r="R534" s="2" t="inlineStr"/>
    </row>
    <row r="535" ht="15" customHeight="1">
      <c r="A535" t="inlineStr">
        <is>
          <t>A 53747-2021</t>
        </is>
      </c>
      <c r="B535" s="1" t="n">
        <v>44469</v>
      </c>
      <c r="C535" s="1" t="n">
        <v>45628</v>
      </c>
      <c r="D535" t="inlineStr">
        <is>
          <t>VÄRMLANDS LÄN</t>
        </is>
      </c>
      <c r="E535" t="inlineStr">
        <is>
          <t>ÅRJÄNG</t>
        </is>
      </c>
      <c r="G535" t="n">
        <v>11.3</v>
      </c>
      <c r="H535" t="n">
        <v>0</v>
      </c>
      <c r="I535" t="n">
        <v>0</v>
      </c>
      <c r="J535" t="n">
        <v>0</v>
      </c>
      <c r="K535" t="n">
        <v>0</v>
      </c>
      <c r="L535" t="n">
        <v>0</v>
      </c>
      <c r="M535" t="n">
        <v>0</v>
      </c>
      <c r="N535" t="n">
        <v>0</v>
      </c>
      <c r="O535" t="n">
        <v>0</v>
      </c>
      <c r="P535" t="n">
        <v>0</v>
      </c>
      <c r="Q535" t="n">
        <v>0</v>
      </c>
      <c r="R535" s="2" t="inlineStr"/>
    </row>
    <row r="536" ht="15" customHeight="1">
      <c r="A536" t="inlineStr">
        <is>
          <t>A 53739-2021</t>
        </is>
      </c>
      <c r="B536" s="1" t="n">
        <v>44469</v>
      </c>
      <c r="C536" s="1" t="n">
        <v>45628</v>
      </c>
      <c r="D536" t="inlineStr">
        <is>
          <t>VÄRMLANDS LÄN</t>
        </is>
      </c>
      <c r="E536" t="inlineStr">
        <is>
          <t>ÅRJÄNG</t>
        </is>
      </c>
      <c r="G536" t="n">
        <v>15.9</v>
      </c>
      <c r="H536" t="n">
        <v>0</v>
      </c>
      <c r="I536" t="n">
        <v>0</v>
      </c>
      <c r="J536" t="n">
        <v>0</v>
      </c>
      <c r="K536" t="n">
        <v>0</v>
      </c>
      <c r="L536" t="n">
        <v>0</v>
      </c>
      <c r="M536" t="n">
        <v>0</v>
      </c>
      <c r="N536" t="n">
        <v>0</v>
      </c>
      <c r="O536" t="n">
        <v>0</v>
      </c>
      <c r="P536" t="n">
        <v>0</v>
      </c>
      <c r="Q536" t="n">
        <v>0</v>
      </c>
      <c r="R536" s="2" t="inlineStr"/>
    </row>
    <row r="537" ht="15" customHeight="1">
      <c r="A537" t="inlineStr">
        <is>
          <t>A 53753-2021</t>
        </is>
      </c>
      <c r="B537" s="1" t="n">
        <v>44469</v>
      </c>
      <c r="C537" s="1" t="n">
        <v>45628</v>
      </c>
      <c r="D537" t="inlineStr">
        <is>
          <t>VÄRMLANDS LÄN</t>
        </is>
      </c>
      <c r="E537" t="inlineStr">
        <is>
          <t>ÅRJÄNG</t>
        </is>
      </c>
      <c r="G537" t="n">
        <v>17.2</v>
      </c>
      <c r="H537" t="n">
        <v>0</v>
      </c>
      <c r="I537" t="n">
        <v>0</v>
      </c>
      <c r="J537" t="n">
        <v>0</v>
      </c>
      <c r="K537" t="n">
        <v>0</v>
      </c>
      <c r="L537" t="n">
        <v>0</v>
      </c>
      <c r="M537" t="n">
        <v>0</v>
      </c>
      <c r="N537" t="n">
        <v>0</v>
      </c>
      <c r="O537" t="n">
        <v>0</v>
      </c>
      <c r="P537" t="n">
        <v>0</v>
      </c>
      <c r="Q537" t="n">
        <v>0</v>
      </c>
      <c r="R537" s="2" t="inlineStr"/>
    </row>
    <row r="538" ht="15" customHeight="1">
      <c r="A538" t="inlineStr">
        <is>
          <t>A 54335-2021</t>
        </is>
      </c>
      <c r="B538" s="1" t="n">
        <v>44473</v>
      </c>
      <c r="C538" s="1" t="n">
        <v>45628</v>
      </c>
      <c r="D538" t="inlineStr">
        <is>
          <t>VÄRMLANDS LÄN</t>
        </is>
      </c>
      <c r="E538" t="inlineStr">
        <is>
          <t>ÅRJÄNG</t>
        </is>
      </c>
      <c r="G538" t="n">
        <v>5.5</v>
      </c>
      <c r="H538" t="n">
        <v>0</v>
      </c>
      <c r="I538" t="n">
        <v>0</v>
      </c>
      <c r="J538" t="n">
        <v>0</v>
      </c>
      <c r="K538" t="n">
        <v>0</v>
      </c>
      <c r="L538" t="n">
        <v>0</v>
      </c>
      <c r="M538" t="n">
        <v>0</v>
      </c>
      <c r="N538" t="n">
        <v>0</v>
      </c>
      <c r="O538" t="n">
        <v>0</v>
      </c>
      <c r="P538" t="n">
        <v>0</v>
      </c>
      <c r="Q538" t="n">
        <v>0</v>
      </c>
      <c r="R538" s="2" t="inlineStr"/>
    </row>
    <row r="539" ht="15" customHeight="1">
      <c r="A539" t="inlineStr">
        <is>
          <t>A 54581-2021</t>
        </is>
      </c>
      <c r="B539" s="1" t="n">
        <v>44473</v>
      </c>
      <c r="C539" s="1" t="n">
        <v>45628</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55784-2021</t>
        </is>
      </c>
      <c r="B540" s="1" t="n">
        <v>44476</v>
      </c>
      <c r="C540" s="1" t="n">
        <v>45628</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56311-2021</t>
        </is>
      </c>
      <c r="B541" s="1" t="n">
        <v>44480</v>
      </c>
      <c r="C541" s="1" t="n">
        <v>45628</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56559-2021</t>
        </is>
      </c>
      <c r="B542" s="1" t="n">
        <v>44480</v>
      </c>
      <c r="C542" s="1" t="n">
        <v>45628</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56583-2021</t>
        </is>
      </c>
      <c r="B543" s="1" t="n">
        <v>44480</v>
      </c>
      <c r="C543" s="1" t="n">
        <v>45628</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56682-2021</t>
        </is>
      </c>
      <c r="B544" s="1" t="n">
        <v>44481</v>
      </c>
      <c r="C544" s="1" t="n">
        <v>45628</v>
      </c>
      <c r="D544" t="inlineStr">
        <is>
          <t>VÄRMLANDS LÄN</t>
        </is>
      </c>
      <c r="E544" t="inlineStr">
        <is>
          <t>ÅRJÄNG</t>
        </is>
      </c>
      <c r="G544" t="n">
        <v>2.5</v>
      </c>
      <c r="H544" t="n">
        <v>0</v>
      </c>
      <c r="I544" t="n">
        <v>0</v>
      </c>
      <c r="J544" t="n">
        <v>0</v>
      </c>
      <c r="K544" t="n">
        <v>0</v>
      </c>
      <c r="L544" t="n">
        <v>0</v>
      </c>
      <c r="M544" t="n">
        <v>0</v>
      </c>
      <c r="N544" t="n">
        <v>0</v>
      </c>
      <c r="O544" t="n">
        <v>0</v>
      </c>
      <c r="P544" t="n">
        <v>0</v>
      </c>
      <c r="Q544" t="n">
        <v>0</v>
      </c>
      <c r="R544" s="2" t="inlineStr"/>
    </row>
    <row r="545" ht="15" customHeight="1">
      <c r="A545" t="inlineStr">
        <is>
          <t>A 56993-2021</t>
        </is>
      </c>
      <c r="B545" s="1" t="n">
        <v>44482</v>
      </c>
      <c r="C545" s="1" t="n">
        <v>45628</v>
      </c>
      <c r="D545" t="inlineStr">
        <is>
          <t>VÄRMLANDS LÄN</t>
        </is>
      </c>
      <c r="E545" t="inlineStr">
        <is>
          <t>ÅRJÄNG</t>
        </is>
      </c>
      <c r="G545" t="n">
        <v>3.8</v>
      </c>
      <c r="H545" t="n">
        <v>0</v>
      </c>
      <c r="I545" t="n">
        <v>0</v>
      </c>
      <c r="J545" t="n">
        <v>0</v>
      </c>
      <c r="K545" t="n">
        <v>0</v>
      </c>
      <c r="L545" t="n">
        <v>0</v>
      </c>
      <c r="M545" t="n">
        <v>0</v>
      </c>
      <c r="N545" t="n">
        <v>0</v>
      </c>
      <c r="O545" t="n">
        <v>0</v>
      </c>
      <c r="P545" t="n">
        <v>0</v>
      </c>
      <c r="Q545" t="n">
        <v>0</v>
      </c>
      <c r="R545" s="2" t="inlineStr"/>
    </row>
    <row r="546" ht="15" customHeight="1">
      <c r="A546" t="inlineStr">
        <is>
          <t>A 57833-2021</t>
        </is>
      </c>
      <c r="B546" s="1" t="n">
        <v>44484</v>
      </c>
      <c r="C546" s="1" t="n">
        <v>45628</v>
      </c>
      <c r="D546" t="inlineStr">
        <is>
          <t>VÄRMLANDS LÄN</t>
        </is>
      </c>
      <c r="E546" t="inlineStr">
        <is>
          <t>ÅRJÄNG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59009-2021</t>
        </is>
      </c>
      <c r="B547" s="1" t="n">
        <v>44490</v>
      </c>
      <c r="C547" s="1" t="n">
        <v>45628</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59143-2021</t>
        </is>
      </c>
      <c r="B548" s="1" t="n">
        <v>44490</v>
      </c>
      <c r="C548" s="1" t="n">
        <v>45628</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59341-2021</t>
        </is>
      </c>
      <c r="B549" s="1" t="n">
        <v>44491</v>
      </c>
      <c r="C549" s="1" t="n">
        <v>45628</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59453-2021</t>
        </is>
      </c>
      <c r="B550" s="1" t="n">
        <v>44491</v>
      </c>
      <c r="C550" s="1" t="n">
        <v>45628</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59466-2021</t>
        </is>
      </c>
      <c r="B551" s="1" t="n">
        <v>44491</v>
      </c>
      <c r="C551" s="1" t="n">
        <v>45628</v>
      </c>
      <c r="D551" t="inlineStr">
        <is>
          <t>VÄRMLANDS LÄN</t>
        </is>
      </c>
      <c r="E551" t="inlineStr">
        <is>
          <t>ÅRJÄNG</t>
        </is>
      </c>
      <c r="G551" t="n">
        <v>2.7</v>
      </c>
      <c r="H551" t="n">
        <v>0</v>
      </c>
      <c r="I551" t="n">
        <v>0</v>
      </c>
      <c r="J551" t="n">
        <v>0</v>
      </c>
      <c r="K551" t="n">
        <v>0</v>
      </c>
      <c r="L551" t="n">
        <v>0</v>
      </c>
      <c r="M551" t="n">
        <v>0</v>
      </c>
      <c r="N551" t="n">
        <v>0</v>
      </c>
      <c r="O551" t="n">
        <v>0</v>
      </c>
      <c r="P551" t="n">
        <v>0</v>
      </c>
      <c r="Q551" t="n">
        <v>0</v>
      </c>
      <c r="R551" s="2" t="inlineStr"/>
    </row>
    <row r="552" ht="15" customHeight="1">
      <c r="A552" t="inlineStr">
        <is>
          <t>A 60097-2021</t>
        </is>
      </c>
      <c r="B552" s="1" t="n">
        <v>44495</v>
      </c>
      <c r="C552" s="1" t="n">
        <v>45628</v>
      </c>
      <c r="D552" t="inlineStr">
        <is>
          <t>VÄRMLANDS LÄN</t>
        </is>
      </c>
      <c r="E552" t="inlineStr">
        <is>
          <t>ÅRJÄNG</t>
        </is>
      </c>
      <c r="G552" t="n">
        <v>6.5</v>
      </c>
      <c r="H552" t="n">
        <v>0</v>
      </c>
      <c r="I552" t="n">
        <v>0</v>
      </c>
      <c r="J552" t="n">
        <v>0</v>
      </c>
      <c r="K552" t="n">
        <v>0</v>
      </c>
      <c r="L552" t="n">
        <v>0</v>
      </c>
      <c r="M552" t="n">
        <v>0</v>
      </c>
      <c r="N552" t="n">
        <v>0</v>
      </c>
      <c r="O552" t="n">
        <v>0</v>
      </c>
      <c r="P552" t="n">
        <v>0</v>
      </c>
      <c r="Q552" t="n">
        <v>0</v>
      </c>
      <c r="R552" s="2" t="inlineStr"/>
    </row>
    <row r="553" ht="15" customHeight="1">
      <c r="A553" t="inlineStr">
        <is>
          <t>A 60715-2021</t>
        </is>
      </c>
      <c r="B553" s="1" t="n">
        <v>44496</v>
      </c>
      <c r="C553" s="1" t="n">
        <v>45628</v>
      </c>
      <c r="D553" t="inlineStr">
        <is>
          <t>VÄRMLANDS LÄN</t>
        </is>
      </c>
      <c r="E553" t="inlineStr">
        <is>
          <t>ÅRJÄNG</t>
        </is>
      </c>
      <c r="G553" t="n">
        <v>7.4</v>
      </c>
      <c r="H553" t="n">
        <v>0</v>
      </c>
      <c r="I553" t="n">
        <v>0</v>
      </c>
      <c r="J553" t="n">
        <v>0</v>
      </c>
      <c r="K553" t="n">
        <v>0</v>
      </c>
      <c r="L553" t="n">
        <v>0</v>
      </c>
      <c r="M553" t="n">
        <v>0</v>
      </c>
      <c r="N553" t="n">
        <v>0</v>
      </c>
      <c r="O553" t="n">
        <v>0</v>
      </c>
      <c r="P553" t="n">
        <v>0</v>
      </c>
      <c r="Q553" t="n">
        <v>0</v>
      </c>
      <c r="R553" s="2" t="inlineStr"/>
    </row>
    <row r="554" ht="15" customHeight="1">
      <c r="A554" t="inlineStr">
        <is>
          <t>A 60682-2021</t>
        </is>
      </c>
      <c r="B554" s="1" t="n">
        <v>44496</v>
      </c>
      <c r="C554" s="1" t="n">
        <v>45628</v>
      </c>
      <c r="D554" t="inlineStr">
        <is>
          <t>VÄRMLANDS LÄN</t>
        </is>
      </c>
      <c r="E554" t="inlineStr">
        <is>
          <t>ÅRJÄNG</t>
        </is>
      </c>
      <c r="G554" t="n">
        <v>15.7</v>
      </c>
      <c r="H554" t="n">
        <v>0</v>
      </c>
      <c r="I554" t="n">
        <v>0</v>
      </c>
      <c r="J554" t="n">
        <v>0</v>
      </c>
      <c r="K554" t="n">
        <v>0</v>
      </c>
      <c r="L554" t="n">
        <v>0</v>
      </c>
      <c r="M554" t="n">
        <v>0</v>
      </c>
      <c r="N554" t="n">
        <v>0</v>
      </c>
      <c r="O554" t="n">
        <v>0</v>
      </c>
      <c r="P554" t="n">
        <v>0</v>
      </c>
      <c r="Q554" t="n">
        <v>0</v>
      </c>
      <c r="R554" s="2" t="inlineStr"/>
    </row>
    <row r="555" ht="15" customHeight="1">
      <c r="A555" t="inlineStr">
        <is>
          <t>A 60713-2021</t>
        </is>
      </c>
      <c r="B555" s="1" t="n">
        <v>44496</v>
      </c>
      <c r="C555" s="1" t="n">
        <v>45628</v>
      </c>
      <c r="D555" t="inlineStr">
        <is>
          <t>VÄRMLANDS LÄN</t>
        </is>
      </c>
      <c r="E555" t="inlineStr">
        <is>
          <t>ÅRJÄNG</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61252-2021</t>
        </is>
      </c>
      <c r="B556" s="1" t="n">
        <v>44496</v>
      </c>
      <c r="C556" s="1" t="n">
        <v>45628</v>
      </c>
      <c r="D556" t="inlineStr">
        <is>
          <t>VÄRMLANDS LÄN</t>
        </is>
      </c>
      <c r="E556" t="inlineStr">
        <is>
          <t>ÅRJÄNG</t>
        </is>
      </c>
      <c r="G556" t="n">
        <v>1</v>
      </c>
      <c r="H556" t="n">
        <v>0</v>
      </c>
      <c r="I556" t="n">
        <v>0</v>
      </c>
      <c r="J556" t="n">
        <v>0</v>
      </c>
      <c r="K556" t="n">
        <v>0</v>
      </c>
      <c r="L556" t="n">
        <v>0</v>
      </c>
      <c r="M556" t="n">
        <v>0</v>
      </c>
      <c r="N556" t="n">
        <v>0</v>
      </c>
      <c r="O556" t="n">
        <v>0</v>
      </c>
      <c r="P556" t="n">
        <v>0</v>
      </c>
      <c r="Q556" t="n">
        <v>0</v>
      </c>
      <c r="R556" s="2" t="inlineStr"/>
    </row>
    <row r="557" ht="15" customHeight="1">
      <c r="A557" t="inlineStr">
        <is>
          <t>A 61240-2021</t>
        </is>
      </c>
      <c r="B557" s="1" t="n">
        <v>44496</v>
      </c>
      <c r="C557" s="1" t="n">
        <v>45628</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61254-2021</t>
        </is>
      </c>
      <c r="B558" s="1" t="n">
        <v>44496</v>
      </c>
      <c r="C558" s="1" t="n">
        <v>45628</v>
      </c>
      <c r="D558" t="inlineStr">
        <is>
          <t>VÄRMLANDS LÄN</t>
        </is>
      </c>
      <c r="E558" t="inlineStr">
        <is>
          <t>ÅRJÄNG</t>
        </is>
      </c>
      <c r="G558" t="n">
        <v>4</v>
      </c>
      <c r="H558" t="n">
        <v>0</v>
      </c>
      <c r="I558" t="n">
        <v>0</v>
      </c>
      <c r="J558" t="n">
        <v>0</v>
      </c>
      <c r="K558" t="n">
        <v>0</v>
      </c>
      <c r="L558" t="n">
        <v>0</v>
      </c>
      <c r="M558" t="n">
        <v>0</v>
      </c>
      <c r="N558" t="n">
        <v>0</v>
      </c>
      <c r="O558" t="n">
        <v>0</v>
      </c>
      <c r="P558" t="n">
        <v>0</v>
      </c>
      <c r="Q558" t="n">
        <v>0</v>
      </c>
      <c r="R558" s="2" t="inlineStr"/>
    </row>
    <row r="559" ht="15" customHeight="1">
      <c r="A559" t="inlineStr">
        <is>
          <t>A 61158-2021</t>
        </is>
      </c>
      <c r="B559" s="1" t="n">
        <v>44497</v>
      </c>
      <c r="C559" s="1" t="n">
        <v>45628</v>
      </c>
      <c r="D559" t="inlineStr">
        <is>
          <t>VÄRMLANDS LÄN</t>
        </is>
      </c>
      <c r="E559" t="inlineStr">
        <is>
          <t>ÅRJÄNG</t>
        </is>
      </c>
      <c r="G559" t="n">
        <v>4.1</v>
      </c>
      <c r="H559" t="n">
        <v>0</v>
      </c>
      <c r="I559" t="n">
        <v>0</v>
      </c>
      <c r="J559" t="n">
        <v>0</v>
      </c>
      <c r="K559" t="n">
        <v>0</v>
      </c>
      <c r="L559" t="n">
        <v>0</v>
      </c>
      <c r="M559" t="n">
        <v>0</v>
      </c>
      <c r="N559" t="n">
        <v>0</v>
      </c>
      <c r="O559" t="n">
        <v>0</v>
      </c>
      <c r="P559" t="n">
        <v>0</v>
      </c>
      <c r="Q559" t="n">
        <v>0</v>
      </c>
      <c r="R559" s="2" t="inlineStr"/>
    </row>
    <row r="560" ht="15" customHeight="1">
      <c r="A560" t="inlineStr">
        <is>
          <t>A 61126-2021</t>
        </is>
      </c>
      <c r="B560" s="1" t="n">
        <v>44497</v>
      </c>
      <c r="C560" s="1" t="n">
        <v>45628</v>
      </c>
      <c r="D560" t="inlineStr">
        <is>
          <t>VÄRMLANDS LÄN</t>
        </is>
      </c>
      <c r="E560" t="inlineStr">
        <is>
          <t>ÅRJÄNG</t>
        </is>
      </c>
      <c r="G560" t="n">
        <v>9.6</v>
      </c>
      <c r="H560" t="n">
        <v>0</v>
      </c>
      <c r="I560" t="n">
        <v>0</v>
      </c>
      <c r="J560" t="n">
        <v>0</v>
      </c>
      <c r="K560" t="n">
        <v>0</v>
      </c>
      <c r="L560" t="n">
        <v>0</v>
      </c>
      <c r="M560" t="n">
        <v>0</v>
      </c>
      <c r="N560" t="n">
        <v>0</v>
      </c>
      <c r="O560" t="n">
        <v>0</v>
      </c>
      <c r="P560" t="n">
        <v>0</v>
      </c>
      <c r="Q560" t="n">
        <v>0</v>
      </c>
      <c r="R560" s="2" t="inlineStr"/>
    </row>
    <row r="561" ht="15" customHeight="1">
      <c r="A561" t="inlineStr">
        <is>
          <t>A 61154-2021</t>
        </is>
      </c>
      <c r="B561" s="1" t="n">
        <v>44497</v>
      </c>
      <c r="C561" s="1" t="n">
        <v>45628</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61114-2021</t>
        </is>
      </c>
      <c r="B562" s="1" t="n">
        <v>44497</v>
      </c>
      <c r="C562" s="1" t="n">
        <v>45628</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60930-2021</t>
        </is>
      </c>
      <c r="B563" s="1" t="n">
        <v>44497</v>
      </c>
      <c r="C563" s="1" t="n">
        <v>45628</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61143-2021</t>
        </is>
      </c>
      <c r="B564" s="1" t="n">
        <v>44498</v>
      </c>
      <c r="C564" s="1" t="n">
        <v>45628</v>
      </c>
      <c r="D564" t="inlineStr">
        <is>
          <t>VÄRMLANDS LÄN</t>
        </is>
      </c>
      <c r="E564" t="inlineStr">
        <is>
          <t>ÅRJÄNG</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61121-2021</t>
        </is>
      </c>
      <c r="B565" s="1" t="n">
        <v>44498</v>
      </c>
      <c r="C565" s="1" t="n">
        <v>45628</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61129-2021</t>
        </is>
      </c>
      <c r="B566" s="1" t="n">
        <v>44498</v>
      </c>
      <c r="C566" s="1" t="n">
        <v>45628</v>
      </c>
      <c r="D566" t="inlineStr">
        <is>
          <t>VÄRMLANDS LÄN</t>
        </is>
      </c>
      <c r="E566" t="inlineStr">
        <is>
          <t>ÅRJÄNG</t>
        </is>
      </c>
      <c r="G566" t="n">
        <v>0.5</v>
      </c>
      <c r="H566" t="n">
        <v>0</v>
      </c>
      <c r="I566" t="n">
        <v>0</v>
      </c>
      <c r="J566" t="n">
        <v>0</v>
      </c>
      <c r="K566" t="n">
        <v>0</v>
      </c>
      <c r="L566" t="n">
        <v>0</v>
      </c>
      <c r="M566" t="n">
        <v>0</v>
      </c>
      <c r="N566" t="n">
        <v>0</v>
      </c>
      <c r="O566" t="n">
        <v>0</v>
      </c>
      <c r="P566" t="n">
        <v>0</v>
      </c>
      <c r="Q566" t="n">
        <v>0</v>
      </c>
      <c r="R566" s="2" t="inlineStr"/>
    </row>
    <row r="567" ht="15" customHeight="1">
      <c r="A567" t="inlineStr">
        <is>
          <t>A 61330-2021</t>
        </is>
      </c>
      <c r="B567" s="1" t="n">
        <v>44498</v>
      </c>
      <c r="C567" s="1" t="n">
        <v>45628</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62110-2021</t>
        </is>
      </c>
      <c r="B568" s="1" t="n">
        <v>44502</v>
      </c>
      <c r="C568" s="1" t="n">
        <v>45628</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62357-2021</t>
        </is>
      </c>
      <c r="B569" s="1" t="n">
        <v>44503</v>
      </c>
      <c r="C569" s="1" t="n">
        <v>45628</v>
      </c>
      <c r="D569" t="inlineStr">
        <is>
          <t>VÄRMLANDS LÄN</t>
        </is>
      </c>
      <c r="E569" t="inlineStr">
        <is>
          <t>ÅRJÄNG</t>
        </is>
      </c>
      <c r="G569" t="n">
        <v>1.9</v>
      </c>
      <c r="H569" t="n">
        <v>0</v>
      </c>
      <c r="I569" t="n">
        <v>0</v>
      </c>
      <c r="J569" t="n">
        <v>0</v>
      </c>
      <c r="K569" t="n">
        <v>0</v>
      </c>
      <c r="L569" t="n">
        <v>0</v>
      </c>
      <c r="M569" t="n">
        <v>0</v>
      </c>
      <c r="N569" t="n">
        <v>0</v>
      </c>
      <c r="O569" t="n">
        <v>0</v>
      </c>
      <c r="P569" t="n">
        <v>0</v>
      </c>
      <c r="Q569" t="n">
        <v>0</v>
      </c>
      <c r="R569" s="2" t="inlineStr"/>
    </row>
    <row r="570" ht="15" customHeight="1">
      <c r="A570" t="inlineStr">
        <is>
          <t>A 62289-2021</t>
        </is>
      </c>
      <c r="B570" s="1" t="n">
        <v>44503</v>
      </c>
      <c r="C570" s="1" t="n">
        <v>45628</v>
      </c>
      <c r="D570" t="inlineStr">
        <is>
          <t>VÄRMLANDS LÄN</t>
        </is>
      </c>
      <c r="E570" t="inlineStr">
        <is>
          <t>ÅRJÄNG</t>
        </is>
      </c>
      <c r="G570" t="n">
        <v>0.3</v>
      </c>
      <c r="H570" t="n">
        <v>0</v>
      </c>
      <c r="I570" t="n">
        <v>0</v>
      </c>
      <c r="J570" t="n">
        <v>0</v>
      </c>
      <c r="K570" t="n">
        <v>0</v>
      </c>
      <c r="L570" t="n">
        <v>0</v>
      </c>
      <c r="M570" t="n">
        <v>0</v>
      </c>
      <c r="N570" t="n">
        <v>0</v>
      </c>
      <c r="O570" t="n">
        <v>0</v>
      </c>
      <c r="P570" t="n">
        <v>0</v>
      </c>
      <c r="Q570" t="n">
        <v>0</v>
      </c>
      <c r="R570" s="2" t="inlineStr"/>
    </row>
    <row r="571" ht="15" customHeight="1">
      <c r="A571" t="inlineStr">
        <is>
          <t>A 62900-2021</t>
        </is>
      </c>
      <c r="B571" s="1" t="n">
        <v>44504</v>
      </c>
      <c r="C571" s="1" t="n">
        <v>45628</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62901-2021</t>
        </is>
      </c>
      <c r="B572" s="1" t="n">
        <v>44504</v>
      </c>
      <c r="C572" s="1" t="n">
        <v>45628</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62984-2021</t>
        </is>
      </c>
      <c r="B573" s="1" t="n">
        <v>44505</v>
      </c>
      <c r="C573" s="1" t="n">
        <v>45628</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63199-2021</t>
        </is>
      </c>
      <c r="B574" s="1" t="n">
        <v>44507</v>
      </c>
      <c r="C574" s="1" t="n">
        <v>45628</v>
      </c>
      <c r="D574" t="inlineStr">
        <is>
          <t>VÄRMLANDS LÄN</t>
        </is>
      </c>
      <c r="E574" t="inlineStr">
        <is>
          <t>ÅRJÄNG</t>
        </is>
      </c>
      <c r="G574" t="n">
        <v>5.5</v>
      </c>
      <c r="H574" t="n">
        <v>0</v>
      </c>
      <c r="I574" t="n">
        <v>0</v>
      </c>
      <c r="J574" t="n">
        <v>0</v>
      </c>
      <c r="K574" t="n">
        <v>0</v>
      </c>
      <c r="L574" t="n">
        <v>0</v>
      </c>
      <c r="M574" t="n">
        <v>0</v>
      </c>
      <c r="N574" t="n">
        <v>0</v>
      </c>
      <c r="O574" t="n">
        <v>0</v>
      </c>
      <c r="P574" t="n">
        <v>0</v>
      </c>
      <c r="Q574" t="n">
        <v>0</v>
      </c>
      <c r="R574" s="2" t="inlineStr"/>
    </row>
    <row r="575" ht="15" customHeight="1">
      <c r="A575" t="inlineStr">
        <is>
          <t>A 63205-2021</t>
        </is>
      </c>
      <c r="B575" s="1" t="n">
        <v>44507</v>
      </c>
      <c r="C575" s="1" t="n">
        <v>45628</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63203-2021</t>
        </is>
      </c>
      <c r="B576" s="1" t="n">
        <v>44507</v>
      </c>
      <c r="C576" s="1" t="n">
        <v>45628</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63881-2021</t>
        </is>
      </c>
      <c r="B577" s="1" t="n">
        <v>44509</v>
      </c>
      <c r="C577" s="1" t="n">
        <v>45628</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63796-2021</t>
        </is>
      </c>
      <c r="B578" s="1" t="n">
        <v>44509</v>
      </c>
      <c r="C578" s="1" t="n">
        <v>45628</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63885-2021</t>
        </is>
      </c>
      <c r="B579" s="1" t="n">
        <v>44509</v>
      </c>
      <c r="C579" s="1" t="n">
        <v>45628</v>
      </c>
      <c r="D579" t="inlineStr">
        <is>
          <t>VÄRMLANDS LÄN</t>
        </is>
      </c>
      <c r="E579" t="inlineStr">
        <is>
          <t>ÅRJÄNG</t>
        </is>
      </c>
      <c r="G579" t="n">
        <v>8</v>
      </c>
      <c r="H579" t="n">
        <v>0</v>
      </c>
      <c r="I579" t="n">
        <v>0</v>
      </c>
      <c r="J579" t="n">
        <v>0</v>
      </c>
      <c r="K579" t="n">
        <v>0</v>
      </c>
      <c r="L579" t="n">
        <v>0</v>
      </c>
      <c r="M579" t="n">
        <v>0</v>
      </c>
      <c r="N579" t="n">
        <v>0</v>
      </c>
      <c r="O579" t="n">
        <v>0</v>
      </c>
      <c r="P579" t="n">
        <v>0</v>
      </c>
      <c r="Q579" t="n">
        <v>0</v>
      </c>
      <c r="R579" s="2" t="inlineStr"/>
    </row>
    <row r="580" ht="15" customHeight="1">
      <c r="A580" t="inlineStr">
        <is>
          <t>A 64082-2021</t>
        </is>
      </c>
      <c r="B580" s="1" t="n">
        <v>44510</v>
      </c>
      <c r="C580" s="1" t="n">
        <v>45628</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64785-2021</t>
        </is>
      </c>
      <c r="B581" s="1" t="n">
        <v>44512</v>
      </c>
      <c r="C581" s="1" t="n">
        <v>45628</v>
      </c>
      <c r="D581" t="inlineStr">
        <is>
          <t>VÄRMLANDS LÄN</t>
        </is>
      </c>
      <c r="E581" t="inlineStr">
        <is>
          <t>ÅRJÄNG</t>
        </is>
      </c>
      <c r="G581" t="n">
        <v>9.6</v>
      </c>
      <c r="H581" t="n">
        <v>0</v>
      </c>
      <c r="I581" t="n">
        <v>0</v>
      </c>
      <c r="J581" t="n">
        <v>0</v>
      </c>
      <c r="K581" t="n">
        <v>0</v>
      </c>
      <c r="L581" t="n">
        <v>0</v>
      </c>
      <c r="M581" t="n">
        <v>0</v>
      </c>
      <c r="N581" t="n">
        <v>0</v>
      </c>
      <c r="O581" t="n">
        <v>0</v>
      </c>
      <c r="P581" t="n">
        <v>0</v>
      </c>
      <c r="Q581" t="n">
        <v>0</v>
      </c>
      <c r="R581" s="2" t="inlineStr"/>
    </row>
    <row r="582" ht="15" customHeight="1">
      <c r="A582" t="inlineStr">
        <is>
          <t>A 65476-2021</t>
        </is>
      </c>
      <c r="B582" s="1" t="n">
        <v>44516</v>
      </c>
      <c r="C582" s="1" t="n">
        <v>45628</v>
      </c>
      <c r="D582" t="inlineStr">
        <is>
          <t>VÄRMLANDS LÄN</t>
        </is>
      </c>
      <c r="E582" t="inlineStr">
        <is>
          <t>ÅRJÄNG</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65837-2021</t>
        </is>
      </c>
      <c r="B583" s="1" t="n">
        <v>44517</v>
      </c>
      <c r="C583" s="1" t="n">
        <v>45628</v>
      </c>
      <c r="D583" t="inlineStr">
        <is>
          <t>VÄRMLANDS LÄN</t>
        </is>
      </c>
      <c r="E583" t="inlineStr">
        <is>
          <t>ÅRJÄNG</t>
        </is>
      </c>
      <c r="G583" t="n">
        <v>6.8</v>
      </c>
      <c r="H583" t="n">
        <v>0</v>
      </c>
      <c r="I583" t="n">
        <v>0</v>
      </c>
      <c r="J583" t="n">
        <v>0</v>
      </c>
      <c r="K583" t="n">
        <v>0</v>
      </c>
      <c r="L583" t="n">
        <v>0</v>
      </c>
      <c r="M583" t="n">
        <v>0</v>
      </c>
      <c r="N583" t="n">
        <v>0</v>
      </c>
      <c r="O583" t="n">
        <v>0</v>
      </c>
      <c r="P583" t="n">
        <v>0</v>
      </c>
      <c r="Q583" t="n">
        <v>0</v>
      </c>
      <c r="R583" s="2" t="inlineStr"/>
    </row>
    <row r="584" ht="15" customHeight="1">
      <c r="A584" t="inlineStr">
        <is>
          <t>A 65854-2021</t>
        </is>
      </c>
      <c r="B584" s="1" t="n">
        <v>44517</v>
      </c>
      <c r="C584" s="1" t="n">
        <v>45628</v>
      </c>
      <c r="D584" t="inlineStr">
        <is>
          <t>VÄRMLANDS LÄN</t>
        </is>
      </c>
      <c r="E584" t="inlineStr">
        <is>
          <t>ÅRJÄNG</t>
        </is>
      </c>
      <c r="G584" t="n">
        <v>11.1</v>
      </c>
      <c r="H584" t="n">
        <v>0</v>
      </c>
      <c r="I584" t="n">
        <v>0</v>
      </c>
      <c r="J584" t="n">
        <v>0</v>
      </c>
      <c r="K584" t="n">
        <v>0</v>
      </c>
      <c r="L584" t="n">
        <v>0</v>
      </c>
      <c r="M584" t="n">
        <v>0</v>
      </c>
      <c r="N584" t="n">
        <v>0</v>
      </c>
      <c r="O584" t="n">
        <v>0</v>
      </c>
      <c r="P584" t="n">
        <v>0</v>
      </c>
      <c r="Q584" t="n">
        <v>0</v>
      </c>
      <c r="R584" s="2" t="inlineStr"/>
    </row>
    <row r="585" ht="15" customHeight="1">
      <c r="A585" t="inlineStr">
        <is>
          <t>A 65844-2021</t>
        </is>
      </c>
      <c r="B585" s="1" t="n">
        <v>44517</v>
      </c>
      <c r="C585" s="1" t="n">
        <v>45628</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65849-2021</t>
        </is>
      </c>
      <c r="B586" s="1" t="n">
        <v>44517</v>
      </c>
      <c r="C586" s="1" t="n">
        <v>45628</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65862-2021</t>
        </is>
      </c>
      <c r="B587" s="1" t="n">
        <v>44517</v>
      </c>
      <c r="C587" s="1" t="n">
        <v>45628</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65979-2021</t>
        </is>
      </c>
      <c r="B588" s="1" t="n">
        <v>44517</v>
      </c>
      <c r="C588" s="1" t="n">
        <v>45628</v>
      </c>
      <c r="D588" t="inlineStr">
        <is>
          <t>VÄRMLANDS LÄN</t>
        </is>
      </c>
      <c r="E588" t="inlineStr">
        <is>
          <t>ÅRJÄNG</t>
        </is>
      </c>
      <c r="G588" t="n">
        <v>5.1</v>
      </c>
      <c r="H588" t="n">
        <v>0</v>
      </c>
      <c r="I588" t="n">
        <v>0</v>
      </c>
      <c r="J588" t="n">
        <v>0</v>
      </c>
      <c r="K588" t="n">
        <v>0</v>
      </c>
      <c r="L588" t="n">
        <v>0</v>
      </c>
      <c r="M588" t="n">
        <v>0</v>
      </c>
      <c r="N588" t="n">
        <v>0</v>
      </c>
      <c r="O588" t="n">
        <v>0</v>
      </c>
      <c r="P588" t="n">
        <v>0</v>
      </c>
      <c r="Q588" t="n">
        <v>0</v>
      </c>
      <c r="R588" s="2" t="inlineStr"/>
    </row>
    <row r="589" ht="15" customHeight="1">
      <c r="A589" t="inlineStr">
        <is>
          <t>A 66599-2021</t>
        </is>
      </c>
      <c r="B589" s="1" t="n">
        <v>44519</v>
      </c>
      <c r="C589" s="1" t="n">
        <v>45628</v>
      </c>
      <c r="D589" t="inlineStr">
        <is>
          <t>VÄRMLANDS LÄN</t>
        </is>
      </c>
      <c r="E589" t="inlineStr">
        <is>
          <t>ÅRJÄNG</t>
        </is>
      </c>
      <c r="G589" t="n">
        <v>0.5</v>
      </c>
      <c r="H589" t="n">
        <v>0</v>
      </c>
      <c r="I589" t="n">
        <v>0</v>
      </c>
      <c r="J589" t="n">
        <v>0</v>
      </c>
      <c r="K589" t="n">
        <v>0</v>
      </c>
      <c r="L589" t="n">
        <v>0</v>
      </c>
      <c r="M589" t="n">
        <v>0</v>
      </c>
      <c r="N589" t="n">
        <v>0</v>
      </c>
      <c r="O589" t="n">
        <v>0</v>
      </c>
      <c r="P589" t="n">
        <v>0</v>
      </c>
      <c r="Q589" t="n">
        <v>0</v>
      </c>
      <c r="R589" s="2" t="inlineStr"/>
    </row>
    <row r="590" ht="15" customHeight="1">
      <c r="A590" t="inlineStr">
        <is>
          <t>A 66898-2021</t>
        </is>
      </c>
      <c r="B590" s="1" t="n">
        <v>44522</v>
      </c>
      <c r="C590" s="1" t="n">
        <v>45628</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66883-2021</t>
        </is>
      </c>
      <c r="B591" s="1" t="n">
        <v>44522</v>
      </c>
      <c r="C591" s="1" t="n">
        <v>45628</v>
      </c>
      <c r="D591" t="inlineStr">
        <is>
          <t>VÄRMLANDS LÄN</t>
        </is>
      </c>
      <c r="E591" t="inlineStr">
        <is>
          <t>ÅRJÄNG</t>
        </is>
      </c>
      <c r="G591" t="n">
        <v>14.9</v>
      </c>
      <c r="H591" t="n">
        <v>0</v>
      </c>
      <c r="I591" t="n">
        <v>0</v>
      </c>
      <c r="J591" t="n">
        <v>0</v>
      </c>
      <c r="K591" t="n">
        <v>0</v>
      </c>
      <c r="L591" t="n">
        <v>0</v>
      </c>
      <c r="M591" t="n">
        <v>0</v>
      </c>
      <c r="N591" t="n">
        <v>0</v>
      </c>
      <c r="O591" t="n">
        <v>0</v>
      </c>
      <c r="P591" t="n">
        <v>0</v>
      </c>
      <c r="Q591" t="n">
        <v>0</v>
      </c>
      <c r="R591" s="2" t="inlineStr"/>
    </row>
    <row r="592" ht="15" customHeight="1">
      <c r="A592" t="inlineStr">
        <is>
          <t>A 66903-2021</t>
        </is>
      </c>
      <c r="B592" s="1" t="n">
        <v>44522</v>
      </c>
      <c r="C592" s="1" t="n">
        <v>45628</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66846-2021</t>
        </is>
      </c>
      <c r="B593" s="1" t="n">
        <v>44522</v>
      </c>
      <c r="C593" s="1" t="n">
        <v>45628</v>
      </c>
      <c r="D593" t="inlineStr">
        <is>
          <t>VÄRMLANDS LÄN</t>
        </is>
      </c>
      <c r="E593" t="inlineStr">
        <is>
          <t>ÅRJÄNG</t>
        </is>
      </c>
      <c r="G593" t="n">
        <v>8.4</v>
      </c>
      <c r="H593" t="n">
        <v>0</v>
      </c>
      <c r="I593" t="n">
        <v>0</v>
      </c>
      <c r="J593" t="n">
        <v>0</v>
      </c>
      <c r="K593" t="n">
        <v>0</v>
      </c>
      <c r="L593" t="n">
        <v>0</v>
      </c>
      <c r="M593" t="n">
        <v>0</v>
      </c>
      <c r="N593" t="n">
        <v>0</v>
      </c>
      <c r="O593" t="n">
        <v>0</v>
      </c>
      <c r="P593" t="n">
        <v>0</v>
      </c>
      <c r="Q593" t="n">
        <v>0</v>
      </c>
      <c r="R593" s="2" t="inlineStr"/>
    </row>
    <row r="594" ht="15" customHeight="1">
      <c r="A594" t="inlineStr">
        <is>
          <t>A 66892-2021</t>
        </is>
      </c>
      <c r="B594" s="1" t="n">
        <v>44522</v>
      </c>
      <c r="C594" s="1" t="n">
        <v>45628</v>
      </c>
      <c r="D594" t="inlineStr">
        <is>
          <t>VÄRMLANDS LÄN</t>
        </is>
      </c>
      <c r="E594" t="inlineStr">
        <is>
          <t>ÅRJÄNG</t>
        </is>
      </c>
      <c r="G594" t="n">
        <v>1.5</v>
      </c>
      <c r="H594" t="n">
        <v>0</v>
      </c>
      <c r="I594" t="n">
        <v>0</v>
      </c>
      <c r="J594" t="n">
        <v>0</v>
      </c>
      <c r="K594" t="n">
        <v>0</v>
      </c>
      <c r="L594" t="n">
        <v>0</v>
      </c>
      <c r="M594" t="n">
        <v>0</v>
      </c>
      <c r="N594" t="n">
        <v>0</v>
      </c>
      <c r="O594" t="n">
        <v>0</v>
      </c>
      <c r="P594" t="n">
        <v>0</v>
      </c>
      <c r="Q594" t="n">
        <v>0</v>
      </c>
      <c r="R594" s="2" t="inlineStr"/>
    </row>
    <row r="595" ht="15" customHeight="1">
      <c r="A595" t="inlineStr">
        <is>
          <t>A 66910-2021</t>
        </is>
      </c>
      <c r="B595" s="1" t="n">
        <v>44522</v>
      </c>
      <c r="C595" s="1" t="n">
        <v>45628</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67015-2021</t>
        </is>
      </c>
      <c r="B596" s="1" t="n">
        <v>44522</v>
      </c>
      <c r="C596" s="1" t="n">
        <v>45628</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67023-2021</t>
        </is>
      </c>
      <c r="B597" s="1" t="n">
        <v>44522</v>
      </c>
      <c r="C597" s="1" t="n">
        <v>45628</v>
      </c>
      <c r="D597" t="inlineStr">
        <is>
          <t>VÄRMLANDS LÄN</t>
        </is>
      </c>
      <c r="E597" t="inlineStr">
        <is>
          <t>ÅRJÄNG</t>
        </is>
      </c>
      <c r="G597" t="n">
        <v>4.7</v>
      </c>
      <c r="H597" t="n">
        <v>0</v>
      </c>
      <c r="I597" t="n">
        <v>0</v>
      </c>
      <c r="J597" t="n">
        <v>0</v>
      </c>
      <c r="K597" t="n">
        <v>0</v>
      </c>
      <c r="L597" t="n">
        <v>0</v>
      </c>
      <c r="M597" t="n">
        <v>0</v>
      </c>
      <c r="N597" t="n">
        <v>0</v>
      </c>
      <c r="O597" t="n">
        <v>0</v>
      </c>
      <c r="P597" t="n">
        <v>0</v>
      </c>
      <c r="Q597" t="n">
        <v>0</v>
      </c>
      <c r="R597" s="2" t="inlineStr"/>
    </row>
    <row r="598" ht="15" customHeight="1">
      <c r="A598" t="inlineStr">
        <is>
          <t>A 68180-2021</t>
        </is>
      </c>
      <c r="B598" s="1" t="n">
        <v>44526</v>
      </c>
      <c r="C598" s="1" t="n">
        <v>45628</v>
      </c>
      <c r="D598" t="inlineStr">
        <is>
          <t>VÄRMLANDS LÄN</t>
        </is>
      </c>
      <c r="E598" t="inlineStr">
        <is>
          <t>ÅRJÄNG</t>
        </is>
      </c>
      <c r="F598" t="inlineStr">
        <is>
          <t>Kyrkan</t>
        </is>
      </c>
      <c r="G598" t="n">
        <v>4.1</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v>
      </c>
      <c r="C599" s="1" t="n">
        <v>45628</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68917-2021</t>
        </is>
      </c>
      <c r="B600" s="1" t="n">
        <v>44530</v>
      </c>
      <c r="C600" s="1" t="n">
        <v>45628</v>
      </c>
      <c r="D600" t="inlineStr">
        <is>
          <t>VÄRMLANDS LÄN</t>
        </is>
      </c>
      <c r="E600" t="inlineStr">
        <is>
          <t>ÅRJÄNG</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69024-2021</t>
        </is>
      </c>
      <c r="B601" s="1" t="n">
        <v>44530</v>
      </c>
      <c r="C601" s="1" t="n">
        <v>45628</v>
      </c>
      <c r="D601" t="inlineStr">
        <is>
          <t>VÄRMLANDS LÄN</t>
        </is>
      </c>
      <c r="E601" t="inlineStr">
        <is>
          <t>ÅRJÄNG</t>
        </is>
      </c>
      <c r="G601" t="n">
        <v>0.3</v>
      </c>
      <c r="H601" t="n">
        <v>0</v>
      </c>
      <c r="I601" t="n">
        <v>0</v>
      </c>
      <c r="J601" t="n">
        <v>0</v>
      </c>
      <c r="K601" t="n">
        <v>0</v>
      </c>
      <c r="L601" t="n">
        <v>0</v>
      </c>
      <c r="M601" t="n">
        <v>0</v>
      </c>
      <c r="N601" t="n">
        <v>0</v>
      </c>
      <c r="O601" t="n">
        <v>0</v>
      </c>
      <c r="P601" t="n">
        <v>0</v>
      </c>
      <c r="Q601" t="n">
        <v>0</v>
      </c>
      <c r="R601" s="2" t="inlineStr"/>
    </row>
    <row r="602" ht="15" customHeight="1">
      <c r="A602" t="inlineStr">
        <is>
          <t>A 69417-2021</t>
        </is>
      </c>
      <c r="B602" s="1" t="n">
        <v>44531</v>
      </c>
      <c r="C602" s="1" t="n">
        <v>45628</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69839-2021</t>
        </is>
      </c>
      <c r="B603" s="1" t="n">
        <v>44532</v>
      </c>
      <c r="C603" s="1" t="n">
        <v>45628</v>
      </c>
      <c r="D603" t="inlineStr">
        <is>
          <t>VÄRMLANDS LÄN</t>
        </is>
      </c>
      <c r="E603" t="inlineStr">
        <is>
          <t>ÅRJÄNG</t>
        </is>
      </c>
      <c r="G603" t="n">
        <v>3.1</v>
      </c>
      <c r="H603" t="n">
        <v>0</v>
      </c>
      <c r="I603" t="n">
        <v>0</v>
      </c>
      <c r="J603" t="n">
        <v>0</v>
      </c>
      <c r="K603" t="n">
        <v>0</v>
      </c>
      <c r="L603" t="n">
        <v>0</v>
      </c>
      <c r="M603" t="n">
        <v>0</v>
      </c>
      <c r="N603" t="n">
        <v>0</v>
      </c>
      <c r="O603" t="n">
        <v>0</v>
      </c>
      <c r="P603" t="n">
        <v>0</v>
      </c>
      <c r="Q603" t="n">
        <v>0</v>
      </c>
      <c r="R603" s="2" t="inlineStr"/>
    </row>
    <row r="604" ht="15" customHeight="1">
      <c r="A604" t="inlineStr">
        <is>
          <t>A 69862-2021</t>
        </is>
      </c>
      <c r="B604" s="1" t="n">
        <v>44532</v>
      </c>
      <c r="C604" s="1" t="n">
        <v>45628</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70461-2021</t>
        </is>
      </c>
      <c r="B605" s="1" t="n">
        <v>44536</v>
      </c>
      <c r="C605" s="1" t="n">
        <v>45628</v>
      </c>
      <c r="D605" t="inlineStr">
        <is>
          <t>VÄRMLANDS LÄN</t>
        </is>
      </c>
      <c r="E605" t="inlineStr">
        <is>
          <t>ÅRJÄNG</t>
        </is>
      </c>
      <c r="G605" t="n">
        <v>3.8</v>
      </c>
      <c r="H605" t="n">
        <v>0</v>
      </c>
      <c r="I605" t="n">
        <v>0</v>
      </c>
      <c r="J605" t="n">
        <v>0</v>
      </c>
      <c r="K605" t="n">
        <v>0</v>
      </c>
      <c r="L605" t="n">
        <v>0</v>
      </c>
      <c r="M605" t="n">
        <v>0</v>
      </c>
      <c r="N605" t="n">
        <v>0</v>
      </c>
      <c r="O605" t="n">
        <v>0</v>
      </c>
      <c r="P605" t="n">
        <v>0</v>
      </c>
      <c r="Q605" t="n">
        <v>0</v>
      </c>
      <c r="R605" s="2" t="inlineStr"/>
    </row>
    <row r="606" ht="15" customHeight="1">
      <c r="A606" t="inlineStr">
        <is>
          <t>A 70591-2021</t>
        </is>
      </c>
      <c r="B606" s="1" t="n">
        <v>44537</v>
      </c>
      <c r="C606" s="1" t="n">
        <v>45628</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71159-2021</t>
        </is>
      </c>
      <c r="B607" s="1" t="n">
        <v>44537</v>
      </c>
      <c r="C607" s="1" t="n">
        <v>45628</v>
      </c>
      <c r="D607" t="inlineStr">
        <is>
          <t>VÄRMLANDS LÄN</t>
        </is>
      </c>
      <c r="E607" t="inlineStr">
        <is>
          <t>ÅRJÄNG</t>
        </is>
      </c>
      <c r="G607" t="n">
        <v>6</v>
      </c>
      <c r="H607" t="n">
        <v>0</v>
      </c>
      <c r="I607" t="n">
        <v>0</v>
      </c>
      <c r="J607" t="n">
        <v>0</v>
      </c>
      <c r="K607" t="n">
        <v>0</v>
      </c>
      <c r="L607" t="n">
        <v>0</v>
      </c>
      <c r="M607" t="n">
        <v>0</v>
      </c>
      <c r="N607" t="n">
        <v>0</v>
      </c>
      <c r="O607" t="n">
        <v>0</v>
      </c>
      <c r="P607" t="n">
        <v>0</v>
      </c>
      <c r="Q607" t="n">
        <v>0</v>
      </c>
      <c r="R607" s="2" t="inlineStr"/>
    </row>
    <row r="608" ht="15" customHeight="1">
      <c r="A608" t="inlineStr">
        <is>
          <t>A 70883-2021</t>
        </is>
      </c>
      <c r="B608" s="1" t="n">
        <v>44538</v>
      </c>
      <c r="C608" s="1" t="n">
        <v>45628</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71812-2021</t>
        </is>
      </c>
      <c r="B609" s="1" t="n">
        <v>44539</v>
      </c>
      <c r="C609" s="1" t="n">
        <v>45628</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71809-2021</t>
        </is>
      </c>
      <c r="B610" s="1" t="n">
        <v>44539</v>
      </c>
      <c r="C610" s="1" t="n">
        <v>45628</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71472-2021</t>
        </is>
      </c>
      <c r="B611" s="1" t="n">
        <v>44540</v>
      </c>
      <c r="C611" s="1" t="n">
        <v>45628</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71492-2021</t>
        </is>
      </c>
      <c r="B612" s="1" t="n">
        <v>44540</v>
      </c>
      <c r="C612" s="1" t="n">
        <v>45628</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71819-2021</t>
        </is>
      </c>
      <c r="B613" s="1" t="n">
        <v>44540</v>
      </c>
      <c r="C613" s="1" t="n">
        <v>45628</v>
      </c>
      <c r="D613" t="inlineStr">
        <is>
          <t>VÄRMLANDS LÄN</t>
        </is>
      </c>
      <c r="E613" t="inlineStr">
        <is>
          <t>ÅRJÄNG</t>
        </is>
      </c>
      <c r="F613" t="inlineStr">
        <is>
          <t>Övriga Aktiebolag</t>
        </is>
      </c>
      <c r="G613" t="n">
        <v>7.5</v>
      </c>
      <c r="H613" t="n">
        <v>0</v>
      </c>
      <c r="I613" t="n">
        <v>0</v>
      </c>
      <c r="J613" t="n">
        <v>0</v>
      </c>
      <c r="K613" t="n">
        <v>0</v>
      </c>
      <c r="L613" t="n">
        <v>0</v>
      </c>
      <c r="M613" t="n">
        <v>0</v>
      </c>
      <c r="N613" t="n">
        <v>0</v>
      </c>
      <c r="O613" t="n">
        <v>0</v>
      </c>
      <c r="P613" t="n">
        <v>0</v>
      </c>
      <c r="Q613" t="n">
        <v>0</v>
      </c>
      <c r="R613" s="2" t="inlineStr"/>
    </row>
    <row r="614" ht="15" customHeight="1">
      <c r="A614" t="inlineStr">
        <is>
          <t>A 71842-2021</t>
        </is>
      </c>
      <c r="B614" s="1" t="n">
        <v>44543</v>
      </c>
      <c r="C614" s="1" t="n">
        <v>45628</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71834-2021</t>
        </is>
      </c>
      <c r="B615" s="1" t="n">
        <v>44543</v>
      </c>
      <c r="C615" s="1" t="n">
        <v>45628</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71837-2021</t>
        </is>
      </c>
      <c r="B616" s="1" t="n">
        <v>44543</v>
      </c>
      <c r="C616" s="1" t="n">
        <v>45628</v>
      </c>
      <c r="D616" t="inlineStr">
        <is>
          <t>VÄRMLANDS LÄN</t>
        </is>
      </c>
      <c r="E616" t="inlineStr">
        <is>
          <t>ÅRJÄNG</t>
        </is>
      </c>
      <c r="G616" t="n">
        <v>7.2</v>
      </c>
      <c r="H616" t="n">
        <v>0</v>
      </c>
      <c r="I616" t="n">
        <v>0</v>
      </c>
      <c r="J616" t="n">
        <v>0</v>
      </c>
      <c r="K616" t="n">
        <v>0</v>
      </c>
      <c r="L616" t="n">
        <v>0</v>
      </c>
      <c r="M616" t="n">
        <v>0</v>
      </c>
      <c r="N616" t="n">
        <v>0</v>
      </c>
      <c r="O616" t="n">
        <v>0</v>
      </c>
      <c r="P616" t="n">
        <v>0</v>
      </c>
      <c r="Q616" t="n">
        <v>0</v>
      </c>
      <c r="R616" s="2" t="inlineStr"/>
    </row>
    <row r="617" ht="15" customHeight="1">
      <c r="A617" t="inlineStr">
        <is>
          <t>A 71840-2021</t>
        </is>
      </c>
      <c r="B617" s="1" t="n">
        <v>44543</v>
      </c>
      <c r="C617" s="1" t="n">
        <v>45628</v>
      </c>
      <c r="D617" t="inlineStr">
        <is>
          <t>VÄRMLANDS LÄN</t>
        </is>
      </c>
      <c r="E617" t="inlineStr">
        <is>
          <t>ÅRJÄNG</t>
        </is>
      </c>
      <c r="G617" t="n">
        <v>6.5</v>
      </c>
      <c r="H617" t="n">
        <v>0</v>
      </c>
      <c r="I617" t="n">
        <v>0</v>
      </c>
      <c r="J617" t="n">
        <v>0</v>
      </c>
      <c r="K617" t="n">
        <v>0</v>
      </c>
      <c r="L617" t="n">
        <v>0</v>
      </c>
      <c r="M617" t="n">
        <v>0</v>
      </c>
      <c r="N617" t="n">
        <v>0</v>
      </c>
      <c r="O617" t="n">
        <v>0</v>
      </c>
      <c r="P617" t="n">
        <v>0</v>
      </c>
      <c r="Q617" t="n">
        <v>0</v>
      </c>
      <c r="R617" s="2" t="inlineStr"/>
    </row>
    <row r="618" ht="15" customHeight="1">
      <c r="A618" t="inlineStr">
        <is>
          <t>A 71895-2021</t>
        </is>
      </c>
      <c r="B618" s="1" t="n">
        <v>44543</v>
      </c>
      <c r="C618" s="1" t="n">
        <v>45628</v>
      </c>
      <c r="D618" t="inlineStr">
        <is>
          <t>VÄRMLANDS LÄN</t>
        </is>
      </c>
      <c r="E618" t="inlineStr">
        <is>
          <t>ÅRJÄNG</t>
        </is>
      </c>
      <c r="G618" t="n">
        <v>5.3</v>
      </c>
      <c r="H618" t="n">
        <v>0</v>
      </c>
      <c r="I618" t="n">
        <v>0</v>
      </c>
      <c r="J618" t="n">
        <v>0</v>
      </c>
      <c r="K618" t="n">
        <v>0</v>
      </c>
      <c r="L618" t="n">
        <v>0</v>
      </c>
      <c r="M618" t="n">
        <v>0</v>
      </c>
      <c r="N618" t="n">
        <v>0</v>
      </c>
      <c r="O618" t="n">
        <v>0</v>
      </c>
      <c r="P618" t="n">
        <v>0</v>
      </c>
      <c r="Q618" t="n">
        <v>0</v>
      </c>
      <c r="R618" s="2" t="inlineStr"/>
    </row>
    <row r="619" ht="15" customHeight="1">
      <c r="A619" t="inlineStr">
        <is>
          <t>A 72291-2021</t>
        </is>
      </c>
      <c r="B619" s="1" t="n">
        <v>44545</v>
      </c>
      <c r="C619" s="1" t="n">
        <v>45628</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72476-2021</t>
        </is>
      </c>
      <c r="B620" s="1" t="n">
        <v>44545</v>
      </c>
      <c r="C620" s="1" t="n">
        <v>45628</v>
      </c>
      <c r="D620" t="inlineStr">
        <is>
          <t>VÄRMLANDS LÄN</t>
        </is>
      </c>
      <c r="E620" t="inlineStr">
        <is>
          <t>ÅRJÄNG</t>
        </is>
      </c>
      <c r="G620" t="n">
        <v>1.9</v>
      </c>
      <c r="H620" t="n">
        <v>0</v>
      </c>
      <c r="I620" t="n">
        <v>0</v>
      </c>
      <c r="J620" t="n">
        <v>0</v>
      </c>
      <c r="K620" t="n">
        <v>0</v>
      </c>
      <c r="L620" t="n">
        <v>0</v>
      </c>
      <c r="M620" t="n">
        <v>0</v>
      </c>
      <c r="N620" t="n">
        <v>0</v>
      </c>
      <c r="O620" t="n">
        <v>0</v>
      </c>
      <c r="P620" t="n">
        <v>0</v>
      </c>
      <c r="Q620" t="n">
        <v>0</v>
      </c>
      <c r="R620" s="2" t="inlineStr"/>
    </row>
    <row r="621" ht="15" customHeight="1">
      <c r="A621" t="inlineStr">
        <is>
          <t>A 72609-2021</t>
        </is>
      </c>
      <c r="B621" s="1" t="n">
        <v>44546</v>
      </c>
      <c r="C621" s="1" t="n">
        <v>45628</v>
      </c>
      <c r="D621" t="inlineStr">
        <is>
          <t>VÄRMLANDS LÄN</t>
        </is>
      </c>
      <c r="E621" t="inlineStr">
        <is>
          <t>ÅRJÄNG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72619-2021</t>
        </is>
      </c>
      <c r="B622" s="1" t="n">
        <v>44546</v>
      </c>
      <c r="C622" s="1" t="n">
        <v>45628</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72812-2021</t>
        </is>
      </c>
      <c r="B623" s="1" t="n">
        <v>44546</v>
      </c>
      <c r="C623" s="1" t="n">
        <v>45628</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72718-2021</t>
        </is>
      </c>
      <c r="B624" s="1" t="n">
        <v>44546</v>
      </c>
      <c r="C624" s="1" t="n">
        <v>45628</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72652-2021</t>
        </is>
      </c>
      <c r="B625" s="1" t="n">
        <v>44546</v>
      </c>
      <c r="C625" s="1" t="n">
        <v>45628</v>
      </c>
      <c r="D625" t="inlineStr">
        <is>
          <t>VÄRMLANDS LÄN</t>
        </is>
      </c>
      <c r="E625" t="inlineStr">
        <is>
          <t>ÅRJÄNG</t>
        </is>
      </c>
      <c r="F625" t="inlineStr">
        <is>
          <t>Kyrkan</t>
        </is>
      </c>
      <c r="G625" t="n">
        <v>9.6</v>
      </c>
      <c r="H625" t="n">
        <v>0</v>
      </c>
      <c r="I625" t="n">
        <v>0</v>
      </c>
      <c r="J625" t="n">
        <v>0</v>
      </c>
      <c r="K625" t="n">
        <v>0</v>
      </c>
      <c r="L625" t="n">
        <v>0</v>
      </c>
      <c r="M625" t="n">
        <v>0</v>
      </c>
      <c r="N625" t="n">
        <v>0</v>
      </c>
      <c r="O625" t="n">
        <v>0</v>
      </c>
      <c r="P625" t="n">
        <v>0</v>
      </c>
      <c r="Q625" t="n">
        <v>0</v>
      </c>
      <c r="R625" s="2" t="inlineStr"/>
    </row>
    <row r="626" ht="15" customHeight="1">
      <c r="A626" t="inlineStr">
        <is>
          <t>A 72996-2021</t>
        </is>
      </c>
      <c r="B626" s="1" t="n">
        <v>44549</v>
      </c>
      <c r="C626" s="1" t="n">
        <v>45628</v>
      </c>
      <c r="D626" t="inlineStr">
        <is>
          <t>VÄRMLANDS LÄN</t>
        </is>
      </c>
      <c r="E626" t="inlineStr">
        <is>
          <t>ÅRJÄNG</t>
        </is>
      </c>
      <c r="G626" t="n">
        <v>1.2</v>
      </c>
      <c r="H626" t="n">
        <v>0</v>
      </c>
      <c r="I626" t="n">
        <v>0</v>
      </c>
      <c r="J626" t="n">
        <v>0</v>
      </c>
      <c r="K626" t="n">
        <v>0</v>
      </c>
      <c r="L626" t="n">
        <v>0</v>
      </c>
      <c r="M626" t="n">
        <v>0</v>
      </c>
      <c r="N626" t="n">
        <v>0</v>
      </c>
      <c r="O626" t="n">
        <v>0</v>
      </c>
      <c r="P626" t="n">
        <v>0</v>
      </c>
      <c r="Q626" t="n">
        <v>0</v>
      </c>
      <c r="R626" s="2" t="inlineStr"/>
    </row>
    <row r="627" ht="15" customHeight="1">
      <c r="A627" t="inlineStr">
        <is>
          <t>A 73138-2021</t>
        </is>
      </c>
      <c r="B627" s="1" t="n">
        <v>44550</v>
      </c>
      <c r="C627" s="1" t="n">
        <v>45628</v>
      </c>
      <c r="D627" t="inlineStr">
        <is>
          <t>VÄRMLANDS LÄN</t>
        </is>
      </c>
      <c r="E627" t="inlineStr">
        <is>
          <t>ÅRJÄNG</t>
        </is>
      </c>
      <c r="G627" t="n">
        <v>4.3</v>
      </c>
      <c r="H627" t="n">
        <v>0</v>
      </c>
      <c r="I627" t="n">
        <v>0</v>
      </c>
      <c r="J627" t="n">
        <v>0</v>
      </c>
      <c r="K627" t="n">
        <v>0</v>
      </c>
      <c r="L627" t="n">
        <v>0</v>
      </c>
      <c r="M627" t="n">
        <v>0</v>
      </c>
      <c r="N627" t="n">
        <v>0</v>
      </c>
      <c r="O627" t="n">
        <v>0</v>
      </c>
      <c r="P627" t="n">
        <v>0</v>
      </c>
      <c r="Q627" t="n">
        <v>0</v>
      </c>
      <c r="R627" s="2" t="inlineStr"/>
    </row>
    <row r="628" ht="15" customHeight="1">
      <c r="A628" t="inlineStr">
        <is>
          <t>A 73363-2021</t>
        </is>
      </c>
      <c r="B628" s="1" t="n">
        <v>44550</v>
      </c>
      <c r="C628" s="1" t="n">
        <v>45628</v>
      </c>
      <c r="D628" t="inlineStr">
        <is>
          <t>VÄRMLANDS LÄN</t>
        </is>
      </c>
      <c r="E628" t="inlineStr">
        <is>
          <t>ÅRJÄNG</t>
        </is>
      </c>
      <c r="G628" t="n">
        <v>11.5</v>
      </c>
      <c r="H628" t="n">
        <v>0</v>
      </c>
      <c r="I628" t="n">
        <v>0</v>
      </c>
      <c r="J628" t="n">
        <v>0</v>
      </c>
      <c r="K628" t="n">
        <v>0</v>
      </c>
      <c r="L628" t="n">
        <v>0</v>
      </c>
      <c r="M628" t="n">
        <v>0</v>
      </c>
      <c r="N628" t="n">
        <v>0</v>
      </c>
      <c r="O628" t="n">
        <v>0</v>
      </c>
      <c r="P628" t="n">
        <v>0</v>
      </c>
      <c r="Q628" t="n">
        <v>0</v>
      </c>
      <c r="R628" s="2" t="inlineStr"/>
    </row>
    <row r="629" ht="15" customHeight="1">
      <c r="A629" t="inlineStr">
        <is>
          <t>A 73623-2021</t>
        </is>
      </c>
      <c r="B629" s="1" t="n">
        <v>44552</v>
      </c>
      <c r="C629" s="1" t="n">
        <v>45628</v>
      </c>
      <c r="D629" t="inlineStr">
        <is>
          <t>VÄRMLANDS LÄN</t>
        </is>
      </c>
      <c r="E629" t="inlineStr">
        <is>
          <t>ÅRJÄNG</t>
        </is>
      </c>
      <c r="G629" t="n">
        <v>7.4</v>
      </c>
      <c r="H629" t="n">
        <v>0</v>
      </c>
      <c r="I629" t="n">
        <v>0</v>
      </c>
      <c r="J629" t="n">
        <v>0</v>
      </c>
      <c r="K629" t="n">
        <v>0</v>
      </c>
      <c r="L629" t="n">
        <v>0</v>
      </c>
      <c r="M629" t="n">
        <v>0</v>
      </c>
      <c r="N629" t="n">
        <v>0</v>
      </c>
      <c r="O629" t="n">
        <v>0</v>
      </c>
      <c r="P629" t="n">
        <v>0</v>
      </c>
      <c r="Q629" t="n">
        <v>0</v>
      </c>
      <c r="R629" s="2" t="inlineStr"/>
    </row>
    <row r="630" ht="15" customHeight="1">
      <c r="A630" t="inlineStr">
        <is>
          <t>A 73651-2021</t>
        </is>
      </c>
      <c r="B630" s="1" t="n">
        <v>44552</v>
      </c>
      <c r="C630" s="1" t="n">
        <v>45628</v>
      </c>
      <c r="D630" t="inlineStr">
        <is>
          <t>VÄRMLANDS LÄN</t>
        </is>
      </c>
      <c r="E630" t="inlineStr">
        <is>
          <t>ÅRJÄNG</t>
        </is>
      </c>
      <c r="G630" t="n">
        <v>15.3</v>
      </c>
      <c r="H630" t="n">
        <v>0</v>
      </c>
      <c r="I630" t="n">
        <v>0</v>
      </c>
      <c r="J630" t="n">
        <v>0</v>
      </c>
      <c r="K630" t="n">
        <v>0</v>
      </c>
      <c r="L630" t="n">
        <v>0</v>
      </c>
      <c r="M630" t="n">
        <v>0</v>
      </c>
      <c r="N630" t="n">
        <v>0</v>
      </c>
      <c r="O630" t="n">
        <v>0</v>
      </c>
      <c r="P630" t="n">
        <v>0</v>
      </c>
      <c r="Q630" t="n">
        <v>0</v>
      </c>
      <c r="R630" s="2" t="inlineStr"/>
    </row>
    <row r="631" ht="15" customHeight="1">
      <c r="A631" t="inlineStr">
        <is>
          <t>A 73702-2021</t>
        </is>
      </c>
      <c r="B631" s="1" t="n">
        <v>44552</v>
      </c>
      <c r="C631" s="1" t="n">
        <v>45628</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74189-2021</t>
        </is>
      </c>
      <c r="B632" s="1" t="n">
        <v>44553</v>
      </c>
      <c r="C632" s="1" t="n">
        <v>45628</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74187-2021</t>
        </is>
      </c>
      <c r="B633" s="1" t="n">
        <v>44553</v>
      </c>
      <c r="C633" s="1" t="n">
        <v>45628</v>
      </c>
      <c r="D633" t="inlineStr">
        <is>
          <t>VÄRMLANDS LÄN</t>
        </is>
      </c>
      <c r="E633" t="inlineStr">
        <is>
          <t>ÅRJÄNG</t>
        </is>
      </c>
      <c r="G633" t="n">
        <v>1</v>
      </c>
      <c r="H633" t="n">
        <v>0</v>
      </c>
      <c r="I633" t="n">
        <v>0</v>
      </c>
      <c r="J633" t="n">
        <v>0</v>
      </c>
      <c r="K633" t="n">
        <v>0</v>
      </c>
      <c r="L633" t="n">
        <v>0</v>
      </c>
      <c r="M633" t="n">
        <v>0</v>
      </c>
      <c r="N633" t="n">
        <v>0</v>
      </c>
      <c r="O633" t="n">
        <v>0</v>
      </c>
      <c r="P633" t="n">
        <v>0</v>
      </c>
      <c r="Q633" t="n">
        <v>0</v>
      </c>
      <c r="R633" s="2" t="inlineStr"/>
    </row>
    <row r="634" ht="15" customHeight="1">
      <c r="A634" t="inlineStr">
        <is>
          <t>A 74087-2021</t>
        </is>
      </c>
      <c r="B634" s="1" t="n">
        <v>44557</v>
      </c>
      <c r="C634" s="1" t="n">
        <v>45628</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74086-2021</t>
        </is>
      </c>
      <c r="B635" s="1" t="n">
        <v>44557</v>
      </c>
      <c r="C635" s="1" t="n">
        <v>45628</v>
      </c>
      <c r="D635" t="inlineStr">
        <is>
          <t>VÄRMLANDS LÄN</t>
        </is>
      </c>
      <c r="E635" t="inlineStr">
        <is>
          <t>ÅRJÄNG</t>
        </is>
      </c>
      <c r="G635" t="n">
        <v>3.6</v>
      </c>
      <c r="H635" t="n">
        <v>0</v>
      </c>
      <c r="I635" t="n">
        <v>0</v>
      </c>
      <c r="J635" t="n">
        <v>0</v>
      </c>
      <c r="K635" t="n">
        <v>0</v>
      </c>
      <c r="L635" t="n">
        <v>0</v>
      </c>
      <c r="M635" t="n">
        <v>0</v>
      </c>
      <c r="N635" t="n">
        <v>0</v>
      </c>
      <c r="O635" t="n">
        <v>0</v>
      </c>
      <c r="P635" t="n">
        <v>0</v>
      </c>
      <c r="Q635" t="n">
        <v>0</v>
      </c>
      <c r="R635" s="2" t="inlineStr"/>
    </row>
    <row r="636" ht="15" customHeight="1">
      <c r="A636" t="inlineStr">
        <is>
          <t>A 74166-2021</t>
        </is>
      </c>
      <c r="B636" s="1" t="n">
        <v>44558</v>
      </c>
      <c r="C636" s="1" t="n">
        <v>45628</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74363-2021</t>
        </is>
      </c>
      <c r="B637" s="1" t="n">
        <v>44559</v>
      </c>
      <c r="C637" s="1" t="n">
        <v>45628</v>
      </c>
      <c r="D637" t="inlineStr">
        <is>
          <t>VÄRMLANDS LÄN</t>
        </is>
      </c>
      <c r="E637" t="inlineStr">
        <is>
          <t>ÅRJÄNG</t>
        </is>
      </c>
      <c r="G637" t="n">
        <v>2.7</v>
      </c>
      <c r="H637" t="n">
        <v>0</v>
      </c>
      <c r="I637" t="n">
        <v>0</v>
      </c>
      <c r="J637" t="n">
        <v>0</v>
      </c>
      <c r="K637" t="n">
        <v>0</v>
      </c>
      <c r="L637" t="n">
        <v>0</v>
      </c>
      <c r="M637" t="n">
        <v>0</v>
      </c>
      <c r="N637" t="n">
        <v>0</v>
      </c>
      <c r="O637" t="n">
        <v>0</v>
      </c>
      <c r="P637" t="n">
        <v>0</v>
      </c>
      <c r="Q637" t="n">
        <v>0</v>
      </c>
      <c r="R637" s="2" t="inlineStr"/>
    </row>
    <row r="638" ht="15" customHeight="1">
      <c r="A638" t="inlineStr">
        <is>
          <t>A 74372-2021</t>
        </is>
      </c>
      <c r="B638" s="1" t="n">
        <v>44559</v>
      </c>
      <c r="C638" s="1" t="n">
        <v>45628</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74463-2021</t>
        </is>
      </c>
      <c r="B639" s="1" t="n">
        <v>44560</v>
      </c>
      <c r="C639" s="1" t="n">
        <v>45628</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74448-2021</t>
        </is>
      </c>
      <c r="B640" s="1" t="n">
        <v>44560</v>
      </c>
      <c r="C640" s="1" t="n">
        <v>45628</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74430-2021</t>
        </is>
      </c>
      <c r="B641" s="1" t="n">
        <v>44560</v>
      </c>
      <c r="C641" s="1" t="n">
        <v>45628</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74514-2021</t>
        </is>
      </c>
      <c r="B642" s="1" t="n">
        <v>44561</v>
      </c>
      <c r="C642" s="1" t="n">
        <v>45628</v>
      </c>
      <c r="D642" t="inlineStr">
        <is>
          <t>VÄRMLANDS LÄN</t>
        </is>
      </c>
      <c r="E642" t="inlineStr">
        <is>
          <t>ÅRJÄNG</t>
        </is>
      </c>
      <c r="G642" t="n">
        <v>2.8</v>
      </c>
      <c r="H642" t="n">
        <v>0</v>
      </c>
      <c r="I642" t="n">
        <v>0</v>
      </c>
      <c r="J642" t="n">
        <v>0</v>
      </c>
      <c r="K642" t="n">
        <v>0</v>
      </c>
      <c r="L642" t="n">
        <v>0</v>
      </c>
      <c r="M642" t="n">
        <v>0</v>
      </c>
      <c r="N642" t="n">
        <v>0</v>
      </c>
      <c r="O642" t="n">
        <v>0</v>
      </c>
      <c r="P642" t="n">
        <v>0</v>
      </c>
      <c r="Q642" t="n">
        <v>0</v>
      </c>
      <c r="R642" s="2" t="inlineStr"/>
    </row>
    <row r="643" ht="15" customHeight="1">
      <c r="A643" t="inlineStr">
        <is>
          <t>A 92-2022</t>
        </is>
      </c>
      <c r="B643" s="1" t="n">
        <v>44564</v>
      </c>
      <c r="C643" s="1" t="n">
        <v>45628</v>
      </c>
      <c r="D643" t="inlineStr">
        <is>
          <t>VÄRMLANDS LÄN</t>
        </is>
      </c>
      <c r="E643" t="inlineStr">
        <is>
          <t>ÅRJÄNG</t>
        </is>
      </c>
      <c r="G643" t="n">
        <v>10.4</v>
      </c>
      <c r="H643" t="n">
        <v>0</v>
      </c>
      <c r="I643" t="n">
        <v>0</v>
      </c>
      <c r="J643" t="n">
        <v>0</v>
      </c>
      <c r="K643" t="n">
        <v>0</v>
      </c>
      <c r="L643" t="n">
        <v>0</v>
      </c>
      <c r="M643" t="n">
        <v>0</v>
      </c>
      <c r="N643" t="n">
        <v>0</v>
      </c>
      <c r="O643" t="n">
        <v>0</v>
      </c>
      <c r="P643" t="n">
        <v>0</v>
      </c>
      <c r="Q643" t="n">
        <v>0</v>
      </c>
      <c r="R643" s="2" t="inlineStr"/>
    </row>
    <row r="644" ht="15" customHeight="1">
      <c r="A644" t="inlineStr">
        <is>
          <t>A 509-2022</t>
        </is>
      </c>
      <c r="B644" s="1" t="n">
        <v>44566</v>
      </c>
      <c r="C644" s="1" t="n">
        <v>45628</v>
      </c>
      <c r="D644" t="inlineStr">
        <is>
          <t>VÄRMLANDS LÄN</t>
        </is>
      </c>
      <c r="E644" t="inlineStr">
        <is>
          <t>ÅRJÄNG</t>
        </is>
      </c>
      <c r="G644" t="n">
        <v>2.3</v>
      </c>
      <c r="H644" t="n">
        <v>0</v>
      </c>
      <c r="I644" t="n">
        <v>0</v>
      </c>
      <c r="J644" t="n">
        <v>0</v>
      </c>
      <c r="K644" t="n">
        <v>0</v>
      </c>
      <c r="L644" t="n">
        <v>0</v>
      </c>
      <c r="M644" t="n">
        <v>0</v>
      </c>
      <c r="N644" t="n">
        <v>0</v>
      </c>
      <c r="O644" t="n">
        <v>0</v>
      </c>
      <c r="P644" t="n">
        <v>0</v>
      </c>
      <c r="Q644" t="n">
        <v>0</v>
      </c>
      <c r="R644" s="2" t="inlineStr"/>
    </row>
    <row r="645" ht="15" customHeight="1">
      <c r="A645" t="inlineStr">
        <is>
          <t>A 516-2022</t>
        </is>
      </c>
      <c r="B645" s="1" t="n">
        <v>44566</v>
      </c>
      <c r="C645" s="1" t="n">
        <v>45628</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45628</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2141-2022</t>
        </is>
      </c>
      <c r="B647" s="1" t="n">
        <v>44571</v>
      </c>
      <c r="C647" s="1" t="n">
        <v>45628</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2143-2022</t>
        </is>
      </c>
      <c r="B648" s="1" t="n">
        <v>44571</v>
      </c>
      <c r="C648" s="1" t="n">
        <v>45628</v>
      </c>
      <c r="D648" t="inlineStr">
        <is>
          <t>VÄRMLANDS LÄN</t>
        </is>
      </c>
      <c r="E648" t="inlineStr">
        <is>
          <t>ÅRJÄNG</t>
        </is>
      </c>
      <c r="G648" t="n">
        <v>2.5</v>
      </c>
      <c r="H648" t="n">
        <v>0</v>
      </c>
      <c r="I648" t="n">
        <v>0</v>
      </c>
      <c r="J648" t="n">
        <v>0</v>
      </c>
      <c r="K648" t="n">
        <v>0</v>
      </c>
      <c r="L648" t="n">
        <v>0</v>
      </c>
      <c r="M648" t="n">
        <v>0</v>
      </c>
      <c r="N648" t="n">
        <v>0</v>
      </c>
      <c r="O648" t="n">
        <v>0</v>
      </c>
      <c r="P648" t="n">
        <v>0</v>
      </c>
      <c r="Q648" t="n">
        <v>0</v>
      </c>
      <c r="R648" s="2" t="inlineStr"/>
    </row>
    <row r="649" ht="15" customHeight="1">
      <c r="A649" t="inlineStr">
        <is>
          <t>A 1418-2022</t>
        </is>
      </c>
      <c r="B649" s="1" t="n">
        <v>44573</v>
      </c>
      <c r="C649" s="1" t="n">
        <v>45628</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1574-2022</t>
        </is>
      </c>
      <c r="B650" s="1" t="n">
        <v>44573</v>
      </c>
      <c r="C650" s="1" t="n">
        <v>45628</v>
      </c>
      <c r="D650" t="inlineStr">
        <is>
          <t>VÄRMLANDS LÄN</t>
        </is>
      </c>
      <c r="E650" t="inlineStr">
        <is>
          <t>ÅRJÄNG</t>
        </is>
      </c>
      <c r="G650" t="n">
        <v>0.4</v>
      </c>
      <c r="H650" t="n">
        <v>0</v>
      </c>
      <c r="I650" t="n">
        <v>0</v>
      </c>
      <c r="J650" t="n">
        <v>0</v>
      </c>
      <c r="K650" t="n">
        <v>0</v>
      </c>
      <c r="L650" t="n">
        <v>0</v>
      </c>
      <c r="M650" t="n">
        <v>0</v>
      </c>
      <c r="N650" t="n">
        <v>0</v>
      </c>
      <c r="O650" t="n">
        <v>0</v>
      </c>
      <c r="P650" t="n">
        <v>0</v>
      </c>
      <c r="Q650" t="n">
        <v>0</v>
      </c>
      <c r="R650" s="2" t="inlineStr"/>
    </row>
    <row r="651" ht="15" customHeight="1">
      <c r="A651" t="inlineStr">
        <is>
          <t>A 1567-2022</t>
        </is>
      </c>
      <c r="B651" s="1" t="n">
        <v>44573</v>
      </c>
      <c r="C651" s="1" t="n">
        <v>45628</v>
      </c>
      <c r="D651" t="inlineStr">
        <is>
          <t>VÄRMLANDS LÄN</t>
        </is>
      </c>
      <c r="E651" t="inlineStr">
        <is>
          <t>ÅRJÄNG</t>
        </is>
      </c>
      <c r="G651" t="n">
        <v>1.8</v>
      </c>
      <c r="H651" t="n">
        <v>0</v>
      </c>
      <c r="I651" t="n">
        <v>0</v>
      </c>
      <c r="J651" t="n">
        <v>0</v>
      </c>
      <c r="K651" t="n">
        <v>0</v>
      </c>
      <c r="L651" t="n">
        <v>0</v>
      </c>
      <c r="M651" t="n">
        <v>0</v>
      </c>
      <c r="N651" t="n">
        <v>0</v>
      </c>
      <c r="O651" t="n">
        <v>0</v>
      </c>
      <c r="P651" t="n">
        <v>0</v>
      </c>
      <c r="Q651" t="n">
        <v>0</v>
      </c>
      <c r="R651" s="2" t="inlineStr"/>
    </row>
    <row r="652" ht="15" customHeight="1">
      <c r="A652" t="inlineStr">
        <is>
          <t>A 1932-2022</t>
        </is>
      </c>
      <c r="B652" s="1" t="n">
        <v>44575</v>
      </c>
      <c r="C652" s="1" t="n">
        <v>45628</v>
      </c>
      <c r="D652" t="inlineStr">
        <is>
          <t>VÄRMLANDS LÄN</t>
        </is>
      </c>
      <c r="E652" t="inlineStr">
        <is>
          <t>ÅRJÄNG</t>
        </is>
      </c>
      <c r="G652" t="n">
        <v>2.4</v>
      </c>
      <c r="H652" t="n">
        <v>0</v>
      </c>
      <c r="I652" t="n">
        <v>0</v>
      </c>
      <c r="J652" t="n">
        <v>0</v>
      </c>
      <c r="K652" t="n">
        <v>0</v>
      </c>
      <c r="L652" t="n">
        <v>0</v>
      </c>
      <c r="M652" t="n">
        <v>0</v>
      </c>
      <c r="N652" t="n">
        <v>0</v>
      </c>
      <c r="O652" t="n">
        <v>0</v>
      </c>
      <c r="P652" t="n">
        <v>0</v>
      </c>
      <c r="Q652" t="n">
        <v>0</v>
      </c>
      <c r="R652" s="2" t="inlineStr"/>
    </row>
    <row r="653" ht="15" customHeight="1">
      <c r="A653" t="inlineStr">
        <is>
          <t>A 2062-2022</t>
        </is>
      </c>
      <c r="B653" s="1" t="n">
        <v>44575</v>
      </c>
      <c r="C653" s="1" t="n">
        <v>45628</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2091-2022</t>
        </is>
      </c>
      <c r="B654" s="1" t="n">
        <v>44577</v>
      </c>
      <c r="C654" s="1" t="n">
        <v>45628</v>
      </c>
      <c r="D654" t="inlineStr">
        <is>
          <t>VÄRMLANDS LÄN</t>
        </is>
      </c>
      <c r="E654" t="inlineStr">
        <is>
          <t>ÅRJÄNG</t>
        </is>
      </c>
      <c r="G654" t="n">
        <v>8.5</v>
      </c>
      <c r="H654" t="n">
        <v>0</v>
      </c>
      <c r="I654" t="n">
        <v>0</v>
      </c>
      <c r="J654" t="n">
        <v>0</v>
      </c>
      <c r="K654" t="n">
        <v>0</v>
      </c>
      <c r="L654" t="n">
        <v>0</v>
      </c>
      <c r="M654" t="n">
        <v>0</v>
      </c>
      <c r="N654" t="n">
        <v>0</v>
      </c>
      <c r="O654" t="n">
        <v>0</v>
      </c>
      <c r="P654" t="n">
        <v>0</v>
      </c>
      <c r="Q654" t="n">
        <v>0</v>
      </c>
      <c r="R654" s="2" t="inlineStr"/>
    </row>
    <row r="655" ht="15" customHeight="1">
      <c r="A655" t="inlineStr">
        <is>
          <t>A 2184-2022</t>
        </is>
      </c>
      <c r="B655" s="1" t="n">
        <v>44578</v>
      </c>
      <c r="C655" s="1" t="n">
        <v>45628</v>
      </c>
      <c r="D655" t="inlineStr">
        <is>
          <t>VÄRMLANDS LÄN</t>
        </is>
      </c>
      <c r="E655" t="inlineStr">
        <is>
          <t>ÅRJÄNG</t>
        </is>
      </c>
      <c r="G655" t="n">
        <v>2.2</v>
      </c>
      <c r="H655" t="n">
        <v>0</v>
      </c>
      <c r="I655" t="n">
        <v>0</v>
      </c>
      <c r="J655" t="n">
        <v>0</v>
      </c>
      <c r="K655" t="n">
        <v>0</v>
      </c>
      <c r="L655" t="n">
        <v>0</v>
      </c>
      <c r="M655" t="n">
        <v>0</v>
      </c>
      <c r="N655" t="n">
        <v>0</v>
      </c>
      <c r="O655" t="n">
        <v>0</v>
      </c>
      <c r="P655" t="n">
        <v>0</v>
      </c>
      <c r="Q655" t="n">
        <v>0</v>
      </c>
      <c r="R655" s="2" t="inlineStr"/>
    </row>
    <row r="656" ht="15" customHeight="1">
      <c r="A656" t="inlineStr">
        <is>
          <t>A 2966-2022</t>
        </is>
      </c>
      <c r="B656" s="1" t="n">
        <v>44581</v>
      </c>
      <c r="C656" s="1" t="n">
        <v>45628</v>
      </c>
      <c r="D656" t="inlineStr">
        <is>
          <t>VÄRMLANDS LÄN</t>
        </is>
      </c>
      <c r="E656" t="inlineStr">
        <is>
          <t>ÅRJÄNG</t>
        </is>
      </c>
      <c r="G656" t="n">
        <v>4.7</v>
      </c>
      <c r="H656" t="n">
        <v>0</v>
      </c>
      <c r="I656" t="n">
        <v>0</v>
      </c>
      <c r="J656" t="n">
        <v>0</v>
      </c>
      <c r="K656" t="n">
        <v>0</v>
      </c>
      <c r="L656" t="n">
        <v>0</v>
      </c>
      <c r="M656" t="n">
        <v>0</v>
      </c>
      <c r="N656" t="n">
        <v>0</v>
      </c>
      <c r="O656" t="n">
        <v>0</v>
      </c>
      <c r="P656" t="n">
        <v>0</v>
      </c>
      <c r="Q656" t="n">
        <v>0</v>
      </c>
      <c r="R656" s="2" t="inlineStr"/>
    </row>
    <row r="657" ht="15" customHeight="1">
      <c r="A657" t="inlineStr">
        <is>
          <t>A 2970-2022</t>
        </is>
      </c>
      <c r="B657" s="1" t="n">
        <v>44581</v>
      </c>
      <c r="C657" s="1" t="n">
        <v>45628</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3157-2022</t>
        </is>
      </c>
      <c r="B658" s="1" t="n">
        <v>44582</v>
      </c>
      <c r="C658" s="1" t="n">
        <v>45628</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3292-2022</t>
        </is>
      </c>
      <c r="B659" s="1" t="n">
        <v>44584</v>
      </c>
      <c r="C659" s="1" t="n">
        <v>45628</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3471-2022</t>
        </is>
      </c>
      <c r="B660" s="1" t="n">
        <v>44585</v>
      </c>
      <c r="C660" s="1" t="n">
        <v>45628</v>
      </c>
      <c r="D660" t="inlineStr">
        <is>
          <t>VÄRMLANDS LÄN</t>
        </is>
      </c>
      <c r="E660" t="inlineStr">
        <is>
          <t>ÅRJÄNG</t>
        </is>
      </c>
      <c r="G660" t="n">
        <v>6.2</v>
      </c>
      <c r="H660" t="n">
        <v>0</v>
      </c>
      <c r="I660" t="n">
        <v>0</v>
      </c>
      <c r="J660" t="n">
        <v>0</v>
      </c>
      <c r="K660" t="n">
        <v>0</v>
      </c>
      <c r="L660" t="n">
        <v>0</v>
      </c>
      <c r="M660" t="n">
        <v>0</v>
      </c>
      <c r="N660" t="n">
        <v>0</v>
      </c>
      <c r="O660" t="n">
        <v>0</v>
      </c>
      <c r="P660" t="n">
        <v>0</v>
      </c>
      <c r="Q660" t="n">
        <v>0</v>
      </c>
      <c r="R660" s="2" t="inlineStr"/>
    </row>
    <row r="661" ht="15" customHeight="1">
      <c r="A661" t="inlineStr">
        <is>
          <t>A 3656-2022</t>
        </is>
      </c>
      <c r="B661" s="1" t="n">
        <v>44586</v>
      </c>
      <c r="C661" s="1" t="n">
        <v>45628</v>
      </c>
      <c r="D661" t="inlineStr">
        <is>
          <t>VÄRMLANDS LÄN</t>
        </is>
      </c>
      <c r="E661" t="inlineStr">
        <is>
          <t>ÅRJÄNG</t>
        </is>
      </c>
      <c r="G661" t="n">
        <v>11.7</v>
      </c>
      <c r="H661" t="n">
        <v>0</v>
      </c>
      <c r="I661" t="n">
        <v>0</v>
      </c>
      <c r="J661" t="n">
        <v>0</v>
      </c>
      <c r="K661" t="n">
        <v>0</v>
      </c>
      <c r="L661" t="n">
        <v>0</v>
      </c>
      <c r="M661" t="n">
        <v>0</v>
      </c>
      <c r="N661" t="n">
        <v>0</v>
      </c>
      <c r="O661" t="n">
        <v>0</v>
      </c>
      <c r="P661" t="n">
        <v>0</v>
      </c>
      <c r="Q661" t="n">
        <v>0</v>
      </c>
      <c r="R661" s="2" t="inlineStr"/>
    </row>
    <row r="662" ht="15" customHeight="1">
      <c r="A662" t="inlineStr">
        <is>
          <t>A 3580-2022</t>
        </is>
      </c>
      <c r="B662" s="1" t="n">
        <v>44586</v>
      </c>
      <c r="C662" s="1" t="n">
        <v>45628</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3917-2022</t>
        </is>
      </c>
      <c r="B663" s="1" t="n">
        <v>44587</v>
      </c>
      <c r="C663" s="1" t="n">
        <v>45628</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4400-2022</t>
        </is>
      </c>
      <c r="B664" s="1" t="n">
        <v>44588</v>
      </c>
      <c r="C664" s="1" t="n">
        <v>45628</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4465-2022</t>
        </is>
      </c>
      <c r="B665" s="1" t="n">
        <v>44589</v>
      </c>
      <c r="C665" s="1" t="n">
        <v>45628</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4378-2022</t>
        </is>
      </c>
      <c r="B666" s="1" t="n">
        <v>44589</v>
      </c>
      <c r="C666" s="1" t="n">
        <v>45628</v>
      </c>
      <c r="D666" t="inlineStr">
        <is>
          <t>VÄRMLANDS LÄN</t>
        </is>
      </c>
      <c r="E666" t="inlineStr">
        <is>
          <t>ÅRJÄNG</t>
        </is>
      </c>
      <c r="G666" t="n">
        <v>3.1</v>
      </c>
      <c r="H666" t="n">
        <v>0</v>
      </c>
      <c r="I666" t="n">
        <v>0</v>
      </c>
      <c r="J666" t="n">
        <v>0</v>
      </c>
      <c r="K666" t="n">
        <v>0</v>
      </c>
      <c r="L666" t="n">
        <v>0</v>
      </c>
      <c r="M666" t="n">
        <v>0</v>
      </c>
      <c r="N666" t="n">
        <v>0</v>
      </c>
      <c r="O666" t="n">
        <v>0</v>
      </c>
      <c r="P666" t="n">
        <v>0</v>
      </c>
      <c r="Q666" t="n">
        <v>0</v>
      </c>
      <c r="R666" s="2" t="inlineStr"/>
    </row>
    <row r="667" ht="15" customHeight="1">
      <c r="A667" t="inlineStr">
        <is>
          <t>A 4392-2022</t>
        </is>
      </c>
      <c r="B667" s="1" t="n">
        <v>44589</v>
      </c>
      <c r="C667" s="1" t="n">
        <v>45628</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4798-2022</t>
        </is>
      </c>
      <c r="B668" s="1" t="n">
        <v>44592</v>
      </c>
      <c r="C668" s="1" t="n">
        <v>45628</v>
      </c>
      <c r="D668" t="inlineStr">
        <is>
          <t>VÄRMLANDS LÄN</t>
        </is>
      </c>
      <c r="E668" t="inlineStr">
        <is>
          <t>ÅRJÄNG</t>
        </is>
      </c>
      <c r="G668" t="n">
        <v>4.1</v>
      </c>
      <c r="H668" t="n">
        <v>0</v>
      </c>
      <c r="I668" t="n">
        <v>0</v>
      </c>
      <c r="J668" t="n">
        <v>0</v>
      </c>
      <c r="K668" t="n">
        <v>0</v>
      </c>
      <c r="L668" t="n">
        <v>0</v>
      </c>
      <c r="M668" t="n">
        <v>0</v>
      </c>
      <c r="N668" t="n">
        <v>0</v>
      </c>
      <c r="O668" t="n">
        <v>0</v>
      </c>
      <c r="P668" t="n">
        <v>0</v>
      </c>
      <c r="Q668" t="n">
        <v>0</v>
      </c>
      <c r="R668" s="2" t="inlineStr"/>
    </row>
    <row r="669" ht="15" customHeight="1">
      <c r="A669" t="inlineStr">
        <is>
          <t>A 4942-2022</t>
        </is>
      </c>
      <c r="B669" s="1" t="n">
        <v>44593</v>
      </c>
      <c r="C669" s="1" t="n">
        <v>45628</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4915-2022</t>
        </is>
      </c>
      <c r="B670" s="1" t="n">
        <v>44593</v>
      </c>
      <c r="C670" s="1" t="n">
        <v>45628</v>
      </c>
      <c r="D670" t="inlineStr">
        <is>
          <t>VÄRMLANDS LÄN</t>
        </is>
      </c>
      <c r="E670" t="inlineStr">
        <is>
          <t>ÅRJÄNG</t>
        </is>
      </c>
      <c r="G670" t="n">
        <v>3.7</v>
      </c>
      <c r="H670" t="n">
        <v>0</v>
      </c>
      <c r="I670" t="n">
        <v>0</v>
      </c>
      <c r="J670" t="n">
        <v>0</v>
      </c>
      <c r="K670" t="n">
        <v>0</v>
      </c>
      <c r="L670" t="n">
        <v>0</v>
      </c>
      <c r="M670" t="n">
        <v>0</v>
      </c>
      <c r="N670" t="n">
        <v>0</v>
      </c>
      <c r="O670" t="n">
        <v>0</v>
      </c>
      <c r="P670" t="n">
        <v>0</v>
      </c>
      <c r="Q670" t="n">
        <v>0</v>
      </c>
      <c r="R670" s="2" t="inlineStr"/>
    </row>
    <row r="671" ht="15" customHeight="1">
      <c r="A671" t="inlineStr">
        <is>
          <t>A 5095-2022</t>
        </is>
      </c>
      <c r="B671" s="1" t="n">
        <v>44593</v>
      </c>
      <c r="C671" s="1" t="n">
        <v>45628</v>
      </c>
      <c r="D671" t="inlineStr">
        <is>
          <t>VÄRMLANDS LÄN</t>
        </is>
      </c>
      <c r="E671" t="inlineStr">
        <is>
          <t>ÅRJÄNG</t>
        </is>
      </c>
      <c r="G671" t="n">
        <v>3.3</v>
      </c>
      <c r="H671" t="n">
        <v>0</v>
      </c>
      <c r="I671" t="n">
        <v>0</v>
      </c>
      <c r="J671" t="n">
        <v>0</v>
      </c>
      <c r="K671" t="n">
        <v>0</v>
      </c>
      <c r="L671" t="n">
        <v>0</v>
      </c>
      <c r="M671" t="n">
        <v>0</v>
      </c>
      <c r="N671" t="n">
        <v>0</v>
      </c>
      <c r="O671" t="n">
        <v>0</v>
      </c>
      <c r="P671" t="n">
        <v>0</v>
      </c>
      <c r="Q671" t="n">
        <v>0</v>
      </c>
      <c r="R671" s="2" t="inlineStr"/>
    </row>
    <row r="672" ht="15" customHeight="1">
      <c r="A672" t="inlineStr">
        <is>
          <t>A 5342-2022</t>
        </is>
      </c>
      <c r="B672" s="1" t="n">
        <v>44594</v>
      </c>
      <c r="C672" s="1" t="n">
        <v>45628</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5346-2022</t>
        </is>
      </c>
      <c r="B673" s="1" t="n">
        <v>44594</v>
      </c>
      <c r="C673" s="1" t="n">
        <v>45628</v>
      </c>
      <c r="D673" t="inlineStr">
        <is>
          <t>VÄRMLANDS LÄN</t>
        </is>
      </c>
      <c r="E673" t="inlineStr">
        <is>
          <t>ÅRJÄNG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5667-2022</t>
        </is>
      </c>
      <c r="B674" s="1" t="n">
        <v>44595</v>
      </c>
      <c r="C674" s="1" t="n">
        <v>45628</v>
      </c>
      <c r="D674" t="inlineStr">
        <is>
          <t>VÄRMLANDS LÄN</t>
        </is>
      </c>
      <c r="E674" t="inlineStr">
        <is>
          <t>ÅRJÄNG</t>
        </is>
      </c>
      <c r="G674" t="n">
        <v>4.4</v>
      </c>
      <c r="H674" t="n">
        <v>0</v>
      </c>
      <c r="I674" t="n">
        <v>0</v>
      </c>
      <c r="J674" t="n">
        <v>0</v>
      </c>
      <c r="K674" t="n">
        <v>0</v>
      </c>
      <c r="L674" t="n">
        <v>0</v>
      </c>
      <c r="M674" t="n">
        <v>0</v>
      </c>
      <c r="N674" t="n">
        <v>0</v>
      </c>
      <c r="O674" t="n">
        <v>0</v>
      </c>
      <c r="P674" t="n">
        <v>0</v>
      </c>
      <c r="Q674" t="n">
        <v>0</v>
      </c>
      <c r="R674" s="2" t="inlineStr"/>
    </row>
    <row r="675" ht="15" customHeight="1">
      <c r="A675" t="inlineStr">
        <is>
          <t>A 5665-2022</t>
        </is>
      </c>
      <c r="B675" s="1" t="n">
        <v>44596</v>
      </c>
      <c r="C675" s="1" t="n">
        <v>45628</v>
      </c>
      <c r="D675" t="inlineStr">
        <is>
          <t>VÄRMLANDS LÄN</t>
        </is>
      </c>
      <c r="E675" t="inlineStr">
        <is>
          <t>ÅRJÄNG</t>
        </is>
      </c>
      <c r="F675" t="inlineStr">
        <is>
          <t>Bergvik skog väst AB</t>
        </is>
      </c>
      <c r="G675" t="n">
        <v>9.6</v>
      </c>
      <c r="H675" t="n">
        <v>0</v>
      </c>
      <c r="I675" t="n">
        <v>0</v>
      </c>
      <c r="J675" t="n">
        <v>0</v>
      </c>
      <c r="K675" t="n">
        <v>0</v>
      </c>
      <c r="L675" t="n">
        <v>0</v>
      </c>
      <c r="M675" t="n">
        <v>0</v>
      </c>
      <c r="N675" t="n">
        <v>0</v>
      </c>
      <c r="O675" t="n">
        <v>0</v>
      </c>
      <c r="P675" t="n">
        <v>0</v>
      </c>
      <c r="Q675" t="n">
        <v>0</v>
      </c>
      <c r="R675" s="2" t="inlineStr"/>
    </row>
    <row r="676" ht="15" customHeight="1">
      <c r="A676" t="inlineStr">
        <is>
          <t>A 5830-2022</t>
        </is>
      </c>
      <c r="B676" s="1" t="n">
        <v>44596</v>
      </c>
      <c r="C676" s="1" t="n">
        <v>45628</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5836-2022</t>
        </is>
      </c>
      <c r="B677" s="1" t="n">
        <v>44596</v>
      </c>
      <c r="C677" s="1" t="n">
        <v>45628</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6524-2022</t>
        </is>
      </c>
      <c r="B678" s="1" t="n">
        <v>44601</v>
      </c>
      <c r="C678" s="1" t="n">
        <v>45628</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6541-2022</t>
        </is>
      </c>
      <c r="B679" s="1" t="n">
        <v>44601</v>
      </c>
      <c r="C679" s="1" t="n">
        <v>45628</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6973-2022</t>
        </is>
      </c>
      <c r="B680" s="1" t="n">
        <v>44603</v>
      </c>
      <c r="C680" s="1" t="n">
        <v>45628</v>
      </c>
      <c r="D680" t="inlineStr">
        <is>
          <t>VÄRMLANDS LÄN</t>
        </is>
      </c>
      <c r="E680" t="inlineStr">
        <is>
          <t>ÅRJÄNG</t>
        </is>
      </c>
      <c r="G680" t="n">
        <v>6</v>
      </c>
      <c r="H680" t="n">
        <v>0</v>
      </c>
      <c r="I680" t="n">
        <v>0</v>
      </c>
      <c r="J680" t="n">
        <v>0</v>
      </c>
      <c r="K680" t="n">
        <v>0</v>
      </c>
      <c r="L680" t="n">
        <v>0</v>
      </c>
      <c r="M680" t="n">
        <v>0</v>
      </c>
      <c r="N680" t="n">
        <v>0</v>
      </c>
      <c r="O680" t="n">
        <v>0</v>
      </c>
      <c r="P680" t="n">
        <v>0</v>
      </c>
      <c r="Q680" t="n">
        <v>0</v>
      </c>
      <c r="R680" s="2" t="inlineStr"/>
    </row>
    <row r="681" ht="15" customHeight="1">
      <c r="A681" t="inlineStr">
        <is>
          <t>A 7235-2022</t>
        </is>
      </c>
      <c r="B681" s="1" t="n">
        <v>44606</v>
      </c>
      <c r="C681" s="1" t="n">
        <v>45628</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7485-2022</t>
        </is>
      </c>
      <c r="B682" s="1" t="n">
        <v>44607</v>
      </c>
      <c r="C682" s="1" t="n">
        <v>45628</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7746-2022</t>
        </is>
      </c>
      <c r="B683" s="1" t="n">
        <v>44608</v>
      </c>
      <c r="C683" s="1" t="n">
        <v>45628</v>
      </c>
      <c r="D683" t="inlineStr">
        <is>
          <t>VÄRMLANDS LÄN</t>
        </is>
      </c>
      <c r="E683" t="inlineStr">
        <is>
          <t>ÅRJÄNG</t>
        </is>
      </c>
      <c r="G683" t="n">
        <v>3.1</v>
      </c>
      <c r="H683" t="n">
        <v>0</v>
      </c>
      <c r="I683" t="n">
        <v>0</v>
      </c>
      <c r="J683" t="n">
        <v>0</v>
      </c>
      <c r="K683" t="n">
        <v>0</v>
      </c>
      <c r="L683" t="n">
        <v>0</v>
      </c>
      <c r="M683" t="n">
        <v>0</v>
      </c>
      <c r="N683" t="n">
        <v>0</v>
      </c>
      <c r="O683" t="n">
        <v>0</v>
      </c>
      <c r="P683" t="n">
        <v>0</v>
      </c>
      <c r="Q683" t="n">
        <v>0</v>
      </c>
      <c r="R683" s="2" t="inlineStr"/>
    </row>
    <row r="684" ht="15" customHeight="1">
      <c r="A684" t="inlineStr">
        <is>
          <t>A 8292-2022</t>
        </is>
      </c>
      <c r="B684" s="1" t="n">
        <v>44609</v>
      </c>
      <c r="C684" s="1" t="n">
        <v>45628</v>
      </c>
      <c r="D684" t="inlineStr">
        <is>
          <t>VÄRMLANDS LÄN</t>
        </is>
      </c>
      <c r="E684" t="inlineStr">
        <is>
          <t>ÅRJÄNG</t>
        </is>
      </c>
      <c r="G684" t="n">
        <v>3.2</v>
      </c>
      <c r="H684" t="n">
        <v>0</v>
      </c>
      <c r="I684" t="n">
        <v>0</v>
      </c>
      <c r="J684" t="n">
        <v>0</v>
      </c>
      <c r="K684" t="n">
        <v>0</v>
      </c>
      <c r="L684" t="n">
        <v>0</v>
      </c>
      <c r="M684" t="n">
        <v>0</v>
      </c>
      <c r="N684" t="n">
        <v>0</v>
      </c>
      <c r="O684" t="n">
        <v>0</v>
      </c>
      <c r="P684" t="n">
        <v>0</v>
      </c>
      <c r="Q684" t="n">
        <v>0</v>
      </c>
      <c r="R684" s="2" t="inlineStr"/>
    </row>
    <row r="685" ht="15" customHeight="1">
      <c r="A685" t="inlineStr">
        <is>
          <t>A 8408-2022</t>
        </is>
      </c>
      <c r="B685" s="1" t="n">
        <v>44610</v>
      </c>
      <c r="C685" s="1" t="n">
        <v>45628</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8438-2022</t>
        </is>
      </c>
      <c r="B686" s="1" t="n">
        <v>44612</v>
      </c>
      <c r="C686" s="1" t="n">
        <v>45628</v>
      </c>
      <c r="D686" t="inlineStr">
        <is>
          <t>VÄRMLANDS LÄN</t>
        </is>
      </c>
      <c r="E686" t="inlineStr">
        <is>
          <t>ÅRJÄNG</t>
        </is>
      </c>
      <c r="G686" t="n">
        <v>3.4</v>
      </c>
      <c r="H686" t="n">
        <v>0</v>
      </c>
      <c r="I686" t="n">
        <v>0</v>
      </c>
      <c r="J686" t="n">
        <v>0</v>
      </c>
      <c r="K686" t="n">
        <v>0</v>
      </c>
      <c r="L686" t="n">
        <v>0</v>
      </c>
      <c r="M686" t="n">
        <v>0</v>
      </c>
      <c r="N686" t="n">
        <v>0</v>
      </c>
      <c r="O686" t="n">
        <v>0</v>
      </c>
      <c r="P686" t="n">
        <v>0</v>
      </c>
      <c r="Q686" t="n">
        <v>0</v>
      </c>
      <c r="R686" s="2" t="inlineStr"/>
    </row>
    <row r="687" ht="15" customHeight="1">
      <c r="A687" t="inlineStr">
        <is>
          <t>A 8625-2022</t>
        </is>
      </c>
      <c r="B687" s="1" t="n">
        <v>44613</v>
      </c>
      <c r="C687" s="1" t="n">
        <v>45628</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8601-2022</t>
        </is>
      </c>
      <c r="B688" s="1" t="n">
        <v>44613</v>
      </c>
      <c r="C688" s="1" t="n">
        <v>45628</v>
      </c>
      <c r="D688" t="inlineStr">
        <is>
          <t>VÄRMLANDS LÄN</t>
        </is>
      </c>
      <c r="E688" t="inlineStr">
        <is>
          <t>ÅRJÄNG</t>
        </is>
      </c>
      <c r="G688" t="n">
        <v>1.3</v>
      </c>
      <c r="H688" t="n">
        <v>0</v>
      </c>
      <c r="I688" t="n">
        <v>0</v>
      </c>
      <c r="J688" t="n">
        <v>0</v>
      </c>
      <c r="K688" t="n">
        <v>0</v>
      </c>
      <c r="L688" t="n">
        <v>0</v>
      </c>
      <c r="M688" t="n">
        <v>0</v>
      </c>
      <c r="N688" t="n">
        <v>0</v>
      </c>
      <c r="O688" t="n">
        <v>0</v>
      </c>
      <c r="P688" t="n">
        <v>0</v>
      </c>
      <c r="Q688" t="n">
        <v>0</v>
      </c>
      <c r="R688" s="2" t="inlineStr"/>
    </row>
    <row r="689" ht="15" customHeight="1">
      <c r="A689" t="inlineStr">
        <is>
          <t>A 8678-2022</t>
        </is>
      </c>
      <c r="B689" s="1" t="n">
        <v>44613</v>
      </c>
      <c r="C689" s="1" t="n">
        <v>45628</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8818-2022</t>
        </is>
      </c>
      <c r="B690" s="1" t="n">
        <v>44614</v>
      </c>
      <c r="C690" s="1" t="n">
        <v>45628</v>
      </c>
      <c r="D690" t="inlineStr">
        <is>
          <t>VÄRMLANDS LÄN</t>
        </is>
      </c>
      <c r="E690" t="inlineStr">
        <is>
          <t>ÅRJÄNG</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8938-2022</t>
        </is>
      </c>
      <c r="B691" s="1" t="n">
        <v>44614</v>
      </c>
      <c r="C691" s="1" t="n">
        <v>45628</v>
      </c>
      <c r="D691" t="inlineStr">
        <is>
          <t>VÄRMLANDS LÄN</t>
        </is>
      </c>
      <c r="E691" t="inlineStr">
        <is>
          <t>ÅRJÄNG</t>
        </is>
      </c>
      <c r="G691" t="n">
        <v>11.9</v>
      </c>
      <c r="H691" t="n">
        <v>0</v>
      </c>
      <c r="I691" t="n">
        <v>0</v>
      </c>
      <c r="J691" t="n">
        <v>0</v>
      </c>
      <c r="K691" t="n">
        <v>0</v>
      </c>
      <c r="L691" t="n">
        <v>0</v>
      </c>
      <c r="M691" t="n">
        <v>0</v>
      </c>
      <c r="N691" t="n">
        <v>0</v>
      </c>
      <c r="O691" t="n">
        <v>0</v>
      </c>
      <c r="P691" t="n">
        <v>0</v>
      </c>
      <c r="Q691" t="n">
        <v>0</v>
      </c>
      <c r="R691" s="2" t="inlineStr"/>
    </row>
    <row r="692" ht="15" customHeight="1">
      <c r="A692" t="inlineStr">
        <is>
          <t>A 9407-2022</t>
        </is>
      </c>
      <c r="B692" s="1" t="n">
        <v>44616</v>
      </c>
      <c r="C692" s="1" t="n">
        <v>45628</v>
      </c>
      <c r="D692" t="inlineStr">
        <is>
          <t>VÄRMLANDS LÄN</t>
        </is>
      </c>
      <c r="E692" t="inlineStr">
        <is>
          <t>ÅRJÄNG</t>
        </is>
      </c>
      <c r="G692" t="n">
        <v>0.9</v>
      </c>
      <c r="H692" t="n">
        <v>0</v>
      </c>
      <c r="I692" t="n">
        <v>0</v>
      </c>
      <c r="J692" t="n">
        <v>0</v>
      </c>
      <c r="K692" t="n">
        <v>0</v>
      </c>
      <c r="L692" t="n">
        <v>0</v>
      </c>
      <c r="M692" t="n">
        <v>0</v>
      </c>
      <c r="N692" t="n">
        <v>0</v>
      </c>
      <c r="O692" t="n">
        <v>0</v>
      </c>
      <c r="P692" t="n">
        <v>0</v>
      </c>
      <c r="Q692" t="n">
        <v>0</v>
      </c>
      <c r="R692" s="2" t="inlineStr"/>
    </row>
    <row r="693" ht="15" customHeight="1">
      <c r="A693" t="inlineStr">
        <is>
          <t>A 9369-2022</t>
        </is>
      </c>
      <c r="B693" s="1" t="n">
        <v>44616</v>
      </c>
      <c r="C693" s="1" t="n">
        <v>45628</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9630-2022</t>
        </is>
      </c>
      <c r="B694" s="1" t="n">
        <v>44617</v>
      </c>
      <c r="C694" s="1" t="n">
        <v>45628</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9885-2022</t>
        </is>
      </c>
      <c r="B695" s="1" t="n">
        <v>44620</v>
      </c>
      <c r="C695" s="1" t="n">
        <v>45628</v>
      </c>
      <c r="D695" t="inlineStr">
        <is>
          <t>VÄRMLANDS LÄN</t>
        </is>
      </c>
      <c r="E695" t="inlineStr">
        <is>
          <t>ÅRJÄNG</t>
        </is>
      </c>
      <c r="G695" t="n">
        <v>3.2</v>
      </c>
      <c r="H695" t="n">
        <v>0</v>
      </c>
      <c r="I695" t="n">
        <v>0</v>
      </c>
      <c r="J695" t="n">
        <v>0</v>
      </c>
      <c r="K695" t="n">
        <v>0</v>
      </c>
      <c r="L695" t="n">
        <v>0</v>
      </c>
      <c r="M695" t="n">
        <v>0</v>
      </c>
      <c r="N695" t="n">
        <v>0</v>
      </c>
      <c r="O695" t="n">
        <v>0</v>
      </c>
      <c r="P695" t="n">
        <v>0</v>
      </c>
      <c r="Q695" t="n">
        <v>0</v>
      </c>
      <c r="R695" s="2" t="inlineStr"/>
    </row>
    <row r="696" ht="15" customHeight="1">
      <c r="A696" t="inlineStr">
        <is>
          <t>A 10006-2022</t>
        </is>
      </c>
      <c r="B696" s="1" t="n">
        <v>44621</v>
      </c>
      <c r="C696" s="1" t="n">
        <v>45628</v>
      </c>
      <c r="D696" t="inlineStr">
        <is>
          <t>VÄRMLANDS LÄN</t>
        </is>
      </c>
      <c r="E696" t="inlineStr">
        <is>
          <t>ÅRJÄNG</t>
        </is>
      </c>
      <c r="G696" t="n">
        <v>3.7</v>
      </c>
      <c r="H696" t="n">
        <v>0</v>
      </c>
      <c r="I696" t="n">
        <v>0</v>
      </c>
      <c r="J696" t="n">
        <v>0</v>
      </c>
      <c r="K696" t="n">
        <v>0</v>
      </c>
      <c r="L696" t="n">
        <v>0</v>
      </c>
      <c r="M696" t="n">
        <v>0</v>
      </c>
      <c r="N696" t="n">
        <v>0</v>
      </c>
      <c r="O696" t="n">
        <v>0</v>
      </c>
      <c r="P696" t="n">
        <v>0</v>
      </c>
      <c r="Q696" t="n">
        <v>0</v>
      </c>
      <c r="R696" s="2" t="inlineStr"/>
    </row>
    <row r="697" ht="15" customHeight="1">
      <c r="A697" t="inlineStr">
        <is>
          <t>A 10519-2022</t>
        </is>
      </c>
      <c r="B697" s="1" t="n">
        <v>44623</v>
      </c>
      <c r="C697" s="1" t="n">
        <v>45628</v>
      </c>
      <c r="D697" t="inlineStr">
        <is>
          <t>VÄRMLANDS LÄN</t>
        </is>
      </c>
      <c r="E697" t="inlineStr">
        <is>
          <t>ÅRJÄNG</t>
        </is>
      </c>
      <c r="G697" t="n">
        <v>3.4</v>
      </c>
      <c r="H697" t="n">
        <v>0</v>
      </c>
      <c r="I697" t="n">
        <v>0</v>
      </c>
      <c r="J697" t="n">
        <v>0</v>
      </c>
      <c r="K697" t="n">
        <v>0</v>
      </c>
      <c r="L697" t="n">
        <v>0</v>
      </c>
      <c r="M697" t="n">
        <v>0</v>
      </c>
      <c r="N697" t="n">
        <v>0</v>
      </c>
      <c r="O697" t="n">
        <v>0</v>
      </c>
      <c r="P697" t="n">
        <v>0</v>
      </c>
      <c r="Q697" t="n">
        <v>0</v>
      </c>
      <c r="R697" s="2" t="inlineStr"/>
    </row>
    <row r="698" ht="15" customHeight="1">
      <c r="A698" t="inlineStr">
        <is>
          <t>A 10518-2022</t>
        </is>
      </c>
      <c r="B698" s="1" t="n">
        <v>44623</v>
      </c>
      <c r="C698" s="1" t="n">
        <v>45628</v>
      </c>
      <c r="D698" t="inlineStr">
        <is>
          <t>VÄRMLANDS LÄN</t>
        </is>
      </c>
      <c r="E698" t="inlineStr">
        <is>
          <t>ÅRJÄNG</t>
        </is>
      </c>
      <c r="G698" t="n">
        <v>0.5</v>
      </c>
      <c r="H698" t="n">
        <v>0</v>
      </c>
      <c r="I698" t="n">
        <v>0</v>
      </c>
      <c r="J698" t="n">
        <v>0</v>
      </c>
      <c r="K698" t="n">
        <v>0</v>
      </c>
      <c r="L698" t="n">
        <v>0</v>
      </c>
      <c r="M698" t="n">
        <v>0</v>
      </c>
      <c r="N698" t="n">
        <v>0</v>
      </c>
      <c r="O698" t="n">
        <v>0</v>
      </c>
      <c r="P698" t="n">
        <v>0</v>
      </c>
      <c r="Q698" t="n">
        <v>0</v>
      </c>
      <c r="R698" s="2" t="inlineStr"/>
    </row>
    <row r="699" ht="15" customHeight="1">
      <c r="A699" t="inlineStr">
        <is>
          <t>A 10612-2022</t>
        </is>
      </c>
      <c r="B699" s="1" t="n">
        <v>44624</v>
      </c>
      <c r="C699" s="1" t="n">
        <v>45628</v>
      </c>
      <c r="D699" t="inlineStr">
        <is>
          <t>VÄRMLANDS LÄN</t>
        </is>
      </c>
      <c r="E699" t="inlineStr">
        <is>
          <t>ÅRJÄNG</t>
        </is>
      </c>
      <c r="G699" t="n">
        <v>6.8</v>
      </c>
      <c r="H699" t="n">
        <v>0</v>
      </c>
      <c r="I699" t="n">
        <v>0</v>
      </c>
      <c r="J699" t="n">
        <v>0</v>
      </c>
      <c r="K699" t="n">
        <v>0</v>
      </c>
      <c r="L699" t="n">
        <v>0</v>
      </c>
      <c r="M699" t="n">
        <v>0</v>
      </c>
      <c r="N699" t="n">
        <v>0</v>
      </c>
      <c r="O699" t="n">
        <v>0</v>
      </c>
      <c r="P699" t="n">
        <v>0</v>
      </c>
      <c r="Q699" t="n">
        <v>0</v>
      </c>
      <c r="R699" s="2" t="inlineStr"/>
    </row>
    <row r="700" ht="15" customHeight="1">
      <c r="A700" t="inlineStr">
        <is>
          <t>A 10627-2022</t>
        </is>
      </c>
      <c r="B700" s="1" t="n">
        <v>44624</v>
      </c>
      <c r="C700" s="1" t="n">
        <v>45628</v>
      </c>
      <c r="D700" t="inlineStr">
        <is>
          <t>VÄRMLANDS LÄN</t>
        </is>
      </c>
      <c r="E700" t="inlineStr">
        <is>
          <t>ÅRJÄNG</t>
        </is>
      </c>
      <c r="G700" t="n">
        <v>2.1</v>
      </c>
      <c r="H700" t="n">
        <v>0</v>
      </c>
      <c r="I700" t="n">
        <v>0</v>
      </c>
      <c r="J700" t="n">
        <v>0</v>
      </c>
      <c r="K700" t="n">
        <v>0</v>
      </c>
      <c r="L700" t="n">
        <v>0</v>
      </c>
      <c r="M700" t="n">
        <v>0</v>
      </c>
      <c r="N700" t="n">
        <v>0</v>
      </c>
      <c r="O700" t="n">
        <v>0</v>
      </c>
      <c r="P700" t="n">
        <v>0</v>
      </c>
      <c r="Q700" t="n">
        <v>0</v>
      </c>
      <c r="R700" s="2" t="inlineStr"/>
    </row>
    <row r="701" ht="15" customHeight="1">
      <c r="A701" t="inlineStr">
        <is>
          <t>A 10898-2022</t>
        </is>
      </c>
      <c r="B701" s="1" t="n">
        <v>44627</v>
      </c>
      <c r="C701" s="1" t="n">
        <v>45628</v>
      </c>
      <c r="D701" t="inlineStr">
        <is>
          <t>VÄRMLANDS LÄN</t>
        </is>
      </c>
      <c r="E701" t="inlineStr">
        <is>
          <t>ÅRJÄNG</t>
        </is>
      </c>
      <c r="G701" t="n">
        <v>10.2</v>
      </c>
      <c r="H701" t="n">
        <v>0</v>
      </c>
      <c r="I701" t="n">
        <v>0</v>
      </c>
      <c r="J701" t="n">
        <v>0</v>
      </c>
      <c r="K701" t="n">
        <v>0</v>
      </c>
      <c r="L701" t="n">
        <v>0</v>
      </c>
      <c r="M701" t="n">
        <v>0</v>
      </c>
      <c r="N701" t="n">
        <v>0</v>
      </c>
      <c r="O701" t="n">
        <v>0</v>
      </c>
      <c r="P701" t="n">
        <v>0</v>
      </c>
      <c r="Q701" t="n">
        <v>0</v>
      </c>
      <c r="R701" s="2" t="inlineStr"/>
    </row>
    <row r="702" ht="15" customHeight="1">
      <c r="A702" t="inlineStr">
        <is>
          <t>A 10884-2022</t>
        </is>
      </c>
      <c r="B702" s="1" t="n">
        <v>44627</v>
      </c>
      <c r="C702" s="1" t="n">
        <v>45628</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10899-2022</t>
        </is>
      </c>
      <c r="B703" s="1" t="n">
        <v>44627</v>
      </c>
      <c r="C703" s="1" t="n">
        <v>45628</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11030-2022</t>
        </is>
      </c>
      <c r="B704" s="1" t="n">
        <v>44628</v>
      </c>
      <c r="C704" s="1" t="n">
        <v>45628</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11037-2022</t>
        </is>
      </c>
      <c r="B705" s="1" t="n">
        <v>44628</v>
      </c>
      <c r="C705" s="1" t="n">
        <v>45628</v>
      </c>
      <c r="D705" t="inlineStr">
        <is>
          <t>VÄRMLANDS LÄN</t>
        </is>
      </c>
      <c r="E705" t="inlineStr">
        <is>
          <t>ÅRJÄNG</t>
        </is>
      </c>
      <c r="G705" t="n">
        <v>1</v>
      </c>
      <c r="H705" t="n">
        <v>0</v>
      </c>
      <c r="I705" t="n">
        <v>0</v>
      </c>
      <c r="J705" t="n">
        <v>0</v>
      </c>
      <c r="K705" t="n">
        <v>0</v>
      </c>
      <c r="L705" t="n">
        <v>0</v>
      </c>
      <c r="M705" t="n">
        <v>0</v>
      </c>
      <c r="N705" t="n">
        <v>0</v>
      </c>
      <c r="O705" t="n">
        <v>0</v>
      </c>
      <c r="P705" t="n">
        <v>0</v>
      </c>
      <c r="Q705" t="n">
        <v>0</v>
      </c>
      <c r="R705" s="2" t="inlineStr"/>
    </row>
    <row r="706" ht="15" customHeight="1">
      <c r="A706" t="inlineStr">
        <is>
          <t>A 11043-2022</t>
        </is>
      </c>
      <c r="B706" s="1" t="n">
        <v>44628</v>
      </c>
      <c r="C706" s="1" t="n">
        <v>45628</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11585-2022</t>
        </is>
      </c>
      <c r="B707" s="1" t="n">
        <v>44631</v>
      </c>
      <c r="C707" s="1" t="n">
        <v>45628</v>
      </c>
      <c r="D707" t="inlineStr">
        <is>
          <t>VÄRMLANDS LÄN</t>
        </is>
      </c>
      <c r="E707" t="inlineStr">
        <is>
          <t>ÅRJÄNG</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11620-2022</t>
        </is>
      </c>
      <c r="B708" s="1" t="n">
        <v>44631</v>
      </c>
      <c r="C708" s="1" t="n">
        <v>45628</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11508-2022</t>
        </is>
      </c>
      <c r="B709" s="1" t="n">
        <v>44631</v>
      </c>
      <c r="C709" s="1" t="n">
        <v>45628</v>
      </c>
      <c r="D709" t="inlineStr">
        <is>
          <t>VÄRMLANDS LÄN</t>
        </is>
      </c>
      <c r="E709" t="inlineStr">
        <is>
          <t>ÅRJÄNG</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11548-2022</t>
        </is>
      </c>
      <c r="B710" s="1" t="n">
        <v>44631</v>
      </c>
      <c r="C710" s="1" t="n">
        <v>45628</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11684-2022</t>
        </is>
      </c>
      <c r="B711" s="1" t="n">
        <v>44631</v>
      </c>
      <c r="C711" s="1" t="n">
        <v>45628</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11936-2022</t>
        </is>
      </c>
      <c r="B712" s="1" t="n">
        <v>44635</v>
      </c>
      <c r="C712" s="1" t="n">
        <v>45628</v>
      </c>
      <c r="D712" t="inlineStr">
        <is>
          <t>VÄRMLANDS LÄN</t>
        </is>
      </c>
      <c r="E712" t="inlineStr">
        <is>
          <t>ÅRJÄNG</t>
        </is>
      </c>
      <c r="G712" t="n">
        <v>11.1</v>
      </c>
      <c r="H712" t="n">
        <v>0</v>
      </c>
      <c r="I712" t="n">
        <v>0</v>
      </c>
      <c r="J712" t="n">
        <v>0</v>
      </c>
      <c r="K712" t="n">
        <v>0</v>
      </c>
      <c r="L712" t="n">
        <v>0</v>
      </c>
      <c r="M712" t="n">
        <v>0</v>
      </c>
      <c r="N712" t="n">
        <v>0</v>
      </c>
      <c r="O712" t="n">
        <v>0</v>
      </c>
      <c r="P712" t="n">
        <v>0</v>
      </c>
      <c r="Q712" t="n">
        <v>0</v>
      </c>
      <c r="R712" s="2" t="inlineStr"/>
    </row>
    <row r="713" ht="15" customHeight="1">
      <c r="A713" t="inlineStr">
        <is>
          <t>A 11934-2022</t>
        </is>
      </c>
      <c r="B713" s="1" t="n">
        <v>44635</v>
      </c>
      <c r="C713" s="1" t="n">
        <v>45628</v>
      </c>
      <c r="D713" t="inlineStr">
        <is>
          <t>VÄRMLANDS LÄN</t>
        </is>
      </c>
      <c r="E713" t="inlineStr">
        <is>
          <t>ÅRJÄNG</t>
        </is>
      </c>
      <c r="G713" t="n">
        <v>0.9</v>
      </c>
      <c r="H713" t="n">
        <v>0</v>
      </c>
      <c r="I713" t="n">
        <v>0</v>
      </c>
      <c r="J713" t="n">
        <v>0</v>
      </c>
      <c r="K713" t="n">
        <v>0</v>
      </c>
      <c r="L713" t="n">
        <v>0</v>
      </c>
      <c r="M713" t="n">
        <v>0</v>
      </c>
      <c r="N713" t="n">
        <v>0</v>
      </c>
      <c r="O713" t="n">
        <v>0</v>
      </c>
      <c r="P713" t="n">
        <v>0</v>
      </c>
      <c r="Q713" t="n">
        <v>0</v>
      </c>
      <c r="R713" s="2" t="inlineStr"/>
    </row>
    <row r="714" ht="15" customHeight="1">
      <c r="A714" t="inlineStr">
        <is>
          <t>A 12068-2022</t>
        </is>
      </c>
      <c r="B714" s="1" t="n">
        <v>44636</v>
      </c>
      <c r="C714" s="1" t="n">
        <v>45628</v>
      </c>
      <c r="D714" t="inlineStr">
        <is>
          <t>VÄRMLANDS LÄN</t>
        </is>
      </c>
      <c r="E714" t="inlineStr">
        <is>
          <t>ÅRJÄNG</t>
        </is>
      </c>
      <c r="G714" t="n">
        <v>4.3</v>
      </c>
      <c r="H714" t="n">
        <v>0</v>
      </c>
      <c r="I714" t="n">
        <v>0</v>
      </c>
      <c r="J714" t="n">
        <v>0</v>
      </c>
      <c r="K714" t="n">
        <v>0</v>
      </c>
      <c r="L714" t="n">
        <v>0</v>
      </c>
      <c r="M714" t="n">
        <v>0</v>
      </c>
      <c r="N714" t="n">
        <v>0</v>
      </c>
      <c r="O714" t="n">
        <v>0</v>
      </c>
      <c r="P714" t="n">
        <v>0</v>
      </c>
      <c r="Q714" t="n">
        <v>0</v>
      </c>
      <c r="R714" s="2" t="inlineStr"/>
    </row>
    <row r="715" ht="15" customHeight="1">
      <c r="A715" t="inlineStr">
        <is>
          <t>A 12514-2022</t>
        </is>
      </c>
      <c r="B715" s="1" t="n">
        <v>44638</v>
      </c>
      <c r="C715" s="1" t="n">
        <v>45628</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12583-2022</t>
        </is>
      </c>
      <c r="B716" s="1" t="n">
        <v>44639</v>
      </c>
      <c r="C716" s="1" t="n">
        <v>45628</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12693-2022</t>
        </is>
      </c>
      <c r="B717" s="1" t="n">
        <v>44641</v>
      </c>
      <c r="C717" s="1" t="n">
        <v>45628</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12907-2022</t>
        </is>
      </c>
      <c r="B718" s="1" t="n">
        <v>44642</v>
      </c>
      <c r="C718" s="1" t="n">
        <v>45628</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13042-2022</t>
        </is>
      </c>
      <c r="B719" s="1" t="n">
        <v>44643</v>
      </c>
      <c r="C719" s="1" t="n">
        <v>45628</v>
      </c>
      <c r="D719" t="inlineStr">
        <is>
          <t>VÄRMLANDS LÄN</t>
        </is>
      </c>
      <c r="E719" t="inlineStr">
        <is>
          <t>ÅRJÄNG</t>
        </is>
      </c>
      <c r="G719" t="n">
        <v>2.5</v>
      </c>
      <c r="H719" t="n">
        <v>0</v>
      </c>
      <c r="I719" t="n">
        <v>0</v>
      </c>
      <c r="J719" t="n">
        <v>0</v>
      </c>
      <c r="K719" t="n">
        <v>0</v>
      </c>
      <c r="L719" t="n">
        <v>0</v>
      </c>
      <c r="M719" t="n">
        <v>0</v>
      </c>
      <c r="N719" t="n">
        <v>0</v>
      </c>
      <c r="O719" t="n">
        <v>0</v>
      </c>
      <c r="P719" t="n">
        <v>0</v>
      </c>
      <c r="Q719" t="n">
        <v>0</v>
      </c>
      <c r="R719" s="2" t="inlineStr"/>
    </row>
    <row r="720" ht="15" customHeight="1">
      <c r="A720" t="inlineStr">
        <is>
          <t>A 13063-2022</t>
        </is>
      </c>
      <c r="B720" s="1" t="n">
        <v>44643</v>
      </c>
      <c r="C720" s="1" t="n">
        <v>45628</v>
      </c>
      <c r="D720" t="inlineStr">
        <is>
          <t>VÄRMLANDS LÄN</t>
        </is>
      </c>
      <c r="E720" t="inlineStr">
        <is>
          <t>ÅRJÄNG</t>
        </is>
      </c>
      <c r="G720" t="n">
        <v>9.5</v>
      </c>
      <c r="H720" t="n">
        <v>0</v>
      </c>
      <c r="I720" t="n">
        <v>0</v>
      </c>
      <c r="J720" t="n">
        <v>0</v>
      </c>
      <c r="K720" t="n">
        <v>0</v>
      </c>
      <c r="L720" t="n">
        <v>0</v>
      </c>
      <c r="M720" t="n">
        <v>0</v>
      </c>
      <c r="N720" t="n">
        <v>0</v>
      </c>
      <c r="O720" t="n">
        <v>0</v>
      </c>
      <c r="P720" t="n">
        <v>0</v>
      </c>
      <c r="Q720" t="n">
        <v>0</v>
      </c>
      <c r="R720" s="2" t="inlineStr"/>
    </row>
    <row r="721" ht="15" customHeight="1">
      <c r="A721" t="inlineStr">
        <is>
          <t>A 13156-2022</t>
        </is>
      </c>
      <c r="B721" s="1" t="n">
        <v>44643</v>
      </c>
      <c r="C721" s="1" t="n">
        <v>45628</v>
      </c>
      <c r="D721" t="inlineStr">
        <is>
          <t>VÄRMLANDS LÄN</t>
        </is>
      </c>
      <c r="E721" t="inlineStr">
        <is>
          <t>ÅRJÄNG</t>
        </is>
      </c>
      <c r="G721" t="n">
        <v>7.8</v>
      </c>
      <c r="H721" t="n">
        <v>0</v>
      </c>
      <c r="I721" t="n">
        <v>0</v>
      </c>
      <c r="J721" t="n">
        <v>0</v>
      </c>
      <c r="K721" t="n">
        <v>0</v>
      </c>
      <c r="L721" t="n">
        <v>0</v>
      </c>
      <c r="M721" t="n">
        <v>0</v>
      </c>
      <c r="N721" t="n">
        <v>0</v>
      </c>
      <c r="O721" t="n">
        <v>0</v>
      </c>
      <c r="P721" t="n">
        <v>0</v>
      </c>
      <c r="Q721" t="n">
        <v>0</v>
      </c>
      <c r="R721" s="2" t="inlineStr"/>
    </row>
    <row r="722" ht="15" customHeight="1">
      <c r="A722" t="inlineStr">
        <is>
          <t>A 13152-2022</t>
        </is>
      </c>
      <c r="B722" s="1" t="n">
        <v>44643</v>
      </c>
      <c r="C722" s="1" t="n">
        <v>45628</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13060-2022</t>
        </is>
      </c>
      <c r="B723" s="1" t="n">
        <v>44643</v>
      </c>
      <c r="C723" s="1" t="n">
        <v>45628</v>
      </c>
      <c r="D723" t="inlineStr">
        <is>
          <t>VÄRMLANDS LÄN</t>
        </is>
      </c>
      <c r="E723" t="inlineStr">
        <is>
          <t>ÅRJÄNG</t>
        </is>
      </c>
      <c r="G723" t="n">
        <v>2.6</v>
      </c>
      <c r="H723" t="n">
        <v>0</v>
      </c>
      <c r="I723" t="n">
        <v>0</v>
      </c>
      <c r="J723" t="n">
        <v>0</v>
      </c>
      <c r="K723" t="n">
        <v>0</v>
      </c>
      <c r="L723" t="n">
        <v>0</v>
      </c>
      <c r="M723" t="n">
        <v>0</v>
      </c>
      <c r="N723" t="n">
        <v>0</v>
      </c>
      <c r="O723" t="n">
        <v>0</v>
      </c>
      <c r="P723" t="n">
        <v>0</v>
      </c>
      <c r="Q723" t="n">
        <v>0</v>
      </c>
      <c r="R723" s="2" t="inlineStr"/>
    </row>
    <row r="724" ht="15" customHeight="1">
      <c r="A724" t="inlineStr">
        <is>
          <t>A 13166-2022</t>
        </is>
      </c>
      <c r="B724" s="1" t="n">
        <v>44643</v>
      </c>
      <c r="C724" s="1" t="n">
        <v>45628</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13123-2022</t>
        </is>
      </c>
      <c r="B725" s="1" t="n">
        <v>44644</v>
      </c>
      <c r="C725" s="1" t="n">
        <v>45628</v>
      </c>
      <c r="D725" t="inlineStr">
        <is>
          <t>VÄRMLANDS LÄN</t>
        </is>
      </c>
      <c r="E725" t="inlineStr">
        <is>
          <t>ÅRJÄNG</t>
        </is>
      </c>
      <c r="G725" t="n">
        <v>2.4</v>
      </c>
      <c r="H725" t="n">
        <v>0</v>
      </c>
      <c r="I725" t="n">
        <v>0</v>
      </c>
      <c r="J725" t="n">
        <v>0</v>
      </c>
      <c r="K725" t="n">
        <v>0</v>
      </c>
      <c r="L725" t="n">
        <v>0</v>
      </c>
      <c r="M725" t="n">
        <v>0</v>
      </c>
      <c r="N725" t="n">
        <v>0</v>
      </c>
      <c r="O725" t="n">
        <v>0</v>
      </c>
      <c r="P725" t="n">
        <v>0</v>
      </c>
      <c r="Q725" t="n">
        <v>0</v>
      </c>
      <c r="R725" s="2" t="inlineStr"/>
    </row>
    <row r="726" ht="15" customHeight="1">
      <c r="A726" t="inlineStr">
        <is>
          <t>A 13160-2022</t>
        </is>
      </c>
      <c r="B726" s="1" t="n">
        <v>44644</v>
      </c>
      <c r="C726" s="1" t="n">
        <v>45628</v>
      </c>
      <c r="D726" t="inlineStr">
        <is>
          <t>VÄRMLANDS LÄN</t>
        </is>
      </c>
      <c r="E726" t="inlineStr">
        <is>
          <t>ÅRJÄNG</t>
        </is>
      </c>
      <c r="G726" t="n">
        <v>1.2</v>
      </c>
      <c r="H726" t="n">
        <v>0</v>
      </c>
      <c r="I726" t="n">
        <v>0</v>
      </c>
      <c r="J726" t="n">
        <v>0</v>
      </c>
      <c r="K726" t="n">
        <v>0</v>
      </c>
      <c r="L726" t="n">
        <v>0</v>
      </c>
      <c r="M726" t="n">
        <v>0</v>
      </c>
      <c r="N726" t="n">
        <v>0</v>
      </c>
      <c r="O726" t="n">
        <v>0</v>
      </c>
      <c r="P726" t="n">
        <v>0</v>
      </c>
      <c r="Q726" t="n">
        <v>0</v>
      </c>
      <c r="R726" s="2" t="inlineStr"/>
    </row>
    <row r="727" ht="15" customHeight="1">
      <c r="A727" t="inlineStr">
        <is>
          <t>A 13593-2022</t>
        </is>
      </c>
      <c r="B727" s="1" t="n">
        <v>44648</v>
      </c>
      <c r="C727" s="1" t="n">
        <v>45628</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13654-2022</t>
        </is>
      </c>
      <c r="B728" s="1" t="n">
        <v>44648</v>
      </c>
      <c r="C728" s="1" t="n">
        <v>45628</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13957-2022</t>
        </is>
      </c>
      <c r="B729" s="1" t="n">
        <v>44650</v>
      </c>
      <c r="C729" s="1" t="n">
        <v>45628</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14310-2022</t>
        </is>
      </c>
      <c r="B730" s="1" t="n">
        <v>44652</v>
      </c>
      <c r="C730" s="1" t="n">
        <v>45628</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14507-2022</t>
        </is>
      </c>
      <c r="B731" s="1" t="n">
        <v>44655</v>
      </c>
      <c r="C731" s="1" t="n">
        <v>45628</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14509-2022</t>
        </is>
      </c>
      <c r="B732" s="1" t="n">
        <v>44655</v>
      </c>
      <c r="C732" s="1" t="n">
        <v>45628</v>
      </c>
      <c r="D732" t="inlineStr">
        <is>
          <t>VÄRMLANDS LÄN</t>
        </is>
      </c>
      <c r="E732" t="inlineStr">
        <is>
          <t>ÅRJÄNG</t>
        </is>
      </c>
      <c r="G732" t="n">
        <v>0.2</v>
      </c>
      <c r="H732" t="n">
        <v>0</v>
      </c>
      <c r="I732" t="n">
        <v>0</v>
      </c>
      <c r="J732" t="n">
        <v>0</v>
      </c>
      <c r="K732" t="n">
        <v>0</v>
      </c>
      <c r="L732" t="n">
        <v>0</v>
      </c>
      <c r="M732" t="n">
        <v>0</v>
      </c>
      <c r="N732" t="n">
        <v>0</v>
      </c>
      <c r="O732" t="n">
        <v>0</v>
      </c>
      <c r="P732" t="n">
        <v>0</v>
      </c>
      <c r="Q732" t="n">
        <v>0</v>
      </c>
      <c r="R732" s="2" t="inlineStr"/>
    </row>
    <row r="733" ht="15" customHeight="1">
      <c r="A733" t="inlineStr">
        <is>
          <t>A 15308-2022</t>
        </is>
      </c>
      <c r="B733" s="1" t="n">
        <v>44659</v>
      </c>
      <c r="C733" s="1" t="n">
        <v>45628</v>
      </c>
      <c r="D733" t="inlineStr">
        <is>
          <t>VÄRMLANDS LÄN</t>
        </is>
      </c>
      <c r="E733" t="inlineStr">
        <is>
          <t>ÅRJÄNG</t>
        </is>
      </c>
      <c r="G733" t="n">
        <v>10.7</v>
      </c>
      <c r="H733" t="n">
        <v>0</v>
      </c>
      <c r="I733" t="n">
        <v>0</v>
      </c>
      <c r="J733" t="n">
        <v>0</v>
      </c>
      <c r="K733" t="n">
        <v>0</v>
      </c>
      <c r="L733" t="n">
        <v>0</v>
      </c>
      <c r="M733" t="n">
        <v>0</v>
      </c>
      <c r="N733" t="n">
        <v>0</v>
      </c>
      <c r="O733" t="n">
        <v>0</v>
      </c>
      <c r="P733" t="n">
        <v>0</v>
      </c>
      <c r="Q733" t="n">
        <v>0</v>
      </c>
      <c r="R733" s="2" t="inlineStr"/>
    </row>
    <row r="734" ht="15" customHeight="1">
      <c r="A734" t="inlineStr">
        <is>
          <t>A 15327-2022</t>
        </is>
      </c>
      <c r="B734" s="1" t="n">
        <v>44659</v>
      </c>
      <c r="C734" s="1" t="n">
        <v>45628</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15696-2022</t>
        </is>
      </c>
      <c r="B735" s="1" t="n">
        <v>44663</v>
      </c>
      <c r="C735" s="1" t="n">
        <v>45628</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15903-2022</t>
        </is>
      </c>
      <c r="B736" s="1" t="n">
        <v>44664</v>
      </c>
      <c r="C736" s="1" t="n">
        <v>45628</v>
      </c>
      <c r="D736" t="inlineStr">
        <is>
          <t>VÄRMLANDS LÄN</t>
        </is>
      </c>
      <c r="E736" t="inlineStr">
        <is>
          <t>ÅRJÄNG</t>
        </is>
      </c>
      <c r="G736" t="n">
        <v>5</v>
      </c>
      <c r="H736" t="n">
        <v>0</v>
      </c>
      <c r="I736" t="n">
        <v>0</v>
      </c>
      <c r="J736" t="n">
        <v>0</v>
      </c>
      <c r="K736" t="n">
        <v>0</v>
      </c>
      <c r="L736" t="n">
        <v>0</v>
      </c>
      <c r="M736" t="n">
        <v>0</v>
      </c>
      <c r="N736" t="n">
        <v>0</v>
      </c>
      <c r="O736" t="n">
        <v>0</v>
      </c>
      <c r="P736" t="n">
        <v>0</v>
      </c>
      <c r="Q736" t="n">
        <v>0</v>
      </c>
      <c r="R736" s="2" t="inlineStr"/>
    </row>
    <row r="737" ht="15" customHeight="1">
      <c r="A737" t="inlineStr">
        <is>
          <t>A 16383-2022</t>
        </is>
      </c>
      <c r="B737" s="1" t="n">
        <v>44671</v>
      </c>
      <c r="C737" s="1" t="n">
        <v>45628</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16399-2022</t>
        </is>
      </c>
      <c r="B738" s="1" t="n">
        <v>44671</v>
      </c>
      <c r="C738" s="1" t="n">
        <v>45628</v>
      </c>
      <c r="D738" t="inlineStr">
        <is>
          <t>VÄRMLANDS LÄN</t>
        </is>
      </c>
      <c r="E738" t="inlineStr">
        <is>
          <t>ÅRJÄNG</t>
        </is>
      </c>
      <c r="G738" t="n">
        <v>0.9</v>
      </c>
      <c r="H738" t="n">
        <v>0</v>
      </c>
      <c r="I738" t="n">
        <v>0</v>
      </c>
      <c r="J738" t="n">
        <v>0</v>
      </c>
      <c r="K738" t="n">
        <v>0</v>
      </c>
      <c r="L738" t="n">
        <v>0</v>
      </c>
      <c r="M738" t="n">
        <v>0</v>
      </c>
      <c r="N738" t="n">
        <v>0</v>
      </c>
      <c r="O738" t="n">
        <v>0</v>
      </c>
      <c r="P738" t="n">
        <v>0</v>
      </c>
      <c r="Q738" t="n">
        <v>0</v>
      </c>
      <c r="R738" s="2" t="inlineStr"/>
    </row>
    <row r="739" ht="15" customHeight="1">
      <c r="A739" t="inlineStr">
        <is>
          <t>A 16400-2022</t>
        </is>
      </c>
      <c r="B739" s="1" t="n">
        <v>44671</v>
      </c>
      <c r="C739" s="1" t="n">
        <v>45628</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16642-2022</t>
        </is>
      </c>
      <c r="B740" s="1" t="n">
        <v>44672</v>
      </c>
      <c r="C740" s="1" t="n">
        <v>45628</v>
      </c>
      <c r="D740" t="inlineStr">
        <is>
          <t>VÄRMLANDS LÄN</t>
        </is>
      </c>
      <c r="E740" t="inlineStr">
        <is>
          <t>ÅRJÄNG</t>
        </is>
      </c>
      <c r="G740" t="n">
        <v>3.5</v>
      </c>
      <c r="H740" t="n">
        <v>0</v>
      </c>
      <c r="I740" t="n">
        <v>0</v>
      </c>
      <c r="J740" t="n">
        <v>0</v>
      </c>
      <c r="K740" t="n">
        <v>0</v>
      </c>
      <c r="L740" t="n">
        <v>0</v>
      </c>
      <c r="M740" t="n">
        <v>0</v>
      </c>
      <c r="N740" t="n">
        <v>0</v>
      </c>
      <c r="O740" t="n">
        <v>0</v>
      </c>
      <c r="P740" t="n">
        <v>0</v>
      </c>
      <c r="Q740" t="n">
        <v>0</v>
      </c>
      <c r="R740" s="2" t="inlineStr"/>
    </row>
    <row r="741" ht="15" customHeight="1">
      <c r="A741" t="inlineStr">
        <is>
          <t>A 16613-2022</t>
        </is>
      </c>
      <c r="B741" s="1" t="n">
        <v>44672</v>
      </c>
      <c r="C741" s="1" t="n">
        <v>45628</v>
      </c>
      <c r="D741" t="inlineStr">
        <is>
          <t>VÄRMLANDS LÄN</t>
        </is>
      </c>
      <c r="E741" t="inlineStr">
        <is>
          <t>ÅRJÄNG</t>
        </is>
      </c>
      <c r="G741" t="n">
        <v>2.3</v>
      </c>
      <c r="H741" t="n">
        <v>0</v>
      </c>
      <c r="I741" t="n">
        <v>0</v>
      </c>
      <c r="J741" t="n">
        <v>0</v>
      </c>
      <c r="K741" t="n">
        <v>0</v>
      </c>
      <c r="L741" t="n">
        <v>0</v>
      </c>
      <c r="M741" t="n">
        <v>0</v>
      </c>
      <c r="N741" t="n">
        <v>0</v>
      </c>
      <c r="O741" t="n">
        <v>0</v>
      </c>
      <c r="P741" t="n">
        <v>0</v>
      </c>
      <c r="Q741" t="n">
        <v>0</v>
      </c>
      <c r="R741" s="2" t="inlineStr"/>
    </row>
    <row r="742" ht="15" customHeight="1">
      <c r="A742" t="inlineStr">
        <is>
          <t>A 17135-2022</t>
        </is>
      </c>
      <c r="B742" s="1" t="n">
        <v>44677</v>
      </c>
      <c r="C742" s="1" t="n">
        <v>45628</v>
      </c>
      <c r="D742" t="inlineStr">
        <is>
          <t>VÄRMLANDS LÄN</t>
        </is>
      </c>
      <c r="E742" t="inlineStr">
        <is>
          <t>ÅRJÄNG</t>
        </is>
      </c>
      <c r="G742" t="n">
        <v>9</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v>
      </c>
      <c r="C743" s="1" t="n">
        <v>45628</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17352-2022</t>
        </is>
      </c>
      <c r="B744" s="1" t="n">
        <v>44678</v>
      </c>
      <c r="C744" s="1" t="n">
        <v>45628</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17722-2022</t>
        </is>
      </c>
      <c r="B745" s="1" t="n">
        <v>44680</v>
      </c>
      <c r="C745" s="1" t="n">
        <v>45628</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18095-2022</t>
        </is>
      </c>
      <c r="B746" s="1" t="n">
        <v>44684</v>
      </c>
      <c r="C746" s="1" t="n">
        <v>45628</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18389-2022</t>
        </is>
      </c>
      <c r="B747" s="1" t="n">
        <v>44685</v>
      </c>
      <c r="C747" s="1" t="n">
        <v>45628</v>
      </c>
      <c r="D747" t="inlineStr">
        <is>
          <t>VÄRMLANDS LÄN</t>
        </is>
      </c>
      <c r="E747" t="inlineStr">
        <is>
          <t>ÅRJÄNG</t>
        </is>
      </c>
      <c r="G747" t="n">
        <v>11.1</v>
      </c>
      <c r="H747" t="n">
        <v>0</v>
      </c>
      <c r="I747" t="n">
        <v>0</v>
      </c>
      <c r="J747" t="n">
        <v>0</v>
      </c>
      <c r="K747" t="n">
        <v>0</v>
      </c>
      <c r="L747" t="n">
        <v>0</v>
      </c>
      <c r="M747" t="n">
        <v>0</v>
      </c>
      <c r="N747" t="n">
        <v>0</v>
      </c>
      <c r="O747" t="n">
        <v>0</v>
      </c>
      <c r="P747" t="n">
        <v>0</v>
      </c>
      <c r="Q747" t="n">
        <v>0</v>
      </c>
      <c r="R747" s="2" t="inlineStr"/>
    </row>
    <row r="748" ht="15" customHeight="1">
      <c r="A748" t="inlineStr">
        <is>
          <t>A 18420-2022</t>
        </is>
      </c>
      <c r="B748" s="1" t="n">
        <v>44686</v>
      </c>
      <c r="C748" s="1" t="n">
        <v>45628</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18702-2022</t>
        </is>
      </c>
      <c r="B749" s="1" t="n">
        <v>44687</v>
      </c>
      <c r="C749" s="1" t="n">
        <v>45628</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18840-2022</t>
        </is>
      </c>
      <c r="B750" s="1" t="n">
        <v>44690</v>
      </c>
      <c r="C750" s="1" t="n">
        <v>45628</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19127-2022</t>
        </is>
      </c>
      <c r="B751" s="1" t="n">
        <v>44691</v>
      </c>
      <c r="C751" s="1" t="n">
        <v>45628</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19776-2022</t>
        </is>
      </c>
      <c r="B752" s="1" t="n">
        <v>44694</v>
      </c>
      <c r="C752" s="1" t="n">
        <v>45628</v>
      </c>
      <c r="D752" t="inlineStr">
        <is>
          <t>VÄRMLANDS LÄN</t>
        </is>
      </c>
      <c r="E752" t="inlineStr">
        <is>
          <t>ÅRJÄNG</t>
        </is>
      </c>
      <c r="G752" t="n">
        <v>9</v>
      </c>
      <c r="H752" t="n">
        <v>0</v>
      </c>
      <c r="I752" t="n">
        <v>0</v>
      </c>
      <c r="J752" t="n">
        <v>0</v>
      </c>
      <c r="K752" t="n">
        <v>0</v>
      </c>
      <c r="L752" t="n">
        <v>0</v>
      </c>
      <c r="M752" t="n">
        <v>0</v>
      </c>
      <c r="N752" t="n">
        <v>0</v>
      </c>
      <c r="O752" t="n">
        <v>0</v>
      </c>
      <c r="P752" t="n">
        <v>0</v>
      </c>
      <c r="Q752" t="n">
        <v>0</v>
      </c>
      <c r="R752" s="2" t="inlineStr"/>
    </row>
    <row r="753" ht="15" customHeight="1">
      <c r="A753" t="inlineStr">
        <is>
          <t>A 19893-2022</t>
        </is>
      </c>
      <c r="B753" s="1" t="n">
        <v>44697</v>
      </c>
      <c r="C753" s="1" t="n">
        <v>45628</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19947-2022</t>
        </is>
      </c>
      <c r="B754" s="1" t="n">
        <v>44697</v>
      </c>
      <c r="C754" s="1" t="n">
        <v>45628</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21145-2022</t>
        </is>
      </c>
      <c r="B755" s="1" t="n">
        <v>44704</v>
      </c>
      <c r="C755" s="1" t="n">
        <v>45628</v>
      </c>
      <c r="D755" t="inlineStr">
        <is>
          <t>VÄRMLANDS LÄN</t>
        </is>
      </c>
      <c r="E755" t="inlineStr">
        <is>
          <t>ÅRJÄNG</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21365-2022</t>
        </is>
      </c>
      <c r="B756" s="1" t="n">
        <v>44705</v>
      </c>
      <c r="C756" s="1" t="n">
        <v>45628</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21362-2022</t>
        </is>
      </c>
      <c r="B757" s="1" t="n">
        <v>44705</v>
      </c>
      <c r="C757" s="1" t="n">
        <v>45628</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21448-2022</t>
        </is>
      </c>
      <c r="B758" s="1" t="n">
        <v>44706</v>
      </c>
      <c r="C758" s="1" t="n">
        <v>45628</v>
      </c>
      <c r="D758" t="inlineStr">
        <is>
          <t>VÄRMLANDS LÄN</t>
        </is>
      </c>
      <c r="E758" t="inlineStr">
        <is>
          <t>ÅRJÄNG</t>
        </is>
      </c>
      <c r="G758" t="n">
        <v>2.8</v>
      </c>
      <c r="H758" t="n">
        <v>0</v>
      </c>
      <c r="I758" t="n">
        <v>0</v>
      </c>
      <c r="J758" t="n">
        <v>0</v>
      </c>
      <c r="K758" t="n">
        <v>0</v>
      </c>
      <c r="L758" t="n">
        <v>0</v>
      </c>
      <c r="M758" t="n">
        <v>0</v>
      </c>
      <c r="N758" t="n">
        <v>0</v>
      </c>
      <c r="O758" t="n">
        <v>0</v>
      </c>
      <c r="P758" t="n">
        <v>0</v>
      </c>
      <c r="Q758" t="n">
        <v>0</v>
      </c>
      <c r="R758" s="2" t="inlineStr"/>
    </row>
    <row r="759" ht="15" customHeight="1">
      <c r="A759" t="inlineStr">
        <is>
          <t>A 21443-2022</t>
        </is>
      </c>
      <c r="B759" s="1" t="n">
        <v>44706</v>
      </c>
      <c r="C759" s="1" t="n">
        <v>45628</v>
      </c>
      <c r="D759" t="inlineStr">
        <is>
          <t>VÄRMLANDS LÄN</t>
        </is>
      </c>
      <c r="E759" t="inlineStr">
        <is>
          <t>ÅRJÄNG</t>
        </is>
      </c>
      <c r="G759" t="n">
        <v>3.5</v>
      </c>
      <c r="H759" t="n">
        <v>0</v>
      </c>
      <c r="I759" t="n">
        <v>0</v>
      </c>
      <c r="J759" t="n">
        <v>0</v>
      </c>
      <c r="K759" t="n">
        <v>0</v>
      </c>
      <c r="L759" t="n">
        <v>0</v>
      </c>
      <c r="M759" t="n">
        <v>0</v>
      </c>
      <c r="N759" t="n">
        <v>0</v>
      </c>
      <c r="O759" t="n">
        <v>0</v>
      </c>
      <c r="P759" t="n">
        <v>0</v>
      </c>
      <c r="Q759" t="n">
        <v>0</v>
      </c>
      <c r="R759" s="2" t="inlineStr"/>
    </row>
    <row r="760" ht="15" customHeight="1">
      <c r="A760" t="inlineStr">
        <is>
          <t>A 21939-2022</t>
        </is>
      </c>
      <c r="B760" s="1" t="n">
        <v>44711</v>
      </c>
      <c r="C760" s="1" t="n">
        <v>45628</v>
      </c>
      <c r="D760" t="inlineStr">
        <is>
          <t>VÄRMLANDS LÄN</t>
        </is>
      </c>
      <c r="E760" t="inlineStr">
        <is>
          <t>ÅRJÄNG</t>
        </is>
      </c>
      <c r="G760" t="n">
        <v>0.1</v>
      </c>
      <c r="H760" t="n">
        <v>0</v>
      </c>
      <c r="I760" t="n">
        <v>0</v>
      </c>
      <c r="J760" t="n">
        <v>0</v>
      </c>
      <c r="K760" t="n">
        <v>0</v>
      </c>
      <c r="L760" t="n">
        <v>0</v>
      </c>
      <c r="M760" t="n">
        <v>0</v>
      </c>
      <c r="N760" t="n">
        <v>0</v>
      </c>
      <c r="O760" t="n">
        <v>0</v>
      </c>
      <c r="P760" t="n">
        <v>0</v>
      </c>
      <c r="Q760" t="n">
        <v>0</v>
      </c>
      <c r="R760" s="2" t="inlineStr"/>
    </row>
    <row r="761" ht="15" customHeight="1">
      <c r="A761" t="inlineStr">
        <is>
          <t>A 22167-2022</t>
        </is>
      </c>
      <c r="B761" s="1" t="n">
        <v>44712</v>
      </c>
      <c r="C761" s="1" t="n">
        <v>45628</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22921-2022</t>
        </is>
      </c>
      <c r="B762" s="1" t="n">
        <v>44715</v>
      </c>
      <c r="C762" s="1" t="n">
        <v>45628</v>
      </c>
      <c r="D762" t="inlineStr">
        <is>
          <t>VÄRMLANDS LÄN</t>
        </is>
      </c>
      <c r="E762" t="inlineStr">
        <is>
          <t>ÅRJÄNG</t>
        </is>
      </c>
      <c r="F762" t="inlineStr">
        <is>
          <t>Bergvik skog väst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23144-2022</t>
        </is>
      </c>
      <c r="B763" s="1" t="n">
        <v>44719</v>
      </c>
      <c r="C763" s="1" t="n">
        <v>45628</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24477-2022</t>
        </is>
      </c>
      <c r="B764" s="1" t="n">
        <v>44726</v>
      </c>
      <c r="C764" s="1" t="n">
        <v>45628</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24476-2022</t>
        </is>
      </c>
      <c r="B765" s="1" t="n">
        <v>44726</v>
      </c>
      <c r="C765" s="1" t="n">
        <v>45628</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24480-2022</t>
        </is>
      </c>
      <c r="B766" s="1" t="n">
        <v>44726</v>
      </c>
      <c r="C766" s="1" t="n">
        <v>45628</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24852-2022</t>
        </is>
      </c>
      <c r="B767" s="1" t="n">
        <v>44728</v>
      </c>
      <c r="C767" s="1" t="n">
        <v>45628</v>
      </c>
      <c r="D767" t="inlineStr">
        <is>
          <t>VÄRMLANDS LÄN</t>
        </is>
      </c>
      <c r="E767" t="inlineStr">
        <is>
          <t>ÅRJÄNG</t>
        </is>
      </c>
      <c r="G767" t="n">
        <v>5.6</v>
      </c>
      <c r="H767" t="n">
        <v>0</v>
      </c>
      <c r="I767" t="n">
        <v>0</v>
      </c>
      <c r="J767" t="n">
        <v>0</v>
      </c>
      <c r="K767" t="n">
        <v>0</v>
      </c>
      <c r="L767" t="n">
        <v>0</v>
      </c>
      <c r="M767" t="n">
        <v>0</v>
      </c>
      <c r="N767" t="n">
        <v>0</v>
      </c>
      <c r="O767" t="n">
        <v>0</v>
      </c>
      <c r="P767" t="n">
        <v>0</v>
      </c>
      <c r="Q767" t="n">
        <v>0</v>
      </c>
      <c r="R767" s="2" t="inlineStr"/>
    </row>
    <row r="768" ht="15" customHeight="1">
      <c r="A768" t="inlineStr">
        <is>
          <t>A 24874-2022</t>
        </is>
      </c>
      <c r="B768" s="1" t="n">
        <v>44728</v>
      </c>
      <c r="C768" s="1" t="n">
        <v>45628</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27311-2022</t>
        </is>
      </c>
      <c r="B769" s="1" t="n">
        <v>44728</v>
      </c>
      <c r="C769" s="1" t="n">
        <v>45628</v>
      </c>
      <c r="D769" t="inlineStr">
        <is>
          <t>VÄRMLANDS LÄN</t>
        </is>
      </c>
      <c r="E769" t="inlineStr">
        <is>
          <t>ÅRJÄNG</t>
        </is>
      </c>
      <c r="G769" t="n">
        <v>3.5</v>
      </c>
      <c r="H769" t="n">
        <v>0</v>
      </c>
      <c r="I769" t="n">
        <v>0</v>
      </c>
      <c r="J769" t="n">
        <v>0</v>
      </c>
      <c r="K769" t="n">
        <v>0</v>
      </c>
      <c r="L769" t="n">
        <v>0</v>
      </c>
      <c r="M769" t="n">
        <v>0</v>
      </c>
      <c r="N769" t="n">
        <v>0</v>
      </c>
      <c r="O769" t="n">
        <v>0</v>
      </c>
      <c r="P769" t="n">
        <v>0</v>
      </c>
      <c r="Q769" t="n">
        <v>0</v>
      </c>
      <c r="R769" s="2" t="inlineStr"/>
    </row>
    <row r="770" ht="15" customHeight="1">
      <c r="A770" t="inlineStr">
        <is>
          <t>A 25874-2022</t>
        </is>
      </c>
      <c r="B770" s="1" t="n">
        <v>44733</v>
      </c>
      <c r="C770" s="1" t="n">
        <v>45628</v>
      </c>
      <c r="D770" t="inlineStr">
        <is>
          <t>VÄRMLANDS LÄN</t>
        </is>
      </c>
      <c r="E770" t="inlineStr">
        <is>
          <t>ÅRJÄNG</t>
        </is>
      </c>
      <c r="F770" t="inlineStr">
        <is>
          <t>Bergvik skog väst AB</t>
        </is>
      </c>
      <c r="G770" t="n">
        <v>0.7</v>
      </c>
      <c r="H770" t="n">
        <v>0</v>
      </c>
      <c r="I770" t="n">
        <v>0</v>
      </c>
      <c r="J770" t="n">
        <v>0</v>
      </c>
      <c r="K770" t="n">
        <v>0</v>
      </c>
      <c r="L770" t="n">
        <v>0</v>
      </c>
      <c r="M770" t="n">
        <v>0</v>
      </c>
      <c r="N770" t="n">
        <v>0</v>
      </c>
      <c r="O770" t="n">
        <v>0</v>
      </c>
      <c r="P770" t="n">
        <v>0</v>
      </c>
      <c r="Q770" t="n">
        <v>0</v>
      </c>
      <c r="R770" s="2" t="inlineStr"/>
    </row>
    <row r="771" ht="15" customHeight="1">
      <c r="A771" t="inlineStr">
        <is>
          <t>A 28371-2022</t>
        </is>
      </c>
      <c r="B771" s="1" t="n">
        <v>44747</v>
      </c>
      <c r="C771" s="1" t="n">
        <v>45628</v>
      </c>
      <c r="D771" t="inlineStr">
        <is>
          <t>VÄRMLANDS LÄN</t>
        </is>
      </c>
      <c r="E771" t="inlineStr">
        <is>
          <t>ÅRJÄNG</t>
        </is>
      </c>
      <c r="F771" t="inlineStr">
        <is>
          <t>Naturvårdsverket</t>
        </is>
      </c>
      <c r="G771" t="n">
        <v>2.3</v>
      </c>
      <c r="H771" t="n">
        <v>0</v>
      </c>
      <c r="I771" t="n">
        <v>0</v>
      </c>
      <c r="J771" t="n">
        <v>0</v>
      </c>
      <c r="K771" t="n">
        <v>0</v>
      </c>
      <c r="L771" t="n">
        <v>0</v>
      </c>
      <c r="M771" t="n">
        <v>0</v>
      </c>
      <c r="N771" t="n">
        <v>0</v>
      </c>
      <c r="O771" t="n">
        <v>0</v>
      </c>
      <c r="P771" t="n">
        <v>0</v>
      </c>
      <c r="Q771" t="n">
        <v>0</v>
      </c>
      <c r="R771" s="2" t="inlineStr"/>
    </row>
    <row r="772" ht="15" customHeight="1">
      <c r="A772" t="inlineStr">
        <is>
          <t>A 28439-2022</t>
        </is>
      </c>
      <c r="B772" s="1" t="n">
        <v>44747</v>
      </c>
      <c r="C772" s="1" t="n">
        <v>45628</v>
      </c>
      <c r="D772" t="inlineStr">
        <is>
          <t>VÄRMLANDS LÄN</t>
        </is>
      </c>
      <c r="E772" t="inlineStr">
        <is>
          <t>ÅRJÄNG</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28384-2022</t>
        </is>
      </c>
      <c r="B773" s="1" t="n">
        <v>44747</v>
      </c>
      <c r="C773" s="1" t="n">
        <v>45628</v>
      </c>
      <c r="D773" t="inlineStr">
        <is>
          <t>VÄRMLANDS LÄN</t>
        </is>
      </c>
      <c r="E773" t="inlineStr">
        <is>
          <t>ÅRJÄNG</t>
        </is>
      </c>
      <c r="F773" t="inlineStr">
        <is>
          <t>Naturvårdsverket</t>
        </is>
      </c>
      <c r="G773" t="n">
        <v>1.7</v>
      </c>
      <c r="H773" t="n">
        <v>0</v>
      </c>
      <c r="I773" t="n">
        <v>0</v>
      </c>
      <c r="J773" t="n">
        <v>0</v>
      </c>
      <c r="K773" t="n">
        <v>0</v>
      </c>
      <c r="L773" t="n">
        <v>0</v>
      </c>
      <c r="M773" t="n">
        <v>0</v>
      </c>
      <c r="N773" t="n">
        <v>0</v>
      </c>
      <c r="O773" t="n">
        <v>0</v>
      </c>
      <c r="P773" t="n">
        <v>0</v>
      </c>
      <c r="Q773" t="n">
        <v>0</v>
      </c>
      <c r="R773" s="2" t="inlineStr"/>
    </row>
    <row r="774" ht="15" customHeight="1">
      <c r="A774" t="inlineStr">
        <is>
          <t>A 28382-2022</t>
        </is>
      </c>
      <c r="B774" s="1" t="n">
        <v>44747</v>
      </c>
      <c r="C774" s="1" t="n">
        <v>45628</v>
      </c>
      <c r="D774" t="inlineStr">
        <is>
          <t>VÄRMLANDS LÄN</t>
        </is>
      </c>
      <c r="E774" t="inlineStr">
        <is>
          <t>ÅRJÄNG</t>
        </is>
      </c>
      <c r="F774" t="inlineStr">
        <is>
          <t>Naturvårdsverket</t>
        </is>
      </c>
      <c r="G774" t="n">
        <v>1</v>
      </c>
      <c r="H774" t="n">
        <v>0</v>
      </c>
      <c r="I774" t="n">
        <v>0</v>
      </c>
      <c r="J774" t="n">
        <v>0</v>
      </c>
      <c r="K774" t="n">
        <v>0</v>
      </c>
      <c r="L774" t="n">
        <v>0</v>
      </c>
      <c r="M774" t="n">
        <v>0</v>
      </c>
      <c r="N774" t="n">
        <v>0</v>
      </c>
      <c r="O774" t="n">
        <v>0</v>
      </c>
      <c r="P774" t="n">
        <v>0</v>
      </c>
      <c r="Q774" t="n">
        <v>0</v>
      </c>
      <c r="R774" s="2" t="inlineStr"/>
    </row>
    <row r="775" ht="15" customHeight="1">
      <c r="A775" t="inlineStr">
        <is>
          <t>A 28904-2022</t>
        </is>
      </c>
      <c r="B775" s="1" t="n">
        <v>44749</v>
      </c>
      <c r="C775" s="1" t="n">
        <v>45628</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28925-2022</t>
        </is>
      </c>
      <c r="B776" s="1" t="n">
        <v>44749</v>
      </c>
      <c r="C776" s="1" t="n">
        <v>45628</v>
      </c>
      <c r="D776" t="inlineStr">
        <is>
          <t>VÄRMLANDS LÄN</t>
        </is>
      </c>
      <c r="E776" t="inlineStr">
        <is>
          <t>ÅRJÄNG</t>
        </is>
      </c>
      <c r="G776" t="n">
        <v>0.6</v>
      </c>
      <c r="H776" t="n">
        <v>0</v>
      </c>
      <c r="I776" t="n">
        <v>0</v>
      </c>
      <c r="J776" t="n">
        <v>0</v>
      </c>
      <c r="K776" t="n">
        <v>0</v>
      </c>
      <c r="L776" t="n">
        <v>0</v>
      </c>
      <c r="M776" t="n">
        <v>0</v>
      </c>
      <c r="N776" t="n">
        <v>0</v>
      </c>
      <c r="O776" t="n">
        <v>0</v>
      </c>
      <c r="P776" t="n">
        <v>0</v>
      </c>
      <c r="Q776" t="n">
        <v>0</v>
      </c>
      <c r="R776" s="2" t="inlineStr"/>
    </row>
    <row r="777" ht="15" customHeight="1">
      <c r="A777" t="inlineStr">
        <is>
          <t>A 28934-2022</t>
        </is>
      </c>
      <c r="B777" s="1" t="n">
        <v>44749</v>
      </c>
      <c r="C777" s="1" t="n">
        <v>45628</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29098-2022</t>
        </is>
      </c>
      <c r="B778" s="1" t="n">
        <v>44750</v>
      </c>
      <c r="C778" s="1" t="n">
        <v>45628</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29174-2022</t>
        </is>
      </c>
      <c r="B779" s="1" t="n">
        <v>44750</v>
      </c>
      <c r="C779" s="1" t="n">
        <v>45628</v>
      </c>
      <c r="D779" t="inlineStr">
        <is>
          <t>VÄRMLANDS LÄN</t>
        </is>
      </c>
      <c r="E779" t="inlineStr">
        <is>
          <t>ÅRJÄNG</t>
        </is>
      </c>
      <c r="G779" t="n">
        <v>0.1</v>
      </c>
      <c r="H779" t="n">
        <v>0</v>
      </c>
      <c r="I779" t="n">
        <v>0</v>
      </c>
      <c r="J779" t="n">
        <v>0</v>
      </c>
      <c r="K779" t="n">
        <v>0</v>
      </c>
      <c r="L779" t="n">
        <v>0</v>
      </c>
      <c r="M779" t="n">
        <v>0</v>
      </c>
      <c r="N779" t="n">
        <v>0</v>
      </c>
      <c r="O779" t="n">
        <v>0</v>
      </c>
      <c r="P779" t="n">
        <v>0</v>
      </c>
      <c r="Q779" t="n">
        <v>0</v>
      </c>
      <c r="R779" s="2" t="inlineStr"/>
    </row>
    <row r="780" ht="15" customHeight="1">
      <c r="A780" t="inlineStr">
        <is>
          <t>A 29645-2022</t>
        </is>
      </c>
      <c r="B780" s="1" t="n">
        <v>44754</v>
      </c>
      <c r="C780" s="1" t="n">
        <v>45628</v>
      </c>
      <c r="D780" t="inlineStr">
        <is>
          <t>VÄRMLANDS LÄN</t>
        </is>
      </c>
      <c r="E780" t="inlineStr">
        <is>
          <t>ÅRJÄNG</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29792-2022</t>
        </is>
      </c>
      <c r="B781" s="1" t="n">
        <v>44755</v>
      </c>
      <c r="C781" s="1" t="n">
        <v>45628</v>
      </c>
      <c r="D781" t="inlineStr">
        <is>
          <t>VÄRMLANDS LÄN</t>
        </is>
      </c>
      <c r="E781" t="inlineStr">
        <is>
          <t>ÅRJÄNG</t>
        </is>
      </c>
      <c r="G781" t="n">
        <v>1.9</v>
      </c>
      <c r="H781" t="n">
        <v>0</v>
      </c>
      <c r="I781" t="n">
        <v>0</v>
      </c>
      <c r="J781" t="n">
        <v>0</v>
      </c>
      <c r="K781" t="n">
        <v>0</v>
      </c>
      <c r="L781" t="n">
        <v>0</v>
      </c>
      <c r="M781" t="n">
        <v>0</v>
      </c>
      <c r="N781" t="n">
        <v>0</v>
      </c>
      <c r="O781" t="n">
        <v>0</v>
      </c>
      <c r="P781" t="n">
        <v>0</v>
      </c>
      <c r="Q781" t="n">
        <v>0</v>
      </c>
      <c r="R781" s="2" t="inlineStr"/>
    </row>
    <row r="782" ht="15" customHeight="1">
      <c r="A782" t="inlineStr">
        <is>
          <t>A 29694-2022</t>
        </is>
      </c>
      <c r="B782" s="1" t="n">
        <v>44755</v>
      </c>
      <c r="C782" s="1" t="n">
        <v>45628</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30346-2022</t>
        </is>
      </c>
      <c r="B783" s="1" t="n">
        <v>44760</v>
      </c>
      <c r="C783" s="1" t="n">
        <v>45628</v>
      </c>
      <c r="D783" t="inlineStr">
        <is>
          <t>VÄRMLANDS LÄN</t>
        </is>
      </c>
      <c r="E783" t="inlineStr">
        <is>
          <t>ÅRJÄNG</t>
        </is>
      </c>
      <c r="G783" t="n">
        <v>6</v>
      </c>
      <c r="H783" t="n">
        <v>0</v>
      </c>
      <c r="I783" t="n">
        <v>0</v>
      </c>
      <c r="J783" t="n">
        <v>0</v>
      </c>
      <c r="K783" t="n">
        <v>0</v>
      </c>
      <c r="L783" t="n">
        <v>0</v>
      </c>
      <c r="M783" t="n">
        <v>0</v>
      </c>
      <c r="N783" t="n">
        <v>0</v>
      </c>
      <c r="O783" t="n">
        <v>0</v>
      </c>
      <c r="P783" t="n">
        <v>0</v>
      </c>
      <c r="Q783" t="n">
        <v>0</v>
      </c>
      <c r="R783" s="2" t="inlineStr"/>
    </row>
    <row r="784" ht="15" customHeight="1">
      <c r="A784" t="inlineStr">
        <is>
          <t>A 30450-2022</t>
        </is>
      </c>
      <c r="B784" s="1" t="n">
        <v>44761</v>
      </c>
      <c r="C784" s="1" t="n">
        <v>45628</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30459-2022</t>
        </is>
      </c>
      <c r="B785" s="1" t="n">
        <v>44761</v>
      </c>
      <c r="C785" s="1" t="n">
        <v>45628</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30454-2022</t>
        </is>
      </c>
      <c r="B786" s="1" t="n">
        <v>44761</v>
      </c>
      <c r="C786" s="1" t="n">
        <v>45628</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31930-2022</t>
        </is>
      </c>
      <c r="B787" s="1" t="n">
        <v>44777</v>
      </c>
      <c r="C787" s="1" t="n">
        <v>45628</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33017-2022</t>
        </is>
      </c>
      <c r="B788" s="1" t="n">
        <v>44785</v>
      </c>
      <c r="C788" s="1" t="n">
        <v>45628</v>
      </c>
      <c r="D788" t="inlineStr">
        <is>
          <t>VÄRMLANDS LÄN</t>
        </is>
      </c>
      <c r="E788" t="inlineStr">
        <is>
          <t>ÅRJÄNG</t>
        </is>
      </c>
      <c r="F788" t="inlineStr">
        <is>
          <t>Kyrkan</t>
        </is>
      </c>
      <c r="G788" t="n">
        <v>5.9</v>
      </c>
      <c r="H788" t="n">
        <v>0</v>
      </c>
      <c r="I788" t="n">
        <v>0</v>
      </c>
      <c r="J788" t="n">
        <v>0</v>
      </c>
      <c r="K788" t="n">
        <v>0</v>
      </c>
      <c r="L788" t="n">
        <v>0</v>
      </c>
      <c r="M788" t="n">
        <v>0</v>
      </c>
      <c r="N788" t="n">
        <v>0</v>
      </c>
      <c r="O788" t="n">
        <v>0</v>
      </c>
      <c r="P788" t="n">
        <v>0</v>
      </c>
      <c r="Q788" t="n">
        <v>0</v>
      </c>
      <c r="R788" s="2" t="inlineStr"/>
    </row>
    <row r="789" ht="15" customHeight="1">
      <c r="A789" t="inlineStr">
        <is>
          <t>A 33525-2022</t>
        </is>
      </c>
      <c r="B789" s="1" t="n">
        <v>44789</v>
      </c>
      <c r="C789" s="1" t="n">
        <v>45628</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33888-2022</t>
        </is>
      </c>
      <c r="B790" s="1" t="n">
        <v>44790</v>
      </c>
      <c r="C790" s="1" t="n">
        <v>45628</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33915-2022</t>
        </is>
      </c>
      <c r="B791" s="1" t="n">
        <v>44790</v>
      </c>
      <c r="C791" s="1" t="n">
        <v>45628</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34144-2022</t>
        </is>
      </c>
      <c r="B792" s="1" t="n">
        <v>44791</v>
      </c>
      <c r="C792" s="1" t="n">
        <v>45628</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34889-2022</t>
        </is>
      </c>
      <c r="B793" s="1" t="n">
        <v>44796</v>
      </c>
      <c r="C793" s="1" t="n">
        <v>45628</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35726-2022</t>
        </is>
      </c>
      <c r="B794" s="1" t="n">
        <v>44799</v>
      </c>
      <c r="C794" s="1" t="n">
        <v>45628</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36016-2022</t>
        </is>
      </c>
      <c r="B795" s="1" t="n">
        <v>44802</v>
      </c>
      <c r="C795" s="1" t="n">
        <v>45628</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36486-2022</t>
        </is>
      </c>
      <c r="B796" s="1" t="n">
        <v>44804</v>
      </c>
      <c r="C796" s="1" t="n">
        <v>45628</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36532-2022</t>
        </is>
      </c>
      <c r="B797" s="1" t="n">
        <v>44804</v>
      </c>
      <c r="C797" s="1" t="n">
        <v>45628</v>
      </c>
      <c r="D797" t="inlineStr">
        <is>
          <t>VÄRMLANDS LÄN</t>
        </is>
      </c>
      <c r="E797" t="inlineStr">
        <is>
          <t>ÅRJÄNG</t>
        </is>
      </c>
      <c r="G797" t="n">
        <v>12.7</v>
      </c>
      <c r="H797" t="n">
        <v>0</v>
      </c>
      <c r="I797" t="n">
        <v>0</v>
      </c>
      <c r="J797" t="n">
        <v>0</v>
      </c>
      <c r="K797" t="n">
        <v>0</v>
      </c>
      <c r="L797" t="n">
        <v>0</v>
      </c>
      <c r="M797" t="n">
        <v>0</v>
      </c>
      <c r="N797" t="n">
        <v>0</v>
      </c>
      <c r="O797" t="n">
        <v>0</v>
      </c>
      <c r="P797" t="n">
        <v>0</v>
      </c>
      <c r="Q797" t="n">
        <v>0</v>
      </c>
      <c r="R797" s="2" t="inlineStr"/>
    </row>
    <row r="798" ht="15" customHeight="1">
      <c r="A798" t="inlineStr">
        <is>
          <t>A 37122-2022</t>
        </is>
      </c>
      <c r="B798" s="1" t="n">
        <v>44806</v>
      </c>
      <c r="C798" s="1" t="n">
        <v>45628</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37046-2022</t>
        </is>
      </c>
      <c r="B799" s="1" t="n">
        <v>44806</v>
      </c>
      <c r="C799" s="1" t="n">
        <v>45628</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37949-2022</t>
        </is>
      </c>
      <c r="B800" s="1" t="n">
        <v>44811</v>
      </c>
      <c r="C800" s="1" t="n">
        <v>45628</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38015-2022</t>
        </is>
      </c>
      <c r="B801" s="1" t="n">
        <v>44811</v>
      </c>
      <c r="C801" s="1" t="n">
        <v>45628</v>
      </c>
      <c r="D801" t="inlineStr">
        <is>
          <t>VÄRMLANDS LÄN</t>
        </is>
      </c>
      <c r="E801" t="inlineStr">
        <is>
          <t>ÅRJÄNG</t>
        </is>
      </c>
      <c r="G801" t="n">
        <v>14.2</v>
      </c>
      <c r="H801" t="n">
        <v>0</v>
      </c>
      <c r="I801" t="n">
        <v>0</v>
      </c>
      <c r="J801" t="n">
        <v>0</v>
      </c>
      <c r="K801" t="n">
        <v>0</v>
      </c>
      <c r="L801" t="n">
        <v>0</v>
      </c>
      <c r="M801" t="n">
        <v>0</v>
      </c>
      <c r="N801" t="n">
        <v>0</v>
      </c>
      <c r="O801" t="n">
        <v>0</v>
      </c>
      <c r="P801" t="n">
        <v>0</v>
      </c>
      <c r="Q801" t="n">
        <v>0</v>
      </c>
      <c r="R801" s="2" t="inlineStr"/>
    </row>
    <row r="802" ht="15" customHeight="1">
      <c r="A802" t="inlineStr">
        <is>
          <t>A 38167-2022</t>
        </is>
      </c>
      <c r="B802" s="1" t="n">
        <v>44812</v>
      </c>
      <c r="C802" s="1" t="n">
        <v>45628</v>
      </c>
      <c r="D802" t="inlineStr">
        <is>
          <t>VÄRMLANDS LÄN</t>
        </is>
      </c>
      <c r="E802" t="inlineStr">
        <is>
          <t>ÅRJÄNG</t>
        </is>
      </c>
      <c r="G802" t="n">
        <v>10.5</v>
      </c>
      <c r="H802" t="n">
        <v>0</v>
      </c>
      <c r="I802" t="n">
        <v>0</v>
      </c>
      <c r="J802" t="n">
        <v>0</v>
      </c>
      <c r="K802" t="n">
        <v>0</v>
      </c>
      <c r="L802" t="n">
        <v>0</v>
      </c>
      <c r="M802" t="n">
        <v>0</v>
      </c>
      <c r="N802" t="n">
        <v>0</v>
      </c>
      <c r="O802" t="n">
        <v>0</v>
      </c>
      <c r="P802" t="n">
        <v>0</v>
      </c>
      <c r="Q802" t="n">
        <v>0</v>
      </c>
      <c r="R802" s="2" t="inlineStr"/>
    </row>
    <row r="803" ht="15" customHeight="1">
      <c r="A803" t="inlineStr">
        <is>
          <t>A 38389-2022</t>
        </is>
      </c>
      <c r="B803" s="1" t="n">
        <v>44812</v>
      </c>
      <c r="C803" s="1" t="n">
        <v>45628</v>
      </c>
      <c r="D803" t="inlineStr">
        <is>
          <t>VÄRMLANDS LÄN</t>
        </is>
      </c>
      <c r="E803" t="inlineStr">
        <is>
          <t>ÅRJÄNG</t>
        </is>
      </c>
      <c r="G803" t="n">
        <v>3.9</v>
      </c>
      <c r="H803" t="n">
        <v>0</v>
      </c>
      <c r="I803" t="n">
        <v>0</v>
      </c>
      <c r="J803" t="n">
        <v>0</v>
      </c>
      <c r="K803" t="n">
        <v>0</v>
      </c>
      <c r="L803" t="n">
        <v>0</v>
      </c>
      <c r="M803" t="n">
        <v>0</v>
      </c>
      <c r="N803" t="n">
        <v>0</v>
      </c>
      <c r="O803" t="n">
        <v>0</v>
      </c>
      <c r="P803" t="n">
        <v>0</v>
      </c>
      <c r="Q803" t="n">
        <v>0</v>
      </c>
      <c r="R803" s="2" t="inlineStr"/>
    </row>
    <row r="804" ht="15" customHeight="1">
      <c r="A804" t="inlineStr">
        <is>
          <t>A 38735-2022</t>
        </is>
      </c>
      <c r="B804" s="1" t="n">
        <v>44816</v>
      </c>
      <c r="C804" s="1" t="n">
        <v>45628</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39063-2022</t>
        </is>
      </c>
      <c r="B805" s="1" t="n">
        <v>44816</v>
      </c>
      <c r="C805" s="1" t="n">
        <v>45628</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39536-2022</t>
        </is>
      </c>
      <c r="B806" s="1" t="n">
        <v>44818</v>
      </c>
      <c r="C806" s="1" t="n">
        <v>45628</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39560-2022</t>
        </is>
      </c>
      <c r="B807" s="1" t="n">
        <v>44818</v>
      </c>
      <c r="C807" s="1" t="n">
        <v>45628</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39661-2022</t>
        </is>
      </c>
      <c r="B808" s="1" t="n">
        <v>44818</v>
      </c>
      <c r="C808" s="1" t="n">
        <v>45628</v>
      </c>
      <c r="D808" t="inlineStr">
        <is>
          <t>VÄRMLANDS LÄN</t>
        </is>
      </c>
      <c r="E808" t="inlineStr">
        <is>
          <t>ÅRJÄNG</t>
        </is>
      </c>
      <c r="G808" t="n">
        <v>0.6</v>
      </c>
      <c r="H808" t="n">
        <v>0</v>
      </c>
      <c r="I808" t="n">
        <v>0</v>
      </c>
      <c r="J808" t="n">
        <v>0</v>
      </c>
      <c r="K808" t="n">
        <v>0</v>
      </c>
      <c r="L808" t="n">
        <v>0</v>
      </c>
      <c r="M808" t="n">
        <v>0</v>
      </c>
      <c r="N808" t="n">
        <v>0</v>
      </c>
      <c r="O808" t="n">
        <v>0</v>
      </c>
      <c r="P808" t="n">
        <v>0</v>
      </c>
      <c r="Q808" t="n">
        <v>0</v>
      </c>
      <c r="R808" s="2" t="inlineStr"/>
    </row>
    <row r="809" ht="15" customHeight="1">
      <c r="A809" t="inlineStr">
        <is>
          <t>A 40352-2022</t>
        </is>
      </c>
      <c r="B809" s="1" t="n">
        <v>44823</v>
      </c>
      <c r="C809" s="1" t="n">
        <v>45628</v>
      </c>
      <c r="D809" t="inlineStr">
        <is>
          <t>VÄRMLANDS LÄN</t>
        </is>
      </c>
      <c r="E809" t="inlineStr">
        <is>
          <t>ÅRJÄNG</t>
        </is>
      </c>
      <c r="G809" t="n">
        <v>2.6</v>
      </c>
      <c r="H809" t="n">
        <v>0</v>
      </c>
      <c r="I809" t="n">
        <v>0</v>
      </c>
      <c r="J809" t="n">
        <v>0</v>
      </c>
      <c r="K809" t="n">
        <v>0</v>
      </c>
      <c r="L809" t="n">
        <v>0</v>
      </c>
      <c r="M809" t="n">
        <v>0</v>
      </c>
      <c r="N809" t="n">
        <v>0</v>
      </c>
      <c r="O809" t="n">
        <v>0</v>
      </c>
      <c r="P809" t="n">
        <v>0</v>
      </c>
      <c r="Q809" t="n">
        <v>0</v>
      </c>
      <c r="R809" s="2" t="inlineStr"/>
    </row>
    <row r="810" ht="15" customHeight="1">
      <c r="A810" t="inlineStr">
        <is>
          <t>A 40366-2022</t>
        </is>
      </c>
      <c r="B810" s="1" t="n">
        <v>44823</v>
      </c>
      <c r="C810" s="1" t="n">
        <v>45628</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40439-2022</t>
        </is>
      </c>
      <c r="B811" s="1" t="n">
        <v>44823</v>
      </c>
      <c r="C811" s="1" t="n">
        <v>45628</v>
      </c>
      <c r="D811" t="inlineStr">
        <is>
          <t>VÄRMLANDS LÄN</t>
        </is>
      </c>
      <c r="E811" t="inlineStr">
        <is>
          <t>ÅRJÄNG</t>
        </is>
      </c>
      <c r="G811" t="n">
        <v>0.5</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45628</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40481-2022</t>
        </is>
      </c>
      <c r="B813" s="1" t="n">
        <v>44823</v>
      </c>
      <c r="C813" s="1" t="n">
        <v>45628</v>
      </c>
      <c r="D813" t="inlineStr">
        <is>
          <t>VÄRMLANDS LÄN</t>
        </is>
      </c>
      <c r="E813" t="inlineStr">
        <is>
          <t>ÅRJÄNG</t>
        </is>
      </c>
      <c r="G813" t="n">
        <v>4.3</v>
      </c>
      <c r="H813" t="n">
        <v>0</v>
      </c>
      <c r="I813" t="n">
        <v>0</v>
      </c>
      <c r="J813" t="n">
        <v>0</v>
      </c>
      <c r="K813" t="n">
        <v>0</v>
      </c>
      <c r="L813" t="n">
        <v>0</v>
      </c>
      <c r="M813" t="n">
        <v>0</v>
      </c>
      <c r="N813" t="n">
        <v>0</v>
      </c>
      <c r="O813" t="n">
        <v>0</v>
      </c>
      <c r="P813" t="n">
        <v>0</v>
      </c>
      <c r="Q813" t="n">
        <v>0</v>
      </c>
      <c r="R813" s="2" t="inlineStr"/>
    </row>
    <row r="814" ht="15" customHeight="1">
      <c r="A814" t="inlineStr">
        <is>
          <t>A 40435-2022</t>
        </is>
      </c>
      <c r="B814" s="1" t="n">
        <v>44823</v>
      </c>
      <c r="C814" s="1" t="n">
        <v>45628</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40490-2022</t>
        </is>
      </c>
      <c r="B815" s="1" t="n">
        <v>44823</v>
      </c>
      <c r="C815" s="1" t="n">
        <v>45628</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40643-2022</t>
        </is>
      </c>
      <c r="B816" s="1" t="n">
        <v>44824</v>
      </c>
      <c r="C816" s="1" t="n">
        <v>45628</v>
      </c>
      <c r="D816" t="inlineStr">
        <is>
          <t>VÄRMLANDS LÄN</t>
        </is>
      </c>
      <c r="E816" t="inlineStr">
        <is>
          <t>ÅRJÄNG</t>
        </is>
      </c>
      <c r="G816" t="n">
        <v>0.4</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v>
      </c>
      <c r="C817" s="1" t="n">
        <v>45628</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41386-2022</t>
        </is>
      </c>
      <c r="B818" s="1" t="n">
        <v>44824</v>
      </c>
      <c r="C818" s="1" t="n">
        <v>45628</v>
      </c>
      <c r="D818" t="inlineStr">
        <is>
          <t>VÄRMLANDS LÄN</t>
        </is>
      </c>
      <c r="E818" t="inlineStr">
        <is>
          <t>ÅRJÄNG</t>
        </is>
      </c>
      <c r="G818" t="n">
        <v>2.8</v>
      </c>
      <c r="H818" t="n">
        <v>0</v>
      </c>
      <c r="I818" t="n">
        <v>0</v>
      </c>
      <c r="J818" t="n">
        <v>0</v>
      </c>
      <c r="K818" t="n">
        <v>0</v>
      </c>
      <c r="L818" t="n">
        <v>0</v>
      </c>
      <c r="M818" t="n">
        <v>0</v>
      </c>
      <c r="N818" t="n">
        <v>0</v>
      </c>
      <c r="O818" t="n">
        <v>0</v>
      </c>
      <c r="P818" t="n">
        <v>0</v>
      </c>
      <c r="Q818" t="n">
        <v>0</v>
      </c>
      <c r="R818" s="2" t="inlineStr"/>
    </row>
    <row r="819" ht="15" customHeight="1">
      <c r="A819" t="inlineStr">
        <is>
          <t>A 40860-2022</t>
        </is>
      </c>
      <c r="B819" s="1" t="n">
        <v>44825</v>
      </c>
      <c r="C819" s="1" t="n">
        <v>45628</v>
      </c>
      <c r="D819" t="inlineStr">
        <is>
          <t>VÄRMLANDS LÄN</t>
        </is>
      </c>
      <c r="E819" t="inlineStr">
        <is>
          <t>ÅRJÄNG</t>
        </is>
      </c>
      <c r="G819" t="n">
        <v>4.4</v>
      </c>
      <c r="H819" t="n">
        <v>0</v>
      </c>
      <c r="I819" t="n">
        <v>0</v>
      </c>
      <c r="J819" t="n">
        <v>0</v>
      </c>
      <c r="K819" t="n">
        <v>0</v>
      </c>
      <c r="L819" t="n">
        <v>0</v>
      </c>
      <c r="M819" t="n">
        <v>0</v>
      </c>
      <c r="N819" t="n">
        <v>0</v>
      </c>
      <c r="O819" t="n">
        <v>0</v>
      </c>
      <c r="P819" t="n">
        <v>0</v>
      </c>
      <c r="Q819" t="n">
        <v>0</v>
      </c>
      <c r="R819" s="2" t="inlineStr"/>
    </row>
    <row r="820" ht="15" customHeight="1">
      <c r="A820" t="inlineStr">
        <is>
          <t>A 40878-2022</t>
        </is>
      </c>
      <c r="B820" s="1" t="n">
        <v>44825</v>
      </c>
      <c r="C820" s="1" t="n">
        <v>45628</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40872-2022</t>
        </is>
      </c>
      <c r="B821" s="1" t="n">
        <v>44825</v>
      </c>
      <c r="C821" s="1" t="n">
        <v>45628</v>
      </c>
      <c r="D821" t="inlineStr">
        <is>
          <t>VÄRMLANDS LÄN</t>
        </is>
      </c>
      <c r="E821" t="inlineStr">
        <is>
          <t>ÅRJÄNG</t>
        </is>
      </c>
      <c r="G821" t="n">
        <v>0.5</v>
      </c>
      <c r="H821" t="n">
        <v>0</v>
      </c>
      <c r="I821" t="n">
        <v>0</v>
      </c>
      <c r="J821" t="n">
        <v>0</v>
      </c>
      <c r="K821" t="n">
        <v>0</v>
      </c>
      <c r="L821" t="n">
        <v>0</v>
      </c>
      <c r="M821" t="n">
        <v>0</v>
      </c>
      <c r="N821" t="n">
        <v>0</v>
      </c>
      <c r="O821" t="n">
        <v>0</v>
      </c>
      <c r="P821" t="n">
        <v>0</v>
      </c>
      <c r="Q821" t="n">
        <v>0</v>
      </c>
      <c r="R821" s="2" t="inlineStr"/>
    </row>
    <row r="822" ht="15" customHeight="1">
      <c r="A822" t="inlineStr">
        <is>
          <t>A 41539-2022</t>
        </is>
      </c>
      <c r="B822" s="1" t="n">
        <v>44825</v>
      </c>
      <c r="C822" s="1" t="n">
        <v>45628</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41228-2022</t>
        </is>
      </c>
      <c r="B823" s="1" t="n">
        <v>44826</v>
      </c>
      <c r="C823" s="1" t="n">
        <v>45628</v>
      </c>
      <c r="D823" t="inlineStr">
        <is>
          <t>VÄRMLANDS LÄN</t>
        </is>
      </c>
      <c r="E823" t="inlineStr">
        <is>
          <t>ÅRJÄNG</t>
        </is>
      </c>
      <c r="G823" t="n">
        <v>3.6</v>
      </c>
      <c r="H823" t="n">
        <v>0</v>
      </c>
      <c r="I823" t="n">
        <v>0</v>
      </c>
      <c r="J823" t="n">
        <v>0</v>
      </c>
      <c r="K823" t="n">
        <v>0</v>
      </c>
      <c r="L823" t="n">
        <v>0</v>
      </c>
      <c r="M823" t="n">
        <v>0</v>
      </c>
      <c r="N823" t="n">
        <v>0</v>
      </c>
      <c r="O823" t="n">
        <v>0</v>
      </c>
      <c r="P823" t="n">
        <v>0</v>
      </c>
      <c r="Q823" t="n">
        <v>0</v>
      </c>
      <c r="R823" s="2" t="inlineStr"/>
    </row>
    <row r="824" ht="15" customHeight="1">
      <c r="A824" t="inlineStr">
        <is>
          <t>A 41550-2022</t>
        </is>
      </c>
      <c r="B824" s="1" t="n">
        <v>44827</v>
      </c>
      <c r="C824" s="1" t="n">
        <v>45628</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41975-2022</t>
        </is>
      </c>
      <c r="B825" s="1" t="n">
        <v>44830</v>
      </c>
      <c r="C825" s="1" t="n">
        <v>45628</v>
      </c>
      <c r="D825" t="inlineStr">
        <is>
          <t>VÄRMLANDS LÄN</t>
        </is>
      </c>
      <c r="E825" t="inlineStr">
        <is>
          <t>ÅRJÄNG</t>
        </is>
      </c>
      <c r="G825" t="n">
        <v>4.1</v>
      </c>
      <c r="H825" t="n">
        <v>0</v>
      </c>
      <c r="I825" t="n">
        <v>0</v>
      </c>
      <c r="J825" t="n">
        <v>0</v>
      </c>
      <c r="K825" t="n">
        <v>0</v>
      </c>
      <c r="L825" t="n">
        <v>0</v>
      </c>
      <c r="M825" t="n">
        <v>0</v>
      </c>
      <c r="N825" t="n">
        <v>0</v>
      </c>
      <c r="O825" t="n">
        <v>0</v>
      </c>
      <c r="P825" t="n">
        <v>0</v>
      </c>
      <c r="Q825" t="n">
        <v>0</v>
      </c>
      <c r="R825" s="2" t="inlineStr"/>
    </row>
    <row r="826" ht="15" customHeight="1">
      <c r="A826" t="inlineStr">
        <is>
          <t>A 41982-2022</t>
        </is>
      </c>
      <c r="B826" s="1" t="n">
        <v>44830</v>
      </c>
      <c r="C826" s="1" t="n">
        <v>45628</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41986-2022</t>
        </is>
      </c>
      <c r="B827" s="1" t="n">
        <v>44830</v>
      </c>
      <c r="C827" s="1" t="n">
        <v>45628</v>
      </c>
      <c r="D827" t="inlineStr">
        <is>
          <t>VÄRMLANDS LÄN</t>
        </is>
      </c>
      <c r="E827" t="inlineStr">
        <is>
          <t>ÅRJÄNG</t>
        </is>
      </c>
      <c r="G827" t="n">
        <v>4.3</v>
      </c>
      <c r="H827" t="n">
        <v>0</v>
      </c>
      <c r="I827" t="n">
        <v>0</v>
      </c>
      <c r="J827" t="n">
        <v>0</v>
      </c>
      <c r="K827" t="n">
        <v>0</v>
      </c>
      <c r="L827" t="n">
        <v>0</v>
      </c>
      <c r="M827" t="n">
        <v>0</v>
      </c>
      <c r="N827" t="n">
        <v>0</v>
      </c>
      <c r="O827" t="n">
        <v>0</v>
      </c>
      <c r="P827" t="n">
        <v>0</v>
      </c>
      <c r="Q827" t="n">
        <v>0</v>
      </c>
      <c r="R827" s="2" t="inlineStr"/>
    </row>
    <row r="828" ht="15" customHeight="1">
      <c r="A828" t="inlineStr">
        <is>
          <t>A 42768-2022</t>
        </is>
      </c>
      <c r="B828" s="1" t="n">
        <v>44832</v>
      </c>
      <c r="C828" s="1" t="n">
        <v>45628</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42800-2022</t>
        </is>
      </c>
      <c r="B829" s="1" t="n">
        <v>44832</v>
      </c>
      <c r="C829" s="1" t="n">
        <v>45628</v>
      </c>
      <c r="D829" t="inlineStr">
        <is>
          <t>VÄRMLANDS LÄN</t>
        </is>
      </c>
      <c r="E829" t="inlineStr">
        <is>
          <t>ÅRJÄNG</t>
        </is>
      </c>
      <c r="G829" t="n">
        <v>5.6</v>
      </c>
      <c r="H829" t="n">
        <v>0</v>
      </c>
      <c r="I829" t="n">
        <v>0</v>
      </c>
      <c r="J829" t="n">
        <v>0</v>
      </c>
      <c r="K829" t="n">
        <v>0</v>
      </c>
      <c r="L829" t="n">
        <v>0</v>
      </c>
      <c r="M829" t="n">
        <v>0</v>
      </c>
      <c r="N829" t="n">
        <v>0</v>
      </c>
      <c r="O829" t="n">
        <v>0</v>
      </c>
      <c r="P829" t="n">
        <v>0</v>
      </c>
      <c r="Q829" t="n">
        <v>0</v>
      </c>
      <c r="R829" s="2" t="inlineStr"/>
    </row>
    <row r="830" ht="15" customHeight="1">
      <c r="A830" t="inlineStr">
        <is>
          <t>A 44203-2022</t>
        </is>
      </c>
      <c r="B830" s="1" t="n">
        <v>44839</v>
      </c>
      <c r="C830" s="1" t="n">
        <v>45628</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44387-2022</t>
        </is>
      </c>
      <c r="B831" s="1" t="n">
        <v>44839</v>
      </c>
      <c r="C831" s="1" t="n">
        <v>45628</v>
      </c>
      <c r="D831" t="inlineStr">
        <is>
          <t>VÄRMLANDS LÄN</t>
        </is>
      </c>
      <c r="E831" t="inlineStr">
        <is>
          <t>ÅRJÄNG</t>
        </is>
      </c>
      <c r="G831" t="n">
        <v>2.1</v>
      </c>
      <c r="H831" t="n">
        <v>0</v>
      </c>
      <c r="I831" t="n">
        <v>0</v>
      </c>
      <c r="J831" t="n">
        <v>0</v>
      </c>
      <c r="K831" t="n">
        <v>0</v>
      </c>
      <c r="L831" t="n">
        <v>0</v>
      </c>
      <c r="M831" t="n">
        <v>0</v>
      </c>
      <c r="N831" t="n">
        <v>0</v>
      </c>
      <c r="O831" t="n">
        <v>0</v>
      </c>
      <c r="P831" t="n">
        <v>0</v>
      </c>
      <c r="Q831" t="n">
        <v>0</v>
      </c>
      <c r="R831" s="2" t="inlineStr"/>
    </row>
    <row r="832" ht="15" customHeight="1">
      <c r="A832" t="inlineStr">
        <is>
          <t>A 44390-2022</t>
        </is>
      </c>
      <c r="B832" s="1" t="n">
        <v>44839</v>
      </c>
      <c r="C832" s="1" t="n">
        <v>45628</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44385-2022</t>
        </is>
      </c>
      <c r="B833" s="1" t="n">
        <v>44839</v>
      </c>
      <c r="C833" s="1" t="n">
        <v>45628</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45135-2022</t>
        </is>
      </c>
      <c r="B834" s="1" t="n">
        <v>44844</v>
      </c>
      <c r="C834" s="1" t="n">
        <v>45628</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46677-2022</t>
        </is>
      </c>
      <c r="B835" s="1" t="n">
        <v>44847</v>
      </c>
      <c r="C835" s="1" t="n">
        <v>45628</v>
      </c>
      <c r="D835" t="inlineStr">
        <is>
          <t>VÄRMLANDS LÄN</t>
        </is>
      </c>
      <c r="E835" t="inlineStr">
        <is>
          <t>ÅRJÄNG</t>
        </is>
      </c>
      <c r="F835" t="inlineStr">
        <is>
          <t>Övriga Aktiebolag</t>
        </is>
      </c>
      <c r="G835" t="n">
        <v>8</v>
      </c>
      <c r="H835" t="n">
        <v>0</v>
      </c>
      <c r="I835" t="n">
        <v>0</v>
      </c>
      <c r="J835" t="n">
        <v>0</v>
      </c>
      <c r="K835" t="n">
        <v>0</v>
      </c>
      <c r="L835" t="n">
        <v>0</v>
      </c>
      <c r="M835" t="n">
        <v>0</v>
      </c>
      <c r="N835" t="n">
        <v>0</v>
      </c>
      <c r="O835" t="n">
        <v>0</v>
      </c>
      <c r="P835" t="n">
        <v>0</v>
      </c>
      <c r="Q835" t="n">
        <v>0</v>
      </c>
      <c r="R835" s="2" t="inlineStr"/>
    </row>
    <row r="836" ht="15" customHeight="1">
      <c r="A836" t="inlineStr">
        <is>
          <t>A 47332-2022</t>
        </is>
      </c>
      <c r="B836" s="1" t="n">
        <v>44853</v>
      </c>
      <c r="C836" s="1" t="n">
        <v>45628</v>
      </c>
      <c r="D836" t="inlineStr">
        <is>
          <t>VÄRMLANDS LÄN</t>
        </is>
      </c>
      <c r="E836" t="inlineStr">
        <is>
          <t>ÅRJÄNG</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48192-2022</t>
        </is>
      </c>
      <c r="B837" s="1" t="n">
        <v>44853</v>
      </c>
      <c r="C837" s="1" t="n">
        <v>45628</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48805-2022</t>
        </is>
      </c>
      <c r="B838" s="1" t="n">
        <v>44854</v>
      </c>
      <c r="C838" s="1" t="n">
        <v>45628</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48300-2022</t>
        </is>
      </c>
      <c r="B839" s="1" t="n">
        <v>44858</v>
      </c>
      <c r="C839" s="1" t="n">
        <v>45628</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48310-2022</t>
        </is>
      </c>
      <c r="B840" s="1" t="n">
        <v>44858</v>
      </c>
      <c r="C840" s="1" t="n">
        <v>45628</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48482-2022</t>
        </is>
      </c>
      <c r="B841" s="1" t="n">
        <v>44858</v>
      </c>
      <c r="C841" s="1" t="n">
        <v>45628</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48293-2022</t>
        </is>
      </c>
      <c r="B842" s="1" t="n">
        <v>44858</v>
      </c>
      <c r="C842" s="1" t="n">
        <v>45628</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48306-2022</t>
        </is>
      </c>
      <c r="B843" s="1" t="n">
        <v>44858</v>
      </c>
      <c r="C843" s="1" t="n">
        <v>45628</v>
      </c>
      <c r="D843" t="inlineStr">
        <is>
          <t>VÄRMLANDS LÄN</t>
        </is>
      </c>
      <c r="E843" t="inlineStr">
        <is>
          <t>ÅRJÄNG</t>
        </is>
      </c>
      <c r="G843" t="n">
        <v>3.1</v>
      </c>
      <c r="H843" t="n">
        <v>0</v>
      </c>
      <c r="I843" t="n">
        <v>0</v>
      </c>
      <c r="J843" t="n">
        <v>0</v>
      </c>
      <c r="K843" t="n">
        <v>0</v>
      </c>
      <c r="L843" t="n">
        <v>0</v>
      </c>
      <c r="M843" t="n">
        <v>0</v>
      </c>
      <c r="N843" t="n">
        <v>0</v>
      </c>
      <c r="O843" t="n">
        <v>0</v>
      </c>
      <c r="P843" t="n">
        <v>0</v>
      </c>
      <c r="Q843" t="n">
        <v>0</v>
      </c>
      <c r="R843" s="2" t="inlineStr"/>
    </row>
    <row r="844" ht="15" customHeight="1">
      <c r="A844" t="inlineStr">
        <is>
          <t>A 48622-2022</t>
        </is>
      </c>
      <c r="B844" s="1" t="n">
        <v>44859</v>
      </c>
      <c r="C844" s="1" t="n">
        <v>45628</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48872-2022</t>
        </is>
      </c>
      <c r="B845" s="1" t="n">
        <v>44859</v>
      </c>
      <c r="C845" s="1" t="n">
        <v>45628</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49258-2022</t>
        </is>
      </c>
      <c r="B846" s="1" t="n">
        <v>44861</v>
      </c>
      <c r="C846" s="1" t="n">
        <v>45628</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49405-2022</t>
        </is>
      </c>
      <c r="B847" s="1" t="n">
        <v>44861</v>
      </c>
      <c r="C847" s="1" t="n">
        <v>45628</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49673-2022</t>
        </is>
      </c>
      <c r="B848" s="1" t="n">
        <v>44862</v>
      </c>
      <c r="C848" s="1" t="n">
        <v>45628</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49701-2022</t>
        </is>
      </c>
      <c r="B849" s="1" t="n">
        <v>44862</v>
      </c>
      <c r="C849" s="1" t="n">
        <v>45628</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49891-2022</t>
        </is>
      </c>
      <c r="B850" s="1" t="n">
        <v>44864</v>
      </c>
      <c r="C850" s="1" t="n">
        <v>45628</v>
      </c>
      <c r="D850" t="inlineStr">
        <is>
          <t>VÄRMLANDS LÄN</t>
        </is>
      </c>
      <c r="E850" t="inlineStr">
        <is>
          <t>ÅRJÄNG</t>
        </is>
      </c>
      <c r="G850" t="n">
        <v>5.6</v>
      </c>
      <c r="H850" t="n">
        <v>0</v>
      </c>
      <c r="I850" t="n">
        <v>0</v>
      </c>
      <c r="J850" t="n">
        <v>0</v>
      </c>
      <c r="K850" t="n">
        <v>0</v>
      </c>
      <c r="L850" t="n">
        <v>0</v>
      </c>
      <c r="M850" t="n">
        <v>0</v>
      </c>
      <c r="N850" t="n">
        <v>0</v>
      </c>
      <c r="O850" t="n">
        <v>0</v>
      </c>
      <c r="P850" t="n">
        <v>0</v>
      </c>
      <c r="Q850" t="n">
        <v>0</v>
      </c>
      <c r="R850" s="2" t="inlineStr"/>
    </row>
    <row r="851" ht="15" customHeight="1">
      <c r="A851" t="inlineStr">
        <is>
          <t>A 49896-2022</t>
        </is>
      </c>
      <c r="B851" s="1" t="n">
        <v>44864</v>
      </c>
      <c r="C851" s="1" t="n">
        <v>45628</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50025-2022</t>
        </is>
      </c>
      <c r="B852" s="1" t="n">
        <v>44865</v>
      </c>
      <c r="C852" s="1" t="n">
        <v>45628</v>
      </c>
      <c r="D852" t="inlineStr">
        <is>
          <t>VÄRMLANDS LÄN</t>
        </is>
      </c>
      <c r="E852" t="inlineStr">
        <is>
          <t>ÅRJÄNG</t>
        </is>
      </c>
      <c r="G852" t="n">
        <v>7.2</v>
      </c>
      <c r="H852" t="n">
        <v>0</v>
      </c>
      <c r="I852" t="n">
        <v>0</v>
      </c>
      <c r="J852" t="n">
        <v>0</v>
      </c>
      <c r="K852" t="n">
        <v>0</v>
      </c>
      <c r="L852" t="n">
        <v>0</v>
      </c>
      <c r="M852" t="n">
        <v>0</v>
      </c>
      <c r="N852" t="n">
        <v>0</v>
      </c>
      <c r="O852" t="n">
        <v>0</v>
      </c>
      <c r="P852" t="n">
        <v>0</v>
      </c>
      <c r="Q852" t="n">
        <v>0</v>
      </c>
      <c r="R852" s="2" t="inlineStr"/>
    </row>
    <row r="853" ht="15" customHeight="1">
      <c r="A853" t="inlineStr">
        <is>
          <t>A 50044-2022</t>
        </is>
      </c>
      <c r="B853" s="1" t="n">
        <v>44865</v>
      </c>
      <c r="C853" s="1" t="n">
        <v>45628</v>
      </c>
      <c r="D853" t="inlineStr">
        <is>
          <t>VÄRMLANDS LÄN</t>
        </is>
      </c>
      <c r="E853" t="inlineStr">
        <is>
          <t>ÅRJÄNG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49949-2022</t>
        </is>
      </c>
      <c r="B854" s="1" t="n">
        <v>44865</v>
      </c>
      <c r="C854" s="1" t="n">
        <v>45628</v>
      </c>
      <c r="D854" t="inlineStr">
        <is>
          <t>VÄRMLANDS LÄN</t>
        </is>
      </c>
      <c r="E854" t="inlineStr">
        <is>
          <t>ÅRJÄNG</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51109-2022</t>
        </is>
      </c>
      <c r="B855" s="1" t="n">
        <v>44868</v>
      </c>
      <c r="C855" s="1" t="n">
        <v>45628</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51258-2022</t>
        </is>
      </c>
      <c r="B856" s="1" t="n">
        <v>44868</v>
      </c>
      <c r="C856" s="1" t="n">
        <v>45628</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51271-2022</t>
        </is>
      </c>
      <c r="B857" s="1" t="n">
        <v>44868</v>
      </c>
      <c r="C857" s="1" t="n">
        <v>45628</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51269-2022</t>
        </is>
      </c>
      <c r="B858" s="1" t="n">
        <v>44868</v>
      </c>
      <c r="C858" s="1" t="n">
        <v>45628</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51456-2022</t>
        </is>
      </c>
      <c r="B859" s="1" t="n">
        <v>44869</v>
      </c>
      <c r="C859" s="1" t="n">
        <v>45628</v>
      </c>
      <c r="D859" t="inlineStr">
        <is>
          <t>VÄRMLANDS LÄN</t>
        </is>
      </c>
      <c r="E859" t="inlineStr">
        <is>
          <t>ÅRJÄNG</t>
        </is>
      </c>
      <c r="G859" t="n">
        <v>3.4</v>
      </c>
      <c r="H859" t="n">
        <v>0</v>
      </c>
      <c r="I859" t="n">
        <v>0</v>
      </c>
      <c r="J859" t="n">
        <v>0</v>
      </c>
      <c r="K859" t="n">
        <v>0</v>
      </c>
      <c r="L859" t="n">
        <v>0</v>
      </c>
      <c r="M859" t="n">
        <v>0</v>
      </c>
      <c r="N859" t="n">
        <v>0</v>
      </c>
      <c r="O859" t="n">
        <v>0</v>
      </c>
      <c r="P859" t="n">
        <v>0</v>
      </c>
      <c r="Q859" t="n">
        <v>0</v>
      </c>
      <c r="R859" s="2" t="inlineStr"/>
    </row>
    <row r="860" ht="15" customHeight="1">
      <c r="A860" t="inlineStr">
        <is>
          <t>A 51895-2022</t>
        </is>
      </c>
      <c r="B860" s="1" t="n">
        <v>44872</v>
      </c>
      <c r="C860" s="1" t="n">
        <v>45628</v>
      </c>
      <c r="D860" t="inlineStr">
        <is>
          <t>VÄRMLANDS LÄN</t>
        </is>
      </c>
      <c r="E860" t="inlineStr">
        <is>
          <t>ÅRJÄNG</t>
        </is>
      </c>
      <c r="F860" t="inlineStr">
        <is>
          <t>Kyrkan</t>
        </is>
      </c>
      <c r="G860" t="n">
        <v>3.1</v>
      </c>
      <c r="H860" t="n">
        <v>0</v>
      </c>
      <c r="I860" t="n">
        <v>0</v>
      </c>
      <c r="J860" t="n">
        <v>0</v>
      </c>
      <c r="K860" t="n">
        <v>0</v>
      </c>
      <c r="L860" t="n">
        <v>0</v>
      </c>
      <c r="M860" t="n">
        <v>0</v>
      </c>
      <c r="N860" t="n">
        <v>0</v>
      </c>
      <c r="O860" t="n">
        <v>0</v>
      </c>
      <c r="P860" t="n">
        <v>0</v>
      </c>
      <c r="Q860" t="n">
        <v>0</v>
      </c>
      <c r="R860" s="2" t="inlineStr"/>
    </row>
    <row r="861" ht="15" customHeight="1">
      <c r="A861" t="inlineStr">
        <is>
          <t>A 51962-2022</t>
        </is>
      </c>
      <c r="B861" s="1" t="n">
        <v>44872</v>
      </c>
      <c r="C861" s="1" t="n">
        <v>45628</v>
      </c>
      <c r="D861" t="inlineStr">
        <is>
          <t>VÄRMLANDS LÄN</t>
        </is>
      </c>
      <c r="E861" t="inlineStr">
        <is>
          <t>ÅRJÄNG</t>
        </is>
      </c>
      <c r="G861" t="n">
        <v>1.7</v>
      </c>
      <c r="H861" t="n">
        <v>0</v>
      </c>
      <c r="I861" t="n">
        <v>0</v>
      </c>
      <c r="J861" t="n">
        <v>0</v>
      </c>
      <c r="K861" t="n">
        <v>0</v>
      </c>
      <c r="L861" t="n">
        <v>0</v>
      </c>
      <c r="M861" t="n">
        <v>0</v>
      </c>
      <c r="N861" t="n">
        <v>0</v>
      </c>
      <c r="O861" t="n">
        <v>0</v>
      </c>
      <c r="P861" t="n">
        <v>0</v>
      </c>
      <c r="Q861" t="n">
        <v>0</v>
      </c>
      <c r="R861" s="2" t="inlineStr"/>
    </row>
    <row r="862" ht="15" customHeight="1">
      <c r="A862" t="inlineStr">
        <is>
          <t>A 51965-2022</t>
        </is>
      </c>
      <c r="B862" s="1" t="n">
        <v>44872</v>
      </c>
      <c r="C862" s="1" t="n">
        <v>45628</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51975-2022</t>
        </is>
      </c>
      <c r="B863" s="1" t="n">
        <v>44872</v>
      </c>
      <c r="C863" s="1" t="n">
        <v>45628</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52203-2022</t>
        </is>
      </c>
      <c r="B864" s="1" t="n">
        <v>44873</v>
      </c>
      <c r="C864" s="1" t="n">
        <v>45628</v>
      </c>
      <c r="D864" t="inlineStr">
        <is>
          <t>VÄRMLANDS LÄN</t>
        </is>
      </c>
      <c r="E864" t="inlineStr">
        <is>
          <t>ÅRJÄNG</t>
        </is>
      </c>
      <c r="G864" t="n">
        <v>6.4</v>
      </c>
      <c r="H864" t="n">
        <v>0</v>
      </c>
      <c r="I864" t="n">
        <v>0</v>
      </c>
      <c r="J864" t="n">
        <v>0</v>
      </c>
      <c r="K864" t="n">
        <v>0</v>
      </c>
      <c r="L864" t="n">
        <v>0</v>
      </c>
      <c r="M864" t="n">
        <v>0</v>
      </c>
      <c r="N864" t="n">
        <v>0</v>
      </c>
      <c r="O864" t="n">
        <v>0</v>
      </c>
      <c r="P864" t="n">
        <v>0</v>
      </c>
      <c r="Q864" t="n">
        <v>0</v>
      </c>
      <c r="R864" s="2" t="inlineStr"/>
    </row>
    <row r="865" ht="15" customHeight="1">
      <c r="A865" t="inlineStr">
        <is>
          <t>A 52184-2022</t>
        </is>
      </c>
      <c r="B865" s="1" t="n">
        <v>44873</v>
      </c>
      <c r="C865" s="1" t="n">
        <v>45628</v>
      </c>
      <c r="D865" t="inlineStr">
        <is>
          <t>VÄRMLANDS LÄN</t>
        </is>
      </c>
      <c r="E865" t="inlineStr">
        <is>
          <t>ÅRJÄNG</t>
        </is>
      </c>
      <c r="G865" t="n">
        <v>6.6</v>
      </c>
      <c r="H865" t="n">
        <v>0</v>
      </c>
      <c r="I865" t="n">
        <v>0</v>
      </c>
      <c r="J865" t="n">
        <v>0</v>
      </c>
      <c r="K865" t="n">
        <v>0</v>
      </c>
      <c r="L865" t="n">
        <v>0</v>
      </c>
      <c r="M865" t="n">
        <v>0</v>
      </c>
      <c r="N865" t="n">
        <v>0</v>
      </c>
      <c r="O865" t="n">
        <v>0</v>
      </c>
      <c r="P865" t="n">
        <v>0</v>
      </c>
      <c r="Q865" t="n">
        <v>0</v>
      </c>
      <c r="R865" s="2" t="inlineStr"/>
    </row>
    <row r="866" ht="15" customHeight="1">
      <c r="A866" t="inlineStr">
        <is>
          <t>A 52761-2022</t>
        </is>
      </c>
      <c r="B866" s="1" t="n">
        <v>44875</v>
      </c>
      <c r="C866" s="1" t="n">
        <v>45628</v>
      </c>
      <c r="D866" t="inlineStr">
        <is>
          <t>VÄRMLANDS LÄN</t>
        </is>
      </c>
      <c r="E866" t="inlineStr">
        <is>
          <t>ÅRJÄNG</t>
        </is>
      </c>
      <c r="G866" t="n">
        <v>2.7</v>
      </c>
      <c r="H866" t="n">
        <v>0</v>
      </c>
      <c r="I866" t="n">
        <v>0</v>
      </c>
      <c r="J866" t="n">
        <v>0</v>
      </c>
      <c r="K866" t="n">
        <v>0</v>
      </c>
      <c r="L866" t="n">
        <v>0</v>
      </c>
      <c r="M866" t="n">
        <v>0</v>
      </c>
      <c r="N866" t="n">
        <v>0</v>
      </c>
      <c r="O866" t="n">
        <v>0</v>
      </c>
      <c r="P866" t="n">
        <v>0</v>
      </c>
      <c r="Q866" t="n">
        <v>0</v>
      </c>
      <c r="R866" s="2" t="inlineStr"/>
    </row>
    <row r="867" ht="15" customHeight="1">
      <c r="A867" t="inlineStr">
        <is>
          <t>A 52773-2022</t>
        </is>
      </c>
      <c r="B867" s="1" t="n">
        <v>44875</v>
      </c>
      <c r="C867" s="1" t="n">
        <v>45628</v>
      </c>
      <c r="D867" t="inlineStr">
        <is>
          <t>VÄRMLANDS LÄN</t>
        </is>
      </c>
      <c r="E867" t="inlineStr">
        <is>
          <t>ÅRJÄNG</t>
        </is>
      </c>
      <c r="G867" t="n">
        <v>4.1</v>
      </c>
      <c r="H867" t="n">
        <v>0</v>
      </c>
      <c r="I867" t="n">
        <v>0</v>
      </c>
      <c r="J867" t="n">
        <v>0</v>
      </c>
      <c r="K867" t="n">
        <v>0</v>
      </c>
      <c r="L867" t="n">
        <v>0</v>
      </c>
      <c r="M867" t="n">
        <v>0</v>
      </c>
      <c r="N867" t="n">
        <v>0</v>
      </c>
      <c r="O867" t="n">
        <v>0</v>
      </c>
      <c r="P867" t="n">
        <v>0</v>
      </c>
      <c r="Q867" t="n">
        <v>0</v>
      </c>
      <c r="R867" s="2" t="inlineStr"/>
    </row>
    <row r="868" ht="15" customHeight="1">
      <c r="A868" t="inlineStr">
        <is>
          <t>A 52830-2022</t>
        </is>
      </c>
      <c r="B868" s="1" t="n">
        <v>44875</v>
      </c>
      <c r="C868" s="1" t="n">
        <v>45628</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52826-2022</t>
        </is>
      </c>
      <c r="B869" s="1" t="n">
        <v>44875</v>
      </c>
      <c r="C869" s="1" t="n">
        <v>45628</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53262-2022</t>
        </is>
      </c>
      <c r="B870" s="1" t="n">
        <v>44876</v>
      </c>
      <c r="C870" s="1" t="n">
        <v>45628</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53679-2022</t>
        </is>
      </c>
      <c r="B871" s="1" t="n">
        <v>44879</v>
      </c>
      <c r="C871" s="1" t="n">
        <v>45628</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55607-2022</t>
        </is>
      </c>
      <c r="B872" s="1" t="n">
        <v>44883</v>
      </c>
      <c r="C872" s="1" t="n">
        <v>45628</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54950-2022</t>
        </is>
      </c>
      <c r="B873" s="1" t="n">
        <v>44886</v>
      </c>
      <c r="C873" s="1" t="n">
        <v>45628</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55654-2022</t>
        </is>
      </c>
      <c r="B874" s="1" t="n">
        <v>44888</v>
      </c>
      <c r="C874" s="1" t="n">
        <v>45628</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56566-2022</t>
        </is>
      </c>
      <c r="B875" s="1" t="n">
        <v>44893</v>
      </c>
      <c r="C875" s="1" t="n">
        <v>45628</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56690-2022</t>
        </is>
      </c>
      <c r="B876" s="1" t="n">
        <v>44893</v>
      </c>
      <c r="C876" s="1" t="n">
        <v>45628</v>
      </c>
      <c r="D876" t="inlineStr">
        <is>
          <t>VÄRMLANDS LÄN</t>
        </is>
      </c>
      <c r="E876" t="inlineStr">
        <is>
          <t>ÅRJÄNG</t>
        </is>
      </c>
      <c r="F876" t="inlineStr">
        <is>
          <t>Övriga Aktiebolag</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58014-2022</t>
        </is>
      </c>
      <c r="B877" s="1" t="n">
        <v>44893</v>
      </c>
      <c r="C877" s="1" t="n">
        <v>45628</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56810-2022</t>
        </is>
      </c>
      <c r="B878" s="1" t="n">
        <v>44894</v>
      </c>
      <c r="C878" s="1" t="n">
        <v>45628</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57062-2022</t>
        </is>
      </c>
      <c r="B879" s="1" t="n">
        <v>44895</v>
      </c>
      <c r="C879" s="1" t="n">
        <v>45628</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58039-2022</t>
        </is>
      </c>
      <c r="B880" s="1" t="n">
        <v>44900</v>
      </c>
      <c r="C880" s="1" t="n">
        <v>45628</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59976-2022</t>
        </is>
      </c>
      <c r="B881" s="1" t="n">
        <v>44901</v>
      </c>
      <c r="C881" s="1" t="n">
        <v>45628</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59352-2022</t>
        </is>
      </c>
      <c r="B882" s="1" t="n">
        <v>44904</v>
      </c>
      <c r="C882" s="1" t="n">
        <v>45628</v>
      </c>
      <c r="D882" t="inlineStr">
        <is>
          <t>VÄRMLANDS LÄN</t>
        </is>
      </c>
      <c r="E882" t="inlineStr">
        <is>
          <t>ÅRJÄNG</t>
        </is>
      </c>
      <c r="G882" t="n">
        <v>9.6</v>
      </c>
      <c r="H882" t="n">
        <v>0</v>
      </c>
      <c r="I882" t="n">
        <v>0</v>
      </c>
      <c r="J882" t="n">
        <v>0</v>
      </c>
      <c r="K882" t="n">
        <v>0</v>
      </c>
      <c r="L882" t="n">
        <v>0</v>
      </c>
      <c r="M882" t="n">
        <v>0</v>
      </c>
      <c r="N882" t="n">
        <v>0</v>
      </c>
      <c r="O882" t="n">
        <v>0</v>
      </c>
      <c r="P882" t="n">
        <v>0</v>
      </c>
      <c r="Q882" t="n">
        <v>0</v>
      </c>
      <c r="R882" s="2" t="inlineStr"/>
    </row>
    <row r="883" ht="15" customHeight="1">
      <c r="A883" t="inlineStr">
        <is>
          <t>A 60433-2022</t>
        </is>
      </c>
      <c r="B883" s="1" t="n">
        <v>44904</v>
      </c>
      <c r="C883" s="1" t="n">
        <v>45628</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60377-2022</t>
        </is>
      </c>
      <c r="B884" s="1" t="n">
        <v>44904</v>
      </c>
      <c r="C884" s="1" t="n">
        <v>45628</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59621-2022</t>
        </is>
      </c>
      <c r="B885" s="1" t="n">
        <v>44907</v>
      </c>
      <c r="C885" s="1" t="n">
        <v>45628</v>
      </c>
      <c r="D885" t="inlineStr">
        <is>
          <t>VÄRMLANDS LÄN</t>
        </is>
      </c>
      <c r="E885" t="inlineStr">
        <is>
          <t>ÅRJÄNG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59612-2022</t>
        </is>
      </c>
      <c r="B886" s="1" t="n">
        <v>44907</v>
      </c>
      <c r="C886" s="1" t="n">
        <v>45628</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59624-2022</t>
        </is>
      </c>
      <c r="B887" s="1" t="n">
        <v>44907</v>
      </c>
      <c r="C887" s="1" t="n">
        <v>45628</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59617-2022</t>
        </is>
      </c>
      <c r="B888" s="1" t="n">
        <v>44907</v>
      </c>
      <c r="C888" s="1" t="n">
        <v>45628</v>
      </c>
      <c r="D888" t="inlineStr">
        <is>
          <t>VÄRMLANDS LÄN</t>
        </is>
      </c>
      <c r="E888" t="inlineStr">
        <is>
          <t>ÅRJÄNG</t>
        </is>
      </c>
      <c r="G888" t="n">
        <v>0.7</v>
      </c>
      <c r="H888" t="n">
        <v>0</v>
      </c>
      <c r="I888" t="n">
        <v>0</v>
      </c>
      <c r="J888" t="n">
        <v>0</v>
      </c>
      <c r="K888" t="n">
        <v>0</v>
      </c>
      <c r="L888" t="n">
        <v>0</v>
      </c>
      <c r="M888" t="n">
        <v>0</v>
      </c>
      <c r="N888" t="n">
        <v>0</v>
      </c>
      <c r="O888" t="n">
        <v>0</v>
      </c>
      <c r="P888" t="n">
        <v>0</v>
      </c>
      <c r="Q888" t="n">
        <v>0</v>
      </c>
      <c r="R888" s="2" t="inlineStr"/>
    </row>
    <row r="889" ht="15" customHeight="1">
      <c r="A889" t="inlineStr">
        <is>
          <t>A 59622-2022</t>
        </is>
      </c>
      <c r="B889" s="1" t="n">
        <v>44907</v>
      </c>
      <c r="C889" s="1" t="n">
        <v>45628</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59785-2022</t>
        </is>
      </c>
      <c r="B890" s="1" t="n">
        <v>44908</v>
      </c>
      <c r="C890" s="1" t="n">
        <v>45628</v>
      </c>
      <c r="D890" t="inlineStr">
        <is>
          <t>VÄRMLANDS LÄN</t>
        </is>
      </c>
      <c r="E890" t="inlineStr">
        <is>
          <t>ÅRJÄNG</t>
        </is>
      </c>
      <c r="G890" t="n">
        <v>12.1</v>
      </c>
      <c r="H890" t="n">
        <v>0</v>
      </c>
      <c r="I890" t="n">
        <v>0</v>
      </c>
      <c r="J890" t="n">
        <v>0</v>
      </c>
      <c r="K890" t="n">
        <v>0</v>
      </c>
      <c r="L890" t="n">
        <v>0</v>
      </c>
      <c r="M890" t="n">
        <v>0</v>
      </c>
      <c r="N890" t="n">
        <v>0</v>
      </c>
      <c r="O890" t="n">
        <v>0</v>
      </c>
      <c r="P890" t="n">
        <v>0</v>
      </c>
      <c r="Q890" t="n">
        <v>0</v>
      </c>
      <c r="R890" s="2" t="inlineStr"/>
    </row>
    <row r="891" ht="15" customHeight="1">
      <c r="A891" t="inlineStr">
        <is>
          <t>A 59841-2022</t>
        </is>
      </c>
      <c r="B891" s="1" t="n">
        <v>44908</v>
      </c>
      <c r="C891" s="1" t="n">
        <v>45628</v>
      </c>
      <c r="D891" t="inlineStr">
        <is>
          <t>VÄRMLANDS LÄN</t>
        </is>
      </c>
      <c r="E891" t="inlineStr">
        <is>
          <t>ÅRJÄNG</t>
        </is>
      </c>
      <c r="G891" t="n">
        <v>7.8</v>
      </c>
      <c r="H891" t="n">
        <v>0</v>
      </c>
      <c r="I891" t="n">
        <v>0</v>
      </c>
      <c r="J891" t="n">
        <v>0</v>
      </c>
      <c r="K891" t="n">
        <v>0</v>
      </c>
      <c r="L891" t="n">
        <v>0</v>
      </c>
      <c r="M891" t="n">
        <v>0</v>
      </c>
      <c r="N891" t="n">
        <v>0</v>
      </c>
      <c r="O891" t="n">
        <v>0</v>
      </c>
      <c r="P891" t="n">
        <v>0</v>
      </c>
      <c r="Q891" t="n">
        <v>0</v>
      </c>
      <c r="R891" s="2" t="inlineStr"/>
    </row>
    <row r="892" ht="15" customHeight="1">
      <c r="A892" t="inlineStr">
        <is>
          <t>A 60192-2022</t>
        </is>
      </c>
      <c r="B892" s="1" t="n">
        <v>44910</v>
      </c>
      <c r="C892" s="1" t="n">
        <v>45628</v>
      </c>
      <c r="D892" t="inlineStr">
        <is>
          <t>VÄRMLANDS LÄN</t>
        </is>
      </c>
      <c r="E892" t="inlineStr">
        <is>
          <t>ÅRJÄNG</t>
        </is>
      </c>
      <c r="G892" t="n">
        <v>3.6</v>
      </c>
      <c r="H892" t="n">
        <v>0</v>
      </c>
      <c r="I892" t="n">
        <v>0</v>
      </c>
      <c r="J892" t="n">
        <v>0</v>
      </c>
      <c r="K892" t="n">
        <v>0</v>
      </c>
      <c r="L892" t="n">
        <v>0</v>
      </c>
      <c r="M892" t="n">
        <v>0</v>
      </c>
      <c r="N892" t="n">
        <v>0</v>
      </c>
      <c r="O892" t="n">
        <v>0</v>
      </c>
      <c r="P892" t="n">
        <v>0</v>
      </c>
      <c r="Q892" t="n">
        <v>0</v>
      </c>
      <c r="R892" s="2" t="inlineStr"/>
    </row>
    <row r="893" ht="15" customHeight="1">
      <c r="A893" t="inlineStr">
        <is>
          <t>A 61764-2022</t>
        </is>
      </c>
      <c r="B893" s="1" t="n">
        <v>44911</v>
      </c>
      <c r="C893" s="1" t="n">
        <v>45628</v>
      </c>
      <c r="D893" t="inlineStr">
        <is>
          <t>VÄRMLANDS LÄN</t>
        </is>
      </c>
      <c r="E893" t="inlineStr">
        <is>
          <t>ÅRJÄNG</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61009-2022</t>
        </is>
      </c>
      <c r="B894" s="1" t="n">
        <v>44914</v>
      </c>
      <c r="C894" s="1" t="n">
        <v>45628</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60975-2022</t>
        </is>
      </c>
      <c r="B895" s="1" t="n">
        <v>44914</v>
      </c>
      <c r="C895" s="1" t="n">
        <v>45628</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61001-2022</t>
        </is>
      </c>
      <c r="B896" s="1" t="n">
        <v>44914</v>
      </c>
      <c r="C896" s="1" t="n">
        <v>45628</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61295-2022</t>
        </is>
      </c>
      <c r="B897" s="1" t="n">
        <v>44915</v>
      </c>
      <c r="C897" s="1" t="n">
        <v>45628</v>
      </c>
      <c r="D897" t="inlineStr">
        <is>
          <t>VÄRMLANDS LÄN</t>
        </is>
      </c>
      <c r="E897" t="inlineStr">
        <is>
          <t>ÅRJÄNG</t>
        </is>
      </c>
      <c r="G897" t="n">
        <v>0.4</v>
      </c>
      <c r="H897" t="n">
        <v>0</v>
      </c>
      <c r="I897" t="n">
        <v>0</v>
      </c>
      <c r="J897" t="n">
        <v>0</v>
      </c>
      <c r="K897" t="n">
        <v>0</v>
      </c>
      <c r="L897" t="n">
        <v>0</v>
      </c>
      <c r="M897" t="n">
        <v>0</v>
      </c>
      <c r="N897" t="n">
        <v>0</v>
      </c>
      <c r="O897" t="n">
        <v>0</v>
      </c>
      <c r="P897" t="n">
        <v>0</v>
      </c>
      <c r="Q897" t="n">
        <v>0</v>
      </c>
      <c r="R897" s="2" t="inlineStr"/>
    </row>
    <row r="898" ht="15" customHeight="1">
      <c r="A898" t="inlineStr">
        <is>
          <t>A 61474-2022</t>
        </is>
      </c>
      <c r="B898" s="1" t="n">
        <v>44916</v>
      </c>
      <c r="C898" s="1" t="n">
        <v>45628</v>
      </c>
      <c r="D898" t="inlineStr">
        <is>
          <t>VÄRMLANDS LÄN</t>
        </is>
      </c>
      <c r="E898" t="inlineStr">
        <is>
          <t>ÅRJÄNG</t>
        </is>
      </c>
      <c r="G898" t="n">
        <v>3.8</v>
      </c>
      <c r="H898" t="n">
        <v>0</v>
      </c>
      <c r="I898" t="n">
        <v>0</v>
      </c>
      <c r="J898" t="n">
        <v>0</v>
      </c>
      <c r="K898" t="n">
        <v>0</v>
      </c>
      <c r="L898" t="n">
        <v>0</v>
      </c>
      <c r="M898" t="n">
        <v>0</v>
      </c>
      <c r="N898" t="n">
        <v>0</v>
      </c>
      <c r="O898" t="n">
        <v>0</v>
      </c>
      <c r="P898" t="n">
        <v>0</v>
      </c>
      <c r="Q898" t="n">
        <v>0</v>
      </c>
      <c r="R898" s="2" t="inlineStr"/>
    </row>
    <row r="899" ht="15" customHeight="1">
      <c r="A899" t="inlineStr">
        <is>
          <t>A 62240-2022</t>
        </is>
      </c>
      <c r="B899" s="1" t="n">
        <v>44922</v>
      </c>
      <c r="C899" s="1" t="n">
        <v>45628</v>
      </c>
      <c r="D899" t="inlineStr">
        <is>
          <t>VÄRMLANDS LÄN</t>
        </is>
      </c>
      <c r="E899" t="inlineStr">
        <is>
          <t>ÅRJÄNG</t>
        </is>
      </c>
      <c r="G899" t="n">
        <v>0.5</v>
      </c>
      <c r="H899" t="n">
        <v>0</v>
      </c>
      <c r="I899" t="n">
        <v>0</v>
      </c>
      <c r="J899" t="n">
        <v>0</v>
      </c>
      <c r="K899" t="n">
        <v>0</v>
      </c>
      <c r="L899" t="n">
        <v>0</v>
      </c>
      <c r="M899" t="n">
        <v>0</v>
      </c>
      <c r="N899" t="n">
        <v>0</v>
      </c>
      <c r="O899" t="n">
        <v>0</v>
      </c>
      <c r="P899" t="n">
        <v>0</v>
      </c>
      <c r="Q899" t="n">
        <v>0</v>
      </c>
      <c r="R899" s="2" t="inlineStr"/>
    </row>
    <row r="900" ht="15" customHeight="1">
      <c r="A900" t="inlineStr">
        <is>
          <t>A 62310-2022</t>
        </is>
      </c>
      <c r="B900" s="1" t="n">
        <v>44923</v>
      </c>
      <c r="C900" s="1" t="n">
        <v>45628</v>
      </c>
      <c r="D900" t="inlineStr">
        <is>
          <t>VÄRMLANDS LÄN</t>
        </is>
      </c>
      <c r="E900" t="inlineStr">
        <is>
          <t>ÅRJÄNG</t>
        </is>
      </c>
      <c r="G900" t="n">
        <v>2.6</v>
      </c>
      <c r="H900" t="n">
        <v>0</v>
      </c>
      <c r="I900" t="n">
        <v>0</v>
      </c>
      <c r="J900" t="n">
        <v>0</v>
      </c>
      <c r="K900" t="n">
        <v>0</v>
      </c>
      <c r="L900" t="n">
        <v>0</v>
      </c>
      <c r="M900" t="n">
        <v>0</v>
      </c>
      <c r="N900" t="n">
        <v>0</v>
      </c>
      <c r="O900" t="n">
        <v>0</v>
      </c>
      <c r="P900" t="n">
        <v>0</v>
      </c>
      <c r="Q900" t="n">
        <v>0</v>
      </c>
      <c r="R900" s="2" t="inlineStr"/>
    </row>
    <row r="901" ht="15" customHeight="1">
      <c r="A901" t="inlineStr">
        <is>
          <t>A 62476-2022</t>
        </is>
      </c>
      <c r="B901" s="1" t="n">
        <v>44924</v>
      </c>
      <c r="C901" s="1" t="n">
        <v>45628</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74-2023</t>
        </is>
      </c>
      <c r="B902" s="1" t="n">
        <v>44928</v>
      </c>
      <c r="C902" s="1" t="n">
        <v>45628</v>
      </c>
      <c r="D902" t="inlineStr">
        <is>
          <t>VÄRMLANDS LÄN</t>
        </is>
      </c>
      <c r="E902" t="inlineStr">
        <is>
          <t>ÅRJÄNG</t>
        </is>
      </c>
      <c r="G902" t="n">
        <v>4.9</v>
      </c>
      <c r="H902" t="n">
        <v>0</v>
      </c>
      <c r="I902" t="n">
        <v>0</v>
      </c>
      <c r="J902" t="n">
        <v>0</v>
      </c>
      <c r="K902" t="n">
        <v>0</v>
      </c>
      <c r="L902" t="n">
        <v>0</v>
      </c>
      <c r="M902" t="n">
        <v>0</v>
      </c>
      <c r="N902" t="n">
        <v>0</v>
      </c>
      <c r="O902" t="n">
        <v>0</v>
      </c>
      <c r="P902" t="n">
        <v>0</v>
      </c>
      <c r="Q902" t="n">
        <v>0</v>
      </c>
      <c r="R902" s="2" t="inlineStr"/>
    </row>
    <row r="903" ht="15" customHeight="1">
      <c r="A903" t="inlineStr">
        <is>
          <t>A 83-2023</t>
        </is>
      </c>
      <c r="B903" s="1" t="n">
        <v>44928</v>
      </c>
      <c r="C903" s="1" t="n">
        <v>45628</v>
      </c>
      <c r="D903" t="inlineStr">
        <is>
          <t>VÄRMLANDS LÄN</t>
        </is>
      </c>
      <c r="E903" t="inlineStr">
        <is>
          <t>ÅRJÄNG</t>
        </is>
      </c>
      <c r="G903" t="n">
        <v>1.4</v>
      </c>
      <c r="H903" t="n">
        <v>0</v>
      </c>
      <c r="I903" t="n">
        <v>0</v>
      </c>
      <c r="J903" t="n">
        <v>0</v>
      </c>
      <c r="K903" t="n">
        <v>0</v>
      </c>
      <c r="L903" t="n">
        <v>0</v>
      </c>
      <c r="M903" t="n">
        <v>0</v>
      </c>
      <c r="N903" t="n">
        <v>0</v>
      </c>
      <c r="O903" t="n">
        <v>0</v>
      </c>
      <c r="P903" t="n">
        <v>0</v>
      </c>
      <c r="Q903" t="n">
        <v>0</v>
      </c>
      <c r="R903" s="2" t="inlineStr"/>
    </row>
    <row r="904" ht="15" customHeight="1">
      <c r="A904" t="inlineStr">
        <is>
          <t>A 269-2023</t>
        </is>
      </c>
      <c r="B904" s="1" t="n">
        <v>44928</v>
      </c>
      <c r="C904" s="1" t="n">
        <v>45628</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268-2023</t>
        </is>
      </c>
      <c r="B905" s="1" t="n">
        <v>44928</v>
      </c>
      <c r="C905" s="1" t="n">
        <v>45628</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1200-2023</t>
        </is>
      </c>
      <c r="B906" s="1" t="n">
        <v>44935</v>
      </c>
      <c r="C906" s="1" t="n">
        <v>45628</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1153-2023</t>
        </is>
      </c>
      <c r="B907" s="1" t="n">
        <v>44935</v>
      </c>
      <c r="C907" s="1" t="n">
        <v>45628</v>
      </c>
      <c r="D907" t="inlineStr">
        <is>
          <t>VÄRMLANDS LÄN</t>
        </is>
      </c>
      <c r="E907" t="inlineStr">
        <is>
          <t>ÅRJÄNG</t>
        </is>
      </c>
      <c r="G907" t="n">
        <v>3.2</v>
      </c>
      <c r="H907" t="n">
        <v>0</v>
      </c>
      <c r="I907" t="n">
        <v>0</v>
      </c>
      <c r="J907" t="n">
        <v>0</v>
      </c>
      <c r="K907" t="n">
        <v>0</v>
      </c>
      <c r="L907" t="n">
        <v>0</v>
      </c>
      <c r="M907" t="n">
        <v>0</v>
      </c>
      <c r="N907" t="n">
        <v>0</v>
      </c>
      <c r="O907" t="n">
        <v>0</v>
      </c>
      <c r="P907" t="n">
        <v>0</v>
      </c>
      <c r="Q907" t="n">
        <v>0</v>
      </c>
      <c r="R907" s="2" t="inlineStr"/>
    </row>
    <row r="908" ht="15" customHeight="1">
      <c r="A908" t="inlineStr">
        <is>
          <t>A 1203-2023</t>
        </is>
      </c>
      <c r="B908" s="1" t="n">
        <v>44935</v>
      </c>
      <c r="C908" s="1" t="n">
        <v>45628</v>
      </c>
      <c r="D908" t="inlineStr">
        <is>
          <t>VÄRMLANDS LÄN</t>
        </is>
      </c>
      <c r="E908" t="inlineStr">
        <is>
          <t>ÅRJÄNG</t>
        </is>
      </c>
      <c r="G908" t="n">
        <v>6.9</v>
      </c>
      <c r="H908" t="n">
        <v>0</v>
      </c>
      <c r="I908" t="n">
        <v>0</v>
      </c>
      <c r="J908" t="n">
        <v>0</v>
      </c>
      <c r="K908" t="n">
        <v>0</v>
      </c>
      <c r="L908" t="n">
        <v>0</v>
      </c>
      <c r="M908" t="n">
        <v>0</v>
      </c>
      <c r="N908" t="n">
        <v>0</v>
      </c>
      <c r="O908" t="n">
        <v>0</v>
      </c>
      <c r="P908" t="n">
        <v>0</v>
      </c>
      <c r="Q908" t="n">
        <v>0</v>
      </c>
      <c r="R908" s="2" t="inlineStr"/>
    </row>
    <row r="909" ht="15" customHeight="1">
      <c r="A909" t="inlineStr">
        <is>
          <t>A 1201-2023</t>
        </is>
      </c>
      <c r="B909" s="1" t="n">
        <v>44935</v>
      </c>
      <c r="C909" s="1" t="n">
        <v>45628</v>
      </c>
      <c r="D909" t="inlineStr">
        <is>
          <t>VÄRMLANDS LÄN</t>
        </is>
      </c>
      <c r="E909" t="inlineStr">
        <is>
          <t>ÅRJÄNG</t>
        </is>
      </c>
      <c r="G909" t="n">
        <v>3.4</v>
      </c>
      <c r="H909" t="n">
        <v>0</v>
      </c>
      <c r="I909" t="n">
        <v>0</v>
      </c>
      <c r="J909" t="n">
        <v>0</v>
      </c>
      <c r="K909" t="n">
        <v>0</v>
      </c>
      <c r="L909" t="n">
        <v>0</v>
      </c>
      <c r="M909" t="n">
        <v>0</v>
      </c>
      <c r="N909" t="n">
        <v>0</v>
      </c>
      <c r="O909" t="n">
        <v>0</v>
      </c>
      <c r="P909" t="n">
        <v>0</v>
      </c>
      <c r="Q909" t="n">
        <v>0</v>
      </c>
      <c r="R909" s="2" t="inlineStr"/>
    </row>
    <row r="910" ht="15" customHeight="1">
      <c r="A910" t="inlineStr">
        <is>
          <t>A 1377-2023</t>
        </is>
      </c>
      <c r="B910" s="1" t="n">
        <v>44936</v>
      </c>
      <c r="C910" s="1" t="n">
        <v>45628</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1665-2023</t>
        </is>
      </c>
      <c r="B911" s="1" t="n">
        <v>44938</v>
      </c>
      <c r="C911" s="1" t="n">
        <v>45628</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2222-2023</t>
        </is>
      </c>
      <c r="B912" s="1" t="n">
        <v>44942</v>
      </c>
      <c r="C912" s="1" t="n">
        <v>45628</v>
      </c>
      <c r="D912" t="inlineStr">
        <is>
          <t>VÄRMLANDS LÄN</t>
        </is>
      </c>
      <c r="E912" t="inlineStr">
        <is>
          <t>ÅRJÄNG</t>
        </is>
      </c>
      <c r="G912" t="n">
        <v>5.7</v>
      </c>
      <c r="H912" t="n">
        <v>0</v>
      </c>
      <c r="I912" t="n">
        <v>0</v>
      </c>
      <c r="J912" t="n">
        <v>0</v>
      </c>
      <c r="K912" t="n">
        <v>0</v>
      </c>
      <c r="L912" t="n">
        <v>0</v>
      </c>
      <c r="M912" t="n">
        <v>0</v>
      </c>
      <c r="N912" t="n">
        <v>0</v>
      </c>
      <c r="O912" t="n">
        <v>0</v>
      </c>
      <c r="P912" t="n">
        <v>0</v>
      </c>
      <c r="Q912" t="n">
        <v>0</v>
      </c>
      <c r="R912" s="2" t="inlineStr"/>
    </row>
    <row r="913" ht="15" customHeight="1">
      <c r="A913" t="inlineStr">
        <is>
          <t>A 3734-2023</t>
        </is>
      </c>
      <c r="B913" s="1" t="n">
        <v>44948</v>
      </c>
      <c r="C913" s="1" t="n">
        <v>45628</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3471-2023</t>
        </is>
      </c>
      <c r="B914" s="1" t="n">
        <v>44949</v>
      </c>
      <c r="C914" s="1" t="n">
        <v>45628</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4171-2023</t>
        </is>
      </c>
      <c r="B915" s="1" t="n">
        <v>44953</v>
      </c>
      <c r="C915" s="1" t="n">
        <v>45628</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5095-2023</t>
        </is>
      </c>
      <c r="B916" s="1" t="n">
        <v>44953</v>
      </c>
      <c r="C916" s="1" t="n">
        <v>45628</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5115-2023</t>
        </is>
      </c>
      <c r="B917" s="1" t="n">
        <v>44953</v>
      </c>
      <c r="C917" s="1" t="n">
        <v>45628</v>
      </c>
      <c r="D917" t="inlineStr">
        <is>
          <t>VÄRMLANDS LÄN</t>
        </is>
      </c>
      <c r="E917" t="inlineStr">
        <is>
          <t>ÅRJÄNG</t>
        </is>
      </c>
      <c r="G917" t="n">
        <v>8.6</v>
      </c>
      <c r="H917" t="n">
        <v>0</v>
      </c>
      <c r="I917" t="n">
        <v>0</v>
      </c>
      <c r="J917" t="n">
        <v>0</v>
      </c>
      <c r="K917" t="n">
        <v>0</v>
      </c>
      <c r="L917" t="n">
        <v>0</v>
      </c>
      <c r="M917" t="n">
        <v>0</v>
      </c>
      <c r="N917" t="n">
        <v>0</v>
      </c>
      <c r="O917" t="n">
        <v>0</v>
      </c>
      <c r="P917" t="n">
        <v>0</v>
      </c>
      <c r="Q917" t="n">
        <v>0</v>
      </c>
      <c r="R917" s="2" t="inlineStr"/>
    </row>
    <row r="918" ht="15" customHeight="1">
      <c r="A918" t="inlineStr">
        <is>
          <t>A 5106-2023</t>
        </is>
      </c>
      <c r="B918" s="1" t="n">
        <v>44953</v>
      </c>
      <c r="C918" s="1" t="n">
        <v>45628</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4748-2023</t>
        </is>
      </c>
      <c r="B919" s="1" t="n">
        <v>44957</v>
      </c>
      <c r="C919" s="1" t="n">
        <v>45628</v>
      </c>
      <c r="D919" t="inlineStr">
        <is>
          <t>VÄRMLANDS LÄN</t>
        </is>
      </c>
      <c r="E919" t="inlineStr">
        <is>
          <t>ÅRJÄNG</t>
        </is>
      </c>
      <c r="G919" t="n">
        <v>2.6</v>
      </c>
      <c r="H919" t="n">
        <v>0</v>
      </c>
      <c r="I919" t="n">
        <v>0</v>
      </c>
      <c r="J919" t="n">
        <v>0</v>
      </c>
      <c r="K919" t="n">
        <v>0</v>
      </c>
      <c r="L919" t="n">
        <v>0</v>
      </c>
      <c r="M919" t="n">
        <v>0</v>
      </c>
      <c r="N919" t="n">
        <v>0</v>
      </c>
      <c r="O919" t="n">
        <v>0</v>
      </c>
      <c r="P919" t="n">
        <v>0</v>
      </c>
      <c r="Q919" t="n">
        <v>0</v>
      </c>
      <c r="R919" s="2" t="inlineStr"/>
    </row>
    <row r="920" ht="15" customHeight="1">
      <c r="A920" t="inlineStr">
        <is>
          <t>A 4731-2023</t>
        </is>
      </c>
      <c r="B920" s="1" t="n">
        <v>44957</v>
      </c>
      <c r="C920" s="1" t="n">
        <v>45628</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4704-2023</t>
        </is>
      </c>
      <c r="B921" s="1" t="n">
        <v>44957</v>
      </c>
      <c r="C921" s="1" t="n">
        <v>45628</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4763-2023</t>
        </is>
      </c>
      <c r="B922" s="1" t="n">
        <v>44957</v>
      </c>
      <c r="C922" s="1" t="n">
        <v>45628</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4784-2023</t>
        </is>
      </c>
      <c r="B923" s="1" t="n">
        <v>44957</v>
      </c>
      <c r="C923" s="1" t="n">
        <v>45628</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4940-2023</t>
        </is>
      </c>
      <c r="B924" s="1" t="n">
        <v>44958</v>
      </c>
      <c r="C924" s="1" t="n">
        <v>45628</v>
      </c>
      <c r="D924" t="inlineStr">
        <is>
          <t>VÄRMLANDS LÄN</t>
        </is>
      </c>
      <c r="E924" t="inlineStr">
        <is>
          <t>ÅRJÄNG</t>
        </is>
      </c>
      <c r="G924" t="n">
        <v>3.2</v>
      </c>
      <c r="H924" t="n">
        <v>0</v>
      </c>
      <c r="I924" t="n">
        <v>0</v>
      </c>
      <c r="J924" t="n">
        <v>0</v>
      </c>
      <c r="K924" t="n">
        <v>0</v>
      </c>
      <c r="L924" t="n">
        <v>0</v>
      </c>
      <c r="M924" t="n">
        <v>0</v>
      </c>
      <c r="N924" t="n">
        <v>0</v>
      </c>
      <c r="O924" t="n">
        <v>0</v>
      </c>
      <c r="P924" t="n">
        <v>0</v>
      </c>
      <c r="Q924" t="n">
        <v>0</v>
      </c>
      <c r="R924" s="2" t="inlineStr"/>
    </row>
    <row r="925" ht="15" customHeight="1">
      <c r="A925" t="inlineStr">
        <is>
          <t>A 5395-2023</t>
        </is>
      </c>
      <c r="B925" s="1" t="n">
        <v>44959</v>
      </c>
      <c r="C925" s="1" t="n">
        <v>45628</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5256-2023</t>
        </is>
      </c>
      <c r="B926" s="1" t="n">
        <v>44959</v>
      </c>
      <c r="C926" s="1" t="n">
        <v>45628</v>
      </c>
      <c r="D926" t="inlineStr">
        <is>
          <t>VÄRMLANDS LÄN</t>
        </is>
      </c>
      <c r="E926" t="inlineStr">
        <is>
          <t>ÅRJÄNG</t>
        </is>
      </c>
      <c r="G926" t="n">
        <v>1.7</v>
      </c>
      <c r="H926" t="n">
        <v>0</v>
      </c>
      <c r="I926" t="n">
        <v>0</v>
      </c>
      <c r="J926" t="n">
        <v>0</v>
      </c>
      <c r="K926" t="n">
        <v>0</v>
      </c>
      <c r="L926" t="n">
        <v>0</v>
      </c>
      <c r="M926" t="n">
        <v>0</v>
      </c>
      <c r="N926" t="n">
        <v>0</v>
      </c>
      <c r="O926" t="n">
        <v>0</v>
      </c>
      <c r="P926" t="n">
        <v>0</v>
      </c>
      <c r="Q926" t="n">
        <v>0</v>
      </c>
      <c r="R926" s="2" t="inlineStr"/>
    </row>
    <row r="927" ht="15" customHeight="1">
      <c r="A927" t="inlineStr">
        <is>
          <t>A 5411-2023</t>
        </is>
      </c>
      <c r="B927" s="1" t="n">
        <v>44959</v>
      </c>
      <c r="C927" s="1" t="n">
        <v>45628</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5863-2023</t>
        </is>
      </c>
      <c r="B928" s="1" t="n">
        <v>44963</v>
      </c>
      <c r="C928" s="1" t="n">
        <v>45628</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5931-2023</t>
        </is>
      </c>
      <c r="B929" s="1" t="n">
        <v>44963</v>
      </c>
      <c r="C929" s="1" t="n">
        <v>45628</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6134-2023</t>
        </is>
      </c>
      <c r="B930" s="1" t="n">
        <v>44964</v>
      </c>
      <c r="C930" s="1" t="n">
        <v>45628</v>
      </c>
      <c r="D930" t="inlineStr">
        <is>
          <t>VÄRMLANDS LÄN</t>
        </is>
      </c>
      <c r="E930" t="inlineStr">
        <is>
          <t>ÅRJÄNG</t>
        </is>
      </c>
      <c r="G930" t="n">
        <v>5.4</v>
      </c>
      <c r="H930" t="n">
        <v>0</v>
      </c>
      <c r="I930" t="n">
        <v>0</v>
      </c>
      <c r="J930" t="n">
        <v>0</v>
      </c>
      <c r="K930" t="n">
        <v>0</v>
      </c>
      <c r="L930" t="n">
        <v>0</v>
      </c>
      <c r="M930" t="n">
        <v>0</v>
      </c>
      <c r="N930" t="n">
        <v>0</v>
      </c>
      <c r="O930" t="n">
        <v>0</v>
      </c>
      <c r="P930" t="n">
        <v>0</v>
      </c>
      <c r="Q930" t="n">
        <v>0</v>
      </c>
      <c r="R930" s="2" t="inlineStr"/>
    </row>
    <row r="931" ht="15" customHeight="1">
      <c r="A931" t="inlineStr">
        <is>
          <t>A 6562-2023</t>
        </is>
      </c>
      <c r="B931" s="1" t="n">
        <v>44966</v>
      </c>
      <c r="C931" s="1" t="n">
        <v>45628</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7619-2023</t>
        </is>
      </c>
      <c r="B932" s="1" t="n">
        <v>44967</v>
      </c>
      <c r="C932" s="1" t="n">
        <v>45628</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7700-2023</t>
        </is>
      </c>
      <c r="B933" s="1" t="n">
        <v>44967</v>
      </c>
      <c r="C933" s="1" t="n">
        <v>45628</v>
      </c>
      <c r="D933" t="inlineStr">
        <is>
          <t>VÄRMLANDS LÄN</t>
        </is>
      </c>
      <c r="E933" t="inlineStr">
        <is>
          <t>ÅRJÄNG</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7699-2023</t>
        </is>
      </c>
      <c r="B934" s="1" t="n">
        <v>44967</v>
      </c>
      <c r="C934" s="1" t="n">
        <v>45628</v>
      </c>
      <c r="D934" t="inlineStr">
        <is>
          <t>VÄRMLANDS LÄN</t>
        </is>
      </c>
      <c r="E934" t="inlineStr">
        <is>
          <t>ÅRJÄNG</t>
        </is>
      </c>
      <c r="F934" t="inlineStr">
        <is>
          <t>Övriga Aktiebolag</t>
        </is>
      </c>
      <c r="G934" t="n">
        <v>2.3</v>
      </c>
      <c r="H934" t="n">
        <v>0</v>
      </c>
      <c r="I934" t="n">
        <v>0</v>
      </c>
      <c r="J934" t="n">
        <v>0</v>
      </c>
      <c r="K934" t="n">
        <v>0</v>
      </c>
      <c r="L934" t="n">
        <v>0</v>
      </c>
      <c r="M934" t="n">
        <v>0</v>
      </c>
      <c r="N934" t="n">
        <v>0</v>
      </c>
      <c r="O934" t="n">
        <v>0</v>
      </c>
      <c r="P934" t="n">
        <v>0</v>
      </c>
      <c r="Q934" t="n">
        <v>0</v>
      </c>
      <c r="R934" s="2" t="inlineStr"/>
    </row>
    <row r="935" ht="15" customHeight="1">
      <c r="A935" t="inlineStr">
        <is>
          <t>A 7703-2023</t>
        </is>
      </c>
      <c r="B935" s="1" t="n">
        <v>44968</v>
      </c>
      <c r="C935" s="1" t="n">
        <v>45628</v>
      </c>
      <c r="D935" t="inlineStr">
        <is>
          <t>VÄRMLANDS LÄN</t>
        </is>
      </c>
      <c r="E935" t="inlineStr">
        <is>
          <t>ÅRJÄNG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7059-2023</t>
        </is>
      </c>
      <c r="B936" s="1" t="n">
        <v>44969</v>
      </c>
      <c r="C936" s="1" t="n">
        <v>45628</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7092-2023</t>
        </is>
      </c>
      <c r="B937" s="1" t="n">
        <v>44970</v>
      </c>
      <c r="C937" s="1" t="n">
        <v>45628</v>
      </c>
      <c r="D937" t="inlineStr">
        <is>
          <t>VÄRMLANDS LÄN</t>
        </is>
      </c>
      <c r="E937" t="inlineStr">
        <is>
          <t>ÅRJÄNG</t>
        </is>
      </c>
      <c r="G937" t="n">
        <v>3.8</v>
      </c>
      <c r="H937" t="n">
        <v>0</v>
      </c>
      <c r="I937" t="n">
        <v>0</v>
      </c>
      <c r="J937" t="n">
        <v>0</v>
      </c>
      <c r="K937" t="n">
        <v>0</v>
      </c>
      <c r="L937" t="n">
        <v>0</v>
      </c>
      <c r="M937" t="n">
        <v>0</v>
      </c>
      <c r="N937" t="n">
        <v>0</v>
      </c>
      <c r="O937" t="n">
        <v>0</v>
      </c>
      <c r="P937" t="n">
        <v>0</v>
      </c>
      <c r="Q937" t="n">
        <v>0</v>
      </c>
      <c r="R937" s="2" t="inlineStr"/>
    </row>
    <row r="938" ht="15" customHeight="1">
      <c r="A938" t="inlineStr">
        <is>
          <t>A 7114-2023</t>
        </is>
      </c>
      <c r="B938" s="1" t="n">
        <v>44970</v>
      </c>
      <c r="C938" s="1" t="n">
        <v>45628</v>
      </c>
      <c r="D938" t="inlineStr">
        <is>
          <t>VÄRMLANDS LÄN</t>
        </is>
      </c>
      <c r="E938" t="inlineStr">
        <is>
          <t>ÅRJÄNG</t>
        </is>
      </c>
      <c r="G938" t="n">
        <v>4.7</v>
      </c>
      <c r="H938" t="n">
        <v>0</v>
      </c>
      <c r="I938" t="n">
        <v>0</v>
      </c>
      <c r="J938" t="n">
        <v>0</v>
      </c>
      <c r="K938" t="n">
        <v>0</v>
      </c>
      <c r="L938" t="n">
        <v>0</v>
      </c>
      <c r="M938" t="n">
        <v>0</v>
      </c>
      <c r="N938" t="n">
        <v>0</v>
      </c>
      <c r="O938" t="n">
        <v>0</v>
      </c>
      <c r="P938" t="n">
        <v>0</v>
      </c>
      <c r="Q938" t="n">
        <v>0</v>
      </c>
      <c r="R938" s="2" t="inlineStr"/>
    </row>
    <row r="939" ht="15" customHeight="1">
      <c r="A939" t="inlineStr">
        <is>
          <t>A 7104-2023</t>
        </is>
      </c>
      <c r="B939" s="1" t="n">
        <v>44970</v>
      </c>
      <c r="C939" s="1" t="n">
        <v>45628</v>
      </c>
      <c r="D939" t="inlineStr">
        <is>
          <t>VÄRMLANDS LÄN</t>
        </is>
      </c>
      <c r="E939" t="inlineStr">
        <is>
          <t>ÅRJÄNG</t>
        </is>
      </c>
      <c r="G939" t="n">
        <v>1.5</v>
      </c>
      <c r="H939" t="n">
        <v>0</v>
      </c>
      <c r="I939" t="n">
        <v>0</v>
      </c>
      <c r="J939" t="n">
        <v>0</v>
      </c>
      <c r="K939" t="n">
        <v>0</v>
      </c>
      <c r="L939" t="n">
        <v>0</v>
      </c>
      <c r="M939" t="n">
        <v>0</v>
      </c>
      <c r="N939" t="n">
        <v>0</v>
      </c>
      <c r="O939" t="n">
        <v>0</v>
      </c>
      <c r="P939" t="n">
        <v>0</v>
      </c>
      <c r="Q939" t="n">
        <v>0</v>
      </c>
      <c r="R939" s="2" t="inlineStr"/>
    </row>
    <row r="940" ht="15" customHeight="1">
      <c r="A940" t="inlineStr">
        <is>
          <t>A 7601-2023</t>
        </is>
      </c>
      <c r="B940" s="1" t="n">
        <v>44972</v>
      </c>
      <c r="C940" s="1" t="n">
        <v>45628</v>
      </c>
      <c r="D940" t="inlineStr">
        <is>
          <t>VÄRMLANDS LÄN</t>
        </is>
      </c>
      <c r="E940" t="inlineStr">
        <is>
          <t>ÅRJÄNG</t>
        </is>
      </c>
      <c r="G940" t="n">
        <v>3</v>
      </c>
      <c r="H940" t="n">
        <v>0</v>
      </c>
      <c r="I940" t="n">
        <v>0</v>
      </c>
      <c r="J940" t="n">
        <v>0</v>
      </c>
      <c r="K940" t="n">
        <v>0</v>
      </c>
      <c r="L940" t="n">
        <v>0</v>
      </c>
      <c r="M940" t="n">
        <v>0</v>
      </c>
      <c r="N940" t="n">
        <v>0</v>
      </c>
      <c r="O940" t="n">
        <v>0</v>
      </c>
      <c r="P940" t="n">
        <v>0</v>
      </c>
      <c r="Q940" t="n">
        <v>0</v>
      </c>
      <c r="R940" s="2" t="inlineStr"/>
    </row>
    <row r="941" ht="15" customHeight="1">
      <c r="A941" t="inlineStr">
        <is>
          <t>A 7615-2023</t>
        </is>
      </c>
      <c r="B941" s="1" t="n">
        <v>44972</v>
      </c>
      <c r="C941" s="1" t="n">
        <v>45628</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7622-2023</t>
        </is>
      </c>
      <c r="B942" s="1" t="n">
        <v>44972</v>
      </c>
      <c r="C942" s="1" t="n">
        <v>45628</v>
      </c>
      <c r="D942" t="inlineStr">
        <is>
          <t>VÄRMLANDS LÄN</t>
        </is>
      </c>
      <c r="E942" t="inlineStr">
        <is>
          <t>ÅRJÄNG</t>
        </is>
      </c>
      <c r="G942" t="n">
        <v>2.8</v>
      </c>
      <c r="H942" t="n">
        <v>0</v>
      </c>
      <c r="I942" t="n">
        <v>0</v>
      </c>
      <c r="J942" t="n">
        <v>0</v>
      </c>
      <c r="K942" t="n">
        <v>0</v>
      </c>
      <c r="L942" t="n">
        <v>0</v>
      </c>
      <c r="M942" t="n">
        <v>0</v>
      </c>
      <c r="N942" t="n">
        <v>0</v>
      </c>
      <c r="O942" t="n">
        <v>0</v>
      </c>
      <c r="P942" t="n">
        <v>0</v>
      </c>
      <c r="Q942" t="n">
        <v>0</v>
      </c>
      <c r="R942" s="2" t="inlineStr"/>
    </row>
    <row r="943" ht="15" customHeight="1">
      <c r="A943" t="inlineStr">
        <is>
          <t>A 7617-2023</t>
        </is>
      </c>
      <c r="B943" s="1" t="n">
        <v>44972</v>
      </c>
      <c r="C943" s="1" t="n">
        <v>45628</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7625-2023</t>
        </is>
      </c>
      <c r="B944" s="1" t="n">
        <v>44972</v>
      </c>
      <c r="C944" s="1" t="n">
        <v>45628</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7633-2023</t>
        </is>
      </c>
      <c r="B945" s="1" t="n">
        <v>44972</v>
      </c>
      <c r="C945" s="1" t="n">
        <v>45628</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7854-2023</t>
        </is>
      </c>
      <c r="B946" s="1" t="n">
        <v>44973</v>
      </c>
      <c r="C946" s="1" t="n">
        <v>45628</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8828-2023</t>
        </is>
      </c>
      <c r="B947" s="1" t="n">
        <v>44973</v>
      </c>
      <c r="C947" s="1" t="n">
        <v>45628</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8101-2023</t>
        </is>
      </c>
      <c r="B948" s="1" t="n">
        <v>44974</v>
      </c>
      <c r="C948" s="1" t="n">
        <v>45628</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8115-2023</t>
        </is>
      </c>
      <c r="B949" s="1" t="n">
        <v>44974</v>
      </c>
      <c r="C949" s="1" t="n">
        <v>45628</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8108-2023</t>
        </is>
      </c>
      <c r="B950" s="1" t="n">
        <v>44974</v>
      </c>
      <c r="C950" s="1" t="n">
        <v>45628</v>
      </c>
      <c r="D950" t="inlineStr">
        <is>
          <t>VÄRMLANDS LÄN</t>
        </is>
      </c>
      <c r="E950" t="inlineStr">
        <is>
          <t>ÅRJÄNG</t>
        </is>
      </c>
      <c r="G950" t="n">
        <v>1.6</v>
      </c>
      <c r="H950" t="n">
        <v>0</v>
      </c>
      <c r="I950" t="n">
        <v>0</v>
      </c>
      <c r="J950" t="n">
        <v>0</v>
      </c>
      <c r="K950" t="n">
        <v>0</v>
      </c>
      <c r="L950" t="n">
        <v>0</v>
      </c>
      <c r="M950" t="n">
        <v>0</v>
      </c>
      <c r="N950" t="n">
        <v>0</v>
      </c>
      <c r="O950" t="n">
        <v>0</v>
      </c>
      <c r="P950" t="n">
        <v>0</v>
      </c>
      <c r="Q950" t="n">
        <v>0</v>
      </c>
      <c r="R950" s="2" t="inlineStr"/>
    </row>
    <row r="951" ht="15" customHeight="1">
      <c r="A951" t="inlineStr">
        <is>
          <t>A 8614-2023</t>
        </is>
      </c>
      <c r="B951" s="1" t="n">
        <v>44977</v>
      </c>
      <c r="C951" s="1" t="n">
        <v>45628</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8838-2023</t>
        </is>
      </c>
      <c r="B952" s="1" t="n">
        <v>44978</v>
      </c>
      <c r="C952" s="1" t="n">
        <v>45628</v>
      </c>
      <c r="D952" t="inlineStr">
        <is>
          <t>VÄRMLANDS LÄN</t>
        </is>
      </c>
      <c r="E952" t="inlineStr">
        <is>
          <t>ÅRJÄNG</t>
        </is>
      </c>
      <c r="G952" t="n">
        <v>7</v>
      </c>
      <c r="H952" t="n">
        <v>0</v>
      </c>
      <c r="I952" t="n">
        <v>0</v>
      </c>
      <c r="J952" t="n">
        <v>0</v>
      </c>
      <c r="K952" t="n">
        <v>0</v>
      </c>
      <c r="L952" t="n">
        <v>0</v>
      </c>
      <c r="M952" t="n">
        <v>0</v>
      </c>
      <c r="N952" t="n">
        <v>0</v>
      </c>
      <c r="O952" t="n">
        <v>0</v>
      </c>
      <c r="P952" t="n">
        <v>0</v>
      </c>
      <c r="Q952" t="n">
        <v>0</v>
      </c>
      <c r="R952" s="2" t="inlineStr"/>
    </row>
    <row r="953" ht="15" customHeight="1">
      <c r="A953" t="inlineStr">
        <is>
          <t>A 8736-2023</t>
        </is>
      </c>
      <c r="B953" s="1" t="n">
        <v>44978</v>
      </c>
      <c r="C953" s="1" t="n">
        <v>45628</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8776-2023</t>
        </is>
      </c>
      <c r="B954" s="1" t="n">
        <v>44978</v>
      </c>
      <c r="C954" s="1" t="n">
        <v>45628</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8926-2023</t>
        </is>
      </c>
      <c r="B955" s="1" t="n">
        <v>44979</v>
      </c>
      <c r="C955" s="1" t="n">
        <v>45628</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10126-2023</t>
        </is>
      </c>
      <c r="B956" s="1" t="n">
        <v>44980</v>
      </c>
      <c r="C956" s="1" t="n">
        <v>45628</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9489-2023</t>
        </is>
      </c>
      <c r="B957" s="1" t="n">
        <v>44981</v>
      </c>
      <c r="C957" s="1" t="n">
        <v>45628</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9689-2023</t>
        </is>
      </c>
      <c r="B958" s="1" t="n">
        <v>44984</v>
      </c>
      <c r="C958" s="1" t="n">
        <v>45628</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9634-2023</t>
        </is>
      </c>
      <c r="B959" s="1" t="n">
        <v>44984</v>
      </c>
      <c r="C959" s="1" t="n">
        <v>45628</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10648-2023</t>
        </is>
      </c>
      <c r="B960" s="1" t="n">
        <v>44984</v>
      </c>
      <c r="C960" s="1" t="n">
        <v>45628</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10574-2023</t>
        </is>
      </c>
      <c r="B961" s="1" t="n">
        <v>44984</v>
      </c>
      <c r="C961" s="1" t="n">
        <v>45628</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9910-2023</t>
        </is>
      </c>
      <c r="B962" s="1" t="n">
        <v>44985</v>
      </c>
      <c r="C962" s="1" t="n">
        <v>45628</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10117-2023</t>
        </is>
      </c>
      <c r="B963" s="1" t="n">
        <v>44986</v>
      </c>
      <c r="C963" s="1" t="n">
        <v>45628</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10171-2023</t>
        </is>
      </c>
      <c r="B964" s="1" t="n">
        <v>44986</v>
      </c>
      <c r="C964" s="1" t="n">
        <v>45628</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10239-2023</t>
        </is>
      </c>
      <c r="B965" s="1" t="n">
        <v>44986</v>
      </c>
      <c r="C965" s="1" t="n">
        <v>45628</v>
      </c>
      <c r="D965" t="inlineStr">
        <is>
          <t>VÄRMLANDS LÄN</t>
        </is>
      </c>
      <c r="E965" t="inlineStr">
        <is>
          <t>ÅRJÄNG</t>
        </is>
      </c>
      <c r="G965" t="n">
        <v>5.4</v>
      </c>
      <c r="H965" t="n">
        <v>0</v>
      </c>
      <c r="I965" t="n">
        <v>0</v>
      </c>
      <c r="J965" t="n">
        <v>0</v>
      </c>
      <c r="K965" t="n">
        <v>0</v>
      </c>
      <c r="L965" t="n">
        <v>0</v>
      </c>
      <c r="M965" t="n">
        <v>0</v>
      </c>
      <c r="N965" t="n">
        <v>0</v>
      </c>
      <c r="O965" t="n">
        <v>0</v>
      </c>
      <c r="P965" t="n">
        <v>0</v>
      </c>
      <c r="Q965" t="n">
        <v>0</v>
      </c>
      <c r="R965" s="2" t="inlineStr"/>
    </row>
    <row r="966" ht="15" customHeight="1">
      <c r="A966" t="inlineStr">
        <is>
          <t>A 10180-2023</t>
        </is>
      </c>
      <c r="B966" s="1" t="n">
        <v>44986</v>
      </c>
      <c r="C966" s="1" t="n">
        <v>45628</v>
      </c>
      <c r="D966" t="inlineStr">
        <is>
          <t>VÄRMLANDS LÄN</t>
        </is>
      </c>
      <c r="E966" t="inlineStr">
        <is>
          <t>ÅRJÄNG</t>
        </is>
      </c>
      <c r="G966" t="n">
        <v>4.6</v>
      </c>
      <c r="H966" t="n">
        <v>0</v>
      </c>
      <c r="I966" t="n">
        <v>0</v>
      </c>
      <c r="J966" t="n">
        <v>0</v>
      </c>
      <c r="K966" t="n">
        <v>0</v>
      </c>
      <c r="L966" t="n">
        <v>0</v>
      </c>
      <c r="M966" t="n">
        <v>0</v>
      </c>
      <c r="N966" t="n">
        <v>0</v>
      </c>
      <c r="O966" t="n">
        <v>0</v>
      </c>
      <c r="P966" t="n">
        <v>0</v>
      </c>
      <c r="Q966" t="n">
        <v>0</v>
      </c>
      <c r="R966" s="2" t="inlineStr"/>
    </row>
    <row r="967" ht="15" customHeight="1">
      <c r="A967" t="inlineStr">
        <is>
          <t>A 10510-2023</t>
        </is>
      </c>
      <c r="B967" s="1" t="n">
        <v>44987</v>
      </c>
      <c r="C967" s="1" t="n">
        <v>45628</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11176-2023</t>
        </is>
      </c>
      <c r="B968" s="1" t="n">
        <v>44987</v>
      </c>
      <c r="C968" s="1" t="n">
        <v>45628</v>
      </c>
      <c r="D968" t="inlineStr">
        <is>
          <t>VÄRMLANDS LÄN</t>
        </is>
      </c>
      <c r="E968" t="inlineStr">
        <is>
          <t>ÅRJÄNG</t>
        </is>
      </c>
      <c r="G968" t="n">
        <v>5.2</v>
      </c>
      <c r="H968" t="n">
        <v>0</v>
      </c>
      <c r="I968" t="n">
        <v>0</v>
      </c>
      <c r="J968" t="n">
        <v>0</v>
      </c>
      <c r="K968" t="n">
        <v>0</v>
      </c>
      <c r="L968" t="n">
        <v>0</v>
      </c>
      <c r="M968" t="n">
        <v>0</v>
      </c>
      <c r="N968" t="n">
        <v>0</v>
      </c>
      <c r="O968" t="n">
        <v>0</v>
      </c>
      <c r="P968" t="n">
        <v>0</v>
      </c>
      <c r="Q968" t="n">
        <v>0</v>
      </c>
      <c r="R968" s="2" t="inlineStr"/>
    </row>
    <row r="969" ht="15" customHeight="1">
      <c r="A969" t="inlineStr">
        <is>
          <t>A 10872-2023</t>
        </is>
      </c>
      <c r="B969" s="1" t="n">
        <v>44991</v>
      </c>
      <c r="C969" s="1" t="n">
        <v>45628</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11026-2023</t>
        </is>
      </c>
      <c r="B970" s="1" t="n">
        <v>44991</v>
      </c>
      <c r="C970" s="1" t="n">
        <v>45628</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10873-2023</t>
        </is>
      </c>
      <c r="B971" s="1" t="n">
        <v>44991</v>
      </c>
      <c r="C971" s="1" t="n">
        <v>45628</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11610-2023</t>
        </is>
      </c>
      <c r="B972" s="1" t="n">
        <v>44992</v>
      </c>
      <c r="C972" s="1" t="n">
        <v>45628</v>
      </c>
      <c r="D972" t="inlineStr">
        <is>
          <t>VÄRMLANDS LÄN</t>
        </is>
      </c>
      <c r="E972" t="inlineStr">
        <is>
          <t>ÅRJÄNG</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11793-2023</t>
        </is>
      </c>
      <c r="B973" s="1" t="n">
        <v>44993</v>
      </c>
      <c r="C973" s="1" t="n">
        <v>45628</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12006-2023</t>
        </is>
      </c>
      <c r="B974" s="1" t="n">
        <v>44995</v>
      </c>
      <c r="C974" s="1" t="n">
        <v>45628</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12009-2023</t>
        </is>
      </c>
      <c r="B975" s="1" t="n">
        <v>44995</v>
      </c>
      <c r="C975" s="1" t="n">
        <v>45628</v>
      </c>
      <c r="D975" t="inlineStr">
        <is>
          <t>VÄRMLANDS LÄN</t>
        </is>
      </c>
      <c r="E975" t="inlineStr">
        <is>
          <t>ÅRJÄNG</t>
        </is>
      </c>
      <c r="G975" t="n">
        <v>4.8</v>
      </c>
      <c r="H975" t="n">
        <v>0</v>
      </c>
      <c r="I975" t="n">
        <v>0</v>
      </c>
      <c r="J975" t="n">
        <v>0</v>
      </c>
      <c r="K975" t="n">
        <v>0</v>
      </c>
      <c r="L975" t="n">
        <v>0</v>
      </c>
      <c r="M975" t="n">
        <v>0</v>
      </c>
      <c r="N975" t="n">
        <v>0</v>
      </c>
      <c r="O975" t="n">
        <v>0</v>
      </c>
      <c r="P975" t="n">
        <v>0</v>
      </c>
      <c r="Q975" t="n">
        <v>0</v>
      </c>
      <c r="R975" s="2" t="inlineStr"/>
    </row>
    <row r="976" ht="15" customHeight="1">
      <c r="A976" t="inlineStr">
        <is>
          <t>A 12082-2023</t>
        </is>
      </c>
      <c r="B976" s="1" t="n">
        <v>44997</v>
      </c>
      <c r="C976" s="1" t="n">
        <v>45628</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12275-2023</t>
        </is>
      </c>
      <c r="B977" s="1" t="n">
        <v>44998</v>
      </c>
      <c r="C977" s="1" t="n">
        <v>45628</v>
      </c>
      <c r="D977" t="inlineStr">
        <is>
          <t>VÄRMLANDS LÄN</t>
        </is>
      </c>
      <c r="E977" t="inlineStr">
        <is>
          <t>ÅRJÄNG</t>
        </is>
      </c>
      <c r="G977" t="n">
        <v>2.6</v>
      </c>
      <c r="H977" t="n">
        <v>0</v>
      </c>
      <c r="I977" t="n">
        <v>0</v>
      </c>
      <c r="J977" t="n">
        <v>0</v>
      </c>
      <c r="K977" t="n">
        <v>0</v>
      </c>
      <c r="L977" t="n">
        <v>0</v>
      </c>
      <c r="M977" t="n">
        <v>0</v>
      </c>
      <c r="N977" t="n">
        <v>0</v>
      </c>
      <c r="O977" t="n">
        <v>0</v>
      </c>
      <c r="P977" t="n">
        <v>0</v>
      </c>
      <c r="Q977" t="n">
        <v>0</v>
      </c>
      <c r="R977" s="2" t="inlineStr"/>
    </row>
    <row r="978" ht="15" customHeight="1">
      <c r="A978" t="inlineStr">
        <is>
          <t>A 12209-2023</t>
        </is>
      </c>
      <c r="B978" s="1" t="n">
        <v>44998</v>
      </c>
      <c r="C978" s="1" t="n">
        <v>45628</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12289-2023</t>
        </is>
      </c>
      <c r="B979" s="1" t="n">
        <v>44998</v>
      </c>
      <c r="C979" s="1" t="n">
        <v>45628</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13051-2023</t>
        </is>
      </c>
      <c r="B980" s="1" t="n">
        <v>45002</v>
      </c>
      <c r="C980" s="1" t="n">
        <v>45628</v>
      </c>
      <c r="D980" t="inlineStr">
        <is>
          <t>VÄRMLANDS LÄN</t>
        </is>
      </c>
      <c r="E980" t="inlineStr">
        <is>
          <t>ÅRJÄNG</t>
        </is>
      </c>
      <c r="G980" t="n">
        <v>4.5</v>
      </c>
      <c r="H980" t="n">
        <v>0</v>
      </c>
      <c r="I980" t="n">
        <v>0</v>
      </c>
      <c r="J980" t="n">
        <v>0</v>
      </c>
      <c r="K980" t="n">
        <v>0</v>
      </c>
      <c r="L980" t="n">
        <v>0</v>
      </c>
      <c r="M980" t="n">
        <v>0</v>
      </c>
      <c r="N980" t="n">
        <v>0</v>
      </c>
      <c r="O980" t="n">
        <v>0</v>
      </c>
      <c r="P980" t="n">
        <v>0</v>
      </c>
      <c r="Q980" t="n">
        <v>0</v>
      </c>
      <c r="R980" s="2" t="inlineStr"/>
    </row>
    <row r="981" ht="15" customHeight="1">
      <c r="A981" t="inlineStr">
        <is>
          <t>A 13196-2023</t>
        </is>
      </c>
      <c r="B981" s="1" t="n">
        <v>45002</v>
      </c>
      <c r="C981" s="1" t="n">
        <v>45628</v>
      </c>
      <c r="D981" t="inlineStr">
        <is>
          <t>VÄRMLANDS LÄN</t>
        </is>
      </c>
      <c r="E981" t="inlineStr">
        <is>
          <t>ÅRJÄNG</t>
        </is>
      </c>
      <c r="F981" t="inlineStr">
        <is>
          <t>Kyrkan</t>
        </is>
      </c>
      <c r="G981" t="n">
        <v>4.5</v>
      </c>
      <c r="H981" t="n">
        <v>0</v>
      </c>
      <c r="I981" t="n">
        <v>0</v>
      </c>
      <c r="J981" t="n">
        <v>0</v>
      </c>
      <c r="K981" t="n">
        <v>0</v>
      </c>
      <c r="L981" t="n">
        <v>0</v>
      </c>
      <c r="M981" t="n">
        <v>0</v>
      </c>
      <c r="N981" t="n">
        <v>0</v>
      </c>
      <c r="O981" t="n">
        <v>0</v>
      </c>
      <c r="P981" t="n">
        <v>0</v>
      </c>
      <c r="Q981" t="n">
        <v>0</v>
      </c>
      <c r="R981" s="2" t="inlineStr"/>
    </row>
    <row r="982" ht="15" customHeight="1">
      <c r="A982" t="inlineStr">
        <is>
          <t>A 13455-2023</t>
        </is>
      </c>
      <c r="B982" s="1" t="n">
        <v>45005</v>
      </c>
      <c r="C982" s="1" t="n">
        <v>45628</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13587-2023</t>
        </is>
      </c>
      <c r="B983" s="1" t="n">
        <v>45006</v>
      </c>
      <c r="C983" s="1" t="n">
        <v>45628</v>
      </c>
      <c r="D983" t="inlineStr">
        <is>
          <t>VÄRMLANDS LÄN</t>
        </is>
      </c>
      <c r="E983" t="inlineStr">
        <is>
          <t>ÅRJÄNG</t>
        </is>
      </c>
      <c r="G983" t="n">
        <v>7.9</v>
      </c>
      <c r="H983" t="n">
        <v>0</v>
      </c>
      <c r="I983" t="n">
        <v>0</v>
      </c>
      <c r="J983" t="n">
        <v>0</v>
      </c>
      <c r="K983" t="n">
        <v>0</v>
      </c>
      <c r="L983" t="n">
        <v>0</v>
      </c>
      <c r="M983" t="n">
        <v>0</v>
      </c>
      <c r="N983" t="n">
        <v>0</v>
      </c>
      <c r="O983" t="n">
        <v>0</v>
      </c>
      <c r="P983" t="n">
        <v>0</v>
      </c>
      <c r="Q983" t="n">
        <v>0</v>
      </c>
      <c r="R983" s="2" t="inlineStr"/>
    </row>
    <row r="984" ht="15" customHeight="1">
      <c r="A984" t="inlineStr">
        <is>
          <t>A 13620-2023</t>
        </is>
      </c>
      <c r="B984" s="1" t="n">
        <v>45006</v>
      </c>
      <c r="C984" s="1" t="n">
        <v>45628</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13859-2023</t>
        </is>
      </c>
      <c r="B985" s="1" t="n">
        <v>45007</v>
      </c>
      <c r="C985" s="1" t="n">
        <v>45628</v>
      </c>
      <c r="D985" t="inlineStr">
        <is>
          <t>VÄRMLANDS LÄN</t>
        </is>
      </c>
      <c r="E985" t="inlineStr">
        <is>
          <t>ÅRJÄNG</t>
        </is>
      </c>
      <c r="G985" t="n">
        <v>3</v>
      </c>
      <c r="H985" t="n">
        <v>0</v>
      </c>
      <c r="I985" t="n">
        <v>0</v>
      </c>
      <c r="J985" t="n">
        <v>0</v>
      </c>
      <c r="K985" t="n">
        <v>0</v>
      </c>
      <c r="L985" t="n">
        <v>0</v>
      </c>
      <c r="M985" t="n">
        <v>0</v>
      </c>
      <c r="N985" t="n">
        <v>0</v>
      </c>
      <c r="O985" t="n">
        <v>0</v>
      </c>
      <c r="P985" t="n">
        <v>0</v>
      </c>
      <c r="Q985" t="n">
        <v>0</v>
      </c>
      <c r="R985" s="2" t="inlineStr"/>
    </row>
    <row r="986" ht="15" customHeight="1">
      <c r="A986" t="inlineStr">
        <is>
          <t>A 14406-2023</t>
        </is>
      </c>
      <c r="B986" s="1" t="n">
        <v>45012</v>
      </c>
      <c r="C986" s="1" t="n">
        <v>45628</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14340-2023</t>
        </is>
      </c>
      <c r="B987" s="1" t="n">
        <v>45012</v>
      </c>
      <c r="C987" s="1" t="n">
        <v>45628</v>
      </c>
      <c r="D987" t="inlineStr">
        <is>
          <t>VÄRMLANDS LÄN</t>
        </is>
      </c>
      <c r="E987" t="inlineStr">
        <is>
          <t>ÅRJÄNG</t>
        </is>
      </c>
      <c r="G987" t="n">
        <v>3.1</v>
      </c>
      <c r="H987" t="n">
        <v>0</v>
      </c>
      <c r="I987" t="n">
        <v>0</v>
      </c>
      <c r="J987" t="n">
        <v>0</v>
      </c>
      <c r="K987" t="n">
        <v>0</v>
      </c>
      <c r="L987" t="n">
        <v>0</v>
      </c>
      <c r="M987" t="n">
        <v>0</v>
      </c>
      <c r="N987" t="n">
        <v>0</v>
      </c>
      <c r="O987" t="n">
        <v>0</v>
      </c>
      <c r="P987" t="n">
        <v>0</v>
      </c>
      <c r="Q987" t="n">
        <v>0</v>
      </c>
      <c r="R987" s="2" t="inlineStr"/>
    </row>
    <row r="988" ht="15" customHeight="1">
      <c r="A988" t="inlineStr">
        <is>
          <t>A 14958-2023</t>
        </is>
      </c>
      <c r="B988" s="1" t="n">
        <v>45015</v>
      </c>
      <c r="C988" s="1" t="n">
        <v>45628</v>
      </c>
      <c r="D988" t="inlineStr">
        <is>
          <t>VÄRMLANDS LÄN</t>
        </is>
      </c>
      <c r="E988" t="inlineStr">
        <is>
          <t>ÅRJÄNG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15164-2023</t>
        </is>
      </c>
      <c r="B989" s="1" t="n">
        <v>45016</v>
      </c>
      <c r="C989" s="1" t="n">
        <v>45628</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15383-2023</t>
        </is>
      </c>
      <c r="B990" s="1" t="n">
        <v>45019</v>
      </c>
      <c r="C990" s="1" t="n">
        <v>45628</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15372-2023</t>
        </is>
      </c>
      <c r="B991" s="1" t="n">
        <v>45019</v>
      </c>
      <c r="C991" s="1" t="n">
        <v>45628</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15370-2023</t>
        </is>
      </c>
      <c r="B992" s="1" t="n">
        <v>45019</v>
      </c>
      <c r="C992" s="1" t="n">
        <v>45628</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15468-2023</t>
        </is>
      </c>
      <c r="B993" s="1" t="n">
        <v>45020</v>
      </c>
      <c r="C993" s="1" t="n">
        <v>45628</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15471-2023</t>
        </is>
      </c>
      <c r="B994" s="1" t="n">
        <v>45020</v>
      </c>
      <c r="C994" s="1" t="n">
        <v>45628</v>
      </c>
      <c r="D994" t="inlineStr">
        <is>
          <t>VÄRMLANDS LÄN</t>
        </is>
      </c>
      <c r="E994" t="inlineStr">
        <is>
          <t>ÅRJÄNG</t>
        </is>
      </c>
      <c r="G994" t="n">
        <v>5.2</v>
      </c>
      <c r="H994" t="n">
        <v>0</v>
      </c>
      <c r="I994" t="n">
        <v>0</v>
      </c>
      <c r="J994" t="n">
        <v>0</v>
      </c>
      <c r="K994" t="n">
        <v>0</v>
      </c>
      <c r="L994" t="n">
        <v>0</v>
      </c>
      <c r="M994" t="n">
        <v>0</v>
      </c>
      <c r="N994" t="n">
        <v>0</v>
      </c>
      <c r="O994" t="n">
        <v>0</v>
      </c>
      <c r="P994" t="n">
        <v>0</v>
      </c>
      <c r="Q994" t="n">
        <v>0</v>
      </c>
      <c r="R994" s="2" t="inlineStr"/>
    </row>
    <row r="995" ht="15" customHeight="1">
      <c r="A995" t="inlineStr">
        <is>
          <t>A 15601-2023</t>
        </is>
      </c>
      <c r="B995" s="1" t="n">
        <v>45020</v>
      </c>
      <c r="C995" s="1" t="n">
        <v>45628</v>
      </c>
      <c r="D995" t="inlineStr">
        <is>
          <t>VÄRMLANDS LÄN</t>
        </is>
      </c>
      <c r="E995" t="inlineStr">
        <is>
          <t>ÅRJÄNG</t>
        </is>
      </c>
      <c r="G995" t="n">
        <v>6.3</v>
      </c>
      <c r="H995" t="n">
        <v>0</v>
      </c>
      <c r="I995" t="n">
        <v>0</v>
      </c>
      <c r="J995" t="n">
        <v>0</v>
      </c>
      <c r="K995" t="n">
        <v>0</v>
      </c>
      <c r="L995" t="n">
        <v>0</v>
      </c>
      <c r="M995" t="n">
        <v>0</v>
      </c>
      <c r="N995" t="n">
        <v>0</v>
      </c>
      <c r="O995" t="n">
        <v>0</v>
      </c>
      <c r="P995" t="n">
        <v>0</v>
      </c>
      <c r="Q995" t="n">
        <v>0</v>
      </c>
      <c r="R995" s="2" t="inlineStr"/>
    </row>
    <row r="996" ht="15" customHeight="1">
      <c r="A996" t="inlineStr">
        <is>
          <t>A 15497-2023</t>
        </is>
      </c>
      <c r="B996" s="1" t="n">
        <v>45020</v>
      </c>
      <c r="C996" s="1" t="n">
        <v>45628</v>
      </c>
      <c r="D996" t="inlineStr">
        <is>
          <t>VÄRMLANDS LÄN</t>
        </is>
      </c>
      <c r="E996" t="inlineStr">
        <is>
          <t>ÅRJÄNG</t>
        </is>
      </c>
      <c r="G996" t="n">
        <v>10</v>
      </c>
      <c r="H996" t="n">
        <v>0</v>
      </c>
      <c r="I996" t="n">
        <v>0</v>
      </c>
      <c r="J996" t="n">
        <v>0</v>
      </c>
      <c r="K996" t="n">
        <v>0</v>
      </c>
      <c r="L996" t="n">
        <v>0</v>
      </c>
      <c r="M996" t="n">
        <v>0</v>
      </c>
      <c r="N996" t="n">
        <v>0</v>
      </c>
      <c r="O996" t="n">
        <v>0</v>
      </c>
      <c r="P996" t="n">
        <v>0</v>
      </c>
      <c r="Q996" t="n">
        <v>0</v>
      </c>
      <c r="R996" s="2" t="inlineStr"/>
    </row>
    <row r="997" ht="15" customHeight="1">
      <c r="A997" t="inlineStr">
        <is>
          <t>A 15616-2023</t>
        </is>
      </c>
      <c r="B997" s="1" t="n">
        <v>45020</v>
      </c>
      <c r="C997" s="1" t="n">
        <v>45628</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15635-2023</t>
        </is>
      </c>
      <c r="B998" s="1" t="n">
        <v>45021</v>
      </c>
      <c r="C998" s="1" t="n">
        <v>45628</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15686-2023</t>
        </is>
      </c>
      <c r="B999" s="1" t="n">
        <v>45021</v>
      </c>
      <c r="C999" s="1" t="n">
        <v>45628</v>
      </c>
      <c r="D999" t="inlineStr">
        <is>
          <t>VÄRMLANDS LÄN</t>
        </is>
      </c>
      <c r="E999" t="inlineStr">
        <is>
          <t>ÅRJÄNG</t>
        </is>
      </c>
      <c r="G999" t="n">
        <v>1.9</v>
      </c>
      <c r="H999" t="n">
        <v>0</v>
      </c>
      <c r="I999" t="n">
        <v>0</v>
      </c>
      <c r="J999" t="n">
        <v>0</v>
      </c>
      <c r="K999" t="n">
        <v>0</v>
      </c>
      <c r="L999" t="n">
        <v>0</v>
      </c>
      <c r="M999" t="n">
        <v>0</v>
      </c>
      <c r="N999" t="n">
        <v>0</v>
      </c>
      <c r="O999" t="n">
        <v>0</v>
      </c>
      <c r="P999" t="n">
        <v>0</v>
      </c>
      <c r="Q999" t="n">
        <v>0</v>
      </c>
      <c r="R999" s="2" t="inlineStr"/>
    </row>
    <row r="1000" ht="15" customHeight="1">
      <c r="A1000" t="inlineStr">
        <is>
          <t>A 15730-2023</t>
        </is>
      </c>
      <c r="B1000" s="1" t="n">
        <v>45021</v>
      </c>
      <c r="C1000" s="1" t="n">
        <v>45628</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15714-2023</t>
        </is>
      </c>
      <c r="B1001" s="1" t="n">
        <v>45021</v>
      </c>
      <c r="C1001" s="1" t="n">
        <v>45628</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15718-2023</t>
        </is>
      </c>
      <c r="B1002" s="1" t="n">
        <v>45021</v>
      </c>
      <c r="C1002" s="1" t="n">
        <v>45628</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16090-2023</t>
        </is>
      </c>
      <c r="B1003" s="1" t="n">
        <v>45027</v>
      </c>
      <c r="C1003" s="1" t="n">
        <v>45628</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16636-2023</t>
        </is>
      </c>
      <c r="B1004" s="1" t="n">
        <v>45030</v>
      </c>
      <c r="C1004" s="1" t="n">
        <v>45628</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17015-2023</t>
        </is>
      </c>
      <c r="B1005" s="1" t="n">
        <v>45030</v>
      </c>
      <c r="C1005" s="1" t="n">
        <v>45628</v>
      </c>
      <c r="D1005" t="inlineStr">
        <is>
          <t>VÄRMLANDS LÄN</t>
        </is>
      </c>
      <c r="E1005" t="inlineStr">
        <is>
          <t>ÅRJÄNG</t>
        </is>
      </c>
      <c r="F1005" t="inlineStr">
        <is>
          <t>Övriga Aktiebolag</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16959-2023</t>
        </is>
      </c>
      <c r="B1006" s="1" t="n">
        <v>45033</v>
      </c>
      <c r="C1006" s="1" t="n">
        <v>45628</v>
      </c>
      <c r="D1006" t="inlineStr">
        <is>
          <t>VÄRMLANDS LÄN</t>
        </is>
      </c>
      <c r="E1006" t="inlineStr">
        <is>
          <t>ÅRJÄNG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17174-2023</t>
        </is>
      </c>
      <c r="B1007" s="1" t="n">
        <v>45034</v>
      </c>
      <c r="C1007" s="1" t="n">
        <v>45628</v>
      </c>
      <c r="D1007" t="inlineStr">
        <is>
          <t>VÄRMLANDS LÄN</t>
        </is>
      </c>
      <c r="E1007" t="inlineStr">
        <is>
          <t>ÅRJÄNG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17606-2023</t>
        </is>
      </c>
      <c r="B1008" s="1" t="n">
        <v>45036</v>
      </c>
      <c r="C1008" s="1" t="n">
        <v>45628</v>
      </c>
      <c r="D1008" t="inlineStr">
        <is>
          <t>VÄRMLANDS LÄN</t>
        </is>
      </c>
      <c r="E1008" t="inlineStr">
        <is>
          <t>ÅRJÄNG</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17902-2023</t>
        </is>
      </c>
      <c r="B1009" s="1" t="n">
        <v>45039</v>
      </c>
      <c r="C1009" s="1" t="n">
        <v>45628</v>
      </c>
      <c r="D1009" t="inlineStr">
        <is>
          <t>VÄRMLANDS LÄN</t>
        </is>
      </c>
      <c r="E1009" t="inlineStr">
        <is>
          <t>ÅRJÄNG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18210-2023</t>
        </is>
      </c>
      <c r="B1010" s="1" t="n">
        <v>45041</v>
      </c>
      <c r="C1010" s="1" t="n">
        <v>45628</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18260-2023</t>
        </is>
      </c>
      <c r="B1011" s="1" t="n">
        <v>45041</v>
      </c>
      <c r="C1011" s="1" t="n">
        <v>45628</v>
      </c>
      <c r="D1011" t="inlineStr">
        <is>
          <t>VÄRMLANDS LÄN</t>
        </is>
      </c>
      <c r="E1011" t="inlineStr">
        <is>
          <t>ÅRJÄNG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18266-2023</t>
        </is>
      </c>
      <c r="B1012" s="1" t="n">
        <v>45041</v>
      </c>
      <c r="C1012" s="1" t="n">
        <v>45628</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18718-2023</t>
        </is>
      </c>
      <c r="B1013" s="1" t="n">
        <v>45043</v>
      </c>
      <c r="C1013" s="1" t="n">
        <v>45628</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18796-2023</t>
        </is>
      </c>
      <c r="B1014" s="1" t="n">
        <v>45044</v>
      </c>
      <c r="C1014" s="1" t="n">
        <v>45628</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19052-2023</t>
        </is>
      </c>
      <c r="B1015" s="1" t="n">
        <v>45047</v>
      </c>
      <c r="C1015" s="1" t="n">
        <v>45628</v>
      </c>
      <c r="D1015" t="inlineStr">
        <is>
          <t>VÄRMLANDS LÄN</t>
        </is>
      </c>
      <c r="E1015" t="inlineStr">
        <is>
          <t>ÅRJÄNG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19313-2023</t>
        </is>
      </c>
      <c r="B1016" s="1" t="n">
        <v>45049</v>
      </c>
      <c r="C1016" s="1" t="n">
        <v>45628</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19958-2023</t>
        </is>
      </c>
      <c r="B1017" s="1" t="n">
        <v>45051</v>
      </c>
      <c r="C1017" s="1" t="n">
        <v>45628</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19964-2023</t>
        </is>
      </c>
      <c r="B1018" s="1" t="n">
        <v>45051</v>
      </c>
      <c r="C1018" s="1" t="n">
        <v>45628</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19970-2023</t>
        </is>
      </c>
      <c r="B1019" s="1" t="n">
        <v>45051</v>
      </c>
      <c r="C1019" s="1" t="n">
        <v>45628</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19975-2023</t>
        </is>
      </c>
      <c r="B1020" s="1" t="n">
        <v>45051</v>
      </c>
      <c r="C1020" s="1" t="n">
        <v>45628</v>
      </c>
      <c r="D1020" t="inlineStr">
        <is>
          <t>VÄRMLANDS LÄN</t>
        </is>
      </c>
      <c r="E1020" t="inlineStr">
        <is>
          <t>ÅRJÄNG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19835-2023</t>
        </is>
      </c>
      <c r="B1021" s="1" t="n">
        <v>45052</v>
      </c>
      <c r="C1021" s="1" t="n">
        <v>45628</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20028-2023</t>
        </is>
      </c>
      <c r="B1022" s="1" t="n">
        <v>45054</v>
      </c>
      <c r="C1022" s="1" t="n">
        <v>45628</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20154-2023</t>
        </is>
      </c>
      <c r="B1023" s="1" t="n">
        <v>45055</v>
      </c>
      <c r="C1023" s="1" t="n">
        <v>45628</v>
      </c>
      <c r="D1023" t="inlineStr">
        <is>
          <t>VÄRMLANDS LÄN</t>
        </is>
      </c>
      <c r="E1023" t="inlineStr">
        <is>
          <t>ÅRJÄNG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20337-2023</t>
        </is>
      </c>
      <c r="B1024" s="1" t="n">
        <v>45056</v>
      </c>
      <c r="C1024" s="1" t="n">
        <v>45628</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20354-2023</t>
        </is>
      </c>
      <c r="B1025" s="1" t="n">
        <v>45056</v>
      </c>
      <c r="C1025" s="1" t="n">
        <v>45628</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20999-2023</t>
        </is>
      </c>
      <c r="B1026" s="1" t="n">
        <v>45056</v>
      </c>
      <c r="C1026" s="1" t="n">
        <v>45628</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21081-2023</t>
        </is>
      </c>
      <c r="B1027" s="1" t="n">
        <v>45057</v>
      </c>
      <c r="C1027" s="1" t="n">
        <v>45628</v>
      </c>
      <c r="D1027" t="inlineStr">
        <is>
          <t>VÄRMLANDS LÄN</t>
        </is>
      </c>
      <c r="E1027" t="inlineStr">
        <is>
          <t>ÅRJÄNG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20674-2023</t>
        </is>
      </c>
      <c r="B1028" s="1" t="n">
        <v>45058</v>
      </c>
      <c r="C1028" s="1" t="n">
        <v>45628</v>
      </c>
      <c r="D1028" t="inlineStr">
        <is>
          <t>VÄRMLANDS LÄN</t>
        </is>
      </c>
      <c r="E1028" t="inlineStr">
        <is>
          <t>ÅRJÄNG</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20905-2023</t>
        </is>
      </c>
      <c r="B1029" s="1" t="n">
        <v>45060</v>
      </c>
      <c r="C1029" s="1" t="n">
        <v>45628</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20932-2023</t>
        </is>
      </c>
      <c r="B1030" s="1" t="n">
        <v>45061</v>
      </c>
      <c r="C1030" s="1" t="n">
        <v>45628</v>
      </c>
      <c r="D1030" t="inlineStr">
        <is>
          <t>VÄRMLANDS LÄN</t>
        </is>
      </c>
      <c r="E1030" t="inlineStr">
        <is>
          <t>ÅRJÄNG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21392-2023</t>
        </is>
      </c>
      <c r="B1031" s="1" t="n">
        <v>45061</v>
      </c>
      <c r="C1031" s="1" t="n">
        <v>45628</v>
      </c>
      <c r="D1031" t="inlineStr">
        <is>
          <t>VÄRMLANDS LÄN</t>
        </is>
      </c>
      <c r="E1031" t="inlineStr">
        <is>
          <t>ÅRJÄNG</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21128-2023</t>
        </is>
      </c>
      <c r="B1032" s="1" t="n">
        <v>45062</v>
      </c>
      <c r="C1032" s="1" t="n">
        <v>45628</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21129-2023</t>
        </is>
      </c>
      <c r="B1033" s="1" t="n">
        <v>45062</v>
      </c>
      <c r="C1033" s="1" t="n">
        <v>45628</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21177-2023</t>
        </is>
      </c>
      <c r="B1034" s="1" t="n">
        <v>45062</v>
      </c>
      <c r="C1034" s="1" t="n">
        <v>45628</v>
      </c>
      <c r="D1034" t="inlineStr">
        <is>
          <t>VÄRMLANDS LÄN</t>
        </is>
      </c>
      <c r="E1034" t="inlineStr">
        <is>
          <t>ÅRJÄNG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21557-2023</t>
        </is>
      </c>
      <c r="B1035" s="1" t="n">
        <v>45063</v>
      </c>
      <c r="C1035" s="1" t="n">
        <v>45628</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22023-2023</t>
        </is>
      </c>
      <c r="B1036" s="1" t="n">
        <v>45069</v>
      </c>
      <c r="C1036" s="1" t="n">
        <v>45628</v>
      </c>
      <c r="D1036" t="inlineStr">
        <is>
          <t>VÄRMLANDS LÄN</t>
        </is>
      </c>
      <c r="E1036" t="inlineStr">
        <is>
          <t>ÅRJÄNG</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22032-2023</t>
        </is>
      </c>
      <c r="B1037" s="1" t="n">
        <v>45069</v>
      </c>
      <c r="C1037" s="1" t="n">
        <v>45628</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22850-2023</t>
        </is>
      </c>
      <c r="B1038" s="1" t="n">
        <v>45070</v>
      </c>
      <c r="C1038" s="1" t="n">
        <v>45628</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22916-2023</t>
        </is>
      </c>
      <c r="B1039" s="1" t="n">
        <v>45072</v>
      </c>
      <c r="C1039" s="1" t="n">
        <v>45628</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23135-2023</t>
        </is>
      </c>
      <c r="B1040" s="1" t="n">
        <v>45075</v>
      </c>
      <c r="C1040" s="1" t="n">
        <v>45628</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23203-2023</t>
        </is>
      </c>
      <c r="B1041" s="1" t="n">
        <v>45075</v>
      </c>
      <c r="C1041" s="1" t="n">
        <v>45628</v>
      </c>
      <c r="D1041" t="inlineStr">
        <is>
          <t>VÄRMLANDS LÄN</t>
        </is>
      </c>
      <c r="E1041" t="inlineStr">
        <is>
          <t>ÅRJÄNG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23216-2023</t>
        </is>
      </c>
      <c r="B1042" s="1" t="n">
        <v>45075</v>
      </c>
      <c r="C1042" s="1" t="n">
        <v>45628</v>
      </c>
      <c r="D1042" t="inlineStr">
        <is>
          <t>VÄRMLANDS LÄN</t>
        </is>
      </c>
      <c r="E1042" t="inlineStr">
        <is>
          <t>ÅRJÄNG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23150-2023</t>
        </is>
      </c>
      <c r="B1043" s="1" t="n">
        <v>45075</v>
      </c>
      <c r="C1043" s="1" t="n">
        <v>45628</v>
      </c>
      <c r="D1043" t="inlineStr">
        <is>
          <t>VÄRMLANDS LÄN</t>
        </is>
      </c>
      <c r="E1043" t="inlineStr">
        <is>
          <t>ÅRJÄNG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23184-2023</t>
        </is>
      </c>
      <c r="B1044" s="1" t="n">
        <v>45075</v>
      </c>
      <c r="C1044" s="1" t="n">
        <v>45628</v>
      </c>
      <c r="D1044" t="inlineStr">
        <is>
          <t>VÄRMLANDS LÄN</t>
        </is>
      </c>
      <c r="E1044" t="inlineStr">
        <is>
          <t>ÅRJÄNG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23212-2023</t>
        </is>
      </c>
      <c r="B1045" s="1" t="n">
        <v>45075</v>
      </c>
      <c r="C1045" s="1" t="n">
        <v>45628</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23945-2023</t>
        </is>
      </c>
      <c r="B1046" s="1" t="n">
        <v>45075</v>
      </c>
      <c r="C1046" s="1" t="n">
        <v>45628</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23940-2023</t>
        </is>
      </c>
      <c r="B1047" s="1" t="n">
        <v>45075</v>
      </c>
      <c r="C1047" s="1" t="n">
        <v>45628</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23334-2023</t>
        </is>
      </c>
      <c r="B1048" s="1" t="n">
        <v>45076</v>
      </c>
      <c r="C1048" s="1" t="n">
        <v>45628</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23871-2023</t>
        </is>
      </c>
      <c r="B1049" s="1" t="n">
        <v>45078</v>
      </c>
      <c r="C1049" s="1" t="n">
        <v>45628</v>
      </c>
      <c r="D1049" t="inlineStr">
        <is>
          <t>VÄRMLANDS LÄN</t>
        </is>
      </c>
      <c r="E1049" t="inlineStr">
        <is>
          <t>ÅRJÄNG</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23991-2023</t>
        </is>
      </c>
      <c r="B1050" s="1" t="n">
        <v>45078</v>
      </c>
      <c r="C1050" s="1" t="n">
        <v>45628</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23847-2023</t>
        </is>
      </c>
      <c r="B1051" s="1" t="n">
        <v>45078</v>
      </c>
      <c r="C1051" s="1" t="n">
        <v>45628</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23851-2023</t>
        </is>
      </c>
      <c r="B1052" s="1" t="n">
        <v>45078</v>
      </c>
      <c r="C1052" s="1" t="n">
        <v>45628</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23971-2023</t>
        </is>
      </c>
      <c r="B1053" s="1" t="n">
        <v>45078</v>
      </c>
      <c r="C1053" s="1" t="n">
        <v>45628</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23977-2023</t>
        </is>
      </c>
      <c r="B1054" s="1" t="n">
        <v>45078</v>
      </c>
      <c r="C1054" s="1" t="n">
        <v>45628</v>
      </c>
      <c r="D1054" t="inlineStr">
        <is>
          <t>VÄRMLANDS LÄN</t>
        </is>
      </c>
      <c r="E1054" t="inlineStr">
        <is>
          <t>ÅRJÄNG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23870-2023</t>
        </is>
      </c>
      <c r="B1055" s="1" t="n">
        <v>45078</v>
      </c>
      <c r="C1055" s="1" t="n">
        <v>45628</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23878-2023</t>
        </is>
      </c>
      <c r="B1056" s="1" t="n">
        <v>45078</v>
      </c>
      <c r="C1056" s="1" t="n">
        <v>45628</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23904-2023</t>
        </is>
      </c>
      <c r="B1057" s="1" t="n">
        <v>45078</v>
      </c>
      <c r="C1057" s="1" t="n">
        <v>45628</v>
      </c>
      <c r="D1057" t="inlineStr">
        <is>
          <t>VÄRMLANDS LÄN</t>
        </is>
      </c>
      <c r="E1057" t="inlineStr">
        <is>
          <t>ÅRJÄNG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24273-2023</t>
        </is>
      </c>
      <c r="B1058" s="1" t="n">
        <v>45079</v>
      </c>
      <c r="C1058" s="1" t="n">
        <v>45628</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25495-2023</t>
        </is>
      </c>
      <c r="B1059" s="1" t="n">
        <v>45081</v>
      </c>
      <c r="C1059" s="1" t="n">
        <v>45628</v>
      </c>
      <c r="D1059" t="inlineStr">
        <is>
          <t>VÄRMLANDS LÄN</t>
        </is>
      </c>
      <c r="E1059" t="inlineStr">
        <is>
          <t>ÅRJÄNG</t>
        </is>
      </c>
      <c r="F1059" t="inlineStr">
        <is>
          <t>Övriga Aktiebolag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24505-2023</t>
        </is>
      </c>
      <c r="B1060" s="1" t="n">
        <v>45082</v>
      </c>
      <c r="C1060" s="1" t="n">
        <v>45628</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24770-2023</t>
        </is>
      </c>
      <c r="B1061" s="1" t="n">
        <v>45084</v>
      </c>
      <c r="C1061" s="1" t="n">
        <v>45628</v>
      </c>
      <c r="D1061" t="inlineStr">
        <is>
          <t>VÄRMLANDS LÄN</t>
        </is>
      </c>
      <c r="E1061" t="inlineStr">
        <is>
          <t>ÅRJÄNG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26880-2023</t>
        </is>
      </c>
      <c r="B1062" s="1" t="n">
        <v>45093</v>
      </c>
      <c r="C1062" s="1" t="n">
        <v>45628</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26891-2023</t>
        </is>
      </c>
      <c r="B1063" s="1" t="n">
        <v>45093</v>
      </c>
      <c r="C1063" s="1" t="n">
        <v>45628</v>
      </c>
      <c r="D1063" t="inlineStr">
        <is>
          <t>VÄRMLANDS LÄN</t>
        </is>
      </c>
      <c r="E1063" t="inlineStr">
        <is>
          <t>ÅRJÄNG</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27240-2023</t>
        </is>
      </c>
      <c r="B1064" s="1" t="n">
        <v>45096</v>
      </c>
      <c r="C1064" s="1" t="n">
        <v>45628</v>
      </c>
      <c r="D1064" t="inlineStr">
        <is>
          <t>VÄRMLANDS LÄN</t>
        </is>
      </c>
      <c r="E1064" t="inlineStr">
        <is>
          <t>ÅRJÄNG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27411-2023</t>
        </is>
      </c>
      <c r="B1065" s="1" t="n">
        <v>45097</v>
      </c>
      <c r="C1065" s="1" t="n">
        <v>45628</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28317-2023</t>
        </is>
      </c>
      <c r="B1066" s="1" t="n">
        <v>45099</v>
      </c>
      <c r="C1066" s="1" t="n">
        <v>45628</v>
      </c>
      <c r="D1066" t="inlineStr">
        <is>
          <t>VÄRMLANDS LÄN</t>
        </is>
      </c>
      <c r="E1066" t="inlineStr">
        <is>
          <t>ÅRJÄNG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28864-2023</t>
        </is>
      </c>
      <c r="B1067" s="1" t="n">
        <v>45104</v>
      </c>
      <c r="C1067" s="1" t="n">
        <v>45628</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29261-2023</t>
        </is>
      </c>
      <c r="B1068" s="1" t="n">
        <v>45105</v>
      </c>
      <c r="C1068" s="1" t="n">
        <v>45628</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29204-2023</t>
        </is>
      </c>
      <c r="B1069" s="1" t="n">
        <v>45105</v>
      </c>
      <c r="C1069" s="1" t="n">
        <v>45628</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29286-2023</t>
        </is>
      </c>
      <c r="B1070" s="1" t="n">
        <v>45105</v>
      </c>
      <c r="C1070" s="1" t="n">
        <v>45628</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29263-2023</t>
        </is>
      </c>
      <c r="B1071" s="1" t="n">
        <v>45105</v>
      </c>
      <c r="C1071" s="1" t="n">
        <v>45628</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29376-2023</t>
        </is>
      </c>
      <c r="B1072" s="1" t="n">
        <v>45106</v>
      </c>
      <c r="C1072" s="1" t="n">
        <v>45628</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29397-2023</t>
        </is>
      </c>
      <c r="B1073" s="1" t="n">
        <v>45106</v>
      </c>
      <c r="C1073" s="1" t="n">
        <v>45628</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29570-2023</t>
        </is>
      </c>
      <c r="B1074" s="1" t="n">
        <v>45106</v>
      </c>
      <c r="C1074" s="1" t="n">
        <v>45628</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29470-2023</t>
        </is>
      </c>
      <c r="B1075" s="1" t="n">
        <v>45106</v>
      </c>
      <c r="C1075" s="1" t="n">
        <v>45628</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32259-2023</t>
        </is>
      </c>
      <c r="B1076" s="1" t="n">
        <v>45108</v>
      </c>
      <c r="C1076" s="1" t="n">
        <v>45628</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30038-2023</t>
        </is>
      </c>
      <c r="B1077" s="1" t="n">
        <v>45110</v>
      </c>
      <c r="C1077" s="1" t="n">
        <v>45628</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30048-2023</t>
        </is>
      </c>
      <c r="B1078" s="1" t="n">
        <v>45110</v>
      </c>
      <c r="C1078" s="1" t="n">
        <v>45628</v>
      </c>
      <c r="D1078" t="inlineStr">
        <is>
          <t>VÄRMLANDS LÄN</t>
        </is>
      </c>
      <c r="E1078" t="inlineStr">
        <is>
          <t>ÅRJÄNG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32414-2023</t>
        </is>
      </c>
      <c r="B1079" s="1" t="n">
        <v>45110</v>
      </c>
      <c r="C1079" s="1" t="n">
        <v>45628</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30548-2023</t>
        </is>
      </c>
      <c r="B1080" s="1" t="n">
        <v>45111</v>
      </c>
      <c r="C1080" s="1" t="n">
        <v>45628</v>
      </c>
      <c r="D1080" t="inlineStr">
        <is>
          <t>VÄRMLANDS LÄN</t>
        </is>
      </c>
      <c r="E1080" t="inlineStr">
        <is>
          <t>ÅRJÄNG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30710-2023</t>
        </is>
      </c>
      <c r="B1081" s="1" t="n">
        <v>45112</v>
      </c>
      <c r="C1081" s="1" t="n">
        <v>45628</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30768-2023</t>
        </is>
      </c>
      <c r="B1082" s="1" t="n">
        <v>45112</v>
      </c>
      <c r="C1082" s="1" t="n">
        <v>45628</v>
      </c>
      <c r="D1082" t="inlineStr">
        <is>
          <t>VÄRMLANDS LÄN</t>
        </is>
      </c>
      <c r="E1082" t="inlineStr">
        <is>
          <t>ÅRJÄNG</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32951-2023</t>
        </is>
      </c>
      <c r="B1083" s="1" t="n">
        <v>45113</v>
      </c>
      <c r="C1083" s="1" t="n">
        <v>45628</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32949-2023</t>
        </is>
      </c>
      <c r="B1084" s="1" t="n">
        <v>45113</v>
      </c>
      <c r="C1084" s="1" t="n">
        <v>45628</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31392-2023</t>
        </is>
      </c>
      <c r="B1085" s="1" t="n">
        <v>45114</v>
      </c>
      <c r="C1085" s="1" t="n">
        <v>45628</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31592-2023</t>
        </is>
      </c>
      <c r="B1086" s="1" t="n">
        <v>45117</v>
      </c>
      <c r="C1086" s="1" t="n">
        <v>45628</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31794-2023</t>
        </is>
      </c>
      <c r="B1087" s="1" t="n">
        <v>45118</v>
      </c>
      <c r="C1087" s="1" t="n">
        <v>45628</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31793-2023</t>
        </is>
      </c>
      <c r="B1088" s="1" t="n">
        <v>45118</v>
      </c>
      <c r="C1088" s="1" t="n">
        <v>45628</v>
      </c>
      <c r="D1088" t="inlineStr">
        <is>
          <t>VÄRMLANDS LÄN</t>
        </is>
      </c>
      <c r="E1088" t="inlineStr">
        <is>
          <t>ÅRJÄNG</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33687-2023</t>
        </is>
      </c>
      <c r="B1089" s="1" t="n">
        <v>45119</v>
      </c>
      <c r="C1089" s="1" t="n">
        <v>45628</v>
      </c>
      <c r="D1089" t="inlineStr">
        <is>
          <t>VÄRMLANDS LÄN</t>
        </is>
      </c>
      <c r="E1089" t="inlineStr">
        <is>
          <t>ÅRJÄNG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32367-2023</t>
        </is>
      </c>
      <c r="B1090" s="1" t="n">
        <v>45120</v>
      </c>
      <c r="C1090" s="1" t="n">
        <v>45628</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32373-2023</t>
        </is>
      </c>
      <c r="B1091" s="1" t="n">
        <v>45120</v>
      </c>
      <c r="C1091" s="1" t="n">
        <v>45628</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33765-2023</t>
        </is>
      </c>
      <c r="B1092" s="1" t="n">
        <v>45120</v>
      </c>
      <c r="C1092" s="1" t="n">
        <v>45628</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33763-2023</t>
        </is>
      </c>
      <c r="B1093" s="1" t="n">
        <v>45120</v>
      </c>
      <c r="C1093" s="1" t="n">
        <v>45628</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32541-2023</t>
        </is>
      </c>
      <c r="B1094" s="1" t="n">
        <v>45121</v>
      </c>
      <c r="C1094" s="1" t="n">
        <v>45628</v>
      </c>
      <c r="D1094" t="inlineStr">
        <is>
          <t>VÄRMLANDS LÄN</t>
        </is>
      </c>
      <c r="E1094" t="inlineStr">
        <is>
          <t>ÅRJÄNG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33827-2023</t>
        </is>
      </c>
      <c r="B1095" s="1" t="n">
        <v>45121</v>
      </c>
      <c r="C1095" s="1" t="n">
        <v>45628</v>
      </c>
      <c r="D1095" t="inlineStr">
        <is>
          <t>VÄRMLANDS LÄN</t>
        </is>
      </c>
      <c r="E1095" t="inlineStr">
        <is>
          <t>ÅRJÄNG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33818-2023</t>
        </is>
      </c>
      <c r="B1096" s="1" t="n">
        <v>45121</v>
      </c>
      <c r="C1096" s="1" t="n">
        <v>45628</v>
      </c>
      <c r="D1096" t="inlineStr">
        <is>
          <t>VÄRMLANDS LÄN</t>
        </is>
      </c>
      <c r="E1096" t="inlineStr">
        <is>
          <t>ÅRJÄNG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33831-2023</t>
        </is>
      </c>
      <c r="B1097" s="1" t="n">
        <v>45121</v>
      </c>
      <c r="C1097" s="1" t="n">
        <v>45628</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33829-2023</t>
        </is>
      </c>
      <c r="B1098" s="1" t="n">
        <v>45121</v>
      </c>
      <c r="C1098" s="1" t="n">
        <v>45628</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33525-2023</t>
        </is>
      </c>
      <c r="B1099" s="1" t="n">
        <v>45131</v>
      </c>
      <c r="C1099" s="1" t="n">
        <v>45628</v>
      </c>
      <c r="D1099" t="inlineStr">
        <is>
          <t>VÄRMLANDS LÄN</t>
        </is>
      </c>
      <c r="E1099" t="inlineStr">
        <is>
          <t>ÅRJÄNG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34574-2023</t>
        </is>
      </c>
      <c r="B1100" s="1" t="n">
        <v>45135</v>
      </c>
      <c r="C1100" s="1" t="n">
        <v>45628</v>
      </c>
      <c r="D1100" t="inlineStr">
        <is>
          <t>VÄRMLANDS LÄN</t>
        </is>
      </c>
      <c r="E1100" t="inlineStr">
        <is>
          <t>ÅRJÄNG</t>
        </is>
      </c>
      <c r="F1100" t="inlineStr">
        <is>
          <t>Övriga Aktiebolag</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34580-2023</t>
        </is>
      </c>
      <c r="B1101" s="1" t="n">
        <v>45135</v>
      </c>
      <c r="C1101" s="1" t="n">
        <v>45628</v>
      </c>
      <c r="D1101" t="inlineStr">
        <is>
          <t>VÄRMLANDS LÄN</t>
        </is>
      </c>
      <c r="E1101" t="inlineStr">
        <is>
          <t>ÅRJÄNG</t>
        </is>
      </c>
      <c r="F1101" t="inlineStr">
        <is>
          <t>Övriga Aktiebolag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34201-2023</t>
        </is>
      </c>
      <c r="B1102" s="1" t="n">
        <v>45138</v>
      </c>
      <c r="C1102" s="1" t="n">
        <v>45628</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34207-2023</t>
        </is>
      </c>
      <c r="B1103" s="1" t="n">
        <v>45138</v>
      </c>
      <c r="C1103" s="1" t="n">
        <v>45628</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34389-2023</t>
        </is>
      </c>
      <c r="B1104" s="1" t="n">
        <v>45139</v>
      </c>
      <c r="C1104" s="1" t="n">
        <v>45628</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34387-2023</t>
        </is>
      </c>
      <c r="B1105" s="1" t="n">
        <v>45139</v>
      </c>
      <c r="C1105" s="1" t="n">
        <v>45628</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34410-2023</t>
        </is>
      </c>
      <c r="B1106" s="1" t="n">
        <v>45139</v>
      </c>
      <c r="C1106" s="1" t="n">
        <v>45628</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34350-2023</t>
        </is>
      </c>
      <c r="B1107" s="1" t="n">
        <v>45139</v>
      </c>
      <c r="C1107" s="1" t="n">
        <v>45628</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34409-2023</t>
        </is>
      </c>
      <c r="B1108" s="1" t="n">
        <v>45139</v>
      </c>
      <c r="C1108" s="1" t="n">
        <v>45628</v>
      </c>
      <c r="D1108" t="inlineStr">
        <is>
          <t>VÄRMLANDS LÄN</t>
        </is>
      </c>
      <c r="E1108" t="inlineStr">
        <is>
          <t>ÅRJÄNG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34526-2023</t>
        </is>
      </c>
      <c r="B1109" s="1" t="n">
        <v>45140</v>
      </c>
      <c r="C1109" s="1" t="n">
        <v>45628</v>
      </c>
      <c r="D1109" t="inlineStr">
        <is>
          <t>VÄRMLANDS LÄN</t>
        </is>
      </c>
      <c r="E1109" t="inlineStr">
        <is>
          <t>ÅRJÄNG</t>
        </is>
      </c>
      <c r="F1109" t="inlineStr">
        <is>
          <t>Kyrkan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35045-2023</t>
        </is>
      </c>
      <c r="B1110" s="1" t="n">
        <v>45145</v>
      </c>
      <c r="C1110" s="1" t="n">
        <v>45628</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35110-2023</t>
        </is>
      </c>
      <c r="B1111" s="1" t="n">
        <v>45145</v>
      </c>
      <c r="C1111" s="1" t="n">
        <v>45628</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35039-2023</t>
        </is>
      </c>
      <c r="B1112" s="1" t="n">
        <v>45145</v>
      </c>
      <c r="C1112" s="1" t="n">
        <v>45628</v>
      </c>
      <c r="D1112" t="inlineStr">
        <is>
          <t>VÄRMLANDS LÄN</t>
        </is>
      </c>
      <c r="E1112" t="inlineStr">
        <is>
          <t>ÅRJÄNG</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35053-2023</t>
        </is>
      </c>
      <c r="B1113" s="1" t="n">
        <v>45145</v>
      </c>
      <c r="C1113" s="1" t="n">
        <v>45628</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35956-2023</t>
        </is>
      </c>
      <c r="B1114" s="1" t="n">
        <v>45148</v>
      </c>
      <c r="C1114" s="1" t="n">
        <v>45628</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36066-2023</t>
        </is>
      </c>
      <c r="B1115" s="1" t="n">
        <v>45149</v>
      </c>
      <c r="C1115" s="1" t="n">
        <v>45628</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36195-2023</t>
        </is>
      </c>
      <c r="B1116" s="1" t="n">
        <v>45149</v>
      </c>
      <c r="C1116" s="1" t="n">
        <v>45628</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36344-2023</t>
        </is>
      </c>
      <c r="B1117" s="1" t="n">
        <v>45152</v>
      </c>
      <c r="C1117" s="1" t="n">
        <v>45628</v>
      </c>
      <c r="D1117" t="inlineStr">
        <is>
          <t>VÄRMLANDS LÄN</t>
        </is>
      </c>
      <c r="E1117" t="inlineStr">
        <is>
          <t>ÅRJÄNG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36455-2023</t>
        </is>
      </c>
      <c r="B1118" s="1" t="n">
        <v>45152</v>
      </c>
      <c r="C1118" s="1" t="n">
        <v>45628</v>
      </c>
      <c r="D1118" t="inlineStr">
        <is>
          <t>VÄRMLANDS LÄN</t>
        </is>
      </c>
      <c r="E1118" t="inlineStr">
        <is>
          <t>ÅRJÄNG</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37191-2023</t>
        </is>
      </c>
      <c r="B1119" s="1" t="n">
        <v>45154</v>
      </c>
      <c r="C1119" s="1" t="n">
        <v>45628</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37061-2023</t>
        </is>
      </c>
      <c r="B1120" s="1" t="n">
        <v>45155</v>
      </c>
      <c r="C1120" s="1" t="n">
        <v>45628</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37094-2023</t>
        </is>
      </c>
      <c r="B1121" s="1" t="n">
        <v>45155</v>
      </c>
      <c r="C1121" s="1" t="n">
        <v>45628</v>
      </c>
      <c r="D1121" t="inlineStr">
        <is>
          <t>VÄRMLANDS LÄN</t>
        </is>
      </c>
      <c r="E1121" t="inlineStr">
        <is>
          <t>ÅRJÄNG</t>
        </is>
      </c>
      <c r="F1121" t="inlineStr">
        <is>
          <t>Kyrkan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37119-2023</t>
        </is>
      </c>
      <c r="B1122" s="1" t="n">
        <v>45155</v>
      </c>
      <c r="C1122" s="1" t="n">
        <v>45628</v>
      </c>
      <c r="D1122" t="inlineStr">
        <is>
          <t>VÄRMLANDS LÄN</t>
        </is>
      </c>
      <c r="E1122" t="inlineStr">
        <is>
          <t>ÅRJÄNG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37768-2023</t>
        </is>
      </c>
      <c r="B1123" s="1" t="n">
        <v>45159</v>
      </c>
      <c r="C1123" s="1" t="n">
        <v>45628</v>
      </c>
      <c r="D1123" t="inlineStr">
        <is>
          <t>VÄRMLANDS LÄN</t>
        </is>
      </c>
      <c r="E1123" t="inlineStr">
        <is>
          <t>ÅRJÄNG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37772-2023</t>
        </is>
      </c>
      <c r="B1124" s="1" t="n">
        <v>45159</v>
      </c>
      <c r="C1124" s="1" t="n">
        <v>45628</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37765-2023</t>
        </is>
      </c>
      <c r="B1125" s="1" t="n">
        <v>45159</v>
      </c>
      <c r="C1125" s="1" t="n">
        <v>45628</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38158-2023</t>
        </is>
      </c>
      <c r="B1126" s="1" t="n">
        <v>45161</v>
      </c>
      <c r="C1126" s="1" t="n">
        <v>45628</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38160-2023</t>
        </is>
      </c>
      <c r="B1127" s="1" t="n">
        <v>45161</v>
      </c>
      <c r="C1127" s="1" t="n">
        <v>45628</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39008-2023</t>
        </is>
      </c>
      <c r="B1128" s="1" t="n">
        <v>45162</v>
      </c>
      <c r="C1128" s="1" t="n">
        <v>45628</v>
      </c>
      <c r="D1128" t="inlineStr">
        <is>
          <t>VÄRMLANDS LÄN</t>
        </is>
      </c>
      <c r="E1128" t="inlineStr">
        <is>
          <t>ÅRJÄNG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38840-2023</t>
        </is>
      </c>
      <c r="B1129" s="1" t="n">
        <v>45163</v>
      </c>
      <c r="C1129" s="1" t="n">
        <v>45628</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38926-2023</t>
        </is>
      </c>
      <c r="B1130" s="1" t="n">
        <v>45163</v>
      </c>
      <c r="C1130" s="1" t="n">
        <v>45628</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38707-2023</t>
        </is>
      </c>
      <c r="B1131" s="1" t="n">
        <v>45163</v>
      </c>
      <c r="C1131" s="1" t="n">
        <v>45628</v>
      </c>
      <c r="D1131" t="inlineStr">
        <is>
          <t>VÄRMLANDS LÄN</t>
        </is>
      </c>
      <c r="E1131" t="inlineStr">
        <is>
          <t>ÅRJÄNG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39096-2023</t>
        </is>
      </c>
      <c r="B1132" s="1" t="n">
        <v>45164</v>
      </c>
      <c r="C1132" s="1" t="n">
        <v>45628</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39178-2023</t>
        </is>
      </c>
      <c r="B1133" s="1" t="n">
        <v>45166</v>
      </c>
      <c r="C1133" s="1" t="n">
        <v>45628</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39212-2023</t>
        </is>
      </c>
      <c r="B1134" s="1" t="n">
        <v>45166</v>
      </c>
      <c r="C1134" s="1" t="n">
        <v>45628</v>
      </c>
      <c r="D1134" t="inlineStr">
        <is>
          <t>VÄRMLANDS LÄN</t>
        </is>
      </c>
      <c r="E1134" t="inlineStr">
        <is>
          <t>ÅRJÄNG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39317-2023</t>
        </is>
      </c>
      <c r="B1135" s="1" t="n">
        <v>45166</v>
      </c>
      <c r="C1135" s="1" t="n">
        <v>45628</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39434-2023</t>
        </is>
      </c>
      <c r="B1136" s="1" t="n">
        <v>45166</v>
      </c>
      <c r="C1136" s="1" t="n">
        <v>45628</v>
      </c>
      <c r="D1136" t="inlineStr">
        <is>
          <t>VÄRMLANDS LÄN</t>
        </is>
      </c>
      <c r="E1136" t="inlineStr">
        <is>
          <t>ÅRJÄNG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39323-2023</t>
        </is>
      </c>
      <c r="B1137" s="1" t="n">
        <v>45166</v>
      </c>
      <c r="C1137" s="1" t="n">
        <v>45628</v>
      </c>
      <c r="D1137" t="inlineStr">
        <is>
          <t>VÄRMLANDS LÄN</t>
        </is>
      </c>
      <c r="E1137" t="inlineStr">
        <is>
          <t>ÅRJÄNG</t>
        </is>
      </c>
      <c r="F1137" t="inlineStr">
        <is>
          <t>Kyrkan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39331-2023</t>
        </is>
      </c>
      <c r="B1138" s="1" t="n">
        <v>45166</v>
      </c>
      <c r="C1138" s="1" t="n">
        <v>45628</v>
      </c>
      <c r="D1138" t="inlineStr">
        <is>
          <t>VÄRMLANDS LÄN</t>
        </is>
      </c>
      <c r="E1138" t="inlineStr">
        <is>
          <t>ÅRJÄNG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39535-2023</t>
        </is>
      </c>
      <c r="B1139" s="1" t="n">
        <v>45167</v>
      </c>
      <c r="C1139" s="1" t="n">
        <v>45628</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39555-2023</t>
        </is>
      </c>
      <c r="B1140" s="1" t="n">
        <v>45167</v>
      </c>
      <c r="C1140" s="1" t="n">
        <v>45628</v>
      </c>
      <c r="D1140" t="inlineStr">
        <is>
          <t>VÄRMLANDS LÄN</t>
        </is>
      </c>
      <c r="E1140" t="inlineStr">
        <is>
          <t>ÅRJÄNG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39557-2023</t>
        </is>
      </c>
      <c r="B1141" s="1" t="n">
        <v>45167</v>
      </c>
      <c r="C1141" s="1" t="n">
        <v>45628</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39949-2023</t>
        </is>
      </c>
      <c r="B1142" s="1" t="n">
        <v>45168</v>
      </c>
      <c r="C1142" s="1" t="n">
        <v>45628</v>
      </c>
      <c r="D1142" t="inlineStr">
        <is>
          <t>VÄRMLANDS LÄN</t>
        </is>
      </c>
      <c r="E1142" t="inlineStr">
        <is>
          <t>ÅRJÄNG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40352-2023</t>
        </is>
      </c>
      <c r="B1143" s="1" t="n">
        <v>45168</v>
      </c>
      <c r="C1143" s="1" t="n">
        <v>45628</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40212-2023</t>
        </is>
      </c>
      <c r="B1144" s="1" t="n">
        <v>45169</v>
      </c>
      <c r="C1144" s="1" t="n">
        <v>45628</v>
      </c>
      <c r="D1144" t="inlineStr">
        <is>
          <t>VÄRMLANDS LÄN</t>
        </is>
      </c>
      <c r="E1144" t="inlineStr">
        <is>
          <t>ÅRJÄNG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40458-2023</t>
        </is>
      </c>
      <c r="B1145" s="1" t="n">
        <v>45170</v>
      </c>
      <c r="C1145" s="1" t="n">
        <v>45628</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40465-2023</t>
        </is>
      </c>
      <c r="B1146" s="1" t="n">
        <v>45170</v>
      </c>
      <c r="C1146" s="1" t="n">
        <v>45628</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41269-2023</t>
        </is>
      </c>
      <c r="B1147" s="1" t="n">
        <v>45174</v>
      </c>
      <c r="C1147" s="1" t="n">
        <v>45628</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41283-2023</t>
        </is>
      </c>
      <c r="B1148" s="1" t="n">
        <v>45174</v>
      </c>
      <c r="C1148" s="1" t="n">
        <v>45628</v>
      </c>
      <c r="D1148" t="inlineStr">
        <is>
          <t>VÄRMLANDS LÄN</t>
        </is>
      </c>
      <c r="E1148" t="inlineStr">
        <is>
          <t>ÅRJÄNG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42667-2023</t>
        </is>
      </c>
      <c r="B1149" s="1" t="n">
        <v>45176</v>
      </c>
      <c r="C1149" s="1" t="n">
        <v>45628</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43040-2023</t>
        </is>
      </c>
      <c r="B1150" s="1" t="n">
        <v>45182</v>
      </c>
      <c r="C1150" s="1" t="n">
        <v>45628</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43041-2023</t>
        </is>
      </c>
      <c r="B1151" s="1" t="n">
        <v>45182</v>
      </c>
      <c r="C1151" s="1" t="n">
        <v>45628</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43749-2023</t>
        </is>
      </c>
      <c r="B1152" s="1" t="n">
        <v>45182</v>
      </c>
      <c r="C1152" s="1" t="n">
        <v>45628</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43244-2023</t>
        </is>
      </c>
      <c r="B1153" s="1" t="n">
        <v>45183</v>
      </c>
      <c r="C1153" s="1" t="n">
        <v>45628</v>
      </c>
      <c r="D1153" t="inlineStr">
        <is>
          <t>VÄRMLANDS LÄN</t>
        </is>
      </c>
      <c r="E1153" t="inlineStr">
        <is>
          <t>ÅRJÄNG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43253-2023</t>
        </is>
      </c>
      <c r="B1154" s="1" t="n">
        <v>45183</v>
      </c>
      <c r="C1154" s="1" t="n">
        <v>45628</v>
      </c>
      <c r="D1154" t="inlineStr">
        <is>
          <t>VÄRMLANDS LÄN</t>
        </is>
      </c>
      <c r="E1154" t="inlineStr">
        <is>
          <t>ÅRJÄNG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44004-2023</t>
        </is>
      </c>
      <c r="B1155" s="1" t="n">
        <v>45188</v>
      </c>
      <c r="C1155" s="1" t="n">
        <v>45628</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44007-2023</t>
        </is>
      </c>
      <c r="B1156" s="1" t="n">
        <v>45188</v>
      </c>
      <c r="C1156" s="1" t="n">
        <v>45628</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44415-2023</t>
        </is>
      </c>
      <c r="B1157" s="1" t="n">
        <v>45189</v>
      </c>
      <c r="C1157" s="1" t="n">
        <v>45628</v>
      </c>
      <c r="D1157" t="inlineStr">
        <is>
          <t>VÄRMLANDS LÄN</t>
        </is>
      </c>
      <c r="E1157" t="inlineStr">
        <is>
          <t>ÅRJÄNG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44556-2023</t>
        </is>
      </c>
      <c r="B1158" s="1" t="n">
        <v>45189</v>
      </c>
      <c r="C1158" s="1" t="n">
        <v>45628</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44702-2023</t>
        </is>
      </c>
      <c r="B1159" s="1" t="n">
        <v>45190</v>
      </c>
      <c r="C1159" s="1" t="n">
        <v>45628</v>
      </c>
      <c r="D1159" t="inlineStr">
        <is>
          <t>VÄRMLANDS LÄN</t>
        </is>
      </c>
      <c r="E1159" t="inlineStr">
        <is>
          <t>ÅRJÄNG</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44703-2023</t>
        </is>
      </c>
      <c r="B1160" s="1" t="n">
        <v>45190</v>
      </c>
      <c r="C1160" s="1" t="n">
        <v>45628</v>
      </c>
      <c r="D1160" t="inlineStr">
        <is>
          <t>VÄRMLANDS LÄN</t>
        </is>
      </c>
      <c r="E1160" t="inlineStr">
        <is>
          <t>ÅRJÄNG</t>
        </is>
      </c>
      <c r="F1160" t="inlineStr">
        <is>
          <t>Bergvik skog väst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44854-2023</t>
        </is>
      </c>
      <c r="B1161" s="1" t="n">
        <v>45190</v>
      </c>
      <c r="C1161" s="1" t="n">
        <v>45628</v>
      </c>
      <c r="D1161" t="inlineStr">
        <is>
          <t>VÄRMLANDS LÄN</t>
        </is>
      </c>
      <c r="E1161" t="inlineStr">
        <is>
          <t>ÅRJÄNG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44793-2023</t>
        </is>
      </c>
      <c r="B1162" s="1" t="n">
        <v>45190</v>
      </c>
      <c r="C1162" s="1" t="n">
        <v>45628</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45134-2023</t>
        </is>
      </c>
      <c r="B1163" s="1" t="n">
        <v>45191</v>
      </c>
      <c r="C1163" s="1" t="n">
        <v>45628</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45389-2023</t>
        </is>
      </c>
      <c r="B1164" s="1" t="n">
        <v>45193</v>
      </c>
      <c r="C1164" s="1" t="n">
        <v>45628</v>
      </c>
      <c r="D1164" t="inlineStr">
        <is>
          <t>VÄRMLANDS LÄN</t>
        </is>
      </c>
      <c r="E1164" t="inlineStr">
        <is>
          <t>ÅRJÄNG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45634-2023</t>
        </is>
      </c>
      <c r="B1165" s="1" t="n">
        <v>45194</v>
      </c>
      <c r="C1165" s="1" t="n">
        <v>45628</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45641-2023</t>
        </is>
      </c>
      <c r="B1166" s="1" t="n">
        <v>45194</v>
      </c>
      <c r="C1166" s="1" t="n">
        <v>45628</v>
      </c>
      <c r="D1166" t="inlineStr">
        <is>
          <t>VÄRMLANDS LÄN</t>
        </is>
      </c>
      <c r="E1166" t="inlineStr">
        <is>
          <t>ÅRJÄNG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45643-2023</t>
        </is>
      </c>
      <c r="B1167" s="1" t="n">
        <v>45194</v>
      </c>
      <c r="C1167" s="1" t="n">
        <v>45628</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46663-2023</t>
        </is>
      </c>
      <c r="B1168" s="1" t="n">
        <v>45195</v>
      </c>
      <c r="C1168" s="1" t="n">
        <v>45628</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45889-2023</t>
        </is>
      </c>
      <c r="B1169" s="1" t="n">
        <v>45195</v>
      </c>
      <c r="C1169" s="1" t="n">
        <v>45628</v>
      </c>
      <c r="D1169" t="inlineStr">
        <is>
          <t>VÄRMLANDS LÄN</t>
        </is>
      </c>
      <c r="E1169" t="inlineStr">
        <is>
          <t>ÅRJÄNG</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46249-2023</t>
        </is>
      </c>
      <c r="B1170" s="1" t="n">
        <v>45196</v>
      </c>
      <c r="C1170" s="1" t="n">
        <v>45628</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46351-2023</t>
        </is>
      </c>
      <c r="B1171" s="1" t="n">
        <v>45197</v>
      </c>
      <c r="C1171" s="1" t="n">
        <v>45628</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46441-2023</t>
        </is>
      </c>
      <c r="B1172" s="1" t="n">
        <v>45197</v>
      </c>
      <c r="C1172" s="1" t="n">
        <v>45628</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46491-2023</t>
        </is>
      </c>
      <c r="B1173" s="1" t="n">
        <v>45197</v>
      </c>
      <c r="C1173" s="1" t="n">
        <v>45628</v>
      </c>
      <c r="D1173" t="inlineStr">
        <is>
          <t>VÄRMLANDS LÄN</t>
        </is>
      </c>
      <c r="E1173" t="inlineStr">
        <is>
          <t>ÅRJÄNG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46499-2023</t>
        </is>
      </c>
      <c r="B1174" s="1" t="n">
        <v>45197</v>
      </c>
      <c r="C1174" s="1" t="n">
        <v>45628</v>
      </c>
      <c r="D1174" t="inlineStr">
        <is>
          <t>VÄRMLANDS LÄN</t>
        </is>
      </c>
      <c r="E1174" t="inlineStr">
        <is>
          <t>ÅRJÄNG</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47938-2023</t>
        </is>
      </c>
      <c r="B1175" s="1" t="n">
        <v>45198</v>
      </c>
      <c r="C1175" s="1" t="n">
        <v>45628</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48020-2023</t>
        </is>
      </c>
      <c r="B1176" s="1" t="n">
        <v>45198</v>
      </c>
      <c r="C1176" s="1" t="n">
        <v>45628</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47928-2023</t>
        </is>
      </c>
      <c r="B1177" s="1" t="n">
        <v>45198</v>
      </c>
      <c r="C1177" s="1" t="n">
        <v>45628</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47981-2023</t>
        </is>
      </c>
      <c r="B1178" s="1" t="n">
        <v>45198</v>
      </c>
      <c r="C1178" s="1" t="n">
        <v>45628</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48014-2023</t>
        </is>
      </c>
      <c r="B1179" s="1" t="n">
        <v>45198</v>
      </c>
      <c r="C1179" s="1" t="n">
        <v>45628</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48203-2023</t>
        </is>
      </c>
      <c r="B1180" s="1" t="n">
        <v>45200</v>
      </c>
      <c r="C1180" s="1" t="n">
        <v>45628</v>
      </c>
      <c r="D1180" t="inlineStr">
        <is>
          <t>VÄRMLANDS LÄN</t>
        </is>
      </c>
      <c r="E1180" t="inlineStr">
        <is>
          <t>ÅRJÄNG</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46891-2023</t>
        </is>
      </c>
      <c r="B1181" s="1" t="n">
        <v>45201</v>
      </c>
      <c r="C1181" s="1" t="n">
        <v>45628</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46899-2023</t>
        </is>
      </c>
      <c r="B1182" s="1" t="n">
        <v>45201</v>
      </c>
      <c r="C1182" s="1" t="n">
        <v>45628</v>
      </c>
      <c r="D1182" t="inlineStr">
        <is>
          <t>VÄRMLANDS LÄN</t>
        </is>
      </c>
      <c r="E1182" t="inlineStr">
        <is>
          <t>ÅRJÄNG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48130-2023</t>
        </is>
      </c>
      <c r="B1183" s="1" t="n">
        <v>45201</v>
      </c>
      <c r="C1183" s="1" t="n">
        <v>45628</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47228-2023</t>
        </is>
      </c>
      <c r="B1184" s="1" t="n">
        <v>45202</v>
      </c>
      <c r="C1184" s="1" t="n">
        <v>45628</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48357-2023</t>
        </is>
      </c>
      <c r="B1185" s="1" t="n">
        <v>45202</v>
      </c>
      <c r="C1185" s="1" t="n">
        <v>45628</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47464-2023</t>
        </is>
      </c>
      <c r="B1186" s="1" t="n">
        <v>45202</v>
      </c>
      <c r="C1186" s="1" t="n">
        <v>45628</v>
      </c>
      <c r="D1186" t="inlineStr">
        <is>
          <t>VÄRMLANDS LÄN</t>
        </is>
      </c>
      <c r="E1186" t="inlineStr">
        <is>
          <t>ÅRJÄNG</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47750-2023</t>
        </is>
      </c>
      <c r="B1187" s="1" t="n">
        <v>45203</v>
      </c>
      <c r="C1187" s="1" t="n">
        <v>45628</v>
      </c>
      <c r="D1187" t="inlineStr">
        <is>
          <t>VÄRMLANDS LÄN</t>
        </is>
      </c>
      <c r="E1187" t="inlineStr">
        <is>
          <t>ÅRJÄNG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47659-2023</t>
        </is>
      </c>
      <c r="B1188" s="1" t="n">
        <v>45203</v>
      </c>
      <c r="C1188" s="1" t="n">
        <v>45628</v>
      </c>
      <c r="D1188" t="inlineStr">
        <is>
          <t>VÄRMLANDS LÄN</t>
        </is>
      </c>
      <c r="E1188" t="inlineStr">
        <is>
          <t>ÅRJÄNG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47688-2023</t>
        </is>
      </c>
      <c r="B1189" s="1" t="n">
        <v>45203</v>
      </c>
      <c r="C1189" s="1" t="n">
        <v>45628</v>
      </c>
      <c r="D1189" t="inlineStr">
        <is>
          <t>VÄRMLANDS LÄN</t>
        </is>
      </c>
      <c r="E1189" t="inlineStr">
        <is>
          <t>ÅRJÄNG</t>
        </is>
      </c>
      <c r="F1189" t="inlineStr">
        <is>
          <t>Övriga Aktiebolag</t>
        </is>
      </c>
      <c r="G1189" t="n">
        <v>20.3</v>
      </c>
      <c r="H1189" t="n">
        <v>0</v>
      </c>
      <c r="I1189" t="n">
        <v>0</v>
      </c>
      <c r="J1189" t="n">
        <v>0</v>
      </c>
      <c r="K1189" t="n">
        <v>0</v>
      </c>
      <c r="L1189" t="n">
        <v>0</v>
      </c>
      <c r="M1189" t="n">
        <v>0</v>
      </c>
      <c r="N1189" t="n">
        <v>0</v>
      </c>
      <c r="O1189" t="n">
        <v>0</v>
      </c>
      <c r="P1189" t="n">
        <v>0</v>
      </c>
      <c r="Q1189" t="n">
        <v>0</v>
      </c>
      <c r="R1189" s="2" t="inlineStr"/>
    </row>
    <row r="1190" ht="15" customHeight="1">
      <c r="A1190" t="inlineStr">
        <is>
          <t>A 47744-2023</t>
        </is>
      </c>
      <c r="B1190" s="1" t="n">
        <v>45203</v>
      </c>
      <c r="C1190" s="1" t="n">
        <v>45628</v>
      </c>
      <c r="D1190" t="inlineStr">
        <is>
          <t>VÄRMLANDS LÄN</t>
        </is>
      </c>
      <c r="E1190" t="inlineStr">
        <is>
          <t>ÅRJÄNG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47833-2023</t>
        </is>
      </c>
      <c r="B1191" s="1" t="n">
        <v>45204</v>
      </c>
      <c r="C1191" s="1" t="n">
        <v>45628</v>
      </c>
      <c r="D1191" t="inlineStr">
        <is>
          <t>VÄRMLANDS LÄN</t>
        </is>
      </c>
      <c r="E1191" t="inlineStr">
        <is>
          <t>ÅRJÄNG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48453-2023</t>
        </is>
      </c>
      <c r="B1192" s="1" t="n">
        <v>45206</v>
      </c>
      <c r="C1192" s="1" t="n">
        <v>45628</v>
      </c>
      <c r="D1192" t="inlineStr">
        <is>
          <t>VÄRMLANDS LÄN</t>
        </is>
      </c>
      <c r="E1192" t="inlineStr">
        <is>
          <t>ÅRJÄNG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48444-2023</t>
        </is>
      </c>
      <c r="B1193" s="1" t="n">
        <v>45206</v>
      </c>
      <c r="C1193" s="1" t="n">
        <v>45628</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48442-2023</t>
        </is>
      </c>
      <c r="B1194" s="1" t="n">
        <v>45206</v>
      </c>
      <c r="C1194" s="1" t="n">
        <v>45628</v>
      </c>
      <c r="D1194" t="inlineStr">
        <is>
          <t>VÄRMLANDS LÄN</t>
        </is>
      </c>
      <c r="E1194" t="inlineStr">
        <is>
          <t>ÅRJÄNG</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48561-2023</t>
        </is>
      </c>
      <c r="B1195" s="1" t="n">
        <v>45208</v>
      </c>
      <c r="C1195" s="1" t="n">
        <v>45628</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49978-2023</t>
        </is>
      </c>
      <c r="B1196" s="1" t="n">
        <v>45215</v>
      </c>
      <c r="C1196" s="1" t="n">
        <v>45628</v>
      </c>
      <c r="D1196" t="inlineStr">
        <is>
          <t>VÄRMLANDS LÄN</t>
        </is>
      </c>
      <c r="E1196" t="inlineStr">
        <is>
          <t>ÅRJÄNG</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51493-2023</t>
        </is>
      </c>
      <c r="B1197" s="1" t="n">
        <v>45215</v>
      </c>
      <c r="C1197" s="1" t="n">
        <v>45628</v>
      </c>
      <c r="D1197" t="inlineStr">
        <is>
          <t>VÄRMLANDS LÄN</t>
        </is>
      </c>
      <c r="E1197" t="inlineStr">
        <is>
          <t>ÅRJÄNG</t>
        </is>
      </c>
      <c r="F1197" t="inlineStr">
        <is>
          <t>Övriga Aktiebolag</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50537-2023</t>
        </is>
      </c>
      <c r="B1198" s="1" t="n">
        <v>45217</v>
      </c>
      <c r="C1198" s="1" t="n">
        <v>45628</v>
      </c>
      <c r="D1198" t="inlineStr">
        <is>
          <t>VÄRMLANDS LÄN</t>
        </is>
      </c>
      <c r="E1198" t="inlineStr">
        <is>
          <t>ÅRJÄNG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50788-2023</t>
        </is>
      </c>
      <c r="B1199" s="1" t="n">
        <v>45217</v>
      </c>
      <c r="C1199" s="1" t="n">
        <v>45628</v>
      </c>
      <c r="D1199" t="inlineStr">
        <is>
          <t>VÄRMLANDS LÄN</t>
        </is>
      </c>
      <c r="E1199" t="inlineStr">
        <is>
          <t>ÅRJÄNG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50918-2023</t>
        </is>
      </c>
      <c r="B1200" s="1" t="n">
        <v>45218</v>
      </c>
      <c r="C1200" s="1" t="n">
        <v>45628</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45628</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50932-2023</t>
        </is>
      </c>
      <c r="B1202" s="1" t="n">
        <v>45218</v>
      </c>
      <c r="C1202" s="1" t="n">
        <v>45628</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51335-2023</t>
        </is>
      </c>
      <c r="B1203" s="1" t="n">
        <v>45219</v>
      </c>
      <c r="C1203" s="1" t="n">
        <v>45628</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51169-2023</t>
        </is>
      </c>
      <c r="B1204" s="1" t="n">
        <v>45219</v>
      </c>
      <c r="C1204" s="1" t="n">
        <v>45628</v>
      </c>
      <c r="D1204" t="inlineStr">
        <is>
          <t>VÄRMLANDS LÄN</t>
        </is>
      </c>
      <c r="E1204" t="inlineStr">
        <is>
          <t>ÅRJÄNG</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52803-2023</t>
        </is>
      </c>
      <c r="B1205" s="1" t="n">
        <v>45221</v>
      </c>
      <c r="C1205" s="1" t="n">
        <v>45628</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52278-2023</t>
        </is>
      </c>
      <c r="B1206" s="1" t="n">
        <v>45224</v>
      </c>
      <c r="C1206" s="1" t="n">
        <v>45628</v>
      </c>
      <c r="D1206" t="inlineStr">
        <is>
          <t>VÄRMLANDS LÄN</t>
        </is>
      </c>
      <c r="E1206" t="inlineStr">
        <is>
          <t>ÅRJÄNG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54158-2023</t>
        </is>
      </c>
      <c r="B1207" s="1" t="n">
        <v>45225</v>
      </c>
      <c r="C1207" s="1" t="n">
        <v>45628</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54591-2023</t>
        </is>
      </c>
      <c r="B1208" s="1" t="n">
        <v>45227</v>
      </c>
      <c r="C1208" s="1" t="n">
        <v>45628</v>
      </c>
      <c r="D1208" t="inlineStr">
        <is>
          <t>VÄRMLANDS LÄN</t>
        </is>
      </c>
      <c r="E1208" t="inlineStr">
        <is>
          <t>ÅRJÄNG</t>
        </is>
      </c>
      <c r="F1208" t="inlineStr">
        <is>
          <t>Övriga Aktiebolag</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53332-2023</t>
        </is>
      </c>
      <c r="B1209" s="1" t="n">
        <v>45229</v>
      </c>
      <c r="C1209" s="1" t="n">
        <v>45628</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53613-2023</t>
        </is>
      </c>
      <c r="B1210" s="1" t="n">
        <v>45230</v>
      </c>
      <c r="C1210" s="1" t="n">
        <v>45628</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53611-2023</t>
        </is>
      </c>
      <c r="B1211" s="1" t="n">
        <v>45230</v>
      </c>
      <c r="C1211" s="1" t="n">
        <v>45628</v>
      </c>
      <c r="D1211" t="inlineStr">
        <is>
          <t>VÄRMLANDS LÄN</t>
        </is>
      </c>
      <c r="E1211" t="inlineStr">
        <is>
          <t>ÅRJÄNG</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53567-2023</t>
        </is>
      </c>
      <c r="B1212" s="1" t="n">
        <v>45230</v>
      </c>
      <c r="C1212" s="1" t="n">
        <v>45628</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53554-2023</t>
        </is>
      </c>
      <c r="B1213" s="1" t="n">
        <v>45230</v>
      </c>
      <c r="C1213" s="1" t="n">
        <v>45628</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53516-2023</t>
        </is>
      </c>
      <c r="B1214" s="1" t="n">
        <v>45230</v>
      </c>
      <c r="C1214" s="1" t="n">
        <v>45628</v>
      </c>
      <c r="D1214" t="inlineStr">
        <is>
          <t>VÄRMLANDS LÄN</t>
        </is>
      </c>
      <c r="E1214" t="inlineStr">
        <is>
          <t>ÅRJÄNG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54011-2023</t>
        </is>
      </c>
      <c r="B1215" s="1" t="n">
        <v>45231</v>
      </c>
      <c r="C1215" s="1" t="n">
        <v>45628</v>
      </c>
      <c r="D1215" t="inlineStr">
        <is>
          <t>VÄRMLANDS LÄN</t>
        </is>
      </c>
      <c r="E1215" t="inlineStr">
        <is>
          <t>ÅRJÄNG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55217-2023</t>
        </is>
      </c>
      <c r="B1216" s="1" t="n">
        <v>45231</v>
      </c>
      <c r="C1216" s="1" t="n">
        <v>45628</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54013-2023</t>
        </is>
      </c>
      <c r="B1217" s="1" t="n">
        <v>45231</v>
      </c>
      <c r="C1217" s="1" t="n">
        <v>45628</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54263-2023</t>
        </is>
      </c>
      <c r="B1218" s="1" t="n">
        <v>45232</v>
      </c>
      <c r="C1218" s="1" t="n">
        <v>45628</v>
      </c>
      <c r="D1218" t="inlineStr">
        <is>
          <t>VÄRMLANDS LÄN</t>
        </is>
      </c>
      <c r="E1218" t="inlineStr">
        <is>
          <t>ÅRJÄNG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55517-2023</t>
        </is>
      </c>
      <c r="B1219" s="1" t="n">
        <v>45232</v>
      </c>
      <c r="C1219" s="1" t="n">
        <v>45628</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55574-2023</t>
        </is>
      </c>
      <c r="B1220" s="1" t="n">
        <v>45232</v>
      </c>
      <c r="C1220" s="1" t="n">
        <v>45628</v>
      </c>
      <c r="D1220" t="inlineStr">
        <is>
          <t>VÄRMLANDS LÄN</t>
        </is>
      </c>
      <c r="E1220" t="inlineStr">
        <is>
          <t>ÅRJÄNG</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56060-2023</t>
        </is>
      </c>
      <c r="B1221" s="1" t="n">
        <v>45233</v>
      </c>
      <c r="C1221" s="1" t="n">
        <v>45628</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55090-2023</t>
        </is>
      </c>
      <c r="B1222" s="1" t="n">
        <v>45237</v>
      </c>
      <c r="C1222" s="1" t="n">
        <v>45628</v>
      </c>
      <c r="D1222" t="inlineStr">
        <is>
          <t>VÄRMLANDS LÄN</t>
        </is>
      </c>
      <c r="E1222" t="inlineStr">
        <is>
          <t>ÅRJÄNG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55087-2023</t>
        </is>
      </c>
      <c r="B1223" s="1" t="n">
        <v>45237</v>
      </c>
      <c r="C1223" s="1" t="n">
        <v>45628</v>
      </c>
      <c r="D1223" t="inlineStr">
        <is>
          <t>VÄRMLANDS LÄN</t>
        </is>
      </c>
      <c r="E1223" t="inlineStr">
        <is>
          <t>ÅRJÄNG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55091-2023</t>
        </is>
      </c>
      <c r="B1224" s="1" t="n">
        <v>45237</v>
      </c>
      <c r="C1224" s="1" t="n">
        <v>45628</v>
      </c>
      <c r="D1224" t="inlineStr">
        <is>
          <t>VÄRMLANDS LÄN</t>
        </is>
      </c>
      <c r="E1224" t="inlineStr">
        <is>
          <t>ÅRJÄNG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55422-2023</t>
        </is>
      </c>
      <c r="B1225" s="1" t="n">
        <v>45238</v>
      </c>
      <c r="C1225" s="1" t="n">
        <v>45628</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55901-2023</t>
        </is>
      </c>
      <c r="B1226" s="1" t="n">
        <v>45239</v>
      </c>
      <c r="C1226" s="1" t="n">
        <v>45628</v>
      </c>
      <c r="D1226" t="inlineStr">
        <is>
          <t>VÄRMLANDS LÄN</t>
        </is>
      </c>
      <c r="E1226" t="inlineStr">
        <is>
          <t>ÅRJÄNG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57178-2023</t>
        </is>
      </c>
      <c r="B1227" s="1" t="n">
        <v>45240</v>
      </c>
      <c r="C1227" s="1" t="n">
        <v>45628</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56493-2023</t>
        </is>
      </c>
      <c r="B1228" s="1" t="n">
        <v>45243</v>
      </c>
      <c r="C1228" s="1" t="n">
        <v>45628</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56535-2023</t>
        </is>
      </c>
      <c r="B1229" s="1" t="n">
        <v>45243</v>
      </c>
      <c r="C1229" s="1" t="n">
        <v>45628</v>
      </c>
      <c r="D1229" t="inlineStr">
        <is>
          <t>VÄRMLANDS LÄN</t>
        </is>
      </c>
      <c r="E1229" t="inlineStr">
        <is>
          <t>ÅRJÄNG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56757-2023</t>
        </is>
      </c>
      <c r="B1230" s="1" t="n">
        <v>45244</v>
      </c>
      <c r="C1230" s="1" t="n">
        <v>45628</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57992-2023</t>
        </is>
      </c>
      <c r="B1231" s="1" t="n">
        <v>45244</v>
      </c>
      <c r="C1231" s="1" t="n">
        <v>45628</v>
      </c>
      <c r="D1231" t="inlineStr">
        <is>
          <t>VÄRMLANDS LÄN</t>
        </is>
      </c>
      <c r="E1231" t="inlineStr">
        <is>
          <t>ÅRJÄNG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57975-2023</t>
        </is>
      </c>
      <c r="B1232" s="1" t="n">
        <v>45244</v>
      </c>
      <c r="C1232" s="1" t="n">
        <v>45628</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58001-2023</t>
        </is>
      </c>
      <c r="B1233" s="1" t="n">
        <v>45244</v>
      </c>
      <c r="C1233" s="1" t="n">
        <v>45628</v>
      </c>
      <c r="D1233" t="inlineStr">
        <is>
          <t>VÄRMLANDS LÄN</t>
        </is>
      </c>
      <c r="E1233" t="inlineStr">
        <is>
          <t>ÅRJÄNG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57306-2023</t>
        </is>
      </c>
      <c r="B1234" s="1" t="n">
        <v>45245</v>
      </c>
      <c r="C1234" s="1" t="n">
        <v>45628</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57148-2023</t>
        </is>
      </c>
      <c r="B1235" s="1" t="n">
        <v>45245</v>
      </c>
      <c r="C1235" s="1" t="n">
        <v>45628</v>
      </c>
      <c r="D1235" t="inlineStr">
        <is>
          <t>VÄRMLANDS LÄN</t>
        </is>
      </c>
      <c r="E1235" t="inlineStr">
        <is>
          <t>ÅRJÄNG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57298-2023</t>
        </is>
      </c>
      <c r="B1236" s="1" t="n">
        <v>45245</v>
      </c>
      <c r="C1236" s="1" t="n">
        <v>45628</v>
      </c>
      <c r="D1236" t="inlineStr">
        <is>
          <t>VÄRMLANDS LÄN</t>
        </is>
      </c>
      <c r="E1236" t="inlineStr">
        <is>
          <t>ÅRJÄNG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58141-2023</t>
        </is>
      </c>
      <c r="B1237" s="1" t="n">
        <v>45245</v>
      </c>
      <c r="C1237" s="1" t="n">
        <v>45628</v>
      </c>
      <c r="D1237" t="inlineStr">
        <is>
          <t>VÄRMLANDS LÄN</t>
        </is>
      </c>
      <c r="E1237" t="inlineStr">
        <is>
          <t>ÅRJÄNG</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58347-2023</t>
        </is>
      </c>
      <c r="B1238" s="1" t="n">
        <v>45245</v>
      </c>
      <c r="C1238" s="1" t="n">
        <v>45628</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58352-2023</t>
        </is>
      </c>
      <c r="B1239" s="1" t="n">
        <v>45245</v>
      </c>
      <c r="C1239" s="1" t="n">
        <v>45628</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58491-2023</t>
        </is>
      </c>
      <c r="B1240" s="1" t="n">
        <v>45246</v>
      </c>
      <c r="C1240" s="1" t="n">
        <v>45628</v>
      </c>
      <c r="D1240" t="inlineStr">
        <is>
          <t>VÄRMLANDS LÄN</t>
        </is>
      </c>
      <c r="E1240" t="inlineStr">
        <is>
          <t>ÅRJÄNG</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58486-2023</t>
        </is>
      </c>
      <c r="B1241" s="1" t="n">
        <v>45246</v>
      </c>
      <c r="C1241" s="1" t="n">
        <v>45628</v>
      </c>
      <c r="D1241" t="inlineStr">
        <is>
          <t>VÄRMLANDS LÄN</t>
        </is>
      </c>
      <c r="E1241" t="inlineStr">
        <is>
          <t>ÅRJÄNG</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58002-2023</t>
        </is>
      </c>
      <c r="B1242" s="1" t="n">
        <v>45247</v>
      </c>
      <c r="C1242" s="1" t="n">
        <v>45628</v>
      </c>
      <c r="D1242" t="inlineStr">
        <is>
          <t>VÄRMLANDS LÄN</t>
        </is>
      </c>
      <c r="E1242" t="inlineStr">
        <is>
          <t>ÅRJÄNG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58173-2023</t>
        </is>
      </c>
      <c r="B1243" s="1" t="n">
        <v>45250</v>
      </c>
      <c r="C1243" s="1" t="n">
        <v>45628</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58434-2023</t>
        </is>
      </c>
      <c r="B1244" s="1" t="n">
        <v>45250</v>
      </c>
      <c r="C1244" s="1" t="n">
        <v>45628</v>
      </c>
      <c r="D1244" t="inlineStr">
        <is>
          <t>VÄRMLANDS LÄN</t>
        </is>
      </c>
      <c r="E1244" t="inlineStr">
        <is>
          <t>ÅRJÄNG</t>
        </is>
      </c>
      <c r="F1244" t="inlineStr">
        <is>
          <t>Naturvårdsverket</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58455-2023</t>
        </is>
      </c>
      <c r="B1245" s="1" t="n">
        <v>45250</v>
      </c>
      <c r="C1245" s="1" t="n">
        <v>45628</v>
      </c>
      <c r="D1245" t="inlineStr">
        <is>
          <t>VÄRMLANDS LÄN</t>
        </is>
      </c>
      <c r="E1245" t="inlineStr">
        <is>
          <t>ÅRJÄNG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58436-2023</t>
        </is>
      </c>
      <c r="B1246" s="1" t="n">
        <v>45250</v>
      </c>
      <c r="C1246" s="1" t="n">
        <v>45628</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58874-2023</t>
        </is>
      </c>
      <c r="B1247" s="1" t="n">
        <v>45252</v>
      </c>
      <c r="C1247" s="1" t="n">
        <v>45628</v>
      </c>
      <c r="D1247" t="inlineStr">
        <is>
          <t>VÄRMLANDS LÄN</t>
        </is>
      </c>
      <c r="E1247" t="inlineStr">
        <is>
          <t>ÅRJÄNG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58850-2023</t>
        </is>
      </c>
      <c r="B1248" s="1" t="n">
        <v>45252</v>
      </c>
      <c r="C1248" s="1" t="n">
        <v>45628</v>
      </c>
      <c r="D1248" t="inlineStr">
        <is>
          <t>VÄRMLANDS LÄN</t>
        </is>
      </c>
      <c r="E1248" t="inlineStr">
        <is>
          <t>ÅRJÄNG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58937-2023</t>
        </is>
      </c>
      <c r="B1249" s="1" t="n">
        <v>45252</v>
      </c>
      <c r="C1249" s="1" t="n">
        <v>45628</v>
      </c>
      <c r="D1249" t="inlineStr">
        <is>
          <t>VÄRMLANDS LÄN</t>
        </is>
      </c>
      <c r="E1249" t="inlineStr">
        <is>
          <t>ÅRJÄNG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59384-2023</t>
        </is>
      </c>
      <c r="B1250" s="1" t="n">
        <v>45253</v>
      </c>
      <c r="C1250" s="1" t="n">
        <v>45628</v>
      </c>
      <c r="D1250" t="inlineStr">
        <is>
          <t>VÄRMLANDS LÄN</t>
        </is>
      </c>
      <c r="E1250" t="inlineStr">
        <is>
          <t>ÅRJÄNG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59385-2023</t>
        </is>
      </c>
      <c r="B1251" s="1" t="n">
        <v>45253</v>
      </c>
      <c r="C1251" s="1" t="n">
        <v>45628</v>
      </c>
      <c r="D1251" t="inlineStr">
        <is>
          <t>VÄRMLANDS LÄN</t>
        </is>
      </c>
      <c r="E1251" t="inlineStr">
        <is>
          <t>ÅRJÄNG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59811-2023</t>
        </is>
      </c>
      <c r="B1252" s="1" t="n">
        <v>45254</v>
      </c>
      <c r="C1252" s="1" t="n">
        <v>45628</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59801-2023</t>
        </is>
      </c>
      <c r="B1253" s="1" t="n">
        <v>45254</v>
      </c>
      <c r="C1253" s="1" t="n">
        <v>45628</v>
      </c>
      <c r="D1253" t="inlineStr">
        <is>
          <t>VÄRMLANDS LÄN</t>
        </is>
      </c>
      <c r="E1253" t="inlineStr">
        <is>
          <t>ÅRJÄNG</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59823-2023</t>
        </is>
      </c>
      <c r="B1254" s="1" t="n">
        <v>45254</v>
      </c>
      <c r="C1254" s="1" t="n">
        <v>45628</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59746-2023</t>
        </is>
      </c>
      <c r="B1255" s="1" t="n">
        <v>45254</v>
      </c>
      <c r="C1255" s="1" t="n">
        <v>45628</v>
      </c>
      <c r="D1255" t="inlineStr">
        <is>
          <t>VÄRMLANDS LÄN</t>
        </is>
      </c>
      <c r="E1255" t="inlineStr">
        <is>
          <t>ÅRJÄNG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59710-2023</t>
        </is>
      </c>
      <c r="B1256" s="1" t="n">
        <v>45257</v>
      </c>
      <c r="C1256" s="1" t="n">
        <v>45628</v>
      </c>
      <c r="D1256" t="inlineStr">
        <is>
          <t>VÄRMLANDS LÄN</t>
        </is>
      </c>
      <c r="E1256" t="inlineStr">
        <is>
          <t>ÅRJÄNG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59784-2023</t>
        </is>
      </c>
      <c r="B1257" s="1" t="n">
        <v>45257</v>
      </c>
      <c r="C1257" s="1" t="n">
        <v>45628</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59887-2023</t>
        </is>
      </c>
      <c r="B1258" s="1" t="n">
        <v>45257</v>
      </c>
      <c r="C1258" s="1" t="n">
        <v>45628</v>
      </c>
      <c r="D1258" t="inlineStr">
        <is>
          <t>VÄRMLANDS LÄN</t>
        </is>
      </c>
      <c r="E1258" t="inlineStr">
        <is>
          <t>ÅRJÄNG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60191-2023</t>
        </is>
      </c>
      <c r="B1259" s="1" t="n">
        <v>45257</v>
      </c>
      <c r="C1259" s="1" t="n">
        <v>45628</v>
      </c>
      <c r="D1259" t="inlineStr">
        <is>
          <t>VÄRMLANDS LÄN</t>
        </is>
      </c>
      <c r="E1259" t="inlineStr">
        <is>
          <t>ÅRJÄNG</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60202-2023</t>
        </is>
      </c>
      <c r="B1260" s="1" t="n">
        <v>45257</v>
      </c>
      <c r="C1260" s="1" t="n">
        <v>45628</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59937-2023</t>
        </is>
      </c>
      <c r="B1261" s="1" t="n">
        <v>45257</v>
      </c>
      <c r="C1261" s="1" t="n">
        <v>45628</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60207-2023</t>
        </is>
      </c>
      <c r="B1262" s="1" t="n">
        <v>45257</v>
      </c>
      <c r="C1262" s="1" t="n">
        <v>45628</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60172-2023</t>
        </is>
      </c>
      <c r="B1263" s="1" t="n">
        <v>45257</v>
      </c>
      <c r="C1263" s="1" t="n">
        <v>45628</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60377-2023</t>
        </is>
      </c>
      <c r="B1264" s="1" t="n">
        <v>45259</v>
      </c>
      <c r="C1264" s="1" t="n">
        <v>45628</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60381-2023</t>
        </is>
      </c>
      <c r="B1265" s="1" t="n">
        <v>45259</v>
      </c>
      <c r="C1265" s="1" t="n">
        <v>45628</v>
      </c>
      <c r="D1265" t="inlineStr">
        <is>
          <t>VÄRMLANDS LÄN</t>
        </is>
      </c>
      <c r="E1265" t="inlineStr">
        <is>
          <t>ÅRJÄNG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60549-2023</t>
        </is>
      </c>
      <c r="B1266" s="1" t="n">
        <v>45259</v>
      </c>
      <c r="C1266" s="1" t="n">
        <v>45628</v>
      </c>
      <c r="D1266" t="inlineStr">
        <is>
          <t>VÄRMLANDS LÄN</t>
        </is>
      </c>
      <c r="E1266" t="inlineStr">
        <is>
          <t>ÅRJÄNG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60886-2023</t>
        </is>
      </c>
      <c r="B1267" s="1" t="n">
        <v>45261</v>
      </c>
      <c r="C1267" s="1" t="n">
        <v>45628</v>
      </c>
      <c r="D1267" t="inlineStr">
        <is>
          <t>VÄRMLANDS LÄN</t>
        </is>
      </c>
      <c r="E1267" t="inlineStr">
        <is>
          <t>ÅRJÄNG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60903-2023</t>
        </is>
      </c>
      <c r="B1268" s="1" t="n">
        <v>45261</v>
      </c>
      <c r="C1268" s="1" t="n">
        <v>45628</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60916-2023</t>
        </is>
      </c>
      <c r="B1269" s="1" t="n">
        <v>45261</v>
      </c>
      <c r="C1269" s="1" t="n">
        <v>45628</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61434-2023</t>
        </is>
      </c>
      <c r="B1270" s="1" t="n">
        <v>45264</v>
      </c>
      <c r="C1270" s="1" t="n">
        <v>45628</v>
      </c>
      <c r="D1270" t="inlineStr">
        <is>
          <t>VÄRMLANDS LÄN</t>
        </is>
      </c>
      <c r="E1270" t="inlineStr">
        <is>
          <t>ÅRJÄNG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61873-2023</t>
        </is>
      </c>
      <c r="B1271" s="1" t="n">
        <v>45266</v>
      </c>
      <c r="C1271" s="1" t="n">
        <v>45628</v>
      </c>
      <c r="D1271" t="inlineStr">
        <is>
          <t>VÄRMLANDS LÄN</t>
        </is>
      </c>
      <c r="E1271" t="inlineStr">
        <is>
          <t>ÅRJÄNG</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62261-2023</t>
        </is>
      </c>
      <c r="B1272" s="1" t="n">
        <v>45266</v>
      </c>
      <c r="C1272" s="1" t="n">
        <v>45628</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62273-2023</t>
        </is>
      </c>
      <c r="B1273" s="1" t="n">
        <v>45266</v>
      </c>
      <c r="C1273" s="1" t="n">
        <v>45628</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62266-2023</t>
        </is>
      </c>
      <c r="B1274" s="1" t="n">
        <v>45266</v>
      </c>
      <c r="C1274" s="1" t="n">
        <v>45628</v>
      </c>
      <c r="D1274" t="inlineStr">
        <is>
          <t>VÄRMLANDS LÄN</t>
        </is>
      </c>
      <c r="E1274" t="inlineStr">
        <is>
          <t>ÅRJÄNG</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62288-2023</t>
        </is>
      </c>
      <c r="B1275" s="1" t="n">
        <v>45267</v>
      </c>
      <c r="C1275" s="1" t="n">
        <v>45628</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62609-2023</t>
        </is>
      </c>
      <c r="B1276" s="1" t="n">
        <v>45267</v>
      </c>
      <c r="C1276" s="1" t="n">
        <v>45628</v>
      </c>
      <c r="D1276" t="inlineStr">
        <is>
          <t>VÄRMLANDS LÄN</t>
        </is>
      </c>
      <c r="E1276" t="inlineStr">
        <is>
          <t>ÅRJÄNG</t>
        </is>
      </c>
      <c r="G1276" t="n">
        <v>14.4</v>
      </c>
      <c r="H1276" t="n">
        <v>0</v>
      </c>
      <c r="I1276" t="n">
        <v>0</v>
      </c>
      <c r="J1276" t="n">
        <v>0</v>
      </c>
      <c r="K1276" t="n">
        <v>0</v>
      </c>
      <c r="L1276" t="n">
        <v>0</v>
      </c>
      <c r="M1276" t="n">
        <v>0</v>
      </c>
      <c r="N1276" t="n">
        <v>0</v>
      </c>
      <c r="O1276" t="n">
        <v>0</v>
      </c>
      <c r="P1276" t="n">
        <v>0</v>
      </c>
      <c r="Q1276" t="n">
        <v>0</v>
      </c>
      <c r="R1276" s="2" t="inlineStr"/>
    </row>
    <row r="1277" ht="15" customHeight="1">
      <c r="A1277" t="inlineStr">
        <is>
          <t>A 62372-2023</t>
        </is>
      </c>
      <c r="B1277" s="1" t="n">
        <v>45268</v>
      </c>
      <c r="C1277" s="1" t="n">
        <v>45628</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62739-2023</t>
        </is>
      </c>
      <c r="B1278" s="1" t="n">
        <v>45268</v>
      </c>
      <c r="C1278" s="1" t="n">
        <v>45628</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62790-2023</t>
        </is>
      </c>
      <c r="B1279" s="1" t="n">
        <v>45271</v>
      </c>
      <c r="C1279" s="1" t="n">
        <v>45628</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62720-2023</t>
        </is>
      </c>
      <c r="B1280" s="1" t="n">
        <v>45271</v>
      </c>
      <c r="C1280" s="1" t="n">
        <v>45628</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62963-2023</t>
        </is>
      </c>
      <c r="B1281" s="1" t="n">
        <v>45271</v>
      </c>
      <c r="C1281" s="1" t="n">
        <v>45628</v>
      </c>
      <c r="D1281" t="inlineStr">
        <is>
          <t>VÄRMLANDS LÄN</t>
        </is>
      </c>
      <c r="E1281" t="inlineStr">
        <is>
          <t>ÅRJÄNG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62966-2023</t>
        </is>
      </c>
      <c r="B1282" s="1" t="n">
        <v>45272</v>
      </c>
      <c r="C1282" s="1" t="n">
        <v>45628</v>
      </c>
      <c r="D1282" t="inlineStr">
        <is>
          <t>VÄRMLANDS LÄN</t>
        </is>
      </c>
      <c r="E1282" t="inlineStr">
        <is>
          <t>ÅRJÄNG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63307-2023</t>
        </is>
      </c>
      <c r="B1283" s="1" t="n">
        <v>45274</v>
      </c>
      <c r="C1283" s="1" t="n">
        <v>45628</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64071-2023</t>
        </is>
      </c>
      <c r="B1284" s="1" t="n">
        <v>45279</v>
      </c>
      <c r="C1284" s="1" t="n">
        <v>45628</v>
      </c>
      <c r="D1284" t="inlineStr">
        <is>
          <t>VÄRMLANDS LÄN</t>
        </is>
      </c>
      <c r="E1284" t="inlineStr">
        <is>
          <t>ÅRJÄNG</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64154-2023</t>
        </is>
      </c>
      <c r="B1285" s="1" t="n">
        <v>45279</v>
      </c>
      <c r="C1285" s="1" t="n">
        <v>45628</v>
      </c>
      <c r="D1285" t="inlineStr">
        <is>
          <t>VÄRMLANDS LÄN</t>
        </is>
      </c>
      <c r="E1285" t="inlineStr">
        <is>
          <t>ÅRJÄNG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64229-2023</t>
        </is>
      </c>
      <c r="B1286" s="1" t="n">
        <v>45279</v>
      </c>
      <c r="C1286" s="1" t="n">
        <v>45628</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64151-2023</t>
        </is>
      </c>
      <c r="B1287" s="1" t="n">
        <v>45279</v>
      </c>
      <c r="C1287" s="1" t="n">
        <v>45628</v>
      </c>
      <c r="D1287" t="inlineStr">
        <is>
          <t>VÄRMLANDS LÄN</t>
        </is>
      </c>
      <c r="E1287" t="inlineStr">
        <is>
          <t>ÅRJÄNG</t>
        </is>
      </c>
      <c r="G1287" t="n">
        <v>24.5</v>
      </c>
      <c r="H1287" t="n">
        <v>0</v>
      </c>
      <c r="I1287" t="n">
        <v>0</v>
      </c>
      <c r="J1287" t="n">
        <v>0</v>
      </c>
      <c r="K1287" t="n">
        <v>0</v>
      </c>
      <c r="L1287" t="n">
        <v>0</v>
      </c>
      <c r="M1287" t="n">
        <v>0</v>
      </c>
      <c r="N1287" t="n">
        <v>0</v>
      </c>
      <c r="O1287" t="n">
        <v>0</v>
      </c>
      <c r="P1287" t="n">
        <v>0</v>
      </c>
      <c r="Q1287" t="n">
        <v>0</v>
      </c>
      <c r="R1287" s="2" t="inlineStr"/>
    </row>
    <row r="1288" ht="15" customHeight="1">
      <c r="A1288" t="inlineStr">
        <is>
          <t>A 64341-2023</t>
        </is>
      </c>
      <c r="B1288" s="1" t="n">
        <v>45280</v>
      </c>
      <c r="C1288" s="1" t="n">
        <v>45628</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64381-2023</t>
        </is>
      </c>
      <c r="B1289" s="1" t="n">
        <v>45280</v>
      </c>
      <c r="C1289" s="1" t="n">
        <v>45628</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64556-2023</t>
        </is>
      </c>
      <c r="B1290" s="1" t="n">
        <v>45281</v>
      </c>
      <c r="C1290" s="1" t="n">
        <v>45628</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64690-2023</t>
        </is>
      </c>
      <c r="B1291" s="1" t="n">
        <v>45281</v>
      </c>
      <c r="C1291" s="1" t="n">
        <v>45628</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64791-2023</t>
        </is>
      </c>
      <c r="B1292" s="1" t="n">
        <v>45282</v>
      </c>
      <c r="C1292" s="1" t="n">
        <v>45628</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64903-2023</t>
        </is>
      </c>
      <c r="B1293" s="1" t="n">
        <v>45282</v>
      </c>
      <c r="C1293" s="1" t="n">
        <v>45628</v>
      </c>
      <c r="D1293" t="inlineStr">
        <is>
          <t>VÄRMLANDS LÄN</t>
        </is>
      </c>
      <c r="E1293" t="inlineStr">
        <is>
          <t>ÅRJÄNG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65061-2023</t>
        </is>
      </c>
      <c r="B1294" s="1" t="n">
        <v>45287</v>
      </c>
      <c r="C1294" s="1" t="n">
        <v>45628</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65063-2023</t>
        </is>
      </c>
      <c r="B1295" s="1" t="n">
        <v>45287</v>
      </c>
      <c r="C1295" s="1" t="n">
        <v>45628</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65168-2023</t>
        </is>
      </c>
      <c r="B1296" s="1" t="n">
        <v>45288</v>
      </c>
      <c r="C1296" s="1" t="n">
        <v>45628</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65171-2023</t>
        </is>
      </c>
      <c r="B1297" s="1" t="n">
        <v>45288</v>
      </c>
      <c r="C1297" s="1" t="n">
        <v>45628</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65229-2023</t>
        </is>
      </c>
      <c r="B1298" s="1" t="n">
        <v>45289</v>
      </c>
      <c r="C1298" s="1" t="n">
        <v>45628</v>
      </c>
      <c r="D1298" t="inlineStr">
        <is>
          <t>VÄRMLANDS LÄN</t>
        </is>
      </c>
      <c r="E1298" t="inlineStr">
        <is>
          <t>ÅRJÄNG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1-2024</t>
        </is>
      </c>
      <c r="B1299" s="1" t="n">
        <v>45292</v>
      </c>
      <c r="C1299" s="1" t="n">
        <v>45628</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2-2024</t>
        </is>
      </c>
      <c r="B1300" s="1" t="n">
        <v>45292</v>
      </c>
      <c r="C1300" s="1" t="n">
        <v>45628</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540-2024</t>
        </is>
      </c>
      <c r="B1301" s="1" t="n">
        <v>45299</v>
      </c>
      <c r="C1301" s="1" t="n">
        <v>45628</v>
      </c>
      <c r="D1301" t="inlineStr">
        <is>
          <t>VÄRMLANDS LÄN</t>
        </is>
      </c>
      <c r="E1301" t="inlineStr">
        <is>
          <t>ÅRJÄNG</t>
        </is>
      </c>
      <c r="F1301" t="inlineStr">
        <is>
          <t>Kyrkan</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687-2024</t>
        </is>
      </c>
      <c r="B1302" s="1" t="n">
        <v>45300</v>
      </c>
      <c r="C1302" s="1" t="n">
        <v>45628</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699-2024</t>
        </is>
      </c>
      <c r="B1303" s="1" t="n">
        <v>45300</v>
      </c>
      <c r="C1303" s="1" t="n">
        <v>45628</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713-2024</t>
        </is>
      </c>
      <c r="B1304" s="1" t="n">
        <v>45300</v>
      </c>
      <c r="C1304" s="1" t="n">
        <v>45628</v>
      </c>
      <c r="D1304" t="inlineStr">
        <is>
          <t>VÄRMLANDS LÄN</t>
        </is>
      </c>
      <c r="E1304" t="inlineStr">
        <is>
          <t>ÅRJÄNG</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1110-2024</t>
        </is>
      </c>
      <c r="B1305" s="1" t="n">
        <v>45302</v>
      </c>
      <c r="C1305" s="1" t="n">
        <v>45628</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1115-2024</t>
        </is>
      </c>
      <c r="B1306" s="1" t="n">
        <v>45302</v>
      </c>
      <c r="C1306" s="1" t="n">
        <v>45628</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1551-2024</t>
        </is>
      </c>
      <c r="B1307" s="1" t="n">
        <v>45306</v>
      </c>
      <c r="C1307" s="1" t="n">
        <v>45628</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1548-2024</t>
        </is>
      </c>
      <c r="B1308" s="1" t="n">
        <v>45306</v>
      </c>
      <c r="C1308" s="1" t="n">
        <v>45628</v>
      </c>
      <c r="D1308" t="inlineStr">
        <is>
          <t>VÄRMLANDS LÄN</t>
        </is>
      </c>
      <c r="E1308" t="inlineStr">
        <is>
          <t>ÅRJÄNG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1553-2024</t>
        </is>
      </c>
      <c r="B1309" s="1" t="n">
        <v>45306</v>
      </c>
      <c r="C1309" s="1" t="n">
        <v>45628</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1767-2024</t>
        </is>
      </c>
      <c r="B1310" s="1" t="n">
        <v>45307</v>
      </c>
      <c r="C1310" s="1" t="n">
        <v>45628</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1697-2024</t>
        </is>
      </c>
      <c r="B1311" s="1" t="n">
        <v>45307</v>
      </c>
      <c r="C1311" s="1" t="n">
        <v>45628</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1769-2024</t>
        </is>
      </c>
      <c r="B1312" s="1" t="n">
        <v>45307</v>
      </c>
      <c r="C1312" s="1" t="n">
        <v>45628</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1912-2024</t>
        </is>
      </c>
      <c r="B1313" s="1" t="n">
        <v>45308</v>
      </c>
      <c r="C1313" s="1" t="n">
        <v>45628</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1920-2024</t>
        </is>
      </c>
      <c r="B1314" s="1" t="n">
        <v>45308</v>
      </c>
      <c r="C1314" s="1" t="n">
        <v>45628</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2975-2024</t>
        </is>
      </c>
      <c r="B1315" s="1" t="n">
        <v>45315</v>
      </c>
      <c r="C1315" s="1" t="n">
        <v>45628</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3015-2024</t>
        </is>
      </c>
      <c r="B1316" s="1" t="n">
        <v>45315</v>
      </c>
      <c r="C1316" s="1" t="n">
        <v>45628</v>
      </c>
      <c r="D1316" t="inlineStr">
        <is>
          <t>VÄRMLANDS LÄN</t>
        </is>
      </c>
      <c r="E1316" t="inlineStr">
        <is>
          <t>ÅRJÄNG</t>
        </is>
      </c>
      <c r="F1316" t="inlineStr">
        <is>
          <t>Övriga Aktiebolag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3113-2024</t>
        </is>
      </c>
      <c r="B1317" s="1" t="n">
        <v>45316</v>
      </c>
      <c r="C1317" s="1" t="n">
        <v>45628</v>
      </c>
      <c r="D1317" t="inlineStr">
        <is>
          <t>VÄRMLANDS LÄN</t>
        </is>
      </c>
      <c r="E1317" t="inlineStr">
        <is>
          <t>ÅRJÄNG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3311-2024</t>
        </is>
      </c>
      <c r="B1318" s="1" t="n">
        <v>45317</v>
      </c>
      <c r="C1318" s="1" t="n">
        <v>45628</v>
      </c>
      <c r="D1318" t="inlineStr">
        <is>
          <t>VÄRMLANDS LÄN</t>
        </is>
      </c>
      <c r="E1318" t="inlineStr">
        <is>
          <t>ÅRJÄNG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3492-2024</t>
        </is>
      </c>
      <c r="B1319" s="1" t="n">
        <v>45317</v>
      </c>
      <c r="C1319" s="1" t="n">
        <v>45628</v>
      </c>
      <c r="D1319" t="inlineStr">
        <is>
          <t>VÄRMLANDS LÄN</t>
        </is>
      </c>
      <c r="E1319" t="inlineStr">
        <is>
          <t>ÅRJÄNG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3785-2024</t>
        </is>
      </c>
      <c r="B1320" s="1" t="n">
        <v>45321</v>
      </c>
      <c r="C1320" s="1" t="n">
        <v>45628</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4466-2024</t>
        </is>
      </c>
      <c r="B1321" s="1" t="n">
        <v>45326</v>
      </c>
      <c r="C1321" s="1" t="n">
        <v>45628</v>
      </c>
      <c r="D1321" t="inlineStr">
        <is>
          <t>VÄRMLANDS LÄN</t>
        </is>
      </c>
      <c r="E1321" t="inlineStr">
        <is>
          <t>ÅRJÄNG</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4382-2024</t>
        </is>
      </c>
      <c r="B1322" s="1" t="n">
        <v>45327</v>
      </c>
      <c r="C1322" s="1" t="n">
        <v>45628</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4545-2024</t>
        </is>
      </c>
      <c r="B1323" s="1" t="n">
        <v>45327</v>
      </c>
      <c r="C1323" s="1" t="n">
        <v>45628</v>
      </c>
      <c r="D1323" t="inlineStr">
        <is>
          <t>VÄRMLANDS LÄN</t>
        </is>
      </c>
      <c r="E1323" t="inlineStr">
        <is>
          <t>ÅRJÄNG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4606-2024</t>
        </is>
      </c>
      <c r="B1324" s="1" t="n">
        <v>45328</v>
      </c>
      <c r="C1324" s="1" t="n">
        <v>45628</v>
      </c>
      <c r="D1324" t="inlineStr">
        <is>
          <t>VÄRMLANDS LÄN</t>
        </is>
      </c>
      <c r="E1324" t="inlineStr">
        <is>
          <t>ÅRJÄNG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4865-2024</t>
        </is>
      </c>
      <c r="B1325" s="1" t="n">
        <v>45329</v>
      </c>
      <c r="C1325" s="1" t="n">
        <v>45628</v>
      </c>
      <c r="D1325" t="inlineStr">
        <is>
          <t>VÄRMLANDS LÄN</t>
        </is>
      </c>
      <c r="E1325" t="inlineStr">
        <is>
          <t>ÅRJÄNG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5507-2024</t>
        </is>
      </c>
      <c r="B1326" s="1" t="n">
        <v>45334</v>
      </c>
      <c r="C1326" s="1" t="n">
        <v>45628</v>
      </c>
      <c r="D1326" t="inlineStr">
        <is>
          <t>VÄRMLANDS LÄN</t>
        </is>
      </c>
      <c r="E1326" t="inlineStr">
        <is>
          <t>ÅRJÄNG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6107-2024</t>
        </is>
      </c>
      <c r="B1327" s="1" t="n">
        <v>45337</v>
      </c>
      <c r="C1327" s="1" t="n">
        <v>45628</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6405-2024</t>
        </is>
      </c>
      <c r="B1328" s="1" t="n">
        <v>45338</v>
      </c>
      <c r="C1328" s="1" t="n">
        <v>45628</v>
      </c>
      <c r="D1328" t="inlineStr">
        <is>
          <t>VÄRMLANDS LÄN</t>
        </is>
      </c>
      <c r="E1328" t="inlineStr">
        <is>
          <t>ÅRJÄNG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6354-2024</t>
        </is>
      </c>
      <c r="B1329" s="1" t="n">
        <v>45338</v>
      </c>
      <c r="C1329" s="1" t="n">
        <v>45628</v>
      </c>
      <c r="D1329" t="inlineStr">
        <is>
          <t>VÄRMLANDS LÄN</t>
        </is>
      </c>
      <c r="E1329" t="inlineStr">
        <is>
          <t>ÅRJÄNG</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7100-2024</t>
        </is>
      </c>
      <c r="B1330" s="1" t="n">
        <v>45343</v>
      </c>
      <c r="C1330" s="1" t="n">
        <v>45628</v>
      </c>
      <c r="D1330" t="inlineStr">
        <is>
          <t>VÄRMLANDS LÄN</t>
        </is>
      </c>
      <c r="E1330" t="inlineStr">
        <is>
          <t>ÅRJÄNG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7098-2024</t>
        </is>
      </c>
      <c r="B1331" s="1" t="n">
        <v>45343</v>
      </c>
      <c r="C1331" s="1" t="n">
        <v>45628</v>
      </c>
      <c r="D1331" t="inlineStr">
        <is>
          <t>VÄRMLANDS LÄN</t>
        </is>
      </c>
      <c r="E1331" t="inlineStr">
        <is>
          <t>ÅRJÄNG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45628</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7182-2024</t>
        </is>
      </c>
      <c r="B1333" s="1" t="n">
        <v>45344</v>
      </c>
      <c r="C1333" s="1" t="n">
        <v>45628</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7206-2024</t>
        </is>
      </c>
      <c r="B1334" s="1" t="n">
        <v>45344</v>
      </c>
      <c r="C1334" s="1" t="n">
        <v>45628</v>
      </c>
      <c r="D1334" t="inlineStr">
        <is>
          <t>VÄRMLANDS LÄN</t>
        </is>
      </c>
      <c r="E1334" t="inlineStr">
        <is>
          <t>ÅRJÄNG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7184-2024</t>
        </is>
      </c>
      <c r="B1335" s="1" t="n">
        <v>45344</v>
      </c>
      <c r="C1335" s="1" t="n">
        <v>45628</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7443-2024</t>
        </is>
      </c>
      <c r="B1336" s="1" t="n">
        <v>45345</v>
      </c>
      <c r="C1336" s="1" t="n">
        <v>45628</v>
      </c>
      <c r="D1336" t="inlineStr">
        <is>
          <t>VÄRMLANDS LÄN</t>
        </is>
      </c>
      <c r="E1336" t="inlineStr">
        <is>
          <t>ÅRJÄNG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7445-2024</t>
        </is>
      </c>
      <c r="B1337" s="1" t="n">
        <v>45345</v>
      </c>
      <c r="C1337" s="1" t="n">
        <v>45628</v>
      </c>
      <c r="D1337" t="inlineStr">
        <is>
          <t>VÄRMLANDS LÄN</t>
        </is>
      </c>
      <c r="E1337" t="inlineStr">
        <is>
          <t>ÅRJÄNG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7444-2024</t>
        </is>
      </c>
      <c r="B1338" s="1" t="n">
        <v>45345</v>
      </c>
      <c r="C1338" s="1" t="n">
        <v>45628</v>
      </c>
      <c r="D1338" t="inlineStr">
        <is>
          <t>VÄRMLANDS LÄN</t>
        </is>
      </c>
      <c r="E1338" t="inlineStr">
        <is>
          <t>ÅRJÄNG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7401-2024</t>
        </is>
      </c>
      <c r="B1339" s="1" t="n">
        <v>45345</v>
      </c>
      <c r="C1339" s="1" t="n">
        <v>45628</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7574-2024</t>
        </is>
      </c>
      <c r="B1340" s="1" t="n">
        <v>45348</v>
      </c>
      <c r="C1340" s="1" t="n">
        <v>45628</v>
      </c>
      <c r="D1340" t="inlineStr">
        <is>
          <t>VÄRMLANDS LÄN</t>
        </is>
      </c>
      <c r="E1340" t="inlineStr">
        <is>
          <t>ÅRJÄNG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8161-2024</t>
        </is>
      </c>
      <c r="B1341" s="1" t="n">
        <v>45349</v>
      </c>
      <c r="C1341" s="1" t="n">
        <v>45628</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7794-2024</t>
        </is>
      </c>
      <c r="B1342" s="1" t="n">
        <v>45349</v>
      </c>
      <c r="C1342" s="1" t="n">
        <v>45628</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8120-2024</t>
        </is>
      </c>
      <c r="B1343" s="1" t="n">
        <v>45351</v>
      </c>
      <c r="C1343" s="1" t="n">
        <v>45628</v>
      </c>
      <c r="D1343" t="inlineStr">
        <is>
          <t>VÄRMLANDS LÄN</t>
        </is>
      </c>
      <c r="E1343" t="inlineStr">
        <is>
          <t>ÅRJÄNG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v>
      </c>
      <c r="C1344" s="1" t="n">
        <v>45628</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8147-2024</t>
        </is>
      </c>
      <c r="B1345" s="1" t="n">
        <v>45351</v>
      </c>
      <c r="C1345" s="1" t="n">
        <v>45628</v>
      </c>
      <c r="D1345" t="inlineStr">
        <is>
          <t>VÄRMLANDS LÄN</t>
        </is>
      </c>
      <c r="E1345" t="inlineStr">
        <is>
          <t>ÅRJÄNG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8446-2024</t>
        </is>
      </c>
      <c r="B1346" s="1" t="n">
        <v>45354</v>
      </c>
      <c r="C1346" s="1" t="n">
        <v>45628</v>
      </c>
      <c r="D1346" t="inlineStr">
        <is>
          <t>VÄRMLANDS LÄN</t>
        </is>
      </c>
      <c r="E1346" t="inlineStr">
        <is>
          <t>ÅRJÄNG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8681-2024</t>
        </is>
      </c>
      <c r="B1347" s="1" t="n">
        <v>45354</v>
      </c>
      <c r="C1347" s="1" t="n">
        <v>45628</v>
      </c>
      <c r="D1347" t="inlineStr">
        <is>
          <t>VÄRMLANDS LÄN</t>
        </is>
      </c>
      <c r="E1347" t="inlineStr">
        <is>
          <t>ÅRJÄNG</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8602-2024</t>
        </is>
      </c>
      <c r="B1348" s="1" t="n">
        <v>45355</v>
      </c>
      <c r="C1348" s="1" t="n">
        <v>45628</v>
      </c>
      <c r="D1348" t="inlineStr">
        <is>
          <t>VÄRMLANDS LÄN</t>
        </is>
      </c>
      <c r="E1348" t="inlineStr">
        <is>
          <t>ÅRJÄNG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8579-2024</t>
        </is>
      </c>
      <c r="B1349" s="1" t="n">
        <v>45355</v>
      </c>
      <c r="C1349" s="1" t="n">
        <v>45628</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8595-2024</t>
        </is>
      </c>
      <c r="B1350" s="1" t="n">
        <v>45355</v>
      </c>
      <c r="C1350" s="1" t="n">
        <v>45628</v>
      </c>
      <c r="D1350" t="inlineStr">
        <is>
          <t>VÄRMLANDS LÄN</t>
        </is>
      </c>
      <c r="E1350" t="inlineStr">
        <is>
          <t>ÅRJÄNG</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8596-2024</t>
        </is>
      </c>
      <c r="B1351" s="1" t="n">
        <v>45355</v>
      </c>
      <c r="C1351" s="1" t="n">
        <v>45628</v>
      </c>
      <c r="D1351" t="inlineStr">
        <is>
          <t>VÄRMLANDS LÄN</t>
        </is>
      </c>
      <c r="E1351" t="inlineStr">
        <is>
          <t>ÅRJÄNG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8601-2024</t>
        </is>
      </c>
      <c r="B1352" s="1" t="n">
        <v>45355</v>
      </c>
      <c r="C1352" s="1" t="n">
        <v>45628</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8578-2024</t>
        </is>
      </c>
      <c r="B1353" s="1" t="n">
        <v>45355</v>
      </c>
      <c r="C1353" s="1" t="n">
        <v>45628</v>
      </c>
      <c r="D1353" t="inlineStr">
        <is>
          <t>VÄRMLANDS LÄN</t>
        </is>
      </c>
      <c r="E1353" t="inlineStr">
        <is>
          <t>ÅRJÄNG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8685-2024</t>
        </is>
      </c>
      <c r="B1354" s="1" t="n">
        <v>45356</v>
      </c>
      <c r="C1354" s="1" t="n">
        <v>45628</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9273-2024</t>
        </is>
      </c>
      <c r="B1355" s="1" t="n">
        <v>45358</v>
      </c>
      <c r="C1355" s="1" t="n">
        <v>45628</v>
      </c>
      <c r="D1355" t="inlineStr">
        <is>
          <t>VÄRMLANDS LÄN</t>
        </is>
      </c>
      <c r="E1355" t="inlineStr">
        <is>
          <t>ÅRJÄNG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9397-2024</t>
        </is>
      </c>
      <c r="B1356" s="1" t="n">
        <v>45359</v>
      </c>
      <c r="C1356" s="1" t="n">
        <v>45628</v>
      </c>
      <c r="D1356" t="inlineStr">
        <is>
          <t>VÄRMLANDS LÄN</t>
        </is>
      </c>
      <c r="E1356" t="inlineStr">
        <is>
          <t>ÅRJÄNG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9584-2024</t>
        </is>
      </c>
      <c r="B1357" s="1" t="n">
        <v>45360</v>
      </c>
      <c r="C1357" s="1" t="n">
        <v>45628</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9662-2024</t>
        </is>
      </c>
      <c r="B1358" s="1" t="n">
        <v>45362</v>
      </c>
      <c r="C1358" s="1" t="n">
        <v>45628</v>
      </c>
      <c r="D1358" t="inlineStr">
        <is>
          <t>VÄRMLANDS LÄN</t>
        </is>
      </c>
      <c r="E1358" t="inlineStr">
        <is>
          <t>ÅRJÄNG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9666-2024</t>
        </is>
      </c>
      <c r="B1359" s="1" t="n">
        <v>45362</v>
      </c>
      <c r="C1359" s="1" t="n">
        <v>45628</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9749-2024</t>
        </is>
      </c>
      <c r="B1360" s="1" t="n">
        <v>45362</v>
      </c>
      <c r="C1360" s="1" t="n">
        <v>45628</v>
      </c>
      <c r="D1360" t="inlineStr">
        <is>
          <t>VÄRMLANDS LÄN</t>
        </is>
      </c>
      <c r="E1360" t="inlineStr">
        <is>
          <t>ÅRJÄNG</t>
        </is>
      </c>
      <c r="F1360" t="inlineStr">
        <is>
          <t>Kyrkan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9909-2024</t>
        </is>
      </c>
      <c r="B1361" s="1" t="n">
        <v>45363</v>
      </c>
      <c r="C1361" s="1" t="n">
        <v>45628</v>
      </c>
      <c r="D1361" t="inlineStr">
        <is>
          <t>VÄRMLANDS LÄN</t>
        </is>
      </c>
      <c r="E1361" t="inlineStr">
        <is>
          <t>ÅRJÄNG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10164-2024</t>
        </is>
      </c>
      <c r="B1362" s="1" t="n">
        <v>45364</v>
      </c>
      <c r="C1362" s="1" t="n">
        <v>45628</v>
      </c>
      <c r="D1362" t="inlineStr">
        <is>
          <t>VÄRMLANDS LÄN</t>
        </is>
      </c>
      <c r="E1362" t="inlineStr">
        <is>
          <t>ÅRJÄNG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10338-2024</t>
        </is>
      </c>
      <c r="B1363" s="1" t="n">
        <v>45365</v>
      </c>
      <c r="C1363" s="1" t="n">
        <v>45628</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10741-2024</t>
        </is>
      </c>
      <c r="B1364" s="1" t="n">
        <v>45369</v>
      </c>
      <c r="C1364" s="1" t="n">
        <v>45628</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10681-2024</t>
        </is>
      </c>
      <c r="B1365" s="1" t="n">
        <v>45369</v>
      </c>
      <c r="C1365" s="1" t="n">
        <v>45628</v>
      </c>
      <c r="D1365" t="inlineStr">
        <is>
          <t>VÄRMLANDS LÄN</t>
        </is>
      </c>
      <c r="E1365" t="inlineStr">
        <is>
          <t>ÅRJÄNG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11243-2024</t>
        </is>
      </c>
      <c r="B1366" s="1" t="n">
        <v>45371</v>
      </c>
      <c r="C1366" s="1" t="n">
        <v>45628</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11136-2024</t>
        </is>
      </c>
      <c r="B1367" s="1" t="n">
        <v>45371</v>
      </c>
      <c r="C1367" s="1" t="n">
        <v>45628</v>
      </c>
      <c r="D1367" t="inlineStr">
        <is>
          <t>VÄRMLANDS LÄN</t>
        </is>
      </c>
      <c r="E1367" t="inlineStr">
        <is>
          <t>ÅRJÄNG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11392-2024</t>
        </is>
      </c>
      <c r="B1368" s="1" t="n">
        <v>45372</v>
      </c>
      <c r="C1368" s="1" t="n">
        <v>45628</v>
      </c>
      <c r="D1368" t="inlineStr">
        <is>
          <t>VÄRMLANDS LÄN</t>
        </is>
      </c>
      <c r="E1368" t="inlineStr">
        <is>
          <t>ÅRJÄNG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11616-2024</t>
        </is>
      </c>
      <c r="B1369" s="1" t="n">
        <v>45373</v>
      </c>
      <c r="C1369" s="1" t="n">
        <v>45628</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11693-2024</t>
        </is>
      </c>
      <c r="B1370" s="1" t="n">
        <v>45373</v>
      </c>
      <c r="C1370" s="1" t="n">
        <v>45628</v>
      </c>
      <c r="D1370" t="inlineStr">
        <is>
          <t>VÄRMLANDS LÄN</t>
        </is>
      </c>
      <c r="E1370" t="inlineStr">
        <is>
          <t>ÅRJÄNG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11718-2024</t>
        </is>
      </c>
      <c r="B1371" s="1" t="n">
        <v>45373</v>
      </c>
      <c r="C1371" s="1" t="n">
        <v>45628</v>
      </c>
      <c r="D1371" t="inlineStr">
        <is>
          <t>VÄRMLANDS LÄN</t>
        </is>
      </c>
      <c r="E1371" t="inlineStr">
        <is>
          <t>ÅRJÄNG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11713-2024</t>
        </is>
      </c>
      <c r="B1372" s="1" t="n">
        <v>45373</v>
      </c>
      <c r="C1372" s="1" t="n">
        <v>45628</v>
      </c>
      <c r="D1372" t="inlineStr">
        <is>
          <t>VÄRMLANDS LÄN</t>
        </is>
      </c>
      <c r="E1372" t="inlineStr">
        <is>
          <t>ÅRJÄNG</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11805-2024</t>
        </is>
      </c>
      <c r="B1373" s="1" t="n">
        <v>45375</v>
      </c>
      <c r="C1373" s="1" t="n">
        <v>45628</v>
      </c>
      <c r="D1373" t="inlineStr">
        <is>
          <t>VÄRMLANDS LÄN</t>
        </is>
      </c>
      <c r="E1373" t="inlineStr">
        <is>
          <t>ÅRJÄNG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11836-2024</t>
        </is>
      </c>
      <c r="B1374" s="1" t="n">
        <v>45376</v>
      </c>
      <c r="C1374" s="1" t="n">
        <v>45628</v>
      </c>
      <c r="D1374" t="inlineStr">
        <is>
          <t>VÄRMLANDS LÄN</t>
        </is>
      </c>
      <c r="E1374" t="inlineStr">
        <is>
          <t>ÅRJÄNG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11831-2024</t>
        </is>
      </c>
      <c r="B1375" s="1" t="n">
        <v>45376</v>
      </c>
      <c r="C1375" s="1" t="n">
        <v>45628</v>
      </c>
      <c r="D1375" t="inlineStr">
        <is>
          <t>VÄRMLANDS LÄN</t>
        </is>
      </c>
      <c r="E1375" t="inlineStr">
        <is>
          <t>ÅRJÄNG</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12072-2024</t>
        </is>
      </c>
      <c r="B1376" s="1" t="n">
        <v>45377</v>
      </c>
      <c r="C1376" s="1" t="n">
        <v>45628</v>
      </c>
      <c r="D1376" t="inlineStr">
        <is>
          <t>VÄRMLANDS LÄN</t>
        </is>
      </c>
      <c r="E1376" t="inlineStr">
        <is>
          <t>ÅRJÄNG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12247-2024</t>
        </is>
      </c>
      <c r="B1377" s="1" t="n">
        <v>45377</v>
      </c>
      <c r="C1377" s="1" t="n">
        <v>45628</v>
      </c>
      <c r="D1377" t="inlineStr">
        <is>
          <t>VÄRMLANDS LÄN</t>
        </is>
      </c>
      <c r="E1377" t="inlineStr">
        <is>
          <t>ÅRJÄNG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12501-2024</t>
        </is>
      </c>
      <c r="B1378" s="1" t="n">
        <v>45379</v>
      </c>
      <c r="C1378" s="1" t="n">
        <v>45628</v>
      </c>
      <c r="D1378" t="inlineStr">
        <is>
          <t>VÄRMLANDS LÄN</t>
        </is>
      </c>
      <c r="E1378" t="inlineStr">
        <is>
          <t>ÅRJÄNG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12494-2024</t>
        </is>
      </c>
      <c r="B1379" s="1" t="n">
        <v>45379</v>
      </c>
      <c r="C1379" s="1" t="n">
        <v>45628</v>
      </c>
      <c r="D1379" t="inlineStr">
        <is>
          <t>VÄRMLANDS LÄN</t>
        </is>
      </c>
      <c r="E1379" t="inlineStr">
        <is>
          <t>ÅRJÄNG</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12488-2024</t>
        </is>
      </c>
      <c r="B1380" s="1" t="n">
        <v>45379</v>
      </c>
      <c r="C1380" s="1" t="n">
        <v>45628</v>
      </c>
      <c r="D1380" t="inlineStr">
        <is>
          <t>VÄRMLANDS LÄN</t>
        </is>
      </c>
      <c r="E1380" t="inlineStr">
        <is>
          <t>ÅRJÄNG</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13157-2024</t>
        </is>
      </c>
      <c r="B1381" s="1" t="n">
        <v>45386</v>
      </c>
      <c r="C1381" s="1" t="n">
        <v>45628</v>
      </c>
      <c r="D1381" t="inlineStr">
        <is>
          <t>VÄRMLANDS LÄN</t>
        </is>
      </c>
      <c r="E1381" t="inlineStr">
        <is>
          <t>ÅRJÄNG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13155-2024</t>
        </is>
      </c>
      <c r="B1382" s="1" t="n">
        <v>45386</v>
      </c>
      <c r="C1382" s="1" t="n">
        <v>45628</v>
      </c>
      <c r="D1382" t="inlineStr">
        <is>
          <t>VÄRMLANDS LÄN</t>
        </is>
      </c>
      <c r="E1382" t="inlineStr">
        <is>
          <t>ÅRJÄNG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13734-2024</t>
        </is>
      </c>
      <c r="B1383" s="1" t="n">
        <v>45387</v>
      </c>
      <c r="C1383" s="1" t="n">
        <v>45628</v>
      </c>
      <c r="D1383" t="inlineStr">
        <is>
          <t>VÄRMLANDS LÄN</t>
        </is>
      </c>
      <c r="E1383" t="inlineStr">
        <is>
          <t>ÅRJÄNG</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13733-2024</t>
        </is>
      </c>
      <c r="B1384" s="1" t="n">
        <v>45387</v>
      </c>
      <c r="C1384" s="1" t="n">
        <v>45628</v>
      </c>
      <c r="D1384" t="inlineStr">
        <is>
          <t>VÄRMLANDS LÄN</t>
        </is>
      </c>
      <c r="E1384" t="inlineStr">
        <is>
          <t>ÅRJÄNG</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13570-2024</t>
        </is>
      </c>
      <c r="B1385" s="1" t="n">
        <v>45389</v>
      </c>
      <c r="C1385" s="1" t="n">
        <v>45628</v>
      </c>
      <c r="D1385" t="inlineStr">
        <is>
          <t>VÄRMLANDS LÄN</t>
        </is>
      </c>
      <c r="E1385" t="inlineStr">
        <is>
          <t>ÅRJÄNG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13569-2024</t>
        </is>
      </c>
      <c r="B1386" s="1" t="n">
        <v>45389</v>
      </c>
      <c r="C1386" s="1" t="n">
        <v>45628</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13737-2024</t>
        </is>
      </c>
      <c r="B1387" s="1" t="n">
        <v>45390</v>
      </c>
      <c r="C1387" s="1" t="n">
        <v>45628</v>
      </c>
      <c r="D1387" t="inlineStr">
        <is>
          <t>VÄRMLANDS LÄN</t>
        </is>
      </c>
      <c r="E1387" t="inlineStr">
        <is>
          <t>ÅRJÄNG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13624-2024</t>
        </is>
      </c>
      <c r="B1388" s="1" t="n">
        <v>45390</v>
      </c>
      <c r="C1388" s="1" t="n">
        <v>45628</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13726-2024</t>
        </is>
      </c>
      <c r="B1389" s="1" t="n">
        <v>45390</v>
      </c>
      <c r="C1389" s="1" t="n">
        <v>45628</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13736-2024</t>
        </is>
      </c>
      <c r="B1390" s="1" t="n">
        <v>45390</v>
      </c>
      <c r="C1390" s="1" t="n">
        <v>45628</v>
      </c>
      <c r="D1390" t="inlineStr">
        <is>
          <t>VÄRMLANDS LÄN</t>
        </is>
      </c>
      <c r="E1390" t="inlineStr">
        <is>
          <t>ÅRJÄNG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13784-2024</t>
        </is>
      </c>
      <c r="B1391" s="1" t="n">
        <v>45391</v>
      </c>
      <c r="C1391" s="1" t="n">
        <v>45628</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13814-2024</t>
        </is>
      </c>
      <c r="B1392" s="1" t="n">
        <v>45391</v>
      </c>
      <c r="C1392" s="1" t="n">
        <v>45628</v>
      </c>
      <c r="D1392" t="inlineStr">
        <is>
          <t>VÄRMLANDS LÄN</t>
        </is>
      </c>
      <c r="E1392" t="inlineStr">
        <is>
          <t>ÅRJÄNG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13831-2024</t>
        </is>
      </c>
      <c r="B1393" s="1" t="n">
        <v>45391</v>
      </c>
      <c r="C1393" s="1" t="n">
        <v>45628</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13819-2024</t>
        </is>
      </c>
      <c r="B1394" s="1" t="n">
        <v>45391</v>
      </c>
      <c r="C1394" s="1" t="n">
        <v>45628</v>
      </c>
      <c r="D1394" t="inlineStr">
        <is>
          <t>VÄRMLANDS LÄN</t>
        </is>
      </c>
      <c r="E1394" t="inlineStr">
        <is>
          <t>ÅRJÄNG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13824-2024</t>
        </is>
      </c>
      <c r="B1395" s="1" t="n">
        <v>45391</v>
      </c>
      <c r="C1395" s="1" t="n">
        <v>45628</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13967-2024</t>
        </is>
      </c>
      <c r="B1396" s="1" t="n">
        <v>45392</v>
      </c>
      <c r="C1396" s="1" t="n">
        <v>45628</v>
      </c>
      <c r="D1396" t="inlineStr">
        <is>
          <t>VÄRMLANDS LÄN</t>
        </is>
      </c>
      <c r="E1396" t="inlineStr">
        <is>
          <t>ÅRJÄNG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13998-2024</t>
        </is>
      </c>
      <c r="B1397" s="1" t="n">
        <v>45392</v>
      </c>
      <c r="C1397" s="1" t="n">
        <v>45628</v>
      </c>
      <c r="D1397" t="inlineStr">
        <is>
          <t>VÄRMLANDS LÄN</t>
        </is>
      </c>
      <c r="E1397" t="inlineStr">
        <is>
          <t>ÅRJÄNG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14382-2024</t>
        </is>
      </c>
      <c r="B1398" s="1" t="n">
        <v>45394</v>
      </c>
      <c r="C1398" s="1" t="n">
        <v>45628</v>
      </c>
      <c r="D1398" t="inlineStr">
        <is>
          <t>VÄRMLANDS LÄN</t>
        </is>
      </c>
      <c r="E1398" t="inlineStr">
        <is>
          <t>ÅRJÄNG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14694-2024</t>
        </is>
      </c>
      <c r="B1399" s="1" t="n">
        <v>45397</v>
      </c>
      <c r="C1399" s="1" t="n">
        <v>45628</v>
      </c>
      <c r="D1399" t="inlineStr">
        <is>
          <t>VÄRMLANDS LÄN</t>
        </is>
      </c>
      <c r="E1399" t="inlineStr">
        <is>
          <t>ÅRJÄNG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14768-2024</t>
        </is>
      </c>
      <c r="B1400" s="1" t="n">
        <v>45397</v>
      </c>
      <c r="C1400" s="1" t="n">
        <v>45628</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14917-2024</t>
        </is>
      </c>
      <c r="B1401" s="1" t="n">
        <v>45398</v>
      </c>
      <c r="C1401" s="1" t="n">
        <v>45628</v>
      </c>
      <c r="D1401" t="inlineStr">
        <is>
          <t>VÄRMLANDS LÄN</t>
        </is>
      </c>
      <c r="E1401" t="inlineStr">
        <is>
          <t>ÅRJÄNG</t>
        </is>
      </c>
      <c r="G1401" t="n">
        <v>19.9</v>
      </c>
      <c r="H1401" t="n">
        <v>0</v>
      </c>
      <c r="I1401" t="n">
        <v>0</v>
      </c>
      <c r="J1401" t="n">
        <v>0</v>
      </c>
      <c r="K1401" t="n">
        <v>0</v>
      </c>
      <c r="L1401" t="n">
        <v>0</v>
      </c>
      <c r="M1401" t="n">
        <v>0</v>
      </c>
      <c r="N1401" t="n">
        <v>0</v>
      </c>
      <c r="O1401" t="n">
        <v>0</v>
      </c>
      <c r="P1401" t="n">
        <v>0</v>
      </c>
      <c r="Q1401" t="n">
        <v>0</v>
      </c>
      <c r="R1401" s="2" t="inlineStr"/>
    </row>
    <row r="1402" ht="15" customHeight="1">
      <c r="A1402" t="inlineStr">
        <is>
          <t>A 15198-2024</t>
        </is>
      </c>
      <c r="B1402" s="1" t="n">
        <v>45400</v>
      </c>
      <c r="C1402" s="1" t="n">
        <v>45628</v>
      </c>
      <c r="D1402" t="inlineStr">
        <is>
          <t>VÄRMLANDS LÄN</t>
        </is>
      </c>
      <c r="E1402" t="inlineStr">
        <is>
          <t>ÅRJÄNG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15346-2024</t>
        </is>
      </c>
      <c r="B1403" s="1" t="n">
        <v>45400</v>
      </c>
      <c r="C1403" s="1" t="n">
        <v>45628</v>
      </c>
      <c r="D1403" t="inlineStr">
        <is>
          <t>VÄRMLANDS LÄN</t>
        </is>
      </c>
      <c r="E1403" t="inlineStr">
        <is>
          <t>ÅRJÄNG</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15537-2024</t>
        </is>
      </c>
      <c r="B1404" s="1" t="n">
        <v>45401</v>
      </c>
      <c r="C1404" s="1" t="n">
        <v>45628</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15720-2024</t>
        </is>
      </c>
      <c r="B1405" s="1" t="n">
        <v>45404</v>
      </c>
      <c r="C1405" s="1" t="n">
        <v>45628</v>
      </c>
      <c r="D1405" t="inlineStr">
        <is>
          <t>VÄRMLANDS LÄN</t>
        </is>
      </c>
      <c r="E1405" t="inlineStr">
        <is>
          <t>ÅRJÄNG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15828-2024</t>
        </is>
      </c>
      <c r="B1406" s="1" t="n">
        <v>45404</v>
      </c>
      <c r="C1406" s="1" t="n">
        <v>45628</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16012-2024</t>
        </is>
      </c>
      <c r="B1407" s="1" t="n">
        <v>45405</v>
      </c>
      <c r="C1407" s="1" t="n">
        <v>45628</v>
      </c>
      <c r="D1407" t="inlineStr">
        <is>
          <t>VÄRMLANDS LÄN</t>
        </is>
      </c>
      <c r="E1407" t="inlineStr">
        <is>
          <t>ÅRJÄNG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16010-2024</t>
        </is>
      </c>
      <c r="B1408" s="1" t="n">
        <v>45405</v>
      </c>
      <c r="C1408" s="1" t="n">
        <v>45628</v>
      </c>
      <c r="D1408" t="inlineStr">
        <is>
          <t>VÄRMLANDS LÄN</t>
        </is>
      </c>
      <c r="E1408" t="inlineStr">
        <is>
          <t>ÅRJÄNG</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16079-2024</t>
        </is>
      </c>
      <c r="B1409" s="1" t="n">
        <v>45406</v>
      </c>
      <c r="C1409" s="1" t="n">
        <v>45628</v>
      </c>
      <c r="D1409" t="inlineStr">
        <is>
          <t>VÄRMLANDS LÄN</t>
        </is>
      </c>
      <c r="E1409" t="inlineStr">
        <is>
          <t>ÅRJÄNG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16332-2024</t>
        </is>
      </c>
      <c r="B1410" s="1" t="n">
        <v>45407</v>
      </c>
      <c r="C1410" s="1" t="n">
        <v>45628</v>
      </c>
      <c r="D1410" t="inlineStr">
        <is>
          <t>VÄRMLANDS LÄN</t>
        </is>
      </c>
      <c r="E1410" t="inlineStr">
        <is>
          <t>ÅRJÄNG</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16485-2024</t>
        </is>
      </c>
      <c r="B1411" s="1" t="n">
        <v>45408</v>
      </c>
      <c r="C1411" s="1" t="n">
        <v>45628</v>
      </c>
      <c r="D1411" t="inlineStr">
        <is>
          <t>VÄRMLANDS LÄN</t>
        </is>
      </c>
      <c r="E1411" t="inlineStr">
        <is>
          <t>ÅRJÄNG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16569-2024</t>
        </is>
      </c>
      <c r="B1412" s="1" t="n">
        <v>45408</v>
      </c>
      <c r="C1412" s="1" t="n">
        <v>45628</v>
      </c>
      <c r="D1412" t="inlineStr">
        <is>
          <t>VÄRMLANDS LÄN</t>
        </is>
      </c>
      <c r="E1412" t="inlineStr">
        <is>
          <t>ÅRJÄNG</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16562-2024</t>
        </is>
      </c>
      <c r="B1413" s="1" t="n">
        <v>45408</v>
      </c>
      <c r="C1413" s="1" t="n">
        <v>45628</v>
      </c>
      <c r="D1413" t="inlineStr">
        <is>
          <t>VÄRMLANDS LÄN</t>
        </is>
      </c>
      <c r="E1413" t="inlineStr">
        <is>
          <t>ÅRJÄNG</t>
        </is>
      </c>
      <c r="F1413" t="inlineStr">
        <is>
          <t>Bergvik skog väst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16806-2024</t>
        </is>
      </c>
      <c r="B1414" s="1" t="n">
        <v>45411</v>
      </c>
      <c r="C1414" s="1" t="n">
        <v>45628</v>
      </c>
      <c r="D1414" t="inlineStr">
        <is>
          <t>VÄRMLANDS LÄN</t>
        </is>
      </c>
      <c r="E1414" t="inlineStr">
        <is>
          <t>ÅRJÄNG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17744-2024</t>
        </is>
      </c>
      <c r="B1415" s="1" t="n">
        <v>45418</v>
      </c>
      <c r="C1415" s="1" t="n">
        <v>45628</v>
      </c>
      <c r="D1415" t="inlineStr">
        <is>
          <t>VÄRMLANDS LÄN</t>
        </is>
      </c>
      <c r="E1415" t="inlineStr">
        <is>
          <t>ÅRJÄNG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17878-2024</t>
        </is>
      </c>
      <c r="B1416" s="1" t="n">
        <v>45419</v>
      </c>
      <c r="C1416" s="1" t="n">
        <v>45628</v>
      </c>
      <c r="D1416" t="inlineStr">
        <is>
          <t>VÄRMLANDS LÄN</t>
        </is>
      </c>
      <c r="E1416" t="inlineStr">
        <is>
          <t>ÅRJÄNG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17993-2024</t>
        </is>
      </c>
      <c r="B1417" s="1" t="n">
        <v>45420</v>
      </c>
      <c r="C1417" s="1" t="n">
        <v>45628</v>
      </c>
      <c r="D1417" t="inlineStr">
        <is>
          <t>VÄRMLANDS LÄN</t>
        </is>
      </c>
      <c r="E1417" t="inlineStr">
        <is>
          <t>ÅRJÄNG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18105-2024</t>
        </is>
      </c>
      <c r="B1418" s="1" t="n">
        <v>45420</v>
      </c>
      <c r="C1418" s="1" t="n">
        <v>45628</v>
      </c>
      <c r="D1418" t="inlineStr">
        <is>
          <t>VÄRMLANDS LÄN</t>
        </is>
      </c>
      <c r="E1418" t="inlineStr">
        <is>
          <t>ÅRJÄNG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18212-2024</t>
        </is>
      </c>
      <c r="B1419" s="1" t="n">
        <v>45420</v>
      </c>
      <c r="C1419" s="1" t="n">
        <v>45628</v>
      </c>
      <c r="D1419" t="inlineStr">
        <is>
          <t>VÄRMLANDS LÄN</t>
        </is>
      </c>
      <c r="E1419" t="inlineStr">
        <is>
          <t>ÅRJÄNG</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18241-2024</t>
        </is>
      </c>
      <c r="B1420" s="1" t="n">
        <v>45420</v>
      </c>
      <c r="C1420" s="1" t="n">
        <v>45628</v>
      </c>
      <c r="D1420" t="inlineStr">
        <is>
          <t>VÄRMLANDS LÄN</t>
        </is>
      </c>
      <c r="E1420" t="inlineStr">
        <is>
          <t>ÅRJÄNG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18253-2024</t>
        </is>
      </c>
      <c r="B1421" s="1" t="n">
        <v>45421</v>
      </c>
      <c r="C1421" s="1" t="n">
        <v>45628</v>
      </c>
      <c r="D1421" t="inlineStr">
        <is>
          <t>VÄRMLANDS LÄN</t>
        </is>
      </c>
      <c r="E1421" t="inlineStr">
        <is>
          <t>ÅRJÄNG</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18257-2024</t>
        </is>
      </c>
      <c r="B1422" s="1" t="n">
        <v>45421</v>
      </c>
      <c r="C1422" s="1" t="n">
        <v>45628</v>
      </c>
      <c r="D1422" t="inlineStr">
        <is>
          <t>VÄRMLANDS LÄN</t>
        </is>
      </c>
      <c r="E1422" t="inlineStr">
        <is>
          <t>ÅRJÄNG</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18256-2024</t>
        </is>
      </c>
      <c r="B1423" s="1" t="n">
        <v>45421</v>
      </c>
      <c r="C1423" s="1" t="n">
        <v>45628</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18467-2024</t>
        </is>
      </c>
      <c r="B1424" s="1" t="n">
        <v>45425</v>
      </c>
      <c r="C1424" s="1" t="n">
        <v>45628</v>
      </c>
      <c r="D1424" t="inlineStr">
        <is>
          <t>VÄRMLANDS LÄN</t>
        </is>
      </c>
      <c r="E1424" t="inlineStr">
        <is>
          <t>ÅRJÄNG</t>
        </is>
      </c>
      <c r="G1424" t="n">
        <v>12.8</v>
      </c>
      <c r="H1424" t="n">
        <v>0</v>
      </c>
      <c r="I1424" t="n">
        <v>0</v>
      </c>
      <c r="J1424" t="n">
        <v>0</v>
      </c>
      <c r="K1424" t="n">
        <v>0</v>
      </c>
      <c r="L1424" t="n">
        <v>0</v>
      </c>
      <c r="M1424" t="n">
        <v>0</v>
      </c>
      <c r="N1424" t="n">
        <v>0</v>
      </c>
      <c r="O1424" t="n">
        <v>0</v>
      </c>
      <c r="P1424" t="n">
        <v>0</v>
      </c>
      <c r="Q1424" t="n">
        <v>0</v>
      </c>
      <c r="R1424" s="2" t="inlineStr"/>
    </row>
    <row r="1425" ht="15" customHeight="1">
      <c r="A1425" t="inlineStr">
        <is>
          <t>A 18834-2024</t>
        </is>
      </c>
      <c r="B1425" s="1" t="n">
        <v>45426</v>
      </c>
      <c r="C1425" s="1" t="n">
        <v>45628</v>
      </c>
      <c r="D1425" t="inlineStr">
        <is>
          <t>VÄRMLANDS LÄN</t>
        </is>
      </c>
      <c r="E1425" t="inlineStr">
        <is>
          <t>ÅRJÄNG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19246-2024</t>
        </is>
      </c>
      <c r="B1426" s="1" t="n">
        <v>45428</v>
      </c>
      <c r="C1426" s="1" t="n">
        <v>45628</v>
      </c>
      <c r="D1426" t="inlineStr">
        <is>
          <t>VÄRMLANDS LÄN</t>
        </is>
      </c>
      <c r="E1426" t="inlineStr">
        <is>
          <t>ÅRJÄNG</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19245-2024</t>
        </is>
      </c>
      <c r="B1427" s="1" t="n">
        <v>45428</v>
      </c>
      <c r="C1427" s="1" t="n">
        <v>45628</v>
      </c>
      <c r="D1427" t="inlineStr">
        <is>
          <t>VÄRMLANDS LÄN</t>
        </is>
      </c>
      <c r="E1427" t="inlineStr">
        <is>
          <t>ÅRJÄNG</t>
        </is>
      </c>
      <c r="F1427" t="inlineStr">
        <is>
          <t>Bergvik skog väst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19410-2024</t>
        </is>
      </c>
      <c r="B1428" s="1" t="n">
        <v>45429</v>
      </c>
      <c r="C1428" s="1" t="n">
        <v>45628</v>
      </c>
      <c r="D1428" t="inlineStr">
        <is>
          <t>VÄRMLANDS LÄN</t>
        </is>
      </c>
      <c r="E1428" t="inlineStr">
        <is>
          <t>ÅRJÄNG</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19516-2024</t>
        </is>
      </c>
      <c r="B1429" s="1" t="n">
        <v>45429</v>
      </c>
      <c r="C1429" s="1" t="n">
        <v>45628</v>
      </c>
      <c r="D1429" t="inlineStr">
        <is>
          <t>VÄRMLANDS LÄN</t>
        </is>
      </c>
      <c r="E1429" t="inlineStr">
        <is>
          <t>ÅRJÄNG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19511-2024</t>
        </is>
      </c>
      <c r="B1430" s="1" t="n">
        <v>45429</v>
      </c>
      <c r="C1430" s="1" t="n">
        <v>45628</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19859-2024</t>
        </is>
      </c>
      <c r="B1431" s="1" t="n">
        <v>45433</v>
      </c>
      <c r="C1431" s="1" t="n">
        <v>45628</v>
      </c>
      <c r="D1431" t="inlineStr">
        <is>
          <t>VÄRMLANDS LÄN</t>
        </is>
      </c>
      <c r="E1431" t="inlineStr">
        <is>
          <t>ÅRJÄNG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19885-2024</t>
        </is>
      </c>
      <c r="B1432" s="1" t="n">
        <v>45433</v>
      </c>
      <c r="C1432" s="1" t="n">
        <v>45628</v>
      </c>
      <c r="D1432" t="inlineStr">
        <is>
          <t>VÄRMLANDS LÄN</t>
        </is>
      </c>
      <c r="E1432" t="inlineStr">
        <is>
          <t>ÅRJÄNG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19882-2024</t>
        </is>
      </c>
      <c r="B1433" s="1" t="n">
        <v>45433</v>
      </c>
      <c r="C1433" s="1" t="n">
        <v>45628</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19886-2024</t>
        </is>
      </c>
      <c r="B1434" s="1" t="n">
        <v>45433</v>
      </c>
      <c r="C1434" s="1" t="n">
        <v>45628</v>
      </c>
      <c r="D1434" t="inlineStr">
        <is>
          <t>VÄRMLANDS LÄN</t>
        </is>
      </c>
      <c r="E1434" t="inlineStr">
        <is>
          <t>ÅRJÄNG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19901-2024</t>
        </is>
      </c>
      <c r="B1435" s="1" t="n">
        <v>45433</v>
      </c>
      <c r="C1435" s="1" t="n">
        <v>45628</v>
      </c>
      <c r="D1435" t="inlineStr">
        <is>
          <t>VÄRMLANDS LÄN</t>
        </is>
      </c>
      <c r="E1435" t="inlineStr">
        <is>
          <t>ÅRJÄNG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19920-2024</t>
        </is>
      </c>
      <c r="B1436" s="1" t="n">
        <v>45433</v>
      </c>
      <c r="C1436" s="1" t="n">
        <v>45628</v>
      </c>
      <c r="D1436" t="inlineStr">
        <is>
          <t>VÄRMLANDS LÄN</t>
        </is>
      </c>
      <c r="E1436" t="inlineStr">
        <is>
          <t>ÅRJÄNG</t>
        </is>
      </c>
      <c r="F1436" t="inlineStr">
        <is>
          <t>Bergvik skog väst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20463-2024</t>
        </is>
      </c>
      <c r="B1437" s="1" t="n">
        <v>45435</v>
      </c>
      <c r="C1437" s="1" t="n">
        <v>45628</v>
      </c>
      <c r="D1437" t="inlineStr">
        <is>
          <t>VÄRMLANDS LÄN</t>
        </is>
      </c>
      <c r="E1437" t="inlineStr">
        <is>
          <t>ÅRJÄNG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20963-2024</t>
        </is>
      </c>
      <c r="B1438" s="1" t="n">
        <v>45439</v>
      </c>
      <c r="C1438" s="1" t="n">
        <v>45628</v>
      </c>
      <c r="D1438" t="inlineStr">
        <is>
          <t>VÄRMLANDS LÄN</t>
        </is>
      </c>
      <c r="E1438" t="inlineStr">
        <is>
          <t>ÅRJÄNG</t>
        </is>
      </c>
      <c r="F1438" t="inlineStr">
        <is>
          <t>Bergvik skog väst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20965-2024</t>
        </is>
      </c>
      <c r="B1439" s="1" t="n">
        <v>45439</v>
      </c>
      <c r="C1439" s="1" t="n">
        <v>45628</v>
      </c>
      <c r="D1439" t="inlineStr">
        <is>
          <t>VÄRMLANDS LÄN</t>
        </is>
      </c>
      <c r="E1439" t="inlineStr">
        <is>
          <t>ÅRJÄNG</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20972-2024</t>
        </is>
      </c>
      <c r="B1440" s="1" t="n">
        <v>45439</v>
      </c>
      <c r="C1440" s="1" t="n">
        <v>45628</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21155-2024</t>
        </is>
      </c>
      <c r="B1441" s="1" t="n">
        <v>45440</v>
      </c>
      <c r="C1441" s="1" t="n">
        <v>45628</v>
      </c>
      <c r="D1441" t="inlineStr">
        <is>
          <t>VÄRMLANDS LÄN</t>
        </is>
      </c>
      <c r="E1441" t="inlineStr">
        <is>
          <t>ÅRJÄNG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21519-2024</t>
        </is>
      </c>
      <c r="B1442" s="1" t="n">
        <v>45441</v>
      </c>
      <c r="C1442" s="1" t="n">
        <v>45628</v>
      </c>
      <c r="D1442" t="inlineStr">
        <is>
          <t>VÄRMLANDS LÄN</t>
        </is>
      </c>
      <c r="E1442" t="inlineStr">
        <is>
          <t>ÅRJÄNG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21513-2024</t>
        </is>
      </c>
      <c r="B1443" s="1" t="n">
        <v>45441</v>
      </c>
      <c r="C1443" s="1" t="n">
        <v>45628</v>
      </c>
      <c r="D1443" t="inlineStr">
        <is>
          <t>VÄRMLANDS LÄN</t>
        </is>
      </c>
      <c r="E1443" t="inlineStr">
        <is>
          <t>ÅRJÄNG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21439-2024</t>
        </is>
      </c>
      <c r="B1444" s="1" t="n">
        <v>45441</v>
      </c>
      <c r="C1444" s="1" t="n">
        <v>45628</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21706-2024</t>
        </is>
      </c>
      <c r="B1445" s="1" t="n">
        <v>45442</v>
      </c>
      <c r="C1445" s="1" t="n">
        <v>45628</v>
      </c>
      <c r="D1445" t="inlineStr">
        <is>
          <t>VÄRMLANDS LÄN</t>
        </is>
      </c>
      <c r="E1445" t="inlineStr">
        <is>
          <t>ÅRJÄNG</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22085-2024</t>
        </is>
      </c>
      <c r="B1446" s="1" t="n">
        <v>45443</v>
      </c>
      <c r="C1446" s="1" t="n">
        <v>45628</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22156-2024</t>
        </is>
      </c>
      <c r="B1447" s="1" t="n">
        <v>45445</v>
      </c>
      <c r="C1447" s="1" t="n">
        <v>45628</v>
      </c>
      <c r="D1447" t="inlineStr">
        <is>
          <t>VÄRMLANDS LÄN</t>
        </is>
      </c>
      <c r="E1447" t="inlineStr">
        <is>
          <t>ÅRJÄNG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22274-2024</t>
        </is>
      </c>
      <c r="B1448" s="1" t="n">
        <v>45446</v>
      </c>
      <c r="C1448" s="1" t="n">
        <v>45628</v>
      </c>
      <c r="D1448" t="inlineStr">
        <is>
          <t>VÄRMLANDS LÄN</t>
        </is>
      </c>
      <c r="E1448" t="inlineStr">
        <is>
          <t>ÅRJÄNG</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22894-2024</t>
        </is>
      </c>
      <c r="B1449" s="1" t="n">
        <v>45448</v>
      </c>
      <c r="C1449" s="1" t="n">
        <v>45628</v>
      </c>
      <c r="D1449" t="inlineStr">
        <is>
          <t>VÄRMLANDS LÄN</t>
        </is>
      </c>
      <c r="E1449" t="inlineStr">
        <is>
          <t>ÅRJÄNG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22898-2024</t>
        </is>
      </c>
      <c r="B1450" s="1" t="n">
        <v>45448</v>
      </c>
      <c r="C1450" s="1" t="n">
        <v>45628</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23054-2024</t>
        </is>
      </c>
      <c r="B1451" s="1" t="n">
        <v>45450</v>
      </c>
      <c r="C1451" s="1" t="n">
        <v>45628</v>
      </c>
      <c r="D1451" t="inlineStr">
        <is>
          <t>VÄRMLANDS LÄN</t>
        </is>
      </c>
      <c r="E1451" t="inlineStr">
        <is>
          <t>ÅRJÄNG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23051-2024</t>
        </is>
      </c>
      <c r="B1452" s="1" t="n">
        <v>45450</v>
      </c>
      <c r="C1452" s="1" t="n">
        <v>45628</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23048-2024</t>
        </is>
      </c>
      <c r="B1453" s="1" t="n">
        <v>45450</v>
      </c>
      <c r="C1453" s="1" t="n">
        <v>45628</v>
      </c>
      <c r="D1453" t="inlineStr">
        <is>
          <t>VÄRMLANDS LÄN</t>
        </is>
      </c>
      <c r="E1453" t="inlineStr">
        <is>
          <t>ÅRJÄNG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23155-2024</t>
        </is>
      </c>
      <c r="B1454" s="1" t="n">
        <v>45450</v>
      </c>
      <c r="C1454" s="1" t="n">
        <v>45628</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23690-2024</t>
        </is>
      </c>
      <c r="B1455" s="1" t="n">
        <v>45454</v>
      </c>
      <c r="C1455" s="1" t="n">
        <v>45628</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23688-2024</t>
        </is>
      </c>
      <c r="B1456" s="1" t="n">
        <v>45454</v>
      </c>
      <c r="C1456" s="1" t="n">
        <v>45628</v>
      </c>
      <c r="D1456" t="inlineStr">
        <is>
          <t>VÄRMLANDS LÄN</t>
        </is>
      </c>
      <c r="E1456" t="inlineStr">
        <is>
          <t>ÅRJÄNG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23709-2024</t>
        </is>
      </c>
      <c r="B1457" s="1" t="n">
        <v>45454</v>
      </c>
      <c r="C1457" s="1" t="n">
        <v>45628</v>
      </c>
      <c r="D1457" t="inlineStr">
        <is>
          <t>VÄRMLANDS LÄN</t>
        </is>
      </c>
      <c r="E1457" t="inlineStr">
        <is>
          <t>ÅRJÄNG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23814-2024</t>
        </is>
      </c>
      <c r="B1458" s="1" t="n">
        <v>45455</v>
      </c>
      <c r="C1458" s="1" t="n">
        <v>45628</v>
      </c>
      <c r="D1458" t="inlineStr">
        <is>
          <t>VÄRMLANDS LÄN</t>
        </is>
      </c>
      <c r="E1458" t="inlineStr">
        <is>
          <t>ÅRJÄNG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23811-2024</t>
        </is>
      </c>
      <c r="B1459" s="1" t="n">
        <v>45455</v>
      </c>
      <c r="C1459" s="1" t="n">
        <v>45628</v>
      </c>
      <c r="D1459" t="inlineStr">
        <is>
          <t>VÄRMLANDS LÄN</t>
        </is>
      </c>
      <c r="E1459" t="inlineStr">
        <is>
          <t>ÅRJÄNG</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23754-2024</t>
        </is>
      </c>
      <c r="B1460" s="1" t="n">
        <v>45455</v>
      </c>
      <c r="C1460" s="1" t="n">
        <v>45628</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24342-2024</t>
        </is>
      </c>
      <c r="B1461" s="1" t="n">
        <v>45457</v>
      </c>
      <c r="C1461" s="1" t="n">
        <v>45628</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24216-2024</t>
        </is>
      </c>
      <c r="B1462" s="1" t="n">
        <v>45457</v>
      </c>
      <c r="C1462" s="1" t="n">
        <v>45628</v>
      </c>
      <c r="D1462" t="inlineStr">
        <is>
          <t>VÄRMLANDS LÄN</t>
        </is>
      </c>
      <c r="E1462" t="inlineStr">
        <is>
          <t>ÅRJÄNG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24390-2024</t>
        </is>
      </c>
      <c r="B1463" s="1" t="n">
        <v>45457</v>
      </c>
      <c r="C1463" s="1" t="n">
        <v>45628</v>
      </c>
      <c r="D1463" t="inlineStr">
        <is>
          <t>VÄRMLANDS LÄN</t>
        </is>
      </c>
      <c r="E1463" t="inlineStr">
        <is>
          <t>ÅRJÄNG</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24281-2024</t>
        </is>
      </c>
      <c r="B1464" s="1" t="n">
        <v>45457</v>
      </c>
      <c r="C1464" s="1" t="n">
        <v>45628</v>
      </c>
      <c r="D1464" t="inlineStr">
        <is>
          <t>VÄRMLANDS LÄN</t>
        </is>
      </c>
      <c r="E1464" t="inlineStr">
        <is>
          <t>ÅRJÄNG</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24339-2024</t>
        </is>
      </c>
      <c r="B1465" s="1" t="n">
        <v>45457</v>
      </c>
      <c r="C1465" s="1" t="n">
        <v>45628</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24483-2024</t>
        </is>
      </c>
      <c r="B1466" s="1" t="n">
        <v>45459</v>
      </c>
      <c r="C1466" s="1" t="n">
        <v>45628</v>
      </c>
      <c r="D1466" t="inlineStr">
        <is>
          <t>VÄRMLANDS LÄN</t>
        </is>
      </c>
      <c r="E1466" t="inlineStr">
        <is>
          <t>ÅRJÄNG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24789-2024</t>
        </is>
      </c>
      <c r="B1467" s="1" t="n">
        <v>45460</v>
      </c>
      <c r="C1467" s="1" t="n">
        <v>45628</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24893-2024</t>
        </is>
      </c>
      <c r="B1468" s="1" t="n">
        <v>45461</v>
      </c>
      <c r="C1468" s="1" t="n">
        <v>45628</v>
      </c>
      <c r="D1468" t="inlineStr">
        <is>
          <t>VÄRMLANDS LÄN</t>
        </is>
      </c>
      <c r="E1468" t="inlineStr">
        <is>
          <t>ÅRJÄNG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24916-2024</t>
        </is>
      </c>
      <c r="B1469" s="1" t="n">
        <v>45461</v>
      </c>
      <c r="C1469" s="1" t="n">
        <v>45628</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24896-2024</t>
        </is>
      </c>
      <c r="B1470" s="1" t="n">
        <v>45461</v>
      </c>
      <c r="C1470" s="1" t="n">
        <v>45628</v>
      </c>
      <c r="D1470" t="inlineStr">
        <is>
          <t>VÄRMLANDS LÄN</t>
        </is>
      </c>
      <c r="E1470" t="inlineStr">
        <is>
          <t>ÅRJÄNG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24876-2024</t>
        </is>
      </c>
      <c r="B1471" s="1" t="n">
        <v>45461</v>
      </c>
      <c r="C1471" s="1" t="n">
        <v>45628</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25141-2024</t>
        </is>
      </c>
      <c r="B1472" s="1" t="n">
        <v>45462</v>
      </c>
      <c r="C1472" s="1" t="n">
        <v>45628</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25659-2024</t>
        </is>
      </c>
      <c r="B1473" s="1" t="n">
        <v>45463</v>
      </c>
      <c r="C1473" s="1" t="n">
        <v>45628</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25654-2024</t>
        </is>
      </c>
      <c r="B1474" s="1" t="n">
        <v>45463</v>
      </c>
      <c r="C1474" s="1" t="n">
        <v>45628</v>
      </c>
      <c r="D1474" t="inlineStr">
        <is>
          <t>VÄRMLANDS LÄN</t>
        </is>
      </c>
      <c r="E1474" t="inlineStr">
        <is>
          <t>ÅRJÄNG</t>
        </is>
      </c>
      <c r="G1474" t="n">
        <v>16.9</v>
      </c>
      <c r="H1474" t="n">
        <v>0</v>
      </c>
      <c r="I1474" t="n">
        <v>0</v>
      </c>
      <c r="J1474" t="n">
        <v>0</v>
      </c>
      <c r="K1474" t="n">
        <v>0</v>
      </c>
      <c r="L1474" t="n">
        <v>0</v>
      </c>
      <c r="M1474" t="n">
        <v>0</v>
      </c>
      <c r="N1474" t="n">
        <v>0</v>
      </c>
      <c r="O1474" t="n">
        <v>0</v>
      </c>
      <c r="P1474" t="n">
        <v>0</v>
      </c>
      <c r="Q1474" t="n">
        <v>0</v>
      </c>
      <c r="R1474" s="2" t="inlineStr"/>
    </row>
    <row r="1475" ht="15" customHeight="1">
      <c r="A1475" t="inlineStr">
        <is>
          <t>A 25495-2024</t>
        </is>
      </c>
      <c r="B1475" s="1" t="n">
        <v>45463</v>
      </c>
      <c r="C1475" s="1" t="n">
        <v>45628</v>
      </c>
      <c r="D1475" t="inlineStr">
        <is>
          <t>VÄRMLANDS LÄN</t>
        </is>
      </c>
      <c r="E1475" t="inlineStr">
        <is>
          <t>ÅRJÄNG</t>
        </is>
      </c>
      <c r="F1475" t="inlineStr">
        <is>
          <t>Kyrkan</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26259-2024</t>
        </is>
      </c>
      <c r="B1476" s="1" t="n">
        <v>45468</v>
      </c>
      <c r="C1476" s="1" t="n">
        <v>45628</v>
      </c>
      <c r="D1476" t="inlineStr">
        <is>
          <t>VÄRMLANDS LÄN</t>
        </is>
      </c>
      <c r="E1476" t="inlineStr">
        <is>
          <t>ÅRJÄNG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26265-2024</t>
        </is>
      </c>
      <c r="B1477" s="1" t="n">
        <v>45468</v>
      </c>
      <c r="C1477" s="1" t="n">
        <v>45628</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26866-2024</t>
        </is>
      </c>
      <c r="B1478" s="1" t="n">
        <v>45470</v>
      </c>
      <c r="C1478" s="1" t="n">
        <v>45628</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26783-2024</t>
        </is>
      </c>
      <c r="B1479" s="1" t="n">
        <v>45470</v>
      </c>
      <c r="C1479" s="1" t="n">
        <v>45628</v>
      </c>
      <c r="D1479" t="inlineStr">
        <is>
          <t>VÄRMLANDS LÄN</t>
        </is>
      </c>
      <c r="E1479" t="inlineStr">
        <is>
          <t>ÅRJÄNG</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26865-2024</t>
        </is>
      </c>
      <c r="B1480" s="1" t="n">
        <v>45470</v>
      </c>
      <c r="C1480" s="1" t="n">
        <v>45628</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26833-2024</t>
        </is>
      </c>
      <c r="B1481" s="1" t="n">
        <v>45470</v>
      </c>
      <c r="C1481" s="1" t="n">
        <v>45628</v>
      </c>
      <c r="D1481" t="inlineStr">
        <is>
          <t>VÄRMLANDS LÄN</t>
        </is>
      </c>
      <c r="E1481" t="inlineStr">
        <is>
          <t>ÅRJÄNG</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26986-2024</t>
        </is>
      </c>
      <c r="B1482" s="1" t="n">
        <v>45471</v>
      </c>
      <c r="C1482" s="1" t="n">
        <v>45628</v>
      </c>
      <c r="D1482" t="inlineStr">
        <is>
          <t>VÄRMLANDS LÄN</t>
        </is>
      </c>
      <c r="E1482" t="inlineStr">
        <is>
          <t>ÅRJÄNG</t>
        </is>
      </c>
      <c r="F1482" t="inlineStr">
        <is>
          <t>Kyrkan</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27174-2024</t>
        </is>
      </c>
      <c r="B1483" s="1" t="n">
        <v>45471</v>
      </c>
      <c r="C1483" s="1" t="n">
        <v>45628</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27138-2024</t>
        </is>
      </c>
      <c r="B1484" s="1" t="n">
        <v>45471</v>
      </c>
      <c r="C1484" s="1" t="n">
        <v>45628</v>
      </c>
      <c r="D1484" t="inlineStr">
        <is>
          <t>VÄRMLANDS LÄN</t>
        </is>
      </c>
      <c r="E1484" t="inlineStr">
        <is>
          <t>ÅRJÄNG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27155-2024</t>
        </is>
      </c>
      <c r="B1485" s="1" t="n">
        <v>45471</v>
      </c>
      <c r="C1485" s="1" t="n">
        <v>45628</v>
      </c>
      <c r="D1485" t="inlineStr">
        <is>
          <t>VÄRMLANDS LÄN</t>
        </is>
      </c>
      <c r="E1485" t="inlineStr">
        <is>
          <t>ÅRJÄNG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27180-2024</t>
        </is>
      </c>
      <c r="B1486" s="1" t="n">
        <v>45471</v>
      </c>
      <c r="C1486" s="1" t="n">
        <v>45628</v>
      </c>
      <c r="D1486" t="inlineStr">
        <is>
          <t>VÄRMLANDS LÄN</t>
        </is>
      </c>
      <c r="E1486" t="inlineStr">
        <is>
          <t>ÅRJÄNG</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27184-2024</t>
        </is>
      </c>
      <c r="B1487" s="1" t="n">
        <v>45471</v>
      </c>
      <c r="C1487" s="1" t="n">
        <v>45628</v>
      </c>
      <c r="D1487" t="inlineStr">
        <is>
          <t>VÄRMLANDS LÄN</t>
        </is>
      </c>
      <c r="E1487" t="inlineStr">
        <is>
          <t>ÅRJÄNG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27136-2024</t>
        </is>
      </c>
      <c r="B1488" s="1" t="n">
        <v>45471</v>
      </c>
      <c r="C1488" s="1" t="n">
        <v>45628</v>
      </c>
      <c r="D1488" t="inlineStr">
        <is>
          <t>VÄRMLANDS LÄN</t>
        </is>
      </c>
      <c r="E1488" t="inlineStr">
        <is>
          <t>ÅRJÄNG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27692-2024</t>
        </is>
      </c>
      <c r="B1489" s="1" t="n">
        <v>45474</v>
      </c>
      <c r="C1489" s="1" t="n">
        <v>45628</v>
      </c>
      <c r="D1489" t="inlineStr">
        <is>
          <t>VÄRMLANDS LÄN</t>
        </is>
      </c>
      <c r="E1489" t="inlineStr">
        <is>
          <t>ÅRJÄNG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27686-2024</t>
        </is>
      </c>
      <c r="B1490" s="1" t="n">
        <v>45474</v>
      </c>
      <c r="C1490" s="1" t="n">
        <v>45628</v>
      </c>
      <c r="D1490" t="inlineStr">
        <is>
          <t>VÄRMLANDS LÄN</t>
        </is>
      </c>
      <c r="E1490" t="inlineStr">
        <is>
          <t>ÅRJÄNG</t>
        </is>
      </c>
      <c r="F1490" t="inlineStr">
        <is>
          <t>Övriga Aktiebolag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27754-2024</t>
        </is>
      </c>
      <c r="B1491" s="1" t="n">
        <v>45475</v>
      </c>
      <c r="C1491" s="1" t="n">
        <v>45628</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27697-2024</t>
        </is>
      </c>
      <c r="B1492" s="1" t="n">
        <v>45475</v>
      </c>
      <c r="C1492" s="1" t="n">
        <v>45628</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28263-2024</t>
        </is>
      </c>
      <c r="B1493" s="1" t="n">
        <v>45477</v>
      </c>
      <c r="C1493" s="1" t="n">
        <v>45628</v>
      </c>
      <c r="D1493" t="inlineStr">
        <is>
          <t>VÄRMLANDS LÄN</t>
        </is>
      </c>
      <c r="E1493" t="inlineStr">
        <is>
          <t>ÅRJÄNG</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28260-2024</t>
        </is>
      </c>
      <c r="B1494" s="1" t="n">
        <v>45477</v>
      </c>
      <c r="C1494" s="1" t="n">
        <v>45628</v>
      </c>
      <c r="D1494" t="inlineStr">
        <is>
          <t>VÄRMLANDS LÄN</t>
        </is>
      </c>
      <c r="E1494" t="inlineStr">
        <is>
          <t>ÅRJÄNG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28709-2024</t>
        </is>
      </c>
      <c r="B1495" s="1" t="n">
        <v>45478</v>
      </c>
      <c r="C1495" s="1" t="n">
        <v>45628</v>
      </c>
      <c r="D1495" t="inlineStr">
        <is>
          <t>VÄRMLANDS LÄN</t>
        </is>
      </c>
      <c r="E1495" t="inlineStr">
        <is>
          <t>ÅRJÄNG</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28733-2024</t>
        </is>
      </c>
      <c r="B1496" s="1" t="n">
        <v>45478</v>
      </c>
      <c r="C1496" s="1" t="n">
        <v>45628</v>
      </c>
      <c r="D1496" t="inlineStr">
        <is>
          <t>VÄRMLANDS LÄN</t>
        </is>
      </c>
      <c r="E1496" t="inlineStr">
        <is>
          <t>ÅRJÄNG</t>
        </is>
      </c>
      <c r="F1496" t="inlineStr">
        <is>
          <t>Bergvik skog väst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29415-2024</t>
        </is>
      </c>
      <c r="B1497" s="1" t="n">
        <v>45483</v>
      </c>
      <c r="C1497" s="1" t="n">
        <v>45628</v>
      </c>
      <c r="D1497" t="inlineStr">
        <is>
          <t>VÄRMLANDS LÄN</t>
        </is>
      </c>
      <c r="E1497" t="inlineStr">
        <is>
          <t>ÅRJÄNG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29481-2024</t>
        </is>
      </c>
      <c r="B1498" s="1" t="n">
        <v>45484</v>
      </c>
      <c r="C1498" s="1" t="n">
        <v>45628</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29601-2024</t>
        </is>
      </c>
      <c r="B1499" s="1" t="n">
        <v>45484</v>
      </c>
      <c r="C1499" s="1" t="n">
        <v>45628</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45628</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29603-2024</t>
        </is>
      </c>
      <c r="B1501" s="1" t="n">
        <v>45484</v>
      </c>
      <c r="C1501" s="1" t="n">
        <v>45628</v>
      </c>
      <c r="D1501" t="inlineStr">
        <is>
          <t>VÄRMLANDS LÄN</t>
        </is>
      </c>
      <c r="E1501" t="inlineStr">
        <is>
          <t>ÅRJÄNG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29483-2024</t>
        </is>
      </c>
      <c r="B1502" s="1" t="n">
        <v>45484</v>
      </c>
      <c r="C1502" s="1" t="n">
        <v>45628</v>
      </c>
      <c r="D1502" t="inlineStr">
        <is>
          <t>VÄRMLANDS LÄN</t>
        </is>
      </c>
      <c r="E1502" t="inlineStr">
        <is>
          <t>ÅRJÄNG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29558-2024</t>
        </is>
      </c>
      <c r="B1503" s="1" t="n">
        <v>45484</v>
      </c>
      <c r="C1503" s="1" t="n">
        <v>45628</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29486-2024</t>
        </is>
      </c>
      <c r="B1504" s="1" t="n">
        <v>45484</v>
      </c>
      <c r="C1504" s="1" t="n">
        <v>45628</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30156-2024</t>
        </is>
      </c>
      <c r="B1505" s="1" t="n">
        <v>45489</v>
      </c>
      <c r="C1505" s="1" t="n">
        <v>45628</v>
      </c>
      <c r="D1505" t="inlineStr">
        <is>
          <t>VÄRMLANDS LÄN</t>
        </is>
      </c>
      <c r="E1505" t="inlineStr">
        <is>
          <t>ÅRJÄNG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30960-2024</t>
        </is>
      </c>
      <c r="B1506" s="1" t="n">
        <v>45499</v>
      </c>
      <c r="C1506" s="1" t="n">
        <v>45628</v>
      </c>
      <c r="D1506" t="inlineStr">
        <is>
          <t>VÄRMLANDS LÄN</t>
        </is>
      </c>
      <c r="E1506" t="inlineStr">
        <is>
          <t>ÅRJÄNG</t>
        </is>
      </c>
      <c r="F1506" t="inlineStr">
        <is>
          <t>Kyrkan</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30993-2024</t>
        </is>
      </c>
      <c r="B1507" s="1" t="n">
        <v>45499</v>
      </c>
      <c r="C1507" s="1" t="n">
        <v>45628</v>
      </c>
      <c r="D1507" t="inlineStr">
        <is>
          <t>VÄRMLANDS LÄN</t>
        </is>
      </c>
      <c r="E1507" t="inlineStr">
        <is>
          <t>ÅRJÄNG</t>
        </is>
      </c>
      <c r="F1507" t="inlineStr">
        <is>
          <t>Kyrkan</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30996-2024</t>
        </is>
      </c>
      <c r="B1508" s="1" t="n">
        <v>45499</v>
      </c>
      <c r="C1508" s="1" t="n">
        <v>45628</v>
      </c>
      <c r="D1508" t="inlineStr">
        <is>
          <t>VÄRMLANDS LÄN</t>
        </is>
      </c>
      <c r="E1508" t="inlineStr">
        <is>
          <t>ÅRJÄNG</t>
        </is>
      </c>
      <c r="F1508" t="inlineStr">
        <is>
          <t>Kyrkan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31622-2024</t>
        </is>
      </c>
      <c r="B1509" s="1" t="n">
        <v>45506</v>
      </c>
      <c r="C1509" s="1" t="n">
        <v>45628</v>
      </c>
      <c r="D1509" t="inlineStr">
        <is>
          <t>VÄRMLANDS LÄN</t>
        </is>
      </c>
      <c r="E1509" t="inlineStr">
        <is>
          <t>ÅRJÄNG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31715-2024</t>
        </is>
      </c>
      <c r="B1510" s="1" t="n">
        <v>45507</v>
      </c>
      <c r="C1510" s="1" t="n">
        <v>45628</v>
      </c>
      <c r="D1510" t="inlineStr">
        <is>
          <t>VÄRMLANDS LÄN</t>
        </is>
      </c>
      <c r="E1510" t="inlineStr">
        <is>
          <t>ÅRJÄNG</t>
        </is>
      </c>
      <c r="F1510" t="inlineStr">
        <is>
          <t>Övriga Aktiebolag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32043-2024</t>
        </is>
      </c>
      <c r="B1511" s="1" t="n">
        <v>45510</v>
      </c>
      <c r="C1511" s="1" t="n">
        <v>45628</v>
      </c>
      <c r="D1511" t="inlineStr">
        <is>
          <t>VÄRMLANDS LÄN</t>
        </is>
      </c>
      <c r="E1511" t="inlineStr">
        <is>
          <t>ÅRJÄNG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32095-2024</t>
        </is>
      </c>
      <c r="B1512" s="1" t="n">
        <v>45511</v>
      </c>
      <c r="C1512" s="1" t="n">
        <v>45628</v>
      </c>
      <c r="D1512" t="inlineStr">
        <is>
          <t>VÄRMLANDS LÄN</t>
        </is>
      </c>
      <c r="E1512" t="inlineStr">
        <is>
          <t>ÅRJÄNG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32082-2024</t>
        </is>
      </c>
      <c r="B1513" s="1" t="n">
        <v>45511</v>
      </c>
      <c r="C1513" s="1" t="n">
        <v>45628</v>
      </c>
      <c r="D1513" t="inlineStr">
        <is>
          <t>VÄRMLANDS LÄN</t>
        </is>
      </c>
      <c r="E1513" t="inlineStr">
        <is>
          <t>ÅRJÄNG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32338-2024</t>
        </is>
      </c>
      <c r="B1514" s="1" t="n">
        <v>45512</v>
      </c>
      <c r="C1514" s="1" t="n">
        <v>45628</v>
      </c>
      <c r="D1514" t="inlineStr">
        <is>
          <t>VÄRMLANDS LÄN</t>
        </is>
      </c>
      <c r="E1514" t="inlineStr">
        <is>
          <t>ÅRJÄNG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32550-2024</t>
        </is>
      </c>
      <c r="B1515" s="1" t="n">
        <v>45513</v>
      </c>
      <c r="C1515" s="1" t="n">
        <v>45628</v>
      </c>
      <c r="D1515" t="inlineStr">
        <is>
          <t>VÄRMLANDS LÄN</t>
        </is>
      </c>
      <c r="E1515" t="inlineStr">
        <is>
          <t>ÅRJÄNG</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32776-2024</t>
        </is>
      </c>
      <c r="B1516" s="1" t="n">
        <v>45516</v>
      </c>
      <c r="C1516" s="1" t="n">
        <v>45628</v>
      </c>
      <c r="D1516" t="inlineStr">
        <is>
          <t>VÄRMLANDS LÄN</t>
        </is>
      </c>
      <c r="E1516" t="inlineStr">
        <is>
          <t>ÅRJÄNG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32763-2024</t>
        </is>
      </c>
      <c r="B1517" s="1" t="n">
        <v>45516</v>
      </c>
      <c r="C1517" s="1" t="n">
        <v>45628</v>
      </c>
      <c r="D1517" t="inlineStr">
        <is>
          <t>VÄRMLANDS LÄN</t>
        </is>
      </c>
      <c r="E1517" t="inlineStr">
        <is>
          <t>ÅRJÄNG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32778-2024</t>
        </is>
      </c>
      <c r="B1518" s="1" t="n">
        <v>45516</v>
      </c>
      <c r="C1518" s="1" t="n">
        <v>45628</v>
      </c>
      <c r="D1518" t="inlineStr">
        <is>
          <t>VÄRMLANDS LÄN</t>
        </is>
      </c>
      <c r="E1518" t="inlineStr">
        <is>
          <t>ÅRJÄNG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32773-2024</t>
        </is>
      </c>
      <c r="B1519" s="1" t="n">
        <v>45516</v>
      </c>
      <c r="C1519" s="1" t="n">
        <v>45628</v>
      </c>
      <c r="D1519" t="inlineStr">
        <is>
          <t>VÄRMLANDS LÄN</t>
        </is>
      </c>
      <c r="E1519" t="inlineStr">
        <is>
          <t>ÅRJÄNG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32723-2024</t>
        </is>
      </c>
      <c r="B1520" s="1" t="n">
        <v>45516</v>
      </c>
      <c r="C1520" s="1" t="n">
        <v>45628</v>
      </c>
      <c r="D1520" t="inlineStr">
        <is>
          <t>VÄRMLANDS LÄN</t>
        </is>
      </c>
      <c r="E1520" t="inlineStr">
        <is>
          <t>ÅRJÄNG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32950-2024</t>
        </is>
      </c>
      <c r="B1521" s="1" t="n">
        <v>45517</v>
      </c>
      <c r="C1521" s="1" t="n">
        <v>45628</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34106-2024</t>
        </is>
      </c>
      <c r="B1522" s="1" t="n">
        <v>45523</v>
      </c>
      <c r="C1522" s="1" t="n">
        <v>45628</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34187-2024</t>
        </is>
      </c>
      <c r="B1523" s="1" t="n">
        <v>45524</v>
      </c>
      <c r="C1523" s="1" t="n">
        <v>45628</v>
      </c>
      <c r="D1523" t="inlineStr">
        <is>
          <t>VÄRMLANDS LÄN</t>
        </is>
      </c>
      <c r="E1523" t="inlineStr">
        <is>
          <t>ÅRJÄNG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34177-2024</t>
        </is>
      </c>
      <c r="B1524" s="1" t="n">
        <v>45524</v>
      </c>
      <c r="C1524" s="1" t="n">
        <v>45628</v>
      </c>
      <c r="D1524" t="inlineStr">
        <is>
          <t>VÄRMLANDS LÄN</t>
        </is>
      </c>
      <c r="E1524" t="inlineStr">
        <is>
          <t>ÅRJÄNG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34181-2024</t>
        </is>
      </c>
      <c r="B1525" s="1" t="n">
        <v>45524</v>
      </c>
      <c r="C1525" s="1" t="n">
        <v>45628</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34172-2024</t>
        </is>
      </c>
      <c r="B1526" s="1" t="n">
        <v>45524</v>
      </c>
      <c r="C1526" s="1" t="n">
        <v>45628</v>
      </c>
      <c r="D1526" t="inlineStr">
        <is>
          <t>VÄRMLANDS LÄN</t>
        </is>
      </c>
      <c r="E1526" t="inlineStr">
        <is>
          <t>ÅRJÄNG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34176-2024</t>
        </is>
      </c>
      <c r="B1527" s="1" t="n">
        <v>45524</v>
      </c>
      <c r="C1527" s="1" t="n">
        <v>45628</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34184-2024</t>
        </is>
      </c>
      <c r="B1528" s="1" t="n">
        <v>45524</v>
      </c>
      <c r="C1528" s="1" t="n">
        <v>45628</v>
      </c>
      <c r="D1528" t="inlineStr">
        <is>
          <t>VÄRMLANDS LÄN</t>
        </is>
      </c>
      <c r="E1528" t="inlineStr">
        <is>
          <t>ÅRJÄNG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34174-2024</t>
        </is>
      </c>
      <c r="B1529" s="1" t="n">
        <v>45524</v>
      </c>
      <c r="C1529" s="1" t="n">
        <v>45628</v>
      </c>
      <c r="D1529" t="inlineStr">
        <is>
          <t>VÄRMLANDS LÄN</t>
        </is>
      </c>
      <c r="E1529" t="inlineStr">
        <is>
          <t>ÅRJÄNG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34443-2024</t>
        </is>
      </c>
      <c r="B1530" s="1" t="n">
        <v>45525</v>
      </c>
      <c r="C1530" s="1" t="n">
        <v>45628</v>
      </c>
      <c r="D1530" t="inlineStr">
        <is>
          <t>VÄRMLANDS LÄN</t>
        </is>
      </c>
      <c r="E1530" t="inlineStr">
        <is>
          <t>ÅRJÄNG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34643-2024</t>
        </is>
      </c>
      <c r="B1531" s="1" t="n">
        <v>45526</v>
      </c>
      <c r="C1531" s="1" t="n">
        <v>45628</v>
      </c>
      <c r="D1531" t="inlineStr">
        <is>
          <t>VÄRMLANDS LÄN</t>
        </is>
      </c>
      <c r="E1531" t="inlineStr">
        <is>
          <t>ÅRJÄNG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34633-2024</t>
        </is>
      </c>
      <c r="B1532" s="1" t="n">
        <v>45526</v>
      </c>
      <c r="C1532" s="1" t="n">
        <v>45628</v>
      </c>
      <c r="D1532" t="inlineStr">
        <is>
          <t>VÄRMLANDS LÄN</t>
        </is>
      </c>
      <c r="E1532" t="inlineStr">
        <is>
          <t>ÅRJÄNG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35133-2024</t>
        </is>
      </c>
      <c r="B1533" s="1" t="n">
        <v>45529</v>
      </c>
      <c r="C1533" s="1" t="n">
        <v>45628</v>
      </c>
      <c r="D1533" t="inlineStr">
        <is>
          <t>VÄRMLANDS LÄN</t>
        </is>
      </c>
      <c r="E1533" t="inlineStr">
        <is>
          <t>ÅRJÄNG</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35482-2024</t>
        </is>
      </c>
      <c r="B1534" s="1" t="n">
        <v>45533</v>
      </c>
      <c r="C1534" s="1" t="n">
        <v>45628</v>
      </c>
      <c r="D1534" t="inlineStr">
        <is>
          <t>VÄRMLANDS LÄN</t>
        </is>
      </c>
      <c r="E1534" t="inlineStr">
        <is>
          <t>ÅRJÄNG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36018-2024</t>
        </is>
      </c>
      <c r="B1535" s="1" t="n">
        <v>45533</v>
      </c>
      <c r="C1535" s="1" t="n">
        <v>45628</v>
      </c>
      <c r="D1535" t="inlineStr">
        <is>
          <t>VÄRMLANDS LÄN</t>
        </is>
      </c>
      <c r="E1535" t="inlineStr">
        <is>
          <t>ÅRJÄNG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36035-2024</t>
        </is>
      </c>
      <c r="B1536" s="1" t="n">
        <v>45533</v>
      </c>
      <c r="C1536" s="1" t="n">
        <v>45628</v>
      </c>
      <c r="D1536" t="inlineStr">
        <is>
          <t>VÄRMLANDS LÄN</t>
        </is>
      </c>
      <c r="E1536" t="inlineStr">
        <is>
          <t>ÅRJÄNG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36017-2024</t>
        </is>
      </c>
      <c r="B1537" s="1" t="n">
        <v>45533</v>
      </c>
      <c r="C1537" s="1" t="n">
        <v>45628</v>
      </c>
      <c r="D1537" t="inlineStr">
        <is>
          <t>VÄRMLANDS LÄN</t>
        </is>
      </c>
      <c r="E1537" t="inlineStr">
        <is>
          <t>ÅRJÄNG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36016-2024</t>
        </is>
      </c>
      <c r="B1538" s="1" t="n">
        <v>45533</v>
      </c>
      <c r="C1538" s="1" t="n">
        <v>45628</v>
      </c>
      <c r="D1538" t="inlineStr">
        <is>
          <t>VÄRMLANDS LÄN</t>
        </is>
      </c>
      <c r="E1538" t="inlineStr">
        <is>
          <t>ÅRJÄNG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36151-2024</t>
        </is>
      </c>
      <c r="B1539" s="1" t="n">
        <v>45534</v>
      </c>
      <c r="C1539" s="1" t="n">
        <v>45628</v>
      </c>
      <c r="D1539" t="inlineStr">
        <is>
          <t>VÄRMLANDS LÄN</t>
        </is>
      </c>
      <c r="E1539" t="inlineStr">
        <is>
          <t>ÅRJÄNG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36282-2024</t>
        </is>
      </c>
      <c r="B1540" s="1" t="n">
        <v>45534</v>
      </c>
      <c r="C1540" s="1" t="n">
        <v>45628</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36377-2024</t>
        </is>
      </c>
      <c r="B1541" s="1" t="n">
        <v>45534</v>
      </c>
      <c r="C1541" s="1" t="n">
        <v>45628</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36592-2024</t>
        </is>
      </c>
      <c r="B1542" s="1" t="n">
        <v>45537</v>
      </c>
      <c r="C1542" s="1" t="n">
        <v>45628</v>
      </c>
      <c r="D1542" t="inlineStr">
        <is>
          <t>VÄRMLANDS LÄN</t>
        </is>
      </c>
      <c r="E1542" t="inlineStr">
        <is>
          <t>ÅRJÄNG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36563-2024</t>
        </is>
      </c>
      <c r="B1543" s="1" t="n">
        <v>45537</v>
      </c>
      <c r="C1543" s="1" t="n">
        <v>45628</v>
      </c>
      <c r="D1543" t="inlineStr">
        <is>
          <t>VÄRMLANDS LÄN</t>
        </is>
      </c>
      <c r="E1543" t="inlineStr">
        <is>
          <t>ÅRJÄNG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36587-2024</t>
        </is>
      </c>
      <c r="B1544" s="1" t="n">
        <v>45537</v>
      </c>
      <c r="C1544" s="1" t="n">
        <v>45628</v>
      </c>
      <c r="D1544" t="inlineStr">
        <is>
          <t>VÄRMLANDS LÄN</t>
        </is>
      </c>
      <c r="E1544" t="inlineStr">
        <is>
          <t>ÅRJÄNG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36706-2024</t>
        </is>
      </c>
      <c r="B1545" s="1" t="n">
        <v>45537</v>
      </c>
      <c r="C1545" s="1" t="n">
        <v>45628</v>
      </c>
      <c r="D1545" t="inlineStr">
        <is>
          <t>VÄRMLANDS LÄN</t>
        </is>
      </c>
      <c r="E1545" t="inlineStr">
        <is>
          <t>ÅRJÄNG</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37029-2024</t>
        </is>
      </c>
      <c r="B1546" s="1" t="n">
        <v>45539</v>
      </c>
      <c r="C1546" s="1" t="n">
        <v>45628</v>
      </c>
      <c r="D1546" t="inlineStr">
        <is>
          <t>VÄRMLANDS LÄN</t>
        </is>
      </c>
      <c r="E1546" t="inlineStr">
        <is>
          <t>ÅRJÄNG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37220-2024</t>
        </is>
      </c>
      <c r="B1547" s="1" t="n">
        <v>45539</v>
      </c>
      <c r="C1547" s="1" t="n">
        <v>45628</v>
      </c>
      <c r="D1547" t="inlineStr">
        <is>
          <t>VÄRMLANDS LÄN</t>
        </is>
      </c>
      <c r="E1547" t="inlineStr">
        <is>
          <t>ÅRJÄNG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36997-2024</t>
        </is>
      </c>
      <c r="B1548" s="1" t="n">
        <v>45539</v>
      </c>
      <c r="C1548" s="1" t="n">
        <v>45628</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37026-2024</t>
        </is>
      </c>
      <c r="B1549" s="1" t="n">
        <v>45539</v>
      </c>
      <c r="C1549" s="1" t="n">
        <v>45628</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37222-2024</t>
        </is>
      </c>
      <c r="B1550" s="1" t="n">
        <v>45539</v>
      </c>
      <c r="C1550" s="1" t="n">
        <v>45628</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37336-2024</t>
        </is>
      </c>
      <c r="B1551" s="1" t="n">
        <v>45540</v>
      </c>
      <c r="C1551" s="1" t="n">
        <v>45628</v>
      </c>
      <c r="D1551" t="inlineStr">
        <is>
          <t>VÄRMLANDS LÄN</t>
        </is>
      </c>
      <c r="E1551" t="inlineStr">
        <is>
          <t>ÅRJÄNG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37353-2024</t>
        </is>
      </c>
      <c r="B1552" s="1" t="n">
        <v>45540</v>
      </c>
      <c r="C1552" s="1" t="n">
        <v>45628</v>
      </c>
      <c r="D1552" t="inlineStr">
        <is>
          <t>VÄRMLANDS LÄN</t>
        </is>
      </c>
      <c r="E1552" t="inlineStr">
        <is>
          <t>ÅRJÄNG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37330-2024</t>
        </is>
      </c>
      <c r="B1553" s="1" t="n">
        <v>45540</v>
      </c>
      <c r="C1553" s="1" t="n">
        <v>45628</v>
      </c>
      <c r="D1553" t="inlineStr">
        <is>
          <t>VÄRMLANDS LÄN</t>
        </is>
      </c>
      <c r="E1553" t="inlineStr">
        <is>
          <t>ÅRJÄNG</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37356-2024</t>
        </is>
      </c>
      <c r="B1554" s="1" t="n">
        <v>45540</v>
      </c>
      <c r="C1554" s="1" t="n">
        <v>45628</v>
      </c>
      <c r="D1554" t="inlineStr">
        <is>
          <t>VÄRMLANDS LÄN</t>
        </is>
      </c>
      <c r="E1554" t="inlineStr">
        <is>
          <t>ÅRJÄNG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37325-2024</t>
        </is>
      </c>
      <c r="B1555" s="1" t="n">
        <v>45540</v>
      </c>
      <c r="C1555" s="1" t="n">
        <v>45628</v>
      </c>
      <c r="D1555" t="inlineStr">
        <is>
          <t>VÄRMLANDS LÄN</t>
        </is>
      </c>
      <c r="E1555" t="inlineStr">
        <is>
          <t>ÅRJÄNG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37347-2024</t>
        </is>
      </c>
      <c r="B1556" s="1" t="n">
        <v>45540</v>
      </c>
      <c r="C1556" s="1" t="n">
        <v>45628</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37362-2024</t>
        </is>
      </c>
      <c r="B1557" s="1" t="n">
        <v>45540</v>
      </c>
      <c r="C1557" s="1" t="n">
        <v>45628</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37382-2024</t>
        </is>
      </c>
      <c r="B1558" s="1" t="n">
        <v>45540</v>
      </c>
      <c r="C1558" s="1" t="n">
        <v>45628</v>
      </c>
      <c r="D1558" t="inlineStr">
        <is>
          <t>VÄRMLANDS LÄN</t>
        </is>
      </c>
      <c r="E1558" t="inlineStr">
        <is>
          <t>ÅRJÄNG</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38024-2024</t>
        </is>
      </c>
      <c r="B1559" s="1" t="n">
        <v>45544</v>
      </c>
      <c r="C1559" s="1" t="n">
        <v>45628</v>
      </c>
      <c r="D1559" t="inlineStr">
        <is>
          <t>VÄRMLANDS LÄN</t>
        </is>
      </c>
      <c r="E1559" t="inlineStr">
        <is>
          <t>ÅRJÄNG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38066-2024</t>
        </is>
      </c>
      <c r="B1560" s="1" t="n">
        <v>45544</v>
      </c>
      <c r="C1560" s="1" t="n">
        <v>45628</v>
      </c>
      <c r="D1560" t="inlineStr">
        <is>
          <t>VÄRMLANDS LÄN</t>
        </is>
      </c>
      <c r="E1560" t="inlineStr">
        <is>
          <t>ÅRJÄNG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38057-2024</t>
        </is>
      </c>
      <c r="B1561" s="1" t="n">
        <v>45544</v>
      </c>
      <c r="C1561" s="1" t="n">
        <v>45628</v>
      </c>
      <c r="D1561" t="inlineStr">
        <is>
          <t>VÄRMLANDS LÄN</t>
        </is>
      </c>
      <c r="E1561" t="inlineStr">
        <is>
          <t>ÅRJÄNG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38065-2024</t>
        </is>
      </c>
      <c r="B1562" s="1" t="n">
        <v>45544</v>
      </c>
      <c r="C1562" s="1" t="n">
        <v>45628</v>
      </c>
      <c r="D1562" t="inlineStr">
        <is>
          <t>VÄRMLANDS LÄN</t>
        </is>
      </c>
      <c r="E1562" t="inlineStr">
        <is>
          <t>ÅRJÄNG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38538-2024</t>
        </is>
      </c>
      <c r="B1563" s="1" t="n">
        <v>45546</v>
      </c>
      <c r="C1563" s="1" t="n">
        <v>45628</v>
      </c>
      <c r="D1563" t="inlineStr">
        <is>
          <t>VÄRMLANDS LÄN</t>
        </is>
      </c>
      <c r="E1563" t="inlineStr">
        <is>
          <t>ÅRJÄNG</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45628</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38425-2024</t>
        </is>
      </c>
      <c r="B1565" s="1" t="n">
        <v>45546</v>
      </c>
      <c r="C1565" s="1" t="n">
        <v>45628</v>
      </c>
      <c r="D1565" t="inlineStr">
        <is>
          <t>VÄRMLANDS LÄN</t>
        </is>
      </c>
      <c r="E1565" t="inlineStr">
        <is>
          <t>ÅRJÄNG</t>
        </is>
      </c>
      <c r="F1565" t="inlineStr">
        <is>
          <t>Bergvik skog väst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38433-2024</t>
        </is>
      </c>
      <c r="B1566" s="1" t="n">
        <v>45546</v>
      </c>
      <c r="C1566" s="1" t="n">
        <v>45628</v>
      </c>
      <c r="D1566" t="inlineStr">
        <is>
          <t>VÄRMLANDS LÄN</t>
        </is>
      </c>
      <c r="E1566" t="inlineStr">
        <is>
          <t>ÅRJÄNG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38465-2024</t>
        </is>
      </c>
      <c r="B1567" s="1" t="n">
        <v>45546</v>
      </c>
      <c r="C1567" s="1" t="n">
        <v>45628</v>
      </c>
      <c r="D1567" t="inlineStr">
        <is>
          <t>VÄRMLANDS LÄN</t>
        </is>
      </c>
      <c r="E1567" t="inlineStr">
        <is>
          <t>ÅRJÄNG</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45628</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38536-2024</t>
        </is>
      </c>
      <c r="B1569" s="1" t="n">
        <v>45546</v>
      </c>
      <c r="C1569" s="1" t="n">
        <v>45628</v>
      </c>
      <c r="D1569" t="inlineStr">
        <is>
          <t>VÄRMLANDS LÄN</t>
        </is>
      </c>
      <c r="E1569" t="inlineStr">
        <is>
          <t>ÅRJÄNG</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38533-2024</t>
        </is>
      </c>
      <c r="B1570" s="1" t="n">
        <v>45546</v>
      </c>
      <c r="C1570" s="1" t="n">
        <v>45628</v>
      </c>
      <c r="D1570" t="inlineStr">
        <is>
          <t>VÄRMLANDS LÄN</t>
        </is>
      </c>
      <c r="E1570" t="inlineStr">
        <is>
          <t>ÅRJÄNG</t>
        </is>
      </c>
      <c r="F1570" t="inlineStr">
        <is>
          <t>Bergvik skog väst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38537-2024</t>
        </is>
      </c>
      <c r="B1571" s="1" t="n">
        <v>45546</v>
      </c>
      <c r="C1571" s="1" t="n">
        <v>45628</v>
      </c>
      <c r="D1571" t="inlineStr">
        <is>
          <t>VÄRMLANDS LÄN</t>
        </is>
      </c>
      <c r="E1571" t="inlineStr">
        <is>
          <t>ÅRJÄNG</t>
        </is>
      </c>
      <c r="F1571" t="inlineStr">
        <is>
          <t>Bergvik skog väst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39027-2024</t>
        </is>
      </c>
      <c r="B1572" s="1" t="n">
        <v>45548</v>
      </c>
      <c r="C1572" s="1" t="n">
        <v>45628</v>
      </c>
      <c r="D1572" t="inlineStr">
        <is>
          <t>VÄRMLANDS LÄN</t>
        </is>
      </c>
      <c r="E1572" t="inlineStr">
        <is>
          <t>ÅRJÄNG</t>
        </is>
      </c>
      <c r="F1572" t="inlineStr">
        <is>
          <t>Kyrkan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39205-2024</t>
        </is>
      </c>
      <c r="B1573" s="1" t="n">
        <v>45548</v>
      </c>
      <c r="C1573" s="1" t="n">
        <v>45628</v>
      </c>
      <c r="D1573" t="inlineStr">
        <is>
          <t>VÄRMLANDS LÄN</t>
        </is>
      </c>
      <c r="E1573" t="inlineStr">
        <is>
          <t>ÅRJÄNG</t>
        </is>
      </c>
      <c r="F1573" t="inlineStr">
        <is>
          <t>Övriga Aktiebolag</t>
        </is>
      </c>
      <c r="G1573" t="n">
        <v>16.2</v>
      </c>
      <c r="H1573" t="n">
        <v>0</v>
      </c>
      <c r="I1573" t="n">
        <v>0</v>
      </c>
      <c r="J1573" t="n">
        <v>0</v>
      </c>
      <c r="K1573" t="n">
        <v>0</v>
      </c>
      <c r="L1573" t="n">
        <v>0</v>
      </c>
      <c r="M1573" t="n">
        <v>0</v>
      </c>
      <c r="N1573" t="n">
        <v>0</v>
      </c>
      <c r="O1573" t="n">
        <v>0</v>
      </c>
      <c r="P1573" t="n">
        <v>0</v>
      </c>
      <c r="Q1573" t="n">
        <v>0</v>
      </c>
      <c r="R1573" s="2" t="inlineStr"/>
    </row>
    <row r="1574" ht="15" customHeight="1">
      <c r="A1574" t="inlineStr">
        <is>
          <t>A 39156-2024</t>
        </is>
      </c>
      <c r="B1574" s="1" t="n">
        <v>45548</v>
      </c>
      <c r="C1574" s="1" t="n">
        <v>45628</v>
      </c>
      <c r="D1574" t="inlineStr">
        <is>
          <t>VÄRMLANDS LÄN</t>
        </is>
      </c>
      <c r="E1574" t="inlineStr">
        <is>
          <t>ÅRJÄNG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39187-2024</t>
        </is>
      </c>
      <c r="B1575" s="1" t="n">
        <v>45548</v>
      </c>
      <c r="C1575" s="1" t="n">
        <v>45628</v>
      </c>
      <c r="D1575" t="inlineStr">
        <is>
          <t>VÄRMLANDS LÄN</t>
        </is>
      </c>
      <c r="E1575" t="inlineStr">
        <is>
          <t>ÅRJÄNG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39525-2024</t>
        </is>
      </c>
      <c r="B1576" s="1" t="n">
        <v>45551</v>
      </c>
      <c r="C1576" s="1" t="n">
        <v>45628</v>
      </c>
      <c r="D1576" t="inlineStr">
        <is>
          <t>VÄRMLANDS LÄN</t>
        </is>
      </c>
      <c r="E1576" t="inlineStr">
        <is>
          <t>ÅRJÄNG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39905-2024</t>
        </is>
      </c>
      <c r="B1577" s="1" t="n">
        <v>45553</v>
      </c>
      <c r="C1577" s="1" t="n">
        <v>45628</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39923-2024</t>
        </is>
      </c>
      <c r="B1578" s="1" t="n">
        <v>45553</v>
      </c>
      <c r="C1578" s="1" t="n">
        <v>45628</v>
      </c>
      <c r="D1578" t="inlineStr">
        <is>
          <t>VÄRMLANDS LÄN</t>
        </is>
      </c>
      <c r="E1578" t="inlineStr">
        <is>
          <t>ÅRJÄNG</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45628</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45628</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39910-2024</t>
        </is>
      </c>
      <c r="B1581" s="1" t="n">
        <v>45553</v>
      </c>
      <c r="C1581" s="1" t="n">
        <v>45628</v>
      </c>
      <c r="D1581" t="inlineStr">
        <is>
          <t>VÄRMLANDS LÄN</t>
        </is>
      </c>
      <c r="E1581" t="inlineStr">
        <is>
          <t>ÅRJÄNG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40138-2024</t>
        </is>
      </c>
      <c r="B1582" s="1" t="n">
        <v>45554</v>
      </c>
      <c r="C1582" s="1" t="n">
        <v>45628</v>
      </c>
      <c r="D1582" t="inlineStr">
        <is>
          <t>VÄRMLANDS LÄN</t>
        </is>
      </c>
      <c r="E1582" t="inlineStr">
        <is>
          <t>ÅRJÄNG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40252-2024</t>
        </is>
      </c>
      <c r="B1583" s="1" t="n">
        <v>45554</v>
      </c>
      <c r="C1583" s="1" t="n">
        <v>45628</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45628</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45628</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45628</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40333-2024</t>
        </is>
      </c>
      <c r="B1587" s="1" t="n">
        <v>45555</v>
      </c>
      <c r="C1587" s="1" t="n">
        <v>45628</v>
      </c>
      <c r="D1587" t="inlineStr">
        <is>
          <t>VÄRMLANDS LÄN</t>
        </is>
      </c>
      <c r="E1587" t="inlineStr">
        <is>
          <t>ÅRJÄNG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40349-2024</t>
        </is>
      </c>
      <c r="B1588" s="1" t="n">
        <v>45555</v>
      </c>
      <c r="C1588" s="1" t="n">
        <v>45628</v>
      </c>
      <c r="D1588" t="inlineStr">
        <is>
          <t>VÄRMLANDS LÄN</t>
        </is>
      </c>
      <c r="E1588" t="inlineStr">
        <is>
          <t>ÅRJÄNG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45628</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40628-2024</t>
        </is>
      </c>
      <c r="B1590" s="1" t="n">
        <v>45557</v>
      </c>
      <c r="C1590" s="1" t="n">
        <v>45628</v>
      </c>
      <c r="D1590" t="inlineStr">
        <is>
          <t>VÄRMLANDS LÄN</t>
        </is>
      </c>
      <c r="E1590" t="inlineStr">
        <is>
          <t>ÅRJÄNG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40685-2024</t>
        </is>
      </c>
      <c r="B1591" s="1" t="n">
        <v>45558</v>
      </c>
      <c r="C1591" s="1" t="n">
        <v>45628</v>
      </c>
      <c r="D1591" t="inlineStr">
        <is>
          <t>VÄRMLANDS LÄN</t>
        </is>
      </c>
      <c r="E1591" t="inlineStr">
        <is>
          <t>ÅRJÄNG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41206-2024</t>
        </is>
      </c>
      <c r="B1592" s="1" t="n">
        <v>45559</v>
      </c>
      <c r="C1592" s="1" t="n">
        <v>45628</v>
      </c>
      <c r="D1592" t="inlineStr">
        <is>
          <t>VÄRMLANDS LÄN</t>
        </is>
      </c>
      <c r="E1592" t="inlineStr">
        <is>
          <t>ÅRJÄNG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41193-2024</t>
        </is>
      </c>
      <c r="B1593" s="1" t="n">
        <v>45559</v>
      </c>
      <c r="C1593" s="1" t="n">
        <v>45628</v>
      </c>
      <c r="D1593" t="inlineStr">
        <is>
          <t>VÄRMLANDS LÄN</t>
        </is>
      </c>
      <c r="E1593" t="inlineStr">
        <is>
          <t>ÅRJÄNG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41201-2024</t>
        </is>
      </c>
      <c r="B1594" s="1" t="n">
        <v>45559</v>
      </c>
      <c r="C1594" s="1" t="n">
        <v>45628</v>
      </c>
      <c r="D1594" t="inlineStr">
        <is>
          <t>VÄRMLANDS LÄN</t>
        </is>
      </c>
      <c r="E1594" t="inlineStr">
        <is>
          <t>ÅRJÄNG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41205-2024</t>
        </is>
      </c>
      <c r="B1595" s="1" t="n">
        <v>45559</v>
      </c>
      <c r="C1595" s="1" t="n">
        <v>45628</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42045-2024</t>
        </is>
      </c>
      <c r="B1596" s="1" t="n">
        <v>45561</v>
      </c>
      <c r="C1596" s="1" t="n">
        <v>45628</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45628</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45628</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45628</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42141-2024</t>
        </is>
      </c>
      <c r="B1600" s="1" t="n">
        <v>45562</v>
      </c>
      <c r="C1600" s="1" t="n">
        <v>45628</v>
      </c>
      <c r="D1600" t="inlineStr">
        <is>
          <t>VÄRMLANDS LÄN</t>
        </is>
      </c>
      <c r="E1600" t="inlineStr">
        <is>
          <t>ÅRJÄNG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42149-2024</t>
        </is>
      </c>
      <c r="B1601" s="1" t="n">
        <v>45562</v>
      </c>
      <c r="C1601" s="1" t="n">
        <v>45628</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45628</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45628</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45628</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42236-2024</t>
        </is>
      </c>
      <c r="B1605" s="1" t="n">
        <v>45562</v>
      </c>
      <c r="C1605" s="1" t="n">
        <v>45628</v>
      </c>
      <c r="D1605" t="inlineStr">
        <is>
          <t>VÄRMLANDS LÄN</t>
        </is>
      </c>
      <c r="E1605" t="inlineStr">
        <is>
          <t>ÅRJÄNG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45628</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45628</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45628</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42455-2024</t>
        </is>
      </c>
      <c r="B1609" s="1" t="n">
        <v>45565</v>
      </c>
      <c r="C1609" s="1" t="n">
        <v>45628</v>
      </c>
      <c r="D1609" t="inlineStr">
        <is>
          <t>VÄRMLANDS LÄN</t>
        </is>
      </c>
      <c r="E1609" t="inlineStr">
        <is>
          <t>ÅRJÄNG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42531-2024</t>
        </is>
      </c>
      <c r="B1610" s="1" t="n">
        <v>45565</v>
      </c>
      <c r="C1610" s="1" t="n">
        <v>45628</v>
      </c>
      <c r="D1610" t="inlineStr">
        <is>
          <t>VÄRMLANDS LÄN</t>
        </is>
      </c>
      <c r="E1610" t="inlineStr">
        <is>
          <t>ÅRJÄNG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42783-2024</t>
        </is>
      </c>
      <c r="B1611" s="1" t="n">
        <v>45566</v>
      </c>
      <c r="C1611" s="1" t="n">
        <v>45628</v>
      </c>
      <c r="D1611" t="inlineStr">
        <is>
          <t>VÄRMLANDS LÄN</t>
        </is>
      </c>
      <c r="E1611" t="inlineStr">
        <is>
          <t>ÅRJÄNG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43107-2024</t>
        </is>
      </c>
      <c r="B1612" s="1" t="n">
        <v>45567</v>
      </c>
      <c r="C1612" s="1" t="n">
        <v>45628</v>
      </c>
      <c r="D1612" t="inlineStr">
        <is>
          <t>VÄRMLANDS LÄN</t>
        </is>
      </c>
      <c r="E1612" t="inlineStr">
        <is>
          <t>ÅRJÄNG</t>
        </is>
      </c>
      <c r="G1612" t="n">
        <v>16.2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45628</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45628</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43284-2024</t>
        </is>
      </c>
      <c r="B1615" s="1" t="n">
        <v>45568</v>
      </c>
      <c r="C1615" s="1" t="n">
        <v>45628</v>
      </c>
      <c r="D1615" t="inlineStr">
        <is>
          <t>VÄRMLANDS LÄN</t>
        </is>
      </c>
      <c r="E1615" t="inlineStr">
        <is>
          <t>ÅRJÄNG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45628</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43659-2024</t>
        </is>
      </c>
      <c r="B1617" s="1" t="n">
        <v>45569</v>
      </c>
      <c r="C1617" s="1" t="n">
        <v>45628</v>
      </c>
      <c r="D1617" t="inlineStr">
        <is>
          <t>VÄRMLANDS LÄN</t>
        </is>
      </c>
      <c r="E1617" t="inlineStr">
        <is>
          <t>ÅRJÄNG</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43517-2024</t>
        </is>
      </c>
      <c r="B1618" s="1" t="n">
        <v>45569</v>
      </c>
      <c r="C1618" s="1" t="n">
        <v>45628</v>
      </c>
      <c r="D1618" t="inlineStr">
        <is>
          <t>VÄRMLANDS LÄN</t>
        </is>
      </c>
      <c r="E1618" t="inlineStr">
        <is>
          <t>ÅRJÄNG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43794-2024</t>
        </is>
      </c>
      <c r="B1619" s="1" t="n">
        <v>45571</v>
      </c>
      <c r="C1619" s="1" t="n">
        <v>45628</v>
      </c>
      <c r="D1619" t="inlineStr">
        <is>
          <t>VÄRMLANDS LÄN</t>
        </is>
      </c>
      <c r="E1619" t="inlineStr">
        <is>
          <t>ÅRJÄNG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44140-2024</t>
        </is>
      </c>
      <c r="B1620" s="1" t="n">
        <v>45572</v>
      </c>
      <c r="C1620" s="1" t="n">
        <v>45628</v>
      </c>
      <c r="D1620" t="inlineStr">
        <is>
          <t>VÄRMLANDS LÄN</t>
        </is>
      </c>
      <c r="E1620" t="inlineStr">
        <is>
          <t>ÅRJÄNG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44212-2024</t>
        </is>
      </c>
      <c r="B1621" s="1" t="n">
        <v>45573</v>
      </c>
      <c r="C1621" s="1" t="n">
        <v>45628</v>
      </c>
      <c r="D1621" t="inlineStr">
        <is>
          <t>VÄRMLANDS LÄN</t>
        </is>
      </c>
      <c r="E1621" t="inlineStr">
        <is>
          <t>ÅRJÄNG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45146-2024</t>
        </is>
      </c>
      <c r="B1622" s="1" t="n">
        <v>45575</v>
      </c>
      <c r="C1622" s="1" t="n">
        <v>45628</v>
      </c>
      <c r="D1622" t="inlineStr">
        <is>
          <t>VÄRMLANDS LÄN</t>
        </is>
      </c>
      <c r="E1622" t="inlineStr">
        <is>
          <t>ÅRJÄNG</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45628</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45150-2024</t>
        </is>
      </c>
      <c r="B1624" s="1" t="n">
        <v>45575</v>
      </c>
      <c r="C1624" s="1" t="n">
        <v>45628</v>
      </c>
      <c r="D1624" t="inlineStr">
        <is>
          <t>VÄRMLANDS LÄN</t>
        </is>
      </c>
      <c r="E1624" t="inlineStr">
        <is>
          <t>ÅRJÄNG</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44934-2024</t>
        </is>
      </c>
      <c r="B1625" s="1" t="n">
        <v>45575</v>
      </c>
      <c r="C1625" s="1" t="n">
        <v>45628</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45327-2024</t>
        </is>
      </c>
      <c r="B1626" s="1" t="n">
        <v>45576</v>
      </c>
      <c r="C1626" s="1" t="n">
        <v>45628</v>
      </c>
      <c r="D1626" t="inlineStr">
        <is>
          <t>VÄRMLANDS LÄN</t>
        </is>
      </c>
      <c r="E1626" t="inlineStr">
        <is>
          <t>ÅRJÄNG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45628</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45628</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45651-2024</t>
        </is>
      </c>
      <c r="B1629" s="1" t="n">
        <v>45579</v>
      </c>
      <c r="C1629" s="1" t="n">
        <v>45628</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45876-2024</t>
        </is>
      </c>
      <c r="B1630" s="1" t="n">
        <v>45580</v>
      </c>
      <c r="C1630" s="1" t="n">
        <v>45628</v>
      </c>
      <c r="D1630" t="inlineStr">
        <is>
          <t>VÄRMLANDS LÄN</t>
        </is>
      </c>
      <c r="E1630" t="inlineStr">
        <is>
          <t>ÅRJÄNG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45929-2024</t>
        </is>
      </c>
      <c r="B1631" s="1" t="n">
        <v>45580</v>
      </c>
      <c r="C1631" s="1" t="n">
        <v>45628</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46149-2024</t>
        </is>
      </c>
      <c r="B1632" s="1" t="n">
        <v>45581</v>
      </c>
      <c r="C1632" s="1" t="n">
        <v>45628</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45628</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46175-2024</t>
        </is>
      </c>
      <c r="B1634" s="1" t="n">
        <v>45581</v>
      </c>
      <c r="C1634" s="1" t="n">
        <v>45628</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46319-2024</t>
        </is>
      </c>
      <c r="B1635" s="1" t="n">
        <v>45581</v>
      </c>
      <c r="C1635" s="1" t="n">
        <v>45628</v>
      </c>
      <c r="D1635" t="inlineStr">
        <is>
          <t>VÄRMLANDS LÄN</t>
        </is>
      </c>
      <c r="E1635" t="inlineStr">
        <is>
          <t>ÅRJÄNG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45628</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46317-2024</t>
        </is>
      </c>
      <c r="B1637" s="1" t="n">
        <v>45581</v>
      </c>
      <c r="C1637" s="1" t="n">
        <v>45628</v>
      </c>
      <c r="D1637" t="inlineStr">
        <is>
          <t>VÄRMLANDS LÄN</t>
        </is>
      </c>
      <c r="E1637" t="inlineStr">
        <is>
          <t>ÅRJÄNG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45628</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46473-2024</t>
        </is>
      </c>
      <c r="B1639" s="1" t="n">
        <v>45582</v>
      </c>
      <c r="C1639" s="1" t="n">
        <v>45628</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45582</v>
      </c>
      <c r="C1640" s="1" t="n">
        <v>45628</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45628</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47096-2024</t>
        </is>
      </c>
      <c r="B1642" s="1" t="n">
        <v>45586</v>
      </c>
      <c r="C1642" s="1" t="n">
        <v>45628</v>
      </c>
      <c r="D1642" t="inlineStr">
        <is>
          <t>VÄRMLANDS LÄN</t>
        </is>
      </c>
      <c r="E1642" t="inlineStr">
        <is>
          <t>ÅRJÄNG</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47065-2024</t>
        </is>
      </c>
      <c r="B1643" s="1" t="n">
        <v>45586</v>
      </c>
      <c r="C1643" s="1" t="n">
        <v>45628</v>
      </c>
      <c r="D1643" t="inlineStr">
        <is>
          <t>VÄRMLANDS LÄN</t>
        </is>
      </c>
      <c r="E1643" t="inlineStr">
        <is>
          <t>ÅRJÄNG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47028-2024</t>
        </is>
      </c>
      <c r="B1644" s="1" t="n">
        <v>45586</v>
      </c>
      <c r="C1644" s="1" t="n">
        <v>45628</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46957-2024</t>
        </is>
      </c>
      <c r="B1645" s="1" t="n">
        <v>45586</v>
      </c>
      <c r="C1645" s="1" t="n">
        <v>45628</v>
      </c>
      <c r="D1645" t="inlineStr">
        <is>
          <t>VÄRMLANDS LÄN</t>
        </is>
      </c>
      <c r="E1645" t="inlineStr">
        <is>
          <t>ÅRJÄNG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47121-2024</t>
        </is>
      </c>
      <c r="B1646" s="1" t="n">
        <v>45586</v>
      </c>
      <c r="C1646" s="1" t="n">
        <v>45628</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47365-2024</t>
        </is>
      </c>
      <c r="B1647" s="1" t="n">
        <v>45587</v>
      </c>
      <c r="C1647" s="1" t="n">
        <v>45628</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47623-2024</t>
        </is>
      </c>
      <c r="B1648" s="1" t="n">
        <v>45588</v>
      </c>
      <c r="C1648" s="1" t="n">
        <v>45628</v>
      </c>
      <c r="D1648" t="inlineStr">
        <is>
          <t>VÄRMLANDS LÄN</t>
        </is>
      </c>
      <c r="E1648" t="inlineStr">
        <is>
          <t>ÅRJÄNG</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48596-2024</t>
        </is>
      </c>
      <c r="B1649" s="1" t="n">
        <v>45593</v>
      </c>
      <c r="C1649" s="1" t="n">
        <v>45628</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48781-2024</t>
        </is>
      </c>
      <c r="B1650" s="1" t="n">
        <v>45593</v>
      </c>
      <c r="C1650" s="1" t="n">
        <v>45628</v>
      </c>
      <c r="D1650" t="inlineStr">
        <is>
          <t>VÄRMLANDS LÄN</t>
        </is>
      </c>
      <c r="E1650" t="inlineStr">
        <is>
          <t>ÅRJÄNG</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48964-2024</t>
        </is>
      </c>
      <c r="B1651" s="1" t="n">
        <v>45594</v>
      </c>
      <c r="C1651" s="1" t="n">
        <v>45628</v>
      </c>
      <c r="D1651" t="inlineStr">
        <is>
          <t>VÄRMLANDS LÄN</t>
        </is>
      </c>
      <c r="E1651" t="inlineStr">
        <is>
          <t>ÅRJÄNG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49057-2024</t>
        </is>
      </c>
      <c r="B1652" s="1" t="n">
        <v>45594</v>
      </c>
      <c r="C1652" s="1" t="n">
        <v>45628</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48911-2024</t>
        </is>
      </c>
      <c r="B1653" s="1" t="n">
        <v>45594</v>
      </c>
      <c r="C1653" s="1" t="n">
        <v>45628</v>
      </c>
      <c r="D1653" t="inlineStr">
        <is>
          <t>VÄRMLANDS LÄN</t>
        </is>
      </c>
      <c r="E1653" t="inlineStr">
        <is>
          <t>ÅRJÄNG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49133-2024</t>
        </is>
      </c>
      <c r="B1654" s="1" t="n">
        <v>45594</v>
      </c>
      <c r="C1654" s="1" t="n">
        <v>45628</v>
      </c>
      <c r="D1654" t="inlineStr">
        <is>
          <t>VÄRMLANDS LÄN</t>
        </is>
      </c>
      <c r="E1654" t="inlineStr">
        <is>
          <t>ÅRJÄNG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49785-2024</t>
        </is>
      </c>
      <c r="B1655" s="1" t="n">
        <v>45597</v>
      </c>
      <c r="C1655" s="1" t="n">
        <v>45628</v>
      </c>
      <c r="D1655" t="inlineStr">
        <is>
          <t>VÄRMLANDS LÄN</t>
        </is>
      </c>
      <c r="E1655" t="inlineStr">
        <is>
          <t>ÅRJÄNG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49780-2024</t>
        </is>
      </c>
      <c r="B1656" s="1" t="n">
        <v>45597</v>
      </c>
      <c r="C1656" s="1" t="n">
        <v>45628</v>
      </c>
      <c r="D1656" t="inlineStr">
        <is>
          <t>VÄRMLANDS LÄN</t>
        </is>
      </c>
      <c r="E1656" t="inlineStr">
        <is>
          <t>ÅRJÄNG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49795-2024</t>
        </is>
      </c>
      <c r="B1657" s="1" t="n">
        <v>45597</v>
      </c>
      <c r="C1657" s="1" t="n">
        <v>45628</v>
      </c>
      <c r="D1657" t="inlineStr">
        <is>
          <t>VÄRMLANDS LÄN</t>
        </is>
      </c>
      <c r="E1657" t="inlineStr">
        <is>
          <t>ÅRJÄNG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50122-2024</t>
        </is>
      </c>
      <c r="B1658" s="1" t="n">
        <v>45600</v>
      </c>
      <c r="C1658" s="1" t="n">
        <v>45628</v>
      </c>
      <c r="D1658" t="inlineStr">
        <is>
          <t>VÄRMLANDS LÄN</t>
        </is>
      </c>
      <c r="E1658" t="inlineStr">
        <is>
          <t>ÅRJÄNG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45628</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45628</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50128-2024</t>
        </is>
      </c>
      <c r="B1661" s="1" t="n">
        <v>45600</v>
      </c>
      <c r="C1661" s="1" t="n">
        <v>45628</v>
      </c>
      <c r="D1661" t="inlineStr">
        <is>
          <t>VÄRMLANDS LÄN</t>
        </is>
      </c>
      <c r="E1661" t="inlineStr">
        <is>
          <t>ÅRJÄNG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45628</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45628</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50302-2024</t>
        </is>
      </c>
      <c r="B1664" s="1" t="n">
        <v>45600</v>
      </c>
      <c r="C1664" s="1" t="n">
        <v>45628</v>
      </c>
      <c r="D1664" t="inlineStr">
        <is>
          <t>VÄRMLANDS LÄN</t>
        </is>
      </c>
      <c r="E1664" t="inlineStr">
        <is>
          <t>ÅRJÄNG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45628</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50388-2024</t>
        </is>
      </c>
      <c r="B1666" s="1" t="n">
        <v>45600</v>
      </c>
      <c r="C1666" s="1" t="n">
        <v>45628</v>
      </c>
      <c r="D1666" t="inlineStr">
        <is>
          <t>VÄRMLANDS LÄN</t>
        </is>
      </c>
      <c r="E1666" t="inlineStr">
        <is>
          <t>ÅRJÄNG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50509-2024</t>
        </is>
      </c>
      <c r="B1667" s="1" t="n">
        <v>45601</v>
      </c>
      <c r="C1667" s="1" t="n">
        <v>45628</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51268-2024</t>
        </is>
      </c>
      <c r="B1668" s="1" t="n">
        <v>45602</v>
      </c>
      <c r="C1668" s="1" t="n">
        <v>45628</v>
      </c>
      <c r="D1668" t="inlineStr">
        <is>
          <t>VÄRMLANDS LÄN</t>
        </is>
      </c>
      <c r="E1668" t="inlineStr">
        <is>
          <t>ÅRJÄNG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45628</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45628</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51265-2024</t>
        </is>
      </c>
      <c r="B1671" s="1" t="n">
        <v>45602</v>
      </c>
      <c r="C1671" s="1" t="n">
        <v>45628</v>
      </c>
      <c r="D1671" t="inlineStr">
        <is>
          <t>VÄRMLANDS LÄN</t>
        </is>
      </c>
      <c r="E1671" t="inlineStr">
        <is>
          <t>ÅRJÄNG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51157-2024</t>
        </is>
      </c>
      <c r="B1672" s="1" t="n">
        <v>45603</v>
      </c>
      <c r="C1672" s="1" t="n">
        <v>45628</v>
      </c>
      <c r="D1672" t="inlineStr">
        <is>
          <t>VÄRMLANDS LÄN</t>
        </is>
      </c>
      <c r="E1672" t="inlineStr">
        <is>
          <t>ÅRJÄNG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52292-2024</t>
        </is>
      </c>
      <c r="B1673" s="1" t="n">
        <v>45608</v>
      </c>
      <c r="C1673" s="1" t="n">
        <v>45628</v>
      </c>
      <c r="D1673" t="inlineStr">
        <is>
          <t>VÄRMLANDS LÄN</t>
        </is>
      </c>
      <c r="E1673" t="inlineStr">
        <is>
          <t>ÅRJÄNG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52382-2024</t>
        </is>
      </c>
      <c r="B1674" s="1" t="n">
        <v>45608</v>
      </c>
      <c r="C1674" s="1" t="n">
        <v>45628</v>
      </c>
      <c r="D1674" t="inlineStr">
        <is>
          <t>VÄRMLANDS LÄN</t>
        </is>
      </c>
      <c r="E1674" t="inlineStr">
        <is>
          <t>ÅRJÄNG</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52291-2024</t>
        </is>
      </c>
      <c r="B1675" s="1" t="n">
        <v>45608</v>
      </c>
      <c r="C1675" s="1" t="n">
        <v>45628</v>
      </c>
      <c r="D1675" t="inlineStr">
        <is>
          <t>VÄRMLANDS LÄN</t>
        </is>
      </c>
      <c r="E1675" t="inlineStr">
        <is>
          <t>ÅRJÄNG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52578-2024</t>
        </is>
      </c>
      <c r="B1676" s="1" t="n">
        <v>45609</v>
      </c>
      <c r="C1676" s="1" t="n">
        <v>45628</v>
      </c>
      <c r="D1676" t="inlineStr">
        <is>
          <t>VÄRMLANDS LÄN</t>
        </is>
      </c>
      <c r="E1676" t="inlineStr">
        <is>
          <t>ÅRJÄNG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45628</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45628</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45628</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45628</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45628</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45628</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45628</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45628</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45628</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45628</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53793-2024</t>
        </is>
      </c>
      <c r="B1687" s="1" t="n">
        <v>45615</v>
      </c>
      <c r="C1687" s="1" t="n">
        <v>45628</v>
      </c>
      <c r="D1687" t="inlineStr">
        <is>
          <t>VÄRMLANDS LÄN</t>
        </is>
      </c>
      <c r="E1687" t="inlineStr">
        <is>
          <t>ÅRJÄNG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54278-2024</t>
        </is>
      </c>
      <c r="B1688" s="1" t="n">
        <v>45616</v>
      </c>
      <c r="C1688" s="1" t="n">
        <v>45628</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45628</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45628</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45628</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54946-2024</t>
        </is>
      </c>
      <c r="B1692" s="1" t="n">
        <v>45619</v>
      </c>
      <c r="C1692" s="1" t="n">
        <v>45628</v>
      </c>
      <c r="D1692" t="inlineStr">
        <is>
          <t>VÄRMLANDS LÄN</t>
        </is>
      </c>
      <c r="E1692" t="inlineStr">
        <is>
          <t>ÅRJÄNG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45628</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45628</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45628</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55071-2024</t>
        </is>
      </c>
      <c r="B1696" s="1" t="n">
        <v>45621</v>
      </c>
      <c r="C1696" s="1" t="n">
        <v>45628</v>
      </c>
      <c r="D1696" t="inlineStr">
        <is>
          <t>VÄRMLANDS LÄN</t>
        </is>
      </c>
      <c r="E1696" t="inlineStr">
        <is>
          <t>ÅRJÄNG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55006-2024</t>
        </is>
      </c>
      <c r="B1697" s="1" t="n">
        <v>45621</v>
      </c>
      <c r="C1697" s="1" t="n">
        <v>45628</v>
      </c>
      <c r="D1697" t="inlineStr">
        <is>
          <t>VÄRMLANDS LÄN</t>
        </is>
      </c>
      <c r="E1697" t="inlineStr">
        <is>
          <t>ÅRJÄNG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45628</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45628</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55263-2024</t>
        </is>
      </c>
      <c r="B1700" s="1" t="n">
        <v>45621</v>
      </c>
      <c r="C1700" s="1" t="n">
        <v>45628</v>
      </c>
      <c r="D1700" t="inlineStr">
        <is>
          <t>VÄRMLANDS LÄN</t>
        </is>
      </c>
      <c r="E1700" t="inlineStr">
        <is>
          <t>ÅRJÄNG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45628</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55686-2024</t>
        </is>
      </c>
      <c r="B1702" s="1" t="n">
        <v>45622</v>
      </c>
      <c r="C1702" s="1" t="n">
        <v>45628</v>
      </c>
      <c r="D1702" t="inlineStr">
        <is>
          <t>VÄRMLANDS LÄN</t>
        </is>
      </c>
      <c r="E1702" t="inlineStr">
        <is>
          <t>ÅRJÄNG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45628</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45628</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56030-2024</t>
        </is>
      </c>
      <c r="B1705" s="1" t="n">
        <v>45624</v>
      </c>
      <c r="C1705" s="1" t="n">
        <v>45628</v>
      </c>
      <c r="D1705" t="inlineStr">
        <is>
          <t>VÄRMLANDS LÄN</t>
        </is>
      </c>
      <c r="E1705" t="inlineStr">
        <is>
          <t>ÅRJÄNG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56096-2024</t>
        </is>
      </c>
      <c r="B1706" s="1" t="n">
        <v>45624</v>
      </c>
      <c r="C1706" s="1" t="n">
        <v>45628</v>
      </c>
      <c r="D1706" t="inlineStr">
        <is>
          <t>VÄRMLANDS LÄN</t>
        </is>
      </c>
      <c r="E1706" t="inlineStr">
        <is>
          <t>ÅRJÄNG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56116-2024</t>
        </is>
      </c>
      <c r="B1707" s="1" t="n">
        <v>45624</v>
      </c>
      <c r="C1707" s="1" t="n">
        <v>45628</v>
      </c>
      <c r="D1707" t="inlineStr">
        <is>
          <t>VÄRMLANDS LÄN</t>
        </is>
      </c>
      <c r="E1707" t="inlineStr">
        <is>
          <t>ÅRJÄNG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56057-2024</t>
        </is>
      </c>
      <c r="B1708" s="1" t="n">
        <v>45624</v>
      </c>
      <c r="C1708" s="1" t="n">
        <v>45628</v>
      </c>
      <c r="D1708" t="inlineStr">
        <is>
          <t>VÄRMLANDS LÄN</t>
        </is>
      </c>
      <c r="E1708" t="inlineStr">
        <is>
          <t>ÅRJÄNG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56343-2024</t>
        </is>
      </c>
      <c r="B1709" s="1" t="n">
        <v>45624</v>
      </c>
      <c r="C1709" s="1" t="n">
        <v>45628</v>
      </c>
      <c r="D1709" t="inlineStr">
        <is>
          <t>VÄRMLANDS LÄN</t>
        </is>
      </c>
      <c r="E1709" t="inlineStr">
        <is>
          <t>ÅRJÄNG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56347-2024</t>
        </is>
      </c>
      <c r="B1710" s="1" t="n">
        <v>45624</v>
      </c>
      <c r="C1710" s="1" t="n">
        <v>45628</v>
      </c>
      <c r="D1710" t="inlineStr">
        <is>
          <t>VÄRMLANDS LÄN</t>
        </is>
      </c>
      <c r="E1710" t="inlineStr">
        <is>
          <t>ÅRJÄNG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45628</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56348-2024</t>
        </is>
      </c>
      <c r="B1712" s="1" t="n">
        <v>45624</v>
      </c>
      <c r="C1712" s="1" t="n">
        <v>45628</v>
      </c>
      <c r="D1712" t="inlineStr">
        <is>
          <t>VÄRMLANDS LÄN</t>
        </is>
      </c>
      <c r="E1712" t="inlineStr">
        <is>
          <t>ÅRJÄNG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56115-2024</t>
        </is>
      </c>
      <c r="B1713" s="1" t="n">
        <v>45624</v>
      </c>
      <c r="C1713" s="1" t="n">
        <v>45628</v>
      </c>
      <c r="D1713" t="inlineStr">
        <is>
          <t>VÄRMLANDS LÄN</t>
        </is>
      </c>
      <c r="E1713" t="inlineStr">
        <is>
          <t>ÅRJÄNG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56329-2024</t>
        </is>
      </c>
      <c r="B1714" s="1" t="n">
        <v>45624</v>
      </c>
      <c r="C1714" s="1" t="n">
        <v>45628</v>
      </c>
      <c r="D1714" t="inlineStr">
        <is>
          <t>VÄRMLANDS LÄN</t>
        </is>
      </c>
      <c r="E1714" t="inlineStr">
        <is>
          <t>ÅRJÄNG</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56333-2024</t>
        </is>
      </c>
      <c r="B1715" s="1" t="n">
        <v>45624</v>
      </c>
      <c r="C1715" s="1" t="n">
        <v>45628</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56345-2024</t>
        </is>
      </c>
      <c r="B1716" s="1" t="n">
        <v>45624</v>
      </c>
      <c r="C1716" s="1" t="n">
        <v>45628</v>
      </c>
      <c r="D1716" t="inlineStr">
        <is>
          <t>VÄRMLANDS LÄN</t>
        </is>
      </c>
      <c r="E1716" t="inlineStr">
        <is>
          <t>ÅRJÄNG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45628</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56342-2024</t>
        </is>
      </c>
      <c r="B1718" s="1" t="n">
        <v>45624</v>
      </c>
      <c r="C1718" s="1" t="n">
        <v>45628</v>
      </c>
      <c r="D1718" t="inlineStr">
        <is>
          <t>VÄRMLANDS LÄN</t>
        </is>
      </c>
      <c r="E1718" t="inlineStr">
        <is>
          <t>ÅRJÄNG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56346-2024</t>
        </is>
      </c>
      <c r="B1719" s="1" t="n">
        <v>45624</v>
      </c>
      <c r="C1719" s="1" t="n">
        <v>45628</v>
      </c>
      <c r="D1719" t="inlineStr">
        <is>
          <t>VÄRMLANDS LÄN</t>
        </is>
      </c>
      <c r="E1719" t="inlineStr">
        <is>
          <t>ÅRJÄNG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56655-2024</t>
        </is>
      </c>
      <c r="B1720" s="1" t="n">
        <v>45625</v>
      </c>
      <c r="C1720" s="1" t="n">
        <v>45628</v>
      </c>
      <c r="D1720" t="inlineStr">
        <is>
          <t>VÄRMLANDS LÄN</t>
        </is>
      </c>
      <c r="E1720" t="inlineStr">
        <is>
          <t>ÅRJÄNG</t>
        </is>
      </c>
      <c r="G1720" t="n">
        <v>1.1</v>
      </c>
      <c r="H1720" t="n">
        <v>0</v>
      </c>
      <c r="I1720" t="n">
        <v>0</v>
      </c>
      <c r="J1720" t="n">
        <v>0</v>
      </c>
      <c r="K1720" t="n">
        <v>0</v>
      </c>
      <c r="L1720" t="n">
        <v>0</v>
      </c>
      <c r="M1720" t="n">
        <v>0</v>
      </c>
      <c r="N1720" t="n">
        <v>0</v>
      </c>
      <c r="O1720" t="n">
        <v>0</v>
      </c>
      <c r="P1720" t="n">
        <v>0</v>
      </c>
      <c r="Q1720" t="n">
        <v>0</v>
      </c>
      <c r="R1720" s="2" t="inlineStr"/>
    </row>
    <row r="1721">
      <c r="A1721" t="inlineStr">
        <is>
          <t>A 56644-2024</t>
        </is>
      </c>
      <c r="B1721" s="1" t="n">
        <v>45625</v>
      </c>
      <c r="C1721" s="1" t="n">
        <v>45628</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2024-12-02T14:54:10Z</dcterms:created>
  <dcterms:modified xmlns:dcterms="http://purl.org/dc/terms/" xmlns:xsi="http://www.w3.org/2001/XMLSchema-instance" xsi:type="dcterms:W3CDTF">2024-12-02T14:54:11Z</dcterms:modified>
</cp:coreProperties>
</file>