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46081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46081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46081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46081</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46081</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46081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46081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46081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46081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46081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46081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46081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46081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46081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46081</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60688-2023</t>
        </is>
      </c>
      <c r="B28" s="1" t="n">
        <v>45260</v>
      </c>
      <c r="C28" s="1" t="n">
        <v>46081</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7998-2025</t>
        </is>
      </c>
      <c r="B29" s="1" t="n">
        <v>45707.52335648148</v>
      </c>
      <c r="C29" s="1" t="n">
        <v>46081</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46081</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46081</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46081</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46081</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46081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46081</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46081</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46081</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46081</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46081</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46081</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46081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30550-2023</t>
        </is>
      </c>
      <c r="B42" s="1" t="n">
        <v>45111</v>
      </c>
      <c r="C42" s="1" t="n">
        <v>46081</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46081</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36385-2025</t>
        </is>
      </c>
      <c r="B44" s="1" t="n">
        <v>45868</v>
      </c>
      <c r="C44" s="1" t="n">
        <v>46081</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47476-2025</t>
        </is>
      </c>
      <c r="B45" s="1" t="n">
        <v>45930.67951388889</v>
      </c>
      <c r="C45" s="1" t="n">
        <v>46081</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46081</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28317-2023</t>
        </is>
      </c>
      <c r="B47" s="1" t="n">
        <v>45099</v>
      </c>
      <c r="C47" s="1" t="n">
        <v>46081</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57430-2025</t>
        </is>
      </c>
      <c r="B48" s="1" t="n">
        <v>45980.47327546297</v>
      </c>
      <c r="C48" s="1" t="n">
        <v>46081</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2212-2025</t>
        </is>
      </c>
      <c r="B49" s="1" t="n">
        <v>45673</v>
      </c>
      <c r="C49" s="1" t="n">
        <v>46081</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46081</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46081</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46081</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46081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46081</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46081</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46081</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46081</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46081</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46081</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46081</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46081</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42956-2021</t>
        </is>
      </c>
      <c r="B62" s="1" t="n">
        <v>44431.40609953704</v>
      </c>
      <c r="C62" s="1" t="n">
        <v>46081</v>
      </c>
      <c r="D62" t="inlineStr">
        <is>
          <t>VÄRMLANDS LÄN</t>
        </is>
      </c>
      <c r="E62" t="inlineStr">
        <is>
          <t>ÅRJÄNG</t>
        </is>
      </c>
      <c r="G62" t="n">
        <v>4.2</v>
      </c>
      <c r="H62" t="n">
        <v>0</v>
      </c>
      <c r="I62" t="n">
        <v>0</v>
      </c>
      <c r="J62" t="n">
        <v>0</v>
      </c>
      <c r="K62" t="n">
        <v>0</v>
      </c>
      <c r="L62" t="n">
        <v>0</v>
      </c>
      <c r="M62" t="n">
        <v>0</v>
      </c>
      <c r="N62" t="n">
        <v>0</v>
      </c>
      <c r="O62" t="n">
        <v>0</v>
      </c>
      <c r="P62" t="n">
        <v>0</v>
      </c>
      <c r="Q62" t="n">
        <v>0</v>
      </c>
      <c r="R62" s="2" t="inlineStr"/>
    </row>
    <row r="63" ht="15" customHeight="1">
      <c r="A63" t="inlineStr">
        <is>
          <t>A 662-2022</t>
        </is>
      </c>
      <c r="B63" s="1" t="n">
        <v>44568</v>
      </c>
      <c r="C63" s="1" t="n">
        <v>46081</v>
      </c>
      <c r="D63" t="inlineStr">
        <is>
          <t>VÄRMLANDS LÄN</t>
        </is>
      </c>
      <c r="E63" t="inlineStr">
        <is>
          <t>ÅRJÄNG</t>
        </is>
      </c>
      <c r="G63" t="n">
        <v>5.7</v>
      </c>
      <c r="H63" t="n">
        <v>0</v>
      </c>
      <c r="I63" t="n">
        <v>0</v>
      </c>
      <c r="J63" t="n">
        <v>0</v>
      </c>
      <c r="K63" t="n">
        <v>0</v>
      </c>
      <c r="L63" t="n">
        <v>0</v>
      </c>
      <c r="M63" t="n">
        <v>0</v>
      </c>
      <c r="N63" t="n">
        <v>0</v>
      </c>
      <c r="O63" t="n">
        <v>0</v>
      </c>
      <c r="P63" t="n">
        <v>0</v>
      </c>
      <c r="Q63" t="n">
        <v>0</v>
      </c>
      <c r="R63" s="2" t="inlineStr"/>
    </row>
    <row r="64" ht="15" customHeight="1">
      <c r="A64" t="inlineStr">
        <is>
          <t>A 11897-2021</t>
        </is>
      </c>
      <c r="B64" s="1" t="n">
        <v>44265</v>
      </c>
      <c r="C64" s="1" t="n">
        <v>46081</v>
      </c>
      <c r="D64" t="inlineStr">
        <is>
          <t>VÄRMLANDS LÄN</t>
        </is>
      </c>
      <c r="E64" t="inlineStr">
        <is>
          <t>ÅRJÄNG</t>
        </is>
      </c>
      <c r="G64" t="n">
        <v>8.6</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46081</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46081</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46081</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23042-2021</t>
        </is>
      </c>
      <c r="B68" s="1" t="n">
        <v>44329</v>
      </c>
      <c r="C68" s="1" t="n">
        <v>46081</v>
      </c>
      <c r="D68" t="inlineStr">
        <is>
          <t>VÄRMLANDS LÄN</t>
        </is>
      </c>
      <c r="E68" t="inlineStr">
        <is>
          <t>ÅRJÄNG</t>
        </is>
      </c>
      <c r="G68" t="n">
        <v>7.7</v>
      </c>
      <c r="H68" t="n">
        <v>0</v>
      </c>
      <c r="I68" t="n">
        <v>0</v>
      </c>
      <c r="J68" t="n">
        <v>0</v>
      </c>
      <c r="K68" t="n">
        <v>0</v>
      </c>
      <c r="L68" t="n">
        <v>0</v>
      </c>
      <c r="M68" t="n">
        <v>0</v>
      </c>
      <c r="N68" t="n">
        <v>0</v>
      </c>
      <c r="O68" t="n">
        <v>0</v>
      </c>
      <c r="P68" t="n">
        <v>0</v>
      </c>
      <c r="Q68" t="n">
        <v>0</v>
      </c>
      <c r="R68" s="2" t="inlineStr"/>
    </row>
    <row r="69" ht="15" customHeight="1">
      <c r="A69" t="inlineStr">
        <is>
          <t>A 11585-2022</t>
        </is>
      </c>
      <c r="B69" s="1" t="n">
        <v>44631</v>
      </c>
      <c r="C69" s="1" t="n">
        <v>46081</v>
      </c>
      <c r="D69" t="inlineStr">
        <is>
          <t>VÄRMLANDS LÄN</t>
        </is>
      </c>
      <c r="E69" t="inlineStr">
        <is>
          <t>ÅRJÄNG</t>
        </is>
      </c>
      <c r="F69" t="inlineStr">
        <is>
          <t>Bergvik skog väst AB</t>
        </is>
      </c>
      <c r="G69" t="n">
        <v>3.5</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46081</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46081</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46081</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46081</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46081</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46081</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46081</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46081</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46081</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46081</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46081</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46081</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46081</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46081</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46081</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46081</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46081</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46081</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46081</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46081</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46081</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46081</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46081</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46081</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46081</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46081</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46081</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46081</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46081</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46081</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46081</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46081</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46081</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46081</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46081</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46081</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46081</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46081</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46081</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46081</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46081</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46081</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46081</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46081</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46081</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46081</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46081</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46081</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46081</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46081</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46081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46081</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46081</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46081</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11157-2021</t>
        </is>
      </c>
      <c r="B125" s="1" t="n">
        <v>44261</v>
      </c>
      <c r="C125" s="1" t="n">
        <v>46081</v>
      </c>
      <c r="D125" t="inlineStr">
        <is>
          <t>VÄRMLANDS LÄN</t>
        </is>
      </c>
      <c r="E125" t="inlineStr">
        <is>
          <t>ÅRJÄNG</t>
        </is>
      </c>
      <c r="G125" t="n">
        <v>9</v>
      </c>
      <c r="H125" t="n">
        <v>0</v>
      </c>
      <c r="I125" t="n">
        <v>0</v>
      </c>
      <c r="J125" t="n">
        <v>0</v>
      </c>
      <c r="K125" t="n">
        <v>0</v>
      </c>
      <c r="L125" t="n">
        <v>0</v>
      </c>
      <c r="M125" t="n">
        <v>0</v>
      </c>
      <c r="N125" t="n">
        <v>0</v>
      </c>
      <c r="O125" t="n">
        <v>0</v>
      </c>
      <c r="P125" t="n">
        <v>0</v>
      </c>
      <c r="Q125" t="n">
        <v>0</v>
      </c>
      <c r="R125" s="2" t="inlineStr"/>
    </row>
    <row r="126" ht="15" customHeight="1">
      <c r="A126" t="inlineStr">
        <is>
          <t>A 28934-2022</t>
        </is>
      </c>
      <c r="B126" s="1" t="n">
        <v>44749.58420138889</v>
      </c>
      <c r="C126" s="1" t="n">
        <v>46081</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46081</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46081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46081</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46081</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46081</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46081</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46081</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46081</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46081</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46081</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46081</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46081</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46081</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46081</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46081</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46081</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46081</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46081</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46081</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46081</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46081</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46081</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17248-2021</t>
        </is>
      </c>
      <c r="B149" s="1" t="n">
        <v>44298.53222222222</v>
      </c>
      <c r="C149" s="1" t="n">
        <v>46081</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29701-2021</t>
        </is>
      </c>
      <c r="B150" s="1" t="n">
        <v>44362</v>
      </c>
      <c r="C150" s="1" t="n">
        <v>46081</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46081</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46081</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46081</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46081</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46081</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2970-2022</t>
        </is>
      </c>
      <c r="B156" s="1" t="n">
        <v>44581.71481481481</v>
      </c>
      <c r="C156" s="1" t="n">
        <v>46081</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40829-2021</t>
        </is>
      </c>
      <c r="B157" s="1" t="n">
        <v>44421</v>
      </c>
      <c r="C157" s="1" t="n">
        <v>46081</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46081</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46081</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46081</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46081</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46081</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46081</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46081</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46081</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46081</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46081</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46081</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46081</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46081</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46081</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46081</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46081</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46081</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46081</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46081</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46081</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46081</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46081</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17927-2021</t>
        </is>
      </c>
      <c r="B180" s="1" t="n">
        <v>44301</v>
      </c>
      <c r="C180" s="1" t="n">
        <v>46081</v>
      </c>
      <c r="D180" t="inlineStr">
        <is>
          <t>VÄRMLANDS LÄN</t>
        </is>
      </c>
      <c r="E180" t="inlineStr">
        <is>
          <t>ÅRJÄNG</t>
        </is>
      </c>
      <c r="G180" t="n">
        <v>3.4</v>
      </c>
      <c r="H180" t="n">
        <v>0</v>
      </c>
      <c r="I180" t="n">
        <v>0</v>
      </c>
      <c r="J180" t="n">
        <v>0</v>
      </c>
      <c r="K180" t="n">
        <v>0</v>
      </c>
      <c r="L180" t="n">
        <v>0</v>
      </c>
      <c r="M180" t="n">
        <v>0</v>
      </c>
      <c r="N180" t="n">
        <v>0</v>
      </c>
      <c r="O180" t="n">
        <v>0</v>
      </c>
      <c r="P180" t="n">
        <v>0</v>
      </c>
      <c r="Q180" t="n">
        <v>0</v>
      </c>
      <c r="R180" s="2" t="inlineStr"/>
    </row>
    <row r="181" ht="15" customHeight="1">
      <c r="A181" t="inlineStr">
        <is>
          <t>A 56993-2021</t>
        </is>
      </c>
      <c r="B181" s="1" t="n">
        <v>44482</v>
      </c>
      <c r="C181" s="1" t="n">
        <v>46081</v>
      </c>
      <c r="D181" t="inlineStr">
        <is>
          <t>VÄRMLANDS LÄN</t>
        </is>
      </c>
      <c r="E181" t="inlineStr">
        <is>
          <t>ÅRJÄNG</t>
        </is>
      </c>
      <c r="G181" t="n">
        <v>3.8</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46081</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46081</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46081</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46081</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46081</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46081</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46081</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46081</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13156-2022</t>
        </is>
      </c>
      <c r="B190" s="1" t="n">
        <v>44643</v>
      </c>
      <c r="C190" s="1" t="n">
        <v>46081</v>
      </c>
      <c r="D190" t="inlineStr">
        <is>
          <t>VÄRMLANDS LÄN</t>
        </is>
      </c>
      <c r="E190" t="inlineStr">
        <is>
          <t>ÅRJÄNG</t>
        </is>
      </c>
      <c r="G190" t="n">
        <v>7.8</v>
      </c>
      <c r="H190" t="n">
        <v>0</v>
      </c>
      <c r="I190" t="n">
        <v>0</v>
      </c>
      <c r="J190" t="n">
        <v>0</v>
      </c>
      <c r="K190" t="n">
        <v>0</v>
      </c>
      <c r="L190" t="n">
        <v>0</v>
      </c>
      <c r="M190" t="n">
        <v>0</v>
      </c>
      <c r="N190" t="n">
        <v>0</v>
      </c>
      <c r="O190" t="n">
        <v>0</v>
      </c>
      <c r="P190" t="n">
        <v>0</v>
      </c>
      <c r="Q190" t="n">
        <v>0</v>
      </c>
      <c r="R190" s="2" t="inlineStr"/>
    </row>
    <row r="191" ht="15" customHeight="1">
      <c r="A191" t="inlineStr">
        <is>
          <t>A 9407-2022</t>
        </is>
      </c>
      <c r="B191" s="1" t="n">
        <v>44616.65760416666</v>
      </c>
      <c r="C191" s="1" t="n">
        <v>46081</v>
      </c>
      <c r="D191" t="inlineStr">
        <is>
          <t>VÄRMLANDS LÄN</t>
        </is>
      </c>
      <c r="E191" t="inlineStr">
        <is>
          <t>ÅRJÄNG</t>
        </is>
      </c>
      <c r="G191" t="n">
        <v>0.9</v>
      </c>
      <c r="H191" t="n">
        <v>0</v>
      </c>
      <c r="I191" t="n">
        <v>0</v>
      </c>
      <c r="J191" t="n">
        <v>0</v>
      </c>
      <c r="K191" t="n">
        <v>0</v>
      </c>
      <c r="L191" t="n">
        <v>0</v>
      </c>
      <c r="M191" t="n">
        <v>0</v>
      </c>
      <c r="N191" t="n">
        <v>0</v>
      </c>
      <c r="O191" t="n">
        <v>0</v>
      </c>
      <c r="P191" t="n">
        <v>0</v>
      </c>
      <c r="Q191" t="n">
        <v>0</v>
      </c>
      <c r="R191" s="2" t="inlineStr"/>
    </row>
    <row r="192" ht="15" customHeight="1">
      <c r="A192" t="inlineStr">
        <is>
          <t>A 8938-2022</t>
        </is>
      </c>
      <c r="B192" s="1" t="n">
        <v>44614.7222337963</v>
      </c>
      <c r="C192" s="1" t="n">
        <v>46081</v>
      </c>
      <c r="D192" t="inlineStr">
        <is>
          <t>VÄRMLANDS LÄN</t>
        </is>
      </c>
      <c r="E192" t="inlineStr">
        <is>
          <t>ÅRJÄNG</t>
        </is>
      </c>
      <c r="G192" t="n">
        <v>11.9</v>
      </c>
      <c r="H192" t="n">
        <v>0</v>
      </c>
      <c r="I192" t="n">
        <v>0</v>
      </c>
      <c r="J192" t="n">
        <v>0</v>
      </c>
      <c r="K192" t="n">
        <v>0</v>
      </c>
      <c r="L192" t="n">
        <v>0</v>
      </c>
      <c r="M192" t="n">
        <v>0</v>
      </c>
      <c r="N192" t="n">
        <v>0</v>
      </c>
      <c r="O192" t="n">
        <v>0</v>
      </c>
      <c r="P192" t="n">
        <v>0</v>
      </c>
      <c r="Q192" t="n">
        <v>0</v>
      </c>
      <c r="R192" s="2" t="inlineStr"/>
    </row>
    <row r="193" ht="15" customHeight="1">
      <c r="A193" t="inlineStr">
        <is>
          <t>A 47005-2021</t>
        </is>
      </c>
      <c r="B193" s="1" t="n">
        <v>44446</v>
      </c>
      <c r="C193" s="1" t="n">
        <v>46081</v>
      </c>
      <c r="D193" t="inlineStr">
        <is>
          <t>VÄRMLANDS LÄN</t>
        </is>
      </c>
      <c r="E193" t="inlineStr">
        <is>
          <t>ÅRJÄNG</t>
        </is>
      </c>
      <c r="G193" t="n">
        <v>6.3</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46081</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36016-2022</t>
        </is>
      </c>
      <c r="B195" s="1" t="n">
        <v>44802.64721064815</v>
      </c>
      <c r="C195" s="1" t="n">
        <v>46081</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46081</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46081</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46081</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46081</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46081</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46081</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46081</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46081</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46081</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46081</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46081</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46081</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46081</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46081</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48192-2022</t>
        </is>
      </c>
      <c r="B210" s="1" t="n">
        <v>44853</v>
      </c>
      <c r="C210" s="1" t="n">
        <v>46081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27862-2021</t>
        </is>
      </c>
      <c r="B211" s="1" t="n">
        <v>44354</v>
      </c>
      <c r="C211" s="1" t="n">
        <v>46081</v>
      </c>
      <c r="D211" t="inlineStr">
        <is>
          <t>VÄRMLANDS LÄN</t>
        </is>
      </c>
      <c r="E211" t="inlineStr">
        <is>
          <t>ÅRJÄNG</t>
        </is>
      </c>
      <c r="G211" t="n">
        <v>3.7</v>
      </c>
      <c r="H211" t="n">
        <v>0</v>
      </c>
      <c r="I211" t="n">
        <v>0</v>
      </c>
      <c r="J211" t="n">
        <v>0</v>
      </c>
      <c r="K211" t="n">
        <v>0</v>
      </c>
      <c r="L211" t="n">
        <v>0</v>
      </c>
      <c r="M211" t="n">
        <v>0</v>
      </c>
      <c r="N211" t="n">
        <v>0</v>
      </c>
      <c r="O211" t="n">
        <v>0</v>
      </c>
      <c r="P211" t="n">
        <v>0</v>
      </c>
      <c r="Q211" t="n">
        <v>0</v>
      </c>
      <c r="R211" s="2" t="inlineStr"/>
    </row>
    <row r="212" ht="15" customHeight="1">
      <c r="A212" t="inlineStr">
        <is>
          <t>A 43034-2021</t>
        </is>
      </c>
      <c r="B212" s="1" t="n">
        <v>44431</v>
      </c>
      <c r="C212" s="1" t="n">
        <v>46081</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46081</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46081</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46081</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46081</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46081</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46081</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46081</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46081</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46081</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46081</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46081</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46081</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46081</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46081</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46081</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27871-2021</t>
        </is>
      </c>
      <c r="B228" s="1" t="n">
        <v>44354</v>
      </c>
      <c r="C228" s="1" t="n">
        <v>46081</v>
      </c>
      <c r="D228" t="inlineStr">
        <is>
          <t>VÄRMLANDS LÄN</t>
        </is>
      </c>
      <c r="E228" t="inlineStr">
        <is>
          <t>ÅRJÄNG</t>
        </is>
      </c>
      <c r="G228" t="n">
        <v>2.3</v>
      </c>
      <c r="H228" t="n">
        <v>0</v>
      </c>
      <c r="I228" t="n">
        <v>0</v>
      </c>
      <c r="J228" t="n">
        <v>0</v>
      </c>
      <c r="K228" t="n">
        <v>0</v>
      </c>
      <c r="L228" t="n">
        <v>0</v>
      </c>
      <c r="M228" t="n">
        <v>0</v>
      </c>
      <c r="N228" t="n">
        <v>0</v>
      </c>
      <c r="O228" t="n">
        <v>0</v>
      </c>
      <c r="P228" t="n">
        <v>0</v>
      </c>
      <c r="Q228" t="n">
        <v>0</v>
      </c>
      <c r="R228" s="2" t="inlineStr"/>
    </row>
    <row r="229" ht="15" customHeight="1">
      <c r="A229" t="inlineStr">
        <is>
          <t>A 22158-2021</t>
        </is>
      </c>
      <c r="B229" s="1" t="n">
        <v>44325.57944444445</v>
      </c>
      <c r="C229" s="1" t="n">
        <v>46081</v>
      </c>
      <c r="D229" t="inlineStr">
        <is>
          <t>VÄRMLANDS LÄN</t>
        </is>
      </c>
      <c r="E229" t="inlineStr">
        <is>
          <t>ÅRJÄNG</t>
        </is>
      </c>
      <c r="G229" t="n">
        <v>5</v>
      </c>
      <c r="H229" t="n">
        <v>0</v>
      </c>
      <c r="I229" t="n">
        <v>0</v>
      </c>
      <c r="J229" t="n">
        <v>0</v>
      </c>
      <c r="K229" t="n">
        <v>0</v>
      </c>
      <c r="L229" t="n">
        <v>0</v>
      </c>
      <c r="M229" t="n">
        <v>0</v>
      </c>
      <c r="N229" t="n">
        <v>0</v>
      </c>
      <c r="O229" t="n">
        <v>0</v>
      </c>
      <c r="P229" t="n">
        <v>0</v>
      </c>
      <c r="Q229" t="n">
        <v>0</v>
      </c>
      <c r="R229" s="2" t="inlineStr"/>
    </row>
    <row r="230" ht="15" customHeight="1">
      <c r="A230" t="inlineStr">
        <is>
          <t>A 23451-2021</t>
        </is>
      </c>
      <c r="B230" s="1" t="n">
        <v>44333.89180555556</v>
      </c>
      <c r="C230" s="1" t="n">
        <v>46081</v>
      </c>
      <c r="D230" t="inlineStr">
        <is>
          <t>VÄRMLANDS LÄN</t>
        </is>
      </c>
      <c r="E230" t="inlineStr">
        <is>
          <t>ÅRJÄNG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46081</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7235-2022</t>
        </is>
      </c>
      <c r="B232" s="1" t="n">
        <v>44606</v>
      </c>
      <c r="C232" s="1" t="n">
        <v>46081</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72609-2021</t>
        </is>
      </c>
      <c r="B233" s="1" t="n">
        <v>44546.50645833334</v>
      </c>
      <c r="C233" s="1" t="n">
        <v>46081</v>
      </c>
      <c r="D233" t="inlineStr">
        <is>
          <t>VÄRMLANDS LÄN</t>
        </is>
      </c>
      <c r="E233" t="inlineStr">
        <is>
          <t>ÅRJÄNG</t>
        </is>
      </c>
      <c r="F233" t="inlineStr">
        <is>
          <t>Kyrkan</t>
        </is>
      </c>
      <c r="G233" t="n">
        <v>1.8</v>
      </c>
      <c r="H233" t="n">
        <v>0</v>
      </c>
      <c r="I233" t="n">
        <v>0</v>
      </c>
      <c r="J233" t="n">
        <v>0</v>
      </c>
      <c r="K233" t="n">
        <v>0</v>
      </c>
      <c r="L233" t="n">
        <v>0</v>
      </c>
      <c r="M233" t="n">
        <v>0</v>
      </c>
      <c r="N233" t="n">
        <v>0</v>
      </c>
      <c r="O233" t="n">
        <v>0</v>
      </c>
      <c r="P233" t="n">
        <v>0</v>
      </c>
      <c r="Q233" t="n">
        <v>0</v>
      </c>
      <c r="R233" s="2" t="inlineStr"/>
    </row>
    <row r="234" ht="15" customHeight="1">
      <c r="A234" t="inlineStr">
        <is>
          <t>A 29098-2022</t>
        </is>
      </c>
      <c r="B234" s="1" t="n">
        <v>44750</v>
      </c>
      <c r="C234" s="1" t="n">
        <v>46081</v>
      </c>
      <c r="D234" t="inlineStr">
        <is>
          <t>VÄRMLANDS LÄN</t>
        </is>
      </c>
      <c r="E234" t="inlineStr">
        <is>
          <t>ÅRJÄNG</t>
        </is>
      </c>
      <c r="G234" t="n">
        <v>1.1</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46081</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46081</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16676-2021</t>
        </is>
      </c>
      <c r="B237" s="1" t="n">
        <v>44294.5668287037</v>
      </c>
      <c r="C237" s="1" t="n">
        <v>46081</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8408-2022</t>
        </is>
      </c>
      <c r="B238" s="1" t="n">
        <v>44610</v>
      </c>
      <c r="C238" s="1" t="n">
        <v>46081</v>
      </c>
      <c r="D238" t="inlineStr">
        <is>
          <t>VÄRMLANDS LÄN</t>
        </is>
      </c>
      <c r="E238" t="inlineStr">
        <is>
          <t>ÅRJÄNG</t>
        </is>
      </c>
      <c r="G238" t="n">
        <v>3.9</v>
      </c>
      <c r="H238" t="n">
        <v>0</v>
      </c>
      <c r="I238" t="n">
        <v>0</v>
      </c>
      <c r="J238" t="n">
        <v>0</v>
      </c>
      <c r="K238" t="n">
        <v>0</v>
      </c>
      <c r="L238" t="n">
        <v>0</v>
      </c>
      <c r="M238" t="n">
        <v>0</v>
      </c>
      <c r="N238" t="n">
        <v>0</v>
      </c>
      <c r="O238" t="n">
        <v>0</v>
      </c>
      <c r="P238" t="n">
        <v>0</v>
      </c>
      <c r="Q238" t="n">
        <v>0</v>
      </c>
      <c r="R238" s="2" t="inlineStr"/>
    </row>
    <row r="239" ht="15" customHeight="1">
      <c r="A239" t="inlineStr">
        <is>
          <t>A 19893-2022</t>
        </is>
      </c>
      <c r="B239" s="1" t="n">
        <v>44697</v>
      </c>
      <c r="C239" s="1" t="n">
        <v>46081</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4915-2022</t>
        </is>
      </c>
      <c r="B240" s="1" t="n">
        <v>44593</v>
      </c>
      <c r="C240" s="1" t="n">
        <v>46081</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72996-2021</t>
        </is>
      </c>
      <c r="B241" s="1" t="n">
        <v>44549.8596875</v>
      </c>
      <c r="C241" s="1" t="n">
        <v>46081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37949-2022</t>
        </is>
      </c>
      <c r="B242" s="1" t="n">
        <v>44811.48773148148</v>
      </c>
      <c r="C242" s="1" t="n">
        <v>46081</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46081</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46081</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10518-2022</t>
        </is>
      </c>
      <c r="B245" s="1" t="n">
        <v>44623.77545138889</v>
      </c>
      <c r="C245" s="1" t="n">
        <v>46081</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15249-2021</t>
        </is>
      </c>
      <c r="B246" s="1" t="n">
        <v>44282</v>
      </c>
      <c r="C246" s="1" t="n">
        <v>46081</v>
      </c>
      <c r="D246" t="inlineStr">
        <is>
          <t>VÄRMLANDS LÄN</t>
        </is>
      </c>
      <c r="E246" t="inlineStr">
        <is>
          <t>ÅRJÄNG</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46081</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46081</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46081</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46081</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46081</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46081</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46081</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46081</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10899-2022</t>
        </is>
      </c>
      <c r="B255" s="1" t="n">
        <v>44627</v>
      </c>
      <c r="C255" s="1" t="n">
        <v>46081</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46081</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46081</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56778-2024</t>
        </is>
      </c>
      <c r="B258" s="1" t="n">
        <v>45628</v>
      </c>
      <c r="C258" s="1" t="n">
        <v>46081</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46081</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46081</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46081</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46081</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19964-2023</t>
        </is>
      </c>
      <c r="B263" s="1" t="n">
        <v>45051</v>
      </c>
      <c r="C263" s="1" t="n">
        <v>46081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5122-2025</t>
        </is>
      </c>
      <c r="B264" s="1" t="n">
        <v>45691.55863425926</v>
      </c>
      <c r="C264" s="1" t="n">
        <v>46081</v>
      </c>
      <c r="D264" t="inlineStr">
        <is>
          <t>VÄRMLANDS LÄN</t>
        </is>
      </c>
      <c r="E264" t="inlineStr">
        <is>
          <t>ÅRJÄNG</t>
        </is>
      </c>
      <c r="G264" t="n">
        <v>5.7</v>
      </c>
      <c r="H264" t="n">
        <v>0</v>
      </c>
      <c r="I264" t="n">
        <v>0</v>
      </c>
      <c r="J264" t="n">
        <v>0</v>
      </c>
      <c r="K264" t="n">
        <v>0</v>
      </c>
      <c r="L264" t="n">
        <v>0</v>
      </c>
      <c r="M264" t="n">
        <v>0</v>
      </c>
      <c r="N264" t="n">
        <v>0</v>
      </c>
      <c r="O264" t="n">
        <v>0</v>
      </c>
      <c r="P264" t="n">
        <v>0</v>
      </c>
      <c r="Q264" t="n">
        <v>0</v>
      </c>
      <c r="R264" s="2" t="inlineStr"/>
    </row>
    <row r="265" ht="15" customHeight="1">
      <c r="A265" t="inlineStr">
        <is>
          <t>A 16079-2024</t>
        </is>
      </c>
      <c r="B265" s="1" t="n">
        <v>45406</v>
      </c>
      <c r="C265" s="1" t="n">
        <v>46081</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12072-2024</t>
        </is>
      </c>
      <c r="B266" s="1" t="n">
        <v>45377</v>
      </c>
      <c r="C266" s="1" t="n">
        <v>46081</v>
      </c>
      <c r="D266" t="inlineStr">
        <is>
          <t>VÄRMLANDS LÄN</t>
        </is>
      </c>
      <c r="E266" t="inlineStr">
        <is>
          <t>ÅRJÄNG</t>
        </is>
      </c>
      <c r="G266" t="n">
        <v>2.5</v>
      </c>
      <c r="H266" t="n">
        <v>0</v>
      </c>
      <c r="I266" t="n">
        <v>0</v>
      </c>
      <c r="J266" t="n">
        <v>0</v>
      </c>
      <c r="K266" t="n">
        <v>0</v>
      </c>
      <c r="L266" t="n">
        <v>0</v>
      </c>
      <c r="M266" t="n">
        <v>0</v>
      </c>
      <c r="N266" t="n">
        <v>0</v>
      </c>
      <c r="O266" t="n">
        <v>0</v>
      </c>
      <c r="P266" t="n">
        <v>0</v>
      </c>
      <c r="Q266" t="n">
        <v>0</v>
      </c>
      <c r="R266" s="2" t="inlineStr"/>
    </row>
    <row r="267" ht="15" customHeight="1">
      <c r="A267" t="inlineStr">
        <is>
          <t>A 47228-2023</t>
        </is>
      </c>
      <c r="B267" s="1" t="n">
        <v>45202.3709837963</v>
      </c>
      <c r="C267" s="1" t="n">
        <v>46081</v>
      </c>
      <c r="D267" t="inlineStr">
        <is>
          <t>VÄRMLANDS LÄN</t>
        </is>
      </c>
      <c r="E267" t="inlineStr">
        <is>
          <t>ÅRJÄNG</t>
        </is>
      </c>
      <c r="G267" t="n">
        <v>1.1</v>
      </c>
      <c r="H267" t="n">
        <v>0</v>
      </c>
      <c r="I267" t="n">
        <v>0</v>
      </c>
      <c r="J267" t="n">
        <v>0</v>
      </c>
      <c r="K267" t="n">
        <v>0</v>
      </c>
      <c r="L267" t="n">
        <v>0</v>
      </c>
      <c r="M267" t="n">
        <v>0</v>
      </c>
      <c r="N267" t="n">
        <v>0</v>
      </c>
      <c r="O267" t="n">
        <v>0</v>
      </c>
      <c r="P267" t="n">
        <v>0</v>
      </c>
      <c r="Q267" t="n">
        <v>0</v>
      </c>
      <c r="R267" s="2" t="inlineStr"/>
    </row>
    <row r="268" ht="15" customHeight="1">
      <c r="A268" t="inlineStr">
        <is>
          <t>A 16791-2025</t>
        </is>
      </c>
      <c r="B268" s="1" t="n">
        <v>45754</v>
      </c>
      <c r="C268" s="1" t="n">
        <v>46081</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11805-2024</t>
        </is>
      </c>
      <c r="B269" s="1" t="n">
        <v>45375.76523148148</v>
      </c>
      <c r="C269" s="1" t="n">
        <v>46081</v>
      </c>
      <c r="D269" t="inlineStr">
        <is>
          <t>VÄRMLANDS LÄN</t>
        </is>
      </c>
      <c r="E269" t="inlineStr">
        <is>
          <t>ÅRJÄNG</t>
        </is>
      </c>
      <c r="G269" t="n">
        <v>4.4</v>
      </c>
      <c r="H269" t="n">
        <v>0</v>
      </c>
      <c r="I269" t="n">
        <v>0</v>
      </c>
      <c r="J269" t="n">
        <v>0</v>
      </c>
      <c r="K269" t="n">
        <v>0</v>
      </c>
      <c r="L269" t="n">
        <v>0</v>
      </c>
      <c r="M269" t="n">
        <v>0</v>
      </c>
      <c r="N269" t="n">
        <v>0</v>
      </c>
      <c r="O269" t="n">
        <v>0</v>
      </c>
      <c r="P269" t="n">
        <v>0</v>
      </c>
      <c r="Q269" t="n">
        <v>0</v>
      </c>
      <c r="R269" s="2" t="inlineStr"/>
    </row>
    <row r="270" ht="15" customHeight="1">
      <c r="A270" t="inlineStr">
        <is>
          <t>A 15828-2024</t>
        </is>
      </c>
      <c r="B270" s="1" t="n">
        <v>45404</v>
      </c>
      <c r="C270" s="1" t="n">
        <v>46081</v>
      </c>
      <c r="D270" t="inlineStr">
        <is>
          <t>VÄRMLANDS LÄN</t>
        </is>
      </c>
      <c r="E270" t="inlineStr">
        <is>
          <t>ÅRJÄNG</t>
        </is>
      </c>
      <c r="G270" t="n">
        <v>1.5</v>
      </c>
      <c r="H270" t="n">
        <v>0</v>
      </c>
      <c r="I270" t="n">
        <v>0</v>
      </c>
      <c r="J270" t="n">
        <v>0</v>
      </c>
      <c r="K270" t="n">
        <v>0</v>
      </c>
      <c r="L270" t="n">
        <v>0</v>
      </c>
      <c r="M270" t="n">
        <v>0</v>
      </c>
      <c r="N270" t="n">
        <v>0</v>
      </c>
      <c r="O270" t="n">
        <v>0</v>
      </c>
      <c r="P270" t="n">
        <v>0</v>
      </c>
      <c r="Q270" t="n">
        <v>0</v>
      </c>
      <c r="R270" s="2" t="inlineStr"/>
    </row>
    <row r="271" ht="15" customHeight="1">
      <c r="A271" t="inlineStr">
        <is>
          <t>A 47688-2023</t>
        </is>
      </c>
      <c r="B271" s="1" t="n">
        <v>45203</v>
      </c>
      <c r="C271" s="1" t="n">
        <v>46081</v>
      </c>
      <c r="D271" t="inlineStr">
        <is>
          <t>VÄRMLANDS LÄN</t>
        </is>
      </c>
      <c r="E271" t="inlineStr">
        <is>
          <t>ÅRJÄNG</t>
        </is>
      </c>
      <c r="F271" t="inlineStr">
        <is>
          <t>Övriga Aktiebolag</t>
        </is>
      </c>
      <c r="G271" t="n">
        <v>20.3</v>
      </c>
      <c r="H271" t="n">
        <v>0</v>
      </c>
      <c r="I271" t="n">
        <v>0</v>
      </c>
      <c r="J271" t="n">
        <v>0</v>
      </c>
      <c r="K271" t="n">
        <v>0</v>
      </c>
      <c r="L271" t="n">
        <v>0</v>
      </c>
      <c r="M271" t="n">
        <v>0</v>
      </c>
      <c r="N271" t="n">
        <v>0</v>
      </c>
      <c r="O271" t="n">
        <v>0</v>
      </c>
      <c r="P271" t="n">
        <v>0</v>
      </c>
      <c r="Q271" t="n">
        <v>0</v>
      </c>
      <c r="R271" s="2" t="inlineStr"/>
    </row>
    <row r="272" ht="15" customHeight="1">
      <c r="A272" t="inlineStr">
        <is>
          <t>A 30459-2022</t>
        </is>
      </c>
      <c r="B272" s="1" t="n">
        <v>44761</v>
      </c>
      <c r="C272" s="1" t="n">
        <v>46081</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7444-2024</t>
        </is>
      </c>
      <c r="B273" s="1" t="n">
        <v>45345.72637731482</v>
      </c>
      <c r="C273" s="1" t="n">
        <v>46081</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40490-2022</t>
        </is>
      </c>
      <c r="B274" s="1" t="n">
        <v>44823.58560185185</v>
      </c>
      <c r="C274" s="1" t="n">
        <v>46081</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19511-2024</t>
        </is>
      </c>
      <c r="B275" s="1" t="n">
        <v>45429.6099537037</v>
      </c>
      <c r="C275" s="1" t="n">
        <v>46081</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19516-2024</t>
        </is>
      </c>
      <c r="B276" s="1" t="n">
        <v>45429.61491898148</v>
      </c>
      <c r="C276" s="1" t="n">
        <v>46081</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59385-2023</t>
        </is>
      </c>
      <c r="B277" s="1" t="n">
        <v>45253</v>
      </c>
      <c r="C277" s="1" t="n">
        <v>46081</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13036-2025</t>
        </is>
      </c>
      <c r="B278" s="1" t="n">
        <v>45734.57474537037</v>
      </c>
      <c r="C278" s="1" t="n">
        <v>46081</v>
      </c>
      <c r="D278" t="inlineStr">
        <is>
          <t>VÄRMLANDS LÄN</t>
        </is>
      </c>
      <c r="E278" t="inlineStr">
        <is>
          <t>ÅRJÄNG</t>
        </is>
      </c>
      <c r="G278" t="n">
        <v>5.6</v>
      </c>
      <c r="H278" t="n">
        <v>0</v>
      </c>
      <c r="I278" t="n">
        <v>0</v>
      </c>
      <c r="J278" t="n">
        <v>0</v>
      </c>
      <c r="K278" t="n">
        <v>0</v>
      </c>
      <c r="L278" t="n">
        <v>0</v>
      </c>
      <c r="M278" t="n">
        <v>0</v>
      </c>
      <c r="N278" t="n">
        <v>0</v>
      </c>
      <c r="O278" t="n">
        <v>0</v>
      </c>
      <c r="P278" t="n">
        <v>0</v>
      </c>
      <c r="Q278" t="n">
        <v>0</v>
      </c>
      <c r="R278" s="2" t="inlineStr"/>
    </row>
    <row r="279" ht="15" customHeight="1">
      <c r="A279" t="inlineStr">
        <is>
          <t>A 13734-2024</t>
        </is>
      </c>
      <c r="B279" s="1" t="n">
        <v>45387</v>
      </c>
      <c r="C279" s="1" t="n">
        <v>46081</v>
      </c>
      <c r="D279" t="inlineStr">
        <is>
          <t>VÄRMLANDS LÄN</t>
        </is>
      </c>
      <c r="E279" t="inlineStr">
        <is>
          <t>ÅRJÄNG</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13824-2024</t>
        </is>
      </c>
      <c r="B280" s="1" t="n">
        <v>45391.42951388889</v>
      </c>
      <c r="C280" s="1" t="n">
        <v>46081</v>
      </c>
      <c r="D280" t="inlineStr">
        <is>
          <t>VÄRMLANDS LÄN</t>
        </is>
      </c>
      <c r="E280" t="inlineStr">
        <is>
          <t>ÅRJÄNG</t>
        </is>
      </c>
      <c r="G280" t="n">
        <v>1.9</v>
      </c>
      <c r="H280" t="n">
        <v>0</v>
      </c>
      <c r="I280" t="n">
        <v>0</v>
      </c>
      <c r="J280" t="n">
        <v>0</v>
      </c>
      <c r="K280" t="n">
        <v>0</v>
      </c>
      <c r="L280" t="n">
        <v>0</v>
      </c>
      <c r="M280" t="n">
        <v>0</v>
      </c>
      <c r="N280" t="n">
        <v>0</v>
      </c>
      <c r="O280" t="n">
        <v>0</v>
      </c>
      <c r="P280" t="n">
        <v>0</v>
      </c>
      <c r="Q280" t="n">
        <v>0</v>
      </c>
      <c r="R280" s="2" t="inlineStr"/>
    </row>
    <row r="281" ht="15" customHeight="1">
      <c r="A281" t="inlineStr">
        <is>
          <t>A 74430-2021</t>
        </is>
      </c>
      <c r="B281" s="1" t="n">
        <v>44560.43342592593</v>
      </c>
      <c r="C281" s="1" t="n">
        <v>46081</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9909-2024</t>
        </is>
      </c>
      <c r="B282" s="1" t="n">
        <v>45363.53642361111</v>
      </c>
      <c r="C282" s="1" t="n">
        <v>46081</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15148-2025</t>
        </is>
      </c>
      <c r="B283" s="1" t="n">
        <v>45744.45298611111</v>
      </c>
      <c r="C283" s="1" t="n">
        <v>46081</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51109-2022</t>
        </is>
      </c>
      <c r="B284" s="1" t="n">
        <v>44868.43569444444</v>
      </c>
      <c r="C284" s="1" t="n">
        <v>46081</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41986-2022</t>
        </is>
      </c>
      <c r="B285" s="1" t="n">
        <v>44830.4380787037</v>
      </c>
      <c r="C285" s="1" t="n">
        <v>46081</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46081</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14768-2024</t>
        </is>
      </c>
      <c r="B287" s="1" t="n">
        <v>45397</v>
      </c>
      <c r="C287" s="1" t="n">
        <v>46081</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13998-2024</t>
        </is>
      </c>
      <c r="B288" s="1" t="n">
        <v>45392</v>
      </c>
      <c r="C288" s="1" t="n">
        <v>46081</v>
      </c>
      <c r="D288" t="inlineStr">
        <is>
          <t>VÄRMLANDS LÄN</t>
        </is>
      </c>
      <c r="E288" t="inlineStr">
        <is>
          <t>ÅRJÄNG</t>
        </is>
      </c>
      <c r="G288" t="n">
        <v>1.8</v>
      </c>
      <c r="H288" t="n">
        <v>0</v>
      </c>
      <c r="I288" t="n">
        <v>0</v>
      </c>
      <c r="J288" t="n">
        <v>0</v>
      </c>
      <c r="K288" t="n">
        <v>0</v>
      </c>
      <c r="L288" t="n">
        <v>0</v>
      </c>
      <c r="M288" t="n">
        <v>0</v>
      </c>
      <c r="N288" t="n">
        <v>0</v>
      </c>
      <c r="O288" t="n">
        <v>0</v>
      </c>
      <c r="P288" t="n">
        <v>0</v>
      </c>
      <c r="Q288" t="n">
        <v>0</v>
      </c>
      <c r="R288" s="2" t="inlineStr"/>
    </row>
    <row r="289" ht="15" customHeight="1">
      <c r="A289" t="inlineStr">
        <is>
          <t>A 15953-2025</t>
        </is>
      </c>
      <c r="B289" s="1" t="n">
        <v>45749</v>
      </c>
      <c r="C289" s="1" t="n">
        <v>46081</v>
      </c>
      <c r="D289" t="inlineStr">
        <is>
          <t>VÄRMLANDS LÄN</t>
        </is>
      </c>
      <c r="E289" t="inlineStr">
        <is>
          <t>ÅRJÄNG</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44647-2021</t>
        </is>
      </c>
      <c r="B290" s="1" t="n">
        <v>44437.83967592593</v>
      </c>
      <c r="C290" s="1" t="n">
        <v>46081</v>
      </c>
      <c r="D290" t="inlineStr">
        <is>
          <t>VÄRMLANDS LÄN</t>
        </is>
      </c>
      <c r="E290" t="inlineStr">
        <is>
          <t>ÅRJÄNG</t>
        </is>
      </c>
      <c r="G290" t="n">
        <v>3</v>
      </c>
      <c r="H290" t="n">
        <v>0</v>
      </c>
      <c r="I290" t="n">
        <v>0</v>
      </c>
      <c r="J290" t="n">
        <v>0</v>
      </c>
      <c r="K290" t="n">
        <v>0</v>
      </c>
      <c r="L290" t="n">
        <v>0</v>
      </c>
      <c r="M290" t="n">
        <v>0</v>
      </c>
      <c r="N290" t="n">
        <v>0</v>
      </c>
      <c r="O290" t="n">
        <v>0</v>
      </c>
      <c r="P290" t="n">
        <v>0</v>
      </c>
      <c r="Q290" t="n">
        <v>0</v>
      </c>
      <c r="R290" s="2" t="inlineStr"/>
    </row>
    <row r="291" ht="15" customHeight="1">
      <c r="A291" t="inlineStr">
        <is>
          <t>A 4668-2025</t>
        </is>
      </c>
      <c r="B291" s="1" t="n">
        <v>45687.76229166667</v>
      </c>
      <c r="C291" s="1" t="n">
        <v>46081</v>
      </c>
      <c r="D291" t="inlineStr">
        <is>
          <t>VÄRMLANDS LÄN</t>
        </is>
      </c>
      <c r="E291" t="inlineStr">
        <is>
          <t>ÅRJÄNG</t>
        </is>
      </c>
      <c r="G291" t="n">
        <v>8.5</v>
      </c>
      <c r="H291" t="n">
        <v>0</v>
      </c>
      <c r="I291" t="n">
        <v>0</v>
      </c>
      <c r="J291" t="n">
        <v>0</v>
      </c>
      <c r="K291" t="n">
        <v>0</v>
      </c>
      <c r="L291" t="n">
        <v>0</v>
      </c>
      <c r="M291" t="n">
        <v>0</v>
      </c>
      <c r="N291" t="n">
        <v>0</v>
      </c>
      <c r="O291" t="n">
        <v>0</v>
      </c>
      <c r="P291" t="n">
        <v>0</v>
      </c>
      <c r="Q291" t="n">
        <v>0</v>
      </c>
      <c r="R291" s="2" t="inlineStr"/>
    </row>
    <row r="292" ht="15" customHeight="1">
      <c r="A292" t="inlineStr">
        <is>
          <t>A 540-2024</t>
        </is>
      </c>
      <c r="B292" s="1" t="n">
        <v>45299</v>
      </c>
      <c r="C292" s="1" t="n">
        <v>46081</v>
      </c>
      <c r="D292" t="inlineStr">
        <is>
          <t>VÄRMLANDS LÄN</t>
        </is>
      </c>
      <c r="E292" t="inlineStr">
        <is>
          <t>ÅRJÄNG</t>
        </is>
      </c>
      <c r="F292" t="inlineStr">
        <is>
          <t>Kyrkan</t>
        </is>
      </c>
      <c r="G292" t="n">
        <v>7</v>
      </c>
      <c r="H292" t="n">
        <v>0</v>
      </c>
      <c r="I292" t="n">
        <v>0</v>
      </c>
      <c r="J292" t="n">
        <v>0</v>
      </c>
      <c r="K292" t="n">
        <v>0</v>
      </c>
      <c r="L292" t="n">
        <v>0</v>
      </c>
      <c r="M292" t="n">
        <v>0</v>
      </c>
      <c r="N292" t="n">
        <v>0</v>
      </c>
      <c r="O292" t="n">
        <v>0</v>
      </c>
      <c r="P292" t="n">
        <v>0</v>
      </c>
      <c r="Q292" t="n">
        <v>0</v>
      </c>
      <c r="R292" s="2" t="inlineStr"/>
    </row>
    <row r="293" ht="15" customHeight="1">
      <c r="A293" t="inlineStr">
        <is>
          <t>A 42241-2024</t>
        </is>
      </c>
      <c r="B293" s="1" t="n">
        <v>45562</v>
      </c>
      <c r="C293" s="1" t="n">
        <v>46081</v>
      </c>
      <c r="D293" t="inlineStr">
        <is>
          <t>VÄRMLANDS LÄN</t>
        </is>
      </c>
      <c r="E293" t="inlineStr">
        <is>
          <t>ÅRJÄNG</t>
        </is>
      </c>
      <c r="G293" t="n">
        <v>4</v>
      </c>
      <c r="H293" t="n">
        <v>0</v>
      </c>
      <c r="I293" t="n">
        <v>0</v>
      </c>
      <c r="J293" t="n">
        <v>0</v>
      </c>
      <c r="K293" t="n">
        <v>0</v>
      </c>
      <c r="L293" t="n">
        <v>0</v>
      </c>
      <c r="M293" t="n">
        <v>0</v>
      </c>
      <c r="N293" t="n">
        <v>0</v>
      </c>
      <c r="O293" t="n">
        <v>0</v>
      </c>
      <c r="P293" t="n">
        <v>0</v>
      </c>
      <c r="Q293" t="n">
        <v>0</v>
      </c>
      <c r="R293" s="2" t="inlineStr"/>
    </row>
    <row r="294" ht="15" customHeight="1">
      <c r="A294" t="inlineStr">
        <is>
          <t>A 19410-2024</t>
        </is>
      </c>
      <c r="B294" s="1" t="n">
        <v>45429</v>
      </c>
      <c r="C294" s="1" t="n">
        <v>46081</v>
      </c>
      <c r="D294" t="inlineStr">
        <is>
          <t>VÄRMLANDS LÄN</t>
        </is>
      </c>
      <c r="E294" t="inlineStr">
        <is>
          <t>ÅRJÄNG</t>
        </is>
      </c>
      <c r="G294" t="n">
        <v>7.9</v>
      </c>
      <c r="H294" t="n">
        <v>0</v>
      </c>
      <c r="I294" t="n">
        <v>0</v>
      </c>
      <c r="J294" t="n">
        <v>0</v>
      </c>
      <c r="K294" t="n">
        <v>0</v>
      </c>
      <c r="L294" t="n">
        <v>0</v>
      </c>
      <c r="M294" t="n">
        <v>0</v>
      </c>
      <c r="N294" t="n">
        <v>0</v>
      </c>
      <c r="O294" t="n">
        <v>0</v>
      </c>
      <c r="P294" t="n">
        <v>0</v>
      </c>
      <c r="Q294" t="n">
        <v>0</v>
      </c>
      <c r="R294" s="2" t="inlineStr"/>
    </row>
    <row r="295" ht="15" customHeight="1">
      <c r="A295" t="inlineStr">
        <is>
          <t>A 23048-2024</t>
        </is>
      </c>
      <c r="B295" s="1" t="n">
        <v>45450.42488425926</v>
      </c>
      <c r="C295" s="1" t="n">
        <v>46081</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23051-2024</t>
        </is>
      </c>
      <c r="B296" s="1" t="n">
        <v>45450.42902777778</v>
      </c>
      <c r="C296" s="1" t="n">
        <v>46081</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21081-2023</t>
        </is>
      </c>
      <c r="B297" s="1" t="n">
        <v>45057</v>
      </c>
      <c r="C297" s="1" t="n">
        <v>46081</v>
      </c>
      <c r="D297" t="inlineStr">
        <is>
          <t>VÄRMLANDS LÄN</t>
        </is>
      </c>
      <c r="E297" t="inlineStr">
        <is>
          <t>ÅRJÄNG</t>
        </is>
      </c>
      <c r="G297" t="n">
        <v>5.1</v>
      </c>
      <c r="H297" t="n">
        <v>0</v>
      </c>
      <c r="I297" t="n">
        <v>0</v>
      </c>
      <c r="J297" t="n">
        <v>0</v>
      </c>
      <c r="K297" t="n">
        <v>0</v>
      </c>
      <c r="L297" t="n">
        <v>0</v>
      </c>
      <c r="M297" t="n">
        <v>0</v>
      </c>
      <c r="N297" t="n">
        <v>0</v>
      </c>
      <c r="O297" t="n">
        <v>0</v>
      </c>
      <c r="P297" t="n">
        <v>0</v>
      </c>
      <c r="Q297" t="n">
        <v>0</v>
      </c>
      <c r="R297" s="2" t="inlineStr"/>
    </row>
    <row r="298" ht="15" customHeight="1">
      <c r="A298" t="inlineStr">
        <is>
          <t>A 57062-2022</t>
        </is>
      </c>
      <c r="B298" s="1" t="n">
        <v>44895.40797453704</v>
      </c>
      <c r="C298" s="1" t="n">
        <v>46081</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45619.9753125</v>
      </c>
      <c r="C299" s="1" t="n">
        <v>46081</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26259-2024</t>
        </is>
      </c>
      <c r="B300" s="1" t="n">
        <v>45468</v>
      </c>
      <c r="C300" s="1" t="n">
        <v>46081</v>
      </c>
      <c r="D300" t="inlineStr">
        <is>
          <t>VÄRMLANDS LÄN</t>
        </is>
      </c>
      <c r="E300" t="inlineStr">
        <is>
          <t>ÅRJÄNG</t>
        </is>
      </c>
      <c r="G300" t="n">
        <v>4.3</v>
      </c>
      <c r="H300" t="n">
        <v>0</v>
      </c>
      <c r="I300" t="n">
        <v>0</v>
      </c>
      <c r="J300" t="n">
        <v>0</v>
      </c>
      <c r="K300" t="n">
        <v>0</v>
      </c>
      <c r="L300" t="n">
        <v>0</v>
      </c>
      <c r="M300" t="n">
        <v>0</v>
      </c>
      <c r="N300" t="n">
        <v>0</v>
      </c>
      <c r="O300" t="n">
        <v>0</v>
      </c>
      <c r="P300" t="n">
        <v>0</v>
      </c>
      <c r="Q300" t="n">
        <v>0</v>
      </c>
      <c r="R300" s="2" t="inlineStr"/>
    </row>
    <row r="301" ht="15" customHeight="1">
      <c r="A301" t="inlineStr">
        <is>
          <t>A 24893-2024</t>
        </is>
      </c>
      <c r="B301" s="1" t="n">
        <v>45461.57194444445</v>
      </c>
      <c r="C301" s="1" t="n">
        <v>46081</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34032-2021</t>
        </is>
      </c>
      <c r="B302" s="1" t="n">
        <v>44378</v>
      </c>
      <c r="C302" s="1" t="n">
        <v>46081</v>
      </c>
      <c r="D302" t="inlineStr">
        <is>
          <t>VÄRMLANDS LÄN</t>
        </is>
      </c>
      <c r="E302" t="inlineStr">
        <is>
          <t>ÅRJÄNG</t>
        </is>
      </c>
      <c r="F302" t="inlineStr">
        <is>
          <t>Övriga Aktiebolag</t>
        </is>
      </c>
      <c r="G302" t="n">
        <v>1.4</v>
      </c>
      <c r="H302" t="n">
        <v>0</v>
      </c>
      <c r="I302" t="n">
        <v>0</v>
      </c>
      <c r="J302" t="n">
        <v>0</v>
      </c>
      <c r="K302" t="n">
        <v>0</v>
      </c>
      <c r="L302" t="n">
        <v>0</v>
      </c>
      <c r="M302" t="n">
        <v>0</v>
      </c>
      <c r="N302" t="n">
        <v>0</v>
      </c>
      <c r="O302" t="n">
        <v>0</v>
      </c>
      <c r="P302" t="n">
        <v>0</v>
      </c>
      <c r="Q302" t="n">
        <v>0</v>
      </c>
      <c r="R302" s="2" t="inlineStr"/>
    </row>
    <row r="303" ht="15" customHeight="1">
      <c r="A303" t="inlineStr">
        <is>
          <t>A 50537-2023</t>
        </is>
      </c>
      <c r="B303" s="1" t="n">
        <v>45217</v>
      </c>
      <c r="C303" s="1" t="n">
        <v>46081</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43027-2021</t>
        </is>
      </c>
      <c r="B304" s="1" t="n">
        <v>44431.49119212963</v>
      </c>
      <c r="C304" s="1" t="n">
        <v>46081</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24281-2024</t>
        </is>
      </c>
      <c r="B305" s="1" t="n">
        <v>45457</v>
      </c>
      <c r="C305" s="1" t="n">
        <v>46081</v>
      </c>
      <c r="D305" t="inlineStr">
        <is>
          <t>VÄRMLANDS LÄN</t>
        </is>
      </c>
      <c r="E305" t="inlineStr">
        <is>
          <t>ÅRJÄNG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12352-2021</t>
        </is>
      </c>
      <c r="B306" s="1" t="n">
        <v>44267.44386574074</v>
      </c>
      <c r="C306" s="1" t="n">
        <v>46081</v>
      </c>
      <c r="D306" t="inlineStr">
        <is>
          <t>VÄRMLANDS LÄN</t>
        </is>
      </c>
      <c r="E306" t="inlineStr">
        <is>
          <t>ÅRJÄNG</t>
        </is>
      </c>
      <c r="G306" t="n">
        <v>7.1</v>
      </c>
      <c r="H306" t="n">
        <v>0</v>
      </c>
      <c r="I306" t="n">
        <v>0</v>
      </c>
      <c r="J306" t="n">
        <v>0</v>
      </c>
      <c r="K306" t="n">
        <v>0</v>
      </c>
      <c r="L306" t="n">
        <v>0</v>
      </c>
      <c r="M306" t="n">
        <v>0</v>
      </c>
      <c r="N306" t="n">
        <v>0</v>
      </c>
      <c r="O306" t="n">
        <v>0</v>
      </c>
      <c r="P306" t="n">
        <v>0</v>
      </c>
      <c r="Q306" t="n">
        <v>0</v>
      </c>
      <c r="R306" s="2" t="inlineStr"/>
    </row>
    <row r="307" ht="15" customHeight="1">
      <c r="A307" t="inlineStr">
        <is>
          <t>A 23216-2023</t>
        </is>
      </c>
      <c r="B307" s="1" t="n">
        <v>45075</v>
      </c>
      <c r="C307" s="1" t="n">
        <v>46081</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62261-2023</t>
        </is>
      </c>
      <c r="B308" s="1" t="n">
        <v>45266</v>
      </c>
      <c r="C308" s="1" t="n">
        <v>46081</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58436-2023</t>
        </is>
      </c>
      <c r="B309" s="1" t="n">
        <v>45250</v>
      </c>
      <c r="C309" s="1" t="n">
        <v>46081</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49641-2021</t>
        </is>
      </c>
      <c r="B310" s="1" t="n">
        <v>44455.44327546296</v>
      </c>
      <c r="C310" s="1" t="n">
        <v>46081</v>
      </c>
      <c r="D310" t="inlineStr">
        <is>
          <t>VÄRMLANDS LÄN</t>
        </is>
      </c>
      <c r="E310" t="inlineStr">
        <is>
          <t>ÅRJÄNG</t>
        </is>
      </c>
      <c r="G310" t="n">
        <v>3.2</v>
      </c>
      <c r="H310" t="n">
        <v>0</v>
      </c>
      <c r="I310" t="n">
        <v>0</v>
      </c>
      <c r="J310" t="n">
        <v>0</v>
      </c>
      <c r="K310" t="n">
        <v>0</v>
      </c>
      <c r="L310" t="n">
        <v>0</v>
      </c>
      <c r="M310" t="n">
        <v>0</v>
      </c>
      <c r="N310" t="n">
        <v>0</v>
      </c>
      <c r="O310" t="n">
        <v>0</v>
      </c>
      <c r="P310" t="n">
        <v>0</v>
      </c>
      <c r="Q310" t="n">
        <v>0</v>
      </c>
      <c r="R310" s="2" t="inlineStr"/>
    </row>
    <row r="311" ht="15" customHeight="1">
      <c r="A311" t="inlineStr">
        <is>
          <t>A 32338-2024</t>
        </is>
      </c>
      <c r="B311" s="1" t="n">
        <v>45512</v>
      </c>
      <c r="C311" s="1" t="n">
        <v>46081</v>
      </c>
      <c r="D311" t="inlineStr">
        <is>
          <t>VÄRMLANDS LÄN</t>
        </is>
      </c>
      <c r="E311" t="inlineStr">
        <is>
          <t>ÅRJÄNG</t>
        </is>
      </c>
      <c r="G311" t="n">
        <v>2.1</v>
      </c>
      <c r="H311" t="n">
        <v>0</v>
      </c>
      <c r="I311" t="n">
        <v>0</v>
      </c>
      <c r="J311" t="n">
        <v>0</v>
      </c>
      <c r="K311" t="n">
        <v>0</v>
      </c>
      <c r="L311" t="n">
        <v>0</v>
      </c>
      <c r="M311" t="n">
        <v>0</v>
      </c>
      <c r="N311" t="n">
        <v>0</v>
      </c>
      <c r="O311" t="n">
        <v>0</v>
      </c>
      <c r="P311" t="n">
        <v>0</v>
      </c>
      <c r="Q311" t="n">
        <v>0</v>
      </c>
      <c r="R311" s="2" t="inlineStr"/>
    </row>
    <row r="312" ht="15" customHeight="1">
      <c r="A312" t="inlineStr">
        <is>
          <t>A 5863-2023</t>
        </is>
      </c>
      <c r="B312" s="1" t="n">
        <v>44963</v>
      </c>
      <c r="C312" s="1" t="n">
        <v>46081</v>
      </c>
      <c r="D312" t="inlineStr">
        <is>
          <t>VÄRMLANDS LÄN</t>
        </is>
      </c>
      <c r="E312" t="inlineStr">
        <is>
          <t>ÅRJÄNG</t>
        </is>
      </c>
      <c r="G312" t="n">
        <v>0.9</v>
      </c>
      <c r="H312" t="n">
        <v>0</v>
      </c>
      <c r="I312" t="n">
        <v>0</v>
      </c>
      <c r="J312" t="n">
        <v>0</v>
      </c>
      <c r="K312" t="n">
        <v>0</v>
      </c>
      <c r="L312" t="n">
        <v>0</v>
      </c>
      <c r="M312" t="n">
        <v>0</v>
      </c>
      <c r="N312" t="n">
        <v>0</v>
      </c>
      <c r="O312" t="n">
        <v>0</v>
      </c>
      <c r="P312" t="n">
        <v>0</v>
      </c>
      <c r="Q312" t="n">
        <v>0</v>
      </c>
      <c r="R312" s="2" t="inlineStr"/>
    </row>
    <row r="313" ht="15" customHeight="1">
      <c r="A313" t="inlineStr">
        <is>
          <t>A 74086-2021</t>
        </is>
      </c>
      <c r="B313" s="1" t="n">
        <v>44557.58112268519</v>
      </c>
      <c r="C313" s="1" t="n">
        <v>46081</v>
      </c>
      <c r="D313" t="inlineStr">
        <is>
          <t>VÄRMLANDS LÄN</t>
        </is>
      </c>
      <c r="E313" t="inlineStr">
        <is>
          <t>ÅRJÄNG</t>
        </is>
      </c>
      <c r="G313" t="n">
        <v>3.6</v>
      </c>
      <c r="H313" t="n">
        <v>0</v>
      </c>
      <c r="I313" t="n">
        <v>0</v>
      </c>
      <c r="J313" t="n">
        <v>0</v>
      </c>
      <c r="K313" t="n">
        <v>0</v>
      </c>
      <c r="L313" t="n">
        <v>0</v>
      </c>
      <c r="M313" t="n">
        <v>0</v>
      </c>
      <c r="N313" t="n">
        <v>0</v>
      </c>
      <c r="O313" t="n">
        <v>0</v>
      </c>
      <c r="P313" t="n">
        <v>0</v>
      </c>
      <c r="Q313" t="n">
        <v>0</v>
      </c>
      <c r="R313" s="2" t="inlineStr"/>
    </row>
    <row r="314" ht="15" customHeight="1">
      <c r="A314" t="inlineStr">
        <is>
          <t>A 26284-2021</t>
        </is>
      </c>
      <c r="B314" s="1" t="n">
        <v>44347</v>
      </c>
      <c r="C314" s="1" t="n">
        <v>46081</v>
      </c>
      <c r="D314" t="inlineStr">
        <is>
          <t>VÄRMLANDS LÄN</t>
        </is>
      </c>
      <c r="E314" t="inlineStr">
        <is>
          <t>ÅRJÄNG</t>
        </is>
      </c>
      <c r="G314" t="n">
        <v>0.8</v>
      </c>
      <c r="H314" t="n">
        <v>0</v>
      </c>
      <c r="I314" t="n">
        <v>0</v>
      </c>
      <c r="J314" t="n">
        <v>0</v>
      </c>
      <c r="K314" t="n">
        <v>0</v>
      </c>
      <c r="L314" t="n">
        <v>0</v>
      </c>
      <c r="M314" t="n">
        <v>0</v>
      </c>
      <c r="N314" t="n">
        <v>0</v>
      </c>
      <c r="O314" t="n">
        <v>0</v>
      </c>
      <c r="P314" t="n">
        <v>0</v>
      </c>
      <c r="Q314" t="n">
        <v>0</v>
      </c>
      <c r="R314" s="2" t="inlineStr"/>
    </row>
    <row r="315" ht="15" customHeight="1">
      <c r="A315" t="inlineStr">
        <is>
          <t>A 49701-2022</t>
        </is>
      </c>
      <c r="B315" s="1" t="n">
        <v>44862.53201388889</v>
      </c>
      <c r="C315" s="1" t="n">
        <v>46081</v>
      </c>
      <c r="D315" t="inlineStr">
        <is>
          <t>VÄRMLANDS LÄN</t>
        </is>
      </c>
      <c r="E315" t="inlineStr">
        <is>
          <t>ÅRJÄNG</t>
        </is>
      </c>
      <c r="G315" t="n">
        <v>2.3</v>
      </c>
      <c r="H315" t="n">
        <v>0</v>
      </c>
      <c r="I315" t="n">
        <v>0</v>
      </c>
      <c r="J315" t="n">
        <v>0</v>
      </c>
      <c r="K315" t="n">
        <v>0</v>
      </c>
      <c r="L315" t="n">
        <v>0</v>
      </c>
      <c r="M315" t="n">
        <v>0</v>
      </c>
      <c r="N315" t="n">
        <v>0</v>
      </c>
      <c r="O315" t="n">
        <v>0</v>
      </c>
      <c r="P315" t="n">
        <v>0</v>
      </c>
      <c r="Q315" t="n">
        <v>0</v>
      </c>
      <c r="R315" s="2" t="inlineStr"/>
    </row>
    <row r="316" ht="15" customHeight="1">
      <c r="A316" t="inlineStr">
        <is>
          <t>A 16562-2024</t>
        </is>
      </c>
      <c r="B316" s="1" t="n">
        <v>45408.45829861111</v>
      </c>
      <c r="C316" s="1" t="n">
        <v>46081</v>
      </c>
      <c r="D316" t="inlineStr">
        <is>
          <t>VÄRMLANDS LÄN</t>
        </is>
      </c>
      <c r="E316" t="inlineStr">
        <is>
          <t>ÅRJÄNG</t>
        </is>
      </c>
      <c r="F316" t="inlineStr">
        <is>
          <t>Bergvik skog väst AB</t>
        </is>
      </c>
      <c r="G316" t="n">
        <v>0.4</v>
      </c>
      <c r="H316" t="n">
        <v>0</v>
      </c>
      <c r="I316" t="n">
        <v>0</v>
      </c>
      <c r="J316" t="n">
        <v>0</v>
      </c>
      <c r="K316" t="n">
        <v>0</v>
      </c>
      <c r="L316" t="n">
        <v>0</v>
      </c>
      <c r="M316" t="n">
        <v>0</v>
      </c>
      <c r="N316" t="n">
        <v>0</v>
      </c>
      <c r="O316" t="n">
        <v>0</v>
      </c>
      <c r="P316" t="n">
        <v>0</v>
      </c>
      <c r="Q316" t="n">
        <v>0</v>
      </c>
      <c r="R316" s="2" t="inlineStr"/>
    </row>
    <row r="317" ht="15" customHeight="1">
      <c r="A317" t="inlineStr">
        <is>
          <t>A 13155-2024</t>
        </is>
      </c>
      <c r="B317" s="1" t="n">
        <v>45386</v>
      </c>
      <c r="C317" s="1" t="n">
        <v>46081</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26833-2024</t>
        </is>
      </c>
      <c r="B318" s="1" t="n">
        <v>45470</v>
      </c>
      <c r="C318" s="1" t="n">
        <v>46081</v>
      </c>
      <c r="D318" t="inlineStr">
        <is>
          <t>VÄRMLANDS LÄN</t>
        </is>
      </c>
      <c r="E318" t="inlineStr">
        <is>
          <t>ÅRJÄNG</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23690-2024</t>
        </is>
      </c>
      <c r="B319" s="1" t="n">
        <v>45454.65612268518</v>
      </c>
      <c r="C319" s="1" t="n">
        <v>46081</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60172-2023</t>
        </is>
      </c>
      <c r="B320" s="1" t="n">
        <v>45257</v>
      </c>
      <c r="C320" s="1" t="n">
        <v>46081</v>
      </c>
      <c r="D320" t="inlineStr">
        <is>
          <t>VÄRMLANDS LÄN</t>
        </is>
      </c>
      <c r="E320" t="inlineStr">
        <is>
          <t>ÅRJÄNG</t>
        </is>
      </c>
      <c r="G320" t="n">
        <v>2.1</v>
      </c>
      <c r="H320" t="n">
        <v>0</v>
      </c>
      <c r="I320" t="n">
        <v>0</v>
      </c>
      <c r="J320" t="n">
        <v>0</v>
      </c>
      <c r="K320" t="n">
        <v>0</v>
      </c>
      <c r="L320" t="n">
        <v>0</v>
      </c>
      <c r="M320" t="n">
        <v>0</v>
      </c>
      <c r="N320" t="n">
        <v>0</v>
      </c>
      <c r="O320" t="n">
        <v>0</v>
      </c>
      <c r="P320" t="n">
        <v>0</v>
      </c>
      <c r="Q320" t="n">
        <v>0</v>
      </c>
      <c r="R320" s="2" t="inlineStr"/>
    </row>
    <row r="321" ht="15" customHeight="1">
      <c r="A321" t="inlineStr">
        <is>
          <t>A 57992-2023</t>
        </is>
      </c>
      <c r="B321" s="1" t="n">
        <v>45244</v>
      </c>
      <c r="C321" s="1" t="n">
        <v>46081</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51269-2022</t>
        </is>
      </c>
      <c r="B322" s="1" t="n">
        <v>44868</v>
      </c>
      <c r="C322" s="1" t="n">
        <v>46081</v>
      </c>
      <c r="D322" t="inlineStr">
        <is>
          <t>VÄRMLANDS LÄN</t>
        </is>
      </c>
      <c r="E322" t="inlineStr">
        <is>
          <t>ÅRJÄNG</t>
        </is>
      </c>
      <c r="G322" t="n">
        <v>2.1</v>
      </c>
      <c r="H322" t="n">
        <v>0</v>
      </c>
      <c r="I322" t="n">
        <v>0</v>
      </c>
      <c r="J322" t="n">
        <v>0</v>
      </c>
      <c r="K322" t="n">
        <v>0</v>
      </c>
      <c r="L322" t="n">
        <v>0</v>
      </c>
      <c r="M322" t="n">
        <v>0</v>
      </c>
      <c r="N322" t="n">
        <v>0</v>
      </c>
      <c r="O322" t="n">
        <v>0</v>
      </c>
      <c r="P322" t="n">
        <v>0</v>
      </c>
      <c r="Q322" t="n">
        <v>0</v>
      </c>
      <c r="R322" s="2" t="inlineStr"/>
    </row>
    <row r="323" ht="15" customHeight="1">
      <c r="A323" t="inlineStr">
        <is>
          <t>A 62609-2023</t>
        </is>
      </c>
      <c r="B323" s="1" t="n">
        <v>45267</v>
      </c>
      <c r="C323" s="1" t="n">
        <v>46081</v>
      </c>
      <c r="D323" t="inlineStr">
        <is>
          <t>VÄRMLANDS LÄN</t>
        </is>
      </c>
      <c r="E323" t="inlineStr">
        <is>
          <t>ÅRJÄNG</t>
        </is>
      </c>
      <c r="G323" t="n">
        <v>14.4</v>
      </c>
      <c r="H323" t="n">
        <v>0</v>
      </c>
      <c r="I323" t="n">
        <v>0</v>
      </c>
      <c r="J323" t="n">
        <v>0</v>
      </c>
      <c r="K323" t="n">
        <v>0</v>
      </c>
      <c r="L323" t="n">
        <v>0</v>
      </c>
      <c r="M323" t="n">
        <v>0</v>
      </c>
      <c r="N323" t="n">
        <v>0</v>
      </c>
      <c r="O323" t="n">
        <v>0</v>
      </c>
      <c r="P323" t="n">
        <v>0</v>
      </c>
      <c r="Q323" t="n">
        <v>0</v>
      </c>
      <c r="R323" s="2" t="inlineStr"/>
    </row>
    <row r="324" ht="15" customHeight="1">
      <c r="A324" t="inlineStr">
        <is>
          <t>A 33304-2021</t>
        </is>
      </c>
      <c r="B324" s="1" t="n">
        <v>44377.43040509259</v>
      </c>
      <c r="C324" s="1" t="n">
        <v>46081</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34526-2023</t>
        </is>
      </c>
      <c r="B325" s="1" t="n">
        <v>45140.41518518519</v>
      </c>
      <c r="C325" s="1" t="n">
        <v>46081</v>
      </c>
      <c r="D325" t="inlineStr">
        <is>
          <t>VÄRMLANDS LÄN</t>
        </is>
      </c>
      <c r="E325" t="inlineStr">
        <is>
          <t>ÅRJÄNG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30693-2021</t>
        </is>
      </c>
      <c r="B326" s="1" t="n">
        <v>44365</v>
      </c>
      <c r="C326" s="1" t="n">
        <v>46081</v>
      </c>
      <c r="D326" t="inlineStr">
        <is>
          <t>VÄRMLANDS LÄN</t>
        </is>
      </c>
      <c r="E326" t="inlineStr">
        <is>
          <t>ÅRJÄNG</t>
        </is>
      </c>
      <c r="G326" t="n">
        <v>8.4</v>
      </c>
      <c r="H326" t="n">
        <v>0</v>
      </c>
      <c r="I326" t="n">
        <v>0</v>
      </c>
      <c r="J326" t="n">
        <v>0</v>
      </c>
      <c r="K326" t="n">
        <v>0</v>
      </c>
      <c r="L326" t="n">
        <v>0</v>
      </c>
      <c r="M326" t="n">
        <v>0</v>
      </c>
      <c r="N326" t="n">
        <v>0</v>
      </c>
      <c r="O326" t="n">
        <v>0</v>
      </c>
      <c r="P326" t="n">
        <v>0</v>
      </c>
      <c r="Q326" t="n">
        <v>0</v>
      </c>
      <c r="R326" s="2" t="inlineStr"/>
    </row>
    <row r="327" ht="15" customHeight="1">
      <c r="A327" t="inlineStr">
        <is>
          <t>A 58141-2023</t>
        </is>
      </c>
      <c r="B327" s="1" t="n">
        <v>45245</v>
      </c>
      <c r="C327" s="1" t="n">
        <v>46081</v>
      </c>
      <c r="D327" t="inlineStr">
        <is>
          <t>VÄRMLANDS LÄN</t>
        </is>
      </c>
      <c r="E327" t="inlineStr">
        <is>
          <t>ÅRJÄNG</t>
        </is>
      </c>
      <c r="G327" t="n">
        <v>6.2</v>
      </c>
      <c r="H327" t="n">
        <v>0</v>
      </c>
      <c r="I327" t="n">
        <v>0</v>
      </c>
      <c r="J327" t="n">
        <v>0</v>
      </c>
      <c r="K327" t="n">
        <v>0</v>
      </c>
      <c r="L327" t="n">
        <v>0</v>
      </c>
      <c r="M327" t="n">
        <v>0</v>
      </c>
      <c r="N327" t="n">
        <v>0</v>
      </c>
      <c r="O327" t="n">
        <v>0</v>
      </c>
      <c r="P327" t="n">
        <v>0</v>
      </c>
      <c r="Q327" t="n">
        <v>0</v>
      </c>
      <c r="R327" s="2" t="inlineStr"/>
    </row>
    <row r="328" ht="15" customHeight="1">
      <c r="A328" t="inlineStr">
        <is>
          <t>A 50388-2024</t>
        </is>
      </c>
      <c r="B328" s="1" t="n">
        <v>45600</v>
      </c>
      <c r="C328" s="1" t="n">
        <v>46081</v>
      </c>
      <c r="D328" t="inlineStr">
        <is>
          <t>VÄRMLANDS LÄN</t>
        </is>
      </c>
      <c r="E328" t="inlineStr">
        <is>
          <t>ÅRJÄNG</t>
        </is>
      </c>
      <c r="G328" t="n">
        <v>1.3</v>
      </c>
      <c r="H328" t="n">
        <v>0</v>
      </c>
      <c r="I328" t="n">
        <v>0</v>
      </c>
      <c r="J328" t="n">
        <v>0</v>
      </c>
      <c r="K328" t="n">
        <v>0</v>
      </c>
      <c r="L328" t="n">
        <v>0</v>
      </c>
      <c r="M328" t="n">
        <v>0</v>
      </c>
      <c r="N328" t="n">
        <v>0</v>
      </c>
      <c r="O328" t="n">
        <v>0</v>
      </c>
      <c r="P328" t="n">
        <v>0</v>
      </c>
      <c r="Q328" t="n">
        <v>0</v>
      </c>
      <c r="R328" s="2" t="inlineStr"/>
    </row>
    <row r="329" ht="15" customHeight="1">
      <c r="A329" t="inlineStr">
        <is>
          <t>A 27138-2024</t>
        </is>
      </c>
      <c r="B329" s="1" t="n">
        <v>45471</v>
      </c>
      <c r="C329" s="1" t="n">
        <v>46081</v>
      </c>
      <c r="D329" t="inlineStr">
        <is>
          <t>VÄRMLANDS LÄN</t>
        </is>
      </c>
      <c r="E329" t="inlineStr">
        <is>
          <t>ÅRJÄNG</t>
        </is>
      </c>
      <c r="G329" t="n">
        <v>5.7</v>
      </c>
      <c r="H329" t="n">
        <v>0</v>
      </c>
      <c r="I329" t="n">
        <v>0</v>
      </c>
      <c r="J329" t="n">
        <v>0</v>
      </c>
      <c r="K329" t="n">
        <v>0</v>
      </c>
      <c r="L329" t="n">
        <v>0</v>
      </c>
      <c r="M329" t="n">
        <v>0</v>
      </c>
      <c r="N329" t="n">
        <v>0</v>
      </c>
      <c r="O329" t="n">
        <v>0</v>
      </c>
      <c r="P329" t="n">
        <v>0</v>
      </c>
      <c r="Q329" t="n">
        <v>0</v>
      </c>
      <c r="R329" s="2" t="inlineStr"/>
    </row>
    <row r="330" ht="15" customHeight="1">
      <c r="A330" t="inlineStr">
        <is>
          <t>A 24339-2024</t>
        </is>
      </c>
      <c r="B330" s="1" t="n">
        <v>45457</v>
      </c>
      <c r="C330" s="1" t="n">
        <v>46081</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46081</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46081</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72476-2021</t>
        </is>
      </c>
      <c r="B333" s="1" t="n">
        <v>44545.86997685185</v>
      </c>
      <c r="C333" s="1" t="n">
        <v>46081</v>
      </c>
      <c r="D333" t="inlineStr">
        <is>
          <t>VÄRMLANDS LÄN</t>
        </is>
      </c>
      <c r="E333" t="inlineStr">
        <is>
          <t>ÅRJÄNG</t>
        </is>
      </c>
      <c r="G333" t="n">
        <v>1.9</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46081</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39008-2023</t>
        </is>
      </c>
      <c r="B335" s="1" t="n">
        <v>45162</v>
      </c>
      <c r="C335" s="1" t="n">
        <v>46081</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92-2022</t>
        </is>
      </c>
      <c r="B336" s="1" t="n">
        <v>44564</v>
      </c>
      <c r="C336" s="1" t="n">
        <v>46081</v>
      </c>
      <c r="D336" t="inlineStr">
        <is>
          <t>VÄRMLANDS LÄN</t>
        </is>
      </c>
      <c r="E336" t="inlineStr">
        <is>
          <t>ÅRJÄNG</t>
        </is>
      </c>
      <c r="G336" t="n">
        <v>10.4</v>
      </c>
      <c r="H336" t="n">
        <v>0</v>
      </c>
      <c r="I336" t="n">
        <v>0</v>
      </c>
      <c r="J336" t="n">
        <v>0</v>
      </c>
      <c r="K336" t="n">
        <v>0</v>
      </c>
      <c r="L336" t="n">
        <v>0</v>
      </c>
      <c r="M336" t="n">
        <v>0</v>
      </c>
      <c r="N336" t="n">
        <v>0</v>
      </c>
      <c r="O336" t="n">
        <v>0</v>
      </c>
      <c r="P336" t="n">
        <v>0</v>
      </c>
      <c r="Q336" t="n">
        <v>0</v>
      </c>
      <c r="R336" s="2" t="inlineStr"/>
    </row>
    <row r="337" ht="15" customHeight="1">
      <c r="A337" t="inlineStr">
        <is>
          <t>A 19246-2024</t>
        </is>
      </c>
      <c r="B337" s="1" t="n">
        <v>45428</v>
      </c>
      <c r="C337" s="1" t="n">
        <v>46081</v>
      </c>
      <c r="D337" t="inlineStr">
        <is>
          <t>VÄRMLANDS LÄN</t>
        </is>
      </c>
      <c r="E337" t="inlineStr">
        <is>
          <t>ÅRJÄNG</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9489-2023</t>
        </is>
      </c>
      <c r="B338" s="1" t="n">
        <v>44981</v>
      </c>
      <c r="C338" s="1" t="n">
        <v>46081</v>
      </c>
      <c r="D338" t="inlineStr">
        <is>
          <t>VÄRMLANDS LÄN</t>
        </is>
      </c>
      <c r="E338" t="inlineStr">
        <is>
          <t>ÅRJÄNG</t>
        </is>
      </c>
      <c r="G338" t="n">
        <v>0.8</v>
      </c>
      <c r="H338" t="n">
        <v>0</v>
      </c>
      <c r="I338" t="n">
        <v>0</v>
      </c>
      <c r="J338" t="n">
        <v>0</v>
      </c>
      <c r="K338" t="n">
        <v>0</v>
      </c>
      <c r="L338" t="n">
        <v>0</v>
      </c>
      <c r="M338" t="n">
        <v>0</v>
      </c>
      <c r="N338" t="n">
        <v>0</v>
      </c>
      <c r="O338" t="n">
        <v>0</v>
      </c>
      <c r="P338" t="n">
        <v>0</v>
      </c>
      <c r="Q338" t="n">
        <v>0</v>
      </c>
      <c r="R338" s="2" t="inlineStr"/>
    </row>
    <row r="339" ht="15" customHeight="1">
      <c r="A339" t="inlineStr">
        <is>
          <t>A 36642-2021</t>
        </is>
      </c>
      <c r="B339" s="1" t="n">
        <v>44392</v>
      </c>
      <c r="C339" s="1" t="n">
        <v>46081</v>
      </c>
      <c r="D339" t="inlineStr">
        <is>
          <t>VÄRMLANDS LÄN</t>
        </is>
      </c>
      <c r="E339" t="inlineStr">
        <is>
          <t>ÅRJÄNG</t>
        </is>
      </c>
      <c r="G339" t="n">
        <v>6.1</v>
      </c>
      <c r="H339" t="n">
        <v>0</v>
      </c>
      <c r="I339" t="n">
        <v>0</v>
      </c>
      <c r="J339" t="n">
        <v>0</v>
      </c>
      <c r="K339" t="n">
        <v>0</v>
      </c>
      <c r="L339" t="n">
        <v>0</v>
      </c>
      <c r="M339" t="n">
        <v>0</v>
      </c>
      <c r="N339" t="n">
        <v>0</v>
      </c>
      <c r="O339" t="n">
        <v>0</v>
      </c>
      <c r="P339" t="n">
        <v>0</v>
      </c>
      <c r="Q339" t="n">
        <v>0</v>
      </c>
      <c r="R339" s="2" t="inlineStr"/>
    </row>
    <row r="340" ht="15" customHeight="1">
      <c r="A340" t="inlineStr">
        <is>
          <t>A 36282-2024</t>
        </is>
      </c>
      <c r="B340" s="1" t="n">
        <v>45534.5887962963</v>
      </c>
      <c r="C340" s="1" t="n">
        <v>46081</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19245-2024</t>
        </is>
      </c>
      <c r="B341" s="1" t="n">
        <v>45428</v>
      </c>
      <c r="C341" s="1" t="n">
        <v>46081</v>
      </c>
      <c r="D341" t="inlineStr">
        <is>
          <t>VÄRMLANDS LÄN</t>
        </is>
      </c>
      <c r="E341" t="inlineStr">
        <is>
          <t>ÅRJÄNG</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61545-2024</t>
        </is>
      </c>
      <c r="B342" s="1" t="n">
        <v>45646.59966435185</v>
      </c>
      <c r="C342" s="1" t="n">
        <v>46081</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2969-2022</t>
        </is>
      </c>
      <c r="B343" s="1" t="n">
        <v>44581.70811342593</v>
      </c>
      <c r="C343" s="1" t="n">
        <v>46081</v>
      </c>
      <c r="D343" t="inlineStr">
        <is>
          <t>VÄRMLANDS LÄN</t>
        </is>
      </c>
      <c r="E343" t="inlineStr">
        <is>
          <t>ÅRJÄNG</t>
        </is>
      </c>
      <c r="G343" t="n">
        <v>1.6</v>
      </c>
      <c r="H343" t="n">
        <v>0</v>
      </c>
      <c r="I343" t="n">
        <v>0</v>
      </c>
      <c r="J343" t="n">
        <v>0</v>
      </c>
      <c r="K343" t="n">
        <v>0</v>
      </c>
      <c r="L343" t="n">
        <v>0</v>
      </c>
      <c r="M343" t="n">
        <v>0</v>
      </c>
      <c r="N343" t="n">
        <v>0</v>
      </c>
      <c r="O343" t="n">
        <v>0</v>
      </c>
      <c r="P343" t="n">
        <v>0</v>
      </c>
      <c r="Q343" t="n">
        <v>0</v>
      </c>
      <c r="R343" s="2" t="inlineStr"/>
    </row>
    <row r="344" ht="15" customHeight="1">
      <c r="A344" t="inlineStr">
        <is>
          <t>A 61154-2021</t>
        </is>
      </c>
      <c r="B344" s="1" t="n">
        <v>44497</v>
      </c>
      <c r="C344" s="1" t="n">
        <v>46081</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56566-2022</t>
        </is>
      </c>
      <c r="B345" s="1" t="n">
        <v>44893.50795138889</v>
      </c>
      <c r="C345" s="1" t="n">
        <v>46081</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7700-2023</t>
        </is>
      </c>
      <c r="B346" s="1" t="n">
        <v>44967</v>
      </c>
      <c r="C346" s="1" t="n">
        <v>46081</v>
      </c>
      <c r="D346" t="inlineStr">
        <is>
          <t>VÄRMLANDS LÄN</t>
        </is>
      </c>
      <c r="E346" t="inlineStr">
        <is>
          <t>ÅRJÄNG</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37356-2024</t>
        </is>
      </c>
      <c r="B347" s="1" t="n">
        <v>45540</v>
      </c>
      <c r="C347" s="1" t="n">
        <v>46081</v>
      </c>
      <c r="D347" t="inlineStr">
        <is>
          <t>VÄRMLANDS LÄN</t>
        </is>
      </c>
      <c r="E347" t="inlineStr">
        <is>
          <t>ÅRJÄNG</t>
        </is>
      </c>
      <c r="G347" t="n">
        <v>3.4</v>
      </c>
      <c r="H347" t="n">
        <v>0</v>
      </c>
      <c r="I347" t="n">
        <v>0</v>
      </c>
      <c r="J347" t="n">
        <v>0</v>
      </c>
      <c r="K347" t="n">
        <v>0</v>
      </c>
      <c r="L347" t="n">
        <v>0</v>
      </c>
      <c r="M347" t="n">
        <v>0</v>
      </c>
      <c r="N347" t="n">
        <v>0</v>
      </c>
      <c r="O347" t="n">
        <v>0</v>
      </c>
      <c r="P347" t="n">
        <v>0</v>
      </c>
      <c r="Q347" t="n">
        <v>0</v>
      </c>
      <c r="R347" s="2" t="inlineStr"/>
    </row>
    <row r="348" ht="15" customHeight="1">
      <c r="A348" t="inlineStr">
        <is>
          <t>A 37347-2024</t>
        </is>
      </c>
      <c r="B348" s="1" t="n">
        <v>45540</v>
      </c>
      <c r="C348" s="1" t="n">
        <v>46081</v>
      </c>
      <c r="D348" t="inlineStr">
        <is>
          <t>VÄRMLANDS LÄN</t>
        </is>
      </c>
      <c r="E348" t="inlineStr">
        <is>
          <t>ÅRJÄNG</t>
        </is>
      </c>
      <c r="G348" t="n">
        <v>1.9</v>
      </c>
      <c r="H348" t="n">
        <v>0</v>
      </c>
      <c r="I348" t="n">
        <v>0</v>
      </c>
      <c r="J348" t="n">
        <v>0</v>
      </c>
      <c r="K348" t="n">
        <v>0</v>
      </c>
      <c r="L348" t="n">
        <v>0</v>
      </c>
      <c r="M348" t="n">
        <v>0</v>
      </c>
      <c r="N348" t="n">
        <v>0</v>
      </c>
      <c r="O348" t="n">
        <v>0</v>
      </c>
      <c r="P348" t="n">
        <v>0</v>
      </c>
      <c r="Q348" t="n">
        <v>0</v>
      </c>
      <c r="R348" s="2" t="inlineStr"/>
    </row>
    <row r="349" ht="15" customHeight="1">
      <c r="A349" t="inlineStr">
        <is>
          <t>A 34172-2024</t>
        </is>
      </c>
      <c r="B349" s="1" t="n">
        <v>45524</v>
      </c>
      <c r="C349" s="1" t="n">
        <v>46081</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74448-2021</t>
        </is>
      </c>
      <c r="B350" s="1" t="n">
        <v>44560.47202546296</v>
      </c>
      <c r="C350" s="1" t="n">
        <v>46081</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61295-2022</t>
        </is>
      </c>
      <c r="B351" s="1" t="n">
        <v>44915</v>
      </c>
      <c r="C351" s="1" t="n">
        <v>46081</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68328-2021</t>
        </is>
      </c>
      <c r="B352" s="1" t="n">
        <v>44527.35875</v>
      </c>
      <c r="C352" s="1" t="n">
        <v>46081</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10648-2023</t>
        </is>
      </c>
      <c r="B353" s="1" t="n">
        <v>44984</v>
      </c>
      <c r="C353" s="1" t="n">
        <v>46081</v>
      </c>
      <c r="D353" t="inlineStr">
        <is>
          <t>VÄRMLANDS LÄN</t>
        </is>
      </c>
      <c r="E353" t="inlineStr">
        <is>
          <t>ÅRJÄNG</t>
        </is>
      </c>
      <c r="G353" t="n">
        <v>0.6</v>
      </c>
      <c r="H353" t="n">
        <v>0</v>
      </c>
      <c r="I353" t="n">
        <v>0</v>
      </c>
      <c r="J353" t="n">
        <v>0</v>
      </c>
      <c r="K353" t="n">
        <v>0</v>
      </c>
      <c r="L353" t="n">
        <v>0</v>
      </c>
      <c r="M353" t="n">
        <v>0</v>
      </c>
      <c r="N353" t="n">
        <v>0</v>
      </c>
      <c r="O353" t="n">
        <v>0</v>
      </c>
      <c r="P353" t="n">
        <v>0</v>
      </c>
      <c r="Q353" t="n">
        <v>0</v>
      </c>
      <c r="R353" s="2" t="inlineStr"/>
    </row>
    <row r="354" ht="15" customHeight="1">
      <c r="A354" t="inlineStr">
        <is>
          <t>A 33738-2021</t>
        </is>
      </c>
      <c r="B354" s="1" t="n">
        <v>44378.48505787037</v>
      </c>
      <c r="C354" s="1" t="n">
        <v>46081</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52741-2024</t>
        </is>
      </c>
      <c r="B355" s="1" t="n">
        <v>45610</v>
      </c>
      <c r="C355" s="1" t="n">
        <v>46081</v>
      </c>
      <c r="D355" t="inlineStr">
        <is>
          <t>VÄRMLANDS LÄN</t>
        </is>
      </c>
      <c r="E355" t="inlineStr">
        <is>
          <t>ÅRJÄNG</t>
        </is>
      </c>
      <c r="G355" t="n">
        <v>2.3</v>
      </c>
      <c r="H355" t="n">
        <v>0</v>
      </c>
      <c r="I355" t="n">
        <v>0</v>
      </c>
      <c r="J355" t="n">
        <v>0</v>
      </c>
      <c r="K355" t="n">
        <v>0</v>
      </c>
      <c r="L355" t="n">
        <v>0</v>
      </c>
      <c r="M355" t="n">
        <v>0</v>
      </c>
      <c r="N355" t="n">
        <v>0</v>
      </c>
      <c r="O355" t="n">
        <v>0</v>
      </c>
      <c r="P355" t="n">
        <v>0</v>
      </c>
      <c r="Q355" t="n">
        <v>0</v>
      </c>
      <c r="R355" s="2" t="inlineStr"/>
    </row>
    <row r="356" ht="15" customHeight="1">
      <c r="A356" t="inlineStr">
        <is>
          <t>A 44934-2024</t>
        </is>
      </c>
      <c r="B356" s="1" t="n">
        <v>45575</v>
      </c>
      <c r="C356" s="1" t="n">
        <v>46081</v>
      </c>
      <c r="D356" t="inlineStr">
        <is>
          <t>VÄRMLANDS LÄN</t>
        </is>
      </c>
      <c r="E356" t="inlineStr">
        <is>
          <t>ÅRJÄNG</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38065-2024</t>
        </is>
      </c>
      <c r="B357" s="1" t="n">
        <v>45544.8249537037</v>
      </c>
      <c r="C357" s="1" t="n">
        <v>46081</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43794-2024</t>
        </is>
      </c>
      <c r="B358" s="1" t="n">
        <v>45571.53519675926</v>
      </c>
      <c r="C358" s="1" t="n">
        <v>46081</v>
      </c>
      <c r="D358" t="inlineStr">
        <is>
          <t>VÄRMLANDS LÄN</t>
        </is>
      </c>
      <c r="E358" t="inlineStr">
        <is>
          <t>ÅRJÄNG</t>
        </is>
      </c>
      <c r="G358" t="n">
        <v>0.6</v>
      </c>
      <c r="H358" t="n">
        <v>0</v>
      </c>
      <c r="I358" t="n">
        <v>0</v>
      </c>
      <c r="J358" t="n">
        <v>0</v>
      </c>
      <c r="K358" t="n">
        <v>0</v>
      </c>
      <c r="L358" t="n">
        <v>0</v>
      </c>
      <c r="M358" t="n">
        <v>0</v>
      </c>
      <c r="N358" t="n">
        <v>0</v>
      </c>
      <c r="O358" t="n">
        <v>0</v>
      </c>
      <c r="P358" t="n">
        <v>0</v>
      </c>
      <c r="Q358" t="n">
        <v>0</v>
      </c>
      <c r="R358" s="2" t="inlineStr"/>
    </row>
    <row r="359" ht="15" customHeight="1">
      <c r="A359" t="inlineStr">
        <is>
          <t>A 9749-2024</t>
        </is>
      </c>
      <c r="B359" s="1" t="n">
        <v>45362</v>
      </c>
      <c r="C359" s="1" t="n">
        <v>46081</v>
      </c>
      <c r="D359" t="inlineStr">
        <is>
          <t>VÄRMLANDS LÄN</t>
        </is>
      </c>
      <c r="E359" t="inlineStr">
        <is>
          <t>ÅRJÄNG</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8614-2023</t>
        </is>
      </c>
      <c r="B360" s="1" t="n">
        <v>44977</v>
      </c>
      <c r="C360" s="1" t="n">
        <v>46081</v>
      </c>
      <c r="D360" t="inlineStr">
        <is>
          <t>VÄRMLANDS LÄN</t>
        </is>
      </c>
      <c r="E360" t="inlineStr">
        <is>
          <t>ÅRJÄNG</t>
        </is>
      </c>
      <c r="G360" t="n">
        <v>3.8</v>
      </c>
      <c r="H360" t="n">
        <v>0</v>
      </c>
      <c r="I360" t="n">
        <v>0</v>
      </c>
      <c r="J360" t="n">
        <v>0</v>
      </c>
      <c r="K360" t="n">
        <v>0</v>
      </c>
      <c r="L360" t="n">
        <v>0</v>
      </c>
      <c r="M360" t="n">
        <v>0</v>
      </c>
      <c r="N360" t="n">
        <v>0</v>
      </c>
      <c r="O360" t="n">
        <v>0</v>
      </c>
      <c r="P360" t="n">
        <v>0</v>
      </c>
      <c r="Q360" t="n">
        <v>0</v>
      </c>
      <c r="R360" s="2" t="inlineStr"/>
    </row>
    <row r="361" ht="15" customHeight="1">
      <c r="A361" t="inlineStr">
        <is>
          <t>A 1571-2025</t>
        </is>
      </c>
      <c r="B361" s="1" t="n">
        <v>45670.55496527778</v>
      </c>
      <c r="C361" s="1" t="n">
        <v>46081</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4404-2025</t>
        </is>
      </c>
      <c r="B362" s="1" t="n">
        <v>45686</v>
      </c>
      <c r="C362" s="1" t="n">
        <v>46081</v>
      </c>
      <c r="D362" t="inlineStr">
        <is>
          <t>VÄRMLANDS LÄN</t>
        </is>
      </c>
      <c r="E362" t="inlineStr">
        <is>
          <t>ÅRJÄNG</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40458-2023</t>
        </is>
      </c>
      <c r="B363" s="1" t="n">
        <v>45170.32993055556</v>
      </c>
      <c r="C363" s="1" t="n">
        <v>46081</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28115-2025</t>
        </is>
      </c>
      <c r="B364" s="1" t="n">
        <v>45818</v>
      </c>
      <c r="C364" s="1" t="n">
        <v>46081</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16010-2024</t>
        </is>
      </c>
      <c r="B365" s="1" t="n">
        <v>45405</v>
      </c>
      <c r="C365" s="1" t="n">
        <v>46081</v>
      </c>
      <c r="D365" t="inlineStr">
        <is>
          <t>VÄRMLANDS LÄN</t>
        </is>
      </c>
      <c r="E365" t="inlineStr">
        <is>
          <t>ÅRJÄNG</t>
        </is>
      </c>
      <c r="G365" t="n">
        <v>4.6</v>
      </c>
      <c r="H365" t="n">
        <v>0</v>
      </c>
      <c r="I365" t="n">
        <v>0</v>
      </c>
      <c r="J365" t="n">
        <v>0</v>
      </c>
      <c r="K365" t="n">
        <v>0</v>
      </c>
      <c r="L365" t="n">
        <v>0</v>
      </c>
      <c r="M365" t="n">
        <v>0</v>
      </c>
      <c r="N365" t="n">
        <v>0</v>
      </c>
      <c r="O365" t="n">
        <v>0</v>
      </c>
      <c r="P365" t="n">
        <v>0</v>
      </c>
      <c r="Q365" t="n">
        <v>0</v>
      </c>
      <c r="R365" s="2" t="inlineStr"/>
    </row>
    <row r="366" ht="15" customHeight="1">
      <c r="A366" t="inlineStr">
        <is>
          <t>A 62966-2023</t>
        </is>
      </c>
      <c r="B366" s="1" t="n">
        <v>45272.57006944445</v>
      </c>
      <c r="C366" s="1" t="n">
        <v>46081</v>
      </c>
      <c r="D366" t="inlineStr">
        <is>
          <t>VÄRMLANDS LÄN</t>
        </is>
      </c>
      <c r="E366" t="inlineStr">
        <is>
          <t>ÅRJÄNG</t>
        </is>
      </c>
      <c r="G366" t="n">
        <v>4.5</v>
      </c>
      <c r="H366" t="n">
        <v>0</v>
      </c>
      <c r="I366" t="n">
        <v>0</v>
      </c>
      <c r="J366" t="n">
        <v>0</v>
      </c>
      <c r="K366" t="n">
        <v>0</v>
      </c>
      <c r="L366" t="n">
        <v>0</v>
      </c>
      <c r="M366" t="n">
        <v>0</v>
      </c>
      <c r="N366" t="n">
        <v>0</v>
      </c>
      <c r="O366" t="n">
        <v>0</v>
      </c>
      <c r="P366" t="n">
        <v>0</v>
      </c>
      <c r="Q366" t="n">
        <v>0</v>
      </c>
      <c r="R366" s="2" t="inlineStr"/>
    </row>
    <row r="367" ht="15" customHeight="1">
      <c r="A367" t="inlineStr">
        <is>
          <t>A 19850-2025</t>
        </is>
      </c>
      <c r="B367" s="1" t="n">
        <v>45771</v>
      </c>
      <c r="C367" s="1" t="n">
        <v>46081</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19877-2025</t>
        </is>
      </c>
      <c r="B368" s="1" t="n">
        <v>45771.55351851852</v>
      </c>
      <c r="C368" s="1" t="n">
        <v>46081</v>
      </c>
      <c r="D368" t="inlineStr">
        <is>
          <t>VÄRMLANDS LÄN</t>
        </is>
      </c>
      <c r="E368" t="inlineStr">
        <is>
          <t>ÅRJÄNG</t>
        </is>
      </c>
      <c r="G368" t="n">
        <v>6.3</v>
      </c>
      <c r="H368" t="n">
        <v>0</v>
      </c>
      <c r="I368" t="n">
        <v>0</v>
      </c>
      <c r="J368" t="n">
        <v>0</v>
      </c>
      <c r="K368" t="n">
        <v>0</v>
      </c>
      <c r="L368" t="n">
        <v>0</v>
      </c>
      <c r="M368" t="n">
        <v>0</v>
      </c>
      <c r="N368" t="n">
        <v>0</v>
      </c>
      <c r="O368" t="n">
        <v>0</v>
      </c>
      <c r="P368" t="n">
        <v>0</v>
      </c>
      <c r="Q368" t="n">
        <v>0</v>
      </c>
      <c r="R368" s="2" t="inlineStr"/>
    </row>
    <row r="369" ht="15" customHeight="1">
      <c r="A369" t="inlineStr">
        <is>
          <t>A 40628-2024</t>
        </is>
      </c>
      <c r="B369" s="1" t="n">
        <v>45557.61668981481</v>
      </c>
      <c r="C369" s="1" t="n">
        <v>46081</v>
      </c>
      <c r="D369" t="inlineStr">
        <is>
          <t>VÄRMLANDS LÄN</t>
        </is>
      </c>
      <c r="E369" t="inlineStr">
        <is>
          <t>ÅRJÄNG</t>
        </is>
      </c>
      <c r="G369" t="n">
        <v>3.3</v>
      </c>
      <c r="H369" t="n">
        <v>0</v>
      </c>
      <c r="I369" t="n">
        <v>0</v>
      </c>
      <c r="J369" t="n">
        <v>0</v>
      </c>
      <c r="K369" t="n">
        <v>0</v>
      </c>
      <c r="L369" t="n">
        <v>0</v>
      </c>
      <c r="M369" t="n">
        <v>0</v>
      </c>
      <c r="N369" t="n">
        <v>0</v>
      </c>
      <c r="O369" t="n">
        <v>0</v>
      </c>
      <c r="P369" t="n">
        <v>0</v>
      </c>
      <c r="Q369" t="n">
        <v>0</v>
      </c>
      <c r="R369" s="2" t="inlineStr"/>
    </row>
    <row r="370" ht="15" customHeight="1">
      <c r="A370" t="inlineStr">
        <is>
          <t>A 26258-2025</t>
        </is>
      </c>
      <c r="B370" s="1" t="n">
        <v>45805.58349537037</v>
      </c>
      <c r="C370" s="1" t="n">
        <v>46081</v>
      </c>
      <c r="D370" t="inlineStr">
        <is>
          <t>VÄRMLANDS LÄN</t>
        </is>
      </c>
      <c r="E370" t="inlineStr">
        <is>
          <t>ÅRJÄNG</t>
        </is>
      </c>
      <c r="G370" t="n">
        <v>2.3</v>
      </c>
      <c r="H370" t="n">
        <v>0</v>
      </c>
      <c r="I370" t="n">
        <v>0</v>
      </c>
      <c r="J370" t="n">
        <v>0</v>
      </c>
      <c r="K370" t="n">
        <v>0</v>
      </c>
      <c r="L370" t="n">
        <v>0</v>
      </c>
      <c r="M370" t="n">
        <v>0</v>
      </c>
      <c r="N370" t="n">
        <v>0</v>
      </c>
      <c r="O370" t="n">
        <v>0</v>
      </c>
      <c r="P370" t="n">
        <v>0</v>
      </c>
      <c r="Q370" t="n">
        <v>0</v>
      </c>
      <c r="R370" s="2" t="inlineStr"/>
    </row>
    <row r="371" ht="15" customHeight="1">
      <c r="A371" t="inlineStr">
        <is>
          <t>A 5319-2025</t>
        </is>
      </c>
      <c r="B371" s="1" t="n">
        <v>45692.52384259259</v>
      </c>
      <c r="C371" s="1" t="n">
        <v>46081</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12840-2025</t>
        </is>
      </c>
      <c r="B372" s="1" t="n">
        <v>45733</v>
      </c>
      <c r="C372" s="1" t="n">
        <v>46081</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5106-2023</t>
        </is>
      </c>
      <c r="B373" s="1" t="n">
        <v>44953</v>
      </c>
      <c r="C373" s="1" t="n">
        <v>46081</v>
      </c>
      <c r="D373" t="inlineStr">
        <is>
          <t>VÄRMLANDS LÄN</t>
        </is>
      </c>
      <c r="E373" t="inlineStr">
        <is>
          <t>ÅRJÄNG</t>
        </is>
      </c>
      <c r="G373" t="n">
        <v>0.6</v>
      </c>
      <c r="H373" t="n">
        <v>0</v>
      </c>
      <c r="I373" t="n">
        <v>0</v>
      </c>
      <c r="J373" t="n">
        <v>0</v>
      </c>
      <c r="K373" t="n">
        <v>0</v>
      </c>
      <c r="L373" t="n">
        <v>0</v>
      </c>
      <c r="M373" t="n">
        <v>0</v>
      </c>
      <c r="N373" t="n">
        <v>0</v>
      </c>
      <c r="O373" t="n">
        <v>0</v>
      </c>
      <c r="P373" t="n">
        <v>0</v>
      </c>
      <c r="Q373" t="n">
        <v>0</v>
      </c>
      <c r="R373" s="2" t="inlineStr"/>
    </row>
    <row r="374" ht="15" customHeight="1">
      <c r="A374" t="inlineStr">
        <is>
          <t>A 39094-2025</t>
        </is>
      </c>
      <c r="B374" s="1" t="n">
        <v>45888.4933912037</v>
      </c>
      <c r="C374" s="1" t="n">
        <v>46081</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39096-2025</t>
        </is>
      </c>
      <c r="B375" s="1" t="n">
        <v>45888.50145833333</v>
      </c>
      <c r="C375" s="1" t="n">
        <v>46081</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8146-2024</t>
        </is>
      </c>
      <c r="B376" s="1" t="n">
        <v>45351.57671296296</v>
      </c>
      <c r="C376" s="1" t="n">
        <v>46081</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26758-2025</t>
        </is>
      </c>
      <c r="B377" s="1" t="n">
        <v>45807</v>
      </c>
      <c r="C377" s="1" t="n">
        <v>46081</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39079-2025</t>
        </is>
      </c>
      <c r="B378" s="1" t="n">
        <v>45888.48422453704</v>
      </c>
      <c r="C378" s="1" t="n">
        <v>46081</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15951-2025</t>
        </is>
      </c>
      <c r="B379" s="1" t="n">
        <v>45749</v>
      </c>
      <c r="C379" s="1" t="n">
        <v>46081</v>
      </c>
      <c r="D379" t="inlineStr">
        <is>
          <t>VÄRMLANDS LÄN</t>
        </is>
      </c>
      <c r="E379" t="inlineStr">
        <is>
          <t>ÅRJÄNG</t>
        </is>
      </c>
      <c r="F379" t="inlineStr">
        <is>
          <t>Bergvik skog väst AB</t>
        </is>
      </c>
      <c r="G379" t="n">
        <v>5.1</v>
      </c>
      <c r="H379" t="n">
        <v>0</v>
      </c>
      <c r="I379" t="n">
        <v>0</v>
      </c>
      <c r="J379" t="n">
        <v>0</v>
      </c>
      <c r="K379" t="n">
        <v>0</v>
      </c>
      <c r="L379" t="n">
        <v>0</v>
      </c>
      <c r="M379" t="n">
        <v>0</v>
      </c>
      <c r="N379" t="n">
        <v>0</v>
      </c>
      <c r="O379" t="n">
        <v>0</v>
      </c>
      <c r="P379" t="n">
        <v>0</v>
      </c>
      <c r="Q379" t="n">
        <v>0</v>
      </c>
      <c r="R379" s="2" t="inlineStr"/>
    </row>
    <row r="380" ht="15" customHeight="1">
      <c r="A380" t="inlineStr">
        <is>
          <t>A 14710-2025</t>
        </is>
      </c>
      <c r="B380" s="1" t="n">
        <v>45742.60868055555</v>
      </c>
      <c r="C380" s="1" t="n">
        <v>46081</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15248-2025</t>
        </is>
      </c>
      <c r="B381" s="1" t="n">
        <v>45744</v>
      </c>
      <c r="C381" s="1" t="n">
        <v>46081</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38867-2025</t>
        </is>
      </c>
      <c r="B382" s="1" t="n">
        <v>45887</v>
      </c>
      <c r="C382" s="1" t="n">
        <v>46081</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26728-2025</t>
        </is>
      </c>
      <c r="B383" s="1" t="n">
        <v>45810.50186342592</v>
      </c>
      <c r="C383" s="1" t="n">
        <v>46081</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8818-2022</t>
        </is>
      </c>
      <c r="B384" s="1" t="n">
        <v>44614.45849537037</v>
      </c>
      <c r="C384" s="1" t="n">
        <v>46081</v>
      </c>
      <c r="D384" t="inlineStr">
        <is>
          <t>VÄRMLANDS LÄN</t>
        </is>
      </c>
      <c r="E384" t="inlineStr">
        <is>
          <t>ÅRJÄNG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42233-2024</t>
        </is>
      </c>
      <c r="B385" s="1" t="n">
        <v>45562</v>
      </c>
      <c r="C385" s="1" t="n">
        <v>46081</v>
      </c>
      <c r="D385" t="inlineStr">
        <is>
          <t>VÄRMLANDS LÄN</t>
        </is>
      </c>
      <c r="E385" t="inlineStr">
        <is>
          <t>ÅRJÄNG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24789-2024</t>
        </is>
      </c>
      <c r="B386" s="1" t="n">
        <v>45460</v>
      </c>
      <c r="C386" s="1" t="n">
        <v>46081</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34181-2024</t>
        </is>
      </c>
      <c r="B387" s="1" t="n">
        <v>45524</v>
      </c>
      <c r="C387" s="1" t="n">
        <v>46081</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34184-2024</t>
        </is>
      </c>
      <c r="B388" s="1" t="n">
        <v>45524</v>
      </c>
      <c r="C388" s="1" t="n">
        <v>46081</v>
      </c>
      <c r="D388" t="inlineStr">
        <is>
          <t>VÄRMLANDS LÄN</t>
        </is>
      </c>
      <c r="E388" t="inlineStr">
        <is>
          <t>ÅRJÄNG</t>
        </is>
      </c>
      <c r="G388" t="n">
        <v>0.6</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46081</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55432-2024</t>
        </is>
      </c>
      <c r="B390" s="1" t="n">
        <v>45622</v>
      </c>
      <c r="C390" s="1" t="n">
        <v>46081</v>
      </c>
      <c r="D390" t="inlineStr">
        <is>
          <t>VÄRMLANDS LÄN</t>
        </is>
      </c>
      <c r="E390" t="inlineStr">
        <is>
          <t>ÅRJÄNG</t>
        </is>
      </c>
      <c r="G390" t="n">
        <v>6.9</v>
      </c>
      <c r="H390" t="n">
        <v>0</v>
      </c>
      <c r="I390" t="n">
        <v>0</v>
      </c>
      <c r="J390" t="n">
        <v>0</v>
      </c>
      <c r="K390" t="n">
        <v>0</v>
      </c>
      <c r="L390" t="n">
        <v>0</v>
      </c>
      <c r="M390" t="n">
        <v>0</v>
      </c>
      <c r="N390" t="n">
        <v>0</v>
      </c>
      <c r="O390" t="n">
        <v>0</v>
      </c>
      <c r="P390" t="n">
        <v>0</v>
      </c>
      <c r="Q390" t="n">
        <v>0</v>
      </c>
      <c r="R390" s="2" t="inlineStr"/>
    </row>
    <row r="391" ht="15" customHeight="1">
      <c r="A391" t="inlineStr">
        <is>
          <t>A 24971-2025</t>
        </is>
      </c>
      <c r="B391" s="1" t="n">
        <v>45799</v>
      </c>
      <c r="C391" s="1" t="n">
        <v>46081</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424-2025</t>
        </is>
      </c>
      <c r="B392" s="1" t="n">
        <v>45664</v>
      </c>
      <c r="C392" s="1" t="n">
        <v>46081</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51265-2024</t>
        </is>
      </c>
      <c r="B393" s="1" t="n">
        <v>45602</v>
      </c>
      <c r="C393" s="1" t="n">
        <v>46081</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4865-2024</t>
        </is>
      </c>
      <c r="B394" s="1" t="n">
        <v>45329</v>
      </c>
      <c r="C394" s="1" t="n">
        <v>46081</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26783-2024</t>
        </is>
      </c>
      <c r="B395" s="1" t="n">
        <v>45470</v>
      </c>
      <c r="C395" s="1" t="n">
        <v>46081</v>
      </c>
      <c r="D395" t="inlineStr">
        <is>
          <t>VÄRMLANDS LÄN</t>
        </is>
      </c>
      <c r="E395" t="inlineStr">
        <is>
          <t>ÅRJÄNG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18718-2023</t>
        </is>
      </c>
      <c r="B396" s="1" t="n">
        <v>45043.65459490741</v>
      </c>
      <c r="C396" s="1" t="n">
        <v>46081</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6559-2025</t>
        </is>
      </c>
      <c r="B397" s="1" t="n">
        <v>45699.73678240741</v>
      </c>
      <c r="C397" s="1" t="n">
        <v>46081</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26434-2025</t>
        </is>
      </c>
      <c r="B398" s="1" t="n">
        <v>45807.39797453704</v>
      </c>
      <c r="C398" s="1" t="n">
        <v>46081</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4137-2025</t>
        </is>
      </c>
      <c r="B399" s="1" t="n">
        <v>45685.35232638889</v>
      </c>
      <c r="C399" s="1" t="n">
        <v>46081</v>
      </c>
      <c r="D399" t="inlineStr">
        <is>
          <t>VÄRMLANDS LÄN</t>
        </is>
      </c>
      <c r="E399" t="inlineStr">
        <is>
          <t>ÅRJÄNG</t>
        </is>
      </c>
      <c r="G399" t="n">
        <v>3.3</v>
      </c>
      <c r="H399" t="n">
        <v>0</v>
      </c>
      <c r="I399" t="n">
        <v>0</v>
      </c>
      <c r="J399" t="n">
        <v>0</v>
      </c>
      <c r="K399" t="n">
        <v>0</v>
      </c>
      <c r="L399" t="n">
        <v>0</v>
      </c>
      <c r="M399" t="n">
        <v>0</v>
      </c>
      <c r="N399" t="n">
        <v>0</v>
      </c>
      <c r="O399" t="n">
        <v>0</v>
      </c>
      <c r="P399" t="n">
        <v>0</v>
      </c>
      <c r="Q399" t="n">
        <v>0</v>
      </c>
      <c r="R399" s="2" t="inlineStr"/>
    </row>
    <row r="400" ht="15" customHeight="1">
      <c r="A400" t="inlineStr">
        <is>
          <t>A 43517-2024</t>
        </is>
      </c>
      <c r="B400" s="1" t="n">
        <v>45569.32800925926</v>
      </c>
      <c r="C400" s="1" t="n">
        <v>46081</v>
      </c>
      <c r="D400" t="inlineStr">
        <is>
          <t>VÄRMLANDS LÄN</t>
        </is>
      </c>
      <c r="E400" t="inlineStr">
        <is>
          <t>ÅRJÄNG</t>
        </is>
      </c>
      <c r="G400" t="n">
        <v>5.9</v>
      </c>
      <c r="H400" t="n">
        <v>0</v>
      </c>
      <c r="I400" t="n">
        <v>0</v>
      </c>
      <c r="J400" t="n">
        <v>0</v>
      </c>
      <c r="K400" t="n">
        <v>0</v>
      </c>
      <c r="L400" t="n">
        <v>0</v>
      </c>
      <c r="M400" t="n">
        <v>0</v>
      </c>
      <c r="N400" t="n">
        <v>0</v>
      </c>
      <c r="O400" t="n">
        <v>0</v>
      </c>
      <c r="P400" t="n">
        <v>0</v>
      </c>
      <c r="Q400" t="n">
        <v>0</v>
      </c>
      <c r="R400" s="2" t="inlineStr"/>
    </row>
    <row r="401" ht="15" customHeight="1">
      <c r="A401" t="inlineStr">
        <is>
          <t>A 15323-2025</t>
        </is>
      </c>
      <c r="B401" s="1" t="n">
        <v>45747.32385416667</v>
      </c>
      <c r="C401" s="1" t="n">
        <v>46081</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60909-2024</t>
        </is>
      </c>
      <c r="B402" s="1" t="n">
        <v>45645</v>
      </c>
      <c r="C402" s="1" t="n">
        <v>46081</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13196-2023</t>
        </is>
      </c>
      <c r="B403" s="1" t="n">
        <v>45002</v>
      </c>
      <c r="C403" s="1" t="n">
        <v>46081</v>
      </c>
      <c r="D403" t="inlineStr">
        <is>
          <t>VÄRMLANDS LÄN</t>
        </is>
      </c>
      <c r="E403" t="inlineStr">
        <is>
          <t>ÅRJÄNG</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26781-2025</t>
        </is>
      </c>
      <c r="B404" s="1" t="n">
        <v>45810.58258101852</v>
      </c>
      <c r="C404" s="1" t="n">
        <v>46081</v>
      </c>
      <c r="D404" t="inlineStr">
        <is>
          <t>VÄRMLANDS LÄN</t>
        </is>
      </c>
      <c r="E404" t="inlineStr">
        <is>
          <t>ÅRJÄNG</t>
        </is>
      </c>
      <c r="G404" t="n">
        <v>4.2</v>
      </c>
      <c r="H404" t="n">
        <v>0</v>
      </c>
      <c r="I404" t="n">
        <v>0</v>
      </c>
      <c r="J404" t="n">
        <v>0</v>
      </c>
      <c r="K404" t="n">
        <v>0</v>
      </c>
      <c r="L404" t="n">
        <v>0</v>
      </c>
      <c r="M404" t="n">
        <v>0</v>
      </c>
      <c r="N404" t="n">
        <v>0</v>
      </c>
      <c r="O404" t="n">
        <v>0</v>
      </c>
      <c r="P404" t="n">
        <v>0</v>
      </c>
      <c r="Q404" t="n">
        <v>0</v>
      </c>
      <c r="R404" s="2" t="inlineStr"/>
    </row>
    <row r="405" ht="15" customHeight="1">
      <c r="A405" t="inlineStr">
        <is>
          <t>A 8357-2025</t>
        </is>
      </c>
      <c r="B405" s="1" t="n">
        <v>45708.79896990741</v>
      </c>
      <c r="C405" s="1" t="n">
        <v>46081</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10321-2025</t>
        </is>
      </c>
      <c r="B406" s="1" t="n">
        <v>45720</v>
      </c>
      <c r="C406" s="1" t="n">
        <v>46081</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56348-2024</t>
        </is>
      </c>
      <c r="B407" s="1" t="n">
        <v>45624</v>
      </c>
      <c r="C407" s="1" t="n">
        <v>46081</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16613-2022</t>
        </is>
      </c>
      <c r="B408" s="1" t="n">
        <v>44672</v>
      </c>
      <c r="C408" s="1" t="n">
        <v>46081</v>
      </c>
      <c r="D408" t="inlineStr">
        <is>
          <t>VÄRMLANDS LÄN</t>
        </is>
      </c>
      <c r="E408" t="inlineStr">
        <is>
          <t>ÅRJÄNG</t>
        </is>
      </c>
      <c r="G408" t="n">
        <v>2.3</v>
      </c>
      <c r="H408" t="n">
        <v>0</v>
      </c>
      <c r="I408" t="n">
        <v>0</v>
      </c>
      <c r="J408" t="n">
        <v>0</v>
      </c>
      <c r="K408" t="n">
        <v>0</v>
      </c>
      <c r="L408" t="n">
        <v>0</v>
      </c>
      <c r="M408" t="n">
        <v>0</v>
      </c>
      <c r="N408" t="n">
        <v>0</v>
      </c>
      <c r="O408" t="n">
        <v>0</v>
      </c>
      <c r="P408" t="n">
        <v>0</v>
      </c>
      <c r="Q408" t="n">
        <v>0</v>
      </c>
      <c r="R408" s="2" t="inlineStr"/>
    </row>
    <row r="409" ht="15" customHeight="1">
      <c r="A409" t="inlineStr">
        <is>
          <t>A 26998-2025</t>
        </is>
      </c>
      <c r="B409" s="1" t="n">
        <v>45811</v>
      </c>
      <c r="C409" s="1" t="n">
        <v>46081</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24964-2025</t>
        </is>
      </c>
      <c r="B410" s="1" t="n">
        <v>45799</v>
      </c>
      <c r="C410" s="1" t="n">
        <v>46081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36862-2025</t>
        </is>
      </c>
      <c r="B411" s="1" t="n">
        <v>45874</v>
      </c>
      <c r="C411" s="1" t="n">
        <v>46081</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26959-2025</t>
        </is>
      </c>
      <c r="B412" s="1" t="n">
        <v>45811.45909722222</v>
      </c>
      <c r="C412" s="1" t="n">
        <v>46081</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9425-2025</t>
        </is>
      </c>
      <c r="B413" s="1" t="n">
        <v>45715.40350694444</v>
      </c>
      <c r="C413" s="1" t="n">
        <v>46081</v>
      </c>
      <c r="D413" t="inlineStr">
        <is>
          <t>VÄRMLANDS LÄN</t>
        </is>
      </c>
      <c r="E413" t="inlineStr">
        <is>
          <t>ÅRJÄNG</t>
        </is>
      </c>
      <c r="G413" t="n">
        <v>1.3</v>
      </c>
      <c r="H413" t="n">
        <v>0</v>
      </c>
      <c r="I413" t="n">
        <v>0</v>
      </c>
      <c r="J413" t="n">
        <v>0</v>
      </c>
      <c r="K413" t="n">
        <v>0</v>
      </c>
      <c r="L413" t="n">
        <v>0</v>
      </c>
      <c r="M413" t="n">
        <v>0</v>
      </c>
      <c r="N413" t="n">
        <v>0</v>
      </c>
      <c r="O413" t="n">
        <v>0</v>
      </c>
      <c r="P413" t="n">
        <v>0</v>
      </c>
      <c r="Q413" t="n">
        <v>0</v>
      </c>
      <c r="R413" s="2" t="inlineStr"/>
    </row>
    <row r="414" ht="15" customHeight="1">
      <c r="A414" t="inlineStr">
        <is>
          <t>A 39369-2025</t>
        </is>
      </c>
      <c r="B414" s="1" t="n">
        <v>45889.57848379629</v>
      </c>
      <c r="C414" s="1" t="n">
        <v>46081</v>
      </c>
      <c r="D414" t="inlineStr">
        <is>
          <t>VÄRMLANDS LÄN</t>
        </is>
      </c>
      <c r="E414" t="inlineStr">
        <is>
          <t>ÅRJÄNG</t>
        </is>
      </c>
      <c r="G414" t="n">
        <v>2.6</v>
      </c>
      <c r="H414" t="n">
        <v>0</v>
      </c>
      <c r="I414" t="n">
        <v>0</v>
      </c>
      <c r="J414" t="n">
        <v>0</v>
      </c>
      <c r="K414" t="n">
        <v>0</v>
      </c>
      <c r="L414" t="n">
        <v>0</v>
      </c>
      <c r="M414" t="n">
        <v>0</v>
      </c>
      <c r="N414" t="n">
        <v>0</v>
      </c>
      <c r="O414" t="n">
        <v>0</v>
      </c>
      <c r="P414" t="n">
        <v>0</v>
      </c>
      <c r="Q414" t="n">
        <v>0</v>
      </c>
      <c r="R414" s="2" t="inlineStr"/>
    </row>
    <row r="415" ht="15" customHeight="1">
      <c r="A415" t="inlineStr">
        <is>
          <t>A 34387-2023</t>
        </is>
      </c>
      <c r="B415" s="1" t="n">
        <v>45139.50744212963</v>
      </c>
      <c r="C415" s="1" t="n">
        <v>46081</v>
      </c>
      <c r="D415" t="inlineStr">
        <is>
          <t>VÄRMLANDS LÄN</t>
        </is>
      </c>
      <c r="E415" t="inlineStr">
        <is>
          <t>ÅRJÄNG</t>
        </is>
      </c>
      <c r="G415" t="n">
        <v>2.6</v>
      </c>
      <c r="H415" t="n">
        <v>0</v>
      </c>
      <c r="I415" t="n">
        <v>0</v>
      </c>
      <c r="J415" t="n">
        <v>0</v>
      </c>
      <c r="K415" t="n">
        <v>0</v>
      </c>
      <c r="L415" t="n">
        <v>0</v>
      </c>
      <c r="M415" t="n">
        <v>0</v>
      </c>
      <c r="N415" t="n">
        <v>0</v>
      </c>
      <c r="O415" t="n">
        <v>0</v>
      </c>
      <c r="P415" t="n">
        <v>0</v>
      </c>
      <c r="Q415" t="n">
        <v>0</v>
      </c>
      <c r="R415" s="2" t="inlineStr"/>
    </row>
    <row r="416" ht="15" customHeight="1">
      <c r="A416" t="inlineStr">
        <is>
          <t>A 27120-2025</t>
        </is>
      </c>
      <c r="B416" s="1" t="n">
        <v>45811.76232638889</v>
      </c>
      <c r="C416" s="1" t="n">
        <v>46081</v>
      </c>
      <c r="D416" t="inlineStr">
        <is>
          <t>VÄRMLANDS LÄN</t>
        </is>
      </c>
      <c r="E416" t="inlineStr">
        <is>
          <t>ÅRJÄNG</t>
        </is>
      </c>
      <c r="G416" t="n">
        <v>4.3</v>
      </c>
      <c r="H416" t="n">
        <v>0</v>
      </c>
      <c r="I416" t="n">
        <v>0</v>
      </c>
      <c r="J416" t="n">
        <v>0</v>
      </c>
      <c r="K416" t="n">
        <v>0</v>
      </c>
      <c r="L416" t="n">
        <v>0</v>
      </c>
      <c r="M416" t="n">
        <v>0</v>
      </c>
      <c r="N416" t="n">
        <v>0</v>
      </c>
      <c r="O416" t="n">
        <v>0</v>
      </c>
      <c r="P416" t="n">
        <v>0</v>
      </c>
      <c r="Q416" t="n">
        <v>0</v>
      </c>
      <c r="R416" s="2" t="inlineStr"/>
    </row>
    <row r="417" ht="15" customHeight="1">
      <c r="A417" t="inlineStr">
        <is>
          <t>A 39578-2025</t>
        </is>
      </c>
      <c r="B417" s="1" t="n">
        <v>45890.49292824074</v>
      </c>
      <c r="C417" s="1" t="n">
        <v>46081</v>
      </c>
      <c r="D417" t="inlineStr">
        <is>
          <t>VÄRMLANDS LÄN</t>
        </is>
      </c>
      <c r="E417" t="inlineStr">
        <is>
          <t>ÅRJÄNG</t>
        </is>
      </c>
      <c r="G417" t="n">
        <v>5.5</v>
      </c>
      <c r="H417" t="n">
        <v>0</v>
      </c>
      <c r="I417" t="n">
        <v>0</v>
      </c>
      <c r="J417" t="n">
        <v>0</v>
      </c>
      <c r="K417" t="n">
        <v>0</v>
      </c>
      <c r="L417" t="n">
        <v>0</v>
      </c>
      <c r="M417" t="n">
        <v>0</v>
      </c>
      <c r="N417" t="n">
        <v>0</v>
      </c>
      <c r="O417" t="n">
        <v>0</v>
      </c>
      <c r="P417" t="n">
        <v>0</v>
      </c>
      <c r="Q417" t="n">
        <v>0</v>
      </c>
      <c r="R417" s="2" t="inlineStr"/>
    </row>
    <row r="418" ht="15" customHeight="1">
      <c r="A418" t="inlineStr">
        <is>
          <t>A 27247-2025</t>
        </is>
      </c>
      <c r="B418" s="1" t="n">
        <v>45812.46612268518</v>
      </c>
      <c r="C418" s="1" t="n">
        <v>46081</v>
      </c>
      <c r="D418" t="inlineStr">
        <is>
          <t>VÄRMLANDS LÄN</t>
        </is>
      </c>
      <c r="E418" t="inlineStr">
        <is>
          <t>ÅRJÄNG</t>
        </is>
      </c>
      <c r="G418" t="n">
        <v>2.9</v>
      </c>
      <c r="H418" t="n">
        <v>0</v>
      </c>
      <c r="I418" t="n">
        <v>0</v>
      </c>
      <c r="J418" t="n">
        <v>0</v>
      </c>
      <c r="K418" t="n">
        <v>0</v>
      </c>
      <c r="L418" t="n">
        <v>0</v>
      </c>
      <c r="M418" t="n">
        <v>0</v>
      </c>
      <c r="N418" t="n">
        <v>0</v>
      </c>
      <c r="O418" t="n">
        <v>0</v>
      </c>
      <c r="P418" t="n">
        <v>0</v>
      </c>
      <c r="Q418" t="n">
        <v>0</v>
      </c>
      <c r="R418" s="2" t="inlineStr"/>
    </row>
    <row r="419" ht="15" customHeight="1">
      <c r="A419" t="inlineStr">
        <is>
          <t>A 62720-2023</t>
        </is>
      </c>
      <c r="B419" s="1" t="n">
        <v>45271.5799537037</v>
      </c>
      <c r="C419" s="1" t="n">
        <v>46081</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59068-2024</t>
        </is>
      </c>
      <c r="B420" s="1" t="n">
        <v>45636.95376157408</v>
      </c>
      <c r="C420" s="1" t="n">
        <v>46081</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61868-2024</t>
        </is>
      </c>
      <c r="B421" s="1" t="n">
        <v>45651.47393518518</v>
      </c>
      <c r="C421" s="1" t="n">
        <v>46081</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40232-2025</t>
        </is>
      </c>
      <c r="B422" s="1" t="n">
        <v>45894.7147800926</v>
      </c>
      <c r="C422" s="1" t="n">
        <v>46081</v>
      </c>
      <c r="D422" t="inlineStr">
        <is>
          <t>VÄRMLANDS LÄN</t>
        </is>
      </c>
      <c r="E422" t="inlineStr">
        <is>
          <t>ÅRJÄNG</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39781-2025</t>
        </is>
      </c>
      <c r="B423" s="1" t="n">
        <v>45891</v>
      </c>
      <c r="C423" s="1" t="n">
        <v>46081</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40219-2025</t>
        </is>
      </c>
      <c r="B424" s="1" t="n">
        <v>45894.69025462963</v>
      </c>
      <c r="C424" s="1" t="n">
        <v>46081</v>
      </c>
      <c r="D424" t="inlineStr">
        <is>
          <t>VÄRMLANDS LÄN</t>
        </is>
      </c>
      <c r="E424" t="inlineStr">
        <is>
          <t>ÅRJÄNG</t>
        </is>
      </c>
      <c r="F424" t="inlineStr">
        <is>
          <t>Bergvik skog väst AB</t>
        </is>
      </c>
      <c r="G424" t="n">
        <v>2.5</v>
      </c>
      <c r="H424" t="n">
        <v>0</v>
      </c>
      <c r="I424" t="n">
        <v>0</v>
      </c>
      <c r="J424" t="n">
        <v>0</v>
      </c>
      <c r="K424" t="n">
        <v>0</v>
      </c>
      <c r="L424" t="n">
        <v>0</v>
      </c>
      <c r="M424" t="n">
        <v>0</v>
      </c>
      <c r="N424" t="n">
        <v>0</v>
      </c>
      <c r="O424" t="n">
        <v>0</v>
      </c>
      <c r="P424" t="n">
        <v>0</v>
      </c>
      <c r="Q424" t="n">
        <v>0</v>
      </c>
      <c r="R424" s="2" t="inlineStr"/>
    </row>
    <row r="425" ht="15" customHeight="1">
      <c r="A425" t="inlineStr">
        <is>
          <t>A 3492-2024</t>
        </is>
      </c>
      <c r="B425" s="1" t="n">
        <v>45317</v>
      </c>
      <c r="C425" s="1" t="n">
        <v>46081</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4408-2025</t>
        </is>
      </c>
      <c r="B426" s="1" t="n">
        <v>45686</v>
      </c>
      <c r="C426" s="1" t="n">
        <v>46081</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40349-2024</t>
        </is>
      </c>
      <c r="B427" s="1" t="n">
        <v>45555.35849537037</v>
      </c>
      <c r="C427" s="1" t="n">
        <v>46081</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28874-2025</t>
        </is>
      </c>
      <c r="B428" s="1" t="n">
        <v>45820</v>
      </c>
      <c r="C428" s="1" t="n">
        <v>46081</v>
      </c>
      <c r="D428" t="inlineStr">
        <is>
          <t>VÄRMLANDS LÄN</t>
        </is>
      </c>
      <c r="E428" t="inlineStr">
        <is>
          <t>ÅRJÄNG</t>
        </is>
      </c>
      <c r="G428" t="n">
        <v>0.4</v>
      </c>
      <c r="H428" t="n">
        <v>0</v>
      </c>
      <c r="I428" t="n">
        <v>0</v>
      </c>
      <c r="J428" t="n">
        <v>0</v>
      </c>
      <c r="K428" t="n">
        <v>0</v>
      </c>
      <c r="L428" t="n">
        <v>0</v>
      </c>
      <c r="M428" t="n">
        <v>0</v>
      </c>
      <c r="N428" t="n">
        <v>0</v>
      </c>
      <c r="O428" t="n">
        <v>0</v>
      </c>
      <c r="P428" t="n">
        <v>0</v>
      </c>
      <c r="Q428" t="n">
        <v>0</v>
      </c>
      <c r="R428" s="2" t="inlineStr"/>
    </row>
    <row r="429" ht="15" customHeight="1">
      <c r="A429" t="inlineStr">
        <is>
          <t>A 28690-2025</t>
        </is>
      </c>
      <c r="B429" s="1" t="n">
        <v>45819.73236111111</v>
      </c>
      <c r="C429" s="1" t="n">
        <v>46081</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28711-2025</t>
        </is>
      </c>
      <c r="B430" s="1" t="n">
        <v>45820.33701388889</v>
      </c>
      <c r="C430" s="1" t="n">
        <v>46081</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28797-2025</t>
        </is>
      </c>
      <c r="B431" s="1" t="n">
        <v>45820.48179398148</v>
      </c>
      <c r="C431" s="1" t="n">
        <v>46081</v>
      </c>
      <c r="D431" t="inlineStr">
        <is>
          <t>VÄRMLANDS LÄN</t>
        </is>
      </c>
      <c r="E431" t="inlineStr">
        <is>
          <t>ÅRJÄNG</t>
        </is>
      </c>
      <c r="G431" t="n">
        <v>3</v>
      </c>
      <c r="H431" t="n">
        <v>0</v>
      </c>
      <c r="I431" t="n">
        <v>0</v>
      </c>
      <c r="J431" t="n">
        <v>0</v>
      </c>
      <c r="K431" t="n">
        <v>0</v>
      </c>
      <c r="L431" t="n">
        <v>0</v>
      </c>
      <c r="M431" t="n">
        <v>0</v>
      </c>
      <c r="N431" t="n">
        <v>0</v>
      </c>
      <c r="O431" t="n">
        <v>0</v>
      </c>
      <c r="P431" t="n">
        <v>0</v>
      </c>
      <c r="Q431" t="n">
        <v>0</v>
      </c>
      <c r="R431" s="2" t="inlineStr"/>
    </row>
    <row r="432" ht="15" customHeight="1">
      <c r="A432" t="inlineStr">
        <is>
          <t>A 28793-2025</t>
        </is>
      </c>
      <c r="B432" s="1" t="n">
        <v>45820.47452546296</v>
      </c>
      <c r="C432" s="1" t="n">
        <v>46081</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37191-2023</t>
        </is>
      </c>
      <c r="B433" s="1" t="n">
        <v>45154</v>
      </c>
      <c r="C433" s="1" t="n">
        <v>46081</v>
      </c>
      <c r="D433" t="inlineStr">
        <is>
          <t>VÄRMLANDS LÄN</t>
        </is>
      </c>
      <c r="E433" t="inlineStr">
        <is>
          <t>ÅRJÄNG</t>
        </is>
      </c>
      <c r="G433" t="n">
        <v>0.7</v>
      </c>
      <c r="H433" t="n">
        <v>0</v>
      </c>
      <c r="I433" t="n">
        <v>0</v>
      </c>
      <c r="J433" t="n">
        <v>0</v>
      </c>
      <c r="K433" t="n">
        <v>0</v>
      </c>
      <c r="L433" t="n">
        <v>0</v>
      </c>
      <c r="M433" t="n">
        <v>0</v>
      </c>
      <c r="N433" t="n">
        <v>0</v>
      </c>
      <c r="O433" t="n">
        <v>0</v>
      </c>
      <c r="P433" t="n">
        <v>0</v>
      </c>
      <c r="Q433" t="n">
        <v>0</v>
      </c>
      <c r="R433" s="2" t="inlineStr"/>
    </row>
    <row r="434" ht="15" customHeight="1">
      <c r="A434" t="inlineStr">
        <is>
          <t>A 39905-2025</t>
        </is>
      </c>
      <c r="B434" s="1" t="n">
        <v>45891.63949074074</v>
      </c>
      <c r="C434" s="1" t="n">
        <v>46081</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21365-2022</t>
        </is>
      </c>
      <c r="B435" s="1" t="n">
        <v>44705</v>
      </c>
      <c r="C435" s="1" t="n">
        <v>46081</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28948-2025</t>
        </is>
      </c>
      <c r="B436" s="1" t="n">
        <v>45820</v>
      </c>
      <c r="C436" s="1" t="n">
        <v>46081</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28949-2025</t>
        </is>
      </c>
      <c r="B437" s="1" t="n">
        <v>45820</v>
      </c>
      <c r="C437" s="1" t="n">
        <v>46081</v>
      </c>
      <c r="D437" t="inlineStr">
        <is>
          <t>VÄRMLANDS LÄN</t>
        </is>
      </c>
      <c r="E437" t="inlineStr">
        <is>
          <t>ÅRJÄNG</t>
        </is>
      </c>
      <c r="G437" t="n">
        <v>0.3</v>
      </c>
      <c r="H437" t="n">
        <v>0</v>
      </c>
      <c r="I437" t="n">
        <v>0</v>
      </c>
      <c r="J437" t="n">
        <v>0</v>
      </c>
      <c r="K437" t="n">
        <v>0</v>
      </c>
      <c r="L437" t="n">
        <v>0</v>
      </c>
      <c r="M437" t="n">
        <v>0</v>
      </c>
      <c r="N437" t="n">
        <v>0</v>
      </c>
      <c r="O437" t="n">
        <v>0</v>
      </c>
      <c r="P437" t="n">
        <v>0</v>
      </c>
      <c r="Q437" t="n">
        <v>0</v>
      </c>
      <c r="R437" s="2" t="inlineStr"/>
    </row>
    <row r="438" ht="15" customHeight="1">
      <c r="A438" t="inlineStr">
        <is>
          <t>A 39776-2025</t>
        </is>
      </c>
      <c r="B438" s="1" t="n">
        <v>45891</v>
      </c>
      <c r="C438" s="1" t="n">
        <v>46081</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39779-2025</t>
        </is>
      </c>
      <c r="B439" s="1" t="n">
        <v>45891</v>
      </c>
      <c r="C439" s="1" t="n">
        <v>46081</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28710-2025</t>
        </is>
      </c>
      <c r="B440" s="1" t="n">
        <v>45820.32953703704</v>
      </c>
      <c r="C440" s="1" t="n">
        <v>46081</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28554-2025</t>
        </is>
      </c>
      <c r="B441" s="1" t="n">
        <v>45819.53761574074</v>
      </c>
      <c r="C441" s="1" t="n">
        <v>46081</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53468-2021</t>
        </is>
      </c>
      <c r="B442" s="1" t="n">
        <v>44468.74127314815</v>
      </c>
      <c r="C442" s="1" t="n">
        <v>46081</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29136-2025</t>
        </is>
      </c>
      <c r="B443" s="1" t="n">
        <v>45821</v>
      </c>
      <c r="C443" s="1" t="n">
        <v>46081</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29138-2025</t>
        </is>
      </c>
      <c r="B444" s="1" t="n">
        <v>45821</v>
      </c>
      <c r="C444" s="1" t="n">
        <v>46081</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29146-2025</t>
        </is>
      </c>
      <c r="B445" s="1" t="n">
        <v>45821</v>
      </c>
      <c r="C445" s="1" t="n">
        <v>46081</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39725-2025</t>
        </is>
      </c>
      <c r="B446" s="1" t="n">
        <v>45891</v>
      </c>
      <c r="C446" s="1" t="n">
        <v>46081</v>
      </c>
      <c r="D446" t="inlineStr">
        <is>
          <t>VÄRMLANDS LÄN</t>
        </is>
      </c>
      <c r="E446" t="inlineStr">
        <is>
          <t>ÅRJÄNG</t>
        </is>
      </c>
      <c r="G446" t="n">
        <v>4.2</v>
      </c>
      <c r="H446" t="n">
        <v>0</v>
      </c>
      <c r="I446" t="n">
        <v>0</v>
      </c>
      <c r="J446" t="n">
        <v>0</v>
      </c>
      <c r="K446" t="n">
        <v>0</v>
      </c>
      <c r="L446" t="n">
        <v>0</v>
      </c>
      <c r="M446" t="n">
        <v>0</v>
      </c>
      <c r="N446" t="n">
        <v>0</v>
      </c>
      <c r="O446" t="n">
        <v>0</v>
      </c>
      <c r="P446" t="n">
        <v>0</v>
      </c>
      <c r="Q446" t="n">
        <v>0</v>
      </c>
      <c r="R446" s="2" t="inlineStr"/>
    </row>
    <row r="447" ht="15" customHeight="1">
      <c r="A447" t="inlineStr">
        <is>
          <t>A 29007-2025</t>
        </is>
      </c>
      <c r="B447" s="1" t="n">
        <v>45821</v>
      </c>
      <c r="C447" s="1" t="n">
        <v>46081</v>
      </c>
      <c r="D447" t="inlineStr">
        <is>
          <t>VÄRMLANDS LÄN</t>
        </is>
      </c>
      <c r="E447" t="inlineStr">
        <is>
          <t>ÅRJÄNG</t>
        </is>
      </c>
      <c r="F447" t="inlineStr">
        <is>
          <t>Bergvik skog väst AB</t>
        </is>
      </c>
      <c r="G447" t="n">
        <v>6.2</v>
      </c>
      <c r="H447" t="n">
        <v>0</v>
      </c>
      <c r="I447" t="n">
        <v>0</v>
      </c>
      <c r="J447" t="n">
        <v>0</v>
      </c>
      <c r="K447" t="n">
        <v>0</v>
      </c>
      <c r="L447" t="n">
        <v>0</v>
      </c>
      <c r="M447" t="n">
        <v>0</v>
      </c>
      <c r="N447" t="n">
        <v>0</v>
      </c>
      <c r="O447" t="n">
        <v>0</v>
      </c>
      <c r="P447" t="n">
        <v>0</v>
      </c>
      <c r="Q447" t="n">
        <v>0</v>
      </c>
      <c r="R447" s="2" t="inlineStr"/>
    </row>
    <row r="448" ht="15" customHeight="1">
      <c r="A448" t="inlineStr">
        <is>
          <t>A 29026-2025</t>
        </is>
      </c>
      <c r="B448" s="1" t="n">
        <v>45821</v>
      </c>
      <c r="C448" s="1" t="n">
        <v>46081</v>
      </c>
      <c r="D448" t="inlineStr">
        <is>
          <t>VÄRMLANDS LÄN</t>
        </is>
      </c>
      <c r="E448" t="inlineStr">
        <is>
          <t>ÅRJÄNG</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29082-2025</t>
        </is>
      </c>
      <c r="B449" s="1" t="n">
        <v>45821</v>
      </c>
      <c r="C449" s="1" t="n">
        <v>46081</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29166-2025</t>
        </is>
      </c>
      <c r="B450" s="1" t="n">
        <v>45821.68682870371</v>
      </c>
      <c r="C450" s="1" t="n">
        <v>46081</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28992-2025</t>
        </is>
      </c>
      <c r="B451" s="1" t="n">
        <v>45821</v>
      </c>
      <c r="C451" s="1" t="n">
        <v>46081</v>
      </c>
      <c r="D451" t="inlineStr">
        <is>
          <t>VÄRMLANDS LÄN</t>
        </is>
      </c>
      <c r="E451" t="inlineStr">
        <is>
          <t>ÅRJÄNG</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29208-2025</t>
        </is>
      </c>
      <c r="B452" s="1" t="n">
        <v>45823.80380787037</v>
      </c>
      <c r="C452" s="1" t="n">
        <v>46081</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43650-2024</t>
        </is>
      </c>
      <c r="B453" s="1" t="n">
        <v>45569.53091435185</v>
      </c>
      <c r="C453" s="1" t="n">
        <v>46081</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29169-2025</t>
        </is>
      </c>
      <c r="B454" s="1" t="n">
        <v>45821.69650462963</v>
      </c>
      <c r="C454" s="1" t="n">
        <v>46081</v>
      </c>
      <c r="D454" t="inlineStr">
        <is>
          <t>VÄRMLANDS LÄN</t>
        </is>
      </c>
      <c r="E454" t="inlineStr">
        <is>
          <t>ÅRJÄNG</t>
        </is>
      </c>
      <c r="G454" t="n">
        <v>3.6</v>
      </c>
      <c r="H454" t="n">
        <v>0</v>
      </c>
      <c r="I454" t="n">
        <v>0</v>
      </c>
      <c r="J454" t="n">
        <v>0</v>
      </c>
      <c r="K454" t="n">
        <v>0</v>
      </c>
      <c r="L454" t="n">
        <v>0</v>
      </c>
      <c r="M454" t="n">
        <v>0</v>
      </c>
      <c r="N454" t="n">
        <v>0</v>
      </c>
      <c r="O454" t="n">
        <v>0</v>
      </c>
      <c r="P454" t="n">
        <v>0</v>
      </c>
      <c r="Q454" t="n">
        <v>0</v>
      </c>
      <c r="R454" s="2" t="inlineStr"/>
    </row>
    <row r="455" ht="15" customHeight="1">
      <c r="A455" t="inlineStr">
        <is>
          <t>A 29100-2025</t>
        </is>
      </c>
      <c r="B455" s="1" t="n">
        <v>45821</v>
      </c>
      <c r="C455" s="1" t="n">
        <v>46081</v>
      </c>
      <c r="D455" t="inlineStr">
        <is>
          <t>VÄRMLANDS LÄN</t>
        </is>
      </c>
      <c r="E455" t="inlineStr">
        <is>
          <t>ÅRJÄNG</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29139-2025</t>
        </is>
      </c>
      <c r="B456" s="1" t="n">
        <v>45821</v>
      </c>
      <c r="C456" s="1" t="n">
        <v>46081</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21513-2024</t>
        </is>
      </c>
      <c r="B457" s="1" t="n">
        <v>45441</v>
      </c>
      <c r="C457" s="1" t="n">
        <v>46081</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40497-2025</t>
        </is>
      </c>
      <c r="B458" s="1" t="n">
        <v>45896.32087962963</v>
      </c>
      <c r="C458" s="1" t="n">
        <v>46081</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30134-2025</t>
        </is>
      </c>
      <c r="B459" s="1" t="n">
        <v>45826</v>
      </c>
      <c r="C459" s="1" t="n">
        <v>46081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29783-2025</t>
        </is>
      </c>
      <c r="B460" s="1" t="n">
        <v>45825</v>
      </c>
      <c r="C460" s="1" t="n">
        <v>46081</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14509-2022</t>
        </is>
      </c>
      <c r="B461" s="1" t="n">
        <v>44655</v>
      </c>
      <c r="C461" s="1" t="n">
        <v>46081</v>
      </c>
      <c r="D461" t="inlineStr">
        <is>
          <t>VÄRMLANDS LÄN</t>
        </is>
      </c>
      <c r="E461" t="inlineStr">
        <is>
          <t>ÅRJÄNG</t>
        </is>
      </c>
      <c r="G461" t="n">
        <v>0.2</v>
      </c>
      <c r="H461" t="n">
        <v>0</v>
      </c>
      <c r="I461" t="n">
        <v>0</v>
      </c>
      <c r="J461" t="n">
        <v>0</v>
      </c>
      <c r="K461" t="n">
        <v>0</v>
      </c>
      <c r="L461" t="n">
        <v>0</v>
      </c>
      <c r="M461" t="n">
        <v>0</v>
      </c>
      <c r="N461" t="n">
        <v>0</v>
      </c>
      <c r="O461" t="n">
        <v>0</v>
      </c>
      <c r="P461" t="n">
        <v>0</v>
      </c>
      <c r="Q461" t="n">
        <v>0</v>
      </c>
      <c r="R461" s="2" t="inlineStr"/>
    </row>
    <row r="462" ht="15" customHeight="1">
      <c r="A462" t="inlineStr">
        <is>
          <t>A 40449-2025</t>
        </is>
      </c>
      <c r="B462" s="1" t="n">
        <v>45895</v>
      </c>
      <c r="C462" s="1" t="n">
        <v>46081</v>
      </c>
      <c r="D462" t="inlineStr">
        <is>
          <t>VÄRMLANDS LÄN</t>
        </is>
      </c>
      <c r="E462" t="inlineStr">
        <is>
          <t>ÅRJÄNG</t>
        </is>
      </c>
      <c r="G462" t="n">
        <v>2.5</v>
      </c>
      <c r="H462" t="n">
        <v>0</v>
      </c>
      <c r="I462" t="n">
        <v>0</v>
      </c>
      <c r="J462" t="n">
        <v>0</v>
      </c>
      <c r="K462" t="n">
        <v>0</v>
      </c>
      <c r="L462" t="n">
        <v>0</v>
      </c>
      <c r="M462" t="n">
        <v>0</v>
      </c>
      <c r="N462" t="n">
        <v>0</v>
      </c>
      <c r="O462" t="n">
        <v>0</v>
      </c>
      <c r="P462" t="n">
        <v>0</v>
      </c>
      <c r="Q462" t="n">
        <v>0</v>
      </c>
      <c r="R462" s="2" t="inlineStr"/>
    </row>
    <row r="463" ht="15" customHeight="1">
      <c r="A463" t="inlineStr">
        <is>
          <t>A 29624-2025</t>
        </is>
      </c>
      <c r="B463" s="1" t="n">
        <v>45825.44246527777</v>
      </c>
      <c r="C463" s="1" t="n">
        <v>46081</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40602-2025</t>
        </is>
      </c>
      <c r="B464" s="1" t="n">
        <v>45896</v>
      </c>
      <c r="C464" s="1" t="n">
        <v>46081</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40601-2025</t>
        </is>
      </c>
      <c r="B465" s="1" t="n">
        <v>45896</v>
      </c>
      <c r="C465" s="1" t="n">
        <v>46081</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59384-2023</t>
        </is>
      </c>
      <c r="B466" s="1" t="n">
        <v>45253</v>
      </c>
      <c r="C466" s="1" t="n">
        <v>46081</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41229-2025</t>
        </is>
      </c>
      <c r="B467" s="1" t="n">
        <v>45898.59108796297</v>
      </c>
      <c r="C467" s="1" t="n">
        <v>46081</v>
      </c>
      <c r="D467" t="inlineStr">
        <is>
          <t>VÄRMLANDS LÄN</t>
        </is>
      </c>
      <c r="E467" t="inlineStr">
        <is>
          <t>ÅRJÄNG</t>
        </is>
      </c>
      <c r="G467" t="n">
        <v>2.6</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46081</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1929-2025</t>
        </is>
      </c>
      <c r="B469" s="1" t="n">
        <v>45671.73023148148</v>
      </c>
      <c r="C469" s="1" t="n">
        <v>46081</v>
      </c>
      <c r="D469" t="inlineStr">
        <is>
          <t>VÄRMLANDS LÄN</t>
        </is>
      </c>
      <c r="E469" t="inlineStr">
        <is>
          <t>ÅRJÄNG</t>
        </is>
      </c>
      <c r="G469" t="n">
        <v>2.9</v>
      </c>
      <c r="H469" t="n">
        <v>0</v>
      </c>
      <c r="I469" t="n">
        <v>0</v>
      </c>
      <c r="J469" t="n">
        <v>0</v>
      </c>
      <c r="K469" t="n">
        <v>0</v>
      </c>
      <c r="L469" t="n">
        <v>0</v>
      </c>
      <c r="M469" t="n">
        <v>0</v>
      </c>
      <c r="N469" t="n">
        <v>0</v>
      </c>
      <c r="O469" t="n">
        <v>0</v>
      </c>
      <c r="P469" t="n">
        <v>0</v>
      </c>
      <c r="Q469" t="n">
        <v>0</v>
      </c>
      <c r="R469" s="2" t="inlineStr"/>
    </row>
    <row r="470" ht="15" customHeight="1">
      <c r="A470" t="inlineStr">
        <is>
          <t>A 15718-2023</t>
        </is>
      </c>
      <c r="B470" s="1" t="n">
        <v>45021.55432870371</v>
      </c>
      <c r="C470" s="1" t="n">
        <v>46081</v>
      </c>
      <c r="D470" t="inlineStr">
        <is>
          <t>VÄRMLANDS LÄN</t>
        </is>
      </c>
      <c r="E470" t="inlineStr">
        <is>
          <t>ÅRJÄNG</t>
        </is>
      </c>
      <c r="G470" t="n">
        <v>2.9</v>
      </c>
      <c r="H470" t="n">
        <v>0</v>
      </c>
      <c r="I470" t="n">
        <v>0</v>
      </c>
      <c r="J470" t="n">
        <v>0</v>
      </c>
      <c r="K470" t="n">
        <v>0</v>
      </c>
      <c r="L470" t="n">
        <v>0</v>
      </c>
      <c r="M470" t="n">
        <v>0</v>
      </c>
      <c r="N470" t="n">
        <v>0</v>
      </c>
      <c r="O470" t="n">
        <v>0</v>
      </c>
      <c r="P470" t="n">
        <v>0</v>
      </c>
      <c r="Q470" t="n">
        <v>0</v>
      </c>
      <c r="R470" s="2" t="inlineStr"/>
    </row>
    <row r="471" ht="15" customHeight="1">
      <c r="A471" t="inlineStr">
        <is>
          <t>A 17426-2025</t>
        </is>
      </c>
      <c r="B471" s="1" t="n">
        <v>45757.40153935185</v>
      </c>
      <c r="C471" s="1" t="n">
        <v>46081</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46081</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8215-2025</t>
        </is>
      </c>
      <c r="B473" s="1" t="n">
        <v>45708.44832175926</v>
      </c>
      <c r="C473" s="1" t="n">
        <v>46081</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8230-2025</t>
        </is>
      </c>
      <c r="B474" s="1" t="n">
        <v>45708.47010416666</v>
      </c>
      <c r="C474" s="1" t="n">
        <v>46081</v>
      </c>
      <c r="D474" t="inlineStr">
        <is>
          <t>VÄRMLANDS LÄN</t>
        </is>
      </c>
      <c r="E474" t="inlineStr">
        <is>
          <t>ÅRJÄNG</t>
        </is>
      </c>
      <c r="G474" t="n">
        <v>2.5</v>
      </c>
      <c r="H474" t="n">
        <v>0</v>
      </c>
      <c r="I474" t="n">
        <v>0</v>
      </c>
      <c r="J474" t="n">
        <v>0</v>
      </c>
      <c r="K474" t="n">
        <v>0</v>
      </c>
      <c r="L474" t="n">
        <v>0</v>
      </c>
      <c r="M474" t="n">
        <v>0</v>
      </c>
      <c r="N474" t="n">
        <v>0</v>
      </c>
      <c r="O474" t="n">
        <v>0</v>
      </c>
      <c r="P474" t="n">
        <v>0</v>
      </c>
      <c r="Q474" t="n">
        <v>0</v>
      </c>
      <c r="R474" s="2" t="inlineStr"/>
    </row>
    <row r="475" ht="15" customHeight="1">
      <c r="A475" t="inlineStr">
        <is>
          <t>A 46957-2024</t>
        </is>
      </c>
      <c r="B475" s="1" t="n">
        <v>45586</v>
      </c>
      <c r="C475" s="1" t="n">
        <v>46081</v>
      </c>
      <c r="D475" t="inlineStr">
        <is>
          <t>VÄRMLANDS LÄN</t>
        </is>
      </c>
      <c r="E475" t="inlineStr">
        <is>
          <t>ÅRJÄNG</t>
        </is>
      </c>
      <c r="G475" t="n">
        <v>3.1</v>
      </c>
      <c r="H475" t="n">
        <v>0</v>
      </c>
      <c r="I475" t="n">
        <v>0</v>
      </c>
      <c r="J475" t="n">
        <v>0</v>
      </c>
      <c r="K475" t="n">
        <v>0</v>
      </c>
      <c r="L475" t="n">
        <v>0</v>
      </c>
      <c r="M475" t="n">
        <v>0</v>
      </c>
      <c r="N475" t="n">
        <v>0</v>
      </c>
      <c r="O475" t="n">
        <v>0</v>
      </c>
      <c r="P475" t="n">
        <v>0</v>
      </c>
      <c r="Q475" t="n">
        <v>0</v>
      </c>
      <c r="R475" s="2" t="inlineStr"/>
    </row>
    <row r="476" ht="15" customHeight="1">
      <c r="A476" t="inlineStr">
        <is>
          <t>A 40346-2024</t>
        </is>
      </c>
      <c r="B476" s="1" t="n">
        <v>45555.34840277778</v>
      </c>
      <c r="C476" s="1" t="n">
        <v>46081</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49785-2024</t>
        </is>
      </c>
      <c r="B477" s="1" t="n">
        <v>45597.35758101852</v>
      </c>
      <c r="C477" s="1" t="n">
        <v>46081</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41467-2025</t>
        </is>
      </c>
      <c r="B478" s="1" t="n">
        <v>45901.45755787037</v>
      </c>
      <c r="C478" s="1" t="n">
        <v>46081</v>
      </c>
      <c r="D478" t="inlineStr">
        <is>
          <t>VÄRMLANDS LÄN</t>
        </is>
      </c>
      <c r="E478" t="inlineStr">
        <is>
          <t>ÅRJÄNG</t>
        </is>
      </c>
      <c r="G478" t="n">
        <v>2</v>
      </c>
      <c r="H478" t="n">
        <v>0</v>
      </c>
      <c r="I478" t="n">
        <v>0</v>
      </c>
      <c r="J478" t="n">
        <v>0</v>
      </c>
      <c r="K478" t="n">
        <v>0</v>
      </c>
      <c r="L478" t="n">
        <v>0</v>
      </c>
      <c r="M478" t="n">
        <v>0</v>
      </c>
      <c r="N478" t="n">
        <v>0</v>
      </c>
      <c r="O478" t="n">
        <v>0</v>
      </c>
      <c r="P478" t="n">
        <v>0</v>
      </c>
      <c r="Q478" t="n">
        <v>0</v>
      </c>
      <c r="R478" s="2" t="inlineStr"/>
    </row>
    <row r="479" ht="15" customHeight="1">
      <c r="A479" t="inlineStr">
        <is>
          <t>A 41496-2025</t>
        </is>
      </c>
      <c r="B479" s="1" t="n">
        <v>45901</v>
      </c>
      <c r="C479" s="1" t="n">
        <v>46081</v>
      </c>
      <c r="D479" t="inlineStr">
        <is>
          <t>VÄRMLANDS LÄN</t>
        </is>
      </c>
      <c r="E479" t="inlineStr">
        <is>
          <t>ÅRJÄNG</t>
        </is>
      </c>
      <c r="G479" t="n">
        <v>5.8</v>
      </c>
      <c r="H479" t="n">
        <v>0</v>
      </c>
      <c r="I479" t="n">
        <v>0</v>
      </c>
      <c r="J479" t="n">
        <v>0</v>
      </c>
      <c r="K479" t="n">
        <v>0</v>
      </c>
      <c r="L479" t="n">
        <v>0</v>
      </c>
      <c r="M479" t="n">
        <v>0</v>
      </c>
      <c r="N479" t="n">
        <v>0</v>
      </c>
      <c r="O479" t="n">
        <v>0</v>
      </c>
      <c r="P479" t="n">
        <v>0</v>
      </c>
      <c r="Q479" t="n">
        <v>0</v>
      </c>
      <c r="R479" s="2" t="inlineStr"/>
    </row>
    <row r="480" ht="15" customHeight="1">
      <c r="A480" t="inlineStr">
        <is>
          <t>A 41499-2025</t>
        </is>
      </c>
      <c r="B480" s="1" t="n">
        <v>45901</v>
      </c>
      <c r="C480" s="1" t="n">
        <v>46081</v>
      </c>
      <c r="D480" t="inlineStr">
        <is>
          <t>VÄRMLANDS LÄN</t>
        </is>
      </c>
      <c r="E480" t="inlineStr">
        <is>
          <t>ÅRJÄNG</t>
        </is>
      </c>
      <c r="G480" t="n">
        <v>2.7</v>
      </c>
      <c r="H480" t="n">
        <v>0</v>
      </c>
      <c r="I480" t="n">
        <v>0</v>
      </c>
      <c r="J480" t="n">
        <v>0</v>
      </c>
      <c r="K480" t="n">
        <v>0</v>
      </c>
      <c r="L480" t="n">
        <v>0</v>
      </c>
      <c r="M480" t="n">
        <v>0</v>
      </c>
      <c r="N480" t="n">
        <v>0</v>
      </c>
      <c r="O480" t="n">
        <v>0</v>
      </c>
      <c r="P480" t="n">
        <v>0</v>
      </c>
      <c r="Q480" t="n">
        <v>0</v>
      </c>
      <c r="R480" s="2" t="inlineStr"/>
    </row>
    <row r="481" ht="15" customHeight="1">
      <c r="A481" t="inlineStr">
        <is>
          <t>A 41763-2025</t>
        </is>
      </c>
      <c r="B481" s="1" t="n">
        <v>45902.54175925926</v>
      </c>
      <c r="C481" s="1" t="n">
        <v>46081</v>
      </c>
      <c r="D481" t="inlineStr">
        <is>
          <t>VÄRMLANDS LÄN</t>
        </is>
      </c>
      <c r="E481" t="inlineStr">
        <is>
          <t>ÅRJÄNG</t>
        </is>
      </c>
      <c r="G481" t="n">
        <v>3.4</v>
      </c>
      <c r="H481" t="n">
        <v>0</v>
      </c>
      <c r="I481" t="n">
        <v>0</v>
      </c>
      <c r="J481" t="n">
        <v>0</v>
      </c>
      <c r="K481" t="n">
        <v>0</v>
      </c>
      <c r="L481" t="n">
        <v>0</v>
      </c>
      <c r="M481" t="n">
        <v>0</v>
      </c>
      <c r="N481" t="n">
        <v>0</v>
      </c>
      <c r="O481" t="n">
        <v>0</v>
      </c>
      <c r="P481" t="n">
        <v>0</v>
      </c>
      <c r="Q481" t="n">
        <v>0</v>
      </c>
      <c r="R481" s="2" t="inlineStr"/>
    </row>
    <row r="482" ht="15" customHeight="1">
      <c r="A482" t="inlineStr">
        <is>
          <t>A 41772-2025</t>
        </is>
      </c>
      <c r="B482" s="1" t="n">
        <v>45902.55828703703</v>
      </c>
      <c r="C482" s="1" t="n">
        <v>46081</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41771-2025</t>
        </is>
      </c>
      <c r="B483" s="1" t="n">
        <v>45902.55228009259</v>
      </c>
      <c r="C483" s="1" t="n">
        <v>46081</v>
      </c>
      <c r="D483" t="inlineStr">
        <is>
          <t>VÄRMLANDS LÄN</t>
        </is>
      </c>
      <c r="E483" t="inlineStr">
        <is>
          <t>ÅRJÄNG</t>
        </is>
      </c>
      <c r="G483" t="n">
        <v>1.9</v>
      </c>
      <c r="H483" t="n">
        <v>0</v>
      </c>
      <c r="I483" t="n">
        <v>0</v>
      </c>
      <c r="J483" t="n">
        <v>0</v>
      </c>
      <c r="K483" t="n">
        <v>0</v>
      </c>
      <c r="L483" t="n">
        <v>0</v>
      </c>
      <c r="M483" t="n">
        <v>0</v>
      </c>
      <c r="N483" t="n">
        <v>0</v>
      </c>
      <c r="O483" t="n">
        <v>0</v>
      </c>
      <c r="P483" t="n">
        <v>0</v>
      </c>
      <c r="Q483" t="n">
        <v>0</v>
      </c>
      <c r="R483" s="2" t="inlineStr"/>
    </row>
    <row r="484" ht="15" customHeight="1">
      <c r="A484" t="inlineStr">
        <is>
          <t>A 10239-2023</t>
        </is>
      </c>
      <c r="B484" s="1" t="n">
        <v>44986</v>
      </c>
      <c r="C484" s="1" t="n">
        <v>46081</v>
      </c>
      <c r="D484" t="inlineStr">
        <is>
          <t>VÄRMLANDS LÄN</t>
        </is>
      </c>
      <c r="E484" t="inlineStr">
        <is>
          <t>ÅRJÄNG</t>
        </is>
      </c>
      <c r="G484" t="n">
        <v>5.4</v>
      </c>
      <c r="H484" t="n">
        <v>0</v>
      </c>
      <c r="I484" t="n">
        <v>0</v>
      </c>
      <c r="J484" t="n">
        <v>0</v>
      </c>
      <c r="K484" t="n">
        <v>0</v>
      </c>
      <c r="L484" t="n">
        <v>0</v>
      </c>
      <c r="M484" t="n">
        <v>0</v>
      </c>
      <c r="N484" t="n">
        <v>0</v>
      </c>
      <c r="O484" t="n">
        <v>0</v>
      </c>
      <c r="P484" t="n">
        <v>0</v>
      </c>
      <c r="Q484" t="n">
        <v>0</v>
      </c>
      <c r="R484" s="2" t="inlineStr"/>
    </row>
    <row r="485" ht="15" customHeight="1">
      <c r="A485" t="inlineStr">
        <is>
          <t>A 41488-2025</t>
        </is>
      </c>
      <c r="B485" s="1" t="n">
        <v>45901.48288194444</v>
      </c>
      <c r="C485" s="1" t="n">
        <v>46081</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31111-2025</t>
        </is>
      </c>
      <c r="B486" s="1" t="n">
        <v>45831</v>
      </c>
      <c r="C486" s="1" t="n">
        <v>46081</v>
      </c>
      <c r="D486" t="inlineStr">
        <is>
          <t>VÄRMLANDS LÄN</t>
        </is>
      </c>
      <c r="E486" t="inlineStr">
        <is>
          <t>ÅRJÄNG</t>
        </is>
      </c>
      <c r="G486" t="n">
        <v>6</v>
      </c>
      <c r="H486" t="n">
        <v>0</v>
      </c>
      <c r="I486" t="n">
        <v>0</v>
      </c>
      <c r="J486" t="n">
        <v>0</v>
      </c>
      <c r="K486" t="n">
        <v>0</v>
      </c>
      <c r="L486" t="n">
        <v>0</v>
      </c>
      <c r="M486" t="n">
        <v>0</v>
      </c>
      <c r="N486" t="n">
        <v>0</v>
      </c>
      <c r="O486" t="n">
        <v>0</v>
      </c>
      <c r="P486" t="n">
        <v>0</v>
      </c>
      <c r="Q486" t="n">
        <v>0</v>
      </c>
      <c r="R486" s="2" t="inlineStr"/>
    </row>
    <row r="487" ht="15" customHeight="1">
      <c r="A487" t="inlineStr">
        <is>
          <t>A 30761-2025</t>
        </is>
      </c>
      <c r="B487" s="1" t="n">
        <v>45831</v>
      </c>
      <c r="C487" s="1" t="n">
        <v>46081</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30579-2025</t>
        </is>
      </c>
      <c r="B488" s="1" t="n">
        <v>45831.41965277777</v>
      </c>
      <c r="C488" s="1" t="n">
        <v>46081</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41725-2025</t>
        </is>
      </c>
      <c r="B489" s="1" t="n">
        <v>45902.45458333333</v>
      </c>
      <c r="C489" s="1" t="n">
        <v>46081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30611-2025</t>
        </is>
      </c>
      <c r="B490" s="1" t="n">
        <v>45831.46104166667</v>
      </c>
      <c r="C490" s="1" t="n">
        <v>46081</v>
      </c>
      <c r="D490" t="inlineStr">
        <is>
          <t>VÄRMLANDS LÄN</t>
        </is>
      </c>
      <c r="E490" t="inlineStr">
        <is>
          <t>ÅRJÄNG</t>
        </is>
      </c>
      <c r="G490" t="n">
        <v>5.5</v>
      </c>
      <c r="H490" t="n">
        <v>0</v>
      </c>
      <c r="I490" t="n">
        <v>0</v>
      </c>
      <c r="J490" t="n">
        <v>0</v>
      </c>
      <c r="K490" t="n">
        <v>0</v>
      </c>
      <c r="L490" t="n">
        <v>0</v>
      </c>
      <c r="M490" t="n">
        <v>0</v>
      </c>
      <c r="N490" t="n">
        <v>0</v>
      </c>
      <c r="O490" t="n">
        <v>0</v>
      </c>
      <c r="P490" t="n">
        <v>0</v>
      </c>
      <c r="Q490" t="n">
        <v>0</v>
      </c>
      <c r="R490" s="2" t="inlineStr"/>
    </row>
    <row r="491" ht="15" customHeight="1">
      <c r="A491" t="inlineStr">
        <is>
          <t>A 29792-2022</t>
        </is>
      </c>
      <c r="B491" s="1" t="n">
        <v>44755.67122685185</v>
      </c>
      <c r="C491" s="1" t="n">
        <v>46081</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30658-2025</t>
        </is>
      </c>
      <c r="B492" s="1" t="n">
        <v>45831.5072337963</v>
      </c>
      <c r="C492" s="1" t="n">
        <v>46081</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42333-2025</t>
        </is>
      </c>
      <c r="B493" s="1" t="n">
        <v>45904</v>
      </c>
      <c r="C493" s="1" t="n">
        <v>46081</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30346-2022</t>
        </is>
      </c>
      <c r="B494" s="1" t="n">
        <v>44760.55734953703</v>
      </c>
      <c r="C494" s="1" t="n">
        <v>46081</v>
      </c>
      <c r="D494" t="inlineStr">
        <is>
          <t>VÄRMLANDS LÄN</t>
        </is>
      </c>
      <c r="E494" t="inlineStr">
        <is>
          <t>ÅRJÄNG</t>
        </is>
      </c>
      <c r="G494" t="n">
        <v>6</v>
      </c>
      <c r="H494" t="n">
        <v>0</v>
      </c>
      <c r="I494" t="n">
        <v>0</v>
      </c>
      <c r="J494" t="n">
        <v>0</v>
      </c>
      <c r="K494" t="n">
        <v>0</v>
      </c>
      <c r="L494" t="n">
        <v>0</v>
      </c>
      <c r="M494" t="n">
        <v>0</v>
      </c>
      <c r="N494" t="n">
        <v>0</v>
      </c>
      <c r="O494" t="n">
        <v>0</v>
      </c>
      <c r="P494" t="n">
        <v>0</v>
      </c>
      <c r="Q494" t="n">
        <v>0</v>
      </c>
      <c r="R494" s="2" t="inlineStr"/>
    </row>
    <row r="495" ht="15" customHeight="1">
      <c r="A495" t="inlineStr">
        <is>
          <t>A 10126-2023</t>
        </is>
      </c>
      <c r="B495" s="1" t="n">
        <v>44980</v>
      </c>
      <c r="C495" s="1" t="n">
        <v>46081</v>
      </c>
      <c r="D495" t="inlineStr">
        <is>
          <t>VÄRMLANDS LÄN</t>
        </is>
      </c>
      <c r="E495" t="inlineStr">
        <is>
          <t>ÅRJÄNG</t>
        </is>
      </c>
      <c r="G495" t="n">
        <v>2</v>
      </c>
      <c r="H495" t="n">
        <v>0</v>
      </c>
      <c r="I495" t="n">
        <v>0</v>
      </c>
      <c r="J495" t="n">
        <v>0</v>
      </c>
      <c r="K495" t="n">
        <v>0</v>
      </c>
      <c r="L495" t="n">
        <v>0</v>
      </c>
      <c r="M495" t="n">
        <v>0</v>
      </c>
      <c r="N495" t="n">
        <v>0</v>
      </c>
      <c r="O495" t="n">
        <v>0</v>
      </c>
      <c r="P495" t="n">
        <v>0</v>
      </c>
      <c r="Q495" t="n">
        <v>0</v>
      </c>
      <c r="R495" s="2" t="inlineStr"/>
    </row>
    <row r="496" ht="15" customHeight="1">
      <c r="A496" t="inlineStr">
        <is>
          <t>A 31063-2025</t>
        </is>
      </c>
      <c r="B496" s="1" t="n">
        <v>45831</v>
      </c>
      <c r="C496" s="1" t="n">
        <v>46081</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31073-2025</t>
        </is>
      </c>
      <c r="B497" s="1" t="n">
        <v>45831</v>
      </c>
      <c r="C497" s="1" t="n">
        <v>46081</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34889-2022</t>
        </is>
      </c>
      <c r="B498" s="1" t="n">
        <v>44796</v>
      </c>
      <c r="C498" s="1" t="n">
        <v>46081</v>
      </c>
      <c r="D498" t="inlineStr">
        <is>
          <t>VÄRMLANDS LÄN</t>
        </is>
      </c>
      <c r="E498" t="inlineStr">
        <is>
          <t>ÅRJÄNG</t>
        </is>
      </c>
      <c r="G498" t="n">
        <v>0.8</v>
      </c>
      <c r="H498" t="n">
        <v>0</v>
      </c>
      <c r="I498" t="n">
        <v>0</v>
      </c>
      <c r="J498" t="n">
        <v>0</v>
      </c>
      <c r="K498" t="n">
        <v>0</v>
      </c>
      <c r="L498" t="n">
        <v>0</v>
      </c>
      <c r="M498" t="n">
        <v>0</v>
      </c>
      <c r="N498" t="n">
        <v>0</v>
      </c>
      <c r="O498" t="n">
        <v>0</v>
      </c>
      <c r="P498" t="n">
        <v>0</v>
      </c>
      <c r="Q498" t="n">
        <v>0</v>
      </c>
      <c r="R498" s="2" t="inlineStr"/>
    </row>
    <row r="499" ht="15" customHeight="1">
      <c r="A499" t="inlineStr">
        <is>
          <t>A 14310-2022</t>
        </is>
      </c>
      <c r="B499" s="1" t="n">
        <v>44652</v>
      </c>
      <c r="C499" s="1" t="n">
        <v>46081</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30604-2025</t>
        </is>
      </c>
      <c r="B500" s="1" t="n">
        <v>45831.45185185185</v>
      </c>
      <c r="C500" s="1" t="n">
        <v>46081</v>
      </c>
      <c r="D500" t="inlineStr">
        <is>
          <t>VÄRMLANDS LÄN</t>
        </is>
      </c>
      <c r="E500" t="inlineStr">
        <is>
          <t>ÅRJÄNG</t>
        </is>
      </c>
      <c r="G500" t="n">
        <v>6.5</v>
      </c>
      <c r="H500" t="n">
        <v>0</v>
      </c>
      <c r="I500" t="n">
        <v>0</v>
      </c>
      <c r="J500" t="n">
        <v>0</v>
      </c>
      <c r="K500" t="n">
        <v>0</v>
      </c>
      <c r="L500" t="n">
        <v>0</v>
      </c>
      <c r="M500" t="n">
        <v>0</v>
      </c>
      <c r="N500" t="n">
        <v>0</v>
      </c>
      <c r="O500" t="n">
        <v>0</v>
      </c>
      <c r="P500" t="n">
        <v>0</v>
      </c>
      <c r="Q500" t="n">
        <v>0</v>
      </c>
      <c r="R500" s="2" t="inlineStr"/>
    </row>
    <row r="501" ht="15" customHeight="1">
      <c r="A501" t="inlineStr">
        <is>
          <t>A 6577-2025</t>
        </is>
      </c>
      <c r="B501" s="1" t="n">
        <v>45699.87793981482</v>
      </c>
      <c r="C501" s="1" t="n">
        <v>46081</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14917-2024</t>
        </is>
      </c>
      <c r="B502" s="1" t="n">
        <v>45398</v>
      </c>
      <c r="C502" s="1" t="n">
        <v>46081</v>
      </c>
      <c r="D502" t="inlineStr">
        <is>
          <t>VÄRMLANDS LÄN</t>
        </is>
      </c>
      <c r="E502" t="inlineStr">
        <is>
          <t>ÅRJÄNG</t>
        </is>
      </c>
      <c r="G502" t="n">
        <v>19.9</v>
      </c>
      <c r="H502" t="n">
        <v>0</v>
      </c>
      <c r="I502" t="n">
        <v>0</v>
      </c>
      <c r="J502" t="n">
        <v>0</v>
      </c>
      <c r="K502" t="n">
        <v>0</v>
      </c>
      <c r="L502" t="n">
        <v>0</v>
      </c>
      <c r="M502" t="n">
        <v>0</v>
      </c>
      <c r="N502" t="n">
        <v>0</v>
      </c>
      <c r="O502" t="n">
        <v>0</v>
      </c>
      <c r="P502" t="n">
        <v>0</v>
      </c>
      <c r="Q502" t="n">
        <v>0</v>
      </c>
      <c r="R502" s="2" t="inlineStr"/>
    </row>
    <row r="503" ht="15" customHeight="1">
      <c r="A503" t="inlineStr">
        <is>
          <t>A 53793-2024</t>
        </is>
      </c>
      <c r="B503" s="1" t="n">
        <v>45615</v>
      </c>
      <c r="C503" s="1" t="n">
        <v>46081</v>
      </c>
      <c r="D503" t="inlineStr">
        <is>
          <t>VÄRMLANDS LÄN</t>
        </is>
      </c>
      <c r="E503" t="inlineStr">
        <is>
          <t>ÅRJÄNG</t>
        </is>
      </c>
      <c r="G503" t="n">
        <v>4.9</v>
      </c>
      <c r="H503" t="n">
        <v>0</v>
      </c>
      <c r="I503" t="n">
        <v>0</v>
      </c>
      <c r="J503" t="n">
        <v>0</v>
      </c>
      <c r="K503" t="n">
        <v>0</v>
      </c>
      <c r="L503" t="n">
        <v>0</v>
      </c>
      <c r="M503" t="n">
        <v>0</v>
      </c>
      <c r="N503" t="n">
        <v>0</v>
      </c>
      <c r="O503" t="n">
        <v>0</v>
      </c>
      <c r="P503" t="n">
        <v>0</v>
      </c>
      <c r="Q503" t="n">
        <v>0</v>
      </c>
      <c r="R503" s="2" t="inlineStr"/>
    </row>
    <row r="504" ht="15" customHeight="1">
      <c r="A504" t="inlineStr">
        <is>
          <t>A 31282-2025</t>
        </is>
      </c>
      <c r="B504" s="1" t="n">
        <v>45833</v>
      </c>
      <c r="C504" s="1" t="n">
        <v>46081</v>
      </c>
      <c r="D504" t="inlineStr">
        <is>
          <t>VÄRMLANDS LÄN</t>
        </is>
      </c>
      <c r="E504" t="inlineStr">
        <is>
          <t>ÅRJÄNG</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31710-2025</t>
        </is>
      </c>
      <c r="B505" s="1" t="n">
        <v>45834.4325462963</v>
      </c>
      <c r="C505" s="1" t="n">
        <v>46081</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15537-2024</t>
        </is>
      </c>
      <c r="B506" s="1" t="n">
        <v>45401</v>
      </c>
      <c r="C506" s="1" t="n">
        <v>46081</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60975-2022</t>
        </is>
      </c>
      <c r="B507" s="1" t="n">
        <v>44914</v>
      </c>
      <c r="C507" s="1" t="n">
        <v>46081</v>
      </c>
      <c r="D507" t="inlineStr">
        <is>
          <t>VÄRMLANDS LÄN</t>
        </is>
      </c>
      <c r="E507" t="inlineStr">
        <is>
          <t>ÅRJÄNG</t>
        </is>
      </c>
      <c r="G507" t="n">
        <v>1.3</v>
      </c>
      <c r="H507" t="n">
        <v>0</v>
      </c>
      <c r="I507" t="n">
        <v>0</v>
      </c>
      <c r="J507" t="n">
        <v>0</v>
      </c>
      <c r="K507" t="n">
        <v>0</v>
      </c>
      <c r="L507" t="n">
        <v>0</v>
      </c>
      <c r="M507" t="n">
        <v>0</v>
      </c>
      <c r="N507" t="n">
        <v>0</v>
      </c>
      <c r="O507" t="n">
        <v>0</v>
      </c>
      <c r="P507" t="n">
        <v>0</v>
      </c>
      <c r="Q507" t="n">
        <v>0</v>
      </c>
      <c r="R507" s="2" t="inlineStr"/>
    </row>
    <row r="508" ht="15" customHeight="1">
      <c r="A508" t="inlineStr">
        <is>
          <t>A 39156-2024</t>
        </is>
      </c>
      <c r="B508" s="1" t="n">
        <v>45548.62956018518</v>
      </c>
      <c r="C508" s="1" t="n">
        <v>46081</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42677-2025</t>
        </is>
      </c>
      <c r="B509" s="1" t="n">
        <v>45908.32836805555</v>
      </c>
      <c r="C509" s="1" t="n">
        <v>46081</v>
      </c>
      <c r="D509" t="inlineStr">
        <is>
          <t>VÄRMLANDS LÄN</t>
        </is>
      </c>
      <c r="E509" t="inlineStr">
        <is>
          <t>ÅRJÄNG</t>
        </is>
      </c>
      <c r="G509" t="n">
        <v>2.7</v>
      </c>
      <c r="H509" t="n">
        <v>0</v>
      </c>
      <c r="I509" t="n">
        <v>0</v>
      </c>
      <c r="J509" t="n">
        <v>0</v>
      </c>
      <c r="K509" t="n">
        <v>0</v>
      </c>
      <c r="L509" t="n">
        <v>0</v>
      </c>
      <c r="M509" t="n">
        <v>0</v>
      </c>
      <c r="N509" t="n">
        <v>0</v>
      </c>
      <c r="O509" t="n">
        <v>0</v>
      </c>
      <c r="P509" t="n">
        <v>0</v>
      </c>
      <c r="Q509" t="n">
        <v>0</v>
      </c>
      <c r="R509" s="2" t="inlineStr"/>
    </row>
    <row r="510" ht="15" customHeight="1">
      <c r="A510" t="inlineStr">
        <is>
          <t>A 31591-2025</t>
        </is>
      </c>
      <c r="B510" s="1" t="n">
        <v>45833</v>
      </c>
      <c r="C510" s="1" t="n">
        <v>46081</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31433-2025</t>
        </is>
      </c>
      <c r="B511" s="1" t="n">
        <v>45833</v>
      </c>
      <c r="C511" s="1" t="n">
        <v>46081</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31393-2025</t>
        </is>
      </c>
      <c r="B512" s="1" t="n">
        <v>45833.46305555556</v>
      </c>
      <c r="C512" s="1" t="n">
        <v>46081</v>
      </c>
      <c r="D512" t="inlineStr">
        <is>
          <t>VÄRMLANDS LÄN</t>
        </is>
      </c>
      <c r="E512" t="inlineStr">
        <is>
          <t>ÅRJÄNG</t>
        </is>
      </c>
      <c r="G512" t="n">
        <v>1.8</v>
      </c>
      <c r="H512" t="n">
        <v>0</v>
      </c>
      <c r="I512" t="n">
        <v>0</v>
      </c>
      <c r="J512" t="n">
        <v>0</v>
      </c>
      <c r="K512" t="n">
        <v>0</v>
      </c>
      <c r="L512" t="n">
        <v>0</v>
      </c>
      <c r="M512" t="n">
        <v>0</v>
      </c>
      <c r="N512" t="n">
        <v>0</v>
      </c>
      <c r="O512" t="n">
        <v>0</v>
      </c>
      <c r="P512" t="n">
        <v>0</v>
      </c>
      <c r="Q512" t="n">
        <v>0</v>
      </c>
      <c r="R512" s="2" t="inlineStr"/>
    </row>
    <row r="513" ht="15" customHeight="1">
      <c r="A513" t="inlineStr">
        <is>
          <t>A 13029-2025</t>
        </is>
      </c>
      <c r="B513" s="1" t="n">
        <v>45734.5703125</v>
      </c>
      <c r="C513" s="1" t="n">
        <v>46081</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42562-2025</t>
        </is>
      </c>
      <c r="B514" s="1" t="n">
        <v>45905.59986111111</v>
      </c>
      <c r="C514" s="1" t="n">
        <v>46081</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8685-2024</t>
        </is>
      </c>
      <c r="B515" s="1" t="n">
        <v>45356</v>
      </c>
      <c r="C515" s="1" t="n">
        <v>46081</v>
      </c>
      <c r="D515" t="inlineStr">
        <is>
          <t>VÄRMLANDS LÄN</t>
        </is>
      </c>
      <c r="E515" t="inlineStr">
        <is>
          <t>ÅRJÄNG</t>
        </is>
      </c>
      <c r="G515" t="n">
        <v>2.5</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46081</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32330-2025</t>
        </is>
      </c>
      <c r="B517" s="1" t="n">
        <v>45836.50547453704</v>
      </c>
      <c r="C517" s="1" t="n">
        <v>46081</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32324-2025</t>
        </is>
      </c>
      <c r="B518" s="1" t="n">
        <v>45836.43634259259</v>
      </c>
      <c r="C518" s="1" t="n">
        <v>46081</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49057-2024</t>
        </is>
      </c>
      <c r="B519" s="1" t="n">
        <v>45594</v>
      </c>
      <c r="C519" s="1" t="n">
        <v>46081</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38057-2024</t>
        </is>
      </c>
      <c r="B520" s="1" t="n">
        <v>45544.73293981481</v>
      </c>
      <c r="C520" s="1" t="n">
        <v>46081</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32326-2025</t>
        </is>
      </c>
      <c r="B521" s="1" t="n">
        <v>45836.44392361111</v>
      </c>
      <c r="C521" s="1" t="n">
        <v>46081</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46081</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42971-2025</t>
        </is>
      </c>
      <c r="B523" s="1" t="n">
        <v>45909.41502314815</v>
      </c>
      <c r="C523" s="1" t="n">
        <v>46081</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64690-2023</t>
        </is>
      </c>
      <c r="B524" s="1" t="n">
        <v>45281.63434027778</v>
      </c>
      <c r="C524" s="1" t="n">
        <v>46081</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43162-2025</t>
        </is>
      </c>
      <c r="B525" s="1" t="n">
        <v>45910</v>
      </c>
      <c r="C525" s="1" t="n">
        <v>46081</v>
      </c>
      <c r="D525" t="inlineStr">
        <is>
          <t>VÄRMLANDS LÄN</t>
        </is>
      </c>
      <c r="E525" t="inlineStr">
        <is>
          <t>ÅRJÄNG</t>
        </is>
      </c>
      <c r="F525" t="inlineStr">
        <is>
          <t>Bergvik skog väst AB</t>
        </is>
      </c>
      <c r="G525" t="n">
        <v>12.9</v>
      </c>
      <c r="H525" t="n">
        <v>0</v>
      </c>
      <c r="I525" t="n">
        <v>0</v>
      </c>
      <c r="J525" t="n">
        <v>0</v>
      </c>
      <c r="K525" t="n">
        <v>0</v>
      </c>
      <c r="L525" t="n">
        <v>0</v>
      </c>
      <c r="M525" t="n">
        <v>0</v>
      </c>
      <c r="N525" t="n">
        <v>0</v>
      </c>
      <c r="O525" t="n">
        <v>0</v>
      </c>
      <c r="P525" t="n">
        <v>0</v>
      </c>
      <c r="Q525" t="n">
        <v>0</v>
      </c>
      <c r="R525" s="2" t="inlineStr"/>
    </row>
    <row r="526" ht="15" customHeight="1">
      <c r="A526" t="inlineStr">
        <is>
          <t>A 9489-2025</t>
        </is>
      </c>
      <c r="B526" s="1" t="n">
        <v>45715</v>
      </c>
      <c r="C526" s="1" t="n">
        <v>46081</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32920-2025</t>
        </is>
      </c>
      <c r="B527" s="1" t="n">
        <v>45839</v>
      </c>
      <c r="C527" s="1" t="n">
        <v>46081</v>
      </c>
      <c r="D527" t="inlineStr">
        <is>
          <t>VÄRMLANDS LÄN</t>
        </is>
      </c>
      <c r="E527" t="inlineStr">
        <is>
          <t>ÅRJÄNG</t>
        </is>
      </c>
      <c r="G527" t="n">
        <v>4.8</v>
      </c>
      <c r="H527" t="n">
        <v>0</v>
      </c>
      <c r="I527" t="n">
        <v>0</v>
      </c>
      <c r="J527" t="n">
        <v>0</v>
      </c>
      <c r="K527" t="n">
        <v>0</v>
      </c>
      <c r="L527" t="n">
        <v>0</v>
      </c>
      <c r="M527" t="n">
        <v>0</v>
      </c>
      <c r="N527" t="n">
        <v>0</v>
      </c>
      <c r="O527" t="n">
        <v>0</v>
      </c>
      <c r="P527" t="n">
        <v>0</v>
      </c>
      <c r="Q527" t="n">
        <v>0</v>
      </c>
      <c r="R527" s="2" t="inlineStr"/>
    </row>
    <row r="528" ht="15" customHeight="1">
      <c r="A528" t="inlineStr">
        <is>
          <t>A 7574-2024</t>
        </is>
      </c>
      <c r="B528" s="1" t="n">
        <v>45348</v>
      </c>
      <c r="C528" s="1" t="n">
        <v>46081</v>
      </c>
      <c r="D528" t="inlineStr">
        <is>
          <t>VÄRMLANDS LÄN</t>
        </is>
      </c>
      <c r="E528" t="inlineStr">
        <is>
          <t>ÅRJÄNG</t>
        </is>
      </c>
      <c r="G528" t="n">
        <v>4.6</v>
      </c>
      <c r="H528" t="n">
        <v>0</v>
      </c>
      <c r="I528" t="n">
        <v>0</v>
      </c>
      <c r="J528" t="n">
        <v>0</v>
      </c>
      <c r="K528" t="n">
        <v>0</v>
      </c>
      <c r="L528" t="n">
        <v>0</v>
      </c>
      <c r="M528" t="n">
        <v>0</v>
      </c>
      <c r="N528" t="n">
        <v>0</v>
      </c>
      <c r="O528" t="n">
        <v>0</v>
      </c>
      <c r="P528" t="n">
        <v>0</v>
      </c>
      <c r="Q528" t="n">
        <v>0</v>
      </c>
      <c r="R528" s="2" t="inlineStr"/>
    </row>
    <row r="529" ht="15" customHeight="1">
      <c r="A529" t="inlineStr">
        <is>
          <t>A 32730-2025</t>
        </is>
      </c>
      <c r="B529" s="1" t="n">
        <v>45839.40315972222</v>
      </c>
      <c r="C529" s="1" t="n">
        <v>46081</v>
      </c>
      <c r="D529" t="inlineStr">
        <is>
          <t>VÄRMLANDS LÄN</t>
        </is>
      </c>
      <c r="E529" t="inlineStr">
        <is>
          <t>ÅRJÄNG</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60886-2023</t>
        </is>
      </c>
      <c r="B530" s="1" t="n">
        <v>45261</v>
      </c>
      <c r="C530" s="1" t="n">
        <v>46081</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57142-2024</t>
        </is>
      </c>
      <c r="B531" s="1" t="n">
        <v>45628</v>
      </c>
      <c r="C531" s="1" t="n">
        <v>46081</v>
      </c>
      <c r="D531" t="inlineStr">
        <is>
          <t>VÄRMLANDS LÄN</t>
        </is>
      </c>
      <c r="E531" t="inlineStr">
        <is>
          <t>ÅRJÄNG</t>
        </is>
      </c>
      <c r="G531" t="n">
        <v>5.4</v>
      </c>
      <c r="H531" t="n">
        <v>0</v>
      </c>
      <c r="I531" t="n">
        <v>0</v>
      </c>
      <c r="J531" t="n">
        <v>0</v>
      </c>
      <c r="K531" t="n">
        <v>0</v>
      </c>
      <c r="L531" t="n">
        <v>0</v>
      </c>
      <c r="M531" t="n">
        <v>0</v>
      </c>
      <c r="N531" t="n">
        <v>0</v>
      </c>
      <c r="O531" t="n">
        <v>0</v>
      </c>
      <c r="P531" t="n">
        <v>0</v>
      </c>
      <c r="Q531" t="n">
        <v>0</v>
      </c>
      <c r="R531" s="2" t="inlineStr"/>
    </row>
    <row r="532" ht="15" customHeight="1">
      <c r="A532" t="inlineStr">
        <is>
          <t>A 31622-2024</t>
        </is>
      </c>
      <c r="B532" s="1" t="n">
        <v>45506</v>
      </c>
      <c r="C532" s="1" t="n">
        <v>46081</v>
      </c>
      <c r="D532" t="inlineStr">
        <is>
          <t>VÄRMLANDS LÄN</t>
        </is>
      </c>
      <c r="E532" t="inlineStr">
        <is>
          <t>ÅRJÄNG</t>
        </is>
      </c>
      <c r="G532" t="n">
        <v>4</v>
      </c>
      <c r="H532" t="n">
        <v>0</v>
      </c>
      <c r="I532" t="n">
        <v>0</v>
      </c>
      <c r="J532" t="n">
        <v>0</v>
      </c>
      <c r="K532" t="n">
        <v>0</v>
      </c>
      <c r="L532" t="n">
        <v>0</v>
      </c>
      <c r="M532" t="n">
        <v>0</v>
      </c>
      <c r="N532" t="n">
        <v>0</v>
      </c>
      <c r="O532" t="n">
        <v>0</v>
      </c>
      <c r="P532" t="n">
        <v>0</v>
      </c>
      <c r="Q532" t="n">
        <v>0</v>
      </c>
      <c r="R532" s="2" t="inlineStr"/>
    </row>
    <row r="533" ht="15" customHeight="1">
      <c r="A533" t="inlineStr">
        <is>
          <t>A 33237-2025</t>
        </is>
      </c>
      <c r="B533" s="1" t="n">
        <v>45840</v>
      </c>
      <c r="C533" s="1" t="n">
        <v>46081</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24216-2024</t>
        </is>
      </c>
      <c r="B534" s="1" t="n">
        <v>45457</v>
      </c>
      <c r="C534" s="1" t="n">
        <v>46081</v>
      </c>
      <c r="D534" t="inlineStr">
        <is>
          <t>VÄRMLANDS LÄN</t>
        </is>
      </c>
      <c r="E534" t="inlineStr">
        <is>
          <t>ÅRJÄNG</t>
        </is>
      </c>
      <c r="G534" t="n">
        <v>2</v>
      </c>
      <c r="H534" t="n">
        <v>0</v>
      </c>
      <c r="I534" t="n">
        <v>0</v>
      </c>
      <c r="J534" t="n">
        <v>0</v>
      </c>
      <c r="K534" t="n">
        <v>0</v>
      </c>
      <c r="L534" t="n">
        <v>0</v>
      </c>
      <c r="M534" t="n">
        <v>0</v>
      </c>
      <c r="N534" t="n">
        <v>0</v>
      </c>
      <c r="O534" t="n">
        <v>0</v>
      </c>
      <c r="P534" t="n">
        <v>0</v>
      </c>
      <c r="Q534" t="n">
        <v>0</v>
      </c>
      <c r="R534" s="2" t="inlineStr"/>
    </row>
    <row r="535" ht="15" customHeight="1">
      <c r="A535" t="inlineStr">
        <is>
          <t>A 32924-2025</t>
        </is>
      </c>
      <c r="B535" s="1" t="n">
        <v>45839.65589120371</v>
      </c>
      <c r="C535" s="1" t="n">
        <v>46081</v>
      </c>
      <c r="D535" t="inlineStr">
        <is>
          <t>VÄRMLANDS LÄN</t>
        </is>
      </c>
      <c r="E535" t="inlineStr">
        <is>
          <t>ÅRJÄNG</t>
        </is>
      </c>
      <c r="G535" t="n">
        <v>4.5</v>
      </c>
      <c r="H535" t="n">
        <v>0</v>
      </c>
      <c r="I535" t="n">
        <v>0</v>
      </c>
      <c r="J535" t="n">
        <v>0</v>
      </c>
      <c r="K535" t="n">
        <v>0</v>
      </c>
      <c r="L535" t="n">
        <v>0</v>
      </c>
      <c r="M535" t="n">
        <v>0</v>
      </c>
      <c r="N535" t="n">
        <v>0</v>
      </c>
      <c r="O535" t="n">
        <v>0</v>
      </c>
      <c r="P535" t="n">
        <v>0</v>
      </c>
      <c r="Q535" t="n">
        <v>0</v>
      </c>
      <c r="R535" s="2" t="inlineStr"/>
    </row>
    <row r="536" ht="15" customHeight="1">
      <c r="A536" t="inlineStr">
        <is>
          <t>A 43025-2025</t>
        </is>
      </c>
      <c r="B536" s="1" t="n">
        <v>45909.53126157408</v>
      </c>
      <c r="C536" s="1" t="n">
        <v>46081</v>
      </c>
      <c r="D536" t="inlineStr">
        <is>
          <t>VÄRMLANDS LÄN</t>
        </is>
      </c>
      <c r="E536" t="inlineStr">
        <is>
          <t>ÅRJÄNG</t>
        </is>
      </c>
      <c r="G536" t="n">
        <v>3.8</v>
      </c>
      <c r="H536" t="n">
        <v>0</v>
      </c>
      <c r="I536" t="n">
        <v>0</v>
      </c>
      <c r="J536" t="n">
        <v>0</v>
      </c>
      <c r="K536" t="n">
        <v>0</v>
      </c>
      <c r="L536" t="n">
        <v>0</v>
      </c>
      <c r="M536" t="n">
        <v>0</v>
      </c>
      <c r="N536" t="n">
        <v>0</v>
      </c>
      <c r="O536" t="n">
        <v>0</v>
      </c>
      <c r="P536" t="n">
        <v>0</v>
      </c>
      <c r="Q536" t="n">
        <v>0</v>
      </c>
      <c r="R536" s="2" t="inlineStr"/>
    </row>
    <row r="537" ht="15" customHeight="1">
      <c r="A537" t="inlineStr">
        <is>
          <t>A 43047-2025</t>
        </is>
      </c>
      <c r="B537" s="1" t="n">
        <v>45909.56127314815</v>
      </c>
      <c r="C537" s="1" t="n">
        <v>46081</v>
      </c>
      <c r="D537" t="inlineStr">
        <is>
          <t>VÄRMLANDS LÄN</t>
        </is>
      </c>
      <c r="E537" t="inlineStr">
        <is>
          <t>ÅRJÄNG</t>
        </is>
      </c>
      <c r="G537" t="n">
        <v>6.3</v>
      </c>
      <c r="H537" t="n">
        <v>0</v>
      </c>
      <c r="I537" t="n">
        <v>0</v>
      </c>
      <c r="J537" t="n">
        <v>0</v>
      </c>
      <c r="K537" t="n">
        <v>0</v>
      </c>
      <c r="L537" t="n">
        <v>0</v>
      </c>
      <c r="M537" t="n">
        <v>0</v>
      </c>
      <c r="N537" t="n">
        <v>0</v>
      </c>
      <c r="O537" t="n">
        <v>0</v>
      </c>
      <c r="P537" t="n">
        <v>0</v>
      </c>
      <c r="Q537" t="n">
        <v>0</v>
      </c>
      <c r="R537" s="2" t="inlineStr"/>
    </row>
    <row r="538" ht="15" customHeight="1">
      <c r="A538" t="inlineStr">
        <is>
          <t>A 50112-2024</t>
        </is>
      </c>
      <c r="B538" s="1" t="n">
        <v>45600</v>
      </c>
      <c r="C538" s="1" t="n">
        <v>46081</v>
      </c>
      <c r="D538" t="inlineStr">
        <is>
          <t>VÄRMLANDS LÄN</t>
        </is>
      </c>
      <c r="E538" t="inlineStr">
        <is>
          <t>ÅRJÄNG</t>
        </is>
      </c>
      <c r="G538" t="n">
        <v>2.8</v>
      </c>
      <c r="H538" t="n">
        <v>0</v>
      </c>
      <c r="I538" t="n">
        <v>0</v>
      </c>
      <c r="J538" t="n">
        <v>0</v>
      </c>
      <c r="K538" t="n">
        <v>0</v>
      </c>
      <c r="L538" t="n">
        <v>0</v>
      </c>
      <c r="M538" t="n">
        <v>0</v>
      </c>
      <c r="N538" t="n">
        <v>0</v>
      </c>
      <c r="O538" t="n">
        <v>0</v>
      </c>
      <c r="P538" t="n">
        <v>0</v>
      </c>
      <c r="Q538" t="n">
        <v>0</v>
      </c>
      <c r="R538" s="2" t="inlineStr"/>
    </row>
    <row r="539" ht="15" customHeight="1">
      <c r="A539" t="inlineStr">
        <is>
          <t>A 18388-2025</t>
        </is>
      </c>
      <c r="B539" s="1" t="n">
        <v>45762</v>
      </c>
      <c r="C539" s="1" t="n">
        <v>46081</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56168-2024</t>
        </is>
      </c>
      <c r="B540" s="1" t="n">
        <v>45623</v>
      </c>
      <c r="C540" s="1" t="n">
        <v>46081</v>
      </c>
      <c r="D540" t="inlineStr">
        <is>
          <t>VÄRMLANDS LÄN</t>
        </is>
      </c>
      <c r="E540" t="inlineStr">
        <is>
          <t>ÅRJÄNG</t>
        </is>
      </c>
      <c r="G540" t="n">
        <v>2.3</v>
      </c>
      <c r="H540" t="n">
        <v>0</v>
      </c>
      <c r="I540" t="n">
        <v>0</v>
      </c>
      <c r="J540" t="n">
        <v>0</v>
      </c>
      <c r="K540" t="n">
        <v>0</v>
      </c>
      <c r="L540" t="n">
        <v>0</v>
      </c>
      <c r="M540" t="n">
        <v>0</v>
      </c>
      <c r="N540" t="n">
        <v>0</v>
      </c>
      <c r="O540" t="n">
        <v>0</v>
      </c>
      <c r="P540" t="n">
        <v>0</v>
      </c>
      <c r="Q540" t="n">
        <v>0</v>
      </c>
      <c r="R540" s="2" t="inlineStr"/>
    </row>
    <row r="541" ht="15" customHeight="1">
      <c r="A541" t="inlineStr">
        <is>
          <t>A 1912-2024</t>
        </is>
      </c>
      <c r="B541" s="1" t="n">
        <v>45308</v>
      </c>
      <c r="C541" s="1" t="n">
        <v>46081</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38167-2022</t>
        </is>
      </c>
      <c r="B542" s="1" t="n">
        <v>44812</v>
      </c>
      <c r="C542" s="1" t="n">
        <v>46081</v>
      </c>
      <c r="D542" t="inlineStr">
        <is>
          <t>VÄRMLANDS LÄN</t>
        </is>
      </c>
      <c r="E542" t="inlineStr">
        <is>
          <t>ÅRJÄNG</t>
        </is>
      </c>
      <c r="G542" t="n">
        <v>10.5</v>
      </c>
      <c r="H542" t="n">
        <v>0</v>
      </c>
      <c r="I542" t="n">
        <v>0</v>
      </c>
      <c r="J542" t="n">
        <v>0</v>
      </c>
      <c r="K542" t="n">
        <v>0</v>
      </c>
      <c r="L542" t="n">
        <v>0</v>
      </c>
      <c r="M542" t="n">
        <v>0</v>
      </c>
      <c r="N542" t="n">
        <v>0</v>
      </c>
      <c r="O542" t="n">
        <v>0</v>
      </c>
      <c r="P542" t="n">
        <v>0</v>
      </c>
      <c r="Q542" t="n">
        <v>0</v>
      </c>
      <c r="R542" s="2" t="inlineStr"/>
    </row>
    <row r="543" ht="15" customHeight="1">
      <c r="A543" t="inlineStr">
        <is>
          <t>A 57161-2024</t>
        </is>
      </c>
      <c r="B543" s="1" t="n">
        <v>45628</v>
      </c>
      <c r="C543" s="1" t="n">
        <v>46081</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60202-2023</t>
        </is>
      </c>
      <c r="B544" s="1" t="n">
        <v>45257</v>
      </c>
      <c r="C544" s="1" t="n">
        <v>46081</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43050-2025</t>
        </is>
      </c>
      <c r="B545" s="1" t="n">
        <v>45909.56809027777</v>
      </c>
      <c r="C545" s="1" t="n">
        <v>46081</v>
      </c>
      <c r="D545" t="inlineStr">
        <is>
          <t>VÄRMLANDS LÄN</t>
        </is>
      </c>
      <c r="E545" t="inlineStr">
        <is>
          <t>ÅRJÄNG</t>
        </is>
      </c>
      <c r="G545" t="n">
        <v>4.8</v>
      </c>
      <c r="H545" t="n">
        <v>0</v>
      </c>
      <c r="I545" t="n">
        <v>0</v>
      </c>
      <c r="J545" t="n">
        <v>0</v>
      </c>
      <c r="K545" t="n">
        <v>0</v>
      </c>
      <c r="L545" t="n">
        <v>0</v>
      </c>
      <c r="M545" t="n">
        <v>0</v>
      </c>
      <c r="N545" t="n">
        <v>0</v>
      </c>
      <c r="O545" t="n">
        <v>0</v>
      </c>
      <c r="P545" t="n">
        <v>0</v>
      </c>
      <c r="Q545" t="n">
        <v>0</v>
      </c>
      <c r="R545" s="2" t="inlineStr"/>
    </row>
    <row r="546" ht="15" customHeight="1">
      <c r="A546" t="inlineStr">
        <is>
          <t>A 33412-2025</t>
        </is>
      </c>
      <c r="B546" s="1" t="n">
        <v>45841</v>
      </c>
      <c r="C546" s="1" t="n">
        <v>46081</v>
      </c>
      <c r="D546" t="inlineStr">
        <is>
          <t>VÄRMLANDS LÄN</t>
        </is>
      </c>
      <c r="E546" t="inlineStr">
        <is>
          <t>ÅRJÄNG</t>
        </is>
      </c>
      <c r="G546" t="n">
        <v>4.1</v>
      </c>
      <c r="H546" t="n">
        <v>0</v>
      </c>
      <c r="I546" t="n">
        <v>0</v>
      </c>
      <c r="J546" t="n">
        <v>0</v>
      </c>
      <c r="K546" t="n">
        <v>0</v>
      </c>
      <c r="L546" t="n">
        <v>0</v>
      </c>
      <c r="M546" t="n">
        <v>0</v>
      </c>
      <c r="N546" t="n">
        <v>0</v>
      </c>
      <c r="O546" t="n">
        <v>0</v>
      </c>
      <c r="P546" t="n">
        <v>0</v>
      </c>
      <c r="Q546" t="n">
        <v>0</v>
      </c>
      <c r="R546" s="2" t="inlineStr"/>
    </row>
    <row r="547" ht="15" customHeight="1">
      <c r="A547" t="inlineStr">
        <is>
          <t>A 42236-2024</t>
        </is>
      </c>
      <c r="B547" s="1" t="n">
        <v>45562</v>
      </c>
      <c r="C547" s="1" t="n">
        <v>46081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33526-2025</t>
        </is>
      </c>
      <c r="B548" s="1" t="n">
        <v>45841.54869212963</v>
      </c>
      <c r="C548" s="1" t="n">
        <v>46081</v>
      </c>
      <c r="D548" t="inlineStr">
        <is>
          <t>VÄRMLANDS LÄN</t>
        </is>
      </c>
      <c r="E548" t="inlineStr">
        <is>
          <t>ÅRJÄNG</t>
        </is>
      </c>
      <c r="G548" t="n">
        <v>0.7</v>
      </c>
      <c r="H548" t="n">
        <v>0</v>
      </c>
      <c r="I548" t="n">
        <v>0</v>
      </c>
      <c r="J548" t="n">
        <v>0</v>
      </c>
      <c r="K548" t="n">
        <v>0</v>
      </c>
      <c r="L548" t="n">
        <v>0</v>
      </c>
      <c r="M548" t="n">
        <v>0</v>
      </c>
      <c r="N548" t="n">
        <v>0</v>
      </c>
      <c r="O548" t="n">
        <v>0</v>
      </c>
      <c r="P548" t="n">
        <v>0</v>
      </c>
      <c r="Q548" t="n">
        <v>0</v>
      </c>
      <c r="R548" s="2" t="inlineStr"/>
    </row>
    <row r="549" ht="15" customHeight="1">
      <c r="A549" t="inlineStr">
        <is>
          <t>A 59484-2024</t>
        </is>
      </c>
      <c r="B549" s="1" t="n">
        <v>45638</v>
      </c>
      <c r="C549" s="1" t="n">
        <v>46081</v>
      </c>
      <c r="D549" t="inlineStr">
        <is>
          <t>VÄRMLANDS LÄN</t>
        </is>
      </c>
      <c r="E549" t="inlineStr">
        <is>
          <t>ÅRJÄNG</t>
        </is>
      </c>
      <c r="G549" t="n">
        <v>2.9</v>
      </c>
      <c r="H549" t="n">
        <v>0</v>
      </c>
      <c r="I549" t="n">
        <v>0</v>
      </c>
      <c r="J549" t="n">
        <v>0</v>
      </c>
      <c r="K549" t="n">
        <v>0</v>
      </c>
      <c r="L549" t="n">
        <v>0</v>
      </c>
      <c r="M549" t="n">
        <v>0</v>
      </c>
      <c r="N549" t="n">
        <v>0</v>
      </c>
      <c r="O549" t="n">
        <v>0</v>
      </c>
      <c r="P549" t="n">
        <v>0</v>
      </c>
      <c r="Q549" t="n">
        <v>0</v>
      </c>
      <c r="R549" s="2" t="inlineStr"/>
    </row>
    <row r="550" ht="15" customHeight="1">
      <c r="A550" t="inlineStr">
        <is>
          <t>A 33600-2025</t>
        </is>
      </c>
      <c r="B550" s="1" t="n">
        <v>45841.60918981482</v>
      </c>
      <c r="C550" s="1" t="n">
        <v>46081</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33481-2025</t>
        </is>
      </c>
      <c r="B551" s="1" t="n">
        <v>45841</v>
      </c>
      <c r="C551" s="1" t="n">
        <v>46081</v>
      </c>
      <c r="D551" t="inlineStr">
        <is>
          <t>VÄRMLANDS LÄN</t>
        </is>
      </c>
      <c r="E551" t="inlineStr">
        <is>
          <t>ÅRJÄNG</t>
        </is>
      </c>
      <c r="G551" t="n">
        <v>10.3</v>
      </c>
      <c r="H551" t="n">
        <v>0</v>
      </c>
      <c r="I551" t="n">
        <v>0</v>
      </c>
      <c r="J551" t="n">
        <v>0</v>
      </c>
      <c r="K551" t="n">
        <v>0</v>
      </c>
      <c r="L551" t="n">
        <v>0</v>
      </c>
      <c r="M551" t="n">
        <v>0</v>
      </c>
      <c r="N551" t="n">
        <v>0</v>
      </c>
      <c r="O551" t="n">
        <v>0</v>
      </c>
      <c r="P551" t="n">
        <v>0</v>
      </c>
      <c r="Q551" t="n">
        <v>0</v>
      </c>
      <c r="R551" s="2" t="inlineStr"/>
    </row>
    <row r="552" ht="15" customHeight="1">
      <c r="A552" t="inlineStr">
        <is>
          <t>A 43426-2025</t>
        </is>
      </c>
      <c r="B552" s="1" t="n">
        <v>45911.41869212963</v>
      </c>
      <c r="C552" s="1" t="n">
        <v>46081</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51260-2024</t>
        </is>
      </c>
      <c r="B553" s="1" t="n">
        <v>45602</v>
      </c>
      <c r="C553" s="1" t="n">
        <v>46081</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41205-2024</t>
        </is>
      </c>
      <c r="B554" s="1" t="n">
        <v>45559</v>
      </c>
      <c r="C554" s="1" t="n">
        <v>46081</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33832-2025</t>
        </is>
      </c>
      <c r="B555" s="1" t="n">
        <v>45842.47506944444</v>
      </c>
      <c r="C555" s="1" t="n">
        <v>46081</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46081</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29570-2023</t>
        </is>
      </c>
      <c r="B557" s="1" t="n">
        <v>45106.6989699074</v>
      </c>
      <c r="C557" s="1" t="n">
        <v>46081</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56917-2024</t>
        </is>
      </c>
      <c r="B558" s="1" t="n">
        <v>45628</v>
      </c>
      <c r="C558" s="1" t="n">
        <v>46081</v>
      </c>
      <c r="D558" t="inlineStr">
        <is>
          <t>VÄRMLANDS LÄN</t>
        </is>
      </c>
      <c r="E558" t="inlineStr">
        <is>
          <t>ÅRJÄNG</t>
        </is>
      </c>
      <c r="G558" t="n">
        <v>2.5</v>
      </c>
      <c r="H558" t="n">
        <v>0</v>
      </c>
      <c r="I558" t="n">
        <v>0</v>
      </c>
      <c r="J558" t="n">
        <v>0</v>
      </c>
      <c r="K558" t="n">
        <v>0</v>
      </c>
      <c r="L558" t="n">
        <v>0</v>
      </c>
      <c r="M558" t="n">
        <v>0</v>
      </c>
      <c r="N558" t="n">
        <v>0</v>
      </c>
      <c r="O558" t="n">
        <v>0</v>
      </c>
      <c r="P558" t="n">
        <v>0</v>
      </c>
      <c r="Q558" t="n">
        <v>0</v>
      </c>
      <c r="R558" s="2" t="inlineStr"/>
    </row>
    <row r="559" ht="15" customHeight="1">
      <c r="A559" t="inlineStr">
        <is>
          <t>A 46318-2024</t>
        </is>
      </c>
      <c r="B559" s="1" t="n">
        <v>45581.75744212963</v>
      </c>
      <c r="C559" s="1" t="n">
        <v>46081</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33993-2025</t>
        </is>
      </c>
      <c r="B560" s="1" t="n">
        <v>45843.61189814815</v>
      </c>
      <c r="C560" s="1" t="n">
        <v>46081</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34148-2025</t>
        </is>
      </c>
      <c r="B561" s="1" t="n">
        <v>45844</v>
      </c>
      <c r="C561" s="1" t="n">
        <v>46081</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18796-2023</t>
        </is>
      </c>
      <c r="B562" s="1" t="n">
        <v>45044.31065972222</v>
      </c>
      <c r="C562" s="1" t="n">
        <v>46081</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33998-2025</t>
        </is>
      </c>
      <c r="B563" s="1" t="n">
        <v>45843.99453703704</v>
      </c>
      <c r="C563" s="1" t="n">
        <v>46081</v>
      </c>
      <c r="D563" t="inlineStr">
        <is>
          <t>VÄRMLANDS LÄN</t>
        </is>
      </c>
      <c r="E563" t="inlineStr">
        <is>
          <t>ÅRJÄNG</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34243-2025</t>
        </is>
      </c>
      <c r="B564" s="1" t="n">
        <v>45845</v>
      </c>
      <c r="C564" s="1" t="n">
        <v>46081</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65849-2021</t>
        </is>
      </c>
      <c r="B565" s="1" t="n">
        <v>44517</v>
      </c>
      <c r="C565" s="1" t="n">
        <v>46081</v>
      </c>
      <c r="D565" t="inlineStr">
        <is>
          <t>VÄRMLANDS LÄN</t>
        </is>
      </c>
      <c r="E565" t="inlineStr">
        <is>
          <t>ÅRJÄNG</t>
        </is>
      </c>
      <c r="G565" t="n">
        <v>3.3</v>
      </c>
      <c r="H565" t="n">
        <v>0</v>
      </c>
      <c r="I565" t="n">
        <v>0</v>
      </c>
      <c r="J565" t="n">
        <v>0</v>
      </c>
      <c r="K565" t="n">
        <v>0</v>
      </c>
      <c r="L565" t="n">
        <v>0</v>
      </c>
      <c r="M565" t="n">
        <v>0</v>
      </c>
      <c r="N565" t="n">
        <v>0</v>
      </c>
      <c r="O565" t="n">
        <v>0</v>
      </c>
      <c r="P565" t="n">
        <v>0</v>
      </c>
      <c r="Q565" t="n">
        <v>0</v>
      </c>
      <c r="R565" s="2" t="inlineStr"/>
    </row>
    <row r="566" ht="15" customHeight="1">
      <c r="A566" t="inlineStr">
        <is>
          <t>A 34248-2025</t>
        </is>
      </c>
      <c r="B566" s="1" t="n">
        <v>45845</v>
      </c>
      <c r="C566" s="1" t="n">
        <v>46081</v>
      </c>
      <c r="D566" t="inlineStr">
        <is>
          <t>VÄRMLANDS LÄN</t>
        </is>
      </c>
      <c r="E566" t="inlineStr">
        <is>
          <t>ÅRJÄNG</t>
        </is>
      </c>
      <c r="G566" t="n">
        <v>2.7</v>
      </c>
      <c r="H566" t="n">
        <v>0</v>
      </c>
      <c r="I566" t="n">
        <v>0</v>
      </c>
      <c r="J566" t="n">
        <v>0</v>
      </c>
      <c r="K566" t="n">
        <v>0</v>
      </c>
      <c r="L566" t="n">
        <v>0</v>
      </c>
      <c r="M566" t="n">
        <v>0</v>
      </c>
      <c r="N566" t="n">
        <v>0</v>
      </c>
      <c r="O566" t="n">
        <v>0</v>
      </c>
      <c r="P566" t="n">
        <v>0</v>
      </c>
      <c r="Q566" t="n">
        <v>0</v>
      </c>
      <c r="R566" s="2" t="inlineStr"/>
    </row>
    <row r="567" ht="15" customHeight="1">
      <c r="A567" t="inlineStr">
        <is>
          <t>A 34252-2025</t>
        </is>
      </c>
      <c r="B567" s="1" t="n">
        <v>45845</v>
      </c>
      <c r="C567" s="1" t="n">
        <v>46081</v>
      </c>
      <c r="D567" t="inlineStr">
        <is>
          <t>VÄRMLANDS LÄN</t>
        </is>
      </c>
      <c r="E567" t="inlineStr">
        <is>
          <t>ÅRJÄNG</t>
        </is>
      </c>
      <c r="G567" t="n">
        <v>7.1</v>
      </c>
      <c r="H567" t="n">
        <v>0</v>
      </c>
      <c r="I567" t="n">
        <v>0</v>
      </c>
      <c r="J567" t="n">
        <v>0</v>
      </c>
      <c r="K567" t="n">
        <v>0</v>
      </c>
      <c r="L567" t="n">
        <v>0</v>
      </c>
      <c r="M567" t="n">
        <v>0</v>
      </c>
      <c r="N567" t="n">
        <v>0</v>
      </c>
      <c r="O567" t="n">
        <v>0</v>
      </c>
      <c r="P567" t="n">
        <v>0</v>
      </c>
      <c r="Q567" t="n">
        <v>0</v>
      </c>
      <c r="R567" s="2" t="inlineStr"/>
      <c r="U567">
        <f>HYPERLINK("https://klasma.github.io/Logging_1765/knärot/A 34252-2025 karta knärot.png", "A 34252-2025")</f>
        <v/>
      </c>
      <c r="V567">
        <f>HYPERLINK("https://klasma.github.io/Logging_1765/klagomål/A 34252-2025 FSC-klagomål.docx", "A 34252-2025")</f>
        <v/>
      </c>
      <c r="W567">
        <f>HYPERLINK("https://klasma.github.io/Logging_1765/klagomålsmail/A 34252-2025 FSC-klagomål mail.docx", "A 34252-2025")</f>
        <v/>
      </c>
      <c r="X567">
        <f>HYPERLINK("https://klasma.github.io/Logging_1765/tillsyn/A 34252-2025 tillsynsbegäran.docx", "A 34252-2025")</f>
        <v/>
      </c>
      <c r="Y567">
        <f>HYPERLINK("https://klasma.github.io/Logging_1765/tillsynsmail/A 34252-2025 tillsynsbegäran mail.docx", "A 34252-2025")</f>
        <v/>
      </c>
    </row>
    <row r="568" ht="15" customHeight="1">
      <c r="A568" t="inlineStr">
        <is>
          <t>A 34077-2025</t>
        </is>
      </c>
      <c r="B568" s="1" t="n">
        <v>45845.45206018518</v>
      </c>
      <c r="C568" s="1" t="n">
        <v>46081</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53123-2024</t>
        </is>
      </c>
      <c r="B569" s="1" t="n">
        <v>45611.58819444444</v>
      </c>
      <c r="C569" s="1" t="n">
        <v>46081</v>
      </c>
      <c r="D569" t="inlineStr">
        <is>
          <t>VÄRMLANDS LÄN</t>
        </is>
      </c>
      <c r="E569" t="inlineStr">
        <is>
          <t>ÅRJÄNG</t>
        </is>
      </c>
      <c r="F569" t="inlineStr">
        <is>
          <t>Bergvik skog väst AB</t>
        </is>
      </c>
      <c r="G569" t="n">
        <v>2.6</v>
      </c>
      <c r="H569" t="n">
        <v>0</v>
      </c>
      <c r="I569" t="n">
        <v>0</v>
      </c>
      <c r="J569" t="n">
        <v>0</v>
      </c>
      <c r="K569" t="n">
        <v>0</v>
      </c>
      <c r="L569" t="n">
        <v>0</v>
      </c>
      <c r="M569" t="n">
        <v>0</v>
      </c>
      <c r="N569" t="n">
        <v>0</v>
      </c>
      <c r="O569" t="n">
        <v>0</v>
      </c>
      <c r="P569" t="n">
        <v>0</v>
      </c>
      <c r="Q569" t="n">
        <v>0</v>
      </c>
      <c r="R569" s="2" t="inlineStr"/>
    </row>
    <row r="570" ht="15" customHeight="1">
      <c r="A570" t="inlineStr">
        <is>
          <t>A 13784-2024</t>
        </is>
      </c>
      <c r="B570" s="1" t="n">
        <v>45391.33817129629</v>
      </c>
      <c r="C570" s="1" t="n">
        <v>46081</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43434-2025</t>
        </is>
      </c>
      <c r="B571" s="1" t="n">
        <v>45911.42743055556</v>
      </c>
      <c r="C571" s="1" t="n">
        <v>46081</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34230-2025</t>
        </is>
      </c>
      <c r="B572" s="1" t="n">
        <v>45845</v>
      </c>
      <c r="C572" s="1" t="n">
        <v>46081</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34235-2025</t>
        </is>
      </c>
      <c r="B573" s="1" t="n">
        <v>45845</v>
      </c>
      <c r="C573" s="1" t="n">
        <v>46081</v>
      </c>
      <c r="D573" t="inlineStr">
        <is>
          <t>VÄRMLANDS LÄN</t>
        </is>
      </c>
      <c r="E573" t="inlineStr">
        <is>
          <t>ÅRJÄNG</t>
        </is>
      </c>
      <c r="G573" t="n">
        <v>3.5</v>
      </c>
      <c r="H573" t="n">
        <v>0</v>
      </c>
      <c r="I573" t="n">
        <v>0</v>
      </c>
      <c r="J573" t="n">
        <v>0</v>
      </c>
      <c r="K573" t="n">
        <v>0</v>
      </c>
      <c r="L573" t="n">
        <v>0</v>
      </c>
      <c r="M573" t="n">
        <v>0</v>
      </c>
      <c r="N573" t="n">
        <v>0</v>
      </c>
      <c r="O573" t="n">
        <v>0</v>
      </c>
      <c r="P573" t="n">
        <v>0</v>
      </c>
      <c r="Q573" t="n">
        <v>0</v>
      </c>
      <c r="R573" s="2" t="inlineStr"/>
    </row>
    <row r="574" ht="15" customHeight="1">
      <c r="A574" t="inlineStr">
        <is>
          <t>A 1153-2023</t>
        </is>
      </c>
      <c r="B574" s="1" t="n">
        <v>44935</v>
      </c>
      <c r="C574" s="1" t="n">
        <v>46081</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11265-2021</t>
        </is>
      </c>
      <c r="B575" s="1" t="n">
        <v>44263.44670138889</v>
      </c>
      <c r="C575" s="1" t="n">
        <v>46081</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14340-2023</t>
        </is>
      </c>
      <c r="B576" s="1" t="n">
        <v>45012.36368055556</v>
      </c>
      <c r="C576" s="1" t="n">
        <v>46081</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49795-2024</t>
        </is>
      </c>
      <c r="B577" s="1" t="n">
        <v>45597.3713425926</v>
      </c>
      <c r="C577" s="1" t="n">
        <v>46081</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24342-2024</t>
        </is>
      </c>
      <c r="B578" s="1" t="n">
        <v>45457</v>
      </c>
      <c r="C578" s="1" t="n">
        <v>46081</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34839-2025</t>
        </is>
      </c>
      <c r="B579" s="1" t="n">
        <v>45849.39505787037</v>
      </c>
      <c r="C579" s="1" t="n">
        <v>46081</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34840-2025</t>
        </is>
      </c>
      <c r="B580" s="1" t="n">
        <v>45849</v>
      </c>
      <c r="C580" s="1" t="n">
        <v>46081</v>
      </c>
      <c r="D580" t="inlineStr">
        <is>
          <t>VÄRMLANDS LÄN</t>
        </is>
      </c>
      <c r="E580" t="inlineStr">
        <is>
          <t>ÅRJÄNG</t>
        </is>
      </c>
      <c r="G580" t="n">
        <v>2.3</v>
      </c>
      <c r="H580" t="n">
        <v>0</v>
      </c>
      <c r="I580" t="n">
        <v>0</v>
      </c>
      <c r="J580" t="n">
        <v>0</v>
      </c>
      <c r="K580" t="n">
        <v>0</v>
      </c>
      <c r="L580" t="n">
        <v>0</v>
      </c>
      <c r="M580" t="n">
        <v>0</v>
      </c>
      <c r="N580" t="n">
        <v>0</v>
      </c>
      <c r="O580" t="n">
        <v>0</v>
      </c>
      <c r="P580" t="n">
        <v>0</v>
      </c>
      <c r="Q580" t="n">
        <v>0</v>
      </c>
      <c r="R580" s="2" t="inlineStr"/>
    </row>
    <row r="581" ht="15" customHeight="1">
      <c r="A581" t="inlineStr">
        <is>
          <t>A 2116-2025</t>
        </is>
      </c>
      <c r="B581" s="1" t="n">
        <v>45672</v>
      </c>
      <c r="C581" s="1" t="n">
        <v>46081</v>
      </c>
      <c r="D581" t="inlineStr">
        <is>
          <t>VÄRMLANDS LÄN</t>
        </is>
      </c>
      <c r="E581" t="inlineStr">
        <is>
          <t>ÅRJÄNG</t>
        </is>
      </c>
      <c r="G581" t="n">
        <v>3.8</v>
      </c>
      <c r="H581" t="n">
        <v>0</v>
      </c>
      <c r="I581" t="n">
        <v>0</v>
      </c>
      <c r="J581" t="n">
        <v>0</v>
      </c>
      <c r="K581" t="n">
        <v>0</v>
      </c>
      <c r="L581" t="n">
        <v>0</v>
      </c>
      <c r="M581" t="n">
        <v>0</v>
      </c>
      <c r="N581" t="n">
        <v>0</v>
      </c>
      <c r="O581" t="n">
        <v>0</v>
      </c>
      <c r="P581" t="n">
        <v>0</v>
      </c>
      <c r="Q581" t="n">
        <v>0</v>
      </c>
      <c r="R581" s="2" t="inlineStr"/>
    </row>
    <row r="582" ht="15" customHeight="1">
      <c r="A582" t="inlineStr">
        <is>
          <t>A 53726-2021</t>
        </is>
      </c>
      <c r="B582" s="1" t="n">
        <v>44469.51079861111</v>
      </c>
      <c r="C582" s="1" t="n">
        <v>46081</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35104-2025</t>
        </is>
      </c>
      <c r="B583" s="1" t="n">
        <v>45852.57070601852</v>
      </c>
      <c r="C583" s="1" t="n">
        <v>46081</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44300-2025</t>
        </is>
      </c>
      <c r="B584" s="1" t="n">
        <v>45916.3702662037</v>
      </c>
      <c r="C584" s="1" t="n">
        <v>46081</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3861-2025</t>
        </is>
      </c>
      <c r="B585" s="1" t="n">
        <v>45683</v>
      </c>
      <c r="C585" s="1" t="n">
        <v>46081</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44452-2025</t>
        </is>
      </c>
      <c r="B586" s="1" t="n">
        <v>45916</v>
      </c>
      <c r="C586" s="1" t="n">
        <v>46081</v>
      </c>
      <c r="D586" t="inlineStr">
        <is>
          <t>VÄRMLANDS LÄN</t>
        </is>
      </c>
      <c r="E586" t="inlineStr">
        <is>
          <t>ÅRJÄNG</t>
        </is>
      </c>
      <c r="G586" t="n">
        <v>3.1</v>
      </c>
      <c r="H586" t="n">
        <v>0</v>
      </c>
      <c r="I586" t="n">
        <v>0</v>
      </c>
      <c r="J586" t="n">
        <v>0</v>
      </c>
      <c r="K586" t="n">
        <v>0</v>
      </c>
      <c r="L586" t="n">
        <v>0</v>
      </c>
      <c r="M586" t="n">
        <v>0</v>
      </c>
      <c r="N586" t="n">
        <v>0</v>
      </c>
      <c r="O586" t="n">
        <v>0</v>
      </c>
      <c r="P586" t="n">
        <v>0</v>
      </c>
      <c r="Q586" t="n">
        <v>0</v>
      </c>
      <c r="R586" s="2" t="inlineStr"/>
    </row>
    <row r="587" ht="15" customHeight="1">
      <c r="A587" t="inlineStr">
        <is>
          <t>A 34831-2025</t>
        </is>
      </c>
      <c r="B587" s="1" t="n">
        <v>45849</v>
      </c>
      <c r="C587" s="1" t="n">
        <v>46081</v>
      </c>
      <c r="D587" t="inlineStr">
        <is>
          <t>VÄRMLANDS LÄN</t>
        </is>
      </c>
      <c r="E587" t="inlineStr">
        <is>
          <t>ÅRJÄNG</t>
        </is>
      </c>
      <c r="G587" t="n">
        <v>5.4</v>
      </c>
      <c r="H587" t="n">
        <v>0</v>
      </c>
      <c r="I587" t="n">
        <v>0</v>
      </c>
      <c r="J587" t="n">
        <v>0</v>
      </c>
      <c r="K587" t="n">
        <v>0</v>
      </c>
      <c r="L587" t="n">
        <v>0</v>
      </c>
      <c r="M587" t="n">
        <v>0</v>
      </c>
      <c r="N587" t="n">
        <v>0</v>
      </c>
      <c r="O587" t="n">
        <v>0</v>
      </c>
      <c r="P587" t="n">
        <v>0</v>
      </c>
      <c r="Q587" t="n">
        <v>0</v>
      </c>
      <c r="R587" s="2" t="inlineStr"/>
    </row>
    <row r="588" ht="15" customHeight="1">
      <c r="A588" t="inlineStr">
        <is>
          <t>A 35295-2025</t>
        </is>
      </c>
      <c r="B588" s="1" t="n">
        <v>45854.40325231481</v>
      </c>
      <c r="C588" s="1" t="n">
        <v>46081</v>
      </c>
      <c r="D588" t="inlineStr">
        <is>
          <t>VÄRMLANDS LÄN</t>
        </is>
      </c>
      <c r="E588" t="inlineStr">
        <is>
          <t>ÅRJÄNG</t>
        </is>
      </c>
      <c r="G588" t="n">
        <v>6.2</v>
      </c>
      <c r="H588" t="n">
        <v>0</v>
      </c>
      <c r="I588" t="n">
        <v>0</v>
      </c>
      <c r="J588" t="n">
        <v>0</v>
      </c>
      <c r="K588" t="n">
        <v>0</v>
      </c>
      <c r="L588" t="n">
        <v>0</v>
      </c>
      <c r="M588" t="n">
        <v>0</v>
      </c>
      <c r="N588" t="n">
        <v>0</v>
      </c>
      <c r="O588" t="n">
        <v>0</v>
      </c>
      <c r="P588" t="n">
        <v>0</v>
      </c>
      <c r="Q588" t="n">
        <v>0</v>
      </c>
      <c r="R588" s="2" t="inlineStr"/>
    </row>
    <row r="589" ht="15" customHeight="1">
      <c r="A589" t="inlineStr">
        <is>
          <t>A 35304-2025</t>
        </is>
      </c>
      <c r="B589" s="1" t="n">
        <v>45854.43931712963</v>
      </c>
      <c r="C589" s="1" t="n">
        <v>46081</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34163-2025</t>
        </is>
      </c>
      <c r="B590" s="1" t="n">
        <v>45844</v>
      </c>
      <c r="C590" s="1" t="n">
        <v>46081</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34075-2025</t>
        </is>
      </c>
      <c r="B591" s="1" t="n">
        <v>45845</v>
      </c>
      <c r="C591" s="1" t="n">
        <v>46081</v>
      </c>
      <c r="D591" t="inlineStr">
        <is>
          <t>VÄRMLANDS LÄN</t>
        </is>
      </c>
      <c r="E591" t="inlineStr">
        <is>
          <t>ÅRJÄNG</t>
        </is>
      </c>
      <c r="G591" t="n">
        <v>3.4</v>
      </c>
      <c r="H591" t="n">
        <v>0</v>
      </c>
      <c r="I591" t="n">
        <v>0</v>
      </c>
      <c r="J591" t="n">
        <v>0</v>
      </c>
      <c r="K591" t="n">
        <v>0</v>
      </c>
      <c r="L591" t="n">
        <v>0</v>
      </c>
      <c r="M591" t="n">
        <v>0</v>
      </c>
      <c r="N591" t="n">
        <v>0</v>
      </c>
      <c r="O591" t="n">
        <v>0</v>
      </c>
      <c r="P591" t="n">
        <v>0</v>
      </c>
      <c r="Q591" t="n">
        <v>0</v>
      </c>
      <c r="R591" s="2" t="inlineStr"/>
    </row>
    <row r="592" ht="15" customHeight="1">
      <c r="A592" t="inlineStr">
        <is>
          <t>A 13157-2024</t>
        </is>
      </c>
      <c r="B592" s="1" t="n">
        <v>45386</v>
      </c>
      <c r="C592" s="1" t="n">
        <v>46081</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34159-2025</t>
        </is>
      </c>
      <c r="B593" s="1" t="n">
        <v>45844</v>
      </c>
      <c r="C593" s="1" t="n">
        <v>46081</v>
      </c>
      <c r="D593" t="inlineStr">
        <is>
          <t>VÄRMLANDS LÄN</t>
        </is>
      </c>
      <c r="E593" t="inlineStr">
        <is>
          <t>ÅRJÄNG</t>
        </is>
      </c>
      <c r="G593" t="n">
        <v>0.6</v>
      </c>
      <c r="H593" t="n">
        <v>0</v>
      </c>
      <c r="I593" t="n">
        <v>0</v>
      </c>
      <c r="J593" t="n">
        <v>0</v>
      </c>
      <c r="K593" t="n">
        <v>0</v>
      </c>
      <c r="L593" t="n">
        <v>0</v>
      </c>
      <c r="M593" t="n">
        <v>0</v>
      </c>
      <c r="N593" t="n">
        <v>0</v>
      </c>
      <c r="O593" t="n">
        <v>0</v>
      </c>
      <c r="P593" t="n">
        <v>0</v>
      </c>
      <c r="Q593" t="n">
        <v>0</v>
      </c>
      <c r="R593" s="2" t="inlineStr"/>
    </row>
    <row r="594" ht="15" customHeight="1">
      <c r="A594" t="inlineStr">
        <is>
          <t>A 50509-2024</t>
        </is>
      </c>
      <c r="B594" s="1" t="n">
        <v>45601</v>
      </c>
      <c r="C594" s="1" t="n">
        <v>46081</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32773-2024</t>
        </is>
      </c>
      <c r="B595" s="1" t="n">
        <v>45516.49834490741</v>
      </c>
      <c r="C595" s="1" t="n">
        <v>46081</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44456-2025</t>
        </is>
      </c>
      <c r="B596" s="1" t="n">
        <v>45916</v>
      </c>
      <c r="C596" s="1" t="n">
        <v>46081</v>
      </c>
      <c r="D596" t="inlineStr">
        <is>
          <t>VÄRMLANDS LÄN</t>
        </is>
      </c>
      <c r="E596" t="inlineStr">
        <is>
          <t>ÅRJÄNG</t>
        </is>
      </c>
      <c r="G596" t="n">
        <v>1.8</v>
      </c>
      <c r="H596" t="n">
        <v>0</v>
      </c>
      <c r="I596" t="n">
        <v>0</v>
      </c>
      <c r="J596" t="n">
        <v>0</v>
      </c>
      <c r="K596" t="n">
        <v>0</v>
      </c>
      <c r="L596" t="n">
        <v>0</v>
      </c>
      <c r="M596" t="n">
        <v>0</v>
      </c>
      <c r="N596" t="n">
        <v>0</v>
      </c>
      <c r="O596" t="n">
        <v>0</v>
      </c>
      <c r="P596" t="n">
        <v>0</v>
      </c>
      <c r="Q596" t="n">
        <v>0</v>
      </c>
      <c r="R596" s="2" t="inlineStr"/>
    </row>
    <row r="597" ht="15" customHeight="1">
      <c r="A597" t="inlineStr">
        <is>
          <t>A 11874-2025</t>
        </is>
      </c>
      <c r="B597" s="1" t="n">
        <v>45728.43699074074</v>
      </c>
      <c r="C597" s="1" t="n">
        <v>46081</v>
      </c>
      <c r="D597" t="inlineStr">
        <is>
          <t>VÄRMLANDS LÄN</t>
        </is>
      </c>
      <c r="E597" t="inlineStr">
        <is>
          <t>ÅRJÄNG</t>
        </is>
      </c>
      <c r="F597" t="inlineStr">
        <is>
          <t>Övriga Aktiebolag</t>
        </is>
      </c>
      <c r="G597" t="n">
        <v>3.5</v>
      </c>
      <c r="H597" t="n">
        <v>0</v>
      </c>
      <c r="I597" t="n">
        <v>0</v>
      </c>
      <c r="J597" t="n">
        <v>0</v>
      </c>
      <c r="K597" t="n">
        <v>0</v>
      </c>
      <c r="L597" t="n">
        <v>0</v>
      </c>
      <c r="M597" t="n">
        <v>0</v>
      </c>
      <c r="N597" t="n">
        <v>0</v>
      </c>
      <c r="O597" t="n">
        <v>0</v>
      </c>
      <c r="P597" t="n">
        <v>0</v>
      </c>
      <c r="Q597" t="n">
        <v>0</v>
      </c>
      <c r="R597" s="2" t="inlineStr"/>
    </row>
    <row r="598" ht="15" customHeight="1">
      <c r="A598" t="inlineStr">
        <is>
          <t>A 15949-2025</t>
        </is>
      </c>
      <c r="B598" s="1" t="n">
        <v>45749</v>
      </c>
      <c r="C598" s="1" t="n">
        <v>46081</v>
      </c>
      <c r="D598" t="inlineStr">
        <is>
          <t>VÄRMLANDS LÄN</t>
        </is>
      </c>
      <c r="E598" t="inlineStr">
        <is>
          <t>ÅRJÄNG</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35414-2025</t>
        </is>
      </c>
      <c r="B599" s="1" t="n">
        <v>45855</v>
      </c>
      <c r="C599" s="1" t="n">
        <v>46081</v>
      </c>
      <c r="D599" t="inlineStr">
        <is>
          <t>VÄRMLANDS LÄN</t>
        </is>
      </c>
      <c r="E599" t="inlineStr">
        <is>
          <t>ÅRJÄNG</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44451-2025</t>
        </is>
      </c>
      <c r="B600" s="1" t="n">
        <v>45916</v>
      </c>
      <c r="C600" s="1" t="n">
        <v>46081</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8246-2025</t>
        </is>
      </c>
      <c r="B601" s="1" t="n">
        <v>45708.48710648148</v>
      </c>
      <c r="C601" s="1" t="n">
        <v>46081</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49780-2024</t>
        </is>
      </c>
      <c r="B602" s="1" t="n">
        <v>45597</v>
      </c>
      <c r="C602" s="1" t="n">
        <v>46081</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35726-2022</t>
        </is>
      </c>
      <c r="B603" s="1" t="n">
        <v>44799</v>
      </c>
      <c r="C603" s="1" t="n">
        <v>46081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44924-2025</t>
        </is>
      </c>
      <c r="B604" s="1" t="n">
        <v>45918</v>
      </c>
      <c r="C604" s="1" t="n">
        <v>46081</v>
      </c>
      <c r="D604" t="inlineStr">
        <is>
          <t>VÄRMLANDS LÄN</t>
        </is>
      </c>
      <c r="E604" t="inlineStr">
        <is>
          <t>ÅRJÄNG</t>
        </is>
      </c>
      <c r="G604" t="n">
        <v>0.8</v>
      </c>
      <c r="H604" t="n">
        <v>0</v>
      </c>
      <c r="I604" t="n">
        <v>0</v>
      </c>
      <c r="J604" t="n">
        <v>0</v>
      </c>
      <c r="K604" t="n">
        <v>0</v>
      </c>
      <c r="L604" t="n">
        <v>0</v>
      </c>
      <c r="M604" t="n">
        <v>0</v>
      </c>
      <c r="N604" t="n">
        <v>0</v>
      </c>
      <c r="O604" t="n">
        <v>0</v>
      </c>
      <c r="P604" t="n">
        <v>0</v>
      </c>
      <c r="Q604" t="n">
        <v>0</v>
      </c>
      <c r="R604" s="2" t="inlineStr"/>
    </row>
    <row r="605" ht="15" customHeight="1">
      <c r="A605" t="inlineStr">
        <is>
          <t>A 60000-2024</t>
        </is>
      </c>
      <c r="B605" s="1" t="n">
        <v>45642</v>
      </c>
      <c r="C605" s="1" t="n">
        <v>46081</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60903-2023</t>
        </is>
      </c>
      <c r="B606" s="1" t="n">
        <v>45261</v>
      </c>
      <c r="C606" s="1" t="n">
        <v>46081</v>
      </c>
      <c r="D606" t="inlineStr">
        <is>
          <t>VÄRMLANDS LÄN</t>
        </is>
      </c>
      <c r="E606" t="inlineStr">
        <is>
          <t>ÅRJÄNG</t>
        </is>
      </c>
      <c r="G606" t="n">
        <v>2.1</v>
      </c>
      <c r="H606" t="n">
        <v>0</v>
      </c>
      <c r="I606" t="n">
        <v>0</v>
      </c>
      <c r="J606" t="n">
        <v>0</v>
      </c>
      <c r="K606" t="n">
        <v>0</v>
      </c>
      <c r="L606" t="n">
        <v>0</v>
      </c>
      <c r="M606" t="n">
        <v>0</v>
      </c>
      <c r="N606" t="n">
        <v>0</v>
      </c>
      <c r="O606" t="n">
        <v>0</v>
      </c>
      <c r="P606" t="n">
        <v>0</v>
      </c>
      <c r="Q606" t="n">
        <v>0</v>
      </c>
      <c r="R606" s="2" t="inlineStr"/>
    </row>
    <row r="607" ht="15" customHeight="1">
      <c r="A607" t="inlineStr">
        <is>
          <t>A 44768-2025</t>
        </is>
      </c>
      <c r="B607" s="1" t="n">
        <v>45917.74274305555</v>
      </c>
      <c r="C607" s="1" t="n">
        <v>46081</v>
      </c>
      <c r="D607" t="inlineStr">
        <is>
          <t>VÄRMLANDS LÄN</t>
        </is>
      </c>
      <c r="E607" t="inlineStr">
        <is>
          <t>ÅRJÄNG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35869-2025</t>
        </is>
      </c>
      <c r="B608" s="1" t="n">
        <v>45862</v>
      </c>
      <c r="C608" s="1" t="n">
        <v>46081</v>
      </c>
      <c r="D608" t="inlineStr">
        <is>
          <t>VÄRMLANDS LÄN</t>
        </is>
      </c>
      <c r="E608" t="inlineStr">
        <is>
          <t>ÅRJÄNG</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48805-2022</t>
        </is>
      </c>
      <c r="B609" s="1" t="n">
        <v>44854</v>
      </c>
      <c r="C609" s="1" t="n">
        <v>46081</v>
      </c>
      <c r="D609" t="inlineStr">
        <is>
          <t>VÄRMLANDS LÄN</t>
        </is>
      </c>
      <c r="E609" t="inlineStr">
        <is>
          <t>ÅRJÄNG</t>
        </is>
      </c>
      <c r="G609" t="n">
        <v>4</v>
      </c>
      <c r="H609" t="n">
        <v>0</v>
      </c>
      <c r="I609" t="n">
        <v>0</v>
      </c>
      <c r="J609" t="n">
        <v>0</v>
      </c>
      <c r="K609" t="n">
        <v>0</v>
      </c>
      <c r="L609" t="n">
        <v>0</v>
      </c>
      <c r="M609" t="n">
        <v>0</v>
      </c>
      <c r="N609" t="n">
        <v>0</v>
      </c>
      <c r="O609" t="n">
        <v>0</v>
      </c>
      <c r="P609" t="n">
        <v>0</v>
      </c>
      <c r="Q609" t="n">
        <v>0</v>
      </c>
      <c r="R609" s="2" t="inlineStr"/>
    </row>
    <row r="610" ht="15" customHeight="1">
      <c r="A610" t="inlineStr">
        <is>
          <t>A 45037-2025</t>
        </is>
      </c>
      <c r="B610" s="1" t="n">
        <v>45918</v>
      </c>
      <c r="C610" s="1" t="n">
        <v>46081</v>
      </c>
      <c r="D610" t="inlineStr">
        <is>
          <t>VÄRMLANDS LÄN</t>
        </is>
      </c>
      <c r="E610" t="inlineStr">
        <is>
          <t>ÅRJÄNG</t>
        </is>
      </c>
      <c r="G610" t="n">
        <v>8.5</v>
      </c>
      <c r="H610" t="n">
        <v>0</v>
      </c>
      <c r="I610" t="n">
        <v>0</v>
      </c>
      <c r="J610" t="n">
        <v>0</v>
      </c>
      <c r="K610" t="n">
        <v>0</v>
      </c>
      <c r="L610" t="n">
        <v>0</v>
      </c>
      <c r="M610" t="n">
        <v>0</v>
      </c>
      <c r="N610" t="n">
        <v>0</v>
      </c>
      <c r="O610" t="n">
        <v>0</v>
      </c>
      <c r="P610" t="n">
        <v>0</v>
      </c>
      <c r="Q610" t="n">
        <v>0</v>
      </c>
      <c r="R610" s="2" t="inlineStr"/>
    </row>
    <row r="611" ht="15" customHeight="1">
      <c r="A611" t="inlineStr">
        <is>
          <t>A 36143-2025</t>
        </is>
      </c>
      <c r="B611" s="1" t="n">
        <v>45866.68708333333</v>
      </c>
      <c r="C611" s="1" t="n">
        <v>46081</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44956-2025</t>
        </is>
      </c>
      <c r="B612" s="1" t="n">
        <v>45918.61452546297</v>
      </c>
      <c r="C612" s="1" t="n">
        <v>46081</v>
      </c>
      <c r="D612" t="inlineStr">
        <is>
          <t>VÄRMLANDS LÄN</t>
        </is>
      </c>
      <c r="E612" t="inlineStr">
        <is>
          <t>ÅRJÄNG</t>
        </is>
      </c>
      <c r="G612" t="n">
        <v>3.7</v>
      </c>
      <c r="H612" t="n">
        <v>0</v>
      </c>
      <c r="I612" t="n">
        <v>0</v>
      </c>
      <c r="J612" t="n">
        <v>0</v>
      </c>
      <c r="K612" t="n">
        <v>0</v>
      </c>
      <c r="L612" t="n">
        <v>0</v>
      </c>
      <c r="M612" t="n">
        <v>0</v>
      </c>
      <c r="N612" t="n">
        <v>0</v>
      </c>
      <c r="O612" t="n">
        <v>0</v>
      </c>
      <c r="P612" t="n">
        <v>0</v>
      </c>
      <c r="Q612" t="n">
        <v>0</v>
      </c>
      <c r="R612" s="2" t="inlineStr"/>
    </row>
    <row r="613" ht="15" customHeight="1">
      <c r="A613" t="inlineStr">
        <is>
          <t>A 45099-2025</t>
        </is>
      </c>
      <c r="B613" s="1" t="n">
        <v>45919</v>
      </c>
      <c r="C613" s="1" t="n">
        <v>46081</v>
      </c>
      <c r="D613" t="inlineStr">
        <is>
          <t>VÄRMLANDS LÄN</t>
        </is>
      </c>
      <c r="E613" t="inlineStr">
        <is>
          <t>ÅRJÄNG</t>
        </is>
      </c>
      <c r="F613" t="inlineStr">
        <is>
          <t>Övriga Aktiebolag</t>
        </is>
      </c>
      <c r="G613" t="n">
        <v>4.7</v>
      </c>
      <c r="H613" t="n">
        <v>0</v>
      </c>
      <c r="I613" t="n">
        <v>0</v>
      </c>
      <c r="J613" t="n">
        <v>0</v>
      </c>
      <c r="K613" t="n">
        <v>0</v>
      </c>
      <c r="L613" t="n">
        <v>0</v>
      </c>
      <c r="M613" t="n">
        <v>0</v>
      </c>
      <c r="N613" t="n">
        <v>0</v>
      </c>
      <c r="O613" t="n">
        <v>0</v>
      </c>
      <c r="P613" t="n">
        <v>0</v>
      </c>
      <c r="Q613" t="n">
        <v>0</v>
      </c>
      <c r="R613" s="2" t="inlineStr"/>
    </row>
    <row r="614" ht="15" customHeight="1">
      <c r="A614" t="inlineStr">
        <is>
          <t>A 46473-2024</t>
        </is>
      </c>
      <c r="B614" s="1" t="n">
        <v>45582</v>
      </c>
      <c r="C614" s="1" t="n">
        <v>46081</v>
      </c>
      <c r="D614" t="inlineStr">
        <is>
          <t>VÄRMLANDS LÄN</t>
        </is>
      </c>
      <c r="E614" t="inlineStr">
        <is>
          <t>ÅRJÄNG</t>
        </is>
      </c>
      <c r="G614" t="n">
        <v>4</v>
      </c>
      <c r="H614" t="n">
        <v>0</v>
      </c>
      <c r="I614" t="n">
        <v>0</v>
      </c>
      <c r="J614" t="n">
        <v>0</v>
      </c>
      <c r="K614" t="n">
        <v>0</v>
      </c>
      <c r="L614" t="n">
        <v>0</v>
      </c>
      <c r="M614" t="n">
        <v>0</v>
      </c>
      <c r="N614" t="n">
        <v>0</v>
      </c>
      <c r="O614" t="n">
        <v>0</v>
      </c>
      <c r="P614" t="n">
        <v>0</v>
      </c>
      <c r="Q614" t="n">
        <v>0</v>
      </c>
      <c r="R614" s="2" t="inlineStr"/>
    </row>
    <row r="615" ht="15" customHeight="1">
      <c r="A615" t="inlineStr">
        <is>
          <t>A 61119-2024</t>
        </is>
      </c>
      <c r="B615" s="1" t="n">
        <v>45645.57</v>
      </c>
      <c r="C615" s="1" t="n">
        <v>46081</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45130-2025</t>
        </is>
      </c>
      <c r="B616" s="1" t="n">
        <v>45919</v>
      </c>
      <c r="C616" s="1" t="n">
        <v>46081</v>
      </c>
      <c r="D616" t="inlineStr">
        <is>
          <t>VÄRMLANDS LÄN</t>
        </is>
      </c>
      <c r="E616" t="inlineStr">
        <is>
          <t>ÅRJÄNG</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45161-2025</t>
        </is>
      </c>
      <c r="B617" s="1" t="n">
        <v>45919</v>
      </c>
      <c r="C617" s="1" t="n">
        <v>46081</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45137-2025</t>
        </is>
      </c>
      <c r="B618" s="1" t="n">
        <v>45919</v>
      </c>
      <c r="C618" s="1" t="n">
        <v>46081</v>
      </c>
      <c r="D618" t="inlineStr">
        <is>
          <t>VÄRMLANDS LÄN</t>
        </is>
      </c>
      <c r="E618" t="inlineStr">
        <is>
          <t>ÅRJÄNG</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45332-2025</t>
        </is>
      </c>
      <c r="B619" s="1" t="n">
        <v>45922</v>
      </c>
      <c r="C619" s="1" t="n">
        <v>46081</v>
      </c>
      <c r="D619" t="inlineStr">
        <is>
          <t>VÄRMLANDS LÄN</t>
        </is>
      </c>
      <c r="E619" t="inlineStr">
        <is>
          <t>ÅRJÄNG</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45329-2025</t>
        </is>
      </c>
      <c r="B620" s="1" t="n">
        <v>45922</v>
      </c>
      <c r="C620" s="1" t="n">
        <v>46081</v>
      </c>
      <c r="D620" t="inlineStr">
        <is>
          <t>VÄRMLANDS LÄN</t>
        </is>
      </c>
      <c r="E620" t="inlineStr">
        <is>
          <t>ÅRJÄNG</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45524-2025</t>
        </is>
      </c>
      <c r="B621" s="1" t="n">
        <v>45922</v>
      </c>
      <c r="C621" s="1" t="n">
        <v>46081</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45192-2025</t>
        </is>
      </c>
      <c r="B622" s="1" t="n">
        <v>45919</v>
      </c>
      <c r="C622" s="1" t="n">
        <v>46081</v>
      </c>
      <c r="D622" t="inlineStr">
        <is>
          <t>VÄRMLANDS LÄN</t>
        </is>
      </c>
      <c r="E622" t="inlineStr">
        <is>
          <t>ÅRJÄNG</t>
        </is>
      </c>
      <c r="F622" t="inlineStr">
        <is>
          <t>Bergvik skog väst AB</t>
        </is>
      </c>
      <c r="G622" t="n">
        <v>3.8</v>
      </c>
      <c r="H622" t="n">
        <v>0</v>
      </c>
      <c r="I622" t="n">
        <v>0</v>
      </c>
      <c r="J622" t="n">
        <v>0</v>
      </c>
      <c r="K622" t="n">
        <v>0</v>
      </c>
      <c r="L622" t="n">
        <v>0</v>
      </c>
      <c r="M622" t="n">
        <v>0</v>
      </c>
      <c r="N622" t="n">
        <v>0</v>
      </c>
      <c r="O622" t="n">
        <v>0</v>
      </c>
      <c r="P622" t="n">
        <v>0</v>
      </c>
      <c r="Q622" t="n">
        <v>0</v>
      </c>
      <c r="R622" s="2" t="inlineStr"/>
    </row>
    <row r="623" ht="15" customHeight="1">
      <c r="A623" t="inlineStr">
        <is>
          <t>A 45515-2025</t>
        </is>
      </c>
      <c r="B623" s="1" t="n">
        <v>45922</v>
      </c>
      <c r="C623" s="1" t="n">
        <v>46081</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45590-2025</t>
        </is>
      </c>
      <c r="B624" s="1" t="n">
        <v>45922</v>
      </c>
      <c r="C624" s="1" t="n">
        <v>46081</v>
      </c>
      <c r="D624" t="inlineStr">
        <is>
          <t>VÄRMLANDS LÄN</t>
        </is>
      </c>
      <c r="E624" t="inlineStr">
        <is>
          <t>ÅRJÄNG</t>
        </is>
      </c>
      <c r="G624" t="n">
        <v>3.2</v>
      </c>
      <c r="H624" t="n">
        <v>0</v>
      </c>
      <c r="I624" t="n">
        <v>0</v>
      </c>
      <c r="J624" t="n">
        <v>0</v>
      </c>
      <c r="K624" t="n">
        <v>0</v>
      </c>
      <c r="L624" t="n">
        <v>0</v>
      </c>
      <c r="M624" t="n">
        <v>0</v>
      </c>
      <c r="N624" t="n">
        <v>0</v>
      </c>
      <c r="O624" t="n">
        <v>0</v>
      </c>
      <c r="P624" t="n">
        <v>0</v>
      </c>
      <c r="Q624" t="n">
        <v>0</v>
      </c>
      <c r="R624" s="2" t="inlineStr"/>
    </row>
    <row r="625" ht="15" customHeight="1">
      <c r="A625" t="inlineStr">
        <is>
          <t>A 45599-2025</t>
        </is>
      </c>
      <c r="B625" s="1" t="n">
        <v>45922</v>
      </c>
      <c r="C625" s="1" t="n">
        <v>46081</v>
      </c>
      <c r="D625" t="inlineStr">
        <is>
          <t>VÄRMLANDS LÄN</t>
        </is>
      </c>
      <c r="E625" t="inlineStr">
        <is>
          <t>ÅRJÄNG</t>
        </is>
      </c>
      <c r="G625" t="n">
        <v>6.7</v>
      </c>
      <c r="H625" t="n">
        <v>0</v>
      </c>
      <c r="I625" t="n">
        <v>0</v>
      </c>
      <c r="J625" t="n">
        <v>0</v>
      </c>
      <c r="K625" t="n">
        <v>0</v>
      </c>
      <c r="L625" t="n">
        <v>0</v>
      </c>
      <c r="M625" t="n">
        <v>0</v>
      </c>
      <c r="N625" t="n">
        <v>0</v>
      </c>
      <c r="O625" t="n">
        <v>0</v>
      </c>
      <c r="P625" t="n">
        <v>0</v>
      </c>
      <c r="Q625" t="n">
        <v>0</v>
      </c>
      <c r="R625" s="2" t="inlineStr"/>
    </row>
    <row r="626" ht="15" customHeight="1">
      <c r="A626" t="inlineStr">
        <is>
          <t>A 45203-2025</t>
        </is>
      </c>
      <c r="B626" s="1" t="n">
        <v>45919</v>
      </c>
      <c r="C626" s="1" t="n">
        <v>46081</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45159-2025</t>
        </is>
      </c>
      <c r="B627" s="1" t="n">
        <v>45919</v>
      </c>
      <c r="C627" s="1" t="n">
        <v>46081</v>
      </c>
      <c r="D627" t="inlineStr">
        <is>
          <t>VÄRMLANDS LÄN</t>
        </is>
      </c>
      <c r="E627" t="inlineStr">
        <is>
          <t>ÅRJÄNG</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45162-2025</t>
        </is>
      </c>
      <c r="B628" s="1" t="n">
        <v>45919</v>
      </c>
      <c r="C628" s="1" t="n">
        <v>46081</v>
      </c>
      <c r="D628" t="inlineStr">
        <is>
          <t>VÄRMLANDS LÄN</t>
        </is>
      </c>
      <c r="E628" t="inlineStr">
        <is>
          <t>ÅRJÄNG</t>
        </is>
      </c>
      <c r="G628" t="n">
        <v>3.3</v>
      </c>
      <c r="H628" t="n">
        <v>0</v>
      </c>
      <c r="I628" t="n">
        <v>0</v>
      </c>
      <c r="J628" t="n">
        <v>0</v>
      </c>
      <c r="K628" t="n">
        <v>0</v>
      </c>
      <c r="L628" t="n">
        <v>0</v>
      </c>
      <c r="M628" t="n">
        <v>0</v>
      </c>
      <c r="N628" t="n">
        <v>0</v>
      </c>
      <c r="O628" t="n">
        <v>0</v>
      </c>
      <c r="P628" t="n">
        <v>0</v>
      </c>
      <c r="Q628" t="n">
        <v>0</v>
      </c>
      <c r="R628" s="2" t="inlineStr"/>
    </row>
    <row r="629" ht="15" customHeight="1">
      <c r="A629" t="inlineStr">
        <is>
          <t>A 45581-2025</t>
        </is>
      </c>
      <c r="B629" s="1" t="n">
        <v>45922</v>
      </c>
      <c r="C629" s="1" t="n">
        <v>46081</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45411-2025</t>
        </is>
      </c>
      <c r="B630" s="1" t="n">
        <v>45922</v>
      </c>
      <c r="C630" s="1" t="n">
        <v>46081</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45166-2025</t>
        </is>
      </c>
      <c r="B631" s="1" t="n">
        <v>45919</v>
      </c>
      <c r="C631" s="1" t="n">
        <v>46081</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44257-2025</t>
        </is>
      </c>
      <c r="B632" s="1" t="n">
        <v>45915</v>
      </c>
      <c r="C632" s="1" t="n">
        <v>46081</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4135-2025</t>
        </is>
      </c>
      <c r="B633" s="1" t="n">
        <v>45685</v>
      </c>
      <c r="C633" s="1" t="n">
        <v>46081</v>
      </c>
      <c r="D633" t="inlineStr">
        <is>
          <t>VÄRMLANDS LÄN</t>
        </is>
      </c>
      <c r="E633" t="inlineStr">
        <is>
          <t>ÅRJÄNG</t>
        </is>
      </c>
      <c r="G633" t="n">
        <v>4.4</v>
      </c>
      <c r="H633" t="n">
        <v>0</v>
      </c>
      <c r="I633" t="n">
        <v>0</v>
      </c>
      <c r="J633" t="n">
        <v>0</v>
      </c>
      <c r="K633" t="n">
        <v>0</v>
      </c>
      <c r="L633" t="n">
        <v>0</v>
      </c>
      <c r="M633" t="n">
        <v>0</v>
      </c>
      <c r="N633" t="n">
        <v>0</v>
      </c>
      <c r="O633" t="n">
        <v>0</v>
      </c>
      <c r="P633" t="n">
        <v>0</v>
      </c>
      <c r="Q633" t="n">
        <v>0</v>
      </c>
      <c r="R633" s="2" t="inlineStr"/>
    </row>
    <row r="634" ht="15" customHeight="1">
      <c r="A634" t="inlineStr">
        <is>
          <t>A 28382-2022</t>
        </is>
      </c>
      <c r="B634" s="1" t="n">
        <v>44747</v>
      </c>
      <c r="C634" s="1" t="n">
        <v>46081</v>
      </c>
      <c r="D634" t="inlineStr">
        <is>
          <t>VÄRMLANDS LÄN</t>
        </is>
      </c>
      <c r="E634" t="inlineStr">
        <is>
          <t>ÅRJÄNG</t>
        </is>
      </c>
      <c r="F634" t="inlineStr">
        <is>
          <t>Naturvårdsverket</t>
        </is>
      </c>
      <c r="G634" t="n">
        <v>1</v>
      </c>
      <c r="H634" t="n">
        <v>0</v>
      </c>
      <c r="I634" t="n">
        <v>0</v>
      </c>
      <c r="J634" t="n">
        <v>0</v>
      </c>
      <c r="K634" t="n">
        <v>0</v>
      </c>
      <c r="L634" t="n">
        <v>0</v>
      </c>
      <c r="M634" t="n">
        <v>0</v>
      </c>
      <c r="N634" t="n">
        <v>0</v>
      </c>
      <c r="O634" t="n">
        <v>0</v>
      </c>
      <c r="P634" t="n">
        <v>0</v>
      </c>
      <c r="Q634" t="n">
        <v>0</v>
      </c>
      <c r="R634" s="2" t="inlineStr"/>
    </row>
    <row r="635" ht="15" customHeight="1">
      <c r="A635" t="inlineStr">
        <is>
          <t>A 28439-2022</t>
        </is>
      </c>
      <c r="B635" s="1" t="n">
        <v>44747</v>
      </c>
      <c r="C635" s="1" t="n">
        <v>46081</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9990-2025</t>
        </is>
      </c>
      <c r="B636" s="1" t="n">
        <v>45719</v>
      </c>
      <c r="C636" s="1" t="n">
        <v>46081</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45907-2025</t>
        </is>
      </c>
      <c r="B637" s="1" t="n">
        <v>45923.70748842593</v>
      </c>
      <c r="C637" s="1" t="n">
        <v>46081</v>
      </c>
      <c r="D637" t="inlineStr">
        <is>
          <t>VÄRMLANDS LÄN</t>
        </is>
      </c>
      <c r="E637" t="inlineStr">
        <is>
          <t>ÅRJÄNG</t>
        </is>
      </c>
      <c r="G637" t="n">
        <v>2.9</v>
      </c>
      <c r="H637" t="n">
        <v>0</v>
      </c>
      <c r="I637" t="n">
        <v>0</v>
      </c>
      <c r="J637" t="n">
        <v>0</v>
      </c>
      <c r="K637" t="n">
        <v>0</v>
      </c>
      <c r="L637" t="n">
        <v>0</v>
      </c>
      <c r="M637" t="n">
        <v>0</v>
      </c>
      <c r="N637" t="n">
        <v>0</v>
      </c>
      <c r="O637" t="n">
        <v>0</v>
      </c>
      <c r="P637" t="n">
        <v>0</v>
      </c>
      <c r="Q637" t="n">
        <v>0</v>
      </c>
      <c r="R637" s="2" t="inlineStr"/>
    </row>
    <row r="638" ht="15" customHeight="1">
      <c r="A638" t="inlineStr">
        <is>
          <t>A 45906-2025</t>
        </is>
      </c>
      <c r="B638" s="1" t="n">
        <v>45923.70627314815</v>
      </c>
      <c r="C638" s="1" t="n">
        <v>46081</v>
      </c>
      <c r="D638" t="inlineStr">
        <is>
          <t>VÄRMLANDS LÄN</t>
        </is>
      </c>
      <c r="E638" t="inlineStr">
        <is>
          <t>ÅRJÄNG</t>
        </is>
      </c>
      <c r="G638" t="n">
        <v>3.1</v>
      </c>
      <c r="H638" t="n">
        <v>0</v>
      </c>
      <c r="I638" t="n">
        <v>0</v>
      </c>
      <c r="J638" t="n">
        <v>0</v>
      </c>
      <c r="K638" t="n">
        <v>0</v>
      </c>
      <c r="L638" t="n">
        <v>0</v>
      </c>
      <c r="M638" t="n">
        <v>0</v>
      </c>
      <c r="N638" t="n">
        <v>0</v>
      </c>
      <c r="O638" t="n">
        <v>0</v>
      </c>
      <c r="P638" t="n">
        <v>0</v>
      </c>
      <c r="Q638" t="n">
        <v>0</v>
      </c>
      <c r="R638" s="2" t="inlineStr"/>
    </row>
    <row r="639" ht="15" customHeight="1">
      <c r="A639" t="inlineStr">
        <is>
          <t>A 46301-2025</t>
        </is>
      </c>
      <c r="B639" s="1" t="n">
        <v>45925.41553240741</v>
      </c>
      <c r="C639" s="1" t="n">
        <v>46081</v>
      </c>
      <c r="D639" t="inlineStr">
        <is>
          <t>VÄRMLANDS LÄN</t>
        </is>
      </c>
      <c r="E639" t="inlineStr">
        <is>
          <t>ÅRJÄNG</t>
        </is>
      </c>
      <c r="G639" t="n">
        <v>3.8</v>
      </c>
      <c r="H639" t="n">
        <v>0</v>
      </c>
      <c r="I639" t="n">
        <v>0</v>
      </c>
      <c r="J639" t="n">
        <v>0</v>
      </c>
      <c r="K639" t="n">
        <v>0</v>
      </c>
      <c r="L639" t="n">
        <v>0</v>
      </c>
      <c r="M639" t="n">
        <v>0</v>
      </c>
      <c r="N639" t="n">
        <v>0</v>
      </c>
      <c r="O639" t="n">
        <v>0</v>
      </c>
      <c r="P639" t="n">
        <v>0</v>
      </c>
      <c r="Q639" t="n">
        <v>0</v>
      </c>
      <c r="R639" s="2" t="inlineStr"/>
    </row>
    <row r="640" ht="15" customHeight="1">
      <c r="A640" t="inlineStr">
        <is>
          <t>A 46645-2025</t>
        </is>
      </c>
      <c r="B640" s="1" t="n">
        <v>45926.47527777778</v>
      </c>
      <c r="C640" s="1" t="n">
        <v>46081</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9992-2025</t>
        </is>
      </c>
      <c r="B641" s="1" t="n">
        <v>45719.43708333333</v>
      </c>
      <c r="C641" s="1" t="n">
        <v>46081</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36461-2025</t>
        </is>
      </c>
      <c r="B642" s="1" t="n">
        <v>45869</v>
      </c>
      <c r="C642" s="1" t="n">
        <v>46081</v>
      </c>
      <c r="D642" t="inlineStr">
        <is>
          <t>VÄRMLANDS LÄN</t>
        </is>
      </c>
      <c r="E642" t="inlineStr">
        <is>
          <t>ÅRJÄNG</t>
        </is>
      </c>
      <c r="G642" t="n">
        <v>3.7</v>
      </c>
      <c r="H642" t="n">
        <v>0</v>
      </c>
      <c r="I642" t="n">
        <v>0</v>
      </c>
      <c r="J642" t="n">
        <v>0</v>
      </c>
      <c r="K642" t="n">
        <v>0</v>
      </c>
      <c r="L642" t="n">
        <v>0</v>
      </c>
      <c r="M642" t="n">
        <v>0</v>
      </c>
      <c r="N642" t="n">
        <v>0</v>
      </c>
      <c r="O642" t="n">
        <v>0</v>
      </c>
      <c r="P642" t="n">
        <v>0</v>
      </c>
      <c r="Q642" t="n">
        <v>0</v>
      </c>
      <c r="R642" s="2" t="inlineStr"/>
    </row>
    <row r="643" ht="15" customHeight="1">
      <c r="A643" t="inlineStr">
        <is>
          <t>A 36450-2025</t>
        </is>
      </c>
      <c r="B643" s="1" t="n">
        <v>45869</v>
      </c>
      <c r="C643" s="1" t="n">
        <v>46081</v>
      </c>
      <c r="D643" t="inlineStr">
        <is>
          <t>VÄRMLANDS LÄN</t>
        </is>
      </c>
      <c r="E643" t="inlineStr">
        <is>
          <t>ÅRJÄNG</t>
        </is>
      </c>
      <c r="G643" t="n">
        <v>4.6</v>
      </c>
      <c r="H643" t="n">
        <v>0</v>
      </c>
      <c r="I643" t="n">
        <v>0</v>
      </c>
      <c r="J643" t="n">
        <v>0</v>
      </c>
      <c r="K643" t="n">
        <v>0</v>
      </c>
      <c r="L643" t="n">
        <v>0</v>
      </c>
      <c r="M643" t="n">
        <v>0</v>
      </c>
      <c r="N643" t="n">
        <v>0</v>
      </c>
      <c r="O643" t="n">
        <v>0</v>
      </c>
      <c r="P643" t="n">
        <v>0</v>
      </c>
      <c r="Q643" t="n">
        <v>0</v>
      </c>
      <c r="R643" s="2" t="inlineStr"/>
    </row>
    <row r="644" ht="15" customHeight="1">
      <c r="A644" t="inlineStr">
        <is>
          <t>A 34803-2021</t>
        </is>
      </c>
      <c r="B644" s="1" t="n">
        <v>44383</v>
      </c>
      <c r="C644" s="1" t="n">
        <v>46081</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58427-2024</t>
        </is>
      </c>
      <c r="B645" s="1" t="n">
        <v>45634.89083333333</v>
      </c>
      <c r="C645" s="1" t="n">
        <v>46081</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58428-2024</t>
        </is>
      </c>
      <c r="B646" s="1" t="n">
        <v>45634.90734953704</v>
      </c>
      <c r="C646" s="1" t="n">
        <v>46081</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17178-2021</t>
        </is>
      </c>
      <c r="B647" s="1" t="n">
        <v>44298.46592592593</v>
      </c>
      <c r="C647" s="1" t="n">
        <v>46081</v>
      </c>
      <c r="D647" t="inlineStr">
        <is>
          <t>VÄRMLANDS LÄN</t>
        </is>
      </c>
      <c r="E647" t="inlineStr">
        <is>
          <t>ÅRJÄNG</t>
        </is>
      </c>
      <c r="G647" t="n">
        <v>4</v>
      </c>
      <c r="H647" t="n">
        <v>0</v>
      </c>
      <c r="I647" t="n">
        <v>0</v>
      </c>
      <c r="J647" t="n">
        <v>0</v>
      </c>
      <c r="K647" t="n">
        <v>0</v>
      </c>
      <c r="L647" t="n">
        <v>0</v>
      </c>
      <c r="M647" t="n">
        <v>0</v>
      </c>
      <c r="N647" t="n">
        <v>0</v>
      </c>
      <c r="O647" t="n">
        <v>0</v>
      </c>
      <c r="P647" t="n">
        <v>0</v>
      </c>
      <c r="Q647" t="n">
        <v>0</v>
      </c>
      <c r="R647" s="2" t="inlineStr"/>
    </row>
    <row r="648" ht="15" customHeight="1">
      <c r="A648" t="inlineStr">
        <is>
          <t>A 10180-2023</t>
        </is>
      </c>
      <c r="B648" s="1" t="n">
        <v>44986</v>
      </c>
      <c r="C648" s="1" t="n">
        <v>46081</v>
      </c>
      <c r="D648" t="inlineStr">
        <is>
          <t>VÄRMLANDS LÄN</t>
        </is>
      </c>
      <c r="E648" t="inlineStr">
        <is>
          <t>ÅRJÄNG</t>
        </is>
      </c>
      <c r="G648" t="n">
        <v>4.6</v>
      </c>
      <c r="H648" t="n">
        <v>0</v>
      </c>
      <c r="I648" t="n">
        <v>0</v>
      </c>
      <c r="J648" t="n">
        <v>0</v>
      </c>
      <c r="K648" t="n">
        <v>0</v>
      </c>
      <c r="L648" t="n">
        <v>0</v>
      </c>
      <c r="M648" t="n">
        <v>0</v>
      </c>
      <c r="N648" t="n">
        <v>0</v>
      </c>
      <c r="O648" t="n">
        <v>0</v>
      </c>
      <c r="P648" t="n">
        <v>0</v>
      </c>
      <c r="Q648" t="n">
        <v>0</v>
      </c>
      <c r="R648" s="2" t="inlineStr"/>
    </row>
    <row r="649" ht="15" customHeight="1">
      <c r="A649" t="inlineStr">
        <is>
          <t>A 69862-2021</t>
        </is>
      </c>
      <c r="B649" s="1" t="n">
        <v>44532</v>
      </c>
      <c r="C649" s="1" t="n">
        <v>46081</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47225-2025</t>
        </is>
      </c>
      <c r="B650" s="1" t="n">
        <v>45930.39145833333</v>
      </c>
      <c r="C650" s="1" t="n">
        <v>46081</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47426-2025</t>
        </is>
      </c>
      <c r="B651" s="1" t="n">
        <v>45930.63482638889</v>
      </c>
      <c r="C651" s="1" t="n">
        <v>46081</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29558-2024</t>
        </is>
      </c>
      <c r="B652" s="1" t="n">
        <v>45484</v>
      </c>
      <c r="C652" s="1" t="n">
        <v>46081</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47211-2025</t>
        </is>
      </c>
      <c r="B653" s="1" t="n">
        <v>45930.3815625</v>
      </c>
      <c r="C653" s="1" t="n">
        <v>46081</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23754-2024</t>
        </is>
      </c>
      <c r="B654" s="1" t="n">
        <v>45455</v>
      </c>
      <c r="C654" s="1" t="n">
        <v>46081</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99-2025</t>
        </is>
      </c>
      <c r="B655" s="1" t="n">
        <v>45649</v>
      </c>
      <c r="C655" s="1" t="n">
        <v>46081</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46023-2025</t>
        </is>
      </c>
      <c r="B656" s="1" t="n">
        <v>45924</v>
      </c>
      <c r="C656" s="1" t="n">
        <v>46081</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36819-2025</t>
        </is>
      </c>
      <c r="B657" s="1" t="n">
        <v>45873.84164351852</v>
      </c>
      <c r="C657" s="1" t="n">
        <v>46081</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36834-2025</t>
        </is>
      </c>
      <c r="B658" s="1" t="n">
        <v>45874.35965277778</v>
      </c>
      <c r="C658" s="1" t="n">
        <v>46081</v>
      </c>
      <c r="D658" t="inlineStr">
        <is>
          <t>VÄRMLANDS LÄN</t>
        </is>
      </c>
      <c r="E658" t="inlineStr">
        <is>
          <t>ÅRJÄNG</t>
        </is>
      </c>
      <c r="G658" t="n">
        <v>2.9</v>
      </c>
      <c r="H658" t="n">
        <v>0</v>
      </c>
      <c r="I658" t="n">
        <v>0</v>
      </c>
      <c r="J658" t="n">
        <v>0</v>
      </c>
      <c r="K658" t="n">
        <v>0</v>
      </c>
      <c r="L658" t="n">
        <v>0</v>
      </c>
      <c r="M658" t="n">
        <v>0</v>
      </c>
      <c r="N658" t="n">
        <v>0</v>
      </c>
      <c r="O658" t="n">
        <v>0</v>
      </c>
      <c r="P658" t="n">
        <v>0</v>
      </c>
      <c r="Q658" t="n">
        <v>0</v>
      </c>
      <c r="R658" s="2" t="inlineStr"/>
    </row>
    <row r="659" ht="15" customHeight="1">
      <c r="A659" t="inlineStr">
        <is>
          <t>A 45994-2025</t>
        </is>
      </c>
      <c r="B659" s="1" t="n">
        <v>45924</v>
      </c>
      <c r="C659" s="1" t="n">
        <v>46081</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46942-2025</t>
        </is>
      </c>
      <c r="B660" s="1" t="n">
        <v>45929.45822916667</v>
      </c>
      <c r="C660" s="1" t="n">
        <v>46081</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40465-2023</t>
        </is>
      </c>
      <c r="B661" s="1" t="n">
        <v>45170.34325231481</v>
      </c>
      <c r="C661" s="1" t="n">
        <v>46081</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46081</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36752-2025</t>
        </is>
      </c>
      <c r="B663" s="1" t="n">
        <v>45873</v>
      </c>
      <c r="C663" s="1" t="n">
        <v>46081</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40366-2022</t>
        </is>
      </c>
      <c r="B664" s="1" t="n">
        <v>44823.38884259259</v>
      </c>
      <c r="C664" s="1" t="n">
        <v>46081</v>
      </c>
      <c r="D664" t="inlineStr">
        <is>
          <t>VÄRMLANDS LÄN</t>
        </is>
      </c>
      <c r="E664" t="inlineStr">
        <is>
          <t>ÅRJÄNG</t>
        </is>
      </c>
      <c r="G664" t="n">
        <v>3.2</v>
      </c>
      <c r="H664" t="n">
        <v>0</v>
      </c>
      <c r="I664" t="n">
        <v>0</v>
      </c>
      <c r="J664" t="n">
        <v>0</v>
      </c>
      <c r="K664" t="n">
        <v>0</v>
      </c>
      <c r="L664" t="n">
        <v>0</v>
      </c>
      <c r="M664" t="n">
        <v>0</v>
      </c>
      <c r="N664" t="n">
        <v>0</v>
      </c>
      <c r="O664" t="n">
        <v>0</v>
      </c>
      <c r="P664" t="n">
        <v>0</v>
      </c>
      <c r="Q664" t="n">
        <v>0</v>
      </c>
      <c r="R664" s="2" t="inlineStr"/>
    </row>
    <row r="665" ht="15" customHeight="1">
      <c r="A665" t="inlineStr">
        <is>
          <t>A 47112-2025</t>
        </is>
      </c>
      <c r="B665" s="1" t="n">
        <v>45929.66966435185</v>
      </c>
      <c r="C665" s="1" t="n">
        <v>46081</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47695-2025</t>
        </is>
      </c>
      <c r="B666" s="1" t="n">
        <v>45931.59943287037</v>
      </c>
      <c r="C666" s="1" t="n">
        <v>46081</v>
      </c>
      <c r="D666" t="inlineStr">
        <is>
          <t>VÄRMLANDS LÄN</t>
        </is>
      </c>
      <c r="E666" t="inlineStr">
        <is>
          <t>ÅRJÄNG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36857-2025</t>
        </is>
      </c>
      <c r="B667" s="1" t="n">
        <v>45874.40488425926</v>
      </c>
      <c r="C667" s="1" t="n">
        <v>46081</v>
      </c>
      <c r="D667" t="inlineStr">
        <is>
          <t>VÄRMLANDS LÄN</t>
        </is>
      </c>
      <c r="E667" t="inlineStr">
        <is>
          <t>ÅRJÄNG</t>
        </is>
      </c>
      <c r="G667" t="n">
        <v>5.2</v>
      </c>
      <c r="H667" t="n">
        <v>0</v>
      </c>
      <c r="I667" t="n">
        <v>0</v>
      </c>
      <c r="J667" t="n">
        <v>0</v>
      </c>
      <c r="K667" t="n">
        <v>0</v>
      </c>
      <c r="L667" t="n">
        <v>0</v>
      </c>
      <c r="M667" t="n">
        <v>0</v>
      </c>
      <c r="N667" t="n">
        <v>0</v>
      </c>
      <c r="O667" t="n">
        <v>0</v>
      </c>
      <c r="P667" t="n">
        <v>0</v>
      </c>
      <c r="Q667" t="n">
        <v>0</v>
      </c>
      <c r="R667" s="2" t="inlineStr"/>
    </row>
    <row r="668" ht="15" customHeight="1">
      <c r="A668" t="inlineStr">
        <is>
          <t>A 36751-2025</t>
        </is>
      </c>
      <c r="B668" s="1" t="n">
        <v>45873</v>
      </c>
      <c r="C668" s="1" t="n">
        <v>46081</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36827-2025</t>
        </is>
      </c>
      <c r="B669" s="1" t="n">
        <v>45874</v>
      </c>
      <c r="C669" s="1" t="n">
        <v>46081</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36839-2025</t>
        </is>
      </c>
      <c r="B670" s="1" t="n">
        <v>45874</v>
      </c>
      <c r="C670" s="1" t="n">
        <v>46081</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36780-2025</t>
        </is>
      </c>
      <c r="B671" s="1" t="n">
        <v>45873</v>
      </c>
      <c r="C671" s="1" t="n">
        <v>46081</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36831-2025</t>
        </is>
      </c>
      <c r="B672" s="1" t="n">
        <v>45874</v>
      </c>
      <c r="C672" s="1" t="n">
        <v>46081</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36865-2025</t>
        </is>
      </c>
      <c r="B673" s="1" t="n">
        <v>45874.41655092593</v>
      </c>
      <c r="C673" s="1" t="n">
        <v>46081</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47604-2025</t>
        </is>
      </c>
      <c r="B674" s="1" t="n">
        <v>45931.46254629629</v>
      </c>
      <c r="C674" s="1" t="n">
        <v>46081</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1279-2025</t>
        </is>
      </c>
      <c r="B675" s="1" t="n">
        <v>45667.48987268518</v>
      </c>
      <c r="C675" s="1" t="n">
        <v>46081</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10873-2023</t>
        </is>
      </c>
      <c r="B676" s="1" t="n">
        <v>44991.42243055555</v>
      </c>
      <c r="C676" s="1" t="n">
        <v>46081</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37247-2025</t>
        </is>
      </c>
      <c r="B677" s="1" t="n">
        <v>45876.40268518519</v>
      </c>
      <c r="C677" s="1" t="n">
        <v>46081</v>
      </c>
      <c r="D677" t="inlineStr">
        <is>
          <t>VÄRMLANDS LÄN</t>
        </is>
      </c>
      <c r="E677" t="inlineStr">
        <is>
          <t>ÅRJÄNG</t>
        </is>
      </c>
      <c r="G677" t="n">
        <v>2.7</v>
      </c>
      <c r="H677" t="n">
        <v>0</v>
      </c>
      <c r="I677" t="n">
        <v>0</v>
      </c>
      <c r="J677" t="n">
        <v>0</v>
      </c>
      <c r="K677" t="n">
        <v>0</v>
      </c>
      <c r="L677" t="n">
        <v>0</v>
      </c>
      <c r="M677" t="n">
        <v>0</v>
      </c>
      <c r="N677" t="n">
        <v>0</v>
      </c>
      <c r="O677" t="n">
        <v>0</v>
      </c>
      <c r="P677" t="n">
        <v>0</v>
      </c>
      <c r="Q677" t="n">
        <v>0</v>
      </c>
      <c r="R677" s="2" t="inlineStr"/>
    </row>
    <row r="678" ht="15" customHeight="1">
      <c r="A678" t="inlineStr">
        <is>
          <t>A 37071-2025</t>
        </is>
      </c>
      <c r="B678" s="1" t="n">
        <v>45875.40101851852</v>
      </c>
      <c r="C678" s="1" t="n">
        <v>46081</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30699-2021</t>
        </is>
      </c>
      <c r="B679" s="1" t="n">
        <v>44365.42443287037</v>
      </c>
      <c r="C679" s="1" t="n">
        <v>46081</v>
      </c>
      <c r="D679" t="inlineStr">
        <is>
          <t>VÄRMLANDS LÄN</t>
        </is>
      </c>
      <c r="E679" t="inlineStr">
        <is>
          <t>ÅRJÄNG</t>
        </is>
      </c>
      <c r="G679" t="n">
        <v>3.1</v>
      </c>
      <c r="H679" t="n">
        <v>0</v>
      </c>
      <c r="I679" t="n">
        <v>0</v>
      </c>
      <c r="J679" t="n">
        <v>0</v>
      </c>
      <c r="K679" t="n">
        <v>0</v>
      </c>
      <c r="L679" t="n">
        <v>0</v>
      </c>
      <c r="M679" t="n">
        <v>0</v>
      </c>
      <c r="N679" t="n">
        <v>0</v>
      </c>
      <c r="O679" t="n">
        <v>0</v>
      </c>
      <c r="P679" t="n">
        <v>0</v>
      </c>
      <c r="Q679" t="n">
        <v>0</v>
      </c>
      <c r="R679" s="2" t="inlineStr"/>
    </row>
    <row r="680" ht="15" customHeight="1">
      <c r="A680" t="inlineStr">
        <is>
          <t>A 35157-2021</t>
        </is>
      </c>
      <c r="B680" s="1" t="n">
        <v>44383</v>
      </c>
      <c r="C680" s="1" t="n">
        <v>46081</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37419-2025</t>
        </is>
      </c>
      <c r="B681" s="1" t="n">
        <v>45877</v>
      </c>
      <c r="C681" s="1" t="n">
        <v>46081</v>
      </c>
      <c r="D681" t="inlineStr">
        <is>
          <t>VÄRMLANDS LÄN</t>
        </is>
      </c>
      <c r="E681" t="inlineStr">
        <is>
          <t>ÅRJÄNG</t>
        </is>
      </c>
      <c r="G681" t="n">
        <v>4.9</v>
      </c>
      <c r="H681" t="n">
        <v>0</v>
      </c>
      <c r="I681" t="n">
        <v>0</v>
      </c>
      <c r="J681" t="n">
        <v>0</v>
      </c>
      <c r="K681" t="n">
        <v>0</v>
      </c>
      <c r="L681" t="n">
        <v>0</v>
      </c>
      <c r="M681" t="n">
        <v>0</v>
      </c>
      <c r="N681" t="n">
        <v>0</v>
      </c>
      <c r="O681" t="n">
        <v>0</v>
      </c>
      <c r="P681" t="n">
        <v>0</v>
      </c>
      <c r="Q681" t="n">
        <v>0</v>
      </c>
      <c r="R681" s="2" t="inlineStr"/>
    </row>
    <row r="682" ht="15" customHeight="1">
      <c r="A682" t="inlineStr">
        <is>
          <t>A 37484-2025</t>
        </is>
      </c>
      <c r="B682" s="1" t="n">
        <v>45877</v>
      </c>
      <c r="C682" s="1" t="n">
        <v>46081</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21706-2024</t>
        </is>
      </c>
      <c r="B683" s="1" t="n">
        <v>45442</v>
      </c>
      <c r="C683" s="1" t="n">
        <v>46081</v>
      </c>
      <c r="D683" t="inlineStr">
        <is>
          <t>VÄRMLANDS LÄN</t>
        </is>
      </c>
      <c r="E683" t="inlineStr">
        <is>
          <t>ÅRJÄNG</t>
        </is>
      </c>
      <c r="G683" t="n">
        <v>10.4</v>
      </c>
      <c r="H683" t="n">
        <v>0</v>
      </c>
      <c r="I683" t="n">
        <v>0</v>
      </c>
      <c r="J683" t="n">
        <v>0</v>
      </c>
      <c r="K683" t="n">
        <v>0</v>
      </c>
      <c r="L683" t="n">
        <v>0</v>
      </c>
      <c r="M683" t="n">
        <v>0</v>
      </c>
      <c r="N683" t="n">
        <v>0</v>
      </c>
      <c r="O683" t="n">
        <v>0</v>
      </c>
      <c r="P683" t="n">
        <v>0</v>
      </c>
      <c r="Q683" t="n">
        <v>0</v>
      </c>
      <c r="R683" s="2" t="inlineStr"/>
    </row>
    <row r="684" ht="15" customHeight="1">
      <c r="A684" t="inlineStr">
        <is>
          <t>A 37507-2025</t>
        </is>
      </c>
      <c r="B684" s="1" t="n">
        <v>45877</v>
      </c>
      <c r="C684" s="1" t="n">
        <v>46081</v>
      </c>
      <c r="D684" t="inlineStr">
        <is>
          <t>VÄRMLANDS LÄN</t>
        </is>
      </c>
      <c r="E684" t="inlineStr">
        <is>
          <t>ÅRJÄNG</t>
        </is>
      </c>
      <c r="G684" t="n">
        <v>1.1</v>
      </c>
      <c r="H684" t="n">
        <v>0</v>
      </c>
      <c r="I684" t="n">
        <v>0</v>
      </c>
      <c r="J684" t="n">
        <v>0</v>
      </c>
      <c r="K684" t="n">
        <v>0</v>
      </c>
      <c r="L684" t="n">
        <v>0</v>
      </c>
      <c r="M684" t="n">
        <v>0</v>
      </c>
      <c r="N684" t="n">
        <v>0</v>
      </c>
      <c r="O684" t="n">
        <v>0</v>
      </c>
      <c r="P684" t="n">
        <v>0</v>
      </c>
      <c r="Q684" t="n">
        <v>0</v>
      </c>
      <c r="R684" s="2" t="inlineStr"/>
    </row>
    <row r="685" ht="15" customHeight="1">
      <c r="A685" t="inlineStr">
        <is>
          <t>A 43040-2023</t>
        </is>
      </c>
      <c r="B685" s="1" t="n">
        <v>45182.68716435185</v>
      </c>
      <c r="C685" s="1" t="n">
        <v>46081</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8232-2025</t>
        </is>
      </c>
      <c r="B686" s="1" t="n">
        <v>45708.47144675926</v>
      </c>
      <c r="C686" s="1" t="n">
        <v>46081</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47502-2025</t>
        </is>
      </c>
      <c r="B687" s="1" t="n">
        <v>45930.85274305556</v>
      </c>
      <c r="C687" s="1" t="n">
        <v>46081</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37402-2025</t>
        </is>
      </c>
      <c r="B688" s="1" t="n">
        <v>45877</v>
      </c>
      <c r="C688" s="1" t="n">
        <v>46081</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37416-2025</t>
        </is>
      </c>
      <c r="B689" s="1" t="n">
        <v>45877</v>
      </c>
      <c r="C689" s="1" t="n">
        <v>46081</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40447-2022</t>
        </is>
      </c>
      <c r="B690" s="1" t="n">
        <v>44823</v>
      </c>
      <c r="C690" s="1" t="n">
        <v>46081</v>
      </c>
      <c r="D690" t="inlineStr">
        <is>
          <t>VÄRMLANDS LÄN</t>
        </is>
      </c>
      <c r="E690" t="inlineStr">
        <is>
          <t>ÅRJÄNG</t>
        </is>
      </c>
      <c r="G690" t="n">
        <v>10.4</v>
      </c>
      <c r="H690" t="n">
        <v>0</v>
      </c>
      <c r="I690" t="n">
        <v>0</v>
      </c>
      <c r="J690" t="n">
        <v>0</v>
      </c>
      <c r="K690" t="n">
        <v>0</v>
      </c>
      <c r="L690" t="n">
        <v>0</v>
      </c>
      <c r="M690" t="n">
        <v>0</v>
      </c>
      <c r="N690" t="n">
        <v>0</v>
      </c>
      <c r="O690" t="n">
        <v>0</v>
      </c>
      <c r="P690" t="n">
        <v>0</v>
      </c>
      <c r="Q690" t="n">
        <v>0</v>
      </c>
      <c r="R690" s="2" t="inlineStr"/>
    </row>
    <row r="691" ht="15" customHeight="1">
      <c r="A691" t="inlineStr">
        <is>
          <t>A 37662-2025</t>
        </is>
      </c>
      <c r="B691" s="1" t="n">
        <v>45880</v>
      </c>
      <c r="C691" s="1" t="n">
        <v>46081</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37418-2025</t>
        </is>
      </c>
      <c r="B692" s="1" t="n">
        <v>45877</v>
      </c>
      <c r="C692" s="1" t="n">
        <v>46081</v>
      </c>
      <c r="D692" t="inlineStr">
        <is>
          <t>VÄRMLANDS LÄN</t>
        </is>
      </c>
      <c r="E692" t="inlineStr">
        <is>
          <t>ÅRJÄNG</t>
        </is>
      </c>
      <c r="G692" t="n">
        <v>1.7</v>
      </c>
      <c r="H692" t="n">
        <v>0</v>
      </c>
      <c r="I692" t="n">
        <v>0</v>
      </c>
      <c r="J692" t="n">
        <v>0</v>
      </c>
      <c r="K692" t="n">
        <v>0</v>
      </c>
      <c r="L692" t="n">
        <v>0</v>
      </c>
      <c r="M692" t="n">
        <v>0</v>
      </c>
      <c r="N692" t="n">
        <v>0</v>
      </c>
      <c r="O692" t="n">
        <v>0</v>
      </c>
      <c r="P692" t="n">
        <v>0</v>
      </c>
      <c r="Q692" t="n">
        <v>0</v>
      </c>
      <c r="R692" s="2" t="inlineStr"/>
    </row>
    <row r="693" ht="15" customHeight="1">
      <c r="A693" t="inlineStr">
        <is>
          <t>A 37420-2025</t>
        </is>
      </c>
      <c r="B693" s="1" t="n">
        <v>45877</v>
      </c>
      <c r="C693" s="1" t="n">
        <v>46081</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10510-2023</t>
        </is>
      </c>
      <c r="B694" s="1" t="n">
        <v>44987.73665509259</v>
      </c>
      <c r="C694" s="1" t="n">
        <v>46081</v>
      </c>
      <c r="D694" t="inlineStr">
        <is>
          <t>VÄRMLANDS LÄN</t>
        </is>
      </c>
      <c r="E694" t="inlineStr">
        <is>
          <t>ÅRJÄNG</t>
        </is>
      </c>
      <c r="G694" t="n">
        <v>0.5</v>
      </c>
      <c r="H694" t="n">
        <v>0</v>
      </c>
      <c r="I694" t="n">
        <v>0</v>
      </c>
      <c r="J694" t="n">
        <v>0</v>
      </c>
      <c r="K694" t="n">
        <v>0</v>
      </c>
      <c r="L694" t="n">
        <v>0</v>
      </c>
      <c r="M694" t="n">
        <v>0</v>
      </c>
      <c r="N694" t="n">
        <v>0</v>
      </c>
      <c r="O694" t="n">
        <v>0</v>
      </c>
      <c r="P694" t="n">
        <v>0</v>
      </c>
      <c r="Q694" t="n">
        <v>0</v>
      </c>
      <c r="R694" s="2" t="inlineStr"/>
    </row>
    <row r="695" ht="15" customHeight="1">
      <c r="A695" t="inlineStr">
        <is>
          <t>A 37680-2025</t>
        </is>
      </c>
      <c r="B695" s="1" t="n">
        <v>45880.54208333333</v>
      </c>
      <c r="C695" s="1" t="n">
        <v>46081</v>
      </c>
      <c r="D695" t="inlineStr">
        <is>
          <t>VÄRMLANDS LÄN</t>
        </is>
      </c>
      <c r="E695" t="inlineStr">
        <is>
          <t>ÅRJÄNG</t>
        </is>
      </c>
      <c r="G695" t="n">
        <v>2</v>
      </c>
      <c r="H695" t="n">
        <v>0</v>
      </c>
      <c r="I695" t="n">
        <v>0</v>
      </c>
      <c r="J695" t="n">
        <v>0</v>
      </c>
      <c r="K695" t="n">
        <v>0</v>
      </c>
      <c r="L695" t="n">
        <v>0</v>
      </c>
      <c r="M695" t="n">
        <v>0</v>
      </c>
      <c r="N695" t="n">
        <v>0</v>
      </c>
      <c r="O695" t="n">
        <v>0</v>
      </c>
      <c r="P695" t="n">
        <v>0</v>
      </c>
      <c r="Q695" t="n">
        <v>0</v>
      </c>
      <c r="R695" s="2" t="inlineStr"/>
    </row>
    <row r="696" ht="15" customHeight="1">
      <c r="A696" t="inlineStr">
        <is>
          <t>A 37681-2025</t>
        </is>
      </c>
      <c r="B696" s="1" t="n">
        <v>45880</v>
      </c>
      <c r="C696" s="1" t="n">
        <v>46081</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3458-2025</t>
        </is>
      </c>
      <c r="B697" s="1" t="n">
        <v>45680.48917824074</v>
      </c>
      <c r="C697" s="1" t="n">
        <v>46081</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3479-2025</t>
        </is>
      </c>
      <c r="B698" s="1" t="n">
        <v>45680.53805555555</v>
      </c>
      <c r="C698" s="1" t="n">
        <v>46081</v>
      </c>
      <c r="D698" t="inlineStr">
        <is>
          <t>VÄRMLANDS LÄN</t>
        </is>
      </c>
      <c r="E698" t="inlineStr">
        <is>
          <t>ÅRJÄNG</t>
        </is>
      </c>
      <c r="G698" t="n">
        <v>2.2</v>
      </c>
      <c r="H698" t="n">
        <v>0</v>
      </c>
      <c r="I698" t="n">
        <v>0</v>
      </c>
      <c r="J698" t="n">
        <v>0</v>
      </c>
      <c r="K698" t="n">
        <v>0</v>
      </c>
      <c r="L698" t="n">
        <v>0</v>
      </c>
      <c r="M698" t="n">
        <v>0</v>
      </c>
      <c r="N698" t="n">
        <v>0</v>
      </c>
      <c r="O698" t="n">
        <v>0</v>
      </c>
      <c r="P698" t="n">
        <v>0</v>
      </c>
      <c r="Q698" t="n">
        <v>0</v>
      </c>
      <c r="R698" s="2" t="inlineStr"/>
    </row>
    <row r="699" ht="15" customHeight="1">
      <c r="A699" t="inlineStr">
        <is>
          <t>A 37555-2025</t>
        </is>
      </c>
      <c r="B699" s="1" t="n">
        <v>45880</v>
      </c>
      <c r="C699" s="1" t="n">
        <v>46081</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10574-2023</t>
        </is>
      </c>
      <c r="B700" s="1" t="n">
        <v>44984</v>
      </c>
      <c r="C700" s="1" t="n">
        <v>46081</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28314-2025</t>
        </is>
      </c>
      <c r="B701" s="1" t="n">
        <v>45818.62592592592</v>
      </c>
      <c r="C701" s="1" t="n">
        <v>46081</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37655-2025</t>
        </is>
      </c>
      <c r="B702" s="1" t="n">
        <v>45880</v>
      </c>
      <c r="C702" s="1" t="n">
        <v>46081</v>
      </c>
      <c r="D702" t="inlineStr">
        <is>
          <t>VÄRMLANDS LÄN</t>
        </is>
      </c>
      <c r="E702" t="inlineStr">
        <is>
          <t>ÅRJÄNG</t>
        </is>
      </c>
      <c r="G702" t="n">
        <v>2.3</v>
      </c>
      <c r="H702" t="n">
        <v>0</v>
      </c>
      <c r="I702" t="n">
        <v>0</v>
      </c>
      <c r="J702" t="n">
        <v>0</v>
      </c>
      <c r="K702" t="n">
        <v>0</v>
      </c>
      <c r="L702" t="n">
        <v>0</v>
      </c>
      <c r="M702" t="n">
        <v>0</v>
      </c>
      <c r="N702" t="n">
        <v>0</v>
      </c>
      <c r="O702" t="n">
        <v>0</v>
      </c>
      <c r="P702" t="n">
        <v>0</v>
      </c>
      <c r="Q702" t="n">
        <v>0</v>
      </c>
      <c r="R702" s="2" t="inlineStr"/>
    </row>
    <row r="703" ht="15" customHeight="1">
      <c r="A703" t="inlineStr">
        <is>
          <t>A 62901-2021</t>
        </is>
      </c>
      <c r="B703" s="1" t="n">
        <v>44504</v>
      </c>
      <c r="C703" s="1" t="n">
        <v>46081</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15730-2023</t>
        </is>
      </c>
      <c r="B704" s="1" t="n">
        <v>45021</v>
      </c>
      <c r="C704" s="1" t="n">
        <v>46081</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37510-2025</t>
        </is>
      </c>
      <c r="B705" s="1" t="n">
        <v>45877</v>
      </c>
      <c r="C705" s="1" t="n">
        <v>46081</v>
      </c>
      <c r="D705" t="inlineStr">
        <is>
          <t>VÄRMLANDS LÄN</t>
        </is>
      </c>
      <c r="E705" t="inlineStr">
        <is>
          <t>ÅRJÄNG</t>
        </is>
      </c>
      <c r="G705" t="n">
        <v>10.4</v>
      </c>
      <c r="H705" t="n">
        <v>0</v>
      </c>
      <c r="I705" t="n">
        <v>0</v>
      </c>
      <c r="J705" t="n">
        <v>0</v>
      </c>
      <c r="K705" t="n">
        <v>0</v>
      </c>
      <c r="L705" t="n">
        <v>0</v>
      </c>
      <c r="M705" t="n">
        <v>0</v>
      </c>
      <c r="N705" t="n">
        <v>0</v>
      </c>
      <c r="O705" t="n">
        <v>0</v>
      </c>
      <c r="P705" t="n">
        <v>0</v>
      </c>
      <c r="Q705" t="n">
        <v>0</v>
      </c>
      <c r="R705" s="2" t="inlineStr"/>
    </row>
    <row r="706" ht="15" customHeight="1">
      <c r="A706" t="inlineStr">
        <is>
          <t>A 33831-2023</t>
        </is>
      </c>
      <c r="B706" s="1" t="n">
        <v>45121</v>
      </c>
      <c r="C706" s="1" t="n">
        <v>46081</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59070-2024</t>
        </is>
      </c>
      <c r="B707" s="1" t="n">
        <v>45636.95711805556</v>
      </c>
      <c r="C707" s="1" t="n">
        <v>46081</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47629-2025</t>
        </is>
      </c>
      <c r="B708" s="1" t="n">
        <v>45931</v>
      </c>
      <c r="C708" s="1" t="n">
        <v>46081</v>
      </c>
      <c r="D708" t="inlineStr">
        <is>
          <t>VÄRMLANDS LÄN</t>
        </is>
      </c>
      <c r="E708" t="inlineStr">
        <is>
          <t>ÅRJÄNG</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29603-2024</t>
        </is>
      </c>
      <c r="B709" s="1" t="n">
        <v>45484</v>
      </c>
      <c r="C709" s="1" t="n">
        <v>46081</v>
      </c>
      <c r="D709" t="inlineStr">
        <is>
          <t>VÄRMLANDS LÄN</t>
        </is>
      </c>
      <c r="E709" t="inlineStr">
        <is>
          <t>ÅRJÄNG</t>
        </is>
      </c>
      <c r="G709" t="n">
        <v>7.5</v>
      </c>
      <c r="H709" t="n">
        <v>0</v>
      </c>
      <c r="I709" t="n">
        <v>0</v>
      </c>
      <c r="J709" t="n">
        <v>0</v>
      </c>
      <c r="K709" t="n">
        <v>0</v>
      </c>
      <c r="L709" t="n">
        <v>0</v>
      </c>
      <c r="M709" t="n">
        <v>0</v>
      </c>
      <c r="N709" t="n">
        <v>0</v>
      </c>
      <c r="O709" t="n">
        <v>0</v>
      </c>
      <c r="P709" t="n">
        <v>0</v>
      </c>
      <c r="Q709" t="n">
        <v>0</v>
      </c>
      <c r="R709" s="2" t="inlineStr"/>
    </row>
    <row r="710" ht="15" customHeight="1">
      <c r="A710" t="inlineStr">
        <is>
          <t>A 15546-2025</t>
        </is>
      </c>
      <c r="B710" s="1" t="n">
        <v>45747</v>
      </c>
      <c r="C710" s="1" t="n">
        <v>46081</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47572-2025</t>
        </is>
      </c>
      <c r="B711" s="1" t="n">
        <v>45931.39658564814</v>
      </c>
      <c r="C711" s="1" t="n">
        <v>46081</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7660-2025</t>
        </is>
      </c>
      <c r="B712" s="1" t="n">
        <v>45706.32505787037</v>
      </c>
      <c r="C712" s="1" t="n">
        <v>46081</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47623-2025</t>
        </is>
      </c>
      <c r="B713" s="1" t="n">
        <v>45931</v>
      </c>
      <c r="C713" s="1" t="n">
        <v>46081</v>
      </c>
      <c r="D713" t="inlineStr">
        <is>
          <t>VÄRMLANDS LÄN</t>
        </is>
      </c>
      <c r="E713" t="inlineStr">
        <is>
          <t>ÅRJÄNG</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52278-2023</t>
        </is>
      </c>
      <c r="B714" s="1" t="n">
        <v>45224.57358796296</v>
      </c>
      <c r="C714" s="1" t="n">
        <v>46081</v>
      </c>
      <c r="D714" t="inlineStr">
        <is>
          <t>VÄRMLANDS LÄN</t>
        </is>
      </c>
      <c r="E714" t="inlineStr">
        <is>
          <t>ÅRJÄNG</t>
        </is>
      </c>
      <c r="G714" t="n">
        <v>3.1</v>
      </c>
      <c r="H714" t="n">
        <v>0</v>
      </c>
      <c r="I714" t="n">
        <v>0</v>
      </c>
      <c r="J714" t="n">
        <v>0</v>
      </c>
      <c r="K714" t="n">
        <v>0</v>
      </c>
      <c r="L714" t="n">
        <v>0</v>
      </c>
      <c r="M714" t="n">
        <v>0</v>
      </c>
      <c r="N714" t="n">
        <v>0</v>
      </c>
      <c r="O714" t="n">
        <v>0</v>
      </c>
      <c r="P714" t="n">
        <v>0</v>
      </c>
      <c r="Q714" t="n">
        <v>0</v>
      </c>
      <c r="R714" s="2" t="inlineStr"/>
    </row>
    <row r="715" ht="15" customHeight="1">
      <c r="A715" t="inlineStr">
        <is>
          <t>A 48130-2023</t>
        </is>
      </c>
      <c r="B715" s="1" t="n">
        <v>45201</v>
      </c>
      <c r="C715" s="1" t="n">
        <v>46081</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48206-2025</t>
        </is>
      </c>
      <c r="B716" s="1" t="n">
        <v>45933.4884837963</v>
      </c>
      <c r="C716" s="1" t="n">
        <v>46081</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8918-2025</t>
        </is>
      </c>
      <c r="B717" s="1" t="n">
        <v>45713.43067129629</v>
      </c>
      <c r="C717" s="1" t="n">
        <v>46081</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56030-2024</t>
        </is>
      </c>
      <c r="B718" s="1" t="n">
        <v>45624.31178240741</v>
      </c>
      <c r="C718" s="1" t="n">
        <v>46081</v>
      </c>
      <c r="D718" t="inlineStr">
        <is>
          <t>VÄRMLANDS LÄN</t>
        </is>
      </c>
      <c r="E718" t="inlineStr">
        <is>
          <t>ÅRJÄNG</t>
        </is>
      </c>
      <c r="G718" t="n">
        <v>2</v>
      </c>
      <c r="H718" t="n">
        <v>0</v>
      </c>
      <c r="I718" t="n">
        <v>0</v>
      </c>
      <c r="J718" t="n">
        <v>0</v>
      </c>
      <c r="K718" t="n">
        <v>0</v>
      </c>
      <c r="L718" t="n">
        <v>0</v>
      </c>
      <c r="M718" t="n">
        <v>0</v>
      </c>
      <c r="N718" t="n">
        <v>0</v>
      </c>
      <c r="O718" t="n">
        <v>0</v>
      </c>
      <c r="P718" t="n">
        <v>0</v>
      </c>
      <c r="Q718" t="n">
        <v>0</v>
      </c>
      <c r="R718" s="2" t="inlineStr"/>
    </row>
    <row r="719" ht="15" customHeight="1">
      <c r="A719" t="inlineStr">
        <is>
          <t>A 36641-2021</t>
        </is>
      </c>
      <c r="B719" s="1" t="n">
        <v>44392.31038194444</v>
      </c>
      <c r="C719" s="1" t="n">
        <v>46081</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65844-2021</t>
        </is>
      </c>
      <c r="B720" s="1" t="n">
        <v>44517.36067129629</v>
      </c>
      <c r="C720" s="1" t="n">
        <v>46081</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27001-2021</t>
        </is>
      </c>
      <c r="B721" s="1" t="n">
        <v>44350.35271990741</v>
      </c>
      <c r="C721" s="1" t="n">
        <v>46081</v>
      </c>
      <c r="D721" t="inlineStr">
        <is>
          <t>VÄRMLANDS LÄN</t>
        </is>
      </c>
      <c r="E721" t="inlineStr">
        <is>
          <t>ÅRJÄNG</t>
        </is>
      </c>
      <c r="G721" t="n">
        <v>3.7</v>
      </c>
      <c r="H721" t="n">
        <v>0</v>
      </c>
      <c r="I721" t="n">
        <v>0</v>
      </c>
      <c r="J721" t="n">
        <v>0</v>
      </c>
      <c r="K721" t="n">
        <v>0</v>
      </c>
      <c r="L721" t="n">
        <v>0</v>
      </c>
      <c r="M721" t="n">
        <v>0</v>
      </c>
      <c r="N721" t="n">
        <v>0</v>
      </c>
      <c r="O721" t="n">
        <v>0</v>
      </c>
      <c r="P721" t="n">
        <v>0</v>
      </c>
      <c r="Q721" t="n">
        <v>0</v>
      </c>
      <c r="R721" s="2" t="inlineStr"/>
    </row>
    <row r="722" ht="15" customHeight="1">
      <c r="A722" t="inlineStr">
        <is>
          <t>A 42576-2021</t>
        </is>
      </c>
      <c r="B722" s="1" t="n">
        <v>44428</v>
      </c>
      <c r="C722" s="1" t="n">
        <v>46081</v>
      </c>
      <c r="D722" t="inlineStr">
        <is>
          <t>VÄRMLANDS LÄN</t>
        </is>
      </c>
      <c r="E722" t="inlineStr">
        <is>
          <t>ÅRJÄNG</t>
        </is>
      </c>
      <c r="G722" t="n">
        <v>1.7</v>
      </c>
      <c r="H722" t="n">
        <v>0</v>
      </c>
      <c r="I722" t="n">
        <v>0</v>
      </c>
      <c r="J722" t="n">
        <v>0</v>
      </c>
      <c r="K722" t="n">
        <v>0</v>
      </c>
      <c r="L722" t="n">
        <v>0</v>
      </c>
      <c r="M722" t="n">
        <v>0</v>
      </c>
      <c r="N722" t="n">
        <v>0</v>
      </c>
      <c r="O722" t="n">
        <v>0</v>
      </c>
      <c r="P722" t="n">
        <v>0</v>
      </c>
      <c r="Q722" t="n">
        <v>0</v>
      </c>
      <c r="R722" s="2" t="inlineStr"/>
    </row>
    <row r="723" ht="15" customHeight="1">
      <c r="A723" t="inlineStr">
        <is>
          <t>A 33525-2022</t>
        </is>
      </c>
      <c r="B723" s="1" t="n">
        <v>44789.31077546296</v>
      </c>
      <c r="C723" s="1" t="n">
        <v>46081</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48658-2025</t>
        </is>
      </c>
      <c r="B724" s="1" t="n">
        <v>45936.56628472222</v>
      </c>
      <c r="C724" s="1" t="n">
        <v>46081</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48156-2025</t>
        </is>
      </c>
      <c r="B725" s="1" t="n">
        <v>45933.41744212963</v>
      </c>
      <c r="C725" s="1" t="n">
        <v>46081</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4763-2023</t>
        </is>
      </c>
      <c r="B726" s="1" t="n">
        <v>44957.57651620371</v>
      </c>
      <c r="C726" s="1" t="n">
        <v>46081</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48567-2025</t>
        </is>
      </c>
      <c r="B727" s="1" t="n">
        <v>45936.44805555556</v>
      </c>
      <c r="C727" s="1" t="n">
        <v>46081</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7877-2025</t>
        </is>
      </c>
      <c r="B728" s="1" t="n">
        <v>45706.76609953704</v>
      </c>
      <c r="C728" s="1" t="n">
        <v>46081</v>
      </c>
      <c r="D728" t="inlineStr">
        <is>
          <t>VÄRMLANDS LÄN</t>
        </is>
      </c>
      <c r="E728" t="inlineStr">
        <is>
          <t>ÅRJÄNG</t>
        </is>
      </c>
      <c r="G728" t="n">
        <v>2.8</v>
      </c>
      <c r="H728" t="n">
        <v>0</v>
      </c>
      <c r="I728" t="n">
        <v>0</v>
      </c>
      <c r="J728" t="n">
        <v>0</v>
      </c>
      <c r="K728" t="n">
        <v>0</v>
      </c>
      <c r="L728" t="n">
        <v>0</v>
      </c>
      <c r="M728" t="n">
        <v>0</v>
      </c>
      <c r="N728" t="n">
        <v>0</v>
      </c>
      <c r="O728" t="n">
        <v>0</v>
      </c>
      <c r="P728" t="n">
        <v>0</v>
      </c>
      <c r="Q728" t="n">
        <v>0</v>
      </c>
      <c r="R728" s="2" t="inlineStr"/>
    </row>
    <row r="729" ht="15" customHeight="1">
      <c r="A729" t="inlineStr">
        <is>
          <t>A 48225-2025</t>
        </is>
      </c>
      <c r="B729" s="1" t="n">
        <v>45933.50998842593</v>
      </c>
      <c r="C729" s="1" t="n">
        <v>46081</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11815-2025</t>
        </is>
      </c>
      <c r="B730" s="1" t="n">
        <v>45728.28719907408</v>
      </c>
      <c r="C730" s="1" t="n">
        <v>46081</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15165-2025</t>
        </is>
      </c>
      <c r="B731" s="1" t="n">
        <v>45744.48599537037</v>
      </c>
      <c r="C731" s="1" t="n">
        <v>46081</v>
      </c>
      <c r="D731" t="inlineStr">
        <is>
          <t>VÄRMLANDS LÄN</t>
        </is>
      </c>
      <c r="E731" t="inlineStr">
        <is>
          <t>ÅRJÄNG</t>
        </is>
      </c>
      <c r="G731" t="n">
        <v>3</v>
      </c>
      <c r="H731" t="n">
        <v>0</v>
      </c>
      <c r="I731" t="n">
        <v>0</v>
      </c>
      <c r="J731" t="n">
        <v>0</v>
      </c>
      <c r="K731" t="n">
        <v>0</v>
      </c>
      <c r="L731" t="n">
        <v>0</v>
      </c>
      <c r="M731" t="n">
        <v>0</v>
      </c>
      <c r="N731" t="n">
        <v>0</v>
      </c>
      <c r="O731" t="n">
        <v>0</v>
      </c>
      <c r="P731" t="n">
        <v>0</v>
      </c>
      <c r="Q731" t="n">
        <v>0</v>
      </c>
      <c r="R731" s="2" t="inlineStr"/>
    </row>
    <row r="732" ht="15" customHeight="1">
      <c r="A732" t="inlineStr">
        <is>
          <t>A 19242-2025</t>
        </is>
      </c>
      <c r="B732" s="1" t="n">
        <v>45769.47761574074</v>
      </c>
      <c r="C732" s="1" t="n">
        <v>46081</v>
      </c>
      <c r="D732" t="inlineStr">
        <is>
          <t>VÄRMLANDS LÄN</t>
        </is>
      </c>
      <c r="E732" t="inlineStr">
        <is>
          <t>ÅRJÄNG</t>
        </is>
      </c>
      <c r="G732" t="n">
        <v>17.5</v>
      </c>
      <c r="H732" t="n">
        <v>0</v>
      </c>
      <c r="I732" t="n">
        <v>0</v>
      </c>
      <c r="J732" t="n">
        <v>0</v>
      </c>
      <c r="K732" t="n">
        <v>0</v>
      </c>
      <c r="L732" t="n">
        <v>0</v>
      </c>
      <c r="M732" t="n">
        <v>0</v>
      </c>
      <c r="N732" t="n">
        <v>0</v>
      </c>
      <c r="O732" t="n">
        <v>0</v>
      </c>
      <c r="P732" t="n">
        <v>0</v>
      </c>
      <c r="Q732" t="n">
        <v>0</v>
      </c>
      <c r="R732" s="2" t="inlineStr"/>
    </row>
    <row r="733" ht="15" customHeight="1">
      <c r="A733" t="inlineStr">
        <is>
          <t>A 55377-2024</t>
        </is>
      </c>
      <c r="B733" s="1" t="n">
        <v>45621.9885300926</v>
      </c>
      <c r="C733" s="1" t="n">
        <v>46081</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16977-2025</t>
        </is>
      </c>
      <c r="B734" s="1" t="n">
        <v>45755.47517361111</v>
      </c>
      <c r="C734" s="1" t="n">
        <v>46081</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51493-2023</t>
        </is>
      </c>
      <c r="B735" s="1" t="n">
        <v>45215</v>
      </c>
      <c r="C735" s="1" t="n">
        <v>46081</v>
      </c>
      <c r="D735" t="inlineStr">
        <is>
          <t>VÄRMLANDS LÄN</t>
        </is>
      </c>
      <c r="E735" t="inlineStr">
        <is>
          <t>ÅRJÄNG</t>
        </is>
      </c>
      <c r="F735" t="inlineStr">
        <is>
          <t>Övriga Aktiebolag</t>
        </is>
      </c>
      <c r="G735" t="n">
        <v>9.1</v>
      </c>
      <c r="H735" t="n">
        <v>0</v>
      </c>
      <c r="I735" t="n">
        <v>0</v>
      </c>
      <c r="J735" t="n">
        <v>0</v>
      </c>
      <c r="K735" t="n">
        <v>0</v>
      </c>
      <c r="L735" t="n">
        <v>0</v>
      </c>
      <c r="M735" t="n">
        <v>0</v>
      </c>
      <c r="N735" t="n">
        <v>0</v>
      </c>
      <c r="O735" t="n">
        <v>0</v>
      </c>
      <c r="P735" t="n">
        <v>0</v>
      </c>
      <c r="Q735" t="n">
        <v>0</v>
      </c>
      <c r="R735" s="2" t="inlineStr"/>
    </row>
    <row r="736" ht="15" customHeight="1">
      <c r="A736" t="inlineStr">
        <is>
          <t>A 18309-2025</t>
        </is>
      </c>
      <c r="B736" s="1" t="n">
        <v>45762.44186342593</v>
      </c>
      <c r="C736" s="1" t="n">
        <v>46081</v>
      </c>
      <c r="D736" t="inlineStr">
        <is>
          <t>VÄRMLANDS LÄN</t>
        </is>
      </c>
      <c r="E736" t="inlineStr">
        <is>
          <t>ÅRJÄNG</t>
        </is>
      </c>
      <c r="G736" t="n">
        <v>6.2</v>
      </c>
      <c r="H736" t="n">
        <v>0</v>
      </c>
      <c r="I736" t="n">
        <v>0</v>
      </c>
      <c r="J736" t="n">
        <v>0</v>
      </c>
      <c r="K736" t="n">
        <v>0</v>
      </c>
      <c r="L736" t="n">
        <v>0</v>
      </c>
      <c r="M736" t="n">
        <v>0</v>
      </c>
      <c r="N736" t="n">
        <v>0</v>
      </c>
      <c r="O736" t="n">
        <v>0</v>
      </c>
      <c r="P736" t="n">
        <v>0</v>
      </c>
      <c r="Q736" t="n">
        <v>0</v>
      </c>
      <c r="R736" s="2" t="inlineStr"/>
    </row>
    <row r="737" ht="15" customHeight="1">
      <c r="A737" t="inlineStr">
        <is>
          <t>A 49424-2025</t>
        </is>
      </c>
      <c r="B737" s="1" t="n">
        <v>45938.72657407408</v>
      </c>
      <c r="C737" s="1" t="n">
        <v>46081</v>
      </c>
      <c r="D737" t="inlineStr">
        <is>
          <t>VÄRMLANDS LÄN</t>
        </is>
      </c>
      <c r="E737" t="inlineStr">
        <is>
          <t>ÅRJÄNG</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14917-2025</t>
        </is>
      </c>
      <c r="B738" s="1" t="n">
        <v>45743.53748842593</v>
      </c>
      <c r="C738" s="1" t="n">
        <v>46081</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54950-2022</t>
        </is>
      </c>
      <c r="B739" s="1" t="n">
        <v>44886</v>
      </c>
      <c r="C739" s="1" t="n">
        <v>46081</v>
      </c>
      <c r="D739" t="inlineStr">
        <is>
          <t>VÄRMLANDS LÄN</t>
        </is>
      </c>
      <c r="E739" t="inlineStr">
        <is>
          <t>ÅRJÄNG</t>
        </is>
      </c>
      <c r="G739" t="n">
        <v>13</v>
      </c>
      <c r="H739" t="n">
        <v>0</v>
      </c>
      <c r="I739" t="n">
        <v>0</v>
      </c>
      <c r="J739" t="n">
        <v>0</v>
      </c>
      <c r="K739" t="n">
        <v>0</v>
      </c>
      <c r="L739" t="n">
        <v>0</v>
      </c>
      <c r="M739" t="n">
        <v>0</v>
      </c>
      <c r="N739" t="n">
        <v>0</v>
      </c>
      <c r="O739" t="n">
        <v>0</v>
      </c>
      <c r="P739" t="n">
        <v>0</v>
      </c>
      <c r="Q739" t="n">
        <v>0</v>
      </c>
      <c r="R739" s="2" t="inlineStr"/>
    </row>
    <row r="740" ht="15" customHeight="1">
      <c r="A740" t="inlineStr">
        <is>
          <t>A 1717-2025</t>
        </is>
      </c>
      <c r="B740" s="1" t="n">
        <v>45671.32938657407</v>
      </c>
      <c r="C740" s="1" t="n">
        <v>46081</v>
      </c>
      <c r="D740" t="inlineStr">
        <is>
          <t>VÄRMLANDS LÄN</t>
        </is>
      </c>
      <c r="E740" t="inlineStr">
        <is>
          <t>ÅRJÄNG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62240-2022</t>
        </is>
      </c>
      <c r="B741" s="1" t="n">
        <v>44922</v>
      </c>
      <c r="C741" s="1" t="n">
        <v>46081</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49727-2025</t>
        </is>
      </c>
      <c r="B742" s="1" t="n">
        <v>45939</v>
      </c>
      <c r="C742" s="1" t="n">
        <v>46081</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49436-2025</t>
        </is>
      </c>
      <c r="B743" s="1" t="n">
        <v>45938.87913194444</v>
      </c>
      <c r="C743" s="1" t="n">
        <v>46081</v>
      </c>
      <c r="D743" t="inlineStr">
        <is>
          <t>VÄRMLANDS LÄN</t>
        </is>
      </c>
      <c r="E743" t="inlineStr">
        <is>
          <t>ÅRJÄNG</t>
        </is>
      </c>
      <c r="G743" t="n">
        <v>13.9</v>
      </c>
      <c r="H743" t="n">
        <v>0</v>
      </c>
      <c r="I743" t="n">
        <v>0</v>
      </c>
      <c r="J743" t="n">
        <v>0</v>
      </c>
      <c r="K743" t="n">
        <v>0</v>
      </c>
      <c r="L743" t="n">
        <v>0</v>
      </c>
      <c r="M743" t="n">
        <v>0</v>
      </c>
      <c r="N743" t="n">
        <v>0</v>
      </c>
      <c r="O743" t="n">
        <v>0</v>
      </c>
      <c r="P743" t="n">
        <v>0</v>
      </c>
      <c r="Q743" t="n">
        <v>0</v>
      </c>
      <c r="R743" s="2" t="inlineStr"/>
    </row>
    <row r="744" ht="15" customHeight="1">
      <c r="A744" t="inlineStr">
        <is>
          <t>A 49439-2025</t>
        </is>
      </c>
      <c r="B744" s="1" t="n">
        <v>45938.88315972222</v>
      </c>
      <c r="C744" s="1" t="n">
        <v>46081</v>
      </c>
      <c r="D744" t="inlineStr">
        <is>
          <t>VÄRMLANDS LÄN</t>
        </is>
      </c>
      <c r="E744" t="inlineStr">
        <is>
          <t>ÅRJÄNG</t>
        </is>
      </c>
      <c r="G744" t="n">
        <v>2.3</v>
      </c>
      <c r="H744" t="n">
        <v>0</v>
      </c>
      <c r="I744" t="n">
        <v>0</v>
      </c>
      <c r="J744" t="n">
        <v>0</v>
      </c>
      <c r="K744" t="n">
        <v>0</v>
      </c>
      <c r="L744" t="n">
        <v>0</v>
      </c>
      <c r="M744" t="n">
        <v>0</v>
      </c>
      <c r="N744" t="n">
        <v>0</v>
      </c>
      <c r="O744" t="n">
        <v>0</v>
      </c>
      <c r="P744" t="n">
        <v>0</v>
      </c>
      <c r="Q744" t="n">
        <v>0</v>
      </c>
      <c r="R744" s="2" t="inlineStr"/>
    </row>
    <row r="745" ht="15" customHeight="1">
      <c r="A745" t="inlineStr">
        <is>
          <t>A 13871-2025</t>
        </is>
      </c>
      <c r="B745" s="1" t="n">
        <v>45737.58568287037</v>
      </c>
      <c r="C745" s="1" t="n">
        <v>46081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49728-2025</t>
        </is>
      </c>
      <c r="B746" s="1" t="n">
        <v>45939</v>
      </c>
      <c r="C746" s="1" t="n">
        <v>46081</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49914-2025</t>
        </is>
      </c>
      <c r="B747" s="1" t="n">
        <v>45940.61268518519</v>
      </c>
      <c r="C747" s="1" t="n">
        <v>46081</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49441-2025</t>
        </is>
      </c>
      <c r="B748" s="1" t="n">
        <v>45938.88782407407</v>
      </c>
      <c r="C748" s="1" t="n">
        <v>46081</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49442-2025</t>
        </is>
      </c>
      <c r="B749" s="1" t="n">
        <v>45938.88975694445</v>
      </c>
      <c r="C749" s="1" t="n">
        <v>46081</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4088-2025</t>
        </is>
      </c>
      <c r="B750" s="1" t="n">
        <v>45684.66329861111</v>
      </c>
      <c r="C750" s="1" t="n">
        <v>46081</v>
      </c>
      <c r="D750" t="inlineStr">
        <is>
          <t>VÄRMLANDS LÄN</t>
        </is>
      </c>
      <c r="E750" t="inlineStr">
        <is>
          <t>ÅRJÄNG</t>
        </is>
      </c>
      <c r="G750" t="n">
        <v>4.1</v>
      </c>
      <c r="H750" t="n">
        <v>0</v>
      </c>
      <c r="I750" t="n">
        <v>0</v>
      </c>
      <c r="J750" t="n">
        <v>0</v>
      </c>
      <c r="K750" t="n">
        <v>0</v>
      </c>
      <c r="L750" t="n">
        <v>0</v>
      </c>
      <c r="M750" t="n">
        <v>0</v>
      </c>
      <c r="N750" t="n">
        <v>0</v>
      </c>
      <c r="O750" t="n">
        <v>0</v>
      </c>
      <c r="P750" t="n">
        <v>0</v>
      </c>
      <c r="Q750" t="n">
        <v>0</v>
      </c>
      <c r="R750" s="2" t="inlineStr"/>
    </row>
    <row r="751" ht="15" customHeight="1">
      <c r="A751" t="inlineStr">
        <is>
          <t>A 49437-2025</t>
        </is>
      </c>
      <c r="B751" s="1" t="n">
        <v>45938.8803587963</v>
      </c>
      <c r="C751" s="1" t="n">
        <v>46081</v>
      </c>
      <c r="D751" t="inlineStr">
        <is>
          <t>VÄRMLANDS LÄN</t>
        </is>
      </c>
      <c r="E751" t="inlineStr">
        <is>
          <t>ÅRJÄNG</t>
        </is>
      </c>
      <c r="G751" t="n">
        <v>5.2</v>
      </c>
      <c r="H751" t="n">
        <v>0</v>
      </c>
      <c r="I751" t="n">
        <v>0</v>
      </c>
      <c r="J751" t="n">
        <v>0</v>
      </c>
      <c r="K751" t="n">
        <v>0</v>
      </c>
      <c r="L751" t="n">
        <v>0</v>
      </c>
      <c r="M751" t="n">
        <v>0</v>
      </c>
      <c r="N751" t="n">
        <v>0</v>
      </c>
      <c r="O751" t="n">
        <v>0</v>
      </c>
      <c r="P751" t="n">
        <v>0</v>
      </c>
      <c r="Q751" t="n">
        <v>0</v>
      </c>
      <c r="R751" s="2" t="inlineStr"/>
    </row>
    <row r="752" ht="15" customHeight="1">
      <c r="A752" t="inlineStr">
        <is>
          <t>A 49936-2025</t>
        </is>
      </c>
      <c r="B752" s="1" t="n">
        <v>45940.66287037037</v>
      </c>
      <c r="C752" s="1" t="n">
        <v>46081</v>
      </c>
      <c r="D752" t="inlineStr">
        <is>
          <t>VÄRMLANDS LÄN</t>
        </is>
      </c>
      <c r="E752" t="inlineStr">
        <is>
          <t>ÅRJÄNG</t>
        </is>
      </c>
      <c r="F752" t="inlineStr">
        <is>
          <t>Kyrkan</t>
        </is>
      </c>
      <c r="G752" t="n">
        <v>5.3</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46081</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49540-2025</t>
        </is>
      </c>
      <c r="B754" s="1" t="n">
        <v>45939.42537037037</v>
      </c>
      <c r="C754" s="1" t="n">
        <v>46081</v>
      </c>
      <c r="D754" t="inlineStr">
        <is>
          <t>VÄRMLANDS LÄN</t>
        </is>
      </c>
      <c r="E754" t="inlineStr">
        <is>
          <t>ÅRJÄNG</t>
        </is>
      </c>
      <c r="G754" t="n">
        <v>3.5</v>
      </c>
      <c r="H754" t="n">
        <v>0</v>
      </c>
      <c r="I754" t="n">
        <v>0</v>
      </c>
      <c r="J754" t="n">
        <v>0</v>
      </c>
      <c r="K754" t="n">
        <v>0</v>
      </c>
      <c r="L754" t="n">
        <v>0</v>
      </c>
      <c r="M754" t="n">
        <v>0</v>
      </c>
      <c r="N754" t="n">
        <v>0</v>
      </c>
      <c r="O754" t="n">
        <v>0</v>
      </c>
      <c r="P754" t="n">
        <v>0</v>
      </c>
      <c r="Q754" t="n">
        <v>0</v>
      </c>
      <c r="R754" s="2" t="inlineStr"/>
    </row>
    <row r="755" ht="15" customHeight="1">
      <c r="A755" t="inlineStr">
        <is>
          <t>A 50187-2025</t>
        </is>
      </c>
      <c r="B755" s="1" t="n">
        <v>45943.62962962963</v>
      </c>
      <c r="C755" s="1" t="n">
        <v>46081</v>
      </c>
      <c r="D755" t="inlineStr">
        <is>
          <t>VÄRMLANDS LÄN</t>
        </is>
      </c>
      <c r="E755" t="inlineStr">
        <is>
          <t>ÅRJÄNG</t>
        </is>
      </c>
      <c r="F755" t="inlineStr">
        <is>
          <t>Bergvik skog väst AB</t>
        </is>
      </c>
      <c r="G755" t="n">
        <v>1.2</v>
      </c>
      <c r="H755" t="n">
        <v>0</v>
      </c>
      <c r="I755" t="n">
        <v>0</v>
      </c>
      <c r="J755" t="n">
        <v>0</v>
      </c>
      <c r="K755" t="n">
        <v>0</v>
      </c>
      <c r="L755" t="n">
        <v>0</v>
      </c>
      <c r="M755" t="n">
        <v>0</v>
      </c>
      <c r="N755" t="n">
        <v>0</v>
      </c>
      <c r="O755" t="n">
        <v>0</v>
      </c>
      <c r="P755" t="n">
        <v>0</v>
      </c>
      <c r="Q755" t="n">
        <v>0</v>
      </c>
      <c r="R755" s="2" t="inlineStr"/>
    </row>
    <row r="756" ht="15" customHeight="1">
      <c r="A756" t="inlineStr">
        <is>
          <t>A 55091-2023</t>
        </is>
      </c>
      <c r="B756" s="1" t="n">
        <v>45237</v>
      </c>
      <c r="C756" s="1" t="n">
        <v>46081</v>
      </c>
      <c r="D756" t="inlineStr">
        <is>
          <t>VÄRMLANDS LÄN</t>
        </is>
      </c>
      <c r="E756" t="inlineStr">
        <is>
          <t>ÅRJÄNG</t>
        </is>
      </c>
      <c r="G756" t="n">
        <v>3.8</v>
      </c>
      <c r="H756" t="n">
        <v>0</v>
      </c>
      <c r="I756" t="n">
        <v>0</v>
      </c>
      <c r="J756" t="n">
        <v>0</v>
      </c>
      <c r="K756" t="n">
        <v>0</v>
      </c>
      <c r="L756" t="n">
        <v>0</v>
      </c>
      <c r="M756" t="n">
        <v>0</v>
      </c>
      <c r="N756" t="n">
        <v>0</v>
      </c>
      <c r="O756" t="n">
        <v>0</v>
      </c>
      <c r="P756" t="n">
        <v>0</v>
      </c>
      <c r="Q756" t="n">
        <v>0</v>
      </c>
      <c r="R756" s="2" t="inlineStr"/>
    </row>
    <row r="757" ht="15" customHeight="1">
      <c r="A757" t="inlineStr">
        <is>
          <t>A 50295-2025</t>
        </is>
      </c>
      <c r="B757" s="1" t="n">
        <v>45944</v>
      </c>
      <c r="C757" s="1" t="n">
        <v>46081</v>
      </c>
      <c r="D757" t="inlineStr">
        <is>
          <t>VÄRMLANDS LÄN</t>
        </is>
      </c>
      <c r="E757" t="inlineStr">
        <is>
          <t>ÅRJÄNG</t>
        </is>
      </c>
      <c r="G757" t="n">
        <v>6</v>
      </c>
      <c r="H757" t="n">
        <v>0</v>
      </c>
      <c r="I757" t="n">
        <v>0</v>
      </c>
      <c r="J757" t="n">
        <v>0</v>
      </c>
      <c r="K757" t="n">
        <v>0</v>
      </c>
      <c r="L757" t="n">
        <v>0</v>
      </c>
      <c r="M757" t="n">
        <v>0</v>
      </c>
      <c r="N757" t="n">
        <v>0</v>
      </c>
      <c r="O757" t="n">
        <v>0</v>
      </c>
      <c r="P757" t="n">
        <v>0</v>
      </c>
      <c r="Q757" t="n">
        <v>0</v>
      </c>
      <c r="R757" s="2" t="inlineStr"/>
    </row>
    <row r="758" ht="15" customHeight="1">
      <c r="A758" t="inlineStr">
        <is>
          <t>A 55517-2023</t>
        </is>
      </c>
      <c r="B758" s="1" t="n">
        <v>45232</v>
      </c>
      <c r="C758" s="1" t="n">
        <v>46081</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32950-2024</t>
        </is>
      </c>
      <c r="B759" s="1" t="n">
        <v>45517.36038194445</v>
      </c>
      <c r="C759" s="1" t="n">
        <v>46081</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50114-2025</t>
        </is>
      </c>
      <c r="B760" s="1" t="n">
        <v>45943</v>
      </c>
      <c r="C760" s="1" t="n">
        <v>46081</v>
      </c>
      <c r="D760" t="inlineStr">
        <is>
          <t>VÄRMLANDS LÄN</t>
        </is>
      </c>
      <c r="E760" t="inlineStr">
        <is>
          <t>ÅRJÄNG</t>
        </is>
      </c>
      <c r="G760" t="n">
        <v>0.7</v>
      </c>
      <c r="H760" t="n">
        <v>0</v>
      </c>
      <c r="I760" t="n">
        <v>0</v>
      </c>
      <c r="J760" t="n">
        <v>0</v>
      </c>
      <c r="K760" t="n">
        <v>0</v>
      </c>
      <c r="L760" t="n">
        <v>0</v>
      </c>
      <c r="M760" t="n">
        <v>0</v>
      </c>
      <c r="N760" t="n">
        <v>0</v>
      </c>
      <c r="O760" t="n">
        <v>0</v>
      </c>
      <c r="P760" t="n">
        <v>0</v>
      </c>
      <c r="Q760" t="n">
        <v>0</v>
      </c>
      <c r="R760" s="2" t="inlineStr"/>
    </row>
    <row r="761" ht="15" customHeight="1">
      <c r="A761" t="inlineStr">
        <is>
          <t>A 50108-2025</t>
        </is>
      </c>
      <c r="B761" s="1" t="n">
        <v>45943</v>
      </c>
      <c r="C761" s="1" t="n">
        <v>46081</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50118-2025</t>
        </is>
      </c>
      <c r="B762" s="1" t="n">
        <v>45943</v>
      </c>
      <c r="C762" s="1" t="n">
        <v>46081</v>
      </c>
      <c r="D762" t="inlineStr">
        <is>
          <t>VÄRMLANDS LÄN</t>
        </is>
      </c>
      <c r="E762" t="inlineStr">
        <is>
          <t>ÅRJÄNG</t>
        </is>
      </c>
      <c r="G762" t="n">
        <v>7.7</v>
      </c>
      <c r="H762" t="n">
        <v>0</v>
      </c>
      <c r="I762" t="n">
        <v>0</v>
      </c>
      <c r="J762" t="n">
        <v>0</v>
      </c>
      <c r="K762" t="n">
        <v>0</v>
      </c>
      <c r="L762" t="n">
        <v>0</v>
      </c>
      <c r="M762" t="n">
        <v>0</v>
      </c>
      <c r="N762" t="n">
        <v>0</v>
      </c>
      <c r="O762" t="n">
        <v>0</v>
      </c>
      <c r="P762" t="n">
        <v>0</v>
      </c>
      <c r="Q762" t="n">
        <v>0</v>
      </c>
      <c r="R762" s="2" t="inlineStr"/>
    </row>
    <row r="763" ht="15" customHeight="1">
      <c r="A763" t="inlineStr">
        <is>
          <t>A 49958-2025</t>
        </is>
      </c>
      <c r="B763" s="1" t="n">
        <v>45941.33325231481</v>
      </c>
      <c r="C763" s="1" t="n">
        <v>46081</v>
      </c>
      <c r="D763" t="inlineStr">
        <is>
          <t>VÄRMLANDS LÄN</t>
        </is>
      </c>
      <c r="E763" t="inlineStr">
        <is>
          <t>ÅRJÄNG</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15210-2025</t>
        </is>
      </c>
      <c r="B764" s="1" t="n">
        <v>45744</v>
      </c>
      <c r="C764" s="1" t="n">
        <v>46081</v>
      </c>
      <c r="D764" t="inlineStr">
        <is>
          <t>VÄRMLANDS LÄN</t>
        </is>
      </c>
      <c r="E764" t="inlineStr">
        <is>
          <t>ÅRJÄNG</t>
        </is>
      </c>
      <c r="G764" t="n">
        <v>2.7</v>
      </c>
      <c r="H764" t="n">
        <v>0</v>
      </c>
      <c r="I764" t="n">
        <v>0</v>
      </c>
      <c r="J764" t="n">
        <v>0</v>
      </c>
      <c r="K764" t="n">
        <v>0</v>
      </c>
      <c r="L764" t="n">
        <v>0</v>
      </c>
      <c r="M764" t="n">
        <v>0</v>
      </c>
      <c r="N764" t="n">
        <v>0</v>
      </c>
      <c r="O764" t="n">
        <v>0</v>
      </c>
      <c r="P764" t="n">
        <v>0</v>
      </c>
      <c r="Q764" t="n">
        <v>0</v>
      </c>
      <c r="R764" s="2" t="inlineStr"/>
    </row>
    <row r="765" ht="15" customHeight="1">
      <c r="A765" t="inlineStr">
        <is>
          <t>A 49959-2025</t>
        </is>
      </c>
      <c r="B765" s="1" t="n">
        <v>45941.33649305555</v>
      </c>
      <c r="C765" s="1" t="n">
        <v>46081</v>
      </c>
      <c r="D765" t="inlineStr">
        <is>
          <t>VÄRMLANDS LÄN</t>
        </is>
      </c>
      <c r="E765" t="inlineStr">
        <is>
          <t>ÅRJÄNG</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50112-2025</t>
        </is>
      </c>
      <c r="B766" s="1" t="n">
        <v>45943</v>
      </c>
      <c r="C766" s="1" t="n">
        <v>46081</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16112-2025</t>
        </is>
      </c>
      <c r="B767" s="1" t="n">
        <v>45750.37240740741</v>
      </c>
      <c r="C767" s="1" t="n">
        <v>46081</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5095-2023</t>
        </is>
      </c>
      <c r="B768" s="1" t="n">
        <v>44953</v>
      </c>
      <c r="C768" s="1" t="n">
        <v>46081</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50050-2025</t>
        </is>
      </c>
      <c r="B769" s="1" t="n">
        <v>45942</v>
      </c>
      <c r="C769" s="1" t="n">
        <v>46081</v>
      </c>
      <c r="D769" t="inlineStr">
        <is>
          <t>VÄRMLANDS LÄN</t>
        </is>
      </c>
      <c r="E769" t="inlineStr">
        <is>
          <t>ÅRJÄNG</t>
        </is>
      </c>
      <c r="F769" t="inlineStr">
        <is>
          <t>Övriga Aktiebolag</t>
        </is>
      </c>
      <c r="G769" t="n">
        <v>2.9</v>
      </c>
      <c r="H769" t="n">
        <v>0</v>
      </c>
      <c r="I769" t="n">
        <v>0</v>
      </c>
      <c r="J769" t="n">
        <v>0</v>
      </c>
      <c r="K769" t="n">
        <v>0</v>
      </c>
      <c r="L769" t="n">
        <v>0</v>
      </c>
      <c r="M769" t="n">
        <v>0</v>
      </c>
      <c r="N769" t="n">
        <v>0</v>
      </c>
      <c r="O769" t="n">
        <v>0</v>
      </c>
      <c r="P769" t="n">
        <v>0</v>
      </c>
      <c r="Q769" t="n">
        <v>0</v>
      </c>
      <c r="R769" s="2" t="inlineStr"/>
    </row>
    <row r="770" ht="15" customHeight="1">
      <c r="A770" t="inlineStr">
        <is>
          <t>A 50304-2025</t>
        </is>
      </c>
      <c r="B770" s="1" t="n">
        <v>45944</v>
      </c>
      <c r="C770" s="1" t="n">
        <v>46081</v>
      </c>
      <c r="D770" t="inlineStr">
        <is>
          <t>VÄRMLANDS LÄN</t>
        </is>
      </c>
      <c r="E770" t="inlineStr">
        <is>
          <t>ÅRJÄNG</t>
        </is>
      </c>
      <c r="G770" t="n">
        <v>4.7</v>
      </c>
      <c r="H770" t="n">
        <v>0</v>
      </c>
      <c r="I770" t="n">
        <v>0</v>
      </c>
      <c r="J770" t="n">
        <v>0</v>
      </c>
      <c r="K770" t="n">
        <v>0</v>
      </c>
      <c r="L770" t="n">
        <v>0</v>
      </c>
      <c r="M770" t="n">
        <v>0</v>
      </c>
      <c r="N770" t="n">
        <v>0</v>
      </c>
      <c r="O770" t="n">
        <v>0</v>
      </c>
      <c r="P770" t="n">
        <v>0</v>
      </c>
      <c r="Q770" t="n">
        <v>0</v>
      </c>
      <c r="R770" s="2" t="inlineStr"/>
    </row>
    <row r="771" ht="15" customHeight="1">
      <c r="A771" t="inlineStr">
        <is>
          <t>A 50931-2025</t>
        </is>
      </c>
      <c r="B771" s="1" t="n">
        <v>45946.68568287037</v>
      </c>
      <c r="C771" s="1" t="n">
        <v>46081</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50624-2025</t>
        </is>
      </c>
      <c r="B772" s="1" t="n">
        <v>45945.63518518519</v>
      </c>
      <c r="C772" s="1" t="n">
        <v>46081</v>
      </c>
      <c r="D772" t="inlineStr">
        <is>
          <t>VÄRMLANDS LÄN</t>
        </is>
      </c>
      <c r="E772" t="inlineStr">
        <is>
          <t>ÅRJÄNG</t>
        </is>
      </c>
      <c r="G772" t="n">
        <v>3.4</v>
      </c>
      <c r="H772" t="n">
        <v>0</v>
      </c>
      <c r="I772" t="n">
        <v>0</v>
      </c>
      <c r="J772" t="n">
        <v>0</v>
      </c>
      <c r="K772" t="n">
        <v>0</v>
      </c>
      <c r="L772" t="n">
        <v>0</v>
      </c>
      <c r="M772" t="n">
        <v>0</v>
      </c>
      <c r="N772" t="n">
        <v>0</v>
      </c>
      <c r="O772" t="n">
        <v>0</v>
      </c>
      <c r="P772" t="n">
        <v>0</v>
      </c>
      <c r="Q772" t="n">
        <v>0</v>
      </c>
      <c r="R772" s="2" t="inlineStr"/>
    </row>
    <row r="773" ht="15" customHeight="1">
      <c r="A773" t="inlineStr">
        <is>
          <t>A 50841-2025</t>
        </is>
      </c>
      <c r="B773" s="1" t="n">
        <v>45946.57050925926</v>
      </c>
      <c r="C773" s="1" t="n">
        <v>46081</v>
      </c>
      <c r="D773" t="inlineStr">
        <is>
          <t>VÄRMLANDS LÄN</t>
        </is>
      </c>
      <c r="E773" t="inlineStr">
        <is>
          <t>ÅRJÄNG</t>
        </is>
      </c>
      <c r="F773" t="inlineStr">
        <is>
          <t>Kyrkan</t>
        </is>
      </c>
      <c r="G773" t="n">
        <v>2.4</v>
      </c>
      <c r="H773" t="n">
        <v>0</v>
      </c>
      <c r="I773" t="n">
        <v>0</v>
      </c>
      <c r="J773" t="n">
        <v>0</v>
      </c>
      <c r="K773" t="n">
        <v>0</v>
      </c>
      <c r="L773" t="n">
        <v>0</v>
      </c>
      <c r="M773" t="n">
        <v>0</v>
      </c>
      <c r="N773" t="n">
        <v>0</v>
      </c>
      <c r="O773" t="n">
        <v>0</v>
      </c>
      <c r="P773" t="n">
        <v>0</v>
      </c>
      <c r="Q773" t="n">
        <v>0</v>
      </c>
      <c r="R773" s="2" t="inlineStr"/>
    </row>
    <row r="774" ht="15" customHeight="1">
      <c r="A774" t="inlineStr">
        <is>
          <t>A 50847-2025</t>
        </is>
      </c>
      <c r="B774" s="1" t="n">
        <v>45946.57590277777</v>
      </c>
      <c r="C774" s="1" t="n">
        <v>46081</v>
      </c>
      <c r="D774" t="inlineStr">
        <is>
          <t>VÄRMLANDS LÄN</t>
        </is>
      </c>
      <c r="E774" t="inlineStr">
        <is>
          <t>ÅRJÄNG</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37325-2024</t>
        </is>
      </c>
      <c r="B775" s="1" t="n">
        <v>45540</v>
      </c>
      <c r="C775" s="1" t="n">
        <v>46081</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12659-2025</t>
        </is>
      </c>
      <c r="B776" s="1" t="n">
        <v>45733.42350694445</v>
      </c>
      <c r="C776" s="1" t="n">
        <v>46081</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58788-2024</t>
        </is>
      </c>
      <c r="B777" s="1" t="n">
        <v>45635.96372685185</v>
      </c>
      <c r="C777" s="1" t="n">
        <v>46081</v>
      </c>
      <c r="D777" t="inlineStr">
        <is>
          <t>VÄRMLANDS LÄN</t>
        </is>
      </c>
      <c r="E777" t="inlineStr">
        <is>
          <t>ÅRJÄNG</t>
        </is>
      </c>
      <c r="G777" t="n">
        <v>12.4</v>
      </c>
      <c r="H777" t="n">
        <v>0</v>
      </c>
      <c r="I777" t="n">
        <v>0</v>
      </c>
      <c r="J777" t="n">
        <v>0</v>
      </c>
      <c r="K777" t="n">
        <v>0</v>
      </c>
      <c r="L777" t="n">
        <v>0</v>
      </c>
      <c r="M777" t="n">
        <v>0</v>
      </c>
      <c r="N777" t="n">
        <v>0</v>
      </c>
      <c r="O777" t="n">
        <v>0</v>
      </c>
      <c r="P777" t="n">
        <v>0</v>
      </c>
      <c r="Q777" t="n">
        <v>0</v>
      </c>
      <c r="R777" s="2" t="inlineStr"/>
    </row>
    <row r="778" ht="15" customHeight="1">
      <c r="A778" t="inlineStr">
        <is>
          <t>A 60377-2023</t>
        </is>
      </c>
      <c r="B778" s="1" t="n">
        <v>45259.40993055556</v>
      </c>
      <c r="C778" s="1" t="n">
        <v>46081</v>
      </c>
      <c r="D778" t="inlineStr">
        <is>
          <t>VÄRMLANDS LÄN</t>
        </is>
      </c>
      <c r="E778" t="inlineStr">
        <is>
          <t>ÅRJÄNG</t>
        </is>
      </c>
      <c r="G778" t="n">
        <v>3.1</v>
      </c>
      <c r="H778" t="n">
        <v>0</v>
      </c>
      <c r="I778" t="n">
        <v>0</v>
      </c>
      <c r="J778" t="n">
        <v>0</v>
      </c>
      <c r="K778" t="n">
        <v>0</v>
      </c>
      <c r="L778" t="n">
        <v>0</v>
      </c>
      <c r="M778" t="n">
        <v>0</v>
      </c>
      <c r="N778" t="n">
        <v>0</v>
      </c>
      <c r="O778" t="n">
        <v>0</v>
      </c>
      <c r="P778" t="n">
        <v>0</v>
      </c>
      <c r="Q778" t="n">
        <v>0</v>
      </c>
      <c r="R778" s="2" t="inlineStr"/>
    </row>
    <row r="779" ht="15" customHeight="1">
      <c r="A779" t="inlineStr">
        <is>
          <t>A 23334-2023</t>
        </is>
      </c>
      <c r="B779" s="1" t="n">
        <v>45076</v>
      </c>
      <c r="C779" s="1" t="n">
        <v>46081</v>
      </c>
      <c r="D779" t="inlineStr">
        <is>
          <t>VÄRMLANDS LÄN</t>
        </is>
      </c>
      <c r="E779" t="inlineStr">
        <is>
          <t>ÅRJÄNG</t>
        </is>
      </c>
      <c r="G779" t="n">
        <v>0.8</v>
      </c>
      <c r="H779" t="n">
        <v>0</v>
      </c>
      <c r="I779" t="n">
        <v>0</v>
      </c>
      <c r="J779" t="n">
        <v>0</v>
      </c>
      <c r="K779" t="n">
        <v>0</v>
      </c>
      <c r="L779" t="n">
        <v>0</v>
      </c>
      <c r="M779" t="n">
        <v>0</v>
      </c>
      <c r="N779" t="n">
        <v>0</v>
      </c>
      <c r="O779" t="n">
        <v>0</v>
      </c>
      <c r="P779" t="n">
        <v>0</v>
      </c>
      <c r="Q779" t="n">
        <v>0</v>
      </c>
      <c r="R779" s="2" t="inlineStr"/>
    </row>
    <row r="780" ht="15" customHeight="1">
      <c r="A780" t="inlineStr">
        <is>
          <t>A 24444-2025</t>
        </is>
      </c>
      <c r="B780" s="1" t="n">
        <v>45798</v>
      </c>
      <c r="C780" s="1" t="n">
        <v>46081</v>
      </c>
      <c r="D780" t="inlineStr">
        <is>
          <t>VÄRMLANDS LÄN</t>
        </is>
      </c>
      <c r="E780" t="inlineStr">
        <is>
          <t>ÅRJÄNG</t>
        </is>
      </c>
      <c r="G780" t="n">
        <v>5.1</v>
      </c>
      <c r="H780" t="n">
        <v>0</v>
      </c>
      <c r="I780" t="n">
        <v>0</v>
      </c>
      <c r="J780" t="n">
        <v>0</v>
      </c>
      <c r="K780" t="n">
        <v>0</v>
      </c>
      <c r="L780" t="n">
        <v>0</v>
      </c>
      <c r="M780" t="n">
        <v>0</v>
      </c>
      <c r="N780" t="n">
        <v>0</v>
      </c>
      <c r="O780" t="n">
        <v>0</v>
      </c>
      <c r="P780" t="n">
        <v>0</v>
      </c>
      <c r="Q780" t="n">
        <v>0</v>
      </c>
      <c r="R780" s="2" t="inlineStr"/>
    </row>
    <row r="781" ht="15" customHeight="1">
      <c r="A781" t="inlineStr">
        <is>
          <t>A 50620-2025</t>
        </is>
      </c>
      <c r="B781" s="1" t="n">
        <v>45945.63163194444</v>
      </c>
      <c r="C781" s="1" t="n">
        <v>46081</v>
      </c>
      <c r="D781" t="inlineStr">
        <is>
          <t>VÄRMLANDS LÄN</t>
        </is>
      </c>
      <c r="E781" t="inlineStr">
        <is>
          <t>ÅRJÄNG</t>
        </is>
      </c>
      <c r="G781" t="n">
        <v>7.7</v>
      </c>
      <c r="H781" t="n">
        <v>0</v>
      </c>
      <c r="I781" t="n">
        <v>0</v>
      </c>
      <c r="J781" t="n">
        <v>0</v>
      </c>
      <c r="K781" t="n">
        <v>0</v>
      </c>
      <c r="L781" t="n">
        <v>0</v>
      </c>
      <c r="M781" t="n">
        <v>0</v>
      </c>
      <c r="N781" t="n">
        <v>0</v>
      </c>
      <c r="O781" t="n">
        <v>0</v>
      </c>
      <c r="P781" t="n">
        <v>0</v>
      </c>
      <c r="Q781" t="n">
        <v>0</v>
      </c>
      <c r="R781" s="2" t="inlineStr"/>
    </row>
    <row r="782" ht="15" customHeight="1">
      <c r="A782" t="inlineStr">
        <is>
          <t>A 37353-2024</t>
        </is>
      </c>
      <c r="B782" s="1" t="n">
        <v>45540</v>
      </c>
      <c r="C782" s="1" t="n">
        <v>46081</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50554-2025</t>
        </is>
      </c>
      <c r="B783" s="1" t="n">
        <v>45945.52561342593</v>
      </c>
      <c r="C783" s="1" t="n">
        <v>46081</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24445-2025</t>
        </is>
      </c>
      <c r="B784" s="1" t="n">
        <v>45798</v>
      </c>
      <c r="C784" s="1" t="n">
        <v>46081</v>
      </c>
      <c r="D784" t="inlineStr">
        <is>
          <t>VÄRMLANDS LÄN</t>
        </is>
      </c>
      <c r="E784" t="inlineStr">
        <is>
          <t>ÅRJÄNG</t>
        </is>
      </c>
      <c r="G784" t="n">
        <v>6.4</v>
      </c>
      <c r="H784" t="n">
        <v>0</v>
      </c>
      <c r="I784" t="n">
        <v>0</v>
      </c>
      <c r="J784" t="n">
        <v>0</v>
      </c>
      <c r="K784" t="n">
        <v>0</v>
      </c>
      <c r="L784" t="n">
        <v>0</v>
      </c>
      <c r="M784" t="n">
        <v>0</v>
      </c>
      <c r="N784" t="n">
        <v>0</v>
      </c>
      <c r="O784" t="n">
        <v>0</v>
      </c>
      <c r="P784" t="n">
        <v>0</v>
      </c>
      <c r="Q784" t="n">
        <v>0</v>
      </c>
      <c r="R784" s="2" t="inlineStr"/>
    </row>
    <row r="785" ht="15" customHeight="1">
      <c r="A785" t="inlineStr">
        <is>
          <t>A 54425-2021</t>
        </is>
      </c>
      <c r="B785" s="1" t="n">
        <v>44459</v>
      </c>
      <c r="C785" s="1" t="n">
        <v>46081</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50709-2025</t>
        </is>
      </c>
      <c r="B786" s="1" t="n">
        <v>45946</v>
      </c>
      <c r="C786" s="1" t="n">
        <v>46081</v>
      </c>
      <c r="D786" t="inlineStr">
        <is>
          <t>VÄRMLANDS LÄN</t>
        </is>
      </c>
      <c r="E786" t="inlineStr">
        <is>
          <t>ÅRJÄNG</t>
        </is>
      </c>
      <c r="G786" t="n">
        <v>3.3</v>
      </c>
      <c r="H786" t="n">
        <v>0</v>
      </c>
      <c r="I786" t="n">
        <v>0</v>
      </c>
      <c r="J786" t="n">
        <v>0</v>
      </c>
      <c r="K786" t="n">
        <v>0</v>
      </c>
      <c r="L786" t="n">
        <v>0</v>
      </c>
      <c r="M786" t="n">
        <v>0</v>
      </c>
      <c r="N786" t="n">
        <v>0</v>
      </c>
      <c r="O786" t="n">
        <v>0</v>
      </c>
      <c r="P786" t="n">
        <v>0</v>
      </c>
      <c r="Q786" t="n">
        <v>0</v>
      </c>
      <c r="R786" s="2" t="inlineStr"/>
    </row>
    <row r="787" ht="15" customHeight="1">
      <c r="A787" t="inlineStr">
        <is>
          <t>A 50545-2025</t>
        </is>
      </c>
      <c r="B787" s="1" t="n">
        <v>45945.50777777778</v>
      </c>
      <c r="C787" s="1" t="n">
        <v>46081</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50551-2025</t>
        </is>
      </c>
      <c r="B788" s="1" t="n">
        <v>45945.52244212963</v>
      </c>
      <c r="C788" s="1" t="n">
        <v>46081</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50498-2025</t>
        </is>
      </c>
      <c r="B789" s="1" t="n">
        <v>45945.41553240741</v>
      </c>
      <c r="C789" s="1" t="n">
        <v>46081</v>
      </c>
      <c r="D789" t="inlineStr">
        <is>
          <t>VÄRMLANDS LÄN</t>
        </is>
      </c>
      <c r="E789" t="inlineStr">
        <is>
          <t>ÅRJÄNG</t>
        </is>
      </c>
      <c r="G789" t="n">
        <v>4.5</v>
      </c>
      <c r="H789" t="n">
        <v>0</v>
      </c>
      <c r="I789" t="n">
        <v>0</v>
      </c>
      <c r="J789" t="n">
        <v>0</v>
      </c>
      <c r="K789" t="n">
        <v>0</v>
      </c>
      <c r="L789" t="n">
        <v>0</v>
      </c>
      <c r="M789" t="n">
        <v>0</v>
      </c>
      <c r="N789" t="n">
        <v>0</v>
      </c>
      <c r="O789" t="n">
        <v>0</v>
      </c>
      <c r="P789" t="n">
        <v>0</v>
      </c>
      <c r="Q789" t="n">
        <v>0</v>
      </c>
      <c r="R789" s="2" t="inlineStr"/>
    </row>
    <row r="790" ht="15" customHeight="1">
      <c r="A790" t="inlineStr">
        <is>
          <t>A 42783-2024</t>
        </is>
      </c>
      <c r="B790" s="1" t="n">
        <v>45566</v>
      </c>
      <c r="C790" s="1" t="n">
        <v>46081</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36706-2024</t>
        </is>
      </c>
      <c r="B791" s="1" t="n">
        <v>45537</v>
      </c>
      <c r="C791" s="1" t="n">
        <v>46081</v>
      </c>
      <c r="D791" t="inlineStr">
        <is>
          <t>VÄRMLANDS LÄN</t>
        </is>
      </c>
      <c r="E791" t="inlineStr">
        <is>
          <t>ÅRJÄNG</t>
        </is>
      </c>
      <c r="G791" t="n">
        <v>5.3</v>
      </c>
      <c r="H791" t="n">
        <v>0</v>
      </c>
      <c r="I791" t="n">
        <v>0</v>
      </c>
      <c r="J791" t="n">
        <v>0</v>
      </c>
      <c r="K791" t="n">
        <v>0</v>
      </c>
      <c r="L791" t="n">
        <v>0</v>
      </c>
      <c r="M791" t="n">
        <v>0</v>
      </c>
      <c r="N791" t="n">
        <v>0</v>
      </c>
      <c r="O791" t="n">
        <v>0</v>
      </c>
      <c r="P791" t="n">
        <v>0</v>
      </c>
      <c r="Q791" t="n">
        <v>0</v>
      </c>
      <c r="R791" s="2" t="inlineStr"/>
    </row>
    <row r="792" ht="15" customHeight="1">
      <c r="A792" t="inlineStr">
        <is>
          <t>A 13869-2025</t>
        </is>
      </c>
      <c r="B792" s="1" t="n">
        <v>45737.58268518518</v>
      </c>
      <c r="C792" s="1" t="n">
        <v>46081</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51282-2025</t>
        </is>
      </c>
      <c r="B793" s="1" t="n">
        <v>45950.33694444445</v>
      </c>
      <c r="C793" s="1" t="n">
        <v>46081</v>
      </c>
      <c r="D793" t="inlineStr">
        <is>
          <t>VÄRMLANDS LÄN</t>
        </is>
      </c>
      <c r="E793" t="inlineStr">
        <is>
          <t>ÅRJÄNG</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51430-2025</t>
        </is>
      </c>
      <c r="B794" s="1" t="n">
        <v>45950.54824074074</v>
      </c>
      <c r="C794" s="1" t="n">
        <v>46081</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51435-2025</t>
        </is>
      </c>
      <c r="B795" s="1" t="n">
        <v>45950.56015046296</v>
      </c>
      <c r="C795" s="1" t="n">
        <v>46081</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74463-2021</t>
        </is>
      </c>
      <c r="B796" s="1" t="n">
        <v>44560.5255787037</v>
      </c>
      <c r="C796" s="1" t="n">
        <v>46081</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62963-2023</t>
        </is>
      </c>
      <c r="B797" s="1" t="n">
        <v>45271</v>
      </c>
      <c r="C797" s="1" t="n">
        <v>46081</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59479-2024</t>
        </is>
      </c>
      <c r="B798" s="1" t="n">
        <v>45638.52420138889</v>
      </c>
      <c r="C798" s="1" t="n">
        <v>46081</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44791.55983796297</v>
      </c>
      <c r="C799" s="1" t="n">
        <v>46081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27045-2021</t>
        </is>
      </c>
      <c r="B800" s="1" t="n">
        <v>44350.43223379629</v>
      </c>
      <c r="C800" s="1" t="n">
        <v>46081</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61814-2024</t>
        </is>
      </c>
      <c r="B801" s="1" t="n">
        <v>45646</v>
      </c>
      <c r="C801" s="1" t="n">
        <v>46081</v>
      </c>
      <c r="D801" t="inlineStr">
        <is>
          <t>VÄRMLANDS LÄN</t>
        </is>
      </c>
      <c r="E801" t="inlineStr">
        <is>
          <t>ÅRJÄNG</t>
        </is>
      </c>
      <c r="G801" t="n">
        <v>5.3</v>
      </c>
      <c r="H801" t="n">
        <v>0</v>
      </c>
      <c r="I801" t="n">
        <v>0</v>
      </c>
      <c r="J801" t="n">
        <v>0</v>
      </c>
      <c r="K801" t="n">
        <v>0</v>
      </c>
      <c r="L801" t="n">
        <v>0</v>
      </c>
      <c r="M801" t="n">
        <v>0</v>
      </c>
      <c r="N801" t="n">
        <v>0</v>
      </c>
      <c r="O801" t="n">
        <v>0</v>
      </c>
      <c r="P801" t="n">
        <v>0</v>
      </c>
      <c r="Q801" t="n">
        <v>0</v>
      </c>
      <c r="R801" s="2" t="inlineStr"/>
    </row>
    <row r="802" ht="15" customHeight="1">
      <c r="A802" t="inlineStr">
        <is>
          <t>A 15575-2025</t>
        </is>
      </c>
      <c r="B802" s="1" t="n">
        <v>45747</v>
      </c>
      <c r="C802" s="1" t="n">
        <v>46081</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15577-2025</t>
        </is>
      </c>
      <c r="B803" s="1" t="n">
        <v>45747</v>
      </c>
      <c r="C803" s="1" t="n">
        <v>46081</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23871-2023</t>
        </is>
      </c>
      <c r="B804" s="1" t="n">
        <v>45078</v>
      </c>
      <c r="C804" s="1" t="n">
        <v>46081</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15237-2025</t>
        </is>
      </c>
      <c r="B805" s="1" t="n">
        <v>45744</v>
      </c>
      <c r="C805" s="1" t="n">
        <v>46081</v>
      </c>
      <c r="D805" t="inlineStr">
        <is>
          <t>VÄRMLANDS LÄN</t>
        </is>
      </c>
      <c r="E805" t="inlineStr">
        <is>
          <t>ÅRJÄNG</t>
        </is>
      </c>
      <c r="G805" t="n">
        <v>29.5</v>
      </c>
      <c r="H805" t="n">
        <v>0</v>
      </c>
      <c r="I805" t="n">
        <v>0</v>
      </c>
      <c r="J805" t="n">
        <v>0</v>
      </c>
      <c r="K805" t="n">
        <v>0</v>
      </c>
      <c r="L805" t="n">
        <v>0</v>
      </c>
      <c r="M805" t="n">
        <v>0</v>
      </c>
      <c r="N805" t="n">
        <v>0</v>
      </c>
      <c r="O805" t="n">
        <v>0</v>
      </c>
      <c r="P805" t="n">
        <v>0</v>
      </c>
      <c r="Q805" t="n">
        <v>0</v>
      </c>
      <c r="R805" s="2" t="inlineStr"/>
    </row>
    <row r="806" ht="15" customHeight="1">
      <c r="A806" t="inlineStr">
        <is>
          <t>A 52709-2025</t>
        </is>
      </c>
      <c r="B806" s="1" t="n">
        <v>45953</v>
      </c>
      <c r="C806" s="1" t="n">
        <v>46081</v>
      </c>
      <c r="D806" t="inlineStr">
        <is>
          <t>VÄRMLANDS LÄN</t>
        </is>
      </c>
      <c r="E806" t="inlineStr">
        <is>
          <t>ÅRJÄNG</t>
        </is>
      </c>
      <c r="G806" t="n">
        <v>3</v>
      </c>
      <c r="H806" t="n">
        <v>0</v>
      </c>
      <c r="I806" t="n">
        <v>0</v>
      </c>
      <c r="J806" t="n">
        <v>0</v>
      </c>
      <c r="K806" t="n">
        <v>0</v>
      </c>
      <c r="L806" t="n">
        <v>0</v>
      </c>
      <c r="M806" t="n">
        <v>0</v>
      </c>
      <c r="N806" t="n">
        <v>0</v>
      </c>
      <c r="O806" t="n">
        <v>0</v>
      </c>
      <c r="P806" t="n">
        <v>0</v>
      </c>
      <c r="Q806" t="n">
        <v>0</v>
      </c>
      <c r="R806" s="2" t="inlineStr"/>
    </row>
    <row r="807" ht="15" customHeight="1">
      <c r="A807" t="inlineStr">
        <is>
          <t>A 6354-2024</t>
        </is>
      </c>
      <c r="B807" s="1" t="n">
        <v>45338.46987268519</v>
      </c>
      <c r="C807" s="1" t="n">
        <v>46081</v>
      </c>
      <c r="D807" t="inlineStr">
        <is>
          <t>VÄRMLANDS LÄN</t>
        </is>
      </c>
      <c r="E807" t="inlineStr">
        <is>
          <t>ÅRJÄNG</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21519-2024</t>
        </is>
      </c>
      <c r="B808" s="1" t="n">
        <v>45441</v>
      </c>
      <c r="C808" s="1" t="n">
        <v>46081</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11776-2025</t>
        </is>
      </c>
      <c r="B809" s="1" t="n">
        <v>45727.70334490741</v>
      </c>
      <c r="C809" s="1" t="n">
        <v>46081</v>
      </c>
      <c r="D809" t="inlineStr">
        <is>
          <t>VÄRMLANDS LÄN</t>
        </is>
      </c>
      <c r="E809" t="inlineStr">
        <is>
          <t>ÅRJÄNG</t>
        </is>
      </c>
      <c r="G809" t="n">
        <v>7.2</v>
      </c>
      <c r="H809" t="n">
        <v>0</v>
      </c>
      <c r="I809" t="n">
        <v>0</v>
      </c>
      <c r="J809" t="n">
        <v>0</v>
      </c>
      <c r="K809" t="n">
        <v>0</v>
      </c>
      <c r="L809" t="n">
        <v>0</v>
      </c>
      <c r="M809" t="n">
        <v>0</v>
      </c>
      <c r="N809" t="n">
        <v>0</v>
      </c>
      <c r="O809" t="n">
        <v>0</v>
      </c>
      <c r="P809" t="n">
        <v>0</v>
      </c>
      <c r="Q809" t="n">
        <v>0</v>
      </c>
      <c r="R809" s="2" t="inlineStr"/>
    </row>
    <row r="810" ht="15" customHeight="1">
      <c r="A810" t="inlineStr">
        <is>
          <t>A 20337-2023</t>
        </is>
      </c>
      <c r="B810" s="1" t="n">
        <v>45056.48157407407</v>
      </c>
      <c r="C810" s="1" t="n">
        <v>46081</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37409-2025</t>
        </is>
      </c>
      <c r="B811" s="1" t="n">
        <v>45877</v>
      </c>
      <c r="C811" s="1" t="n">
        <v>46081</v>
      </c>
      <c r="D811" t="inlineStr">
        <is>
          <t>VÄRMLANDS LÄN</t>
        </is>
      </c>
      <c r="E811" t="inlineStr">
        <is>
          <t>ÅRJÄNG</t>
        </is>
      </c>
      <c r="G811" t="n">
        <v>4.8</v>
      </c>
      <c r="H811" t="n">
        <v>0</v>
      </c>
      <c r="I811" t="n">
        <v>0</v>
      </c>
      <c r="J811" t="n">
        <v>0</v>
      </c>
      <c r="K811" t="n">
        <v>0</v>
      </c>
      <c r="L811" t="n">
        <v>0</v>
      </c>
      <c r="M811" t="n">
        <v>0</v>
      </c>
      <c r="N811" t="n">
        <v>0</v>
      </c>
      <c r="O811" t="n">
        <v>0</v>
      </c>
      <c r="P811" t="n">
        <v>0</v>
      </c>
      <c r="Q811" t="n">
        <v>0</v>
      </c>
      <c r="R811" s="2" t="inlineStr"/>
    </row>
    <row r="812" ht="15" customHeight="1">
      <c r="A812" t="inlineStr">
        <is>
          <t>A 42045-2024</t>
        </is>
      </c>
      <c r="B812" s="1" t="n">
        <v>45561</v>
      </c>
      <c r="C812" s="1" t="n">
        <v>46081</v>
      </c>
      <c r="D812" t="inlineStr">
        <is>
          <t>VÄRMLANDS LÄN</t>
        </is>
      </c>
      <c r="E812" t="inlineStr">
        <is>
          <t>ÅRJÄNG</t>
        </is>
      </c>
      <c r="G812" t="n">
        <v>1.9</v>
      </c>
      <c r="H812" t="n">
        <v>0</v>
      </c>
      <c r="I812" t="n">
        <v>0</v>
      </c>
      <c r="J812" t="n">
        <v>0</v>
      </c>
      <c r="K812" t="n">
        <v>0</v>
      </c>
      <c r="L812" t="n">
        <v>0</v>
      </c>
      <c r="M812" t="n">
        <v>0</v>
      </c>
      <c r="N812" t="n">
        <v>0</v>
      </c>
      <c r="O812" t="n">
        <v>0</v>
      </c>
      <c r="P812" t="n">
        <v>0</v>
      </c>
      <c r="Q812" t="n">
        <v>0</v>
      </c>
      <c r="R812" s="2" t="inlineStr"/>
    </row>
    <row r="813" ht="15" customHeight="1">
      <c r="A813" t="inlineStr">
        <is>
          <t>A 53103-2025</t>
        </is>
      </c>
      <c r="B813" s="1" t="n">
        <v>45958.43097222222</v>
      </c>
      <c r="C813" s="1" t="n">
        <v>46081</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53022-2025</t>
        </is>
      </c>
      <c r="B814" s="1" t="n">
        <v>45958.24024305555</v>
      </c>
      <c r="C814" s="1" t="n">
        <v>46081</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25495-2024</t>
        </is>
      </c>
      <c r="B815" s="1" t="n">
        <v>45463</v>
      </c>
      <c r="C815" s="1" t="n">
        <v>46081</v>
      </c>
      <c r="D815" t="inlineStr">
        <is>
          <t>VÄRMLANDS LÄN</t>
        </is>
      </c>
      <c r="E815" t="inlineStr">
        <is>
          <t>ÅRJÄNG</t>
        </is>
      </c>
      <c r="F815" t="inlineStr">
        <is>
          <t>Kyrkan</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11793-2023</t>
        </is>
      </c>
      <c r="B816" s="1" t="n">
        <v>44993</v>
      </c>
      <c r="C816" s="1" t="n">
        <v>46081</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14788-2025</t>
        </is>
      </c>
      <c r="B817" s="1" t="n">
        <v>45742.78112268518</v>
      </c>
      <c r="C817" s="1" t="n">
        <v>46081</v>
      </c>
      <c r="D817" t="inlineStr">
        <is>
          <t>VÄRMLANDS LÄN</t>
        </is>
      </c>
      <c r="E817" t="inlineStr">
        <is>
          <t>ÅRJÄNG</t>
        </is>
      </c>
      <c r="G817" t="n">
        <v>2.5</v>
      </c>
      <c r="H817" t="n">
        <v>0</v>
      </c>
      <c r="I817" t="n">
        <v>0</v>
      </c>
      <c r="J817" t="n">
        <v>0</v>
      </c>
      <c r="K817" t="n">
        <v>0</v>
      </c>
      <c r="L817" t="n">
        <v>0</v>
      </c>
      <c r="M817" t="n">
        <v>0</v>
      </c>
      <c r="N817" t="n">
        <v>0</v>
      </c>
      <c r="O817" t="n">
        <v>0</v>
      </c>
      <c r="P817" t="n">
        <v>0</v>
      </c>
      <c r="Q817" t="n">
        <v>0</v>
      </c>
      <c r="R817" s="2" t="inlineStr"/>
    </row>
    <row r="818" ht="15" customHeight="1">
      <c r="A818" t="inlineStr">
        <is>
          <t>A 53024-2025</t>
        </is>
      </c>
      <c r="B818" s="1" t="n">
        <v>45958.32211805556</v>
      </c>
      <c r="C818" s="1" t="n">
        <v>46081</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22032-2023</t>
        </is>
      </c>
      <c r="B819" s="1" t="n">
        <v>45069.35378472223</v>
      </c>
      <c r="C819" s="1" t="n">
        <v>46081</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32367-2023</t>
        </is>
      </c>
      <c r="B820" s="1" t="n">
        <v>45120.57167824074</v>
      </c>
      <c r="C820" s="1" t="n">
        <v>46081</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32373-2023</t>
        </is>
      </c>
      <c r="B821" s="1" t="n">
        <v>45120.58025462963</v>
      </c>
      <c r="C821" s="1" t="n">
        <v>46081</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56682-2021</t>
        </is>
      </c>
      <c r="B822" s="1" t="n">
        <v>44481</v>
      </c>
      <c r="C822" s="1" t="n">
        <v>46081</v>
      </c>
      <c r="D822" t="inlineStr">
        <is>
          <t>VÄRMLANDS LÄN</t>
        </is>
      </c>
      <c r="E822" t="inlineStr">
        <is>
          <t>ÅRJÄNG</t>
        </is>
      </c>
      <c r="G822" t="n">
        <v>2.5</v>
      </c>
      <c r="H822" t="n">
        <v>0</v>
      </c>
      <c r="I822" t="n">
        <v>0</v>
      </c>
      <c r="J822" t="n">
        <v>0</v>
      </c>
      <c r="K822" t="n">
        <v>0</v>
      </c>
      <c r="L822" t="n">
        <v>0</v>
      </c>
      <c r="M822" t="n">
        <v>0</v>
      </c>
      <c r="N822" t="n">
        <v>0</v>
      </c>
      <c r="O822" t="n">
        <v>0</v>
      </c>
      <c r="P822" t="n">
        <v>0</v>
      </c>
      <c r="Q822" t="n">
        <v>0</v>
      </c>
      <c r="R822" s="2" t="inlineStr"/>
    </row>
    <row r="823" ht="15" customHeight="1">
      <c r="A823" t="inlineStr">
        <is>
          <t>A 3968-2025</t>
        </is>
      </c>
      <c r="B823" s="1" t="n">
        <v>45684.51925925926</v>
      </c>
      <c r="C823" s="1" t="n">
        <v>46081</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52773-2022</t>
        </is>
      </c>
      <c r="B824" s="1" t="n">
        <v>44875.35628472222</v>
      </c>
      <c r="C824" s="1" t="n">
        <v>46081</v>
      </c>
      <c r="D824" t="inlineStr">
        <is>
          <t>VÄRMLANDS LÄN</t>
        </is>
      </c>
      <c r="E824" t="inlineStr">
        <is>
          <t>ÅRJÄNG</t>
        </is>
      </c>
      <c r="G824" t="n">
        <v>4.1</v>
      </c>
      <c r="H824" t="n">
        <v>0</v>
      </c>
      <c r="I824" t="n">
        <v>0</v>
      </c>
      <c r="J824" t="n">
        <v>0</v>
      </c>
      <c r="K824" t="n">
        <v>0</v>
      </c>
      <c r="L824" t="n">
        <v>0</v>
      </c>
      <c r="M824" t="n">
        <v>0</v>
      </c>
      <c r="N824" t="n">
        <v>0</v>
      </c>
      <c r="O824" t="n">
        <v>0</v>
      </c>
      <c r="P824" t="n">
        <v>0</v>
      </c>
      <c r="Q824" t="n">
        <v>0</v>
      </c>
      <c r="R824" s="2" t="inlineStr"/>
    </row>
    <row r="825" ht="15" customHeight="1">
      <c r="A825" t="inlineStr">
        <is>
          <t>A 53160-2025</t>
        </is>
      </c>
      <c r="B825" s="1" t="n">
        <v>45958.49123842592</v>
      </c>
      <c r="C825" s="1" t="n">
        <v>46081</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53073-2025</t>
        </is>
      </c>
      <c r="B826" s="1" t="n">
        <v>45958.38311342592</v>
      </c>
      <c r="C826" s="1" t="n">
        <v>46081</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53158-2025</t>
        </is>
      </c>
      <c r="B827" s="1" t="n">
        <v>45958.49064814814</v>
      </c>
      <c r="C827" s="1" t="n">
        <v>46081</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52855-2025</t>
        </is>
      </c>
      <c r="B828" s="1" t="n">
        <v>45957.50030092592</v>
      </c>
      <c r="C828" s="1" t="n">
        <v>46081</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6562-2023</t>
        </is>
      </c>
      <c r="B829" s="1" t="n">
        <v>44966</v>
      </c>
      <c r="C829" s="1" t="n">
        <v>46081</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53298-2025</t>
        </is>
      </c>
      <c r="B830" s="1" t="n">
        <v>45959.23447916667</v>
      </c>
      <c r="C830" s="1" t="n">
        <v>46081</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57178-2023</t>
        </is>
      </c>
      <c r="B831" s="1" t="n">
        <v>45240</v>
      </c>
      <c r="C831" s="1" t="n">
        <v>46081</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15574-2025</t>
        </is>
      </c>
      <c r="B832" s="1" t="n">
        <v>45747</v>
      </c>
      <c r="C832" s="1" t="n">
        <v>46081</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53642-2025</t>
        </is>
      </c>
      <c r="B833" s="1" t="n">
        <v>45960.51290509259</v>
      </c>
      <c r="C833" s="1" t="n">
        <v>46081</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53751-2025</t>
        </is>
      </c>
      <c r="B834" s="1" t="n">
        <v>45960.65855324074</v>
      </c>
      <c r="C834" s="1" t="n">
        <v>46081</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53752-2025</t>
        </is>
      </c>
      <c r="B835" s="1" t="n">
        <v>45960.66131944444</v>
      </c>
      <c r="C835" s="1" t="n">
        <v>46081</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71472-2021</t>
        </is>
      </c>
      <c r="B836" s="1" t="n">
        <v>44540</v>
      </c>
      <c r="C836" s="1" t="n">
        <v>46081</v>
      </c>
      <c r="D836" t="inlineStr">
        <is>
          <t>VÄRMLANDS LÄN</t>
        </is>
      </c>
      <c r="E836" t="inlineStr">
        <is>
          <t>ÅRJÄNG</t>
        </is>
      </c>
      <c r="G836" t="n">
        <v>1.9</v>
      </c>
      <c r="H836" t="n">
        <v>0</v>
      </c>
      <c r="I836" t="n">
        <v>0</v>
      </c>
      <c r="J836" t="n">
        <v>0</v>
      </c>
      <c r="K836" t="n">
        <v>0</v>
      </c>
      <c r="L836" t="n">
        <v>0</v>
      </c>
      <c r="M836" t="n">
        <v>0</v>
      </c>
      <c r="N836" t="n">
        <v>0</v>
      </c>
      <c r="O836" t="n">
        <v>0</v>
      </c>
      <c r="P836" t="n">
        <v>0</v>
      </c>
      <c r="Q836" t="n">
        <v>0</v>
      </c>
      <c r="R836" s="2" t="inlineStr"/>
    </row>
    <row r="837" ht="15" customHeight="1">
      <c r="A837" t="inlineStr">
        <is>
          <t>A 54155-2025</t>
        </is>
      </c>
      <c r="B837" s="1" t="n">
        <v>45964.49306712963</v>
      </c>
      <c r="C837" s="1" t="n">
        <v>46081</v>
      </c>
      <c r="D837" t="inlineStr">
        <is>
          <t>VÄRMLANDS LÄN</t>
        </is>
      </c>
      <c r="E837" t="inlineStr">
        <is>
          <t>ÅRJÄNG</t>
        </is>
      </c>
      <c r="G837" t="n">
        <v>7.2</v>
      </c>
      <c r="H837" t="n">
        <v>0</v>
      </c>
      <c r="I837" t="n">
        <v>0</v>
      </c>
      <c r="J837" t="n">
        <v>0</v>
      </c>
      <c r="K837" t="n">
        <v>0</v>
      </c>
      <c r="L837" t="n">
        <v>0</v>
      </c>
      <c r="M837" t="n">
        <v>0</v>
      </c>
      <c r="N837" t="n">
        <v>0</v>
      </c>
      <c r="O837" t="n">
        <v>0</v>
      </c>
      <c r="P837" t="n">
        <v>0</v>
      </c>
      <c r="Q837" t="n">
        <v>0</v>
      </c>
      <c r="R837" s="2" t="inlineStr"/>
    </row>
    <row r="838" ht="15" customHeight="1">
      <c r="A838" t="inlineStr">
        <is>
          <t>A 56329-2024</t>
        </is>
      </c>
      <c r="B838" s="1" t="n">
        <v>45624.79435185185</v>
      </c>
      <c r="C838" s="1" t="n">
        <v>46081</v>
      </c>
      <c r="D838" t="inlineStr">
        <is>
          <t>VÄRMLANDS LÄN</t>
        </is>
      </c>
      <c r="E838" t="inlineStr">
        <is>
          <t>ÅRJÄNG</t>
        </is>
      </c>
      <c r="G838" t="n">
        <v>4.6</v>
      </c>
      <c r="H838" t="n">
        <v>0</v>
      </c>
      <c r="I838" t="n">
        <v>0</v>
      </c>
      <c r="J838" t="n">
        <v>0</v>
      </c>
      <c r="K838" t="n">
        <v>0</v>
      </c>
      <c r="L838" t="n">
        <v>0</v>
      </c>
      <c r="M838" t="n">
        <v>0</v>
      </c>
      <c r="N838" t="n">
        <v>0</v>
      </c>
      <c r="O838" t="n">
        <v>0</v>
      </c>
      <c r="P838" t="n">
        <v>0</v>
      </c>
      <c r="Q838" t="n">
        <v>0</v>
      </c>
      <c r="R838" s="2" t="inlineStr"/>
    </row>
    <row r="839" ht="15" customHeight="1">
      <c r="A839" t="inlineStr">
        <is>
          <t>A 53929-2025</t>
        </is>
      </c>
      <c r="B839" s="1" t="n">
        <v>45961</v>
      </c>
      <c r="C839" s="1" t="n">
        <v>46081</v>
      </c>
      <c r="D839" t="inlineStr">
        <is>
          <t>VÄRMLANDS LÄN</t>
        </is>
      </c>
      <c r="E839" t="inlineStr">
        <is>
          <t>ÅRJÄNG</t>
        </is>
      </c>
      <c r="F839" t="inlineStr">
        <is>
          <t>Bergvik skog väst AB</t>
        </is>
      </c>
      <c r="G839" t="n">
        <v>34.3</v>
      </c>
      <c r="H839" t="n">
        <v>0</v>
      </c>
      <c r="I839" t="n">
        <v>0</v>
      </c>
      <c r="J839" t="n">
        <v>0</v>
      </c>
      <c r="K839" t="n">
        <v>0</v>
      </c>
      <c r="L839" t="n">
        <v>0</v>
      </c>
      <c r="M839" t="n">
        <v>0</v>
      </c>
      <c r="N839" t="n">
        <v>0</v>
      </c>
      <c r="O839" t="n">
        <v>0</v>
      </c>
      <c r="P839" t="n">
        <v>0</v>
      </c>
      <c r="Q839" t="n">
        <v>0</v>
      </c>
      <c r="R839" s="2" t="inlineStr"/>
    </row>
    <row r="840" ht="15" customHeight="1">
      <c r="A840" t="inlineStr">
        <is>
          <t>A 54111-2025</t>
        </is>
      </c>
      <c r="B840" s="1" t="n">
        <v>45964.43324074074</v>
      </c>
      <c r="C840" s="1" t="n">
        <v>46081</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54129-2025</t>
        </is>
      </c>
      <c r="B841" s="1" t="n">
        <v>45964.46063657408</v>
      </c>
      <c r="C841" s="1" t="n">
        <v>46081</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54159-2025</t>
        </is>
      </c>
      <c r="B842" s="1" t="n">
        <v>45964.50344907407</v>
      </c>
      <c r="C842" s="1" t="n">
        <v>46081</v>
      </c>
      <c r="D842" t="inlineStr">
        <is>
          <t>VÄRMLANDS LÄN</t>
        </is>
      </c>
      <c r="E842" t="inlineStr">
        <is>
          <t>ÅRJÄNG</t>
        </is>
      </c>
      <c r="G842" t="n">
        <v>1.7</v>
      </c>
      <c r="H842" t="n">
        <v>0</v>
      </c>
      <c r="I842" t="n">
        <v>0</v>
      </c>
      <c r="J842" t="n">
        <v>0</v>
      </c>
      <c r="K842" t="n">
        <v>0</v>
      </c>
      <c r="L842" t="n">
        <v>0</v>
      </c>
      <c r="M842" t="n">
        <v>0</v>
      </c>
      <c r="N842" t="n">
        <v>0</v>
      </c>
      <c r="O842" t="n">
        <v>0</v>
      </c>
      <c r="P842" t="n">
        <v>0</v>
      </c>
      <c r="Q842" t="n">
        <v>0</v>
      </c>
      <c r="R842" s="2" t="inlineStr"/>
    </row>
    <row r="843" ht="15" customHeight="1">
      <c r="A843" t="inlineStr">
        <is>
          <t>A 19621-2025</t>
        </is>
      </c>
      <c r="B843" s="1" t="n">
        <v>45770</v>
      </c>
      <c r="C843" s="1" t="n">
        <v>46081</v>
      </c>
      <c r="D843" t="inlineStr">
        <is>
          <t>VÄRMLANDS LÄN</t>
        </is>
      </c>
      <c r="E843" t="inlineStr">
        <is>
          <t>ÅRJÄNG</t>
        </is>
      </c>
      <c r="F843" t="inlineStr">
        <is>
          <t>Övriga Aktiebolag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7098-2024</t>
        </is>
      </c>
      <c r="B844" s="1" t="n">
        <v>45343</v>
      </c>
      <c r="C844" s="1" t="n">
        <v>46081</v>
      </c>
      <c r="D844" t="inlineStr">
        <is>
          <t>VÄRMLANDS LÄN</t>
        </is>
      </c>
      <c r="E844" t="inlineStr">
        <is>
          <t>ÅRJÄNG</t>
        </is>
      </c>
      <c r="G844" t="n">
        <v>5</v>
      </c>
      <c r="H844" t="n">
        <v>0</v>
      </c>
      <c r="I844" t="n">
        <v>0</v>
      </c>
      <c r="J844" t="n">
        <v>0</v>
      </c>
      <c r="K844" t="n">
        <v>0</v>
      </c>
      <c r="L844" t="n">
        <v>0</v>
      </c>
      <c r="M844" t="n">
        <v>0</v>
      </c>
      <c r="N844" t="n">
        <v>0</v>
      </c>
      <c r="O844" t="n">
        <v>0</v>
      </c>
      <c r="P844" t="n">
        <v>0</v>
      </c>
      <c r="Q844" t="n">
        <v>0</v>
      </c>
      <c r="R844" s="2" t="inlineStr"/>
    </row>
    <row r="845" ht="15" customHeight="1">
      <c r="A845" t="inlineStr">
        <is>
          <t>A 7100-2024</t>
        </is>
      </c>
      <c r="B845" s="1" t="n">
        <v>45343</v>
      </c>
      <c r="C845" s="1" t="n">
        <v>46081</v>
      </c>
      <c r="D845" t="inlineStr">
        <is>
          <t>VÄRMLANDS LÄN</t>
        </is>
      </c>
      <c r="E845" t="inlineStr">
        <is>
          <t>ÅRJÄNG</t>
        </is>
      </c>
      <c r="G845" t="n">
        <v>6.5</v>
      </c>
      <c r="H845" t="n">
        <v>0</v>
      </c>
      <c r="I845" t="n">
        <v>0</v>
      </c>
      <c r="J845" t="n">
        <v>0</v>
      </c>
      <c r="K845" t="n">
        <v>0</v>
      </c>
      <c r="L845" t="n">
        <v>0</v>
      </c>
      <c r="M845" t="n">
        <v>0</v>
      </c>
      <c r="N845" t="n">
        <v>0</v>
      </c>
      <c r="O845" t="n">
        <v>0</v>
      </c>
      <c r="P845" t="n">
        <v>0</v>
      </c>
      <c r="Q845" t="n">
        <v>0</v>
      </c>
      <c r="R845" s="2" t="inlineStr"/>
    </row>
    <row r="846" ht="15" customHeight="1">
      <c r="A846" t="inlineStr">
        <is>
          <t>A 45651-2024</t>
        </is>
      </c>
      <c r="B846" s="1" t="n">
        <v>45579</v>
      </c>
      <c r="C846" s="1" t="n">
        <v>46081</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70591-2021</t>
        </is>
      </c>
      <c r="B847" s="1" t="n">
        <v>44537.41471064815</v>
      </c>
      <c r="C847" s="1" t="n">
        <v>46081</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54430-2025</t>
        </is>
      </c>
      <c r="B848" s="1" t="n">
        <v>45965.49414351852</v>
      </c>
      <c r="C848" s="1" t="n">
        <v>46081</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36563-2024</t>
        </is>
      </c>
      <c r="B849" s="1" t="n">
        <v>45537</v>
      </c>
      <c r="C849" s="1" t="n">
        <v>46081</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58491-2023</t>
        </is>
      </c>
      <c r="B850" s="1" t="n">
        <v>45246</v>
      </c>
      <c r="C850" s="1" t="n">
        <v>46081</v>
      </c>
      <c r="D850" t="inlineStr">
        <is>
          <t>VÄRMLANDS LÄN</t>
        </is>
      </c>
      <c r="E850" t="inlineStr">
        <is>
          <t>ÅRJÄNG</t>
        </is>
      </c>
      <c r="G850" t="n">
        <v>11.4</v>
      </c>
      <c r="H850" t="n">
        <v>0</v>
      </c>
      <c r="I850" t="n">
        <v>0</v>
      </c>
      <c r="J850" t="n">
        <v>0</v>
      </c>
      <c r="K850" t="n">
        <v>0</v>
      </c>
      <c r="L850" t="n">
        <v>0</v>
      </c>
      <c r="M850" t="n">
        <v>0</v>
      </c>
      <c r="N850" t="n">
        <v>0</v>
      </c>
      <c r="O850" t="n">
        <v>0</v>
      </c>
      <c r="P850" t="n">
        <v>0</v>
      </c>
      <c r="Q850" t="n">
        <v>0</v>
      </c>
      <c r="R850" s="2" t="inlineStr"/>
    </row>
    <row r="851" ht="15" customHeight="1">
      <c r="A851" t="inlineStr">
        <is>
          <t>A 60191-2023</t>
        </is>
      </c>
      <c r="B851" s="1" t="n">
        <v>45257</v>
      </c>
      <c r="C851" s="1" t="n">
        <v>46081</v>
      </c>
      <c r="D851" t="inlineStr">
        <is>
          <t>VÄRMLANDS LÄN</t>
        </is>
      </c>
      <c r="E851" t="inlineStr">
        <is>
          <t>ÅRJÄNG</t>
        </is>
      </c>
      <c r="G851" t="n">
        <v>7.6</v>
      </c>
      <c r="H851" t="n">
        <v>0</v>
      </c>
      <c r="I851" t="n">
        <v>0</v>
      </c>
      <c r="J851" t="n">
        <v>0</v>
      </c>
      <c r="K851" t="n">
        <v>0</v>
      </c>
      <c r="L851" t="n">
        <v>0</v>
      </c>
      <c r="M851" t="n">
        <v>0</v>
      </c>
      <c r="N851" t="n">
        <v>0</v>
      </c>
      <c r="O851" t="n">
        <v>0</v>
      </c>
      <c r="P851" t="n">
        <v>0</v>
      </c>
      <c r="Q851" t="n">
        <v>0</v>
      </c>
      <c r="R851" s="2" t="inlineStr"/>
    </row>
    <row r="852" ht="15" customHeight="1">
      <c r="A852" t="inlineStr">
        <is>
          <t>A 54418-2025</t>
        </is>
      </c>
      <c r="B852" s="1" t="n">
        <v>45965.48027777778</v>
      </c>
      <c r="C852" s="1" t="n">
        <v>46081</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54420-2025</t>
        </is>
      </c>
      <c r="B853" s="1" t="n">
        <v>45965.4834837963</v>
      </c>
      <c r="C853" s="1" t="n">
        <v>46081</v>
      </c>
      <c r="D853" t="inlineStr">
        <is>
          <t>VÄRMLANDS LÄN</t>
        </is>
      </c>
      <c r="E853" t="inlineStr">
        <is>
          <t>ÅRJÄNG</t>
        </is>
      </c>
      <c r="G853" t="n">
        <v>1.2</v>
      </c>
      <c r="H853" t="n">
        <v>0</v>
      </c>
      <c r="I853" t="n">
        <v>0</v>
      </c>
      <c r="J853" t="n">
        <v>0</v>
      </c>
      <c r="K853" t="n">
        <v>0</v>
      </c>
      <c r="L853" t="n">
        <v>0</v>
      </c>
      <c r="M853" t="n">
        <v>0</v>
      </c>
      <c r="N853" t="n">
        <v>0</v>
      </c>
      <c r="O853" t="n">
        <v>0</v>
      </c>
      <c r="P853" t="n">
        <v>0</v>
      </c>
      <c r="Q853" t="n">
        <v>0</v>
      </c>
      <c r="R853" s="2" t="inlineStr"/>
    </row>
    <row r="854" ht="15" customHeight="1">
      <c r="A854" t="inlineStr">
        <is>
          <t>A 4784-2023</t>
        </is>
      </c>
      <c r="B854" s="1" t="n">
        <v>44957.59476851852</v>
      </c>
      <c r="C854" s="1" t="n">
        <v>46081</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55901-2023</t>
        </is>
      </c>
      <c r="B855" s="1" t="n">
        <v>45239.86618055555</v>
      </c>
      <c r="C855" s="1" t="n">
        <v>46081</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43029-2021</t>
        </is>
      </c>
      <c r="B856" s="1" t="n">
        <v>44431.49302083333</v>
      </c>
      <c r="C856" s="1" t="n">
        <v>46081</v>
      </c>
      <c r="D856" t="inlineStr">
        <is>
          <t>VÄRMLANDS LÄN</t>
        </is>
      </c>
      <c r="E856" t="inlineStr">
        <is>
          <t>ÅRJÄNG</t>
        </is>
      </c>
      <c r="G856" t="n">
        <v>5.5</v>
      </c>
      <c r="H856" t="n">
        <v>0</v>
      </c>
      <c r="I856" t="n">
        <v>0</v>
      </c>
      <c r="J856" t="n">
        <v>0</v>
      </c>
      <c r="K856" t="n">
        <v>0</v>
      </c>
      <c r="L856" t="n">
        <v>0</v>
      </c>
      <c r="M856" t="n">
        <v>0</v>
      </c>
      <c r="N856" t="n">
        <v>0</v>
      </c>
      <c r="O856" t="n">
        <v>0</v>
      </c>
      <c r="P856" t="n">
        <v>0</v>
      </c>
      <c r="Q856" t="n">
        <v>0</v>
      </c>
      <c r="R856" s="2" t="inlineStr"/>
    </row>
    <row r="857" ht="15" customHeight="1">
      <c r="A857" t="inlineStr">
        <is>
          <t>A 69839-2021</t>
        </is>
      </c>
      <c r="B857" s="1" t="n">
        <v>44532</v>
      </c>
      <c r="C857" s="1" t="n">
        <v>46081</v>
      </c>
      <c r="D857" t="inlineStr">
        <is>
          <t>VÄRMLANDS LÄN</t>
        </is>
      </c>
      <c r="E857" t="inlineStr">
        <is>
          <t>ÅRJÄNG</t>
        </is>
      </c>
      <c r="G857" t="n">
        <v>3.1</v>
      </c>
      <c r="H857" t="n">
        <v>0</v>
      </c>
      <c r="I857" t="n">
        <v>0</v>
      </c>
      <c r="J857" t="n">
        <v>0</v>
      </c>
      <c r="K857" t="n">
        <v>0</v>
      </c>
      <c r="L857" t="n">
        <v>0</v>
      </c>
      <c r="M857" t="n">
        <v>0</v>
      </c>
      <c r="N857" t="n">
        <v>0</v>
      </c>
      <c r="O857" t="n">
        <v>0</v>
      </c>
      <c r="P857" t="n">
        <v>0</v>
      </c>
      <c r="Q857" t="n">
        <v>0</v>
      </c>
      <c r="R857" s="2" t="inlineStr"/>
    </row>
    <row r="858" ht="15" customHeight="1">
      <c r="A858" t="inlineStr">
        <is>
          <t>A 54962-2025</t>
        </is>
      </c>
      <c r="B858" s="1" t="n">
        <v>45967.4825462963</v>
      </c>
      <c r="C858" s="1" t="n">
        <v>46081</v>
      </c>
      <c r="D858" t="inlineStr">
        <is>
          <t>VÄRMLANDS LÄN</t>
        </is>
      </c>
      <c r="E858" t="inlineStr">
        <is>
          <t>ÅRJÄNG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1377-2023</t>
        </is>
      </c>
      <c r="B859" s="1" t="n">
        <v>44936.67111111111</v>
      </c>
      <c r="C859" s="1" t="n">
        <v>46081</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54990-2025</t>
        </is>
      </c>
      <c r="B860" s="1" t="n">
        <v>45967.57292824074</v>
      </c>
      <c r="C860" s="1" t="n">
        <v>46081</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3734-2023</t>
        </is>
      </c>
      <c r="B861" s="1" t="n">
        <v>44948</v>
      </c>
      <c r="C861" s="1" t="n">
        <v>46081</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34350-2023</t>
        </is>
      </c>
      <c r="B862" s="1" t="n">
        <v>45139.40969907407</v>
      </c>
      <c r="C862" s="1" t="n">
        <v>46081</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7619-2023</t>
        </is>
      </c>
      <c r="B863" s="1" t="n">
        <v>44967</v>
      </c>
      <c r="C863" s="1" t="n">
        <v>46081</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55017-2025</t>
        </is>
      </c>
      <c r="B864" s="1" t="n">
        <v>45967.61709490741</v>
      </c>
      <c r="C864" s="1" t="n">
        <v>46081</v>
      </c>
      <c r="D864" t="inlineStr">
        <is>
          <t>VÄRMLANDS LÄN</t>
        </is>
      </c>
      <c r="E864" t="inlineStr">
        <is>
          <t>ÅRJÄNG</t>
        </is>
      </c>
      <c r="G864" t="n">
        <v>10.2</v>
      </c>
      <c r="H864" t="n">
        <v>0</v>
      </c>
      <c r="I864" t="n">
        <v>0</v>
      </c>
      <c r="J864" t="n">
        <v>0</v>
      </c>
      <c r="K864" t="n">
        <v>0</v>
      </c>
      <c r="L864" t="n">
        <v>0</v>
      </c>
      <c r="M864" t="n">
        <v>0</v>
      </c>
      <c r="N864" t="n">
        <v>0</v>
      </c>
      <c r="O864" t="n">
        <v>0</v>
      </c>
      <c r="P864" t="n">
        <v>0</v>
      </c>
      <c r="Q864" t="n">
        <v>0</v>
      </c>
      <c r="R864" s="2" t="inlineStr"/>
    </row>
    <row r="865" ht="15" customHeight="1">
      <c r="A865" t="inlineStr">
        <is>
          <t>A 60377-2022</t>
        </is>
      </c>
      <c r="B865" s="1" t="n">
        <v>44904</v>
      </c>
      <c r="C865" s="1" t="n">
        <v>46081</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65844-2021</t>
        </is>
      </c>
      <c r="B866" s="1" t="n">
        <v>44517.36067129629</v>
      </c>
      <c r="C866" s="1" t="n">
        <v>46081</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55540-2025</t>
        </is>
      </c>
      <c r="B867" s="1" t="n">
        <v>45971.63444444445</v>
      </c>
      <c r="C867" s="1" t="n">
        <v>46081</v>
      </c>
      <c r="D867" t="inlineStr">
        <is>
          <t>VÄRMLANDS LÄN</t>
        </is>
      </c>
      <c r="E867" t="inlineStr">
        <is>
          <t>ÅRJÄNG</t>
        </is>
      </c>
      <c r="G867" t="n">
        <v>4.7</v>
      </c>
      <c r="H867" t="n">
        <v>0</v>
      </c>
      <c r="I867" t="n">
        <v>0</v>
      </c>
      <c r="J867" t="n">
        <v>0</v>
      </c>
      <c r="K867" t="n">
        <v>0</v>
      </c>
      <c r="L867" t="n">
        <v>0</v>
      </c>
      <c r="M867" t="n">
        <v>0</v>
      </c>
      <c r="N867" t="n">
        <v>0</v>
      </c>
      <c r="O867" t="n">
        <v>0</v>
      </c>
      <c r="P867" t="n">
        <v>0</v>
      </c>
      <c r="Q867" t="n">
        <v>0</v>
      </c>
      <c r="R867" s="2" t="inlineStr"/>
    </row>
    <row r="868" ht="15" customHeight="1">
      <c r="A868" t="inlineStr">
        <is>
          <t>A 55285-2025</t>
        </is>
      </c>
      <c r="B868" s="1" t="n">
        <v>45968.84447916667</v>
      </c>
      <c r="C868" s="1" t="n">
        <v>46081</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46315-2024</t>
        </is>
      </c>
      <c r="B869" s="1" t="n">
        <v>45581.73703703703</v>
      </c>
      <c r="C869" s="1" t="n">
        <v>46081</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55592-2025</t>
        </is>
      </c>
      <c r="B870" s="1" t="n">
        <v>45971</v>
      </c>
      <c r="C870" s="1" t="n">
        <v>46081</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14910-2025</t>
        </is>
      </c>
      <c r="B871" s="1" t="n">
        <v>45743.52327546296</v>
      </c>
      <c r="C871" s="1" t="n">
        <v>46081</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55662-2025</t>
        </is>
      </c>
      <c r="B872" s="1" t="n">
        <v>45972.39572916667</v>
      </c>
      <c r="C872" s="1" t="n">
        <v>46081</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55277-2025</t>
        </is>
      </c>
      <c r="B873" s="1" t="n">
        <v>45968.77537037037</v>
      </c>
      <c r="C873" s="1" t="n">
        <v>46081</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55534-2025</t>
        </is>
      </c>
      <c r="B874" s="1" t="n">
        <v>45971.63193287037</v>
      </c>
      <c r="C874" s="1" t="n">
        <v>46081</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55276-2025</t>
        </is>
      </c>
      <c r="B875" s="1" t="n">
        <v>45968.76534722222</v>
      </c>
      <c r="C875" s="1" t="n">
        <v>46081</v>
      </c>
      <c r="D875" t="inlineStr">
        <is>
          <t>VÄRMLANDS LÄN</t>
        </is>
      </c>
      <c r="E875" t="inlineStr">
        <is>
          <t>ÅRJÄNG</t>
        </is>
      </c>
      <c r="G875" t="n">
        <v>2.8</v>
      </c>
      <c r="H875" t="n">
        <v>0</v>
      </c>
      <c r="I875" t="n">
        <v>0</v>
      </c>
      <c r="J875" t="n">
        <v>0</v>
      </c>
      <c r="K875" t="n">
        <v>0</v>
      </c>
      <c r="L875" t="n">
        <v>0</v>
      </c>
      <c r="M875" t="n">
        <v>0</v>
      </c>
      <c r="N875" t="n">
        <v>0</v>
      </c>
      <c r="O875" t="n">
        <v>0</v>
      </c>
      <c r="P875" t="n">
        <v>0</v>
      </c>
      <c r="Q875" t="n">
        <v>0</v>
      </c>
      <c r="R875" s="2" t="inlineStr"/>
    </row>
    <row r="876" ht="15" customHeight="1">
      <c r="A876" t="inlineStr">
        <is>
          <t>A 56096-2025</t>
        </is>
      </c>
      <c r="B876" s="1" t="n">
        <v>45973.68275462963</v>
      </c>
      <c r="C876" s="1" t="n">
        <v>46081</v>
      </c>
      <c r="D876" t="inlineStr">
        <is>
          <t>VÄRMLANDS LÄN</t>
        </is>
      </c>
      <c r="E876" t="inlineStr">
        <is>
          <t>ÅRJÄNG</t>
        </is>
      </c>
      <c r="F876" t="inlineStr">
        <is>
          <t>Kyrkan</t>
        </is>
      </c>
      <c r="G876" t="n">
        <v>10.5</v>
      </c>
      <c r="H876" t="n">
        <v>0</v>
      </c>
      <c r="I876" t="n">
        <v>0</v>
      </c>
      <c r="J876" t="n">
        <v>0</v>
      </c>
      <c r="K876" t="n">
        <v>0</v>
      </c>
      <c r="L876" t="n">
        <v>0</v>
      </c>
      <c r="M876" t="n">
        <v>0</v>
      </c>
      <c r="N876" t="n">
        <v>0</v>
      </c>
      <c r="O876" t="n">
        <v>0</v>
      </c>
      <c r="P876" t="n">
        <v>0</v>
      </c>
      <c r="Q876" t="n">
        <v>0</v>
      </c>
      <c r="R876" s="2" t="inlineStr"/>
    </row>
    <row r="877" ht="15" customHeight="1">
      <c r="A877" t="inlineStr">
        <is>
          <t>A 37220-2024</t>
        </is>
      </c>
      <c r="B877" s="1" t="n">
        <v>45539.84837962963</v>
      </c>
      <c r="C877" s="1" t="n">
        <v>46081</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12006-2023</t>
        </is>
      </c>
      <c r="B878" s="1" t="n">
        <v>44995.61495370371</v>
      </c>
      <c r="C878" s="1" t="n">
        <v>46081</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56027-2025</t>
        </is>
      </c>
      <c r="B879" s="1" t="n">
        <v>45973.59994212963</v>
      </c>
      <c r="C879" s="1" t="n">
        <v>46081</v>
      </c>
      <c r="D879" t="inlineStr">
        <is>
          <t>VÄRMLANDS LÄN</t>
        </is>
      </c>
      <c r="E879" t="inlineStr">
        <is>
          <t>ÅRJÄNG</t>
        </is>
      </c>
      <c r="G879" t="n">
        <v>2.7</v>
      </c>
      <c r="H879" t="n">
        <v>0</v>
      </c>
      <c r="I879" t="n">
        <v>0</v>
      </c>
      <c r="J879" t="n">
        <v>0</v>
      </c>
      <c r="K879" t="n">
        <v>0</v>
      </c>
      <c r="L879" t="n">
        <v>0</v>
      </c>
      <c r="M879" t="n">
        <v>0</v>
      </c>
      <c r="N879" t="n">
        <v>0</v>
      </c>
      <c r="O879" t="n">
        <v>0</v>
      </c>
      <c r="P879" t="n">
        <v>0</v>
      </c>
      <c r="Q879" t="n">
        <v>0</v>
      </c>
      <c r="R879" s="2" t="inlineStr"/>
    </row>
    <row r="880" ht="15" customHeight="1">
      <c r="A880" t="inlineStr">
        <is>
          <t>A 52803-2024</t>
        </is>
      </c>
      <c r="B880" s="1" t="n">
        <v>45610</v>
      </c>
      <c r="C880" s="1" t="n">
        <v>46081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6405-2024</t>
        </is>
      </c>
      <c r="B881" s="1" t="n">
        <v>45338</v>
      </c>
      <c r="C881" s="1" t="n">
        <v>46081</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13859-2023</t>
        </is>
      </c>
      <c r="B882" s="1" t="n">
        <v>45007.63384259259</v>
      </c>
      <c r="C882" s="1" t="n">
        <v>46081</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63796-2021</t>
        </is>
      </c>
      <c r="B883" s="1" t="n">
        <v>44509</v>
      </c>
      <c r="C883" s="1" t="n">
        <v>46081</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50941-2023</t>
        </is>
      </c>
      <c r="B884" s="1" t="n">
        <v>45218</v>
      </c>
      <c r="C884" s="1" t="n">
        <v>46081</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57651-2024</t>
        </is>
      </c>
      <c r="B885" s="1" t="n">
        <v>45630</v>
      </c>
      <c r="C885" s="1" t="n">
        <v>46081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35133-2024</t>
        </is>
      </c>
      <c r="B886" s="1" t="n">
        <v>45529</v>
      </c>
      <c r="C886" s="1" t="n">
        <v>46081</v>
      </c>
      <c r="D886" t="inlineStr">
        <is>
          <t>VÄRMLANDS LÄN</t>
        </is>
      </c>
      <c r="E886" t="inlineStr">
        <is>
          <t>ÅRJÄNG</t>
        </is>
      </c>
      <c r="G886" t="n">
        <v>10.2</v>
      </c>
      <c r="H886" t="n">
        <v>0</v>
      </c>
      <c r="I886" t="n">
        <v>0</v>
      </c>
      <c r="J886" t="n">
        <v>0</v>
      </c>
      <c r="K886" t="n">
        <v>0</v>
      </c>
      <c r="L886" t="n">
        <v>0</v>
      </c>
      <c r="M886" t="n">
        <v>0</v>
      </c>
      <c r="N886" t="n">
        <v>0</v>
      </c>
      <c r="O886" t="n">
        <v>0</v>
      </c>
      <c r="P886" t="n">
        <v>0</v>
      </c>
      <c r="Q886" t="n">
        <v>0</v>
      </c>
      <c r="R886" s="2" t="inlineStr"/>
    </row>
    <row r="887" ht="15" customHeight="1">
      <c r="A887" t="inlineStr">
        <is>
          <t>A 4465-2022</t>
        </is>
      </c>
      <c r="B887" s="1" t="n">
        <v>44589.60690972222</v>
      </c>
      <c r="C887" s="1" t="n">
        <v>46081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58874-2023</t>
        </is>
      </c>
      <c r="B888" s="1" t="n">
        <v>45252</v>
      </c>
      <c r="C888" s="1" t="n">
        <v>46081</v>
      </c>
      <c r="D888" t="inlineStr">
        <is>
          <t>VÄRMLANDS LÄN</t>
        </is>
      </c>
      <c r="E888" t="inlineStr">
        <is>
          <t>ÅRJÄNG</t>
        </is>
      </c>
      <c r="G888" t="n">
        <v>2.5</v>
      </c>
      <c r="H888" t="n">
        <v>0</v>
      </c>
      <c r="I888" t="n">
        <v>0</v>
      </c>
      <c r="J888" t="n">
        <v>0</v>
      </c>
      <c r="K888" t="n">
        <v>0</v>
      </c>
      <c r="L888" t="n">
        <v>0</v>
      </c>
      <c r="M888" t="n">
        <v>0</v>
      </c>
      <c r="N888" t="n">
        <v>0</v>
      </c>
      <c r="O888" t="n">
        <v>0</v>
      </c>
      <c r="P888" t="n">
        <v>0</v>
      </c>
      <c r="Q888" t="n">
        <v>0</v>
      </c>
      <c r="R888" s="2" t="inlineStr"/>
    </row>
    <row r="889" ht="15" customHeight="1">
      <c r="A889" t="inlineStr">
        <is>
          <t>A 56629-2025</t>
        </is>
      </c>
      <c r="B889" s="1" t="n">
        <v>45975</v>
      </c>
      <c r="C889" s="1" t="n">
        <v>46081</v>
      </c>
      <c r="D889" t="inlineStr">
        <is>
          <t>VÄRMLANDS LÄN</t>
        </is>
      </c>
      <c r="E889" t="inlineStr">
        <is>
          <t>ÅRJÄNG</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62357-2021</t>
        </is>
      </c>
      <c r="B890" s="1" t="n">
        <v>44503.45271990741</v>
      </c>
      <c r="C890" s="1" t="n">
        <v>46081</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29204-2023</t>
        </is>
      </c>
      <c r="B891" s="1" t="n">
        <v>45105.5669212963</v>
      </c>
      <c r="C891" s="1" t="n">
        <v>46081</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38536-2024</t>
        </is>
      </c>
      <c r="B892" s="1" t="n">
        <v>45546.59431712963</v>
      </c>
      <c r="C892" s="1" t="n">
        <v>46081</v>
      </c>
      <c r="D892" t="inlineStr">
        <is>
          <t>VÄRMLANDS LÄN</t>
        </is>
      </c>
      <c r="E892" t="inlineStr">
        <is>
          <t>ÅRJÄNG</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57240-2025</t>
        </is>
      </c>
      <c r="B893" s="1" t="n">
        <v>45979.62587962963</v>
      </c>
      <c r="C893" s="1" t="n">
        <v>46081</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57301-2025</t>
        </is>
      </c>
      <c r="B894" s="1" t="n">
        <v>45979</v>
      </c>
      <c r="C894" s="1" t="n">
        <v>46081</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59336-2025</t>
        </is>
      </c>
      <c r="B895" s="1" t="n">
        <v>45979.67002314814</v>
      </c>
      <c r="C895" s="1" t="n">
        <v>46081</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57273-2025</t>
        </is>
      </c>
      <c r="B896" s="1" t="n">
        <v>45979.68439814815</v>
      </c>
      <c r="C896" s="1" t="n">
        <v>46081</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57439-2025</t>
        </is>
      </c>
      <c r="B897" s="1" t="n">
        <v>45980.48193287037</v>
      </c>
      <c r="C897" s="1" t="n">
        <v>46081</v>
      </c>
      <c r="D897" t="inlineStr">
        <is>
          <t>VÄRMLANDS LÄN</t>
        </is>
      </c>
      <c r="E897" t="inlineStr">
        <is>
          <t>ÅRJÄNG</t>
        </is>
      </c>
      <c r="G897" t="n">
        <v>4.4</v>
      </c>
      <c r="H897" t="n">
        <v>0</v>
      </c>
      <c r="I897" t="n">
        <v>0</v>
      </c>
      <c r="J897" t="n">
        <v>0</v>
      </c>
      <c r="K897" t="n">
        <v>0</v>
      </c>
      <c r="L897" t="n">
        <v>0</v>
      </c>
      <c r="M897" t="n">
        <v>0</v>
      </c>
      <c r="N897" t="n">
        <v>0</v>
      </c>
      <c r="O897" t="n">
        <v>0</v>
      </c>
      <c r="P897" t="n">
        <v>0</v>
      </c>
      <c r="Q897" t="n">
        <v>0</v>
      </c>
      <c r="R897" s="2" t="inlineStr"/>
    </row>
    <row r="898" ht="15" customHeight="1">
      <c r="A898" t="inlineStr">
        <is>
          <t>A 57078-2025</t>
        </is>
      </c>
      <c r="B898" s="1" t="n">
        <v>45979.40554398148</v>
      </c>
      <c r="C898" s="1" t="n">
        <v>46081</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17015-2023</t>
        </is>
      </c>
      <c r="B899" s="1" t="n">
        <v>45030</v>
      </c>
      <c r="C899" s="1" t="n">
        <v>46081</v>
      </c>
      <c r="D899" t="inlineStr">
        <is>
          <t>VÄRMLANDS LÄN</t>
        </is>
      </c>
      <c r="E899" t="inlineStr">
        <is>
          <t>ÅRJÄNG</t>
        </is>
      </c>
      <c r="F899" t="inlineStr">
        <is>
          <t>Övriga Aktiebolag</t>
        </is>
      </c>
      <c r="G899" t="n">
        <v>13.9</v>
      </c>
      <c r="H899" t="n">
        <v>0</v>
      </c>
      <c r="I899" t="n">
        <v>0</v>
      </c>
      <c r="J899" t="n">
        <v>0</v>
      </c>
      <c r="K899" t="n">
        <v>0</v>
      </c>
      <c r="L899" t="n">
        <v>0</v>
      </c>
      <c r="M899" t="n">
        <v>0</v>
      </c>
      <c r="N899" t="n">
        <v>0</v>
      </c>
      <c r="O899" t="n">
        <v>0</v>
      </c>
      <c r="P899" t="n">
        <v>0</v>
      </c>
      <c r="Q899" t="n">
        <v>0</v>
      </c>
      <c r="R899" s="2" t="inlineStr"/>
    </row>
    <row r="900" ht="15" customHeight="1">
      <c r="A900" t="inlineStr">
        <is>
          <t>A 57218-2025</t>
        </is>
      </c>
      <c r="B900" s="1" t="n">
        <v>45979.61164351852</v>
      </c>
      <c r="C900" s="1" t="n">
        <v>46081</v>
      </c>
      <c r="D900" t="inlineStr">
        <is>
          <t>VÄRMLANDS LÄN</t>
        </is>
      </c>
      <c r="E900" t="inlineStr">
        <is>
          <t>ÅRJÄNG</t>
        </is>
      </c>
      <c r="G900" t="n">
        <v>2.9</v>
      </c>
      <c r="H900" t="n">
        <v>0</v>
      </c>
      <c r="I900" t="n">
        <v>0</v>
      </c>
      <c r="J900" t="n">
        <v>0</v>
      </c>
      <c r="K900" t="n">
        <v>0</v>
      </c>
      <c r="L900" t="n">
        <v>0</v>
      </c>
      <c r="M900" t="n">
        <v>0</v>
      </c>
      <c r="N900" t="n">
        <v>0</v>
      </c>
      <c r="O900" t="n">
        <v>0</v>
      </c>
      <c r="P900" t="n">
        <v>0</v>
      </c>
      <c r="Q900" t="n">
        <v>0</v>
      </c>
      <c r="R900" s="2" t="inlineStr"/>
    </row>
    <row r="901" ht="15" customHeight="1">
      <c r="A901" t="inlineStr">
        <is>
          <t>A 57003-2025</t>
        </is>
      </c>
      <c r="B901" s="1" t="n">
        <v>45978.75783564815</v>
      </c>
      <c r="C901" s="1" t="n">
        <v>46081</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57004-2025</t>
        </is>
      </c>
      <c r="B902" s="1" t="n">
        <v>45978.75946759259</v>
      </c>
      <c r="C902" s="1" t="n">
        <v>46081</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57005-2025</t>
        </is>
      </c>
      <c r="B903" s="1" t="n">
        <v>45978.76155092593</v>
      </c>
      <c r="C903" s="1" t="n">
        <v>46081</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38840-2023</t>
        </is>
      </c>
      <c r="B904" s="1" t="n">
        <v>45163.48267361111</v>
      </c>
      <c r="C904" s="1" t="n">
        <v>46081</v>
      </c>
      <c r="D904" t="inlineStr">
        <is>
          <t>VÄRMLANDS LÄN</t>
        </is>
      </c>
      <c r="E904" t="inlineStr">
        <is>
          <t>ÅRJÄNG</t>
        </is>
      </c>
      <c r="G904" t="n">
        <v>2.4</v>
      </c>
      <c r="H904" t="n">
        <v>0</v>
      </c>
      <c r="I904" t="n">
        <v>0</v>
      </c>
      <c r="J904" t="n">
        <v>0</v>
      </c>
      <c r="K904" t="n">
        <v>0</v>
      </c>
      <c r="L904" t="n">
        <v>0</v>
      </c>
      <c r="M904" t="n">
        <v>0</v>
      </c>
      <c r="N904" t="n">
        <v>0</v>
      </c>
      <c r="O904" t="n">
        <v>0</v>
      </c>
      <c r="P904" t="n">
        <v>0</v>
      </c>
      <c r="Q904" t="n">
        <v>0</v>
      </c>
      <c r="R904" s="2" t="inlineStr"/>
    </row>
    <row r="905" ht="15" customHeight="1">
      <c r="A905" t="inlineStr">
        <is>
          <t>A 36195-2023</t>
        </is>
      </c>
      <c r="B905" s="1" t="n">
        <v>45149</v>
      </c>
      <c r="C905" s="1" t="n">
        <v>46081</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57740-2025</t>
        </is>
      </c>
      <c r="B906" s="1" t="n">
        <v>45981</v>
      </c>
      <c r="C906" s="1" t="n">
        <v>46081</v>
      </c>
      <c r="D906" t="inlineStr">
        <is>
          <t>VÄRMLANDS LÄN</t>
        </is>
      </c>
      <c r="E906" t="inlineStr">
        <is>
          <t>ÅRJÄNG</t>
        </is>
      </c>
      <c r="G906" t="n">
        <v>6.4</v>
      </c>
      <c r="H906" t="n">
        <v>0</v>
      </c>
      <c r="I906" t="n">
        <v>0</v>
      </c>
      <c r="J906" t="n">
        <v>0</v>
      </c>
      <c r="K906" t="n">
        <v>0</v>
      </c>
      <c r="L906" t="n">
        <v>0</v>
      </c>
      <c r="M906" t="n">
        <v>0</v>
      </c>
      <c r="N906" t="n">
        <v>0</v>
      </c>
      <c r="O906" t="n">
        <v>0</v>
      </c>
      <c r="P906" t="n">
        <v>0</v>
      </c>
      <c r="Q906" t="n">
        <v>0</v>
      </c>
      <c r="R906" s="2" t="inlineStr"/>
    </row>
    <row r="907" ht="15" customHeight="1">
      <c r="A907" t="inlineStr">
        <is>
          <t>A 7445-2024</t>
        </is>
      </c>
      <c r="B907" s="1" t="n">
        <v>45345.73023148148</v>
      </c>
      <c r="C907" s="1" t="n">
        <v>46081</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57741-2025</t>
        </is>
      </c>
      <c r="B908" s="1" t="n">
        <v>45981</v>
      </c>
      <c r="C908" s="1" t="n">
        <v>46081</v>
      </c>
      <c r="D908" t="inlineStr">
        <is>
          <t>VÄRMLANDS LÄN</t>
        </is>
      </c>
      <c r="E908" t="inlineStr">
        <is>
          <t>ÅRJÄNG</t>
        </is>
      </c>
      <c r="G908" t="n">
        <v>2.8</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46081</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57924-2025</t>
        </is>
      </c>
      <c r="B910" s="1" t="n">
        <v>45981</v>
      </c>
      <c r="C910" s="1" t="n">
        <v>46081</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45635-2024</t>
        </is>
      </c>
      <c r="B911" s="1" t="n">
        <v>45579</v>
      </c>
      <c r="C911" s="1" t="n">
        <v>46081</v>
      </c>
      <c r="D911" t="inlineStr">
        <is>
          <t>VÄRMLANDS LÄN</t>
        </is>
      </c>
      <c r="E911" t="inlineStr">
        <is>
          <t>ÅRJÄNG</t>
        </is>
      </c>
      <c r="G911" t="n">
        <v>9.1</v>
      </c>
      <c r="H911" t="n">
        <v>0</v>
      </c>
      <c r="I911" t="n">
        <v>0</v>
      </c>
      <c r="J911" t="n">
        <v>0</v>
      </c>
      <c r="K911" t="n">
        <v>0</v>
      </c>
      <c r="L911" t="n">
        <v>0</v>
      </c>
      <c r="M911" t="n">
        <v>0</v>
      </c>
      <c r="N911" t="n">
        <v>0</v>
      </c>
      <c r="O911" t="n">
        <v>0</v>
      </c>
      <c r="P911" t="n">
        <v>0</v>
      </c>
      <c r="Q911" t="n">
        <v>0</v>
      </c>
      <c r="R911" s="2" t="inlineStr"/>
    </row>
    <row r="912" ht="15" customHeight="1">
      <c r="A912" t="inlineStr">
        <is>
          <t>A 54382-2024</t>
        </is>
      </c>
      <c r="B912" s="1" t="n">
        <v>45617.44510416667</v>
      </c>
      <c r="C912" s="1" t="n">
        <v>46081</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56115-2024</t>
        </is>
      </c>
      <c r="B913" s="1" t="n">
        <v>45624.45351851852</v>
      </c>
      <c r="C913" s="1" t="n">
        <v>46081</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56116-2024</t>
        </is>
      </c>
      <c r="B914" s="1" t="n">
        <v>45624.45506944445</v>
      </c>
      <c r="C914" s="1" t="n">
        <v>46081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8625-2022</t>
        </is>
      </c>
      <c r="B915" s="1" t="n">
        <v>44613.61064814815</v>
      </c>
      <c r="C915" s="1" t="n">
        <v>46081</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57925-2025</t>
        </is>
      </c>
      <c r="B916" s="1" t="n">
        <v>45981.87783564815</v>
      </c>
      <c r="C916" s="1" t="n">
        <v>46081</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57929-2025</t>
        </is>
      </c>
      <c r="B917" s="1" t="n">
        <v>45981.89403935185</v>
      </c>
      <c r="C917" s="1" t="n">
        <v>46081</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36017-2024</t>
        </is>
      </c>
      <c r="B918" s="1" t="n">
        <v>45533</v>
      </c>
      <c r="C918" s="1" t="n">
        <v>46081</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58571-2025</t>
        </is>
      </c>
      <c r="B919" s="1" t="n">
        <v>45986.37361111111</v>
      </c>
      <c r="C919" s="1" t="n">
        <v>46081</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57152-2024</t>
        </is>
      </c>
      <c r="B920" s="1" t="n">
        <v>45628</v>
      </c>
      <c r="C920" s="1" t="n">
        <v>46081</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57158-2024</t>
        </is>
      </c>
      <c r="B921" s="1" t="n">
        <v>45628</v>
      </c>
      <c r="C921" s="1" t="n">
        <v>46081</v>
      </c>
      <c r="D921" t="inlineStr">
        <is>
          <t>VÄRMLANDS LÄN</t>
        </is>
      </c>
      <c r="E921" t="inlineStr">
        <is>
          <t>ÅRJÄNG</t>
        </is>
      </c>
      <c r="G921" t="n">
        <v>6.3</v>
      </c>
      <c r="H921" t="n">
        <v>0</v>
      </c>
      <c r="I921" t="n">
        <v>0</v>
      </c>
      <c r="J921" t="n">
        <v>0</v>
      </c>
      <c r="K921" t="n">
        <v>0</v>
      </c>
      <c r="L921" t="n">
        <v>0</v>
      </c>
      <c r="M921" t="n">
        <v>0</v>
      </c>
      <c r="N921" t="n">
        <v>0</v>
      </c>
      <c r="O921" t="n">
        <v>0</v>
      </c>
      <c r="P921" t="n">
        <v>0</v>
      </c>
      <c r="Q921" t="n">
        <v>0</v>
      </c>
      <c r="R921" s="2" t="inlineStr"/>
    </row>
    <row r="922" ht="15" customHeight="1">
      <c r="A922" t="inlineStr">
        <is>
          <t>A 55686-2024</t>
        </is>
      </c>
      <c r="B922" s="1" t="n">
        <v>45622</v>
      </c>
      <c r="C922" s="1" t="n">
        <v>46081</v>
      </c>
      <c r="D922" t="inlineStr">
        <is>
          <t>VÄRMLANDS LÄN</t>
        </is>
      </c>
      <c r="E922" t="inlineStr">
        <is>
          <t>ÅRJÄNG</t>
        </is>
      </c>
      <c r="G922" t="n">
        <v>1.9</v>
      </c>
      <c r="H922" t="n">
        <v>0</v>
      </c>
      <c r="I922" t="n">
        <v>0</v>
      </c>
      <c r="J922" t="n">
        <v>0</v>
      </c>
      <c r="K922" t="n">
        <v>0</v>
      </c>
      <c r="L922" t="n">
        <v>0</v>
      </c>
      <c r="M922" t="n">
        <v>0</v>
      </c>
      <c r="N922" t="n">
        <v>0</v>
      </c>
      <c r="O922" t="n">
        <v>0</v>
      </c>
      <c r="P922" t="n">
        <v>0</v>
      </c>
      <c r="Q922" t="n">
        <v>0</v>
      </c>
      <c r="R922" s="2" t="inlineStr"/>
    </row>
    <row r="923" ht="15" customHeight="1">
      <c r="A923" t="inlineStr">
        <is>
          <t>A 58540-2024</t>
        </is>
      </c>
      <c r="B923" s="1" t="n">
        <v>45635</v>
      </c>
      <c r="C923" s="1" t="n">
        <v>46081</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58577-2025</t>
        </is>
      </c>
      <c r="B924" s="1" t="n">
        <v>45986.38273148148</v>
      </c>
      <c r="C924" s="1" t="n">
        <v>46081</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58518-2025</t>
        </is>
      </c>
      <c r="B925" s="1" t="n">
        <v>45985.7062037037</v>
      </c>
      <c r="C925" s="1" t="n">
        <v>46081</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47028-2024</t>
        </is>
      </c>
      <c r="B926" s="1" t="n">
        <v>45586</v>
      </c>
      <c r="C926" s="1" t="n">
        <v>46081</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37029-2024</t>
        </is>
      </c>
      <c r="B927" s="1" t="n">
        <v>45539.38806712963</v>
      </c>
      <c r="C927" s="1" t="n">
        <v>46081</v>
      </c>
      <c r="D927" t="inlineStr">
        <is>
          <t>VÄRMLANDS LÄN</t>
        </is>
      </c>
      <c r="E927" t="inlineStr">
        <is>
          <t>ÅRJÄNG</t>
        </is>
      </c>
      <c r="G927" t="n">
        <v>4.7</v>
      </c>
      <c r="H927" t="n">
        <v>0</v>
      </c>
      <c r="I927" t="n">
        <v>0</v>
      </c>
      <c r="J927" t="n">
        <v>0</v>
      </c>
      <c r="K927" t="n">
        <v>0</v>
      </c>
      <c r="L927" t="n">
        <v>0</v>
      </c>
      <c r="M927" t="n">
        <v>0</v>
      </c>
      <c r="N927" t="n">
        <v>0</v>
      </c>
      <c r="O927" t="n">
        <v>0</v>
      </c>
      <c r="P927" t="n">
        <v>0</v>
      </c>
      <c r="Q927" t="n">
        <v>0</v>
      </c>
      <c r="R927" s="2" t="inlineStr"/>
    </row>
    <row r="928" ht="15" customHeight="1">
      <c r="A928" t="inlineStr">
        <is>
          <t>A 16012-2024</t>
        </is>
      </c>
      <c r="B928" s="1" t="n">
        <v>45405.6524074074</v>
      </c>
      <c r="C928" s="1" t="n">
        <v>46081</v>
      </c>
      <c r="D928" t="inlineStr">
        <is>
          <t>VÄRMLANDS LÄN</t>
        </is>
      </c>
      <c r="E928" t="inlineStr">
        <is>
          <t>ÅRJÄNG</t>
        </is>
      </c>
      <c r="G928" t="n">
        <v>6.1</v>
      </c>
      <c r="H928" t="n">
        <v>0</v>
      </c>
      <c r="I928" t="n">
        <v>0</v>
      </c>
      <c r="J928" t="n">
        <v>0</v>
      </c>
      <c r="K928" t="n">
        <v>0</v>
      </c>
      <c r="L928" t="n">
        <v>0</v>
      </c>
      <c r="M928" t="n">
        <v>0</v>
      </c>
      <c r="N928" t="n">
        <v>0</v>
      </c>
      <c r="O928" t="n">
        <v>0</v>
      </c>
      <c r="P928" t="n">
        <v>0</v>
      </c>
      <c r="Q928" t="n">
        <v>0</v>
      </c>
      <c r="R928" s="2" t="inlineStr"/>
    </row>
    <row r="929" ht="15" customHeight="1">
      <c r="A929" t="inlineStr">
        <is>
          <t>A 58392-2025</t>
        </is>
      </c>
      <c r="B929" s="1" t="n">
        <v>45985.55128472222</v>
      </c>
      <c r="C929" s="1" t="n">
        <v>46081</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31794-2023</t>
        </is>
      </c>
      <c r="B930" s="1" t="n">
        <v>45118.43856481482</v>
      </c>
      <c r="C930" s="1" t="n">
        <v>46081</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58578-2025</t>
        </is>
      </c>
      <c r="B931" s="1" t="n">
        <v>45986.38496527778</v>
      </c>
      <c r="C931" s="1" t="n">
        <v>46081</v>
      </c>
      <c r="D931" t="inlineStr">
        <is>
          <t>VÄRMLANDS LÄN</t>
        </is>
      </c>
      <c r="E931" t="inlineStr">
        <is>
          <t>ÅRJÄNG</t>
        </is>
      </c>
      <c r="G931" t="n">
        <v>0.6</v>
      </c>
      <c r="H931" t="n">
        <v>0</v>
      </c>
      <c r="I931" t="n">
        <v>0</v>
      </c>
      <c r="J931" t="n">
        <v>0</v>
      </c>
      <c r="K931" t="n">
        <v>0</v>
      </c>
      <c r="L931" t="n">
        <v>0</v>
      </c>
      <c r="M931" t="n">
        <v>0</v>
      </c>
      <c r="N931" t="n">
        <v>0</v>
      </c>
      <c r="O931" t="n">
        <v>0</v>
      </c>
      <c r="P931" t="n">
        <v>0</v>
      </c>
      <c r="Q931" t="n">
        <v>0</v>
      </c>
      <c r="R931" s="2" t="inlineStr"/>
    </row>
    <row r="932" ht="15" customHeight="1">
      <c r="A932" t="inlineStr">
        <is>
          <t>A 58573-2025</t>
        </is>
      </c>
      <c r="B932" s="1" t="n">
        <v>45986.37599537037</v>
      </c>
      <c r="C932" s="1" t="n">
        <v>46081</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57126-2024</t>
        </is>
      </c>
      <c r="B933" s="1" t="n">
        <v>45629.37579861111</v>
      </c>
      <c r="C933" s="1" t="n">
        <v>46081</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58971-2025</t>
        </is>
      </c>
      <c r="B934" s="1" t="n">
        <v>45987</v>
      </c>
      <c r="C934" s="1" t="n">
        <v>46081</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58270-2024</t>
        </is>
      </c>
      <c r="B935" s="1" t="n">
        <v>45632.56928240741</v>
      </c>
      <c r="C935" s="1" t="n">
        <v>46081</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47981-2023</t>
        </is>
      </c>
      <c r="B936" s="1" t="n">
        <v>45198</v>
      </c>
      <c r="C936" s="1" t="n">
        <v>46081</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20463-2024</t>
        </is>
      </c>
      <c r="B937" s="1" t="n">
        <v>45435</v>
      </c>
      <c r="C937" s="1" t="n">
        <v>46081</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73363-2021</t>
        </is>
      </c>
      <c r="B938" s="1" t="n">
        <v>44550</v>
      </c>
      <c r="C938" s="1" t="n">
        <v>46081</v>
      </c>
      <c r="D938" t="inlineStr">
        <is>
          <t>VÄRMLANDS LÄN</t>
        </is>
      </c>
      <c r="E938" t="inlineStr">
        <is>
          <t>ÅRJÄNG</t>
        </is>
      </c>
      <c r="G938" t="n">
        <v>11.5</v>
      </c>
      <c r="H938" t="n">
        <v>0</v>
      </c>
      <c r="I938" t="n">
        <v>0</v>
      </c>
      <c r="J938" t="n">
        <v>0</v>
      </c>
      <c r="K938" t="n">
        <v>0</v>
      </c>
      <c r="L938" t="n">
        <v>0</v>
      </c>
      <c r="M938" t="n">
        <v>0</v>
      </c>
      <c r="N938" t="n">
        <v>0</v>
      </c>
      <c r="O938" t="n">
        <v>0</v>
      </c>
      <c r="P938" t="n">
        <v>0</v>
      </c>
      <c r="Q938" t="n">
        <v>0</v>
      </c>
      <c r="R938" s="2" t="inlineStr"/>
    </row>
    <row r="939" ht="15" customHeight="1">
      <c r="A939" t="inlineStr">
        <is>
          <t>A 37122-2022</t>
        </is>
      </c>
      <c r="B939" s="1" t="n">
        <v>44806</v>
      </c>
      <c r="C939" s="1" t="n">
        <v>46081</v>
      </c>
      <c r="D939" t="inlineStr">
        <is>
          <t>VÄRMLANDS LÄN</t>
        </is>
      </c>
      <c r="E939" t="inlineStr">
        <is>
          <t>ÅRJÄNG</t>
        </is>
      </c>
      <c r="G939" t="n">
        <v>2.3</v>
      </c>
      <c r="H939" t="n">
        <v>0</v>
      </c>
      <c r="I939" t="n">
        <v>0</v>
      </c>
      <c r="J939" t="n">
        <v>0</v>
      </c>
      <c r="K939" t="n">
        <v>0</v>
      </c>
      <c r="L939" t="n">
        <v>0</v>
      </c>
      <c r="M939" t="n">
        <v>0</v>
      </c>
      <c r="N939" t="n">
        <v>0</v>
      </c>
      <c r="O939" t="n">
        <v>0</v>
      </c>
      <c r="P939" t="n">
        <v>0</v>
      </c>
      <c r="Q939" t="n">
        <v>0</v>
      </c>
      <c r="R939" s="2" t="inlineStr"/>
    </row>
    <row r="940" ht="15" customHeight="1">
      <c r="A940" t="inlineStr">
        <is>
          <t>A 59014-2024</t>
        </is>
      </c>
      <c r="B940" s="1" t="n">
        <v>45636</v>
      </c>
      <c r="C940" s="1" t="n">
        <v>46081</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37061-2023</t>
        </is>
      </c>
      <c r="B941" s="1" t="n">
        <v>45155</v>
      </c>
      <c r="C941" s="1" t="n">
        <v>46081</v>
      </c>
      <c r="D941" t="inlineStr">
        <is>
          <t>VÄRMLANDS LÄN</t>
        </is>
      </c>
      <c r="E941" t="inlineStr">
        <is>
          <t>ÅRJÄNG</t>
        </is>
      </c>
      <c r="G941" t="n">
        <v>0.9</v>
      </c>
      <c r="H941" t="n">
        <v>0</v>
      </c>
      <c r="I941" t="n">
        <v>0</v>
      </c>
      <c r="J941" t="n">
        <v>0</v>
      </c>
      <c r="K941" t="n">
        <v>0</v>
      </c>
      <c r="L941" t="n">
        <v>0</v>
      </c>
      <c r="M941" t="n">
        <v>0</v>
      </c>
      <c r="N941" t="n">
        <v>0</v>
      </c>
      <c r="O941" t="n">
        <v>0</v>
      </c>
      <c r="P941" t="n">
        <v>0</v>
      </c>
      <c r="Q941" t="n">
        <v>0</v>
      </c>
      <c r="R941" s="2" t="inlineStr"/>
    </row>
    <row r="942" ht="15" customHeight="1">
      <c r="A942" t="inlineStr">
        <is>
          <t>A 20028-2023</t>
        </is>
      </c>
      <c r="B942" s="1" t="n">
        <v>45054.64534722222</v>
      </c>
      <c r="C942" s="1" t="n">
        <v>46081</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56644-2024</t>
        </is>
      </c>
      <c r="B943" s="1" t="n">
        <v>45625</v>
      </c>
      <c r="C943" s="1" t="n">
        <v>46081</v>
      </c>
      <c r="D943" t="inlineStr">
        <is>
          <t>VÄRMLANDS LÄN</t>
        </is>
      </c>
      <c r="E943" t="inlineStr">
        <is>
          <t>ÅRJÄNG</t>
        </is>
      </c>
      <c r="G943" t="n">
        <v>12.6</v>
      </c>
      <c r="H943" t="n">
        <v>0</v>
      </c>
      <c r="I943" t="n">
        <v>0</v>
      </c>
      <c r="J943" t="n">
        <v>0</v>
      </c>
      <c r="K943" t="n">
        <v>0</v>
      </c>
      <c r="L943" t="n">
        <v>0</v>
      </c>
      <c r="M943" t="n">
        <v>0</v>
      </c>
      <c r="N943" t="n">
        <v>0</v>
      </c>
      <c r="O943" t="n">
        <v>0</v>
      </c>
      <c r="P943" t="n">
        <v>0</v>
      </c>
      <c r="Q943" t="n">
        <v>0</v>
      </c>
      <c r="R943" s="2" t="inlineStr"/>
    </row>
    <row r="944" ht="15" customHeight="1">
      <c r="A944" t="inlineStr">
        <is>
          <t>A 40360-2024</t>
        </is>
      </c>
      <c r="B944" s="1" t="n">
        <v>45555</v>
      </c>
      <c r="C944" s="1" t="n">
        <v>46081</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45124-2024</t>
        </is>
      </c>
      <c r="B945" s="1" t="n">
        <v>45575</v>
      </c>
      <c r="C945" s="1" t="n">
        <v>46081</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58924-2025</t>
        </is>
      </c>
      <c r="B946" s="1" t="n">
        <v>45986</v>
      </c>
      <c r="C946" s="1" t="n">
        <v>46081</v>
      </c>
      <c r="D946" t="inlineStr">
        <is>
          <t>VÄRMLANDS LÄN</t>
        </is>
      </c>
      <c r="E946" t="inlineStr">
        <is>
          <t>ÅRJÄNG</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5507-2024</t>
        </is>
      </c>
      <c r="B947" s="1" t="n">
        <v>45334.36188657407</v>
      </c>
      <c r="C947" s="1" t="n">
        <v>46081</v>
      </c>
      <c r="D947" t="inlineStr">
        <is>
          <t>VÄRMLANDS LÄN</t>
        </is>
      </c>
      <c r="E947" t="inlineStr">
        <is>
          <t>ÅRJÄNG</t>
        </is>
      </c>
      <c r="G947" t="n">
        <v>4.8</v>
      </c>
      <c r="H947" t="n">
        <v>0</v>
      </c>
      <c r="I947" t="n">
        <v>0</v>
      </c>
      <c r="J947" t="n">
        <v>0</v>
      </c>
      <c r="K947" t="n">
        <v>0</v>
      </c>
      <c r="L947" t="n">
        <v>0</v>
      </c>
      <c r="M947" t="n">
        <v>0</v>
      </c>
      <c r="N947" t="n">
        <v>0</v>
      </c>
      <c r="O947" t="n">
        <v>0</v>
      </c>
      <c r="P947" t="n">
        <v>0</v>
      </c>
      <c r="Q947" t="n">
        <v>0</v>
      </c>
      <c r="R947" s="2" t="inlineStr"/>
    </row>
    <row r="948" ht="15" customHeight="1">
      <c r="A948" t="inlineStr">
        <is>
          <t>A 60289-2025</t>
        </is>
      </c>
      <c r="B948" s="1" t="n">
        <v>45994</v>
      </c>
      <c r="C948" s="1" t="n">
        <v>46081</v>
      </c>
      <c r="D948" t="inlineStr">
        <is>
          <t>VÄRMLANDS LÄN</t>
        </is>
      </c>
      <c r="E948" t="inlineStr">
        <is>
          <t>ÅRJÄNG</t>
        </is>
      </c>
      <c r="G948" t="n">
        <v>5.4</v>
      </c>
      <c r="H948" t="n">
        <v>0</v>
      </c>
      <c r="I948" t="n">
        <v>0</v>
      </c>
      <c r="J948" t="n">
        <v>0</v>
      </c>
      <c r="K948" t="n">
        <v>0</v>
      </c>
      <c r="L948" t="n">
        <v>0</v>
      </c>
      <c r="M948" t="n">
        <v>0</v>
      </c>
      <c r="N948" t="n">
        <v>0</v>
      </c>
      <c r="O948" t="n">
        <v>0</v>
      </c>
      <c r="P948" t="n">
        <v>0</v>
      </c>
      <c r="Q948" t="n">
        <v>0</v>
      </c>
      <c r="R948" s="2" t="inlineStr"/>
    </row>
    <row r="949" ht="15" customHeight="1">
      <c r="A949" t="inlineStr">
        <is>
          <t>A 60194-2025</t>
        </is>
      </c>
      <c r="B949" s="1" t="n">
        <v>45994</v>
      </c>
      <c r="C949" s="1" t="n">
        <v>46081</v>
      </c>
      <c r="D949" t="inlineStr">
        <is>
          <t>VÄRMLANDS LÄN</t>
        </is>
      </c>
      <c r="E949" t="inlineStr">
        <is>
          <t>ÅRJÄNG</t>
        </is>
      </c>
      <c r="G949" t="n">
        <v>7.3</v>
      </c>
      <c r="H949" t="n">
        <v>0</v>
      </c>
      <c r="I949" t="n">
        <v>0</v>
      </c>
      <c r="J949" t="n">
        <v>0</v>
      </c>
      <c r="K949" t="n">
        <v>0</v>
      </c>
      <c r="L949" t="n">
        <v>0</v>
      </c>
      <c r="M949" t="n">
        <v>0</v>
      </c>
      <c r="N949" t="n">
        <v>0</v>
      </c>
      <c r="O949" t="n">
        <v>0</v>
      </c>
      <c r="P949" t="n">
        <v>0</v>
      </c>
      <c r="Q949" t="n">
        <v>0</v>
      </c>
      <c r="R949" s="2" t="inlineStr"/>
    </row>
    <row r="950" ht="15" customHeight="1">
      <c r="A950" t="inlineStr">
        <is>
          <t>A 73623-2021</t>
        </is>
      </c>
      <c r="B950" s="1" t="n">
        <v>44552</v>
      </c>
      <c r="C950" s="1" t="n">
        <v>46081</v>
      </c>
      <c r="D950" t="inlineStr">
        <is>
          <t>VÄRMLANDS LÄN</t>
        </is>
      </c>
      <c r="E950" t="inlineStr">
        <is>
          <t>ÅRJÄNG</t>
        </is>
      </c>
      <c r="G950" t="n">
        <v>7.4</v>
      </c>
      <c r="H950" t="n">
        <v>0</v>
      </c>
      <c r="I950" t="n">
        <v>0</v>
      </c>
      <c r="J950" t="n">
        <v>0</v>
      </c>
      <c r="K950" t="n">
        <v>0</v>
      </c>
      <c r="L950" t="n">
        <v>0</v>
      </c>
      <c r="M950" t="n">
        <v>0</v>
      </c>
      <c r="N950" t="n">
        <v>0</v>
      </c>
      <c r="O950" t="n">
        <v>0</v>
      </c>
      <c r="P950" t="n">
        <v>0</v>
      </c>
      <c r="Q950" t="n">
        <v>0</v>
      </c>
      <c r="R950" s="2" t="inlineStr"/>
    </row>
    <row r="951" ht="15" customHeight="1">
      <c r="A951" t="inlineStr">
        <is>
          <t>A 60279-2025</t>
        </is>
      </c>
      <c r="B951" s="1" t="n">
        <v>45994</v>
      </c>
      <c r="C951" s="1" t="n">
        <v>46081</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60283-2025</t>
        </is>
      </c>
      <c r="B952" s="1" t="n">
        <v>45994</v>
      </c>
      <c r="C952" s="1" t="n">
        <v>46081</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19313-2023</t>
        </is>
      </c>
      <c r="B953" s="1" t="n">
        <v>45049</v>
      </c>
      <c r="C953" s="1" t="n">
        <v>46081</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50918-2023</t>
        </is>
      </c>
      <c r="B954" s="1" t="n">
        <v>45218.4339699074</v>
      </c>
      <c r="C954" s="1" t="n">
        <v>46081</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60265-2025</t>
        </is>
      </c>
      <c r="B955" s="1" t="n">
        <v>45994</v>
      </c>
      <c r="C955" s="1" t="n">
        <v>46081</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56342-2024</t>
        </is>
      </c>
      <c r="B956" s="1" t="n">
        <v>45624</v>
      </c>
      <c r="C956" s="1" t="n">
        <v>46081</v>
      </c>
      <c r="D956" t="inlineStr">
        <is>
          <t>VÄRMLANDS LÄN</t>
        </is>
      </c>
      <c r="E956" t="inlineStr">
        <is>
          <t>ÅRJÄNG</t>
        </is>
      </c>
      <c r="G956" t="n">
        <v>1.4</v>
      </c>
      <c r="H956" t="n">
        <v>0</v>
      </c>
      <c r="I956" t="n">
        <v>0</v>
      </c>
      <c r="J956" t="n">
        <v>0</v>
      </c>
      <c r="K956" t="n">
        <v>0</v>
      </c>
      <c r="L956" t="n">
        <v>0</v>
      </c>
      <c r="M956" t="n">
        <v>0</v>
      </c>
      <c r="N956" t="n">
        <v>0</v>
      </c>
      <c r="O956" t="n">
        <v>0</v>
      </c>
      <c r="P956" t="n">
        <v>0</v>
      </c>
      <c r="Q956" t="n">
        <v>0</v>
      </c>
      <c r="R956" s="2" t="inlineStr"/>
    </row>
    <row r="957" ht="15" customHeight="1">
      <c r="A957" t="inlineStr">
        <is>
          <t>A 56347-2024</t>
        </is>
      </c>
      <c r="B957" s="1" t="n">
        <v>45624</v>
      </c>
      <c r="C957" s="1" t="n">
        <v>46081</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60657-2025</t>
        </is>
      </c>
      <c r="B958" s="1" t="n">
        <v>45996</v>
      </c>
      <c r="C958" s="1" t="n">
        <v>46081</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60659-2025</t>
        </is>
      </c>
      <c r="B959" s="1" t="n">
        <v>45996</v>
      </c>
      <c r="C959" s="1" t="n">
        <v>46081</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23945-2023</t>
        </is>
      </c>
      <c r="B960" s="1" t="n">
        <v>45075</v>
      </c>
      <c r="C960" s="1" t="n">
        <v>46081</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58435-2024</t>
        </is>
      </c>
      <c r="B961" s="1" t="n">
        <v>45634</v>
      </c>
      <c r="C961" s="1" t="n">
        <v>46081</v>
      </c>
      <c r="D961" t="inlineStr">
        <is>
          <t>VÄRMLANDS LÄN</t>
        </is>
      </c>
      <c r="E961" t="inlineStr">
        <is>
          <t>ÅRJÄNG</t>
        </is>
      </c>
      <c r="G961" t="n">
        <v>6.7</v>
      </c>
      <c r="H961" t="n">
        <v>0</v>
      </c>
      <c r="I961" t="n">
        <v>0</v>
      </c>
      <c r="J961" t="n">
        <v>0</v>
      </c>
      <c r="K961" t="n">
        <v>0</v>
      </c>
      <c r="L961" t="n">
        <v>0</v>
      </c>
      <c r="M961" t="n">
        <v>0</v>
      </c>
      <c r="N961" t="n">
        <v>0</v>
      </c>
      <c r="O961" t="n">
        <v>0</v>
      </c>
      <c r="P961" t="n">
        <v>0</v>
      </c>
      <c r="Q961" t="n">
        <v>0</v>
      </c>
      <c r="R961" s="2" t="inlineStr"/>
    </row>
    <row r="962" ht="15" customHeight="1">
      <c r="A962" t="inlineStr">
        <is>
          <t>A 32541-2023</t>
        </is>
      </c>
      <c r="B962" s="1" t="n">
        <v>45121.39616898148</v>
      </c>
      <c r="C962" s="1" t="n">
        <v>46081</v>
      </c>
      <c r="D962" t="inlineStr">
        <is>
          <t>VÄRMLANDS LÄN</t>
        </is>
      </c>
      <c r="E962" t="inlineStr">
        <is>
          <t>ÅRJÄNG</t>
        </is>
      </c>
      <c r="G962" t="n">
        <v>0.4</v>
      </c>
      <c r="H962" t="n">
        <v>0</v>
      </c>
      <c r="I962" t="n">
        <v>0</v>
      </c>
      <c r="J962" t="n">
        <v>0</v>
      </c>
      <c r="K962" t="n">
        <v>0</v>
      </c>
      <c r="L962" t="n">
        <v>0</v>
      </c>
      <c r="M962" t="n">
        <v>0</v>
      </c>
      <c r="N962" t="n">
        <v>0</v>
      </c>
      <c r="O962" t="n">
        <v>0</v>
      </c>
      <c r="P962" t="n">
        <v>0</v>
      </c>
      <c r="Q962" t="n">
        <v>0</v>
      </c>
      <c r="R962" s="2" t="inlineStr"/>
    </row>
    <row r="963" ht="15" customHeight="1">
      <c r="A963" t="inlineStr">
        <is>
          <t>A 11704-2025</t>
        </is>
      </c>
      <c r="B963" s="1" t="n">
        <v>45727.57896990741</v>
      </c>
      <c r="C963" s="1" t="n">
        <v>46081</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15903-2022</t>
        </is>
      </c>
      <c r="B964" s="1" t="n">
        <v>44664.57841435185</v>
      </c>
      <c r="C964" s="1" t="n">
        <v>46081</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60658-2025</t>
        </is>
      </c>
      <c r="B965" s="1" t="n">
        <v>45996</v>
      </c>
      <c r="C965" s="1" t="n">
        <v>46081</v>
      </c>
      <c r="D965" t="inlineStr">
        <is>
          <t>VÄRMLANDS LÄN</t>
        </is>
      </c>
      <c r="E965" t="inlineStr">
        <is>
          <t>ÅRJÄNG</t>
        </is>
      </c>
      <c r="G965" t="n">
        <v>10.5</v>
      </c>
      <c r="H965" t="n">
        <v>0</v>
      </c>
      <c r="I965" t="n">
        <v>0</v>
      </c>
      <c r="J965" t="n">
        <v>0</v>
      </c>
      <c r="K965" t="n">
        <v>0</v>
      </c>
      <c r="L965" t="n">
        <v>0</v>
      </c>
      <c r="M965" t="n">
        <v>0</v>
      </c>
      <c r="N965" t="n">
        <v>0</v>
      </c>
      <c r="O965" t="n">
        <v>0</v>
      </c>
      <c r="P965" t="n">
        <v>0</v>
      </c>
      <c r="Q965" t="n">
        <v>0</v>
      </c>
      <c r="R965" s="2" t="inlineStr"/>
    </row>
    <row r="966" ht="15" customHeight="1">
      <c r="A966" t="inlineStr">
        <is>
          <t>A 60663-2025</t>
        </is>
      </c>
      <c r="B966" s="1" t="n">
        <v>45996</v>
      </c>
      <c r="C966" s="1" t="n">
        <v>46081</v>
      </c>
      <c r="D966" t="inlineStr">
        <is>
          <t>VÄRMLANDS LÄN</t>
        </is>
      </c>
      <c r="E966" t="inlineStr">
        <is>
          <t>ÅRJÄNG</t>
        </is>
      </c>
      <c r="G966" t="n">
        <v>1.2</v>
      </c>
      <c r="H966" t="n">
        <v>0</v>
      </c>
      <c r="I966" t="n">
        <v>0</v>
      </c>
      <c r="J966" t="n">
        <v>0</v>
      </c>
      <c r="K966" t="n">
        <v>0</v>
      </c>
      <c r="L966" t="n">
        <v>0</v>
      </c>
      <c r="M966" t="n">
        <v>0</v>
      </c>
      <c r="N966" t="n">
        <v>0</v>
      </c>
      <c r="O966" t="n">
        <v>0</v>
      </c>
      <c r="P966" t="n">
        <v>0</v>
      </c>
      <c r="Q966" t="n">
        <v>0</v>
      </c>
      <c r="R966" s="2" t="inlineStr"/>
    </row>
    <row r="967" ht="15" customHeight="1">
      <c r="A967" t="inlineStr">
        <is>
          <t>A 37765-2023</t>
        </is>
      </c>
      <c r="B967" s="1" t="n">
        <v>45159</v>
      </c>
      <c r="C967" s="1" t="n">
        <v>46081</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61226-2024</t>
        </is>
      </c>
      <c r="B968" s="1" t="n">
        <v>45645.66853009259</v>
      </c>
      <c r="C968" s="1" t="n">
        <v>46081</v>
      </c>
      <c r="D968" t="inlineStr">
        <is>
          <t>VÄRMLANDS LÄN</t>
        </is>
      </c>
      <c r="E968" t="inlineStr">
        <is>
          <t>ÅRJÄNG</t>
        </is>
      </c>
      <c r="G968" t="n">
        <v>0.8</v>
      </c>
      <c r="H968" t="n">
        <v>0</v>
      </c>
      <c r="I968" t="n">
        <v>0</v>
      </c>
      <c r="J968" t="n">
        <v>0</v>
      </c>
      <c r="K968" t="n">
        <v>0</v>
      </c>
      <c r="L968" t="n">
        <v>0</v>
      </c>
      <c r="M968" t="n">
        <v>0</v>
      </c>
      <c r="N968" t="n">
        <v>0</v>
      </c>
      <c r="O968" t="n">
        <v>0</v>
      </c>
      <c r="P968" t="n">
        <v>0</v>
      </c>
      <c r="Q968" t="n">
        <v>0</v>
      </c>
      <c r="R968" s="2" t="inlineStr"/>
    </row>
    <row r="969" ht="15" customHeight="1">
      <c r="A969" t="inlineStr">
        <is>
          <t>A 51157-2024</t>
        </is>
      </c>
      <c r="B969" s="1" t="n">
        <v>45603</v>
      </c>
      <c r="C969" s="1" t="n">
        <v>46081</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4798-2022</t>
        </is>
      </c>
      <c r="B970" s="1" t="n">
        <v>44592.6534375</v>
      </c>
      <c r="C970" s="1" t="n">
        <v>46081</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60020-2024</t>
        </is>
      </c>
      <c r="B971" s="1" t="n">
        <v>45642.44655092592</v>
      </c>
      <c r="C971" s="1" t="n">
        <v>46081</v>
      </c>
      <c r="D971" t="inlineStr">
        <is>
          <t>VÄRMLANDS LÄN</t>
        </is>
      </c>
      <c r="E971" t="inlineStr">
        <is>
          <t>ÅRJÄNG</t>
        </is>
      </c>
      <c r="G971" t="n">
        <v>1.2</v>
      </c>
      <c r="H971" t="n">
        <v>0</v>
      </c>
      <c r="I971" t="n">
        <v>0</v>
      </c>
      <c r="J971" t="n">
        <v>0</v>
      </c>
      <c r="K971" t="n">
        <v>0</v>
      </c>
      <c r="L971" t="n">
        <v>0</v>
      </c>
      <c r="M971" t="n">
        <v>0</v>
      </c>
      <c r="N971" t="n">
        <v>0</v>
      </c>
      <c r="O971" t="n">
        <v>0</v>
      </c>
      <c r="P971" t="n">
        <v>0</v>
      </c>
      <c r="Q971" t="n">
        <v>0</v>
      </c>
      <c r="R971" s="2" t="inlineStr"/>
    </row>
    <row r="972" ht="15" customHeight="1">
      <c r="A972" t="inlineStr">
        <is>
          <t>A 61050-2025</t>
        </is>
      </c>
      <c r="B972" s="1" t="n">
        <v>46000.32225694445</v>
      </c>
      <c r="C972" s="1" t="n">
        <v>46081</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3348-2026</t>
        </is>
      </c>
      <c r="B973" s="1" t="n">
        <v>46041.93003472222</v>
      </c>
      <c r="C973" s="1" t="n">
        <v>46081</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61097-2025</t>
        </is>
      </c>
      <c r="B974" s="1" t="n">
        <v>46000.43695601852</v>
      </c>
      <c r="C974" s="1" t="n">
        <v>46081</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61126-2025</t>
        </is>
      </c>
      <c r="B975" s="1" t="n">
        <v>46000.48131944444</v>
      </c>
      <c r="C975" s="1" t="n">
        <v>46081</v>
      </c>
      <c r="D975" t="inlineStr">
        <is>
          <t>VÄRMLANDS LÄN</t>
        </is>
      </c>
      <c r="E975" t="inlineStr">
        <is>
          <t>ÅRJÄNG</t>
        </is>
      </c>
      <c r="G975" t="n">
        <v>2.7</v>
      </c>
      <c r="H975" t="n">
        <v>0</v>
      </c>
      <c r="I975" t="n">
        <v>0</v>
      </c>
      <c r="J975" t="n">
        <v>0</v>
      </c>
      <c r="K975" t="n">
        <v>0</v>
      </c>
      <c r="L975" t="n">
        <v>0</v>
      </c>
      <c r="M975" t="n">
        <v>0</v>
      </c>
      <c r="N975" t="n">
        <v>0</v>
      </c>
      <c r="O975" t="n">
        <v>0</v>
      </c>
      <c r="P975" t="n">
        <v>0</v>
      </c>
      <c r="Q975" t="n">
        <v>0</v>
      </c>
      <c r="R975" s="2" t="inlineStr"/>
    </row>
    <row r="976" ht="15" customHeight="1">
      <c r="A976" t="inlineStr">
        <is>
          <t>A 60801-2025</t>
        </is>
      </c>
      <c r="B976" s="1" t="n">
        <v>45999.43131944445</v>
      </c>
      <c r="C976" s="1" t="n">
        <v>46081</v>
      </c>
      <c r="D976" t="inlineStr">
        <is>
          <t>VÄRMLANDS LÄN</t>
        </is>
      </c>
      <c r="E976" t="inlineStr">
        <is>
          <t>ÅRJÄNG</t>
        </is>
      </c>
      <c r="G976" t="n">
        <v>3.8</v>
      </c>
      <c r="H976" t="n">
        <v>0</v>
      </c>
      <c r="I976" t="n">
        <v>0</v>
      </c>
      <c r="J976" t="n">
        <v>0</v>
      </c>
      <c r="K976" t="n">
        <v>0</v>
      </c>
      <c r="L976" t="n">
        <v>0</v>
      </c>
      <c r="M976" t="n">
        <v>0</v>
      </c>
      <c r="N976" t="n">
        <v>0</v>
      </c>
      <c r="O976" t="n">
        <v>0</v>
      </c>
      <c r="P976" t="n">
        <v>0</v>
      </c>
      <c r="Q976" t="n">
        <v>0</v>
      </c>
      <c r="R976" s="2" t="inlineStr"/>
    </row>
    <row r="977" ht="15" customHeight="1">
      <c r="A977" t="inlineStr">
        <is>
          <t>A 60826-2025</t>
        </is>
      </c>
      <c r="B977" s="1" t="n">
        <v>45999.46019675926</v>
      </c>
      <c r="C977" s="1" t="n">
        <v>46081</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20674-2023</t>
        </is>
      </c>
      <c r="B978" s="1" t="n">
        <v>45058</v>
      </c>
      <c r="C978" s="1" t="n">
        <v>46081</v>
      </c>
      <c r="D978" t="inlineStr">
        <is>
          <t>VÄRMLANDS LÄN</t>
        </is>
      </c>
      <c r="E978" t="inlineStr">
        <is>
          <t>ÅRJÄNG</t>
        </is>
      </c>
      <c r="G978" t="n">
        <v>11.1</v>
      </c>
      <c r="H978" t="n">
        <v>0</v>
      </c>
      <c r="I978" t="n">
        <v>0</v>
      </c>
      <c r="J978" t="n">
        <v>0</v>
      </c>
      <c r="K978" t="n">
        <v>0</v>
      </c>
      <c r="L978" t="n">
        <v>0</v>
      </c>
      <c r="M978" t="n">
        <v>0</v>
      </c>
      <c r="N978" t="n">
        <v>0</v>
      </c>
      <c r="O978" t="n">
        <v>0</v>
      </c>
      <c r="P978" t="n">
        <v>0</v>
      </c>
      <c r="Q978" t="n">
        <v>0</v>
      </c>
      <c r="R978" s="2" t="inlineStr"/>
    </row>
    <row r="979" ht="15" customHeight="1">
      <c r="A979" t="inlineStr">
        <is>
          <t>A 39096-2023</t>
        </is>
      </c>
      <c r="B979" s="1" t="n">
        <v>45164.55570601852</v>
      </c>
      <c r="C979" s="1" t="n">
        <v>46081</v>
      </c>
      <c r="D979" t="inlineStr">
        <is>
          <t>VÄRMLANDS LÄN</t>
        </is>
      </c>
      <c r="E979" t="inlineStr">
        <is>
          <t>ÅRJÄNG</t>
        </is>
      </c>
      <c r="G979" t="n">
        <v>5.1</v>
      </c>
      <c r="H979" t="n">
        <v>0</v>
      </c>
      <c r="I979" t="n">
        <v>0</v>
      </c>
      <c r="J979" t="n">
        <v>0</v>
      </c>
      <c r="K979" t="n">
        <v>0</v>
      </c>
      <c r="L979" t="n">
        <v>0</v>
      </c>
      <c r="M979" t="n">
        <v>0</v>
      </c>
      <c r="N979" t="n">
        <v>0</v>
      </c>
      <c r="O979" t="n">
        <v>0</v>
      </c>
      <c r="P979" t="n">
        <v>0</v>
      </c>
      <c r="Q979" t="n">
        <v>0</v>
      </c>
      <c r="R979" s="2" t="inlineStr"/>
    </row>
    <row r="980" ht="15" customHeight="1">
      <c r="A980" t="inlineStr">
        <is>
          <t>A 23878-2023</t>
        </is>
      </c>
      <c r="B980" s="1" t="n">
        <v>45078</v>
      </c>
      <c r="C980" s="1" t="n">
        <v>46081</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3424-2026</t>
        </is>
      </c>
      <c r="B981" s="1" t="n">
        <v>46042.44061342593</v>
      </c>
      <c r="C981" s="1" t="n">
        <v>46081</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39178-2023</t>
        </is>
      </c>
      <c r="B982" s="1" t="n">
        <v>45166.38395833333</v>
      </c>
      <c r="C982" s="1" t="n">
        <v>46081</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5332-2025</t>
        </is>
      </c>
      <c r="B983" s="1" t="n">
        <v>45692.53978009259</v>
      </c>
      <c r="C983" s="1" t="n">
        <v>46081</v>
      </c>
      <c r="D983" t="inlineStr">
        <is>
          <t>VÄRMLANDS LÄN</t>
        </is>
      </c>
      <c r="E983" t="inlineStr">
        <is>
          <t>ÅRJÄNG</t>
        </is>
      </c>
      <c r="G983" t="n">
        <v>0.9</v>
      </c>
      <c r="H983" t="n">
        <v>0</v>
      </c>
      <c r="I983" t="n">
        <v>0</v>
      </c>
      <c r="J983" t="n">
        <v>0</v>
      </c>
      <c r="K983" t="n">
        <v>0</v>
      </c>
      <c r="L983" t="n">
        <v>0</v>
      </c>
      <c r="M983" t="n">
        <v>0</v>
      </c>
      <c r="N983" t="n">
        <v>0</v>
      </c>
      <c r="O983" t="n">
        <v>0</v>
      </c>
      <c r="P983" t="n">
        <v>0</v>
      </c>
      <c r="Q983" t="n">
        <v>0</v>
      </c>
      <c r="R983" s="2" t="inlineStr"/>
    </row>
    <row r="984" ht="15" customHeight="1">
      <c r="A984" t="inlineStr">
        <is>
          <t>A 61113-2025</t>
        </is>
      </c>
      <c r="B984" s="1" t="n">
        <v>45999</v>
      </c>
      <c r="C984" s="1" t="n">
        <v>46081</v>
      </c>
      <c r="D984" t="inlineStr">
        <is>
          <t>VÄRMLANDS LÄN</t>
        </is>
      </c>
      <c r="E984" t="inlineStr">
        <is>
          <t>ÅRJÄNG</t>
        </is>
      </c>
      <c r="G984" t="n">
        <v>7.6</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46081</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52574-2024</t>
        </is>
      </c>
      <c r="B986" s="1" t="n">
        <v>45609</v>
      </c>
      <c r="C986" s="1" t="n">
        <v>46081</v>
      </c>
      <c r="D986" t="inlineStr">
        <is>
          <t>VÄRMLANDS LÄN</t>
        </is>
      </c>
      <c r="E986" t="inlineStr">
        <is>
          <t>ÅRJÄNG</t>
        </is>
      </c>
      <c r="G986" t="n">
        <v>0.2</v>
      </c>
      <c r="H986" t="n">
        <v>0</v>
      </c>
      <c r="I986" t="n">
        <v>0</v>
      </c>
      <c r="J986" t="n">
        <v>0</v>
      </c>
      <c r="K986" t="n">
        <v>0</v>
      </c>
      <c r="L986" t="n">
        <v>0</v>
      </c>
      <c r="M986" t="n">
        <v>0</v>
      </c>
      <c r="N986" t="n">
        <v>0</v>
      </c>
      <c r="O986" t="n">
        <v>0</v>
      </c>
      <c r="P986" t="n">
        <v>0</v>
      </c>
      <c r="Q986" t="n">
        <v>0</v>
      </c>
      <c r="R986" s="2" t="inlineStr"/>
    </row>
    <row r="987" ht="15" customHeight="1">
      <c r="A987" t="inlineStr">
        <is>
          <t>A 61006-2025</t>
        </is>
      </c>
      <c r="B987" s="1" t="n">
        <v>45997</v>
      </c>
      <c r="C987" s="1" t="n">
        <v>46081</v>
      </c>
      <c r="D987" t="inlineStr">
        <is>
          <t>VÄRMLANDS LÄN</t>
        </is>
      </c>
      <c r="E987" t="inlineStr">
        <is>
          <t>ÅRJÄNG</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61053-2025</t>
        </is>
      </c>
      <c r="B988" s="1" t="n">
        <v>46000.32866898148</v>
      </c>
      <c r="C988" s="1" t="n">
        <v>46081</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3656-2022</t>
        </is>
      </c>
      <c r="B989" s="1" t="n">
        <v>44586</v>
      </c>
      <c r="C989" s="1" t="n">
        <v>46081</v>
      </c>
      <c r="D989" t="inlineStr">
        <is>
          <t>VÄRMLANDS LÄN</t>
        </is>
      </c>
      <c r="E989" t="inlineStr">
        <is>
          <t>ÅRJÄNG</t>
        </is>
      </c>
      <c r="G989" t="n">
        <v>11.7</v>
      </c>
      <c r="H989" t="n">
        <v>0</v>
      </c>
      <c r="I989" t="n">
        <v>0</v>
      </c>
      <c r="J989" t="n">
        <v>0</v>
      </c>
      <c r="K989" t="n">
        <v>0</v>
      </c>
      <c r="L989" t="n">
        <v>0</v>
      </c>
      <c r="M989" t="n">
        <v>0</v>
      </c>
      <c r="N989" t="n">
        <v>0</v>
      </c>
      <c r="O989" t="n">
        <v>0</v>
      </c>
      <c r="P989" t="n">
        <v>0</v>
      </c>
      <c r="Q989" t="n">
        <v>0</v>
      </c>
      <c r="R989" s="2" t="inlineStr"/>
    </row>
    <row r="990" ht="15" customHeight="1">
      <c r="A990" t="inlineStr">
        <is>
          <t>A 61263-2025</t>
        </is>
      </c>
      <c r="B990" s="1" t="n">
        <v>46000</v>
      </c>
      <c r="C990" s="1" t="n">
        <v>46081</v>
      </c>
      <c r="D990" t="inlineStr">
        <is>
          <t>VÄRMLANDS LÄN</t>
        </is>
      </c>
      <c r="E990" t="inlineStr">
        <is>
          <t>ÅRJÄNG</t>
        </is>
      </c>
      <c r="G990" t="n">
        <v>3.7</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46081</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70461-2021</t>
        </is>
      </c>
      <c r="B992" s="1" t="n">
        <v>44536</v>
      </c>
      <c r="C992" s="1" t="n">
        <v>46081</v>
      </c>
      <c r="D992" t="inlineStr">
        <is>
          <t>VÄRMLANDS LÄN</t>
        </is>
      </c>
      <c r="E992" t="inlineStr">
        <is>
          <t>ÅRJÄNG</t>
        </is>
      </c>
      <c r="G992" t="n">
        <v>3.8</v>
      </c>
      <c r="H992" t="n">
        <v>0</v>
      </c>
      <c r="I992" t="n">
        <v>0</v>
      </c>
      <c r="J992" t="n">
        <v>0</v>
      </c>
      <c r="K992" t="n">
        <v>0</v>
      </c>
      <c r="L992" t="n">
        <v>0</v>
      </c>
      <c r="M992" t="n">
        <v>0</v>
      </c>
      <c r="N992" t="n">
        <v>0</v>
      </c>
      <c r="O992" t="n">
        <v>0</v>
      </c>
      <c r="P992" t="n">
        <v>0</v>
      </c>
      <c r="Q992" t="n">
        <v>0</v>
      </c>
      <c r="R992" s="2" t="inlineStr"/>
    </row>
    <row r="993" ht="15" customHeight="1">
      <c r="A993" t="inlineStr">
        <is>
          <t>A 38707-2023</t>
        </is>
      </c>
      <c r="B993" s="1" t="n">
        <v>45163.34018518519</v>
      </c>
      <c r="C993" s="1" t="n">
        <v>46081</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45643-2023</t>
        </is>
      </c>
      <c r="B994" s="1" t="n">
        <v>45194.69827546296</v>
      </c>
      <c r="C994" s="1" t="n">
        <v>46081</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55071-2024</t>
        </is>
      </c>
      <c r="B995" s="1" t="n">
        <v>45621.41861111111</v>
      </c>
      <c r="C995" s="1" t="n">
        <v>46081</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52579-2024</t>
        </is>
      </c>
      <c r="B996" s="1" t="n">
        <v>45609</v>
      </c>
      <c r="C996" s="1" t="n">
        <v>46081</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44556-2023</t>
        </is>
      </c>
      <c r="B997" s="1" t="n">
        <v>45189.53738425926</v>
      </c>
      <c r="C997" s="1" t="n">
        <v>46081</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53742-2024</t>
        </is>
      </c>
      <c r="B998" s="1" t="n">
        <v>45615.47130787037</v>
      </c>
      <c r="C998" s="1" t="n">
        <v>46081</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56769-2024</t>
        </is>
      </c>
      <c r="B999" s="1" t="n">
        <v>45628.41550925926</v>
      </c>
      <c r="C999" s="1" t="n">
        <v>46081</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3772-2026</t>
        </is>
      </c>
      <c r="B1000" s="1" t="n">
        <v>46043.56302083333</v>
      </c>
      <c r="C1000" s="1" t="n">
        <v>46081</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61548-2025</t>
        </is>
      </c>
      <c r="B1001" s="1" t="n">
        <v>46001</v>
      </c>
      <c r="C1001" s="1" t="n">
        <v>46081</v>
      </c>
      <c r="D1001" t="inlineStr">
        <is>
          <t>VÄRMLANDS LÄN</t>
        </is>
      </c>
      <c r="E1001" t="inlineStr">
        <is>
          <t>ÅRJÄNG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61631-2025</t>
        </is>
      </c>
      <c r="B1002" s="1" t="n">
        <v>46002.4105787037</v>
      </c>
      <c r="C1002" s="1" t="n">
        <v>46081</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4582-2025</t>
        </is>
      </c>
      <c r="B1003" s="1" t="n">
        <v>45687</v>
      </c>
      <c r="C1003" s="1" t="n">
        <v>46081</v>
      </c>
      <c r="D1003" t="inlineStr">
        <is>
          <t>VÄRMLANDS LÄN</t>
        </is>
      </c>
      <c r="E1003" t="inlineStr">
        <is>
          <t>ÅRJÄNG</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3986-2026</t>
        </is>
      </c>
      <c r="B1004" s="1" t="n">
        <v>46044.37398148148</v>
      </c>
      <c r="C1004" s="1" t="n">
        <v>46081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44004-2023</t>
        </is>
      </c>
      <c r="B1005" s="1" t="n">
        <v>45188.30134259259</v>
      </c>
      <c r="C1005" s="1" t="n">
        <v>46081</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44007-2023</t>
        </is>
      </c>
      <c r="B1006" s="1" t="n">
        <v>45188.31231481482</v>
      </c>
      <c r="C1006" s="1" t="n">
        <v>46081</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34205-2025</t>
        </is>
      </c>
      <c r="B1007" s="1" t="n">
        <v>45845</v>
      </c>
      <c r="C1007" s="1" t="n">
        <v>46081</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5741-2025</t>
        </is>
      </c>
      <c r="B1008" s="1" t="n">
        <v>45694.52100694444</v>
      </c>
      <c r="C1008" s="1" t="n">
        <v>46081</v>
      </c>
      <c r="D1008" t="inlineStr">
        <is>
          <t>VÄRMLANDS LÄN</t>
        </is>
      </c>
      <c r="E1008" t="inlineStr">
        <is>
          <t>ÅRJÄNG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61547-2025</t>
        </is>
      </c>
      <c r="B1009" s="1" t="n">
        <v>46001</v>
      </c>
      <c r="C1009" s="1" t="n">
        <v>46081</v>
      </c>
      <c r="D1009" t="inlineStr">
        <is>
          <t>VÄRMLANDS LÄN</t>
        </is>
      </c>
      <c r="E1009" t="inlineStr">
        <is>
          <t>ÅRJÄNG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283-2025</t>
        </is>
      </c>
      <c r="B1010" s="1" t="n">
        <v>45656</v>
      </c>
      <c r="C1010" s="1" t="n">
        <v>46081</v>
      </c>
      <c r="D1010" t="inlineStr">
        <is>
          <t>VÄRMLANDS LÄN</t>
        </is>
      </c>
      <c r="E1010" t="inlineStr">
        <is>
          <t>ÅRJÄNG</t>
        </is>
      </c>
      <c r="F1010" t="inlineStr">
        <is>
          <t>Övriga Aktiebolag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5127-2025</t>
        </is>
      </c>
      <c r="B1011" s="1" t="n">
        <v>45691.56623842593</v>
      </c>
      <c r="C1011" s="1" t="n">
        <v>46081</v>
      </c>
      <c r="D1011" t="inlineStr">
        <is>
          <t>VÄRMLANDS LÄN</t>
        </is>
      </c>
      <c r="E1011" t="inlineStr">
        <is>
          <t>ÅRJÄNG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55422-2023</t>
        </is>
      </c>
      <c r="B1012" s="1" t="n">
        <v>45238.41858796297</v>
      </c>
      <c r="C1012" s="1" t="n">
        <v>46081</v>
      </c>
      <c r="D1012" t="inlineStr">
        <is>
          <t>VÄRMLANDS LÄN</t>
        </is>
      </c>
      <c r="E1012" t="inlineStr">
        <is>
          <t>ÅRJÄNG</t>
        </is>
      </c>
      <c r="F1012" t="inlineStr">
        <is>
          <t>Kyrkan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46006.37521990741</v>
      </c>
      <c r="C1013" s="1" t="n">
        <v>46081</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8601-2022</t>
        </is>
      </c>
      <c r="B1014" s="1" t="n">
        <v>44613.57193287037</v>
      </c>
      <c r="C1014" s="1" t="n">
        <v>46081</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56060-2023</t>
        </is>
      </c>
      <c r="B1015" s="1" t="n">
        <v>45233</v>
      </c>
      <c r="C1015" s="1" t="n">
        <v>46081</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56655-2024</t>
        </is>
      </c>
      <c r="B1016" s="1" t="n">
        <v>45625</v>
      </c>
      <c r="C1016" s="1" t="n">
        <v>46081</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27240-2023</t>
        </is>
      </c>
      <c r="B1017" s="1" t="n">
        <v>45096</v>
      </c>
      <c r="C1017" s="1" t="n">
        <v>46081</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12137-2025</t>
        </is>
      </c>
      <c r="B1018" s="1" t="n">
        <v>45729.39879629629</v>
      </c>
      <c r="C1018" s="1" t="n">
        <v>46081</v>
      </c>
      <c r="D1018" t="inlineStr">
        <is>
          <t>VÄRMLANDS LÄN</t>
        </is>
      </c>
      <c r="E1018" t="inlineStr">
        <is>
          <t>ÅRJÄNG</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46351-2023</t>
        </is>
      </c>
      <c r="B1019" s="1" t="n">
        <v>45197.42811342593</v>
      </c>
      <c r="C1019" s="1" t="n">
        <v>46081</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17361-2022</t>
        </is>
      </c>
      <c r="B1020" s="1" t="n">
        <v>44678.6044675926</v>
      </c>
      <c r="C1020" s="1" t="n">
        <v>46081</v>
      </c>
      <c r="D1020" t="inlineStr">
        <is>
          <t>VÄRMLANDS LÄN</t>
        </is>
      </c>
      <c r="E1020" t="inlineStr">
        <is>
          <t>ÅRJÄNG</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57546-2024</t>
        </is>
      </c>
      <c r="B1021" s="1" t="n">
        <v>45629</v>
      </c>
      <c r="C1021" s="1" t="n">
        <v>46081</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62804-2025</t>
        </is>
      </c>
      <c r="B1022" s="1" t="n">
        <v>46008.64297453704</v>
      </c>
      <c r="C1022" s="1" t="n">
        <v>46081</v>
      </c>
      <c r="D1022" t="inlineStr">
        <is>
          <t>VÄRMLANDS LÄN</t>
        </is>
      </c>
      <c r="E1022" t="inlineStr">
        <is>
          <t>ÅRJÄNG</t>
        </is>
      </c>
      <c r="F1022" t="inlineStr">
        <is>
          <t>Kyrkan</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9427-2025</t>
        </is>
      </c>
      <c r="B1023" s="1" t="n">
        <v>45715</v>
      </c>
      <c r="C1023" s="1" t="n">
        <v>46081</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5216-2026</t>
        </is>
      </c>
      <c r="B1024" s="1" t="n">
        <v>46049.74716435185</v>
      </c>
      <c r="C1024" s="1" t="n">
        <v>46081</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57306-2023</t>
        </is>
      </c>
      <c r="B1025" s="1" t="n">
        <v>45245.62431712963</v>
      </c>
      <c r="C1025" s="1" t="n">
        <v>46081</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48357-2023</t>
        </is>
      </c>
      <c r="B1026" s="1" t="n">
        <v>45202</v>
      </c>
      <c r="C1026" s="1" t="n">
        <v>46081</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39434-2023</t>
        </is>
      </c>
      <c r="B1027" s="1" t="n">
        <v>45166.69690972222</v>
      </c>
      <c r="C1027" s="1" t="n">
        <v>46081</v>
      </c>
      <c r="D1027" t="inlineStr">
        <is>
          <t>VÄRMLANDS LÄN</t>
        </is>
      </c>
      <c r="E1027" t="inlineStr">
        <is>
          <t>ÅRJÄNG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5169-2026</t>
        </is>
      </c>
      <c r="B1028" s="1" t="n">
        <v>46049.63304398148</v>
      </c>
      <c r="C1028" s="1" t="n">
        <v>46081</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236-2025</t>
        </is>
      </c>
      <c r="B1029" s="1" t="n">
        <v>45653</v>
      </c>
      <c r="C1029" s="1" t="n">
        <v>46081</v>
      </c>
      <c r="D1029" t="inlineStr">
        <is>
          <t>VÄRMLANDS LÄN</t>
        </is>
      </c>
      <c r="E1029" t="inlineStr">
        <is>
          <t>ÅRJÄNG</t>
        </is>
      </c>
      <c r="F1029" t="inlineStr">
        <is>
          <t>Övriga Aktiebolag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1602-2025</t>
        </is>
      </c>
      <c r="B1030" s="1" t="n">
        <v>45670.59069444444</v>
      </c>
      <c r="C1030" s="1" t="n">
        <v>46081</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5146-2026</t>
        </is>
      </c>
      <c r="B1031" s="1" t="n">
        <v>46049.61055555556</v>
      </c>
      <c r="C1031" s="1" t="n">
        <v>46081</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43253-2023</t>
        </is>
      </c>
      <c r="B1032" s="1" t="n">
        <v>45183.49578703703</v>
      </c>
      <c r="C1032" s="1" t="n">
        <v>46081</v>
      </c>
      <c r="D1032" t="inlineStr">
        <is>
          <t>VÄRMLANDS LÄN</t>
        </is>
      </c>
      <c r="E1032" t="inlineStr">
        <is>
          <t>ÅRJÄNG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17827-2025</t>
        </is>
      </c>
      <c r="B1033" s="1" t="n">
        <v>45758.57596064815</v>
      </c>
      <c r="C1033" s="1" t="n">
        <v>46081</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5214-2026</t>
        </is>
      </c>
      <c r="B1034" s="1" t="n">
        <v>46049.73527777778</v>
      </c>
      <c r="C1034" s="1" t="n">
        <v>46081</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5217-2026</t>
        </is>
      </c>
      <c r="B1035" s="1" t="n">
        <v>46049.74869212963</v>
      </c>
      <c r="C1035" s="1" t="n">
        <v>46081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19920-2024</t>
        </is>
      </c>
      <c r="B1036" s="1" t="n">
        <v>45433.58947916667</v>
      </c>
      <c r="C1036" s="1" t="n">
        <v>46081</v>
      </c>
      <c r="D1036" t="inlineStr">
        <is>
          <t>VÄRMLANDS LÄN</t>
        </is>
      </c>
      <c r="E1036" t="inlineStr">
        <is>
          <t>ÅRJÄNG</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4923-2026</t>
        </is>
      </c>
      <c r="B1037" s="1" t="n">
        <v>46045</v>
      </c>
      <c r="C1037" s="1" t="n">
        <v>46081</v>
      </c>
      <c r="D1037" t="inlineStr">
        <is>
          <t>VÄRMLANDS LÄN</t>
        </is>
      </c>
      <c r="E1037" t="inlineStr">
        <is>
          <t>ÅRJÄNG</t>
        </is>
      </c>
      <c r="F1037" t="inlineStr">
        <is>
          <t>Övriga Aktiebolag</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32095-2024</t>
        </is>
      </c>
      <c r="B1038" s="1" t="n">
        <v>45511.39107638889</v>
      </c>
      <c r="C1038" s="1" t="n">
        <v>46081</v>
      </c>
      <c r="D1038" t="inlineStr">
        <is>
          <t>VÄRMLANDS LÄN</t>
        </is>
      </c>
      <c r="E1038" t="inlineStr">
        <is>
          <t>ÅRJÄNG</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301-2025</t>
        </is>
      </c>
      <c r="B1039" s="1" t="n">
        <v>45660.56</v>
      </c>
      <c r="C1039" s="1" t="n">
        <v>46081</v>
      </c>
      <c r="D1039" t="inlineStr">
        <is>
          <t>VÄRMLANDS LÄN</t>
        </is>
      </c>
      <c r="E1039" t="inlineStr">
        <is>
          <t>ÅRJÄNG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62851-2025</t>
        </is>
      </c>
      <c r="B1040" s="1" t="n">
        <v>46008.703125</v>
      </c>
      <c r="C1040" s="1" t="n">
        <v>46081</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14434-2025</t>
        </is>
      </c>
      <c r="B1041" s="1" t="n">
        <v>45741</v>
      </c>
      <c r="C1041" s="1" t="n">
        <v>46081</v>
      </c>
      <c r="D1041" t="inlineStr">
        <is>
          <t>VÄRMLANDS LÄN</t>
        </is>
      </c>
      <c r="E1041" t="inlineStr">
        <is>
          <t>ÅRJÄNG</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5461-2026</t>
        </is>
      </c>
      <c r="B1042" s="1" t="n">
        <v>46050</v>
      </c>
      <c r="C1042" s="1" t="n">
        <v>46081</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19248-2025</t>
        </is>
      </c>
      <c r="B1043" s="1" t="n">
        <v>45769.48710648148</v>
      </c>
      <c r="C1043" s="1" t="n">
        <v>46081</v>
      </c>
      <c r="D1043" t="inlineStr">
        <is>
          <t>VÄRMLANDS LÄN</t>
        </is>
      </c>
      <c r="E1043" t="inlineStr">
        <is>
          <t>ÅRJÄNG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6109-2025</t>
        </is>
      </c>
      <c r="B1044" s="1" t="n">
        <v>45698.31012731481</v>
      </c>
      <c r="C1044" s="1" t="n">
        <v>46081</v>
      </c>
      <c r="D1044" t="inlineStr">
        <is>
          <t>VÄRMLANDS LÄN</t>
        </is>
      </c>
      <c r="E1044" t="inlineStr">
        <is>
          <t>ÅRJÄNG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5462-2026</t>
        </is>
      </c>
      <c r="B1045" s="1" t="n">
        <v>46050</v>
      </c>
      <c r="C1045" s="1" t="n">
        <v>46081</v>
      </c>
      <c r="D1045" t="inlineStr">
        <is>
          <t>VÄRMLANDS LÄN</t>
        </is>
      </c>
      <c r="E1045" t="inlineStr">
        <is>
          <t>ÅRJÄNG</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21443-2022</t>
        </is>
      </c>
      <c r="B1046" s="1" t="n">
        <v>44706.35293981482</v>
      </c>
      <c r="C1046" s="1" t="n">
        <v>46081</v>
      </c>
      <c r="D1046" t="inlineStr">
        <is>
          <t>VÄRMLANDS LÄN</t>
        </is>
      </c>
      <c r="E1046" t="inlineStr">
        <is>
          <t>ÅRJÄNG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52382-2024</t>
        </is>
      </c>
      <c r="B1047" s="1" t="n">
        <v>45608</v>
      </c>
      <c r="C1047" s="1" t="n">
        <v>46081</v>
      </c>
      <c r="D1047" t="inlineStr">
        <is>
          <t>VÄRMLANDS LÄN</t>
        </is>
      </c>
      <c r="E1047" t="inlineStr">
        <is>
          <t>ÅRJÄNG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48203-2023</t>
        </is>
      </c>
      <c r="B1048" s="1" t="n">
        <v>45200</v>
      </c>
      <c r="C1048" s="1" t="n">
        <v>46081</v>
      </c>
      <c r="D1048" t="inlineStr">
        <is>
          <t>VÄRMLANDS LÄN</t>
        </is>
      </c>
      <c r="E1048" t="inlineStr">
        <is>
          <t>ÅRJÄNG</t>
        </is>
      </c>
      <c r="F1048" t="inlineStr">
        <is>
          <t>Övriga Aktiebolag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42667-2023</t>
        </is>
      </c>
      <c r="B1049" s="1" t="n">
        <v>45176</v>
      </c>
      <c r="C1049" s="1" t="n">
        <v>46081</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13504-2025</t>
        </is>
      </c>
      <c r="B1050" s="1" t="n">
        <v>45736.46400462963</v>
      </c>
      <c r="C1050" s="1" t="n">
        <v>46081</v>
      </c>
      <c r="D1050" t="inlineStr">
        <is>
          <t>VÄRMLANDS LÄN</t>
        </is>
      </c>
      <c r="E1050" t="inlineStr">
        <is>
          <t>ÅRJÄNG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16519-2025</t>
        </is>
      </c>
      <c r="B1051" s="1" t="n">
        <v>45751</v>
      </c>
      <c r="C1051" s="1" t="n">
        <v>46081</v>
      </c>
      <c r="D1051" t="inlineStr">
        <is>
          <t>VÄRMLANDS LÄN</t>
        </is>
      </c>
      <c r="E1051" t="inlineStr">
        <is>
          <t>ÅRJÄNG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53554-2023</t>
        </is>
      </c>
      <c r="B1052" s="1" t="n">
        <v>45230</v>
      </c>
      <c r="C1052" s="1" t="n">
        <v>46081</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55574-2023</t>
        </is>
      </c>
      <c r="B1053" s="1" t="n">
        <v>45232</v>
      </c>
      <c r="C1053" s="1" t="n">
        <v>46081</v>
      </c>
      <c r="D1053" t="inlineStr">
        <is>
          <t>VÄRMLANDS LÄN</t>
        </is>
      </c>
      <c r="E1053" t="inlineStr">
        <is>
          <t>ÅRJÄNG</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3729-2025</t>
        </is>
      </c>
      <c r="B1054" s="1" t="n">
        <v>45681.5497800926</v>
      </c>
      <c r="C1054" s="1" t="n">
        <v>46081</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1200-2023</t>
        </is>
      </c>
      <c r="B1055" s="1" t="n">
        <v>44935</v>
      </c>
      <c r="C1055" s="1" t="n">
        <v>46081</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5593-2026</t>
        </is>
      </c>
      <c r="B1056" s="1" t="n">
        <v>46051.32993055556</v>
      </c>
      <c r="C1056" s="1" t="n">
        <v>46081</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6390-2026</t>
        </is>
      </c>
      <c r="B1057" s="1" t="n">
        <v>46055.64501157407</v>
      </c>
      <c r="C1057" s="1" t="n">
        <v>46081</v>
      </c>
      <c r="D1057" t="inlineStr">
        <is>
          <t>VÄRMLANDS LÄN</t>
        </is>
      </c>
      <c r="E1057" t="inlineStr">
        <is>
          <t>ÅRJÄNG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60207-2023</t>
        </is>
      </c>
      <c r="B1058" s="1" t="n">
        <v>45257</v>
      </c>
      <c r="C1058" s="1" t="n">
        <v>46081</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58434-2023</t>
        </is>
      </c>
      <c r="B1059" s="1" t="n">
        <v>45250</v>
      </c>
      <c r="C1059" s="1" t="n">
        <v>46081</v>
      </c>
      <c r="D1059" t="inlineStr">
        <is>
          <t>VÄRMLANDS LÄN</t>
        </is>
      </c>
      <c r="E1059" t="inlineStr">
        <is>
          <t>ÅRJÄNG</t>
        </is>
      </c>
      <c r="F1059" t="inlineStr">
        <is>
          <t>Naturvårdsverket</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8356-2025</t>
        </is>
      </c>
      <c r="B1060" s="1" t="n">
        <v>45708.79752314815</v>
      </c>
      <c r="C1060" s="1" t="n">
        <v>46081</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18256-2024</t>
        </is>
      </c>
      <c r="B1061" s="1" t="n">
        <v>45421.52498842592</v>
      </c>
      <c r="C1061" s="1" t="n">
        <v>46081</v>
      </c>
      <c r="D1061" t="inlineStr">
        <is>
          <t>VÄRMLANDS LÄN</t>
        </is>
      </c>
      <c r="E1061" t="inlineStr">
        <is>
          <t>ÅRJÄNG</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24477-2022</t>
        </is>
      </c>
      <c r="B1062" s="1" t="n">
        <v>44726.65575231481</v>
      </c>
      <c r="C1062" s="1" t="n">
        <v>46081</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33525-2023</t>
        </is>
      </c>
      <c r="B1063" s="1" t="n">
        <v>45131.51326388889</v>
      </c>
      <c r="C1063" s="1" t="n">
        <v>46081</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46081</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59352-2022</t>
        </is>
      </c>
      <c r="B1065" s="1" t="n">
        <v>44904.7077199074</v>
      </c>
      <c r="C1065" s="1" t="n">
        <v>46081</v>
      </c>
      <c r="D1065" t="inlineStr">
        <is>
          <t>VÄRMLANDS LÄN</t>
        </is>
      </c>
      <c r="E1065" t="inlineStr">
        <is>
          <t>ÅRJÄNG</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1115-2024</t>
        </is>
      </c>
      <c r="B1066" s="1" t="n">
        <v>45302</v>
      </c>
      <c r="C1066" s="1" t="n">
        <v>46081</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48453-2023</t>
        </is>
      </c>
      <c r="B1067" s="1" t="n">
        <v>45206.4346412037</v>
      </c>
      <c r="C1067" s="1" t="n">
        <v>46081</v>
      </c>
      <c r="D1067" t="inlineStr">
        <is>
          <t>VÄRMLANDS LÄN</t>
        </is>
      </c>
      <c r="E1067" t="inlineStr">
        <is>
          <t>ÅRJÄNG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59784-2023</t>
        </is>
      </c>
      <c r="B1068" s="1" t="n">
        <v>45257</v>
      </c>
      <c r="C1068" s="1" t="n">
        <v>46081</v>
      </c>
      <c r="D1068" t="inlineStr">
        <is>
          <t>VÄRMLANDS LÄN</t>
        </is>
      </c>
      <c r="E1068" t="inlineStr">
        <is>
          <t>ÅRJÄNG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59801-2023</t>
        </is>
      </c>
      <c r="B1069" s="1" t="n">
        <v>45254</v>
      </c>
      <c r="C1069" s="1" t="n">
        <v>46081</v>
      </c>
      <c r="D1069" t="inlineStr">
        <is>
          <t>VÄRMLANDS LÄN</t>
        </is>
      </c>
      <c r="E1069" t="inlineStr">
        <is>
          <t>ÅRJÄNG</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27311-2022</t>
        </is>
      </c>
      <c r="B1070" s="1" t="n">
        <v>44728</v>
      </c>
      <c r="C1070" s="1" t="n">
        <v>46081</v>
      </c>
      <c r="D1070" t="inlineStr">
        <is>
          <t>VÄRMLANDS LÄN</t>
        </is>
      </c>
      <c r="E1070" t="inlineStr">
        <is>
          <t>ÅRJÄNG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7160-2026</t>
        </is>
      </c>
      <c r="B1071" s="1" t="n">
        <v>46058</v>
      </c>
      <c r="C1071" s="1" t="n">
        <v>46081</v>
      </c>
      <c r="D1071" t="inlineStr">
        <is>
          <t>VÄRMLANDS LÄN</t>
        </is>
      </c>
      <c r="E1071" t="inlineStr">
        <is>
          <t>ÅRJÄNG</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15954-2025</t>
        </is>
      </c>
      <c r="B1072" s="1" t="n">
        <v>45749</v>
      </c>
      <c r="C1072" s="1" t="n">
        <v>46081</v>
      </c>
      <c r="D1072" t="inlineStr">
        <is>
          <t>VÄRMLANDS LÄN</t>
        </is>
      </c>
      <c r="E1072" t="inlineStr">
        <is>
          <t>ÅRJÄNG</t>
        </is>
      </c>
      <c r="F1072" t="inlineStr">
        <is>
          <t>Bergvik skog väst AB</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687-2024</t>
        </is>
      </c>
      <c r="B1073" s="1" t="n">
        <v>45300.37333333334</v>
      </c>
      <c r="C1073" s="1" t="n">
        <v>46081</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713-2024</t>
        </is>
      </c>
      <c r="B1074" s="1" t="n">
        <v>45300.4261574074</v>
      </c>
      <c r="C1074" s="1" t="n">
        <v>46081</v>
      </c>
      <c r="D1074" t="inlineStr">
        <is>
          <t>VÄRMLANDS LÄN</t>
        </is>
      </c>
      <c r="E1074" t="inlineStr">
        <is>
          <t>ÅRJÄNG</t>
        </is>
      </c>
      <c r="F1074" t="inlineStr">
        <is>
          <t>Kyrkan</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63844-2025</t>
        </is>
      </c>
      <c r="B1075" s="1" t="n">
        <v>46020.43506944444</v>
      </c>
      <c r="C1075" s="1" t="n">
        <v>46081</v>
      </c>
      <c r="D1075" t="inlineStr">
        <is>
          <t>VÄRMLANDS LÄN</t>
        </is>
      </c>
      <c r="E1075" t="inlineStr">
        <is>
          <t>ÅRJÄNG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8835-2025</t>
        </is>
      </c>
      <c r="B1076" s="1" t="n">
        <v>45712.92547453703</v>
      </c>
      <c r="C1076" s="1" t="n">
        <v>46081</v>
      </c>
      <c r="D1076" t="inlineStr">
        <is>
          <t>VÄRMLANDS LÄN</t>
        </is>
      </c>
      <c r="E1076" t="inlineStr">
        <is>
          <t>ÅRJÄNG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62288-2023</t>
        </is>
      </c>
      <c r="B1077" s="1" t="n">
        <v>45267.65707175926</v>
      </c>
      <c r="C1077" s="1" t="n">
        <v>46081</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18389-2022</t>
        </is>
      </c>
      <c r="B1078" s="1" t="n">
        <v>44685</v>
      </c>
      <c r="C1078" s="1" t="n">
        <v>46081</v>
      </c>
      <c r="D1078" t="inlineStr">
        <is>
          <t>VÄRMLANDS LÄN</t>
        </is>
      </c>
      <c r="E1078" t="inlineStr">
        <is>
          <t>ÅRJÄNG</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12993-2025</t>
        </is>
      </c>
      <c r="B1079" s="1" t="n">
        <v>45734.48583333333</v>
      </c>
      <c r="C1079" s="1" t="n">
        <v>46081</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9630-2025</t>
        </is>
      </c>
      <c r="B1080" s="1" t="n">
        <v>45715.71145833333</v>
      </c>
      <c r="C1080" s="1" t="n">
        <v>46081</v>
      </c>
      <c r="D1080" t="inlineStr">
        <is>
          <t>VÄRMLANDS LÄN</t>
        </is>
      </c>
      <c r="E1080" t="inlineStr">
        <is>
          <t>ÅRJÄNG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63858-2025</t>
        </is>
      </c>
      <c r="B1081" s="1" t="n">
        <v>46020.48446759259</v>
      </c>
      <c r="C1081" s="1" t="n">
        <v>46081</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5168-2026</t>
        </is>
      </c>
      <c r="B1082" s="1" t="n">
        <v>46049</v>
      </c>
      <c r="C1082" s="1" t="n">
        <v>46081</v>
      </c>
      <c r="D1082" t="inlineStr">
        <is>
          <t>VÄRMLANDS LÄN</t>
        </is>
      </c>
      <c r="E1082" t="inlineStr">
        <is>
          <t>ÅRJÄNG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63836-2025</t>
        </is>
      </c>
      <c r="B1083" s="1" t="n">
        <v>46020</v>
      </c>
      <c r="C1083" s="1" t="n">
        <v>46081</v>
      </c>
      <c r="D1083" t="inlineStr">
        <is>
          <t>VÄRMLANDS LÄN</t>
        </is>
      </c>
      <c r="E1083" t="inlineStr">
        <is>
          <t>ÅRJÄNG</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63837-2025</t>
        </is>
      </c>
      <c r="B1084" s="1" t="n">
        <v>46020.41344907408</v>
      </c>
      <c r="C1084" s="1" t="n">
        <v>46081</v>
      </c>
      <c r="D1084" t="inlineStr">
        <is>
          <t>VÄRMLANDS LÄN</t>
        </is>
      </c>
      <c r="E1084" t="inlineStr">
        <is>
          <t>ÅRJÄNG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7518-2026</t>
        </is>
      </c>
      <c r="B1085" s="1" t="n">
        <v>46059.5981712963</v>
      </c>
      <c r="C1085" s="1" t="n">
        <v>46081</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63830-2025</t>
        </is>
      </c>
      <c r="B1086" s="1" t="n">
        <v>46020</v>
      </c>
      <c r="C1086" s="1" t="n">
        <v>46081</v>
      </c>
      <c r="D1086" t="inlineStr">
        <is>
          <t>VÄRMLANDS LÄN</t>
        </is>
      </c>
      <c r="E1086" t="inlineStr">
        <is>
          <t>ÅRJÄNG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14446-2025</t>
        </is>
      </c>
      <c r="B1087" s="1" t="n">
        <v>45741.53552083333</v>
      </c>
      <c r="C1087" s="1" t="n">
        <v>46081</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8833-2025</t>
        </is>
      </c>
      <c r="B1088" s="1" t="n">
        <v>45712.91263888889</v>
      </c>
      <c r="C1088" s="1" t="n">
        <v>46081</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26265-2024</t>
        </is>
      </c>
      <c r="B1089" s="1" t="n">
        <v>45468</v>
      </c>
      <c r="C1089" s="1" t="n">
        <v>46081</v>
      </c>
      <c r="D1089" t="inlineStr">
        <is>
          <t>VÄRMLANDS LÄN</t>
        </is>
      </c>
      <c r="E1089" t="inlineStr">
        <is>
          <t>ÅRJÄNG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64381-2023</t>
        </is>
      </c>
      <c r="B1090" s="1" t="n">
        <v>45280</v>
      </c>
      <c r="C1090" s="1" t="n">
        <v>46081</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4545-2024</t>
        </is>
      </c>
      <c r="B1091" s="1" t="n">
        <v>45327</v>
      </c>
      <c r="C1091" s="1" t="n">
        <v>46081</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47332-2022</t>
        </is>
      </c>
      <c r="B1092" s="1" t="n">
        <v>44853</v>
      </c>
      <c r="C1092" s="1" t="n">
        <v>46081</v>
      </c>
      <c r="D1092" t="inlineStr">
        <is>
          <t>VÄRMLANDS LÄN</t>
        </is>
      </c>
      <c r="E1092" t="inlineStr">
        <is>
          <t>ÅRJÄNG</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21145-2022</t>
        </is>
      </c>
      <c r="B1093" s="1" t="n">
        <v>44704</v>
      </c>
      <c r="C1093" s="1" t="n">
        <v>46081</v>
      </c>
      <c r="D1093" t="inlineStr">
        <is>
          <t>VÄRMLANDS LÄN</t>
        </is>
      </c>
      <c r="E1093" t="inlineStr">
        <is>
          <t>ÅRJÄNG</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48389-2021</t>
        </is>
      </c>
      <c r="B1094" s="1" t="n">
        <v>44452.26943287037</v>
      </c>
      <c r="C1094" s="1" t="n">
        <v>46081</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9662-2024</t>
        </is>
      </c>
      <c r="B1095" s="1" t="n">
        <v>45362.43423611111</v>
      </c>
      <c r="C1095" s="1" t="n">
        <v>46081</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7794-2024</t>
        </is>
      </c>
      <c r="B1096" s="1" t="n">
        <v>45349</v>
      </c>
      <c r="C1096" s="1" t="n">
        <v>46081</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64095-2025</t>
        </is>
      </c>
      <c r="B1097" s="1" t="n">
        <v>46021.75336805556</v>
      </c>
      <c r="C1097" s="1" t="n">
        <v>46081</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8507-2026</t>
        </is>
      </c>
      <c r="B1098" s="1" t="n">
        <v>46065.53517361111</v>
      </c>
      <c r="C1098" s="1" t="n">
        <v>46081</v>
      </c>
      <c r="D1098" t="inlineStr">
        <is>
          <t>VÄRMLANDS LÄN</t>
        </is>
      </c>
      <c r="E1098" t="inlineStr">
        <is>
          <t>ÅRJÄNG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46096-2021</t>
        </is>
      </c>
      <c r="B1099" s="1" t="n">
        <v>44442</v>
      </c>
      <c r="C1099" s="1" t="n">
        <v>46081</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10338-2024</t>
        </is>
      </c>
      <c r="B1100" s="1" t="n">
        <v>45365.58712962963</v>
      </c>
      <c r="C1100" s="1" t="n">
        <v>46081</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51895-2022</t>
        </is>
      </c>
      <c r="B1101" s="1" t="n">
        <v>44872.61237268519</v>
      </c>
      <c r="C1101" s="1" t="n">
        <v>46081</v>
      </c>
      <c r="D1101" t="inlineStr">
        <is>
          <t>VÄRMLANDS LÄN</t>
        </is>
      </c>
      <c r="E1101" t="inlineStr">
        <is>
          <t>ÅRJÄNG</t>
        </is>
      </c>
      <c r="F1101" t="inlineStr">
        <is>
          <t>Kyrkan</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8509-2026</t>
        </is>
      </c>
      <c r="B1102" s="1" t="n">
        <v>46065.54075231482</v>
      </c>
      <c r="C1102" s="1" t="n">
        <v>46081</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8510-2026</t>
        </is>
      </c>
      <c r="B1103" s="1" t="n">
        <v>46065.5502662037</v>
      </c>
      <c r="C1103" s="1" t="n">
        <v>46081</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13647-2025</t>
        </is>
      </c>
      <c r="B1104" s="1" t="n">
        <v>45736.69149305556</v>
      </c>
      <c r="C1104" s="1" t="n">
        <v>46081</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5256-2023</t>
        </is>
      </c>
      <c r="B1105" s="1" t="n">
        <v>44959.45520833333</v>
      </c>
      <c r="C1105" s="1" t="n">
        <v>46081</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8868-2026</t>
        </is>
      </c>
      <c r="B1106" s="1" t="n">
        <v>46066.78945601852</v>
      </c>
      <c r="C1106" s="1" t="n">
        <v>46081</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59624-2022</t>
        </is>
      </c>
      <c r="B1107" s="1" t="n">
        <v>44907.90521990741</v>
      </c>
      <c r="C1107" s="1" t="n">
        <v>46081</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397-2026</t>
        </is>
      </c>
      <c r="B1108" s="1" t="n">
        <v>46028.62203703704</v>
      </c>
      <c r="C1108" s="1" t="n">
        <v>46081</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64229-2023</t>
        </is>
      </c>
      <c r="B1109" s="1" t="n">
        <v>45279</v>
      </c>
      <c r="C1109" s="1" t="n">
        <v>46081</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365-2026</t>
        </is>
      </c>
      <c r="B1110" s="1" t="n">
        <v>46027.67851851852</v>
      </c>
      <c r="C1110" s="1" t="n">
        <v>46081</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434-2026</t>
        </is>
      </c>
      <c r="B1111" s="1" t="n">
        <v>46029.33444444444</v>
      </c>
      <c r="C1111" s="1" t="n">
        <v>46081</v>
      </c>
      <c r="D1111" t="inlineStr">
        <is>
          <t>VÄRMLANDS LÄN</t>
        </is>
      </c>
      <c r="E1111" t="inlineStr">
        <is>
          <t>ÅRJÄNG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1760-2026</t>
        </is>
      </c>
      <c r="B1112" s="1" t="n">
        <v>46030</v>
      </c>
      <c r="C1112" s="1" t="n">
        <v>46081</v>
      </c>
      <c r="D1112" t="inlineStr">
        <is>
          <t>VÄRMLANDS LÄN</t>
        </is>
      </c>
      <c r="E1112" t="inlineStr">
        <is>
          <t>ÅRJÄNG</t>
        </is>
      </c>
      <c r="F1112" t="inlineStr">
        <is>
          <t>Övriga Aktiebolag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1211-2026</t>
        </is>
      </c>
      <c r="B1113" s="1" t="n">
        <v>46030</v>
      </c>
      <c r="C1113" s="1" t="n">
        <v>46081</v>
      </c>
      <c r="D1113" t="inlineStr">
        <is>
          <t>VÄRMLANDS LÄN</t>
        </is>
      </c>
      <c r="E1113" t="inlineStr">
        <is>
          <t>ÅRJÄNG</t>
        </is>
      </c>
      <c r="F1113" t="inlineStr">
        <is>
          <t>Övriga Aktiebolag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7443-2024</t>
        </is>
      </c>
      <c r="B1114" s="1" t="n">
        <v>45345.72207175926</v>
      </c>
      <c r="C1114" s="1" t="n">
        <v>46081</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58486-2023</t>
        </is>
      </c>
      <c r="B1115" s="1" t="n">
        <v>45246</v>
      </c>
      <c r="C1115" s="1" t="n">
        <v>46081</v>
      </c>
      <c r="D1115" t="inlineStr">
        <is>
          <t>VÄRMLANDS LÄN</t>
        </is>
      </c>
      <c r="E1115" t="inlineStr">
        <is>
          <t>ÅRJÄNG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8080-2026</t>
        </is>
      </c>
      <c r="B1116" s="1" t="n">
        <v>46063</v>
      </c>
      <c r="C1116" s="1" t="n">
        <v>46081</v>
      </c>
      <c r="D1116" t="inlineStr">
        <is>
          <t>VÄRMLANDS LÄN</t>
        </is>
      </c>
      <c r="E1116" t="inlineStr">
        <is>
          <t>ÅRJÄNG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46081</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947-2026</t>
        </is>
      </c>
      <c r="B1118" s="1" t="n">
        <v>46030.53958333333</v>
      </c>
      <c r="C1118" s="1" t="n">
        <v>46081</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951-2026</t>
        </is>
      </c>
      <c r="B1119" s="1" t="n">
        <v>46030.54324074074</v>
      </c>
      <c r="C1119" s="1" t="n">
        <v>46081</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23971-2023</t>
        </is>
      </c>
      <c r="B1120" s="1" t="n">
        <v>45078.63996527778</v>
      </c>
      <c r="C1120" s="1" t="n">
        <v>46081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449-2026</t>
        </is>
      </c>
      <c r="B1121" s="1" t="n">
        <v>46029.35167824074</v>
      </c>
      <c r="C1121" s="1" t="n">
        <v>46081</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57708-2024</t>
        </is>
      </c>
      <c r="B1122" s="1" t="n">
        <v>45630</v>
      </c>
      <c r="C1122" s="1" t="n">
        <v>46081</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15547-2025</t>
        </is>
      </c>
      <c r="B1123" s="1" t="n">
        <v>45747</v>
      </c>
      <c r="C1123" s="1" t="n">
        <v>46081</v>
      </c>
      <c r="D1123" t="inlineStr">
        <is>
          <t>VÄRMLANDS LÄN</t>
        </is>
      </c>
      <c r="E1123" t="inlineStr">
        <is>
          <t>ÅRJÄNG</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15548-2025</t>
        </is>
      </c>
      <c r="B1124" s="1" t="n">
        <v>45747</v>
      </c>
      <c r="C1124" s="1" t="n">
        <v>46081</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483-2026</t>
        </is>
      </c>
      <c r="B1125" s="1" t="n">
        <v>46029.40996527778</v>
      </c>
      <c r="C1125" s="1" t="n">
        <v>46081</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486-2026</t>
        </is>
      </c>
      <c r="B1126" s="1" t="n">
        <v>46029.42121527778</v>
      </c>
      <c r="C1126" s="1" t="n">
        <v>46081</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6107-2024</t>
        </is>
      </c>
      <c r="B1127" s="1" t="n">
        <v>45337</v>
      </c>
      <c r="C1127" s="1" t="n">
        <v>46081</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54013-2023</t>
        </is>
      </c>
      <c r="B1128" s="1" t="n">
        <v>45231.81550925926</v>
      </c>
      <c r="C1128" s="1" t="n">
        <v>46081</v>
      </c>
      <c r="D1128" t="inlineStr">
        <is>
          <t>VÄRMLANDS LÄN</t>
        </is>
      </c>
      <c r="E1128" t="inlineStr">
        <is>
          <t>ÅRJÄNG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15308-2022</t>
        </is>
      </c>
      <c r="B1129" s="1" t="n">
        <v>44659.45865740741</v>
      </c>
      <c r="C1129" s="1" t="n">
        <v>46081</v>
      </c>
      <c r="D1129" t="inlineStr">
        <is>
          <t>VÄRMLANDS LÄN</t>
        </is>
      </c>
      <c r="E1129" t="inlineStr">
        <is>
          <t>ÅRJÄNG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1636-2026</t>
        </is>
      </c>
      <c r="B1130" s="1" t="n">
        <v>46034.49440972223</v>
      </c>
      <c r="C1130" s="1" t="n">
        <v>46081</v>
      </c>
      <c r="D1130" t="inlineStr">
        <is>
          <t>VÄRMLANDS LÄN</t>
        </is>
      </c>
      <c r="E1130" t="inlineStr">
        <is>
          <t>ÅRJÄNG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7114-2023</t>
        </is>
      </c>
      <c r="B1131" s="1" t="n">
        <v>44970.39068287037</v>
      </c>
      <c r="C1131" s="1" t="n">
        <v>46081</v>
      </c>
      <c r="D1131" t="inlineStr">
        <is>
          <t>VÄRMLANDS LÄN</t>
        </is>
      </c>
      <c r="E1131" t="inlineStr">
        <is>
          <t>ÅRJÄNG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59976-2022</t>
        </is>
      </c>
      <c r="B1132" s="1" t="n">
        <v>44901</v>
      </c>
      <c r="C1132" s="1" t="n">
        <v>46081</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3298-2025</t>
        </is>
      </c>
      <c r="B1133" s="1" t="n">
        <v>45679.64770833333</v>
      </c>
      <c r="C1133" s="1" t="n">
        <v>46081</v>
      </c>
      <c r="D1133" t="inlineStr">
        <is>
          <t>VÄRMLANDS LÄN</t>
        </is>
      </c>
      <c r="E1133" t="inlineStr">
        <is>
          <t>ÅRJÄNG</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10168-2026</t>
        </is>
      </c>
      <c r="B1134" s="1" t="n">
        <v>46076.41399305555</v>
      </c>
      <c r="C1134" s="1" t="n">
        <v>46081</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1324-2026</t>
        </is>
      </c>
      <c r="B1135" s="1" t="n">
        <v>46031.5496412037</v>
      </c>
      <c r="C1135" s="1" t="n">
        <v>46081</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41283-2023</t>
        </is>
      </c>
      <c r="B1136" s="1" t="n">
        <v>45174.57032407408</v>
      </c>
      <c r="C1136" s="1" t="n">
        <v>46081</v>
      </c>
      <c r="D1136" t="inlineStr">
        <is>
          <t>VÄRMLANDS LÄN</t>
        </is>
      </c>
      <c r="E1136" t="inlineStr">
        <is>
          <t>ÅRJÄNG</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1158-2026</t>
        </is>
      </c>
      <c r="B1137" s="1" t="n">
        <v>46031.32700231481</v>
      </c>
      <c r="C1137" s="1" t="n">
        <v>46081</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36592-2024</t>
        </is>
      </c>
      <c r="B1138" s="1" t="n">
        <v>45537</v>
      </c>
      <c r="C1138" s="1" t="n">
        <v>46081</v>
      </c>
      <c r="D1138" t="inlineStr">
        <is>
          <t>VÄRMLANDS LÄN</t>
        </is>
      </c>
      <c r="E1138" t="inlineStr">
        <is>
          <t>ÅRJÄNG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1257-2026</t>
        </is>
      </c>
      <c r="B1139" s="1" t="n">
        <v>46031.44703703704</v>
      </c>
      <c r="C1139" s="1" t="n">
        <v>46081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56757-2023</t>
        </is>
      </c>
      <c r="B1140" s="1" t="n">
        <v>45244.37539351852</v>
      </c>
      <c r="C1140" s="1" t="n">
        <v>46081</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49891-2022</t>
        </is>
      </c>
      <c r="B1141" s="1" t="n">
        <v>44864</v>
      </c>
      <c r="C1141" s="1" t="n">
        <v>46081</v>
      </c>
      <c r="D1141" t="inlineStr">
        <is>
          <t>VÄRMLANDS LÄN</t>
        </is>
      </c>
      <c r="E1141" t="inlineStr">
        <is>
          <t>ÅRJÄNG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9979-2026</t>
        </is>
      </c>
      <c r="B1142" s="1" t="n">
        <v>46073.53570601852</v>
      </c>
      <c r="C1142" s="1" t="n">
        <v>46081</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59811-2023</t>
        </is>
      </c>
      <c r="B1143" s="1" t="n">
        <v>45254</v>
      </c>
      <c r="C1143" s="1" t="n">
        <v>46081</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24916-2024</t>
        </is>
      </c>
      <c r="B1144" s="1" t="n">
        <v>45461.6058449074</v>
      </c>
      <c r="C1144" s="1" t="n">
        <v>46081</v>
      </c>
      <c r="D1144" t="inlineStr">
        <is>
          <t>VÄRMLANDS LÄN</t>
        </is>
      </c>
      <c r="E1144" t="inlineStr">
        <is>
          <t>ÅRJÄNG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27692-2024</t>
        </is>
      </c>
      <c r="B1145" s="1" t="n">
        <v>45474</v>
      </c>
      <c r="C1145" s="1" t="n">
        <v>46081</v>
      </c>
      <c r="D1145" t="inlineStr">
        <is>
          <t>VÄRMLANDS LÄN</t>
        </is>
      </c>
      <c r="E1145" t="inlineStr">
        <is>
          <t>ÅRJÄNG</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34425-2021</t>
        </is>
      </c>
      <c r="B1146" s="1" t="n">
        <v>44380</v>
      </c>
      <c r="C1146" s="1" t="n">
        <v>46081</v>
      </c>
      <c r="D1146" t="inlineStr">
        <is>
          <t>VÄRMLANDS LÄN</t>
        </is>
      </c>
      <c r="E1146" t="inlineStr">
        <is>
          <t>ÅRJÄNG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32973-2021</t>
        </is>
      </c>
      <c r="B1147" s="1" t="n">
        <v>44376</v>
      </c>
      <c r="C1147" s="1" t="n">
        <v>46081</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56333-2024</t>
        </is>
      </c>
      <c r="B1148" s="1" t="n">
        <v>45624.8005324074</v>
      </c>
      <c r="C1148" s="1" t="n">
        <v>46081</v>
      </c>
      <c r="D1148" t="inlineStr">
        <is>
          <t>VÄRMLANDS LÄN</t>
        </is>
      </c>
      <c r="E1148" t="inlineStr">
        <is>
          <t>ÅRJÄNG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61764-2022</t>
        </is>
      </c>
      <c r="B1149" s="1" t="n">
        <v>44911</v>
      </c>
      <c r="C1149" s="1" t="n">
        <v>46081</v>
      </c>
      <c r="D1149" t="inlineStr">
        <is>
          <t>VÄRMLANDS LÄN</t>
        </is>
      </c>
      <c r="E1149" t="inlineStr">
        <is>
          <t>ÅRJÄNG</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19052-2023</t>
        </is>
      </c>
      <c r="B1150" s="1" t="n">
        <v>45047</v>
      </c>
      <c r="C1150" s="1" t="n">
        <v>46081</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15570-2025</t>
        </is>
      </c>
      <c r="B1151" s="1" t="n">
        <v>45747</v>
      </c>
      <c r="C1151" s="1" t="n">
        <v>46081</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15572-2025</t>
        </is>
      </c>
      <c r="B1152" s="1" t="n">
        <v>45747</v>
      </c>
      <c r="C1152" s="1" t="n">
        <v>46081</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15578-2025</t>
        </is>
      </c>
      <c r="B1153" s="1" t="n">
        <v>45747</v>
      </c>
      <c r="C1153" s="1" t="n">
        <v>46081</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69417-2021</t>
        </is>
      </c>
      <c r="B1154" s="1" t="n">
        <v>44531</v>
      </c>
      <c r="C1154" s="1" t="n">
        <v>46081</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10215-2026</t>
        </is>
      </c>
      <c r="B1155" s="1" t="n">
        <v>46076.48929398148</v>
      </c>
      <c r="C1155" s="1" t="n">
        <v>46081</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38482-2024</t>
        </is>
      </c>
      <c r="B1156" s="1" t="n">
        <v>45546</v>
      </c>
      <c r="C1156" s="1" t="n">
        <v>46081</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7803-2026</t>
        </is>
      </c>
      <c r="B1157" s="1" t="n">
        <v>46059</v>
      </c>
      <c r="C1157" s="1" t="n">
        <v>46081</v>
      </c>
      <c r="D1157" t="inlineStr">
        <is>
          <t>VÄRMLANDS LÄN</t>
        </is>
      </c>
      <c r="E1157" t="inlineStr">
        <is>
          <t>ÅRJÄNG</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1936-2026</t>
        </is>
      </c>
      <c r="B1158" s="1" t="n">
        <v>46035.58625</v>
      </c>
      <c r="C1158" s="1" t="n">
        <v>46081</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65837-2021</t>
        </is>
      </c>
      <c r="B1159" s="1" t="n">
        <v>44517.35402777778</v>
      </c>
      <c r="C1159" s="1" t="n">
        <v>46081</v>
      </c>
      <c r="D1159" t="inlineStr">
        <is>
          <t>VÄRMLANDS LÄN</t>
        </is>
      </c>
      <c r="E1159" t="inlineStr">
        <is>
          <t>ÅRJÄNG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57917-2025</t>
        </is>
      </c>
      <c r="B1160" s="1" t="n">
        <v>45981</v>
      </c>
      <c r="C1160" s="1" t="n">
        <v>46081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49405-2022</t>
        </is>
      </c>
      <c r="B1161" s="1" t="n">
        <v>44861.63182870371</v>
      </c>
      <c r="C1161" s="1" t="n">
        <v>46081</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44417-2021</t>
        </is>
      </c>
      <c r="B1162" s="1" t="n">
        <v>44435.50591435185</v>
      </c>
      <c r="C1162" s="1" t="n">
        <v>46081</v>
      </c>
      <c r="D1162" t="inlineStr">
        <is>
          <t>VÄRMLANDS LÄN</t>
        </is>
      </c>
      <c r="E1162" t="inlineStr">
        <is>
          <t>ÅRJÄNG</t>
        </is>
      </c>
      <c r="G1162" t="n">
        <v>32.2</v>
      </c>
      <c r="H1162" t="n">
        <v>0</v>
      </c>
      <c r="I1162" t="n">
        <v>0</v>
      </c>
      <c r="J1162" t="n">
        <v>0</v>
      </c>
      <c r="K1162" t="n">
        <v>0</v>
      </c>
      <c r="L1162" t="n">
        <v>0</v>
      </c>
      <c r="M1162" t="n">
        <v>0</v>
      </c>
      <c r="N1162" t="n">
        <v>0</v>
      </c>
      <c r="O1162" t="n">
        <v>0</v>
      </c>
      <c r="P1162" t="n">
        <v>0</v>
      </c>
      <c r="Q1162" t="n">
        <v>0</v>
      </c>
      <c r="R1162" s="2" t="inlineStr"/>
    </row>
    <row r="1163" ht="15" customHeight="1">
      <c r="A1163" t="inlineStr">
        <is>
          <t>A 21362-2022</t>
        </is>
      </c>
      <c r="B1163" s="1" t="n">
        <v>44705</v>
      </c>
      <c r="C1163" s="1" t="n">
        <v>46081</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65854-2021</t>
        </is>
      </c>
      <c r="B1164" s="1" t="n">
        <v>44517.37467592592</v>
      </c>
      <c r="C1164" s="1" t="n">
        <v>46081</v>
      </c>
      <c r="D1164" t="inlineStr">
        <is>
          <t>VÄRMLANDS LÄN</t>
        </is>
      </c>
      <c r="E1164" t="inlineStr">
        <is>
          <t>ÅRJÄNG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42149-2024</t>
        </is>
      </c>
      <c r="B1165" s="1" t="n">
        <v>45562.44591435185</v>
      </c>
      <c r="C1165" s="1" t="n">
        <v>46081</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47223-2021</t>
        </is>
      </c>
      <c r="B1166" s="1" t="n">
        <v>44446</v>
      </c>
      <c r="C1166" s="1" t="n">
        <v>46081</v>
      </c>
      <c r="D1166" t="inlineStr">
        <is>
          <t>VÄRMLANDS LÄN</t>
        </is>
      </c>
      <c r="E1166" t="inlineStr">
        <is>
          <t>ÅRJÄNG</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10220-2026</t>
        </is>
      </c>
      <c r="B1167" s="1" t="n">
        <v>46076.49512731482</v>
      </c>
      <c r="C1167" s="1" t="n">
        <v>46081</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4748-2023</t>
        </is>
      </c>
      <c r="B1168" s="1" t="n">
        <v>44957</v>
      </c>
      <c r="C1168" s="1" t="n">
        <v>46081</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43244-2023</t>
        </is>
      </c>
      <c r="B1169" s="1" t="n">
        <v>45183.48121527778</v>
      </c>
      <c r="C1169" s="1" t="n">
        <v>46081</v>
      </c>
      <c r="D1169" t="inlineStr">
        <is>
          <t>VÄRMLANDS LÄN</t>
        </is>
      </c>
      <c r="E1169" t="inlineStr">
        <is>
          <t>ÅRJÄNG</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42141-2024</t>
        </is>
      </c>
      <c r="B1170" s="1" t="n">
        <v>45562.43354166667</v>
      </c>
      <c r="C1170" s="1" t="n">
        <v>46081</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11026-2023</t>
        </is>
      </c>
      <c r="B1171" s="1" t="n">
        <v>44991</v>
      </c>
      <c r="C1171" s="1" t="n">
        <v>46081</v>
      </c>
      <c r="D1171" t="inlineStr">
        <is>
          <t>VÄRMLANDS LÄN</t>
        </is>
      </c>
      <c r="E1171" t="inlineStr">
        <is>
          <t>ÅRJÄNG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42455-2024</t>
        </is>
      </c>
      <c r="B1172" s="1" t="n">
        <v>45565</v>
      </c>
      <c r="C1172" s="1" t="n">
        <v>46081</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49673-2022</t>
        </is>
      </c>
      <c r="B1173" s="1" t="n">
        <v>44862.47881944444</v>
      </c>
      <c r="C1173" s="1" t="n">
        <v>46081</v>
      </c>
      <c r="D1173" t="inlineStr">
        <is>
          <t>VÄRMLANDS LÄN</t>
        </is>
      </c>
      <c r="E1173" t="inlineStr">
        <is>
          <t>ÅRJÄNG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54335-2021</t>
        </is>
      </c>
      <c r="B1174" s="1" t="n">
        <v>44472.93063657408</v>
      </c>
      <c r="C1174" s="1" t="n">
        <v>46081</v>
      </c>
      <c r="D1174" t="inlineStr">
        <is>
          <t>VÄRMLANDS LÄN</t>
        </is>
      </c>
      <c r="E1174" t="inlineStr">
        <is>
          <t>ÅRJÄNG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2994-2026</t>
        </is>
      </c>
      <c r="B1175" s="1" t="n">
        <v>46038.64108796296</v>
      </c>
      <c r="C1175" s="1" t="n">
        <v>46081</v>
      </c>
      <c r="D1175" t="inlineStr">
        <is>
          <t>VÄRMLANDS LÄN</t>
        </is>
      </c>
      <c r="E1175" t="inlineStr">
        <is>
          <t>ÅRJÄNG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11176-2023</t>
        </is>
      </c>
      <c r="B1176" s="1" t="n">
        <v>44987</v>
      </c>
      <c r="C1176" s="1" t="n">
        <v>46081</v>
      </c>
      <c r="D1176" t="inlineStr">
        <is>
          <t>VÄRMLANDS LÄN</t>
        </is>
      </c>
      <c r="E1176" t="inlineStr">
        <is>
          <t>ÅRJÄNG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46081</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10919-2026</t>
        </is>
      </c>
      <c r="B1178" s="1" t="n">
        <v>46079.32809027778</v>
      </c>
      <c r="C1178" s="1" t="n">
        <v>46081</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10884-2026</t>
        </is>
      </c>
      <c r="B1179" s="1" t="n">
        <v>46078</v>
      </c>
      <c r="C1179" s="1" t="n">
        <v>46081</v>
      </c>
      <c r="D1179" t="inlineStr">
        <is>
          <t>VÄRMLANDS LÄN</t>
        </is>
      </c>
      <c r="E1179" t="inlineStr">
        <is>
          <t>ÅRJÄNG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61009-2022</t>
        </is>
      </c>
      <c r="B1180" s="1" t="n">
        <v>44914.7541550926</v>
      </c>
      <c r="C1180" s="1" t="n">
        <v>46081</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34574-2023</t>
        </is>
      </c>
      <c r="B1181" s="1" t="n">
        <v>45135</v>
      </c>
      <c r="C1181" s="1" t="n">
        <v>46081</v>
      </c>
      <c r="D1181" t="inlineStr">
        <is>
          <t>VÄRMLANDS LÄN</t>
        </is>
      </c>
      <c r="E1181" t="inlineStr">
        <is>
          <t>ÅRJÄNG</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10885-2026</t>
        </is>
      </c>
      <c r="B1182" s="1" t="n">
        <v>46078</v>
      </c>
      <c r="C1182" s="1" t="n">
        <v>46081</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2889-2026</t>
        </is>
      </c>
      <c r="B1183" s="1" t="n">
        <v>46038.54552083334</v>
      </c>
      <c r="C1183" s="1" t="n">
        <v>46081</v>
      </c>
      <c r="D1183" t="inlineStr">
        <is>
          <t>VÄRMLANDS LÄN</t>
        </is>
      </c>
      <c r="E1183" t="inlineStr">
        <is>
          <t>ÅRJÄNG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48293-2022</t>
        </is>
      </c>
      <c r="B1184" s="1" t="n">
        <v>44858.51623842592</v>
      </c>
      <c r="C1184" s="1" t="n">
        <v>46081</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38433-2024</t>
        </is>
      </c>
      <c r="B1185" s="1" t="n">
        <v>45546</v>
      </c>
      <c r="C1185" s="1" t="n">
        <v>46081</v>
      </c>
      <c r="D1185" t="inlineStr">
        <is>
          <t>VÄRMLANDS LÄN</t>
        </is>
      </c>
      <c r="E1185" t="inlineStr">
        <is>
          <t>ÅRJÄNG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2866-2026</t>
        </is>
      </c>
      <c r="B1186" s="1" t="n">
        <v>46038.50064814815</v>
      </c>
      <c r="C1186" s="1" t="n">
        <v>46081</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11052-2026</t>
        </is>
      </c>
      <c r="B1187" s="1" t="n">
        <v>46079</v>
      </c>
      <c r="C1187" s="1" t="n">
        <v>46081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2895-2026</t>
        </is>
      </c>
      <c r="B1188" s="1" t="n">
        <v>46038.5502662037</v>
      </c>
      <c r="C1188" s="1" t="n">
        <v>46081</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7746-2022</t>
        </is>
      </c>
      <c r="B1189" s="1" t="n">
        <v>44608.39331018519</v>
      </c>
      <c r="C1189" s="1" t="n">
        <v>46081</v>
      </c>
      <c r="D1189" t="inlineStr">
        <is>
          <t>VÄRMLANDS LÄN</t>
        </is>
      </c>
      <c r="E1189" t="inlineStr">
        <is>
          <t>ÅRJÄNG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34410-2023</t>
        </is>
      </c>
      <c r="B1190" s="1" t="n">
        <v>45139.56870370371</v>
      </c>
      <c r="C1190" s="1" t="n">
        <v>46081</v>
      </c>
      <c r="D1190" t="inlineStr">
        <is>
          <t>VÄRMLANDS LÄN</t>
        </is>
      </c>
      <c r="E1190" t="inlineStr">
        <is>
          <t>ÅRJÄNG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2583-2026</t>
        </is>
      </c>
      <c r="B1191" s="1" t="n">
        <v>46037.5405787037</v>
      </c>
      <c r="C1191" s="1" t="n">
        <v>46081</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2885-2026</t>
        </is>
      </c>
      <c r="B1192" s="1" t="n">
        <v>46038.53978009259</v>
      </c>
      <c r="C1192" s="1" t="n">
        <v>46081</v>
      </c>
      <c r="D1192" t="inlineStr">
        <is>
          <t>VÄRMLANDS LÄN</t>
        </is>
      </c>
      <c r="E1192" t="inlineStr">
        <is>
          <t>ÅRJÄNG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50301-2024</t>
        </is>
      </c>
      <c r="B1193" s="1" t="n">
        <v>45600</v>
      </c>
      <c r="C1193" s="1" t="n">
        <v>46081</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15616-2023</t>
        </is>
      </c>
      <c r="B1194" s="1" t="n">
        <v>45020.88847222222</v>
      </c>
      <c r="C1194" s="1" t="n">
        <v>46081</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5342-2022</t>
        </is>
      </c>
      <c r="B1195" s="1" t="n">
        <v>44594.72582175926</v>
      </c>
      <c r="C1195" s="1" t="n">
        <v>46081</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25654-2024</t>
        </is>
      </c>
      <c r="B1196" s="1" t="n">
        <v>45463</v>
      </c>
      <c r="C1196" s="1" t="n">
        <v>46081</v>
      </c>
      <c r="D1196" t="inlineStr">
        <is>
          <t>VÄRMLANDS LÄN</t>
        </is>
      </c>
      <c r="E1196" t="inlineStr">
        <is>
          <t>ÅRJÄNG</t>
        </is>
      </c>
      <c r="G1196" t="n">
        <v>16.9</v>
      </c>
      <c r="H1196" t="n">
        <v>0</v>
      </c>
      <c r="I1196" t="n">
        <v>0</v>
      </c>
      <c r="J1196" t="n">
        <v>0</v>
      </c>
      <c r="K1196" t="n">
        <v>0</v>
      </c>
      <c r="L1196" t="n">
        <v>0</v>
      </c>
      <c r="M1196" t="n">
        <v>0</v>
      </c>
      <c r="N1196" t="n">
        <v>0</v>
      </c>
      <c r="O1196" t="n">
        <v>0</v>
      </c>
      <c r="P1196" t="n">
        <v>0</v>
      </c>
      <c r="Q1196" t="n">
        <v>0</v>
      </c>
      <c r="R1196" s="2" t="inlineStr"/>
    </row>
    <row r="1197" ht="15" customHeight="1">
      <c r="A1197" t="inlineStr">
        <is>
          <t>A 2572-2026</t>
        </is>
      </c>
      <c r="B1197" s="1" t="n">
        <v>46037.50928240741</v>
      </c>
      <c r="C1197" s="1" t="n">
        <v>46081</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30548-2023</t>
        </is>
      </c>
      <c r="B1198" s="1" t="n">
        <v>45111.77894675926</v>
      </c>
      <c r="C1198" s="1" t="n">
        <v>46081</v>
      </c>
      <c r="D1198" t="inlineStr">
        <is>
          <t>VÄRMLANDS LÄN</t>
        </is>
      </c>
      <c r="E1198" t="inlineStr">
        <is>
          <t>ÅRJÄNG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32776-2024</t>
        </is>
      </c>
      <c r="B1199" s="1" t="n">
        <v>45516</v>
      </c>
      <c r="C1199" s="1" t="n">
        <v>46081</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17174-2023</t>
        </is>
      </c>
      <c r="B1200" s="1" t="n">
        <v>45034</v>
      </c>
      <c r="C1200" s="1" t="n">
        <v>46081</v>
      </c>
      <c r="D1200" t="inlineStr">
        <is>
          <t>VÄRMLANDS LÄN</t>
        </is>
      </c>
      <c r="E1200" t="inlineStr">
        <is>
          <t>ÅRJÄNG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44385-2022</t>
        </is>
      </c>
      <c r="B1201" s="1" t="n">
        <v>44839</v>
      </c>
      <c r="C1201" s="1" t="n">
        <v>46081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68180-2021</t>
        </is>
      </c>
      <c r="B1202" s="1" t="n">
        <v>44526.48689814815</v>
      </c>
      <c r="C1202" s="1" t="n">
        <v>46081</v>
      </c>
      <c r="D1202" t="inlineStr">
        <is>
          <t>VÄRMLANDS LÄN</t>
        </is>
      </c>
      <c r="E1202" t="inlineStr">
        <is>
          <t>ÅRJÄNG</t>
        </is>
      </c>
      <c r="F1202" t="inlineStr">
        <is>
          <t>Kyrkan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28384-2022</t>
        </is>
      </c>
      <c r="B1203" s="1" t="n">
        <v>44747</v>
      </c>
      <c r="C1203" s="1" t="n">
        <v>46081</v>
      </c>
      <c r="D1203" t="inlineStr">
        <is>
          <t>VÄRMLANDS LÄN</t>
        </is>
      </c>
      <c r="E1203" t="inlineStr">
        <is>
          <t>ÅRJÄNG</t>
        </is>
      </c>
      <c r="F1203" t="inlineStr">
        <is>
          <t>Naturvårdsverket</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47623-2024</t>
        </is>
      </c>
      <c r="B1204" s="1" t="n">
        <v>45588.33216435185</v>
      </c>
      <c r="C1204" s="1" t="n">
        <v>46081</v>
      </c>
      <c r="D1204" t="inlineStr">
        <is>
          <t>VÄRMLANDS LÄN</t>
        </is>
      </c>
      <c r="E1204" t="inlineStr">
        <is>
          <t>ÅRJÄNG</t>
        </is>
      </c>
      <c r="F1204" t="inlineStr">
        <is>
          <t>Kommuner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23203-2023</t>
        </is>
      </c>
      <c r="B1205" s="1" t="n">
        <v>45075.61314814815</v>
      </c>
      <c r="C1205" s="1" t="n">
        <v>46081</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23212-2023</t>
        </is>
      </c>
      <c r="B1206" s="1" t="n">
        <v>45075.63211805555</v>
      </c>
      <c r="C1206" s="1" t="n">
        <v>46081</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24505-2023</t>
        </is>
      </c>
      <c r="B1207" s="1" t="n">
        <v>45082</v>
      </c>
      <c r="C1207" s="1" t="n">
        <v>46081</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56314-2024</t>
        </is>
      </c>
      <c r="B1208" s="1" t="n">
        <v>45624.72149305556</v>
      </c>
      <c r="C1208" s="1" t="n">
        <v>46081</v>
      </c>
      <c r="D1208" t="inlineStr">
        <is>
          <t>VÄRMLANDS LÄN</t>
        </is>
      </c>
      <c r="E1208" t="inlineStr">
        <is>
          <t>ÅRJÄNG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59622-2022</t>
        </is>
      </c>
      <c r="B1209" s="1" t="n">
        <v>44907.89939814815</v>
      </c>
      <c r="C1209" s="1" t="n">
        <v>46081</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45929-2024</t>
        </is>
      </c>
      <c r="B1210" s="1" t="n">
        <v>45580</v>
      </c>
      <c r="C1210" s="1" t="n">
        <v>46081</v>
      </c>
      <c r="D1210" t="inlineStr">
        <is>
          <t>VÄRMLANDS LÄN</t>
        </is>
      </c>
      <c r="E1210" t="inlineStr">
        <is>
          <t>ÅRJÄNG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45876-2024</t>
        </is>
      </c>
      <c r="B1211" s="1" t="n">
        <v>45580</v>
      </c>
      <c r="C1211" s="1" t="n">
        <v>46081</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46081</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23870-2023</t>
        </is>
      </c>
      <c r="B1213" s="1" t="n">
        <v>45078</v>
      </c>
      <c r="C1213" s="1" t="n">
        <v>46081</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45962-2021</t>
        </is>
      </c>
      <c r="B1214" s="1" t="n">
        <v>44441</v>
      </c>
      <c r="C1214" s="1" t="n">
        <v>46081</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60126-2024</t>
        </is>
      </c>
      <c r="B1215" s="1" t="n">
        <v>45642.5919212963</v>
      </c>
      <c r="C1215" s="1" t="n">
        <v>46081</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12907-2022</t>
        </is>
      </c>
      <c r="B1216" s="1" t="n">
        <v>44642.62002314815</v>
      </c>
      <c r="C1216" s="1" t="n">
        <v>46081</v>
      </c>
      <c r="D1216" t="inlineStr">
        <is>
          <t>VÄRMLANDS LÄN</t>
        </is>
      </c>
      <c r="E1216" t="inlineStr">
        <is>
          <t>ÅRJÄNG</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13060-2022</t>
        </is>
      </c>
      <c r="B1217" s="1" t="n">
        <v>44643</v>
      </c>
      <c r="C1217" s="1" t="n">
        <v>46081</v>
      </c>
      <c r="D1217" t="inlineStr">
        <is>
          <t>VÄRMLANDS LÄN</t>
        </is>
      </c>
      <c r="E1217" t="inlineStr">
        <is>
          <t>ÅRJÄNG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13160-2022</t>
        </is>
      </c>
      <c r="B1218" s="1" t="n">
        <v>44644.43545138889</v>
      </c>
      <c r="C1218" s="1" t="n">
        <v>46081</v>
      </c>
      <c r="D1218" t="inlineStr">
        <is>
          <t>VÄRMLANDS LÄN</t>
        </is>
      </c>
      <c r="E1218" t="inlineStr">
        <is>
          <t>ÅRJÄNG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60930-2021</t>
        </is>
      </c>
      <c r="B1219" s="1" t="n">
        <v>44497.46921296296</v>
      </c>
      <c r="C1219" s="1" t="n">
        <v>46081</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12209-2023</t>
        </is>
      </c>
      <c r="B1220" s="1" t="n">
        <v>44998</v>
      </c>
      <c r="C1220" s="1" t="n">
        <v>46081</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26866-2024</t>
        </is>
      </c>
      <c r="B1221" s="1" t="n">
        <v>45470</v>
      </c>
      <c r="C1221" s="1" t="n">
        <v>46081</v>
      </c>
      <c r="D1221" t="inlineStr">
        <is>
          <t>VÄRMLANDS LÄN</t>
        </is>
      </c>
      <c r="E1221" t="inlineStr">
        <is>
          <t>ÅRJÄNG</t>
        </is>
      </c>
      <c r="F1221" t="inlineStr">
        <is>
          <t>Kyrkan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49133-2024</t>
        </is>
      </c>
      <c r="B1222" s="1" t="n">
        <v>45594</v>
      </c>
      <c r="C1222" s="1" t="n">
        <v>46081</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12740-2025</t>
        </is>
      </c>
      <c r="B1223" s="1" t="n">
        <v>45733</v>
      </c>
      <c r="C1223" s="1" t="n">
        <v>46081</v>
      </c>
      <c r="D1223" t="inlineStr">
        <is>
          <t>VÄRMLANDS LÄN</t>
        </is>
      </c>
      <c r="E1223" t="inlineStr">
        <is>
          <t>ÅRJÄNG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1415-2025</t>
        </is>
      </c>
      <c r="B1224" s="1" t="n">
        <v>45668.32795138889</v>
      </c>
      <c r="C1224" s="1" t="n">
        <v>46081</v>
      </c>
      <c r="D1224" t="inlineStr">
        <is>
          <t>VÄRMLANDS LÄN</t>
        </is>
      </c>
      <c r="E1224" t="inlineStr">
        <is>
          <t>ÅRJÄNG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15300-2025</t>
        </is>
      </c>
      <c r="B1225" s="1" t="n">
        <v>45746</v>
      </c>
      <c r="C1225" s="1" t="n">
        <v>46081</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6962-2025</t>
        </is>
      </c>
      <c r="B1226" s="1" t="n">
        <v>45701</v>
      </c>
      <c r="C1226" s="1" t="n">
        <v>46081</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46249-2023</t>
        </is>
      </c>
      <c r="B1227" s="1" t="n">
        <v>45196.89337962963</v>
      </c>
      <c r="C1227" s="1" t="n">
        <v>46081</v>
      </c>
      <c r="D1227" t="inlineStr">
        <is>
          <t>VÄRMLANDS LÄN</t>
        </is>
      </c>
      <c r="E1227" t="inlineStr">
        <is>
          <t>ÅRJÄNG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21392-2023</t>
        </is>
      </c>
      <c r="B1228" s="1" t="n">
        <v>45061</v>
      </c>
      <c r="C1228" s="1" t="n">
        <v>46081</v>
      </c>
      <c r="D1228" t="inlineStr">
        <is>
          <t>VÄRMLANDS LÄN</t>
        </is>
      </c>
      <c r="E1228" t="inlineStr">
        <is>
          <t>ÅRJÄNG</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44140-2024</t>
        </is>
      </c>
      <c r="B1229" s="1" t="n">
        <v>45572</v>
      </c>
      <c r="C1229" s="1" t="n">
        <v>46081</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7184-2024</t>
        </is>
      </c>
      <c r="B1230" s="1" t="n">
        <v>45344</v>
      </c>
      <c r="C1230" s="1" t="n">
        <v>46081</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480-2025</t>
        </is>
      </c>
      <c r="B1231" s="1" t="n">
        <v>45664</v>
      </c>
      <c r="C1231" s="1" t="n">
        <v>46081</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2253-2025</t>
        </is>
      </c>
      <c r="B1232" s="1" t="n">
        <v>45673</v>
      </c>
      <c r="C1232" s="1" t="n">
        <v>46081</v>
      </c>
      <c r="D1232" t="inlineStr">
        <is>
          <t>VÄRMLANDS LÄN</t>
        </is>
      </c>
      <c r="E1232" t="inlineStr">
        <is>
          <t>ÅRJÄNG</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4976-2025</t>
        </is>
      </c>
      <c r="B1233" s="1" t="n">
        <v>45690.86565972222</v>
      </c>
      <c r="C1233" s="1" t="n">
        <v>46081</v>
      </c>
      <c r="D1233" t="inlineStr">
        <is>
          <t>VÄRMLANDS LÄN</t>
        </is>
      </c>
      <c r="E1233" t="inlineStr">
        <is>
          <t>ÅRJÄNG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13726-2024</t>
        </is>
      </c>
      <c r="B1234" s="1" t="n">
        <v>45390.68759259259</v>
      </c>
      <c r="C1234" s="1" t="n">
        <v>46081</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12068-2022</t>
        </is>
      </c>
      <c r="B1235" s="1" t="n">
        <v>44636</v>
      </c>
      <c r="C1235" s="1" t="n">
        <v>46081</v>
      </c>
      <c r="D1235" t="inlineStr">
        <is>
          <t>VÄRMLANDS LÄN</t>
        </is>
      </c>
      <c r="E1235" t="inlineStr">
        <is>
          <t>ÅRJÄNG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54437-2021</t>
        </is>
      </c>
      <c r="B1236" s="1" t="n">
        <v>44459</v>
      </c>
      <c r="C1236" s="1" t="n">
        <v>46081</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13814-2024</t>
        </is>
      </c>
      <c r="B1237" s="1" t="n">
        <v>45391</v>
      </c>
      <c r="C1237" s="1" t="n">
        <v>46081</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13819-2024</t>
        </is>
      </c>
      <c r="B1238" s="1" t="n">
        <v>45391.42252314815</v>
      </c>
      <c r="C1238" s="1" t="n">
        <v>46081</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12082-2023</t>
        </is>
      </c>
      <c r="B1239" s="1" t="n">
        <v>44997.78215277778</v>
      </c>
      <c r="C1239" s="1" t="n">
        <v>46081</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61913-2024</t>
        </is>
      </c>
      <c r="B1240" s="1" t="n">
        <v>45653.38708333333</v>
      </c>
      <c r="C1240" s="1" t="n">
        <v>46081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5931-2023</t>
        </is>
      </c>
      <c r="B1241" s="1" t="n">
        <v>44963</v>
      </c>
      <c r="C1241" s="1" t="n">
        <v>46081</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33728-2021</t>
        </is>
      </c>
      <c r="B1242" s="1" t="n">
        <v>44378.47640046296</v>
      </c>
      <c r="C1242" s="1" t="n">
        <v>46081</v>
      </c>
      <c r="D1242" t="inlineStr">
        <is>
          <t>VÄRMLANDS LÄN</t>
        </is>
      </c>
      <c r="E1242" t="inlineStr">
        <is>
          <t>ÅRJÄNG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13317-2025</t>
        </is>
      </c>
      <c r="B1243" s="1" t="n">
        <v>45735.59452546296</v>
      </c>
      <c r="C1243" s="1" t="n">
        <v>46081</v>
      </c>
      <c r="D1243" t="inlineStr">
        <is>
          <t>VÄRMLANDS LÄN</t>
        </is>
      </c>
      <c r="E1243" t="inlineStr">
        <is>
          <t>ÅRJÄNG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64903-2023</t>
        </is>
      </c>
      <c r="B1244" s="1" t="n">
        <v>45282</v>
      </c>
      <c r="C1244" s="1" t="n">
        <v>46081</v>
      </c>
      <c r="D1244" t="inlineStr">
        <is>
          <t>VÄRMLANDS LÄN</t>
        </is>
      </c>
      <c r="E1244" t="inlineStr">
        <is>
          <t>ÅRJÄNG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17878-2024</t>
        </is>
      </c>
      <c r="B1245" s="1" t="n">
        <v>45419</v>
      </c>
      <c r="C1245" s="1" t="n">
        <v>46081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64151-2023</t>
        </is>
      </c>
      <c r="B1246" s="1" t="n">
        <v>45279.58803240741</v>
      </c>
      <c r="C1246" s="1" t="n">
        <v>46081</v>
      </c>
      <c r="D1246" t="inlineStr">
        <is>
          <t>VÄRMLANDS LÄN</t>
        </is>
      </c>
      <c r="E1246" t="inlineStr">
        <is>
          <t>ÅRJÄNG</t>
        </is>
      </c>
      <c r="G1246" t="n">
        <v>24.5</v>
      </c>
      <c r="H1246" t="n">
        <v>0</v>
      </c>
      <c r="I1246" t="n">
        <v>0</v>
      </c>
      <c r="J1246" t="n">
        <v>0</v>
      </c>
      <c r="K1246" t="n">
        <v>0</v>
      </c>
      <c r="L1246" t="n">
        <v>0</v>
      </c>
      <c r="M1246" t="n">
        <v>0</v>
      </c>
      <c r="N1246" t="n">
        <v>0</v>
      </c>
      <c r="O1246" t="n">
        <v>0</v>
      </c>
      <c r="P1246" t="n">
        <v>0</v>
      </c>
      <c r="Q1246" t="n">
        <v>0</v>
      </c>
      <c r="R1246" s="2" t="inlineStr"/>
    </row>
    <row r="1247" ht="15" customHeight="1">
      <c r="A1247" t="inlineStr">
        <is>
          <t>A 8838-2023</t>
        </is>
      </c>
      <c r="B1247" s="1" t="n">
        <v>44978</v>
      </c>
      <c r="C1247" s="1" t="n">
        <v>46081</v>
      </c>
      <c r="D1247" t="inlineStr">
        <is>
          <t>VÄRMLANDS LÄN</t>
        </is>
      </c>
      <c r="E1247" t="inlineStr">
        <is>
          <t>ÅRJÄNG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51258-2022</t>
        </is>
      </c>
      <c r="B1248" s="1" t="n">
        <v>44868.67460648148</v>
      </c>
      <c r="C1248" s="1" t="n">
        <v>46081</v>
      </c>
      <c r="D1248" t="inlineStr">
        <is>
          <t>VÄRMLANDS LÄN</t>
        </is>
      </c>
      <c r="E1248" t="inlineStr">
        <is>
          <t>ÅRJÄNG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23847-2023</t>
        </is>
      </c>
      <c r="B1249" s="1" t="n">
        <v>45078</v>
      </c>
      <c r="C1249" s="1" t="n">
        <v>46081</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15327-2022</t>
        </is>
      </c>
      <c r="B1250" s="1" t="n">
        <v>44659</v>
      </c>
      <c r="C1250" s="1" t="n">
        <v>46081</v>
      </c>
      <c r="D1250" t="inlineStr">
        <is>
          <t>VÄRMLANDS LÄN</t>
        </is>
      </c>
      <c r="E1250" t="inlineStr">
        <is>
          <t>ÅRJÄNG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71812-2021</t>
        </is>
      </c>
      <c r="B1251" s="1" t="n">
        <v>44539</v>
      </c>
      <c r="C1251" s="1" t="n">
        <v>46081</v>
      </c>
      <c r="D1251" t="inlineStr">
        <is>
          <t>VÄRMLANDS LÄN</t>
        </is>
      </c>
      <c r="E1251" t="inlineStr">
        <is>
          <t>ÅRJÄNG</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34580-2023</t>
        </is>
      </c>
      <c r="B1252" s="1" t="n">
        <v>45135</v>
      </c>
      <c r="C1252" s="1" t="n">
        <v>46081</v>
      </c>
      <c r="D1252" t="inlineStr">
        <is>
          <t>VÄRMLANDS LÄN</t>
        </is>
      </c>
      <c r="E1252" t="inlineStr">
        <is>
          <t>ÅRJÄNG</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15164-2023</t>
        </is>
      </c>
      <c r="B1253" s="1" t="n">
        <v>45016.59475694445</v>
      </c>
      <c r="C1253" s="1" t="n">
        <v>46081</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39187-2024</t>
        </is>
      </c>
      <c r="B1254" s="1" t="n">
        <v>45548.66915509259</v>
      </c>
      <c r="C1254" s="1" t="n">
        <v>46081</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24483-2024</t>
        </is>
      </c>
      <c r="B1255" s="1" t="n">
        <v>45459</v>
      </c>
      <c r="C1255" s="1" t="n">
        <v>46081</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24273-2023</t>
        </is>
      </c>
      <c r="B1256" s="1" t="n">
        <v>45079.6764699074</v>
      </c>
      <c r="C1256" s="1" t="n">
        <v>46081</v>
      </c>
      <c r="D1256" t="inlineStr">
        <is>
          <t>VÄRMLANDS LÄN</t>
        </is>
      </c>
      <c r="E1256" t="inlineStr">
        <is>
          <t>ÅRJÄNG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56940-2024</t>
        </is>
      </c>
      <c r="B1257" s="1" t="n">
        <v>45628.61755787037</v>
      </c>
      <c r="C1257" s="1" t="n">
        <v>46081</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36344-2023</t>
        </is>
      </c>
      <c r="B1258" s="1" t="n">
        <v>45152</v>
      </c>
      <c r="C1258" s="1" t="n">
        <v>46081</v>
      </c>
      <c r="D1258" t="inlineStr">
        <is>
          <t>VÄRMLANDS LÄN</t>
        </is>
      </c>
      <c r="E1258" t="inlineStr">
        <is>
          <t>ÅRJÄNG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23904-2023</t>
        </is>
      </c>
      <c r="B1259" s="1" t="n">
        <v>45078.55413194445</v>
      </c>
      <c r="C1259" s="1" t="n">
        <v>46081</v>
      </c>
      <c r="D1259" t="inlineStr">
        <is>
          <t>VÄRMLANDS LÄN</t>
        </is>
      </c>
      <c r="E1259" t="inlineStr">
        <is>
          <t>ÅRJÄNG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21177-2023</t>
        </is>
      </c>
      <c r="B1260" s="1" t="n">
        <v>45062</v>
      </c>
      <c r="C1260" s="1" t="n">
        <v>46081</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46317-2024</t>
        </is>
      </c>
      <c r="B1261" s="1" t="n">
        <v>45581.74462962963</v>
      </c>
      <c r="C1261" s="1" t="n">
        <v>46081</v>
      </c>
      <c r="D1261" t="inlineStr">
        <is>
          <t>VÄRMLANDS LÄN</t>
        </is>
      </c>
      <c r="E1261" t="inlineStr">
        <is>
          <t>ÅRJÄNG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1580-2025</t>
        </is>
      </c>
      <c r="B1262" s="1" t="n">
        <v>45670</v>
      </c>
      <c r="C1262" s="1" t="n">
        <v>46081</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39557-2023</t>
        </is>
      </c>
      <c r="B1263" s="1" t="n">
        <v>45167.38633101852</v>
      </c>
      <c r="C1263" s="1" t="n">
        <v>46081</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2551-2025</t>
        </is>
      </c>
      <c r="B1264" s="1" t="n">
        <v>45674.63969907408</v>
      </c>
      <c r="C1264" s="1" t="n">
        <v>46081</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3848-2025</t>
        </is>
      </c>
      <c r="B1265" s="1" t="n">
        <v>45683</v>
      </c>
      <c r="C1265" s="1" t="n">
        <v>46081</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47833-2023</t>
        </is>
      </c>
      <c r="B1266" s="1" t="n">
        <v>45204.36287037037</v>
      </c>
      <c r="C1266" s="1" t="n">
        <v>46081</v>
      </c>
      <c r="D1266" t="inlineStr">
        <is>
          <t>VÄRMLANDS LÄN</t>
        </is>
      </c>
      <c r="E1266" t="inlineStr">
        <is>
          <t>ÅRJÄNG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40352-2023</t>
        </is>
      </c>
      <c r="B1267" s="1" t="n">
        <v>45168</v>
      </c>
      <c r="C1267" s="1" t="n">
        <v>46081</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55167-2024</t>
        </is>
      </c>
      <c r="B1268" s="1" t="n">
        <v>45621</v>
      </c>
      <c r="C1268" s="1" t="n">
        <v>46081</v>
      </c>
      <c r="D1268" t="inlineStr">
        <is>
          <t>VÄRMLANDS LÄN</t>
        </is>
      </c>
      <c r="E1268" t="inlineStr">
        <is>
          <t>ÅRJÄNG</t>
        </is>
      </c>
      <c r="F1268" t="inlineStr">
        <is>
          <t>Bergvik skog väst AB</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33017-2022</t>
        </is>
      </c>
      <c r="B1269" s="1" t="n">
        <v>44785.32934027778</v>
      </c>
      <c r="C1269" s="1" t="n">
        <v>46081</v>
      </c>
      <c r="D1269" t="inlineStr">
        <is>
          <t>VÄRMLANDS LÄN</t>
        </is>
      </c>
      <c r="E1269" t="inlineStr">
        <is>
          <t>ÅRJÄNG</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16383-2022</t>
        </is>
      </c>
      <c r="B1270" s="1" t="n">
        <v>44671</v>
      </c>
      <c r="C1270" s="1" t="n">
        <v>46081</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13620-2023</t>
        </is>
      </c>
      <c r="B1271" s="1" t="n">
        <v>45006</v>
      </c>
      <c r="C1271" s="1" t="n">
        <v>46081</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16666-2025</t>
        </is>
      </c>
      <c r="B1272" s="1" t="n">
        <v>45754</v>
      </c>
      <c r="C1272" s="1" t="n">
        <v>46081</v>
      </c>
      <c r="D1272" t="inlineStr">
        <is>
          <t>VÄRMLANDS LÄN</t>
        </is>
      </c>
      <c r="E1272" t="inlineStr">
        <is>
          <t>ÅRJÄNG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16806-2024</t>
        </is>
      </c>
      <c r="B1273" s="1" t="n">
        <v>45411.45510416666</v>
      </c>
      <c r="C1273" s="1" t="n">
        <v>46081</v>
      </c>
      <c r="D1273" t="inlineStr">
        <is>
          <t>VÄRMLANDS LÄN</t>
        </is>
      </c>
      <c r="E1273" t="inlineStr">
        <is>
          <t>ÅRJÄNG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45266.40989583333</v>
      </c>
      <c r="C1274" s="1" t="n">
        <v>46081</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12687-2025</t>
        </is>
      </c>
      <c r="B1275" s="1" t="n">
        <v>45733.44953703704</v>
      </c>
      <c r="C1275" s="1" t="n">
        <v>46081</v>
      </c>
      <c r="D1275" t="inlineStr">
        <is>
          <t>VÄRMLANDS LÄN</t>
        </is>
      </c>
      <c r="E1275" t="inlineStr">
        <is>
          <t>ÅRJÄNG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28260-2024</t>
        </is>
      </c>
      <c r="B1276" s="1" t="n">
        <v>45477</v>
      </c>
      <c r="C1276" s="1" t="n">
        <v>46081</v>
      </c>
      <c r="D1276" t="inlineStr">
        <is>
          <t>VÄRMLANDS LÄN</t>
        </is>
      </c>
      <c r="E1276" t="inlineStr">
        <is>
          <t>ÅRJÄNG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1560-2025</t>
        </is>
      </c>
      <c r="B1277" s="1" t="n">
        <v>45670.53878472222</v>
      </c>
      <c r="C1277" s="1" t="n">
        <v>46081</v>
      </c>
      <c r="D1277" t="inlineStr">
        <is>
          <t>VÄRMLANDS LÄN</t>
        </is>
      </c>
      <c r="E1277" t="inlineStr">
        <is>
          <t>ÅRJÄNG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30710-2023</t>
        </is>
      </c>
      <c r="B1278" s="1" t="n">
        <v>45112.59900462963</v>
      </c>
      <c r="C1278" s="1" t="n">
        <v>46081</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8255-2025</t>
        </is>
      </c>
      <c r="B1279" s="1" t="n">
        <v>45708.49788194444</v>
      </c>
      <c r="C1279" s="1" t="n">
        <v>46081</v>
      </c>
      <c r="D1279" t="inlineStr">
        <is>
          <t>VÄRMLANDS LÄN</t>
        </is>
      </c>
      <c r="E1279" t="inlineStr">
        <is>
          <t>ÅRJÄNG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34409-2023</t>
        </is>
      </c>
      <c r="B1280" s="1" t="n">
        <v>45139.56662037037</v>
      </c>
      <c r="C1280" s="1" t="n">
        <v>46081</v>
      </c>
      <c r="D1280" t="inlineStr">
        <is>
          <t>VÄRMLANDS LÄN</t>
        </is>
      </c>
      <c r="E1280" t="inlineStr">
        <is>
          <t>ÅRJÄNG</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2222-2023</t>
        </is>
      </c>
      <c r="B1281" s="1" t="n">
        <v>44942.4250462963</v>
      </c>
      <c r="C1281" s="1" t="n">
        <v>46081</v>
      </c>
      <c r="D1281" t="inlineStr">
        <is>
          <t>VÄRMLANDS LÄN</t>
        </is>
      </c>
      <c r="E1281" t="inlineStr">
        <is>
          <t>ÅRJÄNG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29263-2023</t>
        </is>
      </c>
      <c r="B1282" s="1" t="n">
        <v>45105</v>
      </c>
      <c r="C1282" s="1" t="n">
        <v>46081</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20354-2023</t>
        </is>
      </c>
      <c r="B1283" s="1" t="n">
        <v>45056</v>
      </c>
      <c r="C1283" s="1" t="n">
        <v>46081</v>
      </c>
      <c r="D1283" t="inlineStr">
        <is>
          <t>VÄRMLANDS LÄN</t>
        </is>
      </c>
      <c r="E1283" t="inlineStr">
        <is>
          <t>ÅRJÄNG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13481-2025</t>
        </is>
      </c>
      <c r="B1284" s="1" t="n">
        <v>45736</v>
      </c>
      <c r="C1284" s="1" t="n">
        <v>46081</v>
      </c>
      <c r="D1284" t="inlineStr">
        <is>
          <t>VÄRMLANDS LÄN</t>
        </is>
      </c>
      <c r="E1284" t="inlineStr">
        <is>
          <t>ÅRJÄNG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5416-2025</t>
        </is>
      </c>
      <c r="B1285" s="1" t="n">
        <v>45692.67990740741</v>
      </c>
      <c r="C1285" s="1" t="n">
        <v>46081</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21996-2021</t>
        </is>
      </c>
      <c r="B1286" s="1" t="n">
        <v>44323</v>
      </c>
      <c r="C1286" s="1" t="n">
        <v>46081</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48014-2023</t>
        </is>
      </c>
      <c r="B1287" s="1" t="n">
        <v>45198</v>
      </c>
      <c r="C1287" s="1" t="n">
        <v>46081</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19843-2025</t>
        </is>
      </c>
      <c r="B1288" s="1" t="n">
        <v>45771</v>
      </c>
      <c r="C1288" s="1" t="n">
        <v>46081</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10681-2024</t>
        </is>
      </c>
      <c r="B1289" s="1" t="n">
        <v>45369.36349537037</v>
      </c>
      <c r="C1289" s="1" t="n">
        <v>46081</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11718-2024</t>
        </is>
      </c>
      <c r="B1290" s="1" t="n">
        <v>45373.63803240741</v>
      </c>
      <c r="C1290" s="1" t="n">
        <v>46081</v>
      </c>
      <c r="D1290" t="inlineStr">
        <is>
          <t>VÄRMLANDS LÄN</t>
        </is>
      </c>
      <c r="E1290" t="inlineStr">
        <is>
          <t>ÅRJÄNG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58769-2024</t>
        </is>
      </c>
      <c r="B1291" s="1" t="n">
        <v>45635.75688657408</v>
      </c>
      <c r="C1291" s="1" t="n">
        <v>46081</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3463-2025</t>
        </is>
      </c>
      <c r="B1292" s="1" t="n">
        <v>45680.49807870371</v>
      </c>
      <c r="C1292" s="1" t="n">
        <v>46081</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54900-2024</t>
        </is>
      </c>
      <c r="B1293" s="1" t="n">
        <v>45618.64770833333</v>
      </c>
      <c r="C1293" s="1" t="n">
        <v>46081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48781-2024</t>
        </is>
      </c>
      <c r="B1294" s="1" t="n">
        <v>45593</v>
      </c>
      <c r="C1294" s="1" t="n">
        <v>46081</v>
      </c>
      <c r="D1294" t="inlineStr">
        <is>
          <t>VÄRMLANDS LÄN</t>
        </is>
      </c>
      <c r="E1294" t="inlineStr">
        <is>
          <t>ÅRJÄNG</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23940-2023</t>
        </is>
      </c>
      <c r="B1295" s="1" t="n">
        <v>45075</v>
      </c>
      <c r="C1295" s="1" t="n">
        <v>46081</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39536-2022</t>
        </is>
      </c>
      <c r="B1296" s="1" t="n">
        <v>44818</v>
      </c>
      <c r="C1296" s="1" t="n">
        <v>46081</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5095-2022</t>
        </is>
      </c>
      <c r="B1297" s="1" t="n">
        <v>44593.86192129629</v>
      </c>
      <c r="C1297" s="1" t="n">
        <v>46081</v>
      </c>
      <c r="D1297" t="inlineStr">
        <is>
          <t>VÄRMLANDS LÄN</t>
        </is>
      </c>
      <c r="E1297" t="inlineStr">
        <is>
          <t>ÅRJÄNG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45292.54944444444</v>
      </c>
      <c r="C1298" s="1" t="n">
        <v>46081</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7995-2025</t>
        </is>
      </c>
      <c r="B1299" s="1" t="n">
        <v>45707.515625</v>
      </c>
      <c r="C1299" s="1" t="n">
        <v>46081</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58014-2022</t>
        </is>
      </c>
      <c r="B1300" s="1" t="n">
        <v>44893</v>
      </c>
      <c r="C1300" s="1" t="n">
        <v>46081</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36018-2024</t>
        </is>
      </c>
      <c r="B1301" s="1" t="n">
        <v>45533</v>
      </c>
      <c r="C1301" s="1" t="n">
        <v>46081</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36035-2024</t>
        </is>
      </c>
      <c r="B1302" s="1" t="n">
        <v>45533.59534722222</v>
      </c>
      <c r="C1302" s="1" t="n">
        <v>46081</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6646-2025</t>
        </is>
      </c>
      <c r="B1303" s="1" t="n">
        <v>45700</v>
      </c>
      <c r="C1303" s="1" t="n">
        <v>46081</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58152-2024</t>
        </is>
      </c>
      <c r="B1304" s="1" t="n">
        <v>45632.43947916666</v>
      </c>
      <c r="C1304" s="1" t="n">
        <v>46081</v>
      </c>
      <c r="D1304" t="inlineStr">
        <is>
          <t>VÄRMLANDS LÄN</t>
        </is>
      </c>
      <c r="E1304" t="inlineStr">
        <is>
          <t>ÅRJÄNG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10625-2025</t>
        </is>
      </c>
      <c r="B1305" s="1" t="n">
        <v>45721</v>
      </c>
      <c r="C1305" s="1" t="n">
        <v>46081</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10627-2025</t>
        </is>
      </c>
      <c r="B1306" s="1" t="n">
        <v>45721</v>
      </c>
      <c r="C1306" s="1" t="n">
        <v>46081</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3471-2023</t>
        </is>
      </c>
      <c r="B1307" s="1" t="n">
        <v>44949</v>
      </c>
      <c r="C1307" s="1" t="n">
        <v>46081</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59617-2022</t>
        </is>
      </c>
      <c r="B1308" s="1" t="n">
        <v>44907</v>
      </c>
      <c r="C1308" s="1" t="n">
        <v>46081</v>
      </c>
      <c r="D1308" t="inlineStr">
        <is>
          <t>VÄRMLANDS LÄN</t>
        </is>
      </c>
      <c r="E1308" t="inlineStr">
        <is>
          <t>ÅRJÄNG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59887-2023</t>
        </is>
      </c>
      <c r="B1309" s="1" t="n">
        <v>45257.59917824074</v>
      </c>
      <c r="C1309" s="1" t="n">
        <v>46081</v>
      </c>
      <c r="D1309" t="inlineStr">
        <is>
          <t>VÄRMLANDS LÄN</t>
        </is>
      </c>
      <c r="E1309" t="inlineStr">
        <is>
          <t>ÅRJÄNG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37382-2024</t>
        </is>
      </c>
      <c r="B1310" s="1" t="n">
        <v>45540</v>
      </c>
      <c r="C1310" s="1" t="n">
        <v>46081</v>
      </c>
      <c r="D1310" t="inlineStr">
        <is>
          <t>VÄRMLANDS LÄN</t>
        </is>
      </c>
      <c r="E1310" t="inlineStr">
        <is>
          <t>ÅRJÄNG</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65171-2023</t>
        </is>
      </c>
      <c r="B1311" s="1" t="n">
        <v>45288.71099537037</v>
      </c>
      <c r="C1311" s="1" t="n">
        <v>46081</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59071-2024</t>
        </is>
      </c>
      <c r="B1312" s="1" t="n">
        <v>45636.96637731481</v>
      </c>
      <c r="C1312" s="1" t="n">
        <v>46081</v>
      </c>
      <c r="D1312" t="inlineStr">
        <is>
          <t>VÄRMLANDS LÄN</t>
        </is>
      </c>
      <c r="E1312" t="inlineStr">
        <is>
          <t>ÅRJÄNG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59073-2024</t>
        </is>
      </c>
      <c r="B1313" s="1" t="n">
        <v>45636.97232638889</v>
      </c>
      <c r="C1313" s="1" t="n">
        <v>46081</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28864-2023</t>
        </is>
      </c>
      <c r="B1314" s="1" t="n">
        <v>45104</v>
      </c>
      <c r="C1314" s="1" t="n">
        <v>46081</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10117-2023</t>
        </is>
      </c>
      <c r="B1315" s="1" t="n">
        <v>44986.34331018518</v>
      </c>
      <c r="C1315" s="1" t="n">
        <v>46081</v>
      </c>
      <c r="D1315" t="inlineStr">
        <is>
          <t>VÄRMLANDS LÄN</t>
        </is>
      </c>
      <c r="E1315" t="inlineStr">
        <is>
          <t>ÅRJÄNG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15579-2025</t>
        </is>
      </c>
      <c r="B1316" s="1" t="n">
        <v>45747</v>
      </c>
      <c r="C1316" s="1" t="n">
        <v>46081</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15303-2025</t>
        </is>
      </c>
      <c r="B1317" s="1" t="n">
        <v>45746</v>
      </c>
      <c r="C1317" s="1" t="n">
        <v>46081</v>
      </c>
      <c r="D1317" t="inlineStr">
        <is>
          <t>VÄRMLANDS LÄN</t>
        </is>
      </c>
      <c r="E1317" t="inlineStr">
        <is>
          <t>ÅRJÄNG</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11401-2025</t>
        </is>
      </c>
      <c r="B1318" s="1" t="n">
        <v>45726</v>
      </c>
      <c r="C1318" s="1" t="n">
        <v>46081</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58789-2024</t>
        </is>
      </c>
      <c r="B1319" s="1" t="n">
        <v>45635.98438657408</v>
      </c>
      <c r="C1319" s="1" t="n">
        <v>46081</v>
      </c>
      <c r="D1319" t="inlineStr">
        <is>
          <t>VÄRMLANDS LÄN</t>
        </is>
      </c>
      <c r="E1319" t="inlineStr">
        <is>
          <t>ÅRJÄNG</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32550-2024</t>
        </is>
      </c>
      <c r="B1320" s="1" t="n">
        <v>45513.50606481481</v>
      </c>
      <c r="C1320" s="1" t="n">
        <v>46081</v>
      </c>
      <c r="D1320" t="inlineStr">
        <is>
          <t>VÄRMLANDS LÄN</t>
        </is>
      </c>
      <c r="E1320" t="inlineStr">
        <is>
          <t>ÅRJÄNG</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46319-2024</t>
        </is>
      </c>
      <c r="B1321" s="1" t="n">
        <v>45581.760625</v>
      </c>
      <c r="C1321" s="1" t="n">
        <v>46081</v>
      </c>
      <c r="D1321" t="inlineStr">
        <is>
          <t>VÄRMLANDS LÄN</t>
        </is>
      </c>
      <c r="E1321" t="inlineStr">
        <is>
          <t>ÅRJÄNG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15230-2025</t>
        </is>
      </c>
      <c r="B1322" s="1" t="n">
        <v>45744</v>
      </c>
      <c r="C1322" s="1" t="n">
        <v>46081</v>
      </c>
      <c r="D1322" t="inlineStr">
        <is>
          <t>VÄRMLANDS LÄN</t>
        </is>
      </c>
      <c r="E1322" t="inlineStr">
        <is>
          <t>ÅRJÄNG</t>
        </is>
      </c>
      <c r="G1322" t="n">
        <v>17.1</v>
      </c>
      <c r="H1322" t="n">
        <v>0</v>
      </c>
      <c r="I1322" t="n">
        <v>0</v>
      </c>
      <c r="J1322" t="n">
        <v>0</v>
      </c>
      <c r="K1322" t="n">
        <v>0</v>
      </c>
      <c r="L1322" t="n">
        <v>0</v>
      </c>
      <c r="M1322" t="n">
        <v>0</v>
      </c>
      <c r="N1322" t="n">
        <v>0</v>
      </c>
      <c r="O1322" t="n">
        <v>0</v>
      </c>
      <c r="P1322" t="n">
        <v>0</v>
      </c>
      <c r="Q1322" t="n">
        <v>0</v>
      </c>
      <c r="R1322" s="2" t="inlineStr"/>
    </row>
    <row r="1323" ht="15" customHeight="1">
      <c r="A1323" t="inlineStr">
        <is>
          <t>A 20372-2025</t>
        </is>
      </c>
      <c r="B1323" s="1" t="n">
        <v>45775.42027777778</v>
      </c>
      <c r="C1323" s="1" t="n">
        <v>46081</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45634-2023</t>
        </is>
      </c>
      <c r="B1324" s="1" t="n">
        <v>45194</v>
      </c>
      <c r="C1324" s="1" t="n">
        <v>46081</v>
      </c>
      <c r="D1324" t="inlineStr">
        <is>
          <t>VÄRMLANDS LÄN</t>
        </is>
      </c>
      <c r="E1324" t="inlineStr">
        <is>
          <t>ÅRJÄNG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6551-2025</t>
        </is>
      </c>
      <c r="B1325" s="1" t="n">
        <v>45699.71454861111</v>
      </c>
      <c r="C1325" s="1" t="n">
        <v>46081</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48444-2023</t>
        </is>
      </c>
      <c r="B1326" s="1" t="n">
        <v>45206.37090277778</v>
      </c>
      <c r="C1326" s="1" t="n">
        <v>46081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58290-2024</t>
        </is>
      </c>
      <c r="B1327" s="1" t="n">
        <v>45632.5916087963</v>
      </c>
      <c r="C1327" s="1" t="n">
        <v>46081</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1615-2025</t>
        </is>
      </c>
      <c r="B1328" s="1" t="n">
        <v>45670.60484953703</v>
      </c>
      <c r="C1328" s="1" t="n">
        <v>46081</v>
      </c>
      <c r="D1328" t="inlineStr">
        <is>
          <t>VÄRMLANDS LÄN</t>
        </is>
      </c>
      <c r="E1328" t="inlineStr">
        <is>
          <t>ÅRJÄNG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45827-2024</t>
        </is>
      </c>
      <c r="B1329" s="1" t="n">
        <v>45579</v>
      </c>
      <c r="C1329" s="1" t="n">
        <v>46081</v>
      </c>
      <c r="D1329" t="inlineStr">
        <is>
          <t>VÄRMLANDS LÄN</t>
        </is>
      </c>
      <c r="E1329" t="inlineStr">
        <is>
          <t>ÅRJÄNG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32778-2024</t>
        </is>
      </c>
      <c r="B1330" s="1" t="n">
        <v>45516.5083912037</v>
      </c>
      <c r="C1330" s="1" t="n">
        <v>46081</v>
      </c>
      <c r="D1330" t="inlineStr">
        <is>
          <t>VÄRMLANDS LÄN</t>
        </is>
      </c>
      <c r="E1330" t="inlineStr">
        <is>
          <t>ÅRJÄNG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42230-2024</t>
        </is>
      </c>
      <c r="B1331" s="1" t="n">
        <v>45562</v>
      </c>
      <c r="C1331" s="1" t="n">
        <v>46081</v>
      </c>
      <c r="D1331" t="inlineStr">
        <is>
          <t>VÄRMLANDS LÄN</t>
        </is>
      </c>
      <c r="E1331" t="inlineStr">
        <is>
          <t>ÅRJÄNG</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4189-2025</t>
        </is>
      </c>
      <c r="B1332" s="1" t="n">
        <v>45685</v>
      </c>
      <c r="C1332" s="1" t="n">
        <v>46081</v>
      </c>
      <c r="D1332" t="inlineStr">
        <is>
          <t>VÄRMLANDS LÄN</t>
        </is>
      </c>
      <c r="E1332" t="inlineStr">
        <is>
          <t>ÅRJÄNG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20747-2025</t>
        </is>
      </c>
      <c r="B1333" s="1" t="n">
        <v>45776.56221064815</v>
      </c>
      <c r="C1333" s="1" t="n">
        <v>46081</v>
      </c>
      <c r="D1333" t="inlineStr">
        <is>
          <t>VÄRMLANDS LÄN</t>
        </is>
      </c>
      <c r="E1333" t="inlineStr">
        <is>
          <t>ÅRJÄNG</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20975-2025</t>
        </is>
      </c>
      <c r="B1334" s="1" t="n">
        <v>45777.45922453704</v>
      </c>
      <c r="C1334" s="1" t="n">
        <v>46081</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20957-2025</t>
        </is>
      </c>
      <c r="B1335" s="1" t="n">
        <v>45777.44613425926</v>
      </c>
      <c r="C1335" s="1" t="n">
        <v>46081</v>
      </c>
      <c r="D1335" t="inlineStr">
        <is>
          <t>VÄRMLANDS LÄN</t>
        </is>
      </c>
      <c r="E1335" t="inlineStr">
        <is>
          <t>ÅRJÄNG</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21258-2025</t>
        </is>
      </c>
      <c r="B1336" s="1" t="n">
        <v>45779.59001157407</v>
      </c>
      <c r="C1336" s="1" t="n">
        <v>46081</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11198-2025</t>
        </is>
      </c>
      <c r="B1337" s="1" t="n">
        <v>45725</v>
      </c>
      <c r="C1337" s="1" t="n">
        <v>46081</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46081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1467-2025</t>
        </is>
      </c>
      <c r="B1339" s="1" t="n">
        <v>45667</v>
      </c>
      <c r="C1339" s="1" t="n">
        <v>46081</v>
      </c>
      <c r="D1339" t="inlineStr">
        <is>
          <t>VÄRMLANDS LÄN</t>
        </is>
      </c>
      <c r="E1339" t="inlineStr">
        <is>
          <t>ÅRJÄNG</t>
        </is>
      </c>
      <c r="F1339" t="inlineStr">
        <is>
          <t>Övriga Aktiebolag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31793-2023</t>
        </is>
      </c>
      <c r="B1340" s="1" t="n">
        <v>45118.43685185185</v>
      </c>
      <c r="C1340" s="1" t="n">
        <v>46081</v>
      </c>
      <c r="D1340" t="inlineStr">
        <is>
          <t>VÄRMLANDS LÄN</t>
        </is>
      </c>
      <c r="E1340" t="inlineStr">
        <is>
          <t>ÅRJÄNG</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50347-2024</t>
        </is>
      </c>
      <c r="B1341" s="1" t="n">
        <v>45600</v>
      </c>
      <c r="C1341" s="1" t="n">
        <v>46081</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22276-2025</t>
        </is>
      </c>
      <c r="B1342" s="1" t="n">
        <v>45786.32737268518</v>
      </c>
      <c r="C1342" s="1" t="n">
        <v>46081</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22352-2025</t>
        </is>
      </c>
      <c r="B1343" s="1" t="n">
        <v>45786.45491898148</v>
      </c>
      <c r="C1343" s="1" t="n">
        <v>46081</v>
      </c>
      <c r="D1343" t="inlineStr">
        <is>
          <t>VÄRMLANDS LÄN</t>
        </is>
      </c>
      <c r="E1343" t="inlineStr">
        <is>
          <t>ÅRJÄNG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63203-2021</t>
        </is>
      </c>
      <c r="B1344" s="1" t="n">
        <v>44507.78568287037</v>
      </c>
      <c r="C1344" s="1" t="n">
        <v>46081</v>
      </c>
      <c r="D1344" t="inlineStr">
        <is>
          <t>VÄRMLANDS LÄN</t>
        </is>
      </c>
      <c r="E1344" t="inlineStr">
        <is>
          <t>ÅRJÄNG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8094-2025</t>
        </is>
      </c>
      <c r="B1345" s="1" t="n">
        <v>45707.68126157407</v>
      </c>
      <c r="C1345" s="1" t="n">
        <v>46081</v>
      </c>
      <c r="D1345" t="inlineStr">
        <is>
          <t>VÄRMLANDS LÄN</t>
        </is>
      </c>
      <c r="E1345" t="inlineStr">
        <is>
          <t>ÅRJÄNG</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22281-2025</t>
        </is>
      </c>
      <c r="B1346" s="1" t="n">
        <v>45786.33900462963</v>
      </c>
      <c r="C1346" s="1" t="n">
        <v>46081</v>
      </c>
      <c r="D1346" t="inlineStr">
        <is>
          <t>VÄRMLANDS LÄN</t>
        </is>
      </c>
      <c r="E1346" t="inlineStr">
        <is>
          <t>ÅRJÄNG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22667-2025</t>
        </is>
      </c>
      <c r="B1347" s="1" t="n">
        <v>45789</v>
      </c>
      <c r="C1347" s="1" t="n">
        <v>46081</v>
      </c>
      <c r="D1347" t="inlineStr">
        <is>
          <t>VÄRMLANDS LÄN</t>
        </is>
      </c>
      <c r="E1347" t="inlineStr">
        <is>
          <t>ÅRJÄNG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23039-2025</t>
        </is>
      </c>
      <c r="B1348" s="1" t="n">
        <v>45790</v>
      </c>
      <c r="C1348" s="1" t="n">
        <v>46081</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22556-2025</t>
        </is>
      </c>
      <c r="B1349" s="1" t="n">
        <v>45788.93663194445</v>
      </c>
      <c r="C1349" s="1" t="n">
        <v>46081</v>
      </c>
      <c r="D1349" t="inlineStr">
        <is>
          <t>VÄRMLANDS LÄN</t>
        </is>
      </c>
      <c r="E1349" t="inlineStr">
        <is>
          <t>ÅRJÄNG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37026-2024</t>
        </is>
      </c>
      <c r="B1350" s="1" t="n">
        <v>45539</v>
      </c>
      <c r="C1350" s="1" t="n">
        <v>46081</v>
      </c>
      <c r="D1350" t="inlineStr">
        <is>
          <t>VÄRMLANDS LÄN</t>
        </is>
      </c>
      <c r="E1350" t="inlineStr">
        <is>
          <t>ÅRJÄNG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46081</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22635-2025</t>
        </is>
      </c>
      <c r="B1352" s="1" t="n">
        <v>45789</v>
      </c>
      <c r="C1352" s="1" t="n">
        <v>46081</v>
      </c>
      <c r="D1352" t="inlineStr">
        <is>
          <t>VÄRMLANDS LÄN</t>
        </is>
      </c>
      <c r="E1352" t="inlineStr">
        <is>
          <t>ÅRJÄNG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22727-2025</t>
        </is>
      </c>
      <c r="B1353" s="1" t="n">
        <v>45789.5744212963</v>
      </c>
      <c r="C1353" s="1" t="n">
        <v>46081</v>
      </c>
      <c r="D1353" t="inlineStr">
        <is>
          <t>VÄRMLANDS LÄN</t>
        </is>
      </c>
      <c r="E1353" t="inlineStr">
        <is>
          <t>ÅRJÄNG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43659-2024</t>
        </is>
      </c>
      <c r="B1354" s="1" t="n">
        <v>45569</v>
      </c>
      <c r="C1354" s="1" t="n">
        <v>46081</v>
      </c>
      <c r="D1354" t="inlineStr">
        <is>
          <t>VÄRMLANDS LÄN</t>
        </is>
      </c>
      <c r="E1354" t="inlineStr">
        <is>
          <t>ÅRJÄNG</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62266-2023</t>
        </is>
      </c>
      <c r="B1355" s="1" t="n">
        <v>45266</v>
      </c>
      <c r="C1355" s="1" t="n">
        <v>46081</v>
      </c>
      <c r="D1355" t="inlineStr">
        <is>
          <t>VÄRMLANDS LÄN</t>
        </is>
      </c>
      <c r="E1355" t="inlineStr">
        <is>
          <t>ÅRJÄNG</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1289-2025</t>
        </is>
      </c>
      <c r="B1356" s="1" t="n">
        <v>45667.51412037037</v>
      </c>
      <c r="C1356" s="1" t="n">
        <v>46081</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30993-2024</t>
        </is>
      </c>
      <c r="B1357" s="1" t="n">
        <v>45499</v>
      </c>
      <c r="C1357" s="1" t="n">
        <v>46081</v>
      </c>
      <c r="D1357" t="inlineStr">
        <is>
          <t>VÄRMLANDS LÄN</t>
        </is>
      </c>
      <c r="E1357" t="inlineStr">
        <is>
          <t>ÅRJÄNG</t>
        </is>
      </c>
      <c r="F1357" t="inlineStr">
        <is>
          <t>Kyrkan</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521-2025</t>
        </is>
      </c>
      <c r="B1358" s="1" t="n">
        <v>45664.48826388889</v>
      </c>
      <c r="C1358" s="1" t="n">
        <v>46081</v>
      </c>
      <c r="D1358" t="inlineStr">
        <is>
          <t>VÄRMLANDS LÄN</t>
        </is>
      </c>
      <c r="E1358" t="inlineStr">
        <is>
          <t>ÅRJÄNG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46081</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4606-2024</t>
        </is>
      </c>
      <c r="B1360" s="1" t="n">
        <v>45328.3225</v>
      </c>
      <c r="C1360" s="1" t="n">
        <v>46081</v>
      </c>
      <c r="D1360" t="inlineStr">
        <is>
          <t>VÄRMLANDS LÄN</t>
        </is>
      </c>
      <c r="E1360" t="inlineStr">
        <is>
          <t>ÅRJÄNG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53332-2023</t>
        </is>
      </c>
      <c r="B1361" s="1" t="n">
        <v>45229</v>
      </c>
      <c r="C1361" s="1" t="n">
        <v>46081</v>
      </c>
      <c r="D1361" t="inlineStr">
        <is>
          <t>VÄRMLANDS LÄN</t>
        </is>
      </c>
      <c r="E1361" t="inlineStr">
        <is>
          <t>ÅRJÄNG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24252-2025</t>
        </is>
      </c>
      <c r="B1362" s="1" t="n">
        <v>45797.40376157407</v>
      </c>
      <c r="C1362" s="1" t="n">
        <v>46081</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41201-2024</t>
        </is>
      </c>
      <c r="B1363" s="1" t="n">
        <v>45559</v>
      </c>
      <c r="C1363" s="1" t="n">
        <v>46081</v>
      </c>
      <c r="D1363" t="inlineStr">
        <is>
          <t>VÄRMLANDS LÄN</t>
        </is>
      </c>
      <c r="E1363" t="inlineStr">
        <is>
          <t>ÅRJÄNG</t>
        </is>
      </c>
      <c r="G1363" t="n">
        <v>4.1</v>
      </c>
      <c r="H1363" t="n">
        <v>0</v>
      </c>
      <c r="I1363" t="n">
        <v>0</v>
      </c>
      <c r="J1363" t="n">
        <v>0</v>
      </c>
      <c r="K1363" t="n">
        <v>0</v>
      </c>
      <c r="L1363" t="n">
        <v>0</v>
      </c>
      <c r="M1363" t="n">
        <v>0</v>
      </c>
      <c r="N1363" t="n">
        <v>0</v>
      </c>
      <c r="O1363" t="n">
        <v>0</v>
      </c>
      <c r="P1363" t="n">
        <v>0</v>
      </c>
      <c r="Q1363" t="n">
        <v>0</v>
      </c>
      <c r="R1363" s="2" t="inlineStr"/>
    </row>
    <row r="1364">
      <c r="A1364" t="inlineStr">
        <is>
          <t>A 24983-2025</t>
        </is>
      </c>
      <c r="B1364" s="1" t="n">
        <v>45799.59841435185</v>
      </c>
      <c r="C1364" s="1" t="n">
        <v>46081</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2026-02-28T11:05:20Z</dcterms:created>
  <dcterms:modified xmlns:dcterms="http://purl.org/dc/terms/" xmlns:xsi="http://www.w3.org/2001/XMLSchema-instance" xsi:type="dcterms:W3CDTF">2026-02-28T11:05:22Z</dcterms:modified>
</cp:coreProperties>
</file>